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_de_bord" sheetId="1" state="visible" r:id="rId1"/>
    <sheet xmlns:r="http://schemas.openxmlformats.org/officeDocument/2006/relationships" name="Bits" sheetId="2" state="visible" r:id="rId2"/>
    <sheet xmlns:r="http://schemas.openxmlformats.org/officeDocument/2006/relationships" name="Symboles" sheetId="3" state="visible" r:id="rId3"/>
    <sheet xmlns:r="http://schemas.openxmlformats.org/officeDocument/2006/relationships" name="Signal" sheetId="4" state="visible" r:id="rId4"/>
    <sheet xmlns:r="http://schemas.openxmlformats.org/officeDocument/2006/relationships" name="Oeil" sheetId="5" state="visible" r:id="rId5"/>
    <sheet xmlns:r="http://schemas.openxmlformats.org/officeDocument/2006/relationships" name="Constellations" sheetId="6" state="visible" r:id="rId6"/>
    <sheet xmlns:r="http://schemas.openxmlformats.org/officeDocument/2006/relationships" name="Exerci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0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9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</font>
    <font>
      <name val="Arial"/>
    </font>
    <font>
      <name val="Arial"/>
      <b val="1"/>
      <color rgb="00000000"/>
    </font>
    <font>
      <name val="Arial"/>
      <b val="1"/>
      <color rgb="001F4E78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F4E78"/>
      <sz val="16"/>
    </font>
    <font>
      <name val="Arial"/>
      <i val="1"/>
      <color rgb="007F7F7F"/>
      <sz val="9"/>
    </font>
    <font>
      <name val="Arial"/>
      <b val="1"/>
      <color rgb="000000FF"/>
      <sz val="12"/>
    </font>
    <font>
      <name val="Consolas"/>
      <sz val="10"/>
    </font>
    <font>
      <name val="Arial"/>
      <b val="1"/>
      <sz val="8"/>
    </font>
    <font>
      <name val="Arial"/>
      <sz val="8"/>
    </font>
    <font>
      <name val="Arial"/>
      <b val="1"/>
      <color rgb="001F4E78"/>
      <sz val="12"/>
    </font>
    <font>
      <name val="Arial"/>
      <color theme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14" fillId="5" borderId="1" applyAlignment="1" pivotButton="0" quotePrefix="0" xfId="0">
      <alignment horizontal="left"/>
    </xf>
    <xf numFmtId="49" fontId="14" fillId="5" borderId="1" applyAlignment="1" pivotButton="0" quotePrefix="0" xfId="0">
      <alignment horizontal="left"/>
    </xf>
    <xf numFmtId="0" fontId="7" fillId="0" borderId="0" pivotButton="0" quotePrefix="0" xfId="0"/>
    <xf numFmtId="1" fontId="6" fillId="6" borderId="1" applyAlignment="1" pivotButton="0" quotePrefix="0" xfId="0">
      <alignment horizontal="left"/>
    </xf>
    <xf numFmtId="164" fontId="6" fillId="6" borderId="1" applyAlignment="1" pivotButton="0" quotePrefix="0" xfId="0">
      <alignment horizontal="left"/>
    </xf>
    <xf numFmtId="166" fontId="6" fillId="6" borderId="1" applyAlignment="1" pivotButton="0" quotePrefix="0" xfId="0">
      <alignment horizontal="left"/>
    </xf>
    <xf numFmtId="0" fontId="15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49" fontId="7" fillId="0" borderId="0" pivotButton="0" quotePrefix="0" xfId="0"/>
    <xf numFmtId="0" fontId="1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19" fillId="0" borderId="0" pivotButton="0" quotePrefix="0" xfId="0"/>
    <xf numFmtId="165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165" fontId="7" fillId="0" borderId="0" pivotButton="0" quotePrefix="0" xfId="0"/>
    <xf numFmtId="0" fontId="16" fillId="0" borderId="0" pivotButton="0" quotePrefix="0" xfId="0"/>
    <xf numFmtId="0" fontId="7" fillId="0" borderId="1" pivotButton="0" quotePrefix="0" xfId="0"/>
    <xf numFmtId="165" fontId="7" fillId="0" borderId="1" pivotButton="0" quotePrefix="0" xfId="0"/>
    <xf numFmtId="165" fontId="17" fillId="0" borderId="0" pivotButton="0" quotePrefix="0" xfId="0"/>
    <xf numFmtId="0" fontId="9" fillId="0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10" fillId="0" borderId="0" pivotButton="0" quotePrefix="0" xfId="0"/>
    <xf numFmtId="164" fontId="6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</font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Train binaire</a:t>
            </a:r>
          </a:p>
        </rich>
      </tx>
    </title>
    <plotArea>
      <scatterChart>
        <scatterStyle val="line"/>
        <ser>
          <idx val="0"/>
          <order val="0"/>
          <tx>
            <v>bit</v>
          </tx>
          <spPr>
            <a:ln xmlns:a="http://schemas.openxmlformats.org/drawingml/2006/main" w="15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'Signal'!$B$8:$B$2007</f>
            </numRef>
          </xVal>
          <yVal>
            <numRef>
              <f>'Signal'!$C$8:$C$2007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(en Tb)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20"/>
      </valAx>
      <valAx>
        <axId val="20"/>
        <scaling>
          <orientation val="minMax"/>
          <max val="1.2"/>
          <min val="-0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bit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majorUnit val="1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Composantes en bande de base I(t) et Q(t) (normalisées)</a:t>
            </a:r>
          </a:p>
        </rich>
      </tx>
    </title>
    <plotArea>
      <scatterChart>
        <scatterStyle val="line"/>
        <ser>
          <idx val="0"/>
          <order val="0"/>
          <tx>
            <v>I(t)</v>
          </tx>
          <spPr>
            <a:ln xmlns:a="http://schemas.openxmlformats.org/drawingml/2006/main" w="1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'Signal'!$B$8:$B$2007</f>
            </numRef>
          </xVal>
          <yVal>
            <numRef>
              <f>'Signal'!$E$8:$E$2007</f>
            </numRef>
          </yVal>
          <smooth val="0"/>
        </ser>
        <ser>
          <idx val="1"/>
          <order val="1"/>
          <tx>
            <v>Q(t)</v>
          </tx>
          <spPr>
            <a:ln xmlns:a="http://schemas.openxmlformats.org/drawingml/2006/main" w="15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'Signal'!$B$8:$B$2007</f>
            </numRef>
          </xVal>
          <yVal>
            <numRef>
              <f>'Signal'!$F$8:$F$2007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(en Tb)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amplitude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 modulé  s(t) = I·cos(2πfct) + Q·sin(2πfct)</a:t>
            </a:r>
          </a:p>
        </rich>
      </tx>
    </title>
    <plotArea>
      <scatterChart>
        <scatterStyle val="line"/>
        <ser>
          <idx val="0"/>
          <order val="0"/>
          <tx>
            <v>s(t)</v>
          </tx>
          <spPr>
            <a:ln xmlns:a="http://schemas.openxmlformats.org/drawingml/2006/main" w="9525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'Signal'!$B$8:$B$2007</f>
            </numRef>
          </xVal>
          <yVal>
            <numRef>
              <f>'Signal'!$I$8:$I$2007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(en Tb)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s(t)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Constellation normalisée (cercles rouges = symboles émis)</a:t>
            </a:r>
          </a:p>
        </rich>
      </tx>
    </title>
    <plotArea>
      <scatterChart>
        <ser>
          <idx val="0"/>
          <order val="0"/>
          <tx>
            <strRef>
              <f>'Constellations'!$O$14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'Constellations'!$S$14</f>
            </numRef>
          </xVal>
          <yVal>
            <numRef>
              <f>'Constellations'!$T$14</f>
            </numRef>
          </yVal>
        </ser>
        <ser>
          <idx val="1"/>
          <order val="1"/>
          <tx>
            <strRef>
              <f>'Constellations'!$O$15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'Constellations'!$S$15</f>
            </numRef>
          </xVal>
          <yVal>
            <numRef>
              <f>'Constellations'!$T$15</f>
            </numRef>
          </yVal>
        </ser>
        <ser>
          <idx val="2"/>
          <order val="2"/>
          <tx>
            <strRef>
              <f>'Constellations'!$O$16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'Constellations'!$S$16</f>
            </numRef>
          </xVal>
          <yVal>
            <numRef>
              <f>'Constellations'!$T$16</f>
            </numRef>
          </yVal>
        </ser>
        <ser>
          <idx val="3"/>
          <order val="3"/>
          <tx>
            <strRef>
              <f>'Constellations'!$O$17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'Constellations'!$S$17</f>
            </numRef>
          </xVal>
          <yVal>
            <numRef>
              <f>'Constellations'!$T$17</f>
            </numRef>
          </yVal>
        </ser>
        <ser>
          <idx val="4"/>
          <order val="4"/>
          <tx>
            <strRef>
              <f>'Constellations'!$O$18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'Constellations'!$S$18</f>
            </numRef>
          </xVal>
          <yVal>
            <numRef>
              <f>'Constellations'!$T$18</f>
            </numRef>
          </yVal>
        </ser>
        <ser>
          <idx val="5"/>
          <order val="5"/>
          <tx>
            <strRef>
              <f>'Constellations'!$O$19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'Constellations'!$S$19</f>
            </numRef>
          </xVal>
          <yVal>
            <numRef>
              <f>'Constellations'!$T$19</f>
            </numRef>
          </yVal>
        </ser>
        <ser>
          <idx val="6"/>
          <order val="6"/>
          <tx>
            <strRef>
              <f>'Constellations'!$O$20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'Constellations'!$S$20</f>
            </numRef>
          </xVal>
          <yVal>
            <numRef>
              <f>'Constellations'!$T$20</f>
            </numRef>
          </yVal>
        </ser>
        <ser>
          <idx val="7"/>
          <order val="7"/>
          <tx>
            <strRef>
              <f>'Constellations'!$O$21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'Constellations'!$S$21</f>
            </numRef>
          </xVal>
          <yVal>
            <numRef>
              <f>'Constellations'!$T$21</f>
            </numRef>
          </yVal>
        </ser>
        <ser>
          <idx val="8"/>
          <order val="8"/>
          <tx>
            <strRef>
              <f>'Constellations'!$O$22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'Constellations'!$S$22</f>
            </numRef>
          </xVal>
          <yVal>
            <numRef>
              <f>'Constellations'!$T$22</f>
            </numRef>
          </yVal>
        </ser>
        <ser>
          <idx val="9"/>
          <order val="9"/>
          <tx>
            <strRef>
              <f>'Constellations'!$O$23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'Constellations'!$S$23</f>
            </numRef>
          </xVal>
          <yVal>
            <numRef>
              <f>'Constellations'!$T$23</f>
            </numRef>
          </yVal>
        </ser>
        <ser>
          <idx val="10"/>
          <order val="10"/>
          <tx>
            <strRef>
              <f>'Constellations'!$O$24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'Constellations'!$S$24</f>
            </numRef>
          </xVal>
          <yVal>
            <numRef>
              <f>'Constellations'!$T$24</f>
            </numRef>
          </yVal>
        </ser>
        <ser>
          <idx val="11"/>
          <order val="11"/>
          <tx>
            <strRef>
              <f>'Constellations'!$O$25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'Constellations'!$S$25</f>
            </numRef>
          </xVal>
          <yVal>
            <numRef>
              <f>'Constellations'!$T$25</f>
            </numRef>
          </yVal>
        </ser>
        <ser>
          <idx val="12"/>
          <order val="12"/>
          <tx>
            <strRef>
              <f>'Constellations'!$O$26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'Constellations'!$S$26</f>
            </numRef>
          </xVal>
          <yVal>
            <numRef>
              <f>'Constellations'!$T$26</f>
            </numRef>
          </yVal>
        </ser>
        <ser>
          <idx val="13"/>
          <order val="13"/>
          <tx>
            <strRef>
              <f>'Constellations'!$O$27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'Constellations'!$S$27</f>
            </numRef>
          </xVal>
          <yVal>
            <numRef>
              <f>'Constellations'!$T$27</f>
            </numRef>
          </yVal>
        </ser>
        <ser>
          <idx val="14"/>
          <order val="14"/>
          <tx>
            <strRef>
              <f>'Constellations'!$O$28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'Constellations'!$S$28</f>
            </numRef>
          </xVal>
          <yVal>
            <numRef>
              <f>'Constellations'!$T$28</f>
            </numRef>
          </yVal>
        </ser>
        <ser>
          <idx val="15"/>
          <order val="15"/>
          <tx>
            <strRef>
              <f>'Constellations'!$O$29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'Constellations'!$S$29</f>
            </numRef>
          </xVal>
          <yVal>
            <numRef>
              <f>'Constellations'!$T$29</f>
            </numRef>
          </yVal>
        </ser>
        <ser>
          <idx val="16"/>
          <order val="16"/>
          <tx>
            <strRef>
              <f>'Constellations'!$O$30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'Constellations'!$S$30</f>
            </numRef>
          </xVal>
          <yVal>
            <numRef>
              <f>'Constellations'!$T$30</f>
            </numRef>
          </yVal>
        </ser>
        <ser>
          <idx val="17"/>
          <order val="17"/>
          <tx>
            <strRef>
              <f>'Constellations'!$O$31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'Constellations'!$S$31</f>
            </numRef>
          </xVal>
          <yVal>
            <numRef>
              <f>'Constellations'!$T$31</f>
            </numRef>
          </yVal>
        </ser>
        <ser>
          <idx val="18"/>
          <order val="18"/>
          <tx>
            <strRef>
              <f>'Constellations'!$O$32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'Constellations'!$S$32</f>
            </numRef>
          </xVal>
          <yVal>
            <numRef>
              <f>'Constellations'!$T$32</f>
            </numRef>
          </yVal>
        </ser>
        <ser>
          <idx val="19"/>
          <order val="19"/>
          <tx>
            <strRef>
              <f>'Constellations'!$O$33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'Constellations'!$S$33</f>
            </numRef>
          </xVal>
          <yVal>
            <numRef>
              <f>'Constellations'!$T$33</f>
            </numRef>
          </yVal>
        </ser>
        <ser>
          <idx val="20"/>
          <order val="20"/>
          <tx>
            <strRef>
              <f>'Constellations'!$O$34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'Constellations'!$S$34</f>
            </numRef>
          </xVal>
          <yVal>
            <numRef>
              <f>'Constellations'!$T$34</f>
            </numRef>
          </yVal>
        </ser>
        <ser>
          <idx val="21"/>
          <order val="21"/>
          <tx>
            <strRef>
              <f>'Constellations'!$O$35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'Constellations'!$S$35</f>
            </numRef>
          </xVal>
          <yVal>
            <numRef>
              <f>'Constellations'!$T$35</f>
            </numRef>
          </yVal>
        </ser>
        <ser>
          <idx val="22"/>
          <order val="22"/>
          <tx>
            <strRef>
              <f>'Constellations'!$O$36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'Constellations'!$S$36</f>
            </numRef>
          </xVal>
          <yVal>
            <numRef>
              <f>'Constellations'!$T$36</f>
            </numRef>
          </yVal>
        </ser>
        <ser>
          <idx val="23"/>
          <order val="23"/>
          <tx>
            <strRef>
              <f>'Constellations'!$O$37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'Constellations'!$S$37</f>
            </numRef>
          </xVal>
          <yVal>
            <numRef>
              <f>'Constellations'!$T$37</f>
            </numRef>
          </yVal>
        </ser>
        <ser>
          <idx val="24"/>
          <order val="24"/>
          <tx>
            <strRef>
              <f>'Constellations'!$O$38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'Constellations'!$S$38</f>
            </numRef>
          </xVal>
          <yVal>
            <numRef>
              <f>'Constellations'!$T$38</f>
            </numRef>
          </yVal>
        </ser>
        <ser>
          <idx val="25"/>
          <order val="25"/>
          <tx>
            <strRef>
              <f>'Constellations'!$O$39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'Constellations'!$S$39</f>
            </numRef>
          </xVal>
          <yVal>
            <numRef>
              <f>'Constellations'!$T$39</f>
            </numRef>
          </yVal>
        </ser>
        <ser>
          <idx val="26"/>
          <order val="26"/>
          <tx>
            <strRef>
              <f>'Constellations'!$O$40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'Constellations'!$S$40</f>
            </numRef>
          </xVal>
          <yVal>
            <numRef>
              <f>'Constellations'!$T$40</f>
            </numRef>
          </yVal>
        </ser>
        <ser>
          <idx val="27"/>
          <order val="27"/>
          <tx>
            <strRef>
              <f>'Constellations'!$O$41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'Constellations'!$S$41</f>
            </numRef>
          </xVal>
          <yVal>
            <numRef>
              <f>'Constellations'!$T$41</f>
            </numRef>
          </yVal>
        </ser>
        <ser>
          <idx val="28"/>
          <order val="28"/>
          <tx>
            <strRef>
              <f>'Constellations'!$O$42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'Constellations'!$S$42</f>
            </numRef>
          </xVal>
          <yVal>
            <numRef>
              <f>'Constellations'!$T$42</f>
            </numRef>
          </yVal>
        </ser>
        <ser>
          <idx val="29"/>
          <order val="29"/>
          <tx>
            <strRef>
              <f>'Constellations'!$O$43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'Constellations'!$S$43</f>
            </numRef>
          </xVal>
          <yVal>
            <numRef>
              <f>'Constellations'!$T$43</f>
            </numRef>
          </yVal>
        </ser>
        <ser>
          <idx val="30"/>
          <order val="30"/>
          <tx>
            <strRef>
              <f>'Constellations'!$O$44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'Constellations'!$S$44</f>
            </numRef>
          </xVal>
          <yVal>
            <numRef>
              <f>'Constellations'!$T$44</f>
            </numRef>
          </yVal>
        </ser>
        <ser>
          <idx val="31"/>
          <order val="31"/>
          <tx>
            <strRef>
              <f>'Constellations'!$O$45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/>
                </a:pPr>
                <a:r>
                  <a:t/>
                </a:r>
                <a:endParaRPr sz="750"/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'Constellations'!$S$45</f>
            </numRef>
          </xVal>
          <yVal>
            <numRef>
              <f>'Constellations'!$T$45</f>
            </numRef>
          </yVal>
        </ser>
        <ser>
          <idx val="32"/>
          <order val="32"/>
          <tx>
            <v>Symboles émis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1"/>
            <spPr>
              <a:noFill xmlns:a="http://schemas.openxmlformats.org/drawingml/2006/main"/>
              <a:ln xmlns:a="http://schemas.openxmlformats.org/drawingml/2006/main" w="28575">
                <a:solidFill>
                  <a:srgbClr val="C00000"/>
                </a:solidFill>
                <a:prstDash val="solid"/>
              </a:ln>
            </spPr>
          </marker>
          <xVal>
            <numRef>
              <f>'Constellations'!$U$14:$U$45</f>
            </numRef>
          </xVal>
          <yVal>
            <numRef>
              <f>'Constellations'!$V$14:$V$45</f>
            </numRef>
          </yVal>
        </ser>
        <axId val="10"/>
        <axId val="20"/>
      </scatterChart>
      <valAx>
        <axId val="10"/>
        <scaling>
          <orientation val="minMax"/>
          <max val="1.6"/>
          <min val="-1.6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20"/>
        <majorUnit val="0.4"/>
      </valAx>
      <valAx>
        <axId val="20"/>
        <scaling>
          <orientation val="minMax"/>
          <max val="1.6"/>
          <min val="-1.6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majorUnit val="0.4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Œil — voie I</a:t>
            </a:r>
          </a:p>
        </rich>
      </tx>
    </title>
    <plotArea>
      <scatterChart>
        <scatterStyle val="line"/>
        <ser>
          <idx val="0"/>
          <order val="0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'Oeil'!$P$10:$P$42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'Oeil'!$Q$10:$Q$42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'Oeil'!$R$10:$R$42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'Oeil'!$S$10:$S$42</f>
            </numRef>
          </yVal>
          <smooth val="0"/>
        </ser>
        <ser>
          <idx val="4"/>
          <order val="4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'Oeil'!$T$10:$T$42</f>
            </numRef>
          </yVal>
          <smooth val="0"/>
        </ser>
        <ser>
          <idx val="5"/>
          <order val="5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'Oeil'!$U$10:$U$42</f>
            </numRef>
          </yVal>
          <smooth val="0"/>
        </ser>
        <ser>
          <idx val="6"/>
          <order val="6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'Oeil'!$V$10:$V$42</f>
            </numRef>
          </yVal>
          <smooth val="0"/>
        </ser>
        <ser>
          <idx val="7"/>
          <order val="7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'Oeil'!$W$10:$W$42</f>
            </numRef>
          </yVal>
          <smooth val="0"/>
        </ser>
        <ser>
          <idx val="8"/>
          <order val="8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'Oeil'!$X$10:$X$42</f>
            </numRef>
          </yVal>
          <smooth val="0"/>
        </ser>
        <ser>
          <idx val="9"/>
          <order val="9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'Oeil'!$Y$10:$Y$42</f>
            </numRef>
          </yVal>
          <smooth val="0"/>
        </ser>
        <ser>
          <idx val="10"/>
          <order val="10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'Oeil'!$Z$10:$Z$42</f>
            </numRef>
          </yVal>
          <smooth val="0"/>
        </ser>
        <ser>
          <idx val="11"/>
          <order val="11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'Oeil'!$AA$10:$AA$42</f>
            </numRef>
          </yVal>
          <smooth val="0"/>
        </ser>
        <ser>
          <idx val="12"/>
          <order val="12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'Oeil'!$AB$10:$AB$42</f>
            </numRef>
          </yVal>
          <smooth val="0"/>
        </ser>
        <ser>
          <idx val="13"/>
          <order val="13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'Oeil'!$AC$10:$AC$42</f>
            </numRef>
          </yVal>
          <smooth val="0"/>
        </ser>
        <ser>
          <idx val="14"/>
          <order val="14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'Oeil'!$AD$10:$AD$42</f>
            </numRef>
          </yVal>
          <smooth val="0"/>
        </ser>
        <ser>
          <idx val="15"/>
          <order val="15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'Oeil'!$AE$10:$AE$42</f>
            </numRef>
          </yVal>
          <smooth val="0"/>
        </ser>
        <ser>
          <idx val="16"/>
          <order val="16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'Oeil'!$AF$10:$AF$42</f>
            </numRef>
          </yVal>
          <smooth val="0"/>
        </ser>
        <ser>
          <idx val="17"/>
          <order val="17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'Oeil'!$AG$10:$AG$42</f>
            </numRef>
          </yVal>
          <smooth val="0"/>
        </ser>
        <ser>
          <idx val="18"/>
          <order val="18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'Oeil'!$AH$10:$AH$42</f>
            </numRef>
          </yVal>
          <smooth val="0"/>
        </ser>
        <ser>
          <idx val="19"/>
          <order val="19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'Oeil'!$AI$10:$AI$42</f>
            </numRef>
          </yVal>
          <smooth val="0"/>
        </ser>
        <ser>
          <idx val="20"/>
          <order val="20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'Oeil'!$AJ$10:$AJ$42</f>
            </numRef>
          </yVal>
          <smooth val="0"/>
        </ser>
        <ser>
          <idx val="21"/>
          <order val="21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'Oeil'!$AK$10:$AK$42</f>
            </numRef>
          </yVal>
          <smooth val="0"/>
        </ser>
        <ser>
          <idx val="22"/>
          <order val="22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'Oeil'!$AL$10:$AL$42</f>
            </numRef>
          </yVal>
          <smooth val="0"/>
        </ser>
        <ser>
          <idx val="23"/>
          <order val="23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'Oeil'!$AM$10:$AM$42</f>
            </numRef>
          </yVal>
          <smooth val="0"/>
        </ser>
        <ser>
          <idx val="24"/>
          <order val="24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'Oeil'!$AN$10:$AN$42</f>
            </numRef>
          </yVal>
          <smooth val="0"/>
        </ser>
        <ser>
          <idx val="25"/>
          <order val="25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'Oeil'!$AO$10:$AO$42</f>
            </numRef>
          </yVal>
          <smooth val="0"/>
        </ser>
        <ser>
          <idx val="26"/>
          <order val="26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'Oeil'!$AP$10:$AP$42</f>
            </numRef>
          </yVal>
          <smooth val="0"/>
        </ser>
        <ser>
          <idx val="27"/>
          <order val="27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'Oeil'!$AQ$10:$AQ$42</f>
            </numRef>
          </yVal>
          <smooth val="0"/>
        </ser>
        <ser>
          <idx val="28"/>
          <order val="28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'Oeil'!$AR$10:$AR$42</f>
            </numRef>
          </yVal>
          <smooth val="0"/>
        </ser>
        <ser>
          <idx val="29"/>
          <order val="29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'Oeil'!$AS$10:$AS$42</f>
            </numRef>
          </yVal>
          <smooth val="0"/>
        </ser>
        <ser>
          <idx val="30"/>
          <order val="30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'Oeil'!$AT$10:$AT$42</f>
            </numRef>
          </yVal>
          <smooth val="0"/>
        </ser>
        <ser>
          <idx val="31"/>
          <order val="31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'Oeil'!$AU$10:$AU$42</f>
            </numRef>
          </yVal>
          <smooth val="0"/>
        </ser>
        <ser>
          <idx val="32"/>
          <order val="32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'Oeil'!$AV$10:$AV$42</f>
            </numRef>
          </yVal>
          <smooth val="0"/>
        </ser>
        <ser>
          <idx val="33"/>
          <order val="33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'Oeil'!$AW$10:$AW$42</f>
            </numRef>
          </yVal>
          <smooth val="0"/>
        </ser>
        <ser>
          <idx val="34"/>
          <order val="34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'Oeil'!$AX$10:$AX$42</f>
            </numRef>
          </yVal>
          <smooth val="0"/>
        </ser>
        <ser>
          <idx val="35"/>
          <order val="35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'Oeil'!$AY$10:$AY$42</f>
            </numRef>
          </yVal>
          <smooth val="0"/>
        </ser>
        <ser>
          <idx val="36"/>
          <order val="36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'Oeil'!$AZ$10:$AZ$42</f>
            </numRef>
          </yVal>
          <smooth val="0"/>
        </ser>
        <ser>
          <idx val="37"/>
          <order val="37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'Oeil'!$BA$10:$BA$42</f>
            </numRef>
          </yVal>
          <smooth val="0"/>
        </ser>
        <ser>
          <idx val="38"/>
          <order val="38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'Oeil'!$BB$10:$BB$42</f>
            </numRef>
          </yVal>
          <smooth val="0"/>
        </ser>
        <ser>
          <idx val="39"/>
          <order val="39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'Oeil'!$BC$10:$BC$42</f>
            </numRef>
          </yVal>
          <smooth val="0"/>
        </ser>
        <ser>
          <idx val="40"/>
          <order val="40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'Oeil'!$BD$10:$BD$42</f>
            </numRef>
          </yVal>
          <smooth val="0"/>
        </ser>
        <ser>
          <idx val="41"/>
          <order val="41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'Oeil'!$BE$10:$BE$42</f>
            </numRef>
          </yVal>
          <smooth val="0"/>
        </ser>
        <ser>
          <idx val="42"/>
          <order val="42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'Oeil'!$BF$10:$BF$42</f>
            </numRef>
          </yVal>
          <smooth val="0"/>
        </ser>
        <ser>
          <idx val="43"/>
          <order val="43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'Oeil'!$BG$10:$BG$42</f>
            </numRef>
          </yVal>
          <smooth val="0"/>
        </ser>
        <ser>
          <idx val="44"/>
          <order val="44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'Oeil'!$BH$10:$BH$42</f>
            </numRef>
          </yVal>
          <smooth val="0"/>
        </ser>
        <ser>
          <idx val="45"/>
          <order val="45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'Oeil'!$BI$10:$BI$42</f>
            </numRef>
          </yVal>
          <smooth val="0"/>
        </ser>
        <ser>
          <idx val="46"/>
          <order val="46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'Oeil'!$BJ$10:$BJ$42</f>
            </numRef>
          </yVal>
          <smooth val="0"/>
        </ser>
        <ser>
          <idx val="47"/>
          <order val="47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'Oeil'!$BK$10:$BK$42</f>
            </numRef>
          </yVal>
          <smooth val="0"/>
        </ser>
        <ser>
          <idx val="48"/>
          <order val="48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'Oeil'!$BL$10:$BL$42</f>
            </numRef>
          </yVal>
          <smooth val="0"/>
        </ser>
        <ser>
          <idx val="49"/>
          <order val="49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'Oeil'!$BM$10:$BM$42</f>
            </numRef>
          </yVal>
          <smooth val="0"/>
        </ser>
        <ser>
          <idx val="50"/>
          <order val="50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'Oeil'!$BN$10:$BN$42</f>
            </numRef>
          </yVal>
          <smooth val="0"/>
        </ser>
        <ser>
          <idx val="51"/>
          <order val="51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'Oeil'!$BO$10:$BO$42</f>
            </numRef>
          </yVal>
          <smooth val="0"/>
        </ser>
        <ser>
          <idx val="52"/>
          <order val="52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'Oeil'!$BP$10:$BP$42</f>
            </numRef>
          </yVal>
          <smooth val="0"/>
        </ser>
        <ser>
          <idx val="53"/>
          <order val="53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'Oeil'!$BQ$10:$BQ$42</f>
            </numRef>
          </yVal>
          <smooth val="0"/>
        </ser>
        <ser>
          <idx val="54"/>
          <order val="54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'Oeil'!$BR$10:$BR$42</f>
            </numRef>
          </yVal>
          <smooth val="0"/>
        </ser>
        <ser>
          <idx val="55"/>
          <order val="55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'Oeil'!$BS$10:$BS$42</f>
            </numRef>
          </yVal>
          <smooth val="0"/>
        </ser>
        <ser>
          <idx val="56"/>
          <order val="56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'Oeil'!$BT$10:$BT$42</f>
            </numRef>
          </yVal>
          <smooth val="0"/>
        </ser>
        <ser>
          <idx val="57"/>
          <order val="57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'Oeil'!$BU$10:$BU$42</f>
            </numRef>
          </yVal>
          <smooth val="0"/>
        </ser>
        <ser>
          <idx val="58"/>
          <order val="58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'Oeil'!$BV$10:$BV$42</f>
            </numRef>
          </yVal>
          <smooth val="0"/>
        </ser>
        <ser>
          <idx val="59"/>
          <order val="59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'Oeil'!$BW$10:$BW$42</f>
            </numRef>
          </yVal>
          <smooth val="0"/>
        </ser>
        <ser>
          <idx val="60"/>
          <order val="60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'Oeil'!$BX$10:$BX$42</f>
            </numRef>
          </yVal>
          <smooth val="0"/>
        </ser>
        <ser>
          <idx val="61"/>
          <order val="61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'Oeil'!$BY$10:$BY$42</f>
            </numRef>
          </yVal>
          <smooth val="0"/>
        </ser>
        <ser>
          <idx val="62"/>
          <order val="62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'Oeil'!$BZ$10:$BZ$42</f>
            </numRef>
          </yVal>
          <smooth val="0"/>
        </ser>
        <ser>
          <idx val="63"/>
          <order val="63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'Oeil'!$CA$10:$CA$42</f>
            </numRef>
          </yVal>
          <smooth val="0"/>
        </ser>
        <ser>
          <idx val="64"/>
          <order val="64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'Oeil'!$CB$10:$CB$42</f>
            </numRef>
          </yVal>
          <smooth val="0"/>
        </ser>
        <ser>
          <idx val="65"/>
          <order val="65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'Oeil'!$CC$10:$CC$42</f>
            </numRef>
          </yVal>
          <smooth val="0"/>
        </ser>
        <ser>
          <idx val="66"/>
          <order val="66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'Oeil'!$CD$10:$CD$42</f>
            </numRef>
          </yVal>
          <smooth val="0"/>
        </ser>
        <ser>
          <idx val="67"/>
          <order val="67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'Oeil'!$CE$10:$CE$42</f>
            </numRef>
          </yVal>
          <smooth val="0"/>
        </ser>
        <ser>
          <idx val="68"/>
          <order val="68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'Oeil'!$CF$10:$CF$42</f>
            </numRef>
          </yVal>
          <smooth val="0"/>
        </ser>
        <ser>
          <idx val="69"/>
          <order val="69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'Oeil'!$CG$10:$CG$42</f>
            </numRef>
          </yVal>
          <smooth val="0"/>
        </ser>
        <ser>
          <idx val="70"/>
          <order val="70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'Oeil'!$CH$10:$CH$42</f>
            </numRef>
          </yVal>
          <smooth val="0"/>
        </ser>
        <ser>
          <idx val="71"/>
          <order val="71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'Oeil'!$CI$10:$CI$42</f>
            </numRef>
          </yVal>
          <smooth val="0"/>
        </ser>
        <ser>
          <idx val="72"/>
          <order val="72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'Oeil'!$CJ$10:$CJ$42</f>
            </numRef>
          </yVal>
          <smooth val="0"/>
        </ser>
        <ser>
          <idx val="73"/>
          <order val="73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'Oeil'!$CK$10:$CK$42</f>
            </numRef>
          </yVal>
          <smooth val="0"/>
        </ser>
        <ser>
          <idx val="74"/>
          <order val="74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'Oeil'!$CL$10:$CL$42</f>
            </numRef>
          </yVal>
          <smooth val="0"/>
        </ser>
        <ser>
          <idx val="75"/>
          <order val="75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'Oeil'!$CM$10:$CM$42</f>
            </numRef>
          </yVal>
          <smooth val="0"/>
        </ser>
        <ser>
          <idx val="76"/>
          <order val="76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'Oeil'!$CN$10:$CN$42</f>
            </numRef>
          </yVal>
          <smooth val="0"/>
        </ser>
        <ser>
          <idx val="77"/>
          <order val="77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'Oeil'!$CO$10:$CO$42</f>
            </numRef>
          </yVal>
          <smooth val="0"/>
        </ser>
        <ser>
          <idx val="78"/>
          <order val="78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'Oeil'!$CP$10:$CP$42</f>
            </numRef>
          </yVal>
          <smooth val="0"/>
        </ser>
        <ser>
          <idx val="79"/>
          <order val="79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'Oeil'!$CQ$10:$CQ$42</f>
            </numRef>
          </yVal>
          <smooth val="0"/>
        </ser>
        <ser>
          <idx val="80"/>
          <order val="80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'Oeil'!$CR$10:$CR$42</f>
            </numRef>
          </yVal>
          <smooth val="0"/>
        </ser>
        <ser>
          <idx val="81"/>
          <order val="81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'Oeil'!$CS$10:$CS$42</f>
            </numRef>
          </yVal>
          <smooth val="0"/>
        </ser>
        <ser>
          <idx val="82"/>
          <order val="82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'Oeil'!$CT$10:$CT$42</f>
            </numRef>
          </yVal>
          <smooth val="0"/>
        </ser>
        <ser>
          <idx val="83"/>
          <order val="83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'Oeil'!$CU$10:$CU$42</f>
            </numRef>
          </yVal>
          <smooth val="0"/>
        </ser>
        <ser>
          <idx val="84"/>
          <order val="84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'Oeil'!$CV$10:$CV$42</f>
            </numRef>
          </yVal>
          <smooth val="0"/>
        </ser>
        <ser>
          <idx val="85"/>
          <order val="85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'Oeil'!$CW$10:$CW$42</f>
            </numRef>
          </yVal>
          <smooth val="0"/>
        </ser>
        <ser>
          <idx val="86"/>
          <order val="86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'Oeil'!$CX$10:$CX$42</f>
            </numRef>
          </yVal>
          <smooth val="0"/>
        </ser>
        <ser>
          <idx val="87"/>
          <order val="87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'Oeil'!$CY$10:$CY$42</f>
            </numRef>
          </yVal>
          <smooth val="0"/>
        </ser>
        <ser>
          <idx val="88"/>
          <order val="88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'Oeil'!$CZ$10:$CZ$42</f>
            </numRef>
          </yVal>
          <smooth val="0"/>
        </ser>
        <ser>
          <idx val="89"/>
          <order val="89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'Oeil'!$DA$10:$DA$42</f>
            </numRef>
          </yVal>
          <smooth val="0"/>
        </ser>
        <ser>
          <idx val="90"/>
          <order val="90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'Oeil'!$DB$10:$DB$42</f>
            </numRef>
          </yVal>
          <smooth val="0"/>
        </ser>
        <ser>
          <idx val="91"/>
          <order val="91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'Oeil'!$DC$10:$DC$42</f>
            </numRef>
          </yVal>
          <smooth val="0"/>
        </ser>
        <ser>
          <idx val="92"/>
          <order val="92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'Oeil'!$DD$10:$DD$42</f>
            </numRef>
          </yVal>
          <smooth val="0"/>
        </ser>
        <ser>
          <idx val="93"/>
          <order val="93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'Oeil'!$DE$10:$DE$42</f>
            </numRef>
          </yVal>
          <smooth val="0"/>
        </ser>
        <ser>
          <idx val="94"/>
          <order val="94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'Oeil'!$DF$10:$DF$42</f>
            </numRef>
          </yVal>
          <smooth val="0"/>
        </ser>
        <ser>
          <idx val="95"/>
          <order val="95"/>
          <spPr>
            <a:ln xmlns:a="http://schemas.openxmlformats.org/drawingml/2006/main" w="952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'Oeil'!$DG$10:$DG$42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-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/ T (0 = instant d'échantillonnage)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20"/>
        <majorUnit val="0.5"/>
      </valAx>
      <valAx>
        <axId val="20"/>
        <scaling>
          <orientation val="minMax"/>
          <max val="2"/>
          <min val="-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amplitude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majorUnit val="0.5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Œil — voie Q</a:t>
            </a:r>
          </a:p>
        </rich>
      </tx>
    </title>
    <plotArea>
      <scatterChart>
        <scatterStyle val="line"/>
        <ser>
          <idx val="0"/>
          <order val="0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'Oeil'!$DI$10:$DI$42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'Oeil'!$DJ$10:$DJ$42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'Oeil'!$DK$10:$DK$42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'Oeil'!$DL$10:$DL$42</f>
            </numRef>
          </yVal>
          <smooth val="0"/>
        </ser>
        <ser>
          <idx val="4"/>
          <order val="4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'Oeil'!$DM$10:$DM$42</f>
            </numRef>
          </yVal>
          <smooth val="0"/>
        </ser>
        <ser>
          <idx val="5"/>
          <order val="5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'Oeil'!$DN$10:$DN$42</f>
            </numRef>
          </yVal>
          <smooth val="0"/>
        </ser>
        <ser>
          <idx val="6"/>
          <order val="6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'Oeil'!$DO$10:$DO$42</f>
            </numRef>
          </yVal>
          <smooth val="0"/>
        </ser>
        <ser>
          <idx val="7"/>
          <order val="7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'Oeil'!$DP$10:$DP$42</f>
            </numRef>
          </yVal>
          <smooth val="0"/>
        </ser>
        <ser>
          <idx val="8"/>
          <order val="8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'Oeil'!$DQ$10:$DQ$42</f>
            </numRef>
          </yVal>
          <smooth val="0"/>
        </ser>
        <ser>
          <idx val="9"/>
          <order val="9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'Oeil'!$DR$10:$DR$42</f>
            </numRef>
          </yVal>
          <smooth val="0"/>
        </ser>
        <ser>
          <idx val="10"/>
          <order val="10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'Oeil'!$DS$10:$DS$42</f>
            </numRef>
          </yVal>
          <smooth val="0"/>
        </ser>
        <ser>
          <idx val="11"/>
          <order val="11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'Oeil'!$DT$10:$DT$42</f>
            </numRef>
          </yVal>
          <smooth val="0"/>
        </ser>
        <ser>
          <idx val="12"/>
          <order val="12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'Oeil'!$DU$10:$DU$42</f>
            </numRef>
          </yVal>
          <smooth val="0"/>
        </ser>
        <ser>
          <idx val="13"/>
          <order val="13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'Oeil'!$DV$10:$DV$42</f>
            </numRef>
          </yVal>
          <smooth val="0"/>
        </ser>
        <ser>
          <idx val="14"/>
          <order val="14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'Oeil'!$DW$10:$DW$42</f>
            </numRef>
          </yVal>
          <smooth val="0"/>
        </ser>
        <ser>
          <idx val="15"/>
          <order val="15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'Oeil'!$DX$10:$DX$42</f>
            </numRef>
          </yVal>
          <smooth val="0"/>
        </ser>
        <ser>
          <idx val="16"/>
          <order val="16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'Oeil'!$DY$10:$DY$42</f>
            </numRef>
          </yVal>
          <smooth val="0"/>
        </ser>
        <ser>
          <idx val="17"/>
          <order val="17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'Oeil'!$DZ$10:$DZ$42</f>
            </numRef>
          </yVal>
          <smooth val="0"/>
        </ser>
        <ser>
          <idx val="18"/>
          <order val="18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'Oeil'!$EA$10:$EA$42</f>
            </numRef>
          </yVal>
          <smooth val="0"/>
        </ser>
        <ser>
          <idx val="19"/>
          <order val="19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'Oeil'!$EB$10:$EB$42</f>
            </numRef>
          </yVal>
          <smooth val="0"/>
        </ser>
        <ser>
          <idx val="20"/>
          <order val="20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'Oeil'!$EC$10:$EC$42</f>
            </numRef>
          </yVal>
          <smooth val="0"/>
        </ser>
        <ser>
          <idx val="21"/>
          <order val="21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'Oeil'!$ED$10:$ED$42</f>
            </numRef>
          </yVal>
          <smooth val="0"/>
        </ser>
        <ser>
          <idx val="22"/>
          <order val="22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'Oeil'!$EE$10:$EE$42</f>
            </numRef>
          </yVal>
          <smooth val="0"/>
        </ser>
        <ser>
          <idx val="23"/>
          <order val="23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'Oeil'!$EF$10:$EF$42</f>
            </numRef>
          </yVal>
          <smooth val="0"/>
        </ser>
        <ser>
          <idx val="24"/>
          <order val="24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'Oeil'!$EG$10:$EG$42</f>
            </numRef>
          </yVal>
          <smooth val="0"/>
        </ser>
        <ser>
          <idx val="25"/>
          <order val="25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'Oeil'!$EH$10:$EH$42</f>
            </numRef>
          </yVal>
          <smooth val="0"/>
        </ser>
        <ser>
          <idx val="26"/>
          <order val="26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'Oeil'!$EI$10:$EI$42</f>
            </numRef>
          </yVal>
          <smooth val="0"/>
        </ser>
        <ser>
          <idx val="27"/>
          <order val="27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'Oeil'!$EJ$10:$EJ$42</f>
            </numRef>
          </yVal>
          <smooth val="0"/>
        </ser>
        <ser>
          <idx val="28"/>
          <order val="28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'Oeil'!$EK$10:$EK$42</f>
            </numRef>
          </yVal>
          <smooth val="0"/>
        </ser>
        <ser>
          <idx val="29"/>
          <order val="29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'Oeil'!$EL$10:$EL$42</f>
            </numRef>
          </yVal>
          <smooth val="0"/>
        </ser>
        <ser>
          <idx val="30"/>
          <order val="30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'Oeil'!$EM$10:$EM$42</f>
            </numRef>
          </yVal>
          <smooth val="0"/>
        </ser>
        <ser>
          <idx val="31"/>
          <order val="31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'Oeil'!$EN$10:$EN$42</f>
            </numRef>
          </yVal>
          <smooth val="0"/>
        </ser>
        <ser>
          <idx val="32"/>
          <order val="32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'Oeil'!$EO$10:$EO$42</f>
            </numRef>
          </yVal>
          <smooth val="0"/>
        </ser>
        <ser>
          <idx val="33"/>
          <order val="33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'Oeil'!$EP$10:$EP$42</f>
            </numRef>
          </yVal>
          <smooth val="0"/>
        </ser>
        <ser>
          <idx val="34"/>
          <order val="34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'Oeil'!$EQ$10:$EQ$42</f>
            </numRef>
          </yVal>
          <smooth val="0"/>
        </ser>
        <ser>
          <idx val="35"/>
          <order val="35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'Oeil'!$ER$10:$ER$42</f>
            </numRef>
          </yVal>
          <smooth val="0"/>
        </ser>
        <ser>
          <idx val="36"/>
          <order val="36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'Oeil'!$ES$10:$ES$42</f>
            </numRef>
          </yVal>
          <smooth val="0"/>
        </ser>
        <ser>
          <idx val="37"/>
          <order val="37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'Oeil'!$ET$10:$ET$42</f>
            </numRef>
          </yVal>
          <smooth val="0"/>
        </ser>
        <ser>
          <idx val="38"/>
          <order val="38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'Oeil'!$EU$10:$EU$42</f>
            </numRef>
          </yVal>
          <smooth val="0"/>
        </ser>
        <ser>
          <idx val="39"/>
          <order val="39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'Oeil'!$EV$10:$EV$42</f>
            </numRef>
          </yVal>
          <smooth val="0"/>
        </ser>
        <ser>
          <idx val="40"/>
          <order val="40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'Oeil'!$EW$10:$EW$42</f>
            </numRef>
          </yVal>
          <smooth val="0"/>
        </ser>
        <ser>
          <idx val="41"/>
          <order val="41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'Oeil'!$EX$10:$EX$42</f>
            </numRef>
          </yVal>
          <smooth val="0"/>
        </ser>
        <ser>
          <idx val="42"/>
          <order val="42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'Oeil'!$EY$10:$EY$42</f>
            </numRef>
          </yVal>
          <smooth val="0"/>
        </ser>
        <ser>
          <idx val="43"/>
          <order val="43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'Oeil'!$EZ$10:$EZ$42</f>
            </numRef>
          </yVal>
          <smooth val="0"/>
        </ser>
        <ser>
          <idx val="44"/>
          <order val="44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'Oeil'!$FA$10:$FA$42</f>
            </numRef>
          </yVal>
          <smooth val="0"/>
        </ser>
        <ser>
          <idx val="45"/>
          <order val="45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'Oeil'!$FB$10:$FB$42</f>
            </numRef>
          </yVal>
          <smooth val="0"/>
        </ser>
        <ser>
          <idx val="46"/>
          <order val="46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'Oeil'!$FC$10:$FC$42</f>
            </numRef>
          </yVal>
          <smooth val="0"/>
        </ser>
        <ser>
          <idx val="47"/>
          <order val="47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'Oeil'!$FD$10:$FD$42</f>
            </numRef>
          </yVal>
          <smooth val="0"/>
        </ser>
        <ser>
          <idx val="48"/>
          <order val="48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'Oeil'!$FE$10:$FE$42</f>
            </numRef>
          </yVal>
          <smooth val="0"/>
        </ser>
        <ser>
          <idx val="49"/>
          <order val="49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'Oeil'!$FF$10:$FF$42</f>
            </numRef>
          </yVal>
          <smooth val="0"/>
        </ser>
        <ser>
          <idx val="50"/>
          <order val="50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'Oeil'!$FG$10:$FG$42</f>
            </numRef>
          </yVal>
          <smooth val="0"/>
        </ser>
        <ser>
          <idx val="51"/>
          <order val="51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'Oeil'!$FH$10:$FH$42</f>
            </numRef>
          </yVal>
          <smooth val="0"/>
        </ser>
        <ser>
          <idx val="52"/>
          <order val="52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'Oeil'!$FI$10:$FI$42</f>
            </numRef>
          </yVal>
          <smooth val="0"/>
        </ser>
        <ser>
          <idx val="53"/>
          <order val="53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'Oeil'!$FJ$10:$FJ$42</f>
            </numRef>
          </yVal>
          <smooth val="0"/>
        </ser>
        <ser>
          <idx val="54"/>
          <order val="54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'Oeil'!$FK$10:$FK$42</f>
            </numRef>
          </yVal>
          <smooth val="0"/>
        </ser>
        <ser>
          <idx val="55"/>
          <order val="55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'Oeil'!$FL$10:$FL$42</f>
            </numRef>
          </yVal>
          <smooth val="0"/>
        </ser>
        <ser>
          <idx val="56"/>
          <order val="56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'Oeil'!$FM$10:$FM$42</f>
            </numRef>
          </yVal>
          <smooth val="0"/>
        </ser>
        <ser>
          <idx val="57"/>
          <order val="57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'Oeil'!$FN$10:$FN$42</f>
            </numRef>
          </yVal>
          <smooth val="0"/>
        </ser>
        <ser>
          <idx val="58"/>
          <order val="58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'Oeil'!$FO$10:$FO$42</f>
            </numRef>
          </yVal>
          <smooth val="0"/>
        </ser>
        <ser>
          <idx val="59"/>
          <order val="59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'Oeil'!$FP$10:$FP$42</f>
            </numRef>
          </yVal>
          <smooth val="0"/>
        </ser>
        <ser>
          <idx val="60"/>
          <order val="60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'Oeil'!$FQ$10:$FQ$42</f>
            </numRef>
          </yVal>
          <smooth val="0"/>
        </ser>
        <ser>
          <idx val="61"/>
          <order val="61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'Oeil'!$FR$10:$FR$42</f>
            </numRef>
          </yVal>
          <smooth val="0"/>
        </ser>
        <ser>
          <idx val="62"/>
          <order val="62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'Oeil'!$FS$10:$FS$42</f>
            </numRef>
          </yVal>
          <smooth val="0"/>
        </ser>
        <ser>
          <idx val="63"/>
          <order val="63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'Oeil'!$FT$10:$FT$42</f>
            </numRef>
          </yVal>
          <smooth val="0"/>
        </ser>
        <ser>
          <idx val="64"/>
          <order val="64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'Oeil'!$FU$10:$FU$42</f>
            </numRef>
          </yVal>
          <smooth val="0"/>
        </ser>
        <ser>
          <idx val="65"/>
          <order val="65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'Oeil'!$FV$10:$FV$42</f>
            </numRef>
          </yVal>
          <smooth val="0"/>
        </ser>
        <ser>
          <idx val="66"/>
          <order val="66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'Oeil'!$FW$10:$FW$42</f>
            </numRef>
          </yVal>
          <smooth val="0"/>
        </ser>
        <ser>
          <idx val="67"/>
          <order val="67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'Oeil'!$FX$10:$FX$42</f>
            </numRef>
          </yVal>
          <smooth val="0"/>
        </ser>
        <ser>
          <idx val="68"/>
          <order val="68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'Oeil'!$FY$10:$FY$42</f>
            </numRef>
          </yVal>
          <smooth val="0"/>
        </ser>
        <ser>
          <idx val="69"/>
          <order val="69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'Oeil'!$FZ$10:$FZ$42</f>
            </numRef>
          </yVal>
          <smooth val="0"/>
        </ser>
        <ser>
          <idx val="70"/>
          <order val="70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'Oeil'!$GA$10:$GA$42</f>
            </numRef>
          </yVal>
          <smooth val="0"/>
        </ser>
        <ser>
          <idx val="71"/>
          <order val="71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'Oeil'!$GB$10:$GB$42</f>
            </numRef>
          </yVal>
          <smooth val="0"/>
        </ser>
        <ser>
          <idx val="72"/>
          <order val="72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'Oeil'!$GC$10:$GC$42</f>
            </numRef>
          </yVal>
          <smooth val="0"/>
        </ser>
        <ser>
          <idx val="73"/>
          <order val="73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'Oeil'!$GD$10:$GD$42</f>
            </numRef>
          </yVal>
          <smooth val="0"/>
        </ser>
        <ser>
          <idx val="74"/>
          <order val="74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'Oeil'!$GE$10:$GE$42</f>
            </numRef>
          </yVal>
          <smooth val="0"/>
        </ser>
        <ser>
          <idx val="75"/>
          <order val="75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'Oeil'!$GF$10:$GF$42</f>
            </numRef>
          </yVal>
          <smooth val="0"/>
        </ser>
        <ser>
          <idx val="76"/>
          <order val="76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'Oeil'!$GG$10:$GG$42</f>
            </numRef>
          </yVal>
          <smooth val="0"/>
        </ser>
        <ser>
          <idx val="77"/>
          <order val="77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'Oeil'!$GH$10:$GH$42</f>
            </numRef>
          </yVal>
          <smooth val="0"/>
        </ser>
        <ser>
          <idx val="78"/>
          <order val="78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'Oeil'!$GI$10:$GI$42</f>
            </numRef>
          </yVal>
          <smooth val="0"/>
        </ser>
        <ser>
          <idx val="79"/>
          <order val="79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'Oeil'!$GJ$10:$GJ$42</f>
            </numRef>
          </yVal>
          <smooth val="0"/>
        </ser>
        <ser>
          <idx val="80"/>
          <order val="80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'Oeil'!$GK$10:$GK$42</f>
            </numRef>
          </yVal>
          <smooth val="0"/>
        </ser>
        <ser>
          <idx val="81"/>
          <order val="81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'Oeil'!$GL$10:$GL$42</f>
            </numRef>
          </yVal>
          <smooth val="0"/>
        </ser>
        <ser>
          <idx val="82"/>
          <order val="82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'Oeil'!$GM$10:$GM$42</f>
            </numRef>
          </yVal>
          <smooth val="0"/>
        </ser>
        <ser>
          <idx val="83"/>
          <order val="83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'Oeil'!$GN$10:$GN$42</f>
            </numRef>
          </yVal>
          <smooth val="0"/>
        </ser>
        <ser>
          <idx val="84"/>
          <order val="84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'Oeil'!$GO$10:$GO$42</f>
            </numRef>
          </yVal>
          <smooth val="0"/>
        </ser>
        <ser>
          <idx val="85"/>
          <order val="85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'Oeil'!$GP$10:$GP$42</f>
            </numRef>
          </yVal>
          <smooth val="0"/>
        </ser>
        <ser>
          <idx val="86"/>
          <order val="86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'Oeil'!$GQ$10:$GQ$42</f>
            </numRef>
          </yVal>
          <smooth val="0"/>
        </ser>
        <ser>
          <idx val="87"/>
          <order val="87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'Oeil'!$GR$10:$GR$42</f>
            </numRef>
          </yVal>
          <smooth val="0"/>
        </ser>
        <ser>
          <idx val="88"/>
          <order val="88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'Oeil'!$GS$10:$GS$42</f>
            </numRef>
          </yVal>
          <smooth val="0"/>
        </ser>
        <ser>
          <idx val="89"/>
          <order val="89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'Oeil'!$GT$10:$GT$42</f>
            </numRef>
          </yVal>
          <smooth val="0"/>
        </ser>
        <ser>
          <idx val="90"/>
          <order val="90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'Oeil'!$GU$10:$GU$42</f>
            </numRef>
          </yVal>
          <smooth val="0"/>
        </ser>
        <ser>
          <idx val="91"/>
          <order val="91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'Oeil'!$GV$10:$GV$42</f>
            </numRef>
          </yVal>
          <smooth val="0"/>
        </ser>
        <ser>
          <idx val="92"/>
          <order val="92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'Oeil'!$GW$10:$GW$42</f>
            </numRef>
          </yVal>
          <smooth val="0"/>
        </ser>
        <ser>
          <idx val="93"/>
          <order val="93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'Oeil'!$GX$10:$GX$42</f>
            </numRef>
          </yVal>
          <smooth val="0"/>
        </ser>
        <ser>
          <idx val="94"/>
          <order val="94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'Oeil'!$GY$10:$GY$42</f>
            </numRef>
          </yVal>
          <smooth val="0"/>
        </ser>
        <ser>
          <idx val="95"/>
          <order val="95"/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'Oeil'!$B$10:$B$42</f>
            </numRef>
          </xVal>
          <yVal>
            <numRef>
              <f>'Oeil'!$GZ$10:$GZ$42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-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/ T (0 = instant d'échantillonnage)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20"/>
        <majorUnit val="0.5"/>
      </valAx>
      <valAx>
        <axId val="20"/>
        <scaling>
          <orientation val="minMax"/>
          <max val="2"/>
          <min val="-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amplitude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majorUnit val="0.5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864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864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32</row>
      <rowOff>0</rowOff>
    </from>
    <ext cx="864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21</col>
      <colOff>0</colOff>
      <row>2</row>
      <rowOff>0</rowOff>
    </from>
    <ext cx="576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</col>
      <colOff>0</colOff>
      <row>54</row>
      <rowOff>0</rowOff>
    </from>
    <ext cx="540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16</col>
      <colOff>0</colOff>
      <row>54</row>
      <rowOff>0</rowOff>
    </from>
    <ext cx="540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13" customWidth="1" min="4" max="4"/>
    <col width="13" customWidth="1" min="5" max="5"/>
    <col width="2" customWidth="1" min="6" max="6"/>
  </cols>
  <sheetData>
    <row r="1">
      <c r="B1" s="1" t="inlineStr">
        <is>
          <t>Modulations numériques — générateur de signaux</t>
        </is>
      </c>
    </row>
    <row r="2">
      <c r="B2" s="2" t="inlineStr">
        <is>
          <t>Cellules jaunes = paramètres à modifier. Tout le reste se recalcule.</t>
        </is>
      </c>
    </row>
    <row r="3">
      <c r="B3" s="3" t="inlineStr">
        <is>
          <t>ENTRÉES</t>
        </is>
      </c>
    </row>
    <row r="4">
      <c r="B4" s="4" t="inlineStr">
        <is>
          <t>Modulation</t>
        </is>
      </c>
      <c r="C4" s="5" t="inlineStr">
        <is>
          <t>16-QAM</t>
        </is>
      </c>
    </row>
    <row r="5">
      <c r="B5" s="4" t="inlineStr">
        <is>
          <t>Message à transmettre</t>
        </is>
      </c>
      <c r="C5" s="6" t="inlineStr">
        <is>
          <t>25/12</t>
        </is>
      </c>
    </row>
    <row r="6">
      <c r="B6" s="4" t="inlineStr">
        <is>
          <t>Codage source</t>
        </is>
      </c>
      <c r="C6" s="5" t="inlineStr">
        <is>
          <t>ASCII (8 bits/caractère)</t>
        </is>
      </c>
    </row>
    <row r="7">
      <c r="B7" s="4" t="inlineStr">
        <is>
          <t>Cycles de porteuse par bit</t>
        </is>
      </c>
      <c r="C7" s="5" t="n">
        <v>2</v>
      </c>
    </row>
    <row r="8">
      <c r="B8" s="4" t="inlineStr">
        <is>
          <t>Protocole (16-QAM uniquement)</t>
        </is>
      </c>
      <c r="C8" s="5" t="inlineStr">
        <is>
          <t>IEEE 802.11 (Wi-Fi)</t>
        </is>
      </c>
    </row>
    <row r="9">
      <c r="B9" s="3" t="inlineStr">
        <is>
          <t>RÉSULTATS</t>
        </is>
      </c>
    </row>
    <row r="10">
      <c r="B10" s="7" t="inlineStr">
        <is>
          <t>Bits par symbole  k</t>
        </is>
      </c>
      <c r="C10" s="8">
        <f>Constellations!F6</f>
        <v/>
      </c>
    </row>
    <row r="11">
      <c r="B11" s="7" t="inlineStr">
        <is>
          <t>Ordre de modulation  M = 2^k</t>
        </is>
      </c>
      <c r="C11" s="8">
        <f>2^C10</f>
        <v/>
      </c>
    </row>
    <row r="12">
      <c r="B12" s="7" t="inlineStr">
        <is>
          <t>Nombre de bits utiles</t>
        </is>
      </c>
      <c r="C12" s="8">
        <f>Bits!E3</f>
        <v/>
      </c>
    </row>
    <row r="13">
      <c r="B13" s="7" t="inlineStr">
        <is>
          <t>Bits de bourrage (0)</t>
        </is>
      </c>
      <c r="C13" s="8">
        <f>C14*C10-C12</f>
        <v/>
      </c>
    </row>
    <row r="14">
      <c r="B14" s="7" t="inlineStr">
        <is>
          <t>Nombre de symboles</t>
        </is>
      </c>
      <c r="C14" s="8">
        <f>IF(C12=0,0,ROUNDUP(C12/C10,0))</f>
        <v/>
      </c>
    </row>
    <row r="15">
      <c r="B15" s="7" t="inlineStr">
        <is>
          <t>Facteur de normalisation (Es = 1)</t>
        </is>
      </c>
      <c r="C15" s="9">
        <f>Constellations!F9</f>
        <v/>
      </c>
    </row>
    <row r="16">
      <c r="B16" s="7" t="inlineStr">
        <is>
          <t>Durée du message (en Tb)</t>
        </is>
      </c>
      <c r="C16" s="8">
        <f>C14*C10</f>
        <v/>
      </c>
    </row>
    <row r="17">
      <c r="B17" s="7" t="inlineStr">
        <is>
          <t>Échantillons par cycle de porteuse</t>
        </is>
      </c>
      <c r="C17" s="10">
        <f>IF(C16=0,0,2000/(C16*C7))</f>
        <v/>
      </c>
    </row>
    <row r="18"/>
    <row r="19">
      <c r="B19" s="4" t="inlineStr">
        <is>
          <t>Train binaire (groupé par symbole)</t>
        </is>
      </c>
    </row>
    <row r="20">
      <c r="B20" s="11">
        <f>Symboles!K101</f>
        <v/>
      </c>
    </row>
    <row r="21"/>
    <row r="22">
      <c r="B22" s="4" t="inlineStr">
        <is>
          <t>Suite des symboles (valeurs décimales)</t>
        </is>
      </c>
    </row>
    <row r="23">
      <c r="B23" s="11">
        <f>Symboles!L101</f>
        <v/>
      </c>
    </row>
    <row r="24"/>
    <row r="25"/>
    <row r="26">
      <c r="B26" s="4" t="inlineStr">
        <is>
          <t>Contrôle</t>
        </is>
      </c>
    </row>
    <row r="27">
      <c r="B27" s="12">
        <f>IF(LEN(C5)=0,"⚠ Saisir un message",IF(AND(Bits!B6&lt;&gt;3,LEN(C5)&gt;12),"⚠ Message tronqué à 12 caractères",IF(AND(Bits!B6=2,Bits!B7=0),"⚠ BCD : aucun chiffre dans le message",IF(AND(Bits!B6=3,Bits!E4&gt;0),"⚠ Binaire : "&amp;Bits!E4&amp;" caractère(s) non binaire(s) lus comme 0",IF(AND(Bits!B6=3,LEN(Bits!B8)&gt;96),"⚠ Binaire : tronqué à 96 bits",IF(C17&lt;8,"⚠ Trop peu d'échantillons par cycle : réduire les cycles/bit","✔ OK — "&amp;C12&amp;" bits → "&amp;C14&amp;" symboles "&amp;C4&amp;IF(C4="16-QAM"," — "&amp;C8,"")))))))</f>
        <v/>
      </c>
    </row>
    <row r="28"/>
    <row r="29"/>
    <row r="30">
      <c r="B30" s="3" t="inlineStr">
        <is>
          <t>MAPPING DES SYMBOLES ÉMIS</t>
        </is>
      </c>
    </row>
    <row r="31">
      <c r="B31" s="13" t="inlineStr">
        <is>
          <t>Valeur</t>
        </is>
      </c>
      <c r="C31" s="13" t="inlineStr">
        <is>
          <t>Bits</t>
        </is>
      </c>
      <c r="D31" s="13" t="inlineStr">
        <is>
          <t>I brut</t>
        </is>
      </c>
      <c r="E31" s="13" t="inlineStr">
        <is>
          <t>Q brut</t>
        </is>
      </c>
    </row>
    <row r="32">
      <c r="B32" s="14">
        <f>IF(Constellations!N14&lt;Constellations!$F$7,Constellations!N14,"")</f>
        <v/>
      </c>
      <c r="C32" s="14">
        <f>Constellations!O14</f>
        <v/>
      </c>
      <c r="D32" s="14">
        <f>IF(B32="","",Constellations!P14)</f>
        <v/>
      </c>
      <c r="E32" s="14">
        <f>IF(B32="","",Constellations!Q14)</f>
        <v/>
      </c>
    </row>
    <row r="33">
      <c r="B33" s="14">
        <f>IF(Constellations!N15&lt;Constellations!$F$7,Constellations!N15,"")</f>
        <v/>
      </c>
      <c r="C33" s="14">
        <f>Constellations!O15</f>
        <v/>
      </c>
      <c r="D33" s="14">
        <f>IF(B33="","",Constellations!P15)</f>
        <v/>
      </c>
      <c r="E33" s="14">
        <f>IF(B33="","",Constellations!Q15)</f>
        <v/>
      </c>
    </row>
    <row r="34">
      <c r="B34" s="14">
        <f>IF(Constellations!N16&lt;Constellations!$F$7,Constellations!N16,"")</f>
        <v/>
      </c>
      <c r="C34" s="14">
        <f>Constellations!O16</f>
        <v/>
      </c>
      <c r="D34" s="14">
        <f>IF(B34="","",Constellations!P16)</f>
        <v/>
      </c>
      <c r="E34" s="14">
        <f>IF(B34="","",Constellations!Q16)</f>
        <v/>
      </c>
    </row>
    <row r="35">
      <c r="B35" s="14">
        <f>IF(Constellations!N17&lt;Constellations!$F$7,Constellations!N17,"")</f>
        <v/>
      </c>
      <c r="C35" s="14">
        <f>Constellations!O17</f>
        <v/>
      </c>
      <c r="D35" s="14">
        <f>IF(B35="","",Constellations!P17)</f>
        <v/>
      </c>
      <c r="E35" s="14">
        <f>IF(B35="","",Constellations!Q17)</f>
        <v/>
      </c>
    </row>
    <row r="36">
      <c r="B36" s="14">
        <f>IF(Constellations!N18&lt;Constellations!$F$7,Constellations!N18,"")</f>
        <v/>
      </c>
      <c r="C36" s="14">
        <f>Constellations!O18</f>
        <v/>
      </c>
      <c r="D36" s="14">
        <f>IF(B36="","",Constellations!P18)</f>
        <v/>
      </c>
      <c r="E36" s="14">
        <f>IF(B36="","",Constellations!Q18)</f>
        <v/>
      </c>
    </row>
    <row r="37">
      <c r="B37" s="14">
        <f>IF(Constellations!N19&lt;Constellations!$F$7,Constellations!N19,"")</f>
        <v/>
      </c>
      <c r="C37" s="14">
        <f>Constellations!O19</f>
        <v/>
      </c>
      <c r="D37" s="14">
        <f>IF(B37="","",Constellations!P19)</f>
        <v/>
      </c>
      <c r="E37" s="14">
        <f>IF(B37="","",Constellations!Q19)</f>
        <v/>
      </c>
    </row>
    <row r="38">
      <c r="B38" s="14">
        <f>IF(Constellations!N20&lt;Constellations!$F$7,Constellations!N20,"")</f>
        <v/>
      </c>
      <c r="C38" s="14">
        <f>Constellations!O20</f>
        <v/>
      </c>
      <c r="D38" s="14">
        <f>IF(B38="","",Constellations!P20)</f>
        <v/>
      </c>
      <c r="E38" s="14">
        <f>IF(B38="","",Constellations!Q20)</f>
        <v/>
      </c>
    </row>
    <row r="39">
      <c r="B39" s="14">
        <f>IF(Constellations!N21&lt;Constellations!$F$7,Constellations!N21,"")</f>
        <v/>
      </c>
      <c r="C39" s="14">
        <f>Constellations!O21</f>
        <v/>
      </c>
      <c r="D39" s="14">
        <f>IF(B39="","",Constellations!P21)</f>
        <v/>
      </c>
      <c r="E39" s="14">
        <f>IF(B39="","",Constellations!Q21)</f>
        <v/>
      </c>
    </row>
    <row r="40">
      <c r="B40" s="14">
        <f>IF(Constellations!N22&lt;Constellations!$F$7,Constellations!N22,"")</f>
        <v/>
      </c>
      <c r="C40" s="14">
        <f>Constellations!O22</f>
        <v/>
      </c>
      <c r="D40" s="14">
        <f>IF(B40="","",Constellations!P22)</f>
        <v/>
      </c>
      <c r="E40" s="14">
        <f>IF(B40="","",Constellations!Q22)</f>
        <v/>
      </c>
    </row>
    <row r="41">
      <c r="B41" s="14">
        <f>IF(Constellations!N23&lt;Constellations!$F$7,Constellations!N23,"")</f>
        <v/>
      </c>
      <c r="C41" s="14">
        <f>Constellations!O23</f>
        <v/>
      </c>
      <c r="D41" s="14">
        <f>IF(B41="","",Constellations!P23)</f>
        <v/>
      </c>
      <c r="E41" s="14">
        <f>IF(B41="","",Constellations!Q23)</f>
        <v/>
      </c>
    </row>
    <row r="42">
      <c r="B42" s="14">
        <f>IF(Constellations!N24&lt;Constellations!$F$7,Constellations!N24,"")</f>
        <v/>
      </c>
      <c r="C42" s="14">
        <f>Constellations!O24</f>
        <v/>
      </c>
      <c r="D42" s="14">
        <f>IF(B42="","",Constellations!P24)</f>
        <v/>
      </c>
      <c r="E42" s="14">
        <f>IF(B42="","",Constellations!Q24)</f>
        <v/>
      </c>
    </row>
    <row r="43">
      <c r="B43" s="14">
        <f>IF(Constellations!N25&lt;Constellations!$F$7,Constellations!N25,"")</f>
        <v/>
      </c>
      <c r="C43" s="14">
        <f>Constellations!O25</f>
        <v/>
      </c>
      <c r="D43" s="14">
        <f>IF(B43="","",Constellations!P25)</f>
        <v/>
      </c>
      <c r="E43" s="14">
        <f>IF(B43="","",Constellations!Q25)</f>
        <v/>
      </c>
    </row>
    <row r="44">
      <c r="B44" s="14">
        <f>IF(Constellations!N26&lt;Constellations!$F$7,Constellations!N26,"")</f>
        <v/>
      </c>
      <c r="C44" s="14">
        <f>Constellations!O26</f>
        <v/>
      </c>
      <c r="D44" s="14">
        <f>IF(B44="","",Constellations!P26)</f>
        <v/>
      </c>
      <c r="E44" s="14">
        <f>IF(B44="","",Constellations!Q26)</f>
        <v/>
      </c>
    </row>
    <row r="45">
      <c r="B45" s="14">
        <f>IF(Constellations!N27&lt;Constellations!$F$7,Constellations!N27,"")</f>
        <v/>
      </c>
      <c r="C45" s="14">
        <f>Constellations!O27</f>
        <v/>
      </c>
      <c r="D45" s="14">
        <f>IF(B45="","",Constellations!P27)</f>
        <v/>
      </c>
      <c r="E45" s="14">
        <f>IF(B45="","",Constellations!Q27)</f>
        <v/>
      </c>
    </row>
    <row r="46">
      <c r="B46" s="14">
        <f>IF(Constellations!N28&lt;Constellations!$F$7,Constellations!N28,"")</f>
        <v/>
      </c>
      <c r="C46" s="14">
        <f>Constellations!O28</f>
        <v/>
      </c>
      <c r="D46" s="14">
        <f>IF(B46="","",Constellations!P28)</f>
        <v/>
      </c>
      <c r="E46" s="14">
        <f>IF(B46="","",Constellations!Q28)</f>
        <v/>
      </c>
    </row>
    <row r="47">
      <c r="B47" s="14">
        <f>IF(Constellations!N29&lt;Constellations!$F$7,Constellations!N29,"")</f>
        <v/>
      </c>
      <c r="C47" s="14">
        <f>Constellations!O29</f>
        <v/>
      </c>
      <c r="D47" s="14">
        <f>IF(B47="","",Constellations!P29)</f>
        <v/>
      </c>
      <c r="E47" s="14">
        <f>IF(B47="","",Constellations!Q29)</f>
        <v/>
      </c>
    </row>
    <row r="48">
      <c r="B48" s="14">
        <f>IF(Constellations!N30&lt;Constellations!$F$7,Constellations!N30,"")</f>
        <v/>
      </c>
      <c r="C48" s="14">
        <f>Constellations!O30</f>
        <v/>
      </c>
      <c r="D48" s="14">
        <f>IF(B48="","",Constellations!P30)</f>
        <v/>
      </c>
      <c r="E48" s="14">
        <f>IF(B48="","",Constellations!Q30)</f>
        <v/>
      </c>
    </row>
    <row r="49">
      <c r="B49" s="14">
        <f>IF(Constellations!N31&lt;Constellations!$F$7,Constellations!N31,"")</f>
        <v/>
      </c>
      <c r="C49" s="14">
        <f>Constellations!O31</f>
        <v/>
      </c>
      <c r="D49" s="14">
        <f>IF(B49="","",Constellations!P31)</f>
        <v/>
      </c>
      <c r="E49" s="14">
        <f>IF(B49="","",Constellations!Q31)</f>
        <v/>
      </c>
    </row>
    <row r="50">
      <c r="B50" s="14">
        <f>IF(Constellations!N32&lt;Constellations!$F$7,Constellations!N32,"")</f>
        <v/>
      </c>
      <c r="C50" s="14">
        <f>Constellations!O32</f>
        <v/>
      </c>
      <c r="D50" s="14">
        <f>IF(B50="","",Constellations!P32)</f>
        <v/>
      </c>
      <c r="E50" s="14">
        <f>IF(B50="","",Constellations!Q32)</f>
        <v/>
      </c>
      <c r="G50" s="3" t="inlineStr">
        <is>
          <t>DIAGRAMME DE L'ŒIL (bande de base après filtre de mise en forme)</t>
        </is>
      </c>
    </row>
    <row r="51">
      <c r="B51" s="14">
        <f>IF(Constellations!N33&lt;Constellations!$F$7,Constellations!N33,"")</f>
        <v/>
      </c>
      <c r="C51" s="14">
        <f>Constellations!O33</f>
        <v/>
      </c>
      <c r="D51" s="14">
        <f>IF(B51="","",Constellations!P33)</f>
        <v/>
      </c>
      <c r="E51" s="14">
        <f>IF(B51="","",Constellations!Q33)</f>
        <v/>
      </c>
      <c r="G51" s="4" t="inlineStr">
        <is>
          <t>Filtre de mise en forme</t>
        </is>
      </c>
      <c r="L51" s="5" t="inlineStr">
        <is>
          <t>Cosinus surélevé</t>
        </is>
      </c>
      <c r="P51" s="15" t="inlineStr">
        <is>
          <t>Bruit tiré au hasard : appuyer sur F9 pour un nouveau tirage. Échelle normalisée (Es = 1). Astuce : un message plus long (ou le codage Binaire direct) donne un œil plus fourni.</t>
        </is>
      </c>
    </row>
    <row r="52">
      <c r="B52" s="14">
        <f>IF(Constellations!N34&lt;Constellations!$F$7,Constellations!N34,"")</f>
        <v/>
      </c>
      <c r="C52" s="14">
        <f>Constellations!O34</f>
        <v/>
      </c>
      <c r="D52" s="14">
        <f>IF(B52="","",Constellations!P34)</f>
        <v/>
      </c>
      <c r="E52" s="14">
        <f>IF(B52="","",Constellations!Q34)</f>
        <v/>
      </c>
      <c r="G52" s="4" t="inlineStr">
        <is>
          <t>Roll-off α (0 à 1)</t>
        </is>
      </c>
      <c r="L52" s="5" t="n">
        <v>0.35</v>
      </c>
    </row>
    <row r="53">
      <c r="B53" s="14">
        <f>IF(Constellations!N35&lt;Constellations!$F$7,Constellations!N35,"")</f>
        <v/>
      </c>
      <c r="C53" s="14">
        <f>Constellations!O35</f>
        <v/>
      </c>
      <c r="D53" s="14">
        <f>IF(B53="","",Constellations!P35)</f>
        <v/>
      </c>
      <c r="E53" s="14">
        <f>IF(B53="","",Constellations!Q35)</f>
        <v/>
      </c>
      <c r="G53" s="4" t="inlineStr">
        <is>
          <t>Bruit σ par voie (0 = sans bruit)</t>
        </is>
      </c>
      <c r="L53" s="5" t="n">
        <v>0</v>
      </c>
    </row>
    <row r="54">
      <c r="B54" s="14">
        <f>IF(Constellations!N36&lt;Constellations!$F$7,Constellations!N36,"")</f>
        <v/>
      </c>
      <c r="C54" s="14">
        <f>Constellations!O36</f>
        <v/>
      </c>
      <c r="D54" s="14">
        <f>IF(B54="","",Constellations!P36)</f>
        <v/>
      </c>
      <c r="E54" s="14">
        <f>IF(B54="","",Constellations!Q36)</f>
        <v/>
      </c>
    </row>
    <row r="55">
      <c r="B55" s="14">
        <f>IF(Constellations!N37&lt;Constellations!$F$7,Constellations!N37,"")</f>
        <v/>
      </c>
      <c r="C55" s="14">
        <f>Constellations!O37</f>
        <v/>
      </c>
      <c r="D55" s="14">
        <f>IF(B55="","",Constellations!P37)</f>
        <v/>
      </c>
      <c r="E55" s="14">
        <f>IF(B55="","",Constellations!Q37)</f>
        <v/>
      </c>
    </row>
    <row r="56">
      <c r="B56" s="14">
        <f>IF(Constellations!N38&lt;Constellations!$F$7,Constellations!N38,"")</f>
        <v/>
      </c>
      <c r="C56" s="14">
        <f>Constellations!O38</f>
        <v/>
      </c>
      <c r="D56" s="14">
        <f>IF(B56="","",Constellations!P38)</f>
        <v/>
      </c>
      <c r="E56" s="14">
        <f>IF(B56="","",Constellations!Q38)</f>
        <v/>
      </c>
    </row>
    <row r="57">
      <c r="B57" s="14">
        <f>IF(Constellations!N39&lt;Constellations!$F$7,Constellations!N39,"")</f>
        <v/>
      </c>
      <c r="C57" s="14">
        <f>Constellations!O39</f>
        <v/>
      </c>
      <c r="D57" s="14">
        <f>IF(B57="","",Constellations!P39)</f>
        <v/>
      </c>
      <c r="E57" s="14">
        <f>IF(B57="","",Constellations!Q39)</f>
        <v/>
      </c>
    </row>
    <row r="58">
      <c r="B58" s="14">
        <f>IF(Constellations!N40&lt;Constellations!$F$7,Constellations!N40,"")</f>
        <v/>
      </c>
      <c r="C58" s="14">
        <f>Constellations!O40</f>
        <v/>
      </c>
      <c r="D58" s="14">
        <f>IF(B58="","",Constellations!P40)</f>
        <v/>
      </c>
      <c r="E58" s="14">
        <f>IF(B58="","",Constellations!Q40)</f>
        <v/>
      </c>
    </row>
    <row r="59">
      <c r="B59" s="14">
        <f>IF(Constellations!N41&lt;Constellations!$F$7,Constellations!N41,"")</f>
        <v/>
      </c>
      <c r="C59" s="14">
        <f>Constellations!O41</f>
        <v/>
      </c>
      <c r="D59" s="14">
        <f>IF(B59="","",Constellations!P41)</f>
        <v/>
      </c>
      <c r="E59" s="14">
        <f>IF(B59="","",Constellations!Q41)</f>
        <v/>
      </c>
    </row>
    <row r="60">
      <c r="B60" s="14">
        <f>IF(Constellations!N42&lt;Constellations!$F$7,Constellations!N42,"")</f>
        <v/>
      </c>
      <c r="C60" s="14">
        <f>Constellations!O42</f>
        <v/>
      </c>
      <c r="D60" s="14">
        <f>IF(B60="","",Constellations!P42)</f>
        <v/>
      </c>
      <c r="E60" s="14">
        <f>IF(B60="","",Constellations!Q42)</f>
        <v/>
      </c>
    </row>
    <row r="61">
      <c r="B61" s="14">
        <f>IF(Constellations!N43&lt;Constellations!$F$7,Constellations!N43,"")</f>
        <v/>
      </c>
      <c r="C61" s="14">
        <f>Constellations!O43</f>
        <v/>
      </c>
      <c r="D61" s="14">
        <f>IF(B61="","",Constellations!P43)</f>
        <v/>
      </c>
      <c r="E61" s="14">
        <f>IF(B61="","",Constellations!Q43)</f>
        <v/>
      </c>
    </row>
    <row r="62">
      <c r="B62" s="14">
        <f>IF(Constellations!N44&lt;Constellations!$F$7,Constellations!N44,"")</f>
        <v/>
      </c>
      <c r="C62" s="14">
        <f>Constellations!O44</f>
        <v/>
      </c>
      <c r="D62" s="14">
        <f>IF(B62="","",Constellations!P44)</f>
        <v/>
      </c>
      <c r="E62" s="14">
        <f>IF(B62="","",Constellations!Q44)</f>
        <v/>
      </c>
    </row>
    <row r="63">
      <c r="B63" s="14">
        <f>IF(Constellations!N45&lt;Constellations!$F$7,Constellations!N45,"")</f>
        <v/>
      </c>
      <c r="C63" s="14">
        <f>Constellations!O45</f>
        <v/>
      </c>
      <c r="D63" s="14">
        <f>IF(B63="","",Constellations!P45)</f>
        <v/>
      </c>
      <c r="E63" s="14">
        <f>IF(B63="","",Constellations!Q45)</f>
        <v/>
      </c>
    </row>
    <row r="64">
      <c r="B64" s="16" t="inlineStr">
        <is>
          <t>Lignes orange = symboles réellement émis par le message</t>
        </is>
      </c>
    </row>
  </sheetData>
  <mergeCells count="32">
    <mergeCell ref="C16:E16"/>
    <mergeCell ref="B9:E9"/>
    <mergeCell ref="G52:K52"/>
    <mergeCell ref="B27:E28"/>
    <mergeCell ref="P51:T53"/>
    <mergeCell ref="B30:E30"/>
    <mergeCell ref="B64:E64"/>
    <mergeCell ref="L52:O52"/>
    <mergeCell ref="C12:E12"/>
    <mergeCell ref="B26:E26"/>
    <mergeCell ref="C11:E11"/>
    <mergeCell ref="B23:E24"/>
    <mergeCell ref="C8:E8"/>
    <mergeCell ref="C17:E17"/>
    <mergeCell ref="B3:E3"/>
    <mergeCell ref="G53:K53"/>
    <mergeCell ref="C7:E7"/>
    <mergeCell ref="B22:E22"/>
    <mergeCell ref="L53:O53"/>
    <mergeCell ref="C13:E13"/>
    <mergeCell ref="B20:E21"/>
    <mergeCell ref="C15:E15"/>
    <mergeCell ref="C6:E6"/>
    <mergeCell ref="B1:E1"/>
    <mergeCell ref="C14:E14"/>
    <mergeCell ref="G51:K51"/>
    <mergeCell ref="C5:E5"/>
    <mergeCell ref="C4:E4"/>
    <mergeCell ref="L51:O51"/>
    <mergeCell ref="G50:T50"/>
    <mergeCell ref="B19:E19"/>
    <mergeCell ref="C10:E10"/>
  </mergeCells>
  <conditionalFormatting sqref="B27">
    <cfRule type="expression" priority="1" dxfId="0">
      <formula>LEFT($B$27,1)="✔"</formula>
    </cfRule>
    <cfRule type="expression" priority="2" dxfId="1">
      <formula>LEFT($B$27,1)="⚠"</formula>
    </cfRule>
  </conditionalFormatting>
  <conditionalFormatting sqref="B32:E63">
    <cfRule type="expression" priority="3" dxfId="2">
      <formula>INDEX(Constellations!$R$14:$R$45,ROW()-31)=1</formula>
    </cfRule>
  </conditionalFormatting>
  <dataValidations count="8">
    <dataValidation sqref="C5" showDropDown="0" showInputMessage="1" showErrorMessage="0" allowBlank="1" promptTitle="Message" prompt="Ex. date JJ/MM. Cellule au format Texte. ASCII : 12 car. max ; BCD : chiffres seuls ; Binaire : 0 et 1 (96 bits max)."/>
    <dataValidation sqref="C4" showDropDown="0" showInputMessage="0" showErrorMessage="0" allowBlank="0" type="list">
      <formula1>=Constellations!$A$5:$A$9</formula1>
    </dataValidation>
    <dataValidation sqref="C6" showDropDown="0" showInputMessage="0" showErrorMessage="0" allowBlank="0" type="list">
      <formula1>=Bits!$L$3:$L$5</formula1>
    </dataValidation>
    <dataValidation sqref="C7" showDropDown="0" showInputMessage="0" showErrorMessage="1" allowBlank="0" error="Entre 0,25 et 5 cycles par bit" type="decimal" operator="between">
      <formula1>0.25</formula1>
      <formula2>5</formula2>
    </dataValidation>
    <dataValidation sqref="C8" showDropDown="0" showInputMessage="0" showErrorMessage="0" allowBlank="0" type="list">
      <formula1>=Constellations!$X$5:$X$9</formula1>
    </dataValidation>
    <dataValidation sqref="L51" showDropDown="0" showInputMessage="0" showErrorMessage="0" allowBlank="0" type="list">
      <formula1>=Oeil!$E$3:$E$4</formula1>
    </dataValidation>
    <dataValidation sqref="L52" showDropDown="0" showInputMessage="0" showErrorMessage="1" allowBlank="0" error="α entre 0 et 1" type="decimal" operator="between">
      <formula1>0</formula1>
      <formula2>1</formula2>
    </dataValidation>
    <dataValidation sqref="L53" showDropDown="0" showInputMessage="0" showErrorMessage="1" allowBlank="0" error="σ entre 0 et 1" type="decimal" operator="between">
      <formula1>0</formula1>
      <formula2>1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18" customWidth="1" min="4" max="4"/>
    <col width="10" customWidth="1" min="5" max="5"/>
    <col width="13" customWidth="1" min="6" max="6"/>
    <col width="11" customWidth="1" min="7" max="7"/>
    <col width="11" customWidth="1" min="8" max="8"/>
    <col width="26" customWidth="1" min="12" max="12"/>
  </cols>
  <sheetData>
    <row r="1">
      <c r="A1" s="17" t="inlineStr">
        <is>
          <t>Codage source : message → bits</t>
        </is>
      </c>
    </row>
    <row r="2">
      <c r="K2" s="4" t="inlineStr">
        <is>
          <t>Liste des codages</t>
        </is>
      </c>
    </row>
    <row r="3">
      <c r="A3" s="4" t="inlineStr">
        <is>
          <t>Message</t>
        </is>
      </c>
      <c r="B3" s="18">
        <f>'Tableau_de_bord'!C5</f>
        <v/>
      </c>
      <c r="D3" s="4" t="inlineStr">
        <is>
          <t>Nb bits utiles</t>
        </is>
      </c>
      <c r="E3" s="19">
        <f>IF(B6=1,8*MIN(B5,12),IF(B6=2,4*B7,MIN(LEN(B8),96)))</f>
        <v/>
      </c>
      <c r="L3" s="7" t="inlineStr">
        <is>
          <t>ASCII (8 bits/caractère)</t>
        </is>
      </c>
    </row>
    <row r="4">
      <c r="A4" s="4" t="inlineStr">
        <is>
          <t>Codage</t>
        </is>
      </c>
      <c r="B4" s="7">
        <f>'Tableau_de_bord'!C6</f>
        <v/>
      </c>
      <c r="D4" s="4" t="inlineStr">
        <is>
          <t>Car. non binaires</t>
        </is>
      </c>
      <c r="E4" s="19">
        <f>LEN(SUBSTITUTE(SUBSTITUTE(B8,"0",""),"1",""))</f>
        <v/>
      </c>
      <c r="L4" s="7" t="inlineStr">
        <is>
          <t>BCD (4 bits/chiffre)</t>
        </is>
      </c>
    </row>
    <row r="5">
      <c r="A5" s="4" t="inlineStr">
        <is>
          <t>Longueur (car.)</t>
        </is>
      </c>
      <c r="B5" s="7">
        <f>LEN(B3)</f>
        <v/>
      </c>
      <c r="L5" s="7" t="inlineStr">
        <is>
          <t>Binaire direct (0/1)</t>
        </is>
      </c>
    </row>
    <row r="6">
      <c r="A6" s="4" t="inlineStr">
        <is>
          <t>N° codage</t>
        </is>
      </c>
      <c r="B6" s="7">
        <f>MATCH(B4,$L$3:$L$5,0)</f>
        <v/>
      </c>
    </row>
    <row r="7">
      <c r="A7" s="4" t="inlineStr">
        <is>
          <t>Nb chiffres (BCD)</t>
        </is>
      </c>
      <c r="B7" s="7">
        <f>SUM(E10:E21)</f>
        <v/>
      </c>
    </row>
    <row r="8">
      <c r="A8" s="4" t="inlineStr">
        <is>
          <t>Chaîne binaire nettoyée</t>
        </is>
      </c>
      <c r="B8" s="7">
        <f>SUBSTITUTE(B3," ","")</f>
        <v/>
      </c>
    </row>
    <row r="9">
      <c r="A9" s="20" t="inlineStr">
        <is>
          <t>Position</t>
        </is>
      </c>
      <c r="B9" s="20" t="inlineStr">
        <is>
          <t>Caractère</t>
        </is>
      </c>
      <c r="C9" s="20" t="inlineStr">
        <is>
          <t>Code ASCII</t>
        </is>
      </c>
      <c r="D9" s="20" t="inlineStr">
        <is>
          <t>ASCII binaire (8 b)</t>
        </is>
      </c>
      <c r="E9" s="20" t="inlineStr">
        <is>
          <t>Chiffre ?</t>
        </is>
      </c>
      <c r="F9" s="20" t="inlineStr">
        <is>
          <t>Cumul chiffres</t>
        </is>
      </c>
      <c r="G9" s="20" t="inlineStr">
        <is>
          <t>Chiffre n°i</t>
        </is>
      </c>
      <c r="H9" s="20" t="inlineStr">
        <is>
          <t>BCD (4 b)</t>
        </is>
      </c>
    </row>
    <row r="10">
      <c r="A10" s="14" t="n">
        <v>1</v>
      </c>
      <c r="B10" s="14">
        <f>IF(A10&lt;=$B$5,MID($B$3,A10,1),"")</f>
        <v/>
      </c>
      <c r="C10" s="14">
        <f>IF(B10="","",CODE(B10))</f>
        <v/>
      </c>
      <c r="D10" s="14">
        <f>IF(C10="","",DEC2BIN(MOD(C10,256),8))</f>
        <v/>
      </c>
      <c r="E10" s="14">
        <f>IF(C10="",0,IF(AND(C10&gt;=48,C10&lt;=57),1,0))</f>
        <v/>
      </c>
      <c r="F10" s="14">
        <f>SUM(E$10:E10)</f>
        <v/>
      </c>
      <c r="G10" s="14">
        <f>IF(A10&lt;=$B$7,INDEX($C$10:$C$21,MATCH(A10,$F$10:$F$21,0))-48,"")</f>
        <v/>
      </c>
      <c r="H10" s="14">
        <f>IF(G10="","",DEC2BIN(G10,4))</f>
        <v/>
      </c>
    </row>
    <row r="11">
      <c r="A11" s="14" t="n">
        <v>2</v>
      </c>
      <c r="B11" s="14">
        <f>IF(A11&lt;=$B$5,MID($B$3,A11,1),"")</f>
        <v/>
      </c>
      <c r="C11" s="14">
        <f>IF(B11="","",CODE(B11))</f>
        <v/>
      </c>
      <c r="D11" s="14">
        <f>IF(C11="","",DEC2BIN(MOD(C11,256),8))</f>
        <v/>
      </c>
      <c r="E11" s="14">
        <f>IF(C11="",0,IF(AND(C11&gt;=48,C11&lt;=57),1,0))</f>
        <v/>
      </c>
      <c r="F11" s="14">
        <f>SUM(E$10:E11)</f>
        <v/>
      </c>
      <c r="G11" s="14">
        <f>IF(A11&lt;=$B$7,INDEX($C$10:$C$21,MATCH(A11,$F$10:$F$21,0))-48,"")</f>
        <v/>
      </c>
      <c r="H11" s="14">
        <f>IF(G11="","",DEC2BIN(G11,4))</f>
        <v/>
      </c>
    </row>
    <row r="12">
      <c r="A12" s="14" t="n">
        <v>3</v>
      </c>
      <c r="B12" s="14">
        <f>IF(A12&lt;=$B$5,MID($B$3,A12,1),"")</f>
        <v/>
      </c>
      <c r="C12" s="14">
        <f>IF(B12="","",CODE(B12))</f>
        <v/>
      </c>
      <c r="D12" s="14">
        <f>IF(C12="","",DEC2BIN(MOD(C12,256),8))</f>
        <v/>
      </c>
      <c r="E12" s="14">
        <f>IF(C12="",0,IF(AND(C12&gt;=48,C12&lt;=57),1,0))</f>
        <v/>
      </c>
      <c r="F12" s="14">
        <f>SUM(E$10:E12)</f>
        <v/>
      </c>
      <c r="G12" s="14">
        <f>IF(A12&lt;=$B$7,INDEX($C$10:$C$21,MATCH(A12,$F$10:$F$21,0))-48,"")</f>
        <v/>
      </c>
      <c r="H12" s="14">
        <f>IF(G12="","",DEC2BIN(G12,4))</f>
        <v/>
      </c>
    </row>
    <row r="13">
      <c r="A13" s="14" t="n">
        <v>4</v>
      </c>
      <c r="B13" s="14">
        <f>IF(A13&lt;=$B$5,MID($B$3,A13,1),"")</f>
        <v/>
      </c>
      <c r="C13" s="14">
        <f>IF(B13="","",CODE(B13))</f>
        <v/>
      </c>
      <c r="D13" s="14">
        <f>IF(C13="","",DEC2BIN(MOD(C13,256),8))</f>
        <v/>
      </c>
      <c r="E13" s="14">
        <f>IF(C13="",0,IF(AND(C13&gt;=48,C13&lt;=57),1,0))</f>
        <v/>
      </c>
      <c r="F13" s="14">
        <f>SUM(E$10:E13)</f>
        <v/>
      </c>
      <c r="G13" s="14">
        <f>IF(A13&lt;=$B$7,INDEX($C$10:$C$21,MATCH(A13,$F$10:$F$21,0))-48,"")</f>
        <v/>
      </c>
      <c r="H13" s="14">
        <f>IF(G13="","",DEC2BIN(G13,4))</f>
        <v/>
      </c>
    </row>
    <row r="14">
      <c r="A14" s="14" t="n">
        <v>5</v>
      </c>
      <c r="B14" s="14">
        <f>IF(A14&lt;=$B$5,MID($B$3,A14,1),"")</f>
        <v/>
      </c>
      <c r="C14" s="14">
        <f>IF(B14="","",CODE(B14))</f>
        <v/>
      </c>
      <c r="D14" s="14">
        <f>IF(C14="","",DEC2BIN(MOD(C14,256),8))</f>
        <v/>
      </c>
      <c r="E14" s="14">
        <f>IF(C14="",0,IF(AND(C14&gt;=48,C14&lt;=57),1,0))</f>
        <v/>
      </c>
      <c r="F14" s="14">
        <f>SUM(E$10:E14)</f>
        <v/>
      </c>
      <c r="G14" s="14">
        <f>IF(A14&lt;=$B$7,INDEX($C$10:$C$21,MATCH(A14,$F$10:$F$21,0))-48,"")</f>
        <v/>
      </c>
      <c r="H14" s="14">
        <f>IF(G14="","",DEC2BIN(G14,4))</f>
        <v/>
      </c>
    </row>
    <row r="15">
      <c r="A15" s="14" t="n">
        <v>6</v>
      </c>
      <c r="B15" s="14">
        <f>IF(A15&lt;=$B$5,MID($B$3,A15,1),"")</f>
        <v/>
      </c>
      <c r="C15" s="14">
        <f>IF(B15="","",CODE(B15))</f>
        <v/>
      </c>
      <c r="D15" s="14">
        <f>IF(C15="","",DEC2BIN(MOD(C15,256),8))</f>
        <v/>
      </c>
      <c r="E15" s="14">
        <f>IF(C15="",0,IF(AND(C15&gt;=48,C15&lt;=57),1,0))</f>
        <v/>
      </c>
      <c r="F15" s="14">
        <f>SUM(E$10:E15)</f>
        <v/>
      </c>
      <c r="G15" s="14">
        <f>IF(A15&lt;=$B$7,INDEX($C$10:$C$21,MATCH(A15,$F$10:$F$21,0))-48,"")</f>
        <v/>
      </c>
      <c r="H15" s="14">
        <f>IF(G15="","",DEC2BIN(G15,4))</f>
        <v/>
      </c>
    </row>
    <row r="16">
      <c r="A16" s="14" t="n">
        <v>7</v>
      </c>
      <c r="B16" s="14">
        <f>IF(A16&lt;=$B$5,MID($B$3,A16,1),"")</f>
        <v/>
      </c>
      <c r="C16" s="14">
        <f>IF(B16="","",CODE(B16))</f>
        <v/>
      </c>
      <c r="D16" s="14">
        <f>IF(C16="","",DEC2BIN(MOD(C16,256),8))</f>
        <v/>
      </c>
      <c r="E16" s="14">
        <f>IF(C16="",0,IF(AND(C16&gt;=48,C16&lt;=57),1,0))</f>
        <v/>
      </c>
      <c r="F16" s="14">
        <f>SUM(E$10:E16)</f>
        <v/>
      </c>
      <c r="G16" s="14">
        <f>IF(A16&lt;=$B$7,INDEX($C$10:$C$21,MATCH(A16,$F$10:$F$21,0))-48,"")</f>
        <v/>
      </c>
      <c r="H16" s="14">
        <f>IF(G16="","",DEC2BIN(G16,4))</f>
        <v/>
      </c>
    </row>
    <row r="17">
      <c r="A17" s="14" t="n">
        <v>8</v>
      </c>
      <c r="B17" s="14">
        <f>IF(A17&lt;=$B$5,MID($B$3,A17,1),"")</f>
        <v/>
      </c>
      <c r="C17" s="14">
        <f>IF(B17="","",CODE(B17))</f>
        <v/>
      </c>
      <c r="D17" s="14">
        <f>IF(C17="","",DEC2BIN(MOD(C17,256),8))</f>
        <v/>
      </c>
      <c r="E17" s="14">
        <f>IF(C17="",0,IF(AND(C17&gt;=48,C17&lt;=57),1,0))</f>
        <v/>
      </c>
      <c r="F17" s="14">
        <f>SUM(E$10:E17)</f>
        <v/>
      </c>
      <c r="G17" s="14">
        <f>IF(A17&lt;=$B$7,INDEX($C$10:$C$21,MATCH(A17,$F$10:$F$21,0))-48,"")</f>
        <v/>
      </c>
      <c r="H17" s="14">
        <f>IF(G17="","",DEC2BIN(G17,4))</f>
        <v/>
      </c>
    </row>
    <row r="18">
      <c r="A18" s="14" t="n">
        <v>9</v>
      </c>
      <c r="B18" s="14">
        <f>IF(A18&lt;=$B$5,MID($B$3,A18,1),"")</f>
        <v/>
      </c>
      <c r="C18" s="14">
        <f>IF(B18="","",CODE(B18))</f>
        <v/>
      </c>
      <c r="D18" s="14">
        <f>IF(C18="","",DEC2BIN(MOD(C18,256),8))</f>
        <v/>
      </c>
      <c r="E18" s="14">
        <f>IF(C18="",0,IF(AND(C18&gt;=48,C18&lt;=57),1,0))</f>
        <v/>
      </c>
      <c r="F18" s="14">
        <f>SUM(E$10:E18)</f>
        <v/>
      </c>
      <c r="G18" s="14">
        <f>IF(A18&lt;=$B$7,INDEX($C$10:$C$21,MATCH(A18,$F$10:$F$21,0))-48,"")</f>
        <v/>
      </c>
      <c r="H18" s="14">
        <f>IF(G18="","",DEC2BIN(G18,4))</f>
        <v/>
      </c>
    </row>
    <row r="19">
      <c r="A19" s="14" t="n">
        <v>10</v>
      </c>
      <c r="B19" s="14">
        <f>IF(A19&lt;=$B$5,MID($B$3,A19,1),"")</f>
        <v/>
      </c>
      <c r="C19" s="14">
        <f>IF(B19="","",CODE(B19))</f>
        <v/>
      </c>
      <c r="D19" s="14">
        <f>IF(C19="","",DEC2BIN(MOD(C19,256),8))</f>
        <v/>
      </c>
      <c r="E19" s="14">
        <f>IF(C19="",0,IF(AND(C19&gt;=48,C19&lt;=57),1,0))</f>
        <v/>
      </c>
      <c r="F19" s="14">
        <f>SUM(E$10:E19)</f>
        <v/>
      </c>
      <c r="G19" s="14">
        <f>IF(A19&lt;=$B$7,INDEX($C$10:$C$21,MATCH(A19,$F$10:$F$21,0))-48,"")</f>
        <v/>
      </c>
      <c r="H19" s="14">
        <f>IF(G19="","",DEC2BIN(G19,4))</f>
        <v/>
      </c>
    </row>
    <row r="20">
      <c r="A20" s="14" t="n">
        <v>11</v>
      </c>
      <c r="B20" s="14">
        <f>IF(A20&lt;=$B$5,MID($B$3,A20,1),"")</f>
        <v/>
      </c>
      <c r="C20" s="14">
        <f>IF(B20="","",CODE(B20))</f>
        <v/>
      </c>
      <c r="D20" s="14">
        <f>IF(C20="","",DEC2BIN(MOD(C20,256),8))</f>
        <v/>
      </c>
      <c r="E20" s="14">
        <f>IF(C20="",0,IF(AND(C20&gt;=48,C20&lt;=57),1,0))</f>
        <v/>
      </c>
      <c r="F20" s="14">
        <f>SUM(E$10:E20)</f>
        <v/>
      </c>
      <c r="G20" s="14">
        <f>IF(A20&lt;=$B$7,INDEX($C$10:$C$21,MATCH(A20,$F$10:$F$21,0))-48,"")</f>
        <v/>
      </c>
      <c r="H20" s="14">
        <f>IF(G20="","",DEC2BIN(G20,4))</f>
        <v/>
      </c>
    </row>
    <row r="21">
      <c r="A21" s="14" t="n">
        <v>12</v>
      </c>
      <c r="B21" s="14">
        <f>IF(A21&lt;=$B$5,MID($B$3,A21,1),"")</f>
        <v/>
      </c>
      <c r="C21" s="14">
        <f>IF(B21="","",CODE(B21))</f>
        <v/>
      </c>
      <c r="D21" s="14">
        <f>IF(C21="","",DEC2BIN(MOD(C21,256),8))</f>
        <v/>
      </c>
      <c r="E21" s="14">
        <f>IF(C21="",0,IF(AND(C21&gt;=48,C21&lt;=57),1,0))</f>
        <v/>
      </c>
      <c r="F21" s="14">
        <f>SUM(E$10:E21)</f>
        <v/>
      </c>
      <c r="G21" s="14">
        <f>IF(A21&lt;=$B$7,INDEX($C$10:$C$21,MATCH(A21,$F$10:$F$21,0))-48,"")</f>
        <v/>
      </c>
      <c r="H21" s="14">
        <f>IF(G21="","",DEC2BIN(G21,4))</f>
        <v/>
      </c>
    </row>
    <row r="22"/>
    <row r="23"/>
    <row r="24">
      <c r="A24" s="20" t="inlineStr">
        <is>
          <t>n° bit</t>
        </is>
      </c>
      <c r="B24" s="20" t="inlineStr">
        <is>
          <t>bit ASCII</t>
        </is>
      </c>
      <c r="C24" s="20" t="inlineStr">
        <is>
          <t>bit BCD</t>
        </is>
      </c>
      <c r="D24" s="20" t="inlineStr">
        <is>
          <t>bit binaire</t>
        </is>
      </c>
      <c r="E24" s="20" t="inlineStr">
        <is>
          <t>BIT FINAL</t>
        </is>
      </c>
      <c r="F24" s="20" t="inlineStr">
        <is>
          <t>Statut</t>
        </is>
      </c>
    </row>
    <row r="25">
      <c r="A25" s="14" t="n">
        <v>1</v>
      </c>
      <c r="B25" s="14">
        <f>IF(A25&gt;96,0,IF(INDEX($C$10:$C$21,INT((A25-1)/8)+1)="",0,MOD(INT(MOD(INDEX($C$10:$C$21,INT((A25-1)/8)+1),256)/2^(7-MOD(A25-1,8))),2)))</f>
        <v/>
      </c>
      <c r="C25" s="14">
        <f>IF(A25&gt;48,0,IF(INDEX($G$10:$G$21,INT((A25-1)/4)+1)="",0,MOD(INT(INDEX($G$10:$G$21,INT((A25-1)/4)+1)/2^(3-MOD(A25-1,4))),2)))</f>
        <v/>
      </c>
      <c r="D25" s="14">
        <f>IF(MID($B$8,A25,1)="1",1,0)</f>
        <v/>
      </c>
      <c r="E25" s="21">
        <f>IF(A25&lt;=$E$3,CHOOSE($B$6,B25,C25,D25),0)</f>
        <v/>
      </c>
      <c r="F25" s="14">
        <f>IF(A25&lt;=$E$3,"donnée",IF(A25&lt;='Tableau_de_bord'!$C$16,"bourrage",""))</f>
        <v/>
      </c>
    </row>
    <row r="26">
      <c r="A26" s="14" t="n">
        <v>2</v>
      </c>
      <c r="B26" s="14">
        <f>IF(A26&gt;96,0,IF(INDEX($C$10:$C$21,INT((A26-1)/8)+1)="",0,MOD(INT(MOD(INDEX($C$10:$C$21,INT((A26-1)/8)+1),256)/2^(7-MOD(A26-1,8))),2)))</f>
        <v/>
      </c>
      <c r="C26" s="14">
        <f>IF(A26&gt;48,0,IF(INDEX($G$10:$G$21,INT((A26-1)/4)+1)="",0,MOD(INT(INDEX($G$10:$G$21,INT((A26-1)/4)+1)/2^(3-MOD(A26-1,4))),2)))</f>
        <v/>
      </c>
      <c r="D26" s="14">
        <f>IF(MID($B$8,A26,1)="1",1,0)</f>
        <v/>
      </c>
      <c r="E26" s="21">
        <f>IF(A26&lt;=$E$3,CHOOSE($B$6,B26,C26,D26),0)</f>
        <v/>
      </c>
      <c r="F26" s="14">
        <f>IF(A26&lt;=$E$3,"donnée",IF(A26&lt;='Tableau_de_bord'!$C$16,"bourrage",""))</f>
        <v/>
      </c>
    </row>
    <row r="27">
      <c r="A27" s="14" t="n">
        <v>3</v>
      </c>
      <c r="B27" s="14">
        <f>IF(A27&gt;96,0,IF(INDEX($C$10:$C$21,INT((A27-1)/8)+1)="",0,MOD(INT(MOD(INDEX($C$10:$C$21,INT((A27-1)/8)+1),256)/2^(7-MOD(A27-1,8))),2)))</f>
        <v/>
      </c>
      <c r="C27" s="14">
        <f>IF(A27&gt;48,0,IF(INDEX($G$10:$G$21,INT((A27-1)/4)+1)="",0,MOD(INT(INDEX($G$10:$G$21,INT((A27-1)/4)+1)/2^(3-MOD(A27-1,4))),2)))</f>
        <v/>
      </c>
      <c r="D27" s="14">
        <f>IF(MID($B$8,A27,1)="1",1,0)</f>
        <v/>
      </c>
      <c r="E27" s="21">
        <f>IF(A27&lt;=$E$3,CHOOSE($B$6,B27,C27,D27),0)</f>
        <v/>
      </c>
      <c r="F27" s="14">
        <f>IF(A27&lt;=$E$3,"donnée",IF(A27&lt;='Tableau_de_bord'!$C$16,"bourrage",""))</f>
        <v/>
      </c>
    </row>
    <row r="28">
      <c r="A28" s="14" t="n">
        <v>4</v>
      </c>
      <c r="B28" s="14">
        <f>IF(A28&gt;96,0,IF(INDEX($C$10:$C$21,INT((A28-1)/8)+1)="",0,MOD(INT(MOD(INDEX($C$10:$C$21,INT((A28-1)/8)+1),256)/2^(7-MOD(A28-1,8))),2)))</f>
        <v/>
      </c>
      <c r="C28" s="14">
        <f>IF(A28&gt;48,0,IF(INDEX($G$10:$G$21,INT((A28-1)/4)+1)="",0,MOD(INT(INDEX($G$10:$G$21,INT((A28-1)/4)+1)/2^(3-MOD(A28-1,4))),2)))</f>
        <v/>
      </c>
      <c r="D28" s="14">
        <f>IF(MID($B$8,A28,1)="1",1,0)</f>
        <v/>
      </c>
      <c r="E28" s="21">
        <f>IF(A28&lt;=$E$3,CHOOSE($B$6,B28,C28,D28),0)</f>
        <v/>
      </c>
      <c r="F28" s="14">
        <f>IF(A28&lt;=$E$3,"donnée",IF(A28&lt;='Tableau_de_bord'!$C$16,"bourrage",""))</f>
        <v/>
      </c>
    </row>
    <row r="29">
      <c r="A29" s="14" t="n">
        <v>5</v>
      </c>
      <c r="B29" s="14">
        <f>IF(A29&gt;96,0,IF(INDEX($C$10:$C$21,INT((A29-1)/8)+1)="",0,MOD(INT(MOD(INDEX($C$10:$C$21,INT((A29-1)/8)+1),256)/2^(7-MOD(A29-1,8))),2)))</f>
        <v/>
      </c>
      <c r="C29" s="14">
        <f>IF(A29&gt;48,0,IF(INDEX($G$10:$G$21,INT((A29-1)/4)+1)="",0,MOD(INT(INDEX($G$10:$G$21,INT((A29-1)/4)+1)/2^(3-MOD(A29-1,4))),2)))</f>
        <v/>
      </c>
      <c r="D29" s="14">
        <f>IF(MID($B$8,A29,1)="1",1,0)</f>
        <v/>
      </c>
      <c r="E29" s="21">
        <f>IF(A29&lt;=$E$3,CHOOSE($B$6,B29,C29,D29),0)</f>
        <v/>
      </c>
      <c r="F29" s="14">
        <f>IF(A29&lt;=$E$3,"donnée",IF(A29&lt;='Tableau_de_bord'!$C$16,"bourrage",""))</f>
        <v/>
      </c>
    </row>
    <row r="30">
      <c r="A30" s="14" t="n">
        <v>6</v>
      </c>
      <c r="B30" s="14">
        <f>IF(A30&gt;96,0,IF(INDEX($C$10:$C$21,INT((A30-1)/8)+1)="",0,MOD(INT(MOD(INDEX($C$10:$C$21,INT((A30-1)/8)+1),256)/2^(7-MOD(A30-1,8))),2)))</f>
        <v/>
      </c>
      <c r="C30" s="14">
        <f>IF(A30&gt;48,0,IF(INDEX($G$10:$G$21,INT((A30-1)/4)+1)="",0,MOD(INT(INDEX($G$10:$G$21,INT((A30-1)/4)+1)/2^(3-MOD(A30-1,4))),2)))</f>
        <v/>
      </c>
      <c r="D30" s="14">
        <f>IF(MID($B$8,A30,1)="1",1,0)</f>
        <v/>
      </c>
      <c r="E30" s="21">
        <f>IF(A30&lt;=$E$3,CHOOSE($B$6,B30,C30,D30),0)</f>
        <v/>
      </c>
      <c r="F30" s="14">
        <f>IF(A30&lt;=$E$3,"donnée",IF(A30&lt;='Tableau_de_bord'!$C$16,"bourrage",""))</f>
        <v/>
      </c>
    </row>
    <row r="31">
      <c r="A31" s="14" t="n">
        <v>7</v>
      </c>
      <c r="B31" s="14">
        <f>IF(A31&gt;96,0,IF(INDEX($C$10:$C$21,INT((A31-1)/8)+1)="",0,MOD(INT(MOD(INDEX($C$10:$C$21,INT((A31-1)/8)+1),256)/2^(7-MOD(A31-1,8))),2)))</f>
        <v/>
      </c>
      <c r="C31" s="14">
        <f>IF(A31&gt;48,0,IF(INDEX($G$10:$G$21,INT((A31-1)/4)+1)="",0,MOD(INT(INDEX($G$10:$G$21,INT((A31-1)/4)+1)/2^(3-MOD(A31-1,4))),2)))</f>
        <v/>
      </c>
      <c r="D31" s="14">
        <f>IF(MID($B$8,A31,1)="1",1,0)</f>
        <v/>
      </c>
      <c r="E31" s="21">
        <f>IF(A31&lt;=$E$3,CHOOSE($B$6,B31,C31,D31),0)</f>
        <v/>
      </c>
      <c r="F31" s="14">
        <f>IF(A31&lt;=$E$3,"donnée",IF(A31&lt;='Tableau_de_bord'!$C$16,"bourrage",""))</f>
        <v/>
      </c>
    </row>
    <row r="32">
      <c r="A32" s="14" t="n">
        <v>8</v>
      </c>
      <c r="B32" s="14">
        <f>IF(A32&gt;96,0,IF(INDEX($C$10:$C$21,INT((A32-1)/8)+1)="",0,MOD(INT(MOD(INDEX($C$10:$C$21,INT((A32-1)/8)+1),256)/2^(7-MOD(A32-1,8))),2)))</f>
        <v/>
      </c>
      <c r="C32" s="14">
        <f>IF(A32&gt;48,0,IF(INDEX($G$10:$G$21,INT((A32-1)/4)+1)="",0,MOD(INT(INDEX($G$10:$G$21,INT((A32-1)/4)+1)/2^(3-MOD(A32-1,4))),2)))</f>
        <v/>
      </c>
      <c r="D32" s="14">
        <f>IF(MID($B$8,A32,1)="1",1,0)</f>
        <v/>
      </c>
      <c r="E32" s="21">
        <f>IF(A32&lt;=$E$3,CHOOSE($B$6,B32,C32,D32),0)</f>
        <v/>
      </c>
      <c r="F32" s="14">
        <f>IF(A32&lt;=$E$3,"donnée",IF(A32&lt;='Tableau_de_bord'!$C$16,"bourrage",""))</f>
        <v/>
      </c>
    </row>
    <row r="33">
      <c r="A33" s="14" t="n">
        <v>9</v>
      </c>
      <c r="B33" s="14">
        <f>IF(A33&gt;96,0,IF(INDEX($C$10:$C$21,INT((A33-1)/8)+1)="",0,MOD(INT(MOD(INDEX($C$10:$C$21,INT((A33-1)/8)+1),256)/2^(7-MOD(A33-1,8))),2)))</f>
        <v/>
      </c>
      <c r="C33" s="14">
        <f>IF(A33&gt;48,0,IF(INDEX($G$10:$G$21,INT((A33-1)/4)+1)="",0,MOD(INT(INDEX($G$10:$G$21,INT((A33-1)/4)+1)/2^(3-MOD(A33-1,4))),2)))</f>
        <v/>
      </c>
      <c r="D33" s="14">
        <f>IF(MID($B$8,A33,1)="1",1,0)</f>
        <v/>
      </c>
      <c r="E33" s="21">
        <f>IF(A33&lt;=$E$3,CHOOSE($B$6,B33,C33,D33),0)</f>
        <v/>
      </c>
      <c r="F33" s="14">
        <f>IF(A33&lt;=$E$3,"donnée",IF(A33&lt;='Tableau_de_bord'!$C$16,"bourrage",""))</f>
        <v/>
      </c>
    </row>
    <row r="34">
      <c r="A34" s="14" t="n">
        <v>10</v>
      </c>
      <c r="B34" s="14">
        <f>IF(A34&gt;96,0,IF(INDEX($C$10:$C$21,INT((A34-1)/8)+1)="",0,MOD(INT(MOD(INDEX($C$10:$C$21,INT((A34-1)/8)+1),256)/2^(7-MOD(A34-1,8))),2)))</f>
        <v/>
      </c>
      <c r="C34" s="14">
        <f>IF(A34&gt;48,0,IF(INDEX($G$10:$G$21,INT((A34-1)/4)+1)="",0,MOD(INT(INDEX($G$10:$G$21,INT((A34-1)/4)+1)/2^(3-MOD(A34-1,4))),2)))</f>
        <v/>
      </c>
      <c r="D34" s="14">
        <f>IF(MID($B$8,A34,1)="1",1,0)</f>
        <v/>
      </c>
      <c r="E34" s="21">
        <f>IF(A34&lt;=$E$3,CHOOSE($B$6,B34,C34,D34),0)</f>
        <v/>
      </c>
      <c r="F34" s="14">
        <f>IF(A34&lt;=$E$3,"donnée",IF(A34&lt;='Tableau_de_bord'!$C$16,"bourrage",""))</f>
        <v/>
      </c>
    </row>
    <row r="35">
      <c r="A35" s="14" t="n">
        <v>11</v>
      </c>
      <c r="B35" s="14">
        <f>IF(A35&gt;96,0,IF(INDEX($C$10:$C$21,INT((A35-1)/8)+1)="",0,MOD(INT(MOD(INDEX($C$10:$C$21,INT((A35-1)/8)+1),256)/2^(7-MOD(A35-1,8))),2)))</f>
        <v/>
      </c>
      <c r="C35" s="14">
        <f>IF(A35&gt;48,0,IF(INDEX($G$10:$G$21,INT((A35-1)/4)+1)="",0,MOD(INT(INDEX($G$10:$G$21,INT((A35-1)/4)+1)/2^(3-MOD(A35-1,4))),2)))</f>
        <v/>
      </c>
      <c r="D35" s="14">
        <f>IF(MID($B$8,A35,1)="1",1,0)</f>
        <v/>
      </c>
      <c r="E35" s="21">
        <f>IF(A35&lt;=$E$3,CHOOSE($B$6,B35,C35,D35),0)</f>
        <v/>
      </c>
      <c r="F35" s="14">
        <f>IF(A35&lt;=$E$3,"donnée",IF(A35&lt;='Tableau_de_bord'!$C$16,"bourrage",""))</f>
        <v/>
      </c>
    </row>
    <row r="36">
      <c r="A36" s="14" t="n">
        <v>12</v>
      </c>
      <c r="B36" s="14">
        <f>IF(A36&gt;96,0,IF(INDEX($C$10:$C$21,INT((A36-1)/8)+1)="",0,MOD(INT(MOD(INDEX($C$10:$C$21,INT((A36-1)/8)+1),256)/2^(7-MOD(A36-1,8))),2)))</f>
        <v/>
      </c>
      <c r="C36" s="14">
        <f>IF(A36&gt;48,0,IF(INDEX($G$10:$G$21,INT((A36-1)/4)+1)="",0,MOD(INT(INDEX($G$10:$G$21,INT((A36-1)/4)+1)/2^(3-MOD(A36-1,4))),2)))</f>
        <v/>
      </c>
      <c r="D36" s="14">
        <f>IF(MID($B$8,A36,1)="1",1,0)</f>
        <v/>
      </c>
      <c r="E36" s="21">
        <f>IF(A36&lt;=$E$3,CHOOSE($B$6,B36,C36,D36),0)</f>
        <v/>
      </c>
      <c r="F36" s="14">
        <f>IF(A36&lt;=$E$3,"donnée",IF(A36&lt;='Tableau_de_bord'!$C$16,"bourrage",""))</f>
        <v/>
      </c>
    </row>
    <row r="37">
      <c r="A37" s="14" t="n">
        <v>13</v>
      </c>
      <c r="B37" s="14">
        <f>IF(A37&gt;96,0,IF(INDEX($C$10:$C$21,INT((A37-1)/8)+1)="",0,MOD(INT(MOD(INDEX($C$10:$C$21,INT((A37-1)/8)+1),256)/2^(7-MOD(A37-1,8))),2)))</f>
        <v/>
      </c>
      <c r="C37" s="14">
        <f>IF(A37&gt;48,0,IF(INDEX($G$10:$G$21,INT((A37-1)/4)+1)="",0,MOD(INT(INDEX($G$10:$G$21,INT((A37-1)/4)+1)/2^(3-MOD(A37-1,4))),2)))</f>
        <v/>
      </c>
      <c r="D37" s="14">
        <f>IF(MID($B$8,A37,1)="1",1,0)</f>
        <v/>
      </c>
      <c r="E37" s="21">
        <f>IF(A37&lt;=$E$3,CHOOSE($B$6,B37,C37,D37),0)</f>
        <v/>
      </c>
      <c r="F37" s="14">
        <f>IF(A37&lt;=$E$3,"donnée",IF(A37&lt;='Tableau_de_bord'!$C$16,"bourrage",""))</f>
        <v/>
      </c>
    </row>
    <row r="38">
      <c r="A38" s="14" t="n">
        <v>14</v>
      </c>
      <c r="B38" s="14">
        <f>IF(A38&gt;96,0,IF(INDEX($C$10:$C$21,INT((A38-1)/8)+1)="",0,MOD(INT(MOD(INDEX($C$10:$C$21,INT((A38-1)/8)+1),256)/2^(7-MOD(A38-1,8))),2)))</f>
        <v/>
      </c>
      <c r="C38" s="14">
        <f>IF(A38&gt;48,0,IF(INDEX($G$10:$G$21,INT((A38-1)/4)+1)="",0,MOD(INT(INDEX($G$10:$G$21,INT((A38-1)/4)+1)/2^(3-MOD(A38-1,4))),2)))</f>
        <v/>
      </c>
      <c r="D38" s="14">
        <f>IF(MID($B$8,A38,1)="1",1,0)</f>
        <v/>
      </c>
      <c r="E38" s="21">
        <f>IF(A38&lt;=$E$3,CHOOSE($B$6,B38,C38,D38),0)</f>
        <v/>
      </c>
      <c r="F38" s="14">
        <f>IF(A38&lt;=$E$3,"donnée",IF(A38&lt;='Tableau_de_bord'!$C$16,"bourrage",""))</f>
        <v/>
      </c>
    </row>
    <row r="39">
      <c r="A39" s="14" t="n">
        <v>15</v>
      </c>
      <c r="B39" s="14">
        <f>IF(A39&gt;96,0,IF(INDEX($C$10:$C$21,INT((A39-1)/8)+1)="",0,MOD(INT(MOD(INDEX($C$10:$C$21,INT((A39-1)/8)+1),256)/2^(7-MOD(A39-1,8))),2)))</f>
        <v/>
      </c>
      <c r="C39" s="14">
        <f>IF(A39&gt;48,0,IF(INDEX($G$10:$G$21,INT((A39-1)/4)+1)="",0,MOD(INT(INDEX($G$10:$G$21,INT((A39-1)/4)+1)/2^(3-MOD(A39-1,4))),2)))</f>
        <v/>
      </c>
      <c r="D39" s="14">
        <f>IF(MID($B$8,A39,1)="1",1,0)</f>
        <v/>
      </c>
      <c r="E39" s="21">
        <f>IF(A39&lt;=$E$3,CHOOSE($B$6,B39,C39,D39),0)</f>
        <v/>
      </c>
      <c r="F39" s="14">
        <f>IF(A39&lt;=$E$3,"donnée",IF(A39&lt;='Tableau_de_bord'!$C$16,"bourrage",""))</f>
        <v/>
      </c>
    </row>
    <row r="40">
      <c r="A40" s="14" t="n">
        <v>16</v>
      </c>
      <c r="B40" s="14">
        <f>IF(A40&gt;96,0,IF(INDEX($C$10:$C$21,INT((A40-1)/8)+1)="",0,MOD(INT(MOD(INDEX($C$10:$C$21,INT((A40-1)/8)+1),256)/2^(7-MOD(A40-1,8))),2)))</f>
        <v/>
      </c>
      <c r="C40" s="14">
        <f>IF(A40&gt;48,0,IF(INDEX($G$10:$G$21,INT((A40-1)/4)+1)="",0,MOD(INT(INDEX($G$10:$G$21,INT((A40-1)/4)+1)/2^(3-MOD(A40-1,4))),2)))</f>
        <v/>
      </c>
      <c r="D40" s="14">
        <f>IF(MID($B$8,A40,1)="1",1,0)</f>
        <v/>
      </c>
      <c r="E40" s="21">
        <f>IF(A40&lt;=$E$3,CHOOSE($B$6,B40,C40,D40),0)</f>
        <v/>
      </c>
      <c r="F40" s="14">
        <f>IF(A40&lt;=$E$3,"donnée",IF(A40&lt;='Tableau_de_bord'!$C$16,"bourrage",""))</f>
        <v/>
      </c>
    </row>
    <row r="41">
      <c r="A41" s="14" t="n">
        <v>17</v>
      </c>
      <c r="B41" s="14">
        <f>IF(A41&gt;96,0,IF(INDEX($C$10:$C$21,INT((A41-1)/8)+1)="",0,MOD(INT(MOD(INDEX($C$10:$C$21,INT((A41-1)/8)+1),256)/2^(7-MOD(A41-1,8))),2)))</f>
        <v/>
      </c>
      <c r="C41" s="14">
        <f>IF(A41&gt;48,0,IF(INDEX($G$10:$G$21,INT((A41-1)/4)+1)="",0,MOD(INT(INDEX($G$10:$G$21,INT((A41-1)/4)+1)/2^(3-MOD(A41-1,4))),2)))</f>
        <v/>
      </c>
      <c r="D41" s="14">
        <f>IF(MID($B$8,A41,1)="1",1,0)</f>
        <v/>
      </c>
      <c r="E41" s="21">
        <f>IF(A41&lt;=$E$3,CHOOSE($B$6,B41,C41,D41),0)</f>
        <v/>
      </c>
      <c r="F41" s="14">
        <f>IF(A41&lt;=$E$3,"donnée",IF(A41&lt;='Tableau_de_bord'!$C$16,"bourrage",""))</f>
        <v/>
      </c>
    </row>
    <row r="42">
      <c r="A42" s="14" t="n">
        <v>18</v>
      </c>
      <c r="B42" s="14">
        <f>IF(A42&gt;96,0,IF(INDEX($C$10:$C$21,INT((A42-1)/8)+1)="",0,MOD(INT(MOD(INDEX($C$10:$C$21,INT((A42-1)/8)+1),256)/2^(7-MOD(A42-1,8))),2)))</f>
        <v/>
      </c>
      <c r="C42" s="14">
        <f>IF(A42&gt;48,0,IF(INDEX($G$10:$G$21,INT((A42-1)/4)+1)="",0,MOD(INT(INDEX($G$10:$G$21,INT((A42-1)/4)+1)/2^(3-MOD(A42-1,4))),2)))</f>
        <v/>
      </c>
      <c r="D42" s="14">
        <f>IF(MID($B$8,A42,1)="1",1,0)</f>
        <v/>
      </c>
      <c r="E42" s="21">
        <f>IF(A42&lt;=$E$3,CHOOSE($B$6,B42,C42,D42),0)</f>
        <v/>
      </c>
      <c r="F42" s="14">
        <f>IF(A42&lt;=$E$3,"donnée",IF(A42&lt;='Tableau_de_bord'!$C$16,"bourrage",""))</f>
        <v/>
      </c>
    </row>
    <row r="43">
      <c r="A43" s="14" t="n">
        <v>19</v>
      </c>
      <c r="B43" s="14">
        <f>IF(A43&gt;96,0,IF(INDEX($C$10:$C$21,INT((A43-1)/8)+1)="",0,MOD(INT(MOD(INDEX($C$10:$C$21,INT((A43-1)/8)+1),256)/2^(7-MOD(A43-1,8))),2)))</f>
        <v/>
      </c>
      <c r="C43" s="14">
        <f>IF(A43&gt;48,0,IF(INDEX($G$10:$G$21,INT((A43-1)/4)+1)="",0,MOD(INT(INDEX($G$10:$G$21,INT((A43-1)/4)+1)/2^(3-MOD(A43-1,4))),2)))</f>
        <v/>
      </c>
      <c r="D43" s="14">
        <f>IF(MID($B$8,A43,1)="1",1,0)</f>
        <v/>
      </c>
      <c r="E43" s="21">
        <f>IF(A43&lt;=$E$3,CHOOSE($B$6,B43,C43,D43),0)</f>
        <v/>
      </c>
      <c r="F43" s="14">
        <f>IF(A43&lt;=$E$3,"donnée",IF(A43&lt;='Tableau_de_bord'!$C$16,"bourrage",""))</f>
        <v/>
      </c>
    </row>
    <row r="44">
      <c r="A44" s="14" t="n">
        <v>20</v>
      </c>
      <c r="B44" s="14">
        <f>IF(A44&gt;96,0,IF(INDEX($C$10:$C$21,INT((A44-1)/8)+1)="",0,MOD(INT(MOD(INDEX($C$10:$C$21,INT((A44-1)/8)+1),256)/2^(7-MOD(A44-1,8))),2)))</f>
        <v/>
      </c>
      <c r="C44" s="14">
        <f>IF(A44&gt;48,0,IF(INDEX($G$10:$G$21,INT((A44-1)/4)+1)="",0,MOD(INT(INDEX($G$10:$G$21,INT((A44-1)/4)+1)/2^(3-MOD(A44-1,4))),2)))</f>
        <v/>
      </c>
      <c r="D44" s="14">
        <f>IF(MID($B$8,A44,1)="1",1,0)</f>
        <v/>
      </c>
      <c r="E44" s="21">
        <f>IF(A44&lt;=$E$3,CHOOSE($B$6,B44,C44,D44),0)</f>
        <v/>
      </c>
      <c r="F44" s="14">
        <f>IF(A44&lt;=$E$3,"donnée",IF(A44&lt;='Tableau_de_bord'!$C$16,"bourrage",""))</f>
        <v/>
      </c>
    </row>
    <row r="45">
      <c r="A45" s="14" t="n">
        <v>21</v>
      </c>
      <c r="B45" s="14">
        <f>IF(A45&gt;96,0,IF(INDEX($C$10:$C$21,INT((A45-1)/8)+1)="",0,MOD(INT(MOD(INDEX($C$10:$C$21,INT((A45-1)/8)+1),256)/2^(7-MOD(A45-1,8))),2)))</f>
        <v/>
      </c>
      <c r="C45" s="14">
        <f>IF(A45&gt;48,0,IF(INDEX($G$10:$G$21,INT((A45-1)/4)+1)="",0,MOD(INT(INDEX($G$10:$G$21,INT((A45-1)/4)+1)/2^(3-MOD(A45-1,4))),2)))</f>
        <v/>
      </c>
      <c r="D45" s="14">
        <f>IF(MID($B$8,A45,1)="1",1,0)</f>
        <v/>
      </c>
      <c r="E45" s="21">
        <f>IF(A45&lt;=$E$3,CHOOSE($B$6,B45,C45,D45),0)</f>
        <v/>
      </c>
      <c r="F45" s="14">
        <f>IF(A45&lt;=$E$3,"donnée",IF(A45&lt;='Tableau_de_bord'!$C$16,"bourrage",""))</f>
        <v/>
      </c>
    </row>
    <row r="46">
      <c r="A46" s="14" t="n">
        <v>22</v>
      </c>
      <c r="B46" s="14">
        <f>IF(A46&gt;96,0,IF(INDEX($C$10:$C$21,INT((A46-1)/8)+1)="",0,MOD(INT(MOD(INDEX($C$10:$C$21,INT((A46-1)/8)+1),256)/2^(7-MOD(A46-1,8))),2)))</f>
        <v/>
      </c>
      <c r="C46" s="14">
        <f>IF(A46&gt;48,0,IF(INDEX($G$10:$G$21,INT((A46-1)/4)+1)="",0,MOD(INT(INDEX($G$10:$G$21,INT((A46-1)/4)+1)/2^(3-MOD(A46-1,4))),2)))</f>
        <v/>
      </c>
      <c r="D46" s="14">
        <f>IF(MID($B$8,A46,1)="1",1,0)</f>
        <v/>
      </c>
      <c r="E46" s="21">
        <f>IF(A46&lt;=$E$3,CHOOSE($B$6,B46,C46,D46),0)</f>
        <v/>
      </c>
      <c r="F46" s="14">
        <f>IF(A46&lt;=$E$3,"donnée",IF(A46&lt;='Tableau_de_bord'!$C$16,"bourrage",""))</f>
        <v/>
      </c>
    </row>
    <row r="47">
      <c r="A47" s="14" t="n">
        <v>23</v>
      </c>
      <c r="B47" s="14">
        <f>IF(A47&gt;96,0,IF(INDEX($C$10:$C$21,INT((A47-1)/8)+1)="",0,MOD(INT(MOD(INDEX($C$10:$C$21,INT((A47-1)/8)+1),256)/2^(7-MOD(A47-1,8))),2)))</f>
        <v/>
      </c>
      <c r="C47" s="14">
        <f>IF(A47&gt;48,0,IF(INDEX($G$10:$G$21,INT((A47-1)/4)+1)="",0,MOD(INT(INDEX($G$10:$G$21,INT((A47-1)/4)+1)/2^(3-MOD(A47-1,4))),2)))</f>
        <v/>
      </c>
      <c r="D47" s="14">
        <f>IF(MID($B$8,A47,1)="1",1,0)</f>
        <v/>
      </c>
      <c r="E47" s="21">
        <f>IF(A47&lt;=$E$3,CHOOSE($B$6,B47,C47,D47),0)</f>
        <v/>
      </c>
      <c r="F47" s="14">
        <f>IF(A47&lt;=$E$3,"donnée",IF(A47&lt;='Tableau_de_bord'!$C$16,"bourrage",""))</f>
        <v/>
      </c>
    </row>
    <row r="48">
      <c r="A48" s="14" t="n">
        <v>24</v>
      </c>
      <c r="B48" s="14">
        <f>IF(A48&gt;96,0,IF(INDEX($C$10:$C$21,INT((A48-1)/8)+1)="",0,MOD(INT(MOD(INDEX($C$10:$C$21,INT((A48-1)/8)+1),256)/2^(7-MOD(A48-1,8))),2)))</f>
        <v/>
      </c>
      <c r="C48" s="14">
        <f>IF(A48&gt;48,0,IF(INDEX($G$10:$G$21,INT((A48-1)/4)+1)="",0,MOD(INT(INDEX($G$10:$G$21,INT((A48-1)/4)+1)/2^(3-MOD(A48-1,4))),2)))</f>
        <v/>
      </c>
      <c r="D48" s="14">
        <f>IF(MID($B$8,A48,1)="1",1,0)</f>
        <v/>
      </c>
      <c r="E48" s="21">
        <f>IF(A48&lt;=$E$3,CHOOSE($B$6,B48,C48,D48),0)</f>
        <v/>
      </c>
      <c r="F48" s="14">
        <f>IF(A48&lt;=$E$3,"donnée",IF(A48&lt;='Tableau_de_bord'!$C$16,"bourrage",""))</f>
        <v/>
      </c>
    </row>
    <row r="49">
      <c r="A49" s="14" t="n">
        <v>25</v>
      </c>
      <c r="B49" s="14">
        <f>IF(A49&gt;96,0,IF(INDEX($C$10:$C$21,INT((A49-1)/8)+1)="",0,MOD(INT(MOD(INDEX($C$10:$C$21,INT((A49-1)/8)+1),256)/2^(7-MOD(A49-1,8))),2)))</f>
        <v/>
      </c>
      <c r="C49" s="14">
        <f>IF(A49&gt;48,0,IF(INDEX($G$10:$G$21,INT((A49-1)/4)+1)="",0,MOD(INT(INDEX($G$10:$G$21,INT((A49-1)/4)+1)/2^(3-MOD(A49-1,4))),2)))</f>
        <v/>
      </c>
      <c r="D49" s="14">
        <f>IF(MID($B$8,A49,1)="1",1,0)</f>
        <v/>
      </c>
      <c r="E49" s="21">
        <f>IF(A49&lt;=$E$3,CHOOSE($B$6,B49,C49,D49),0)</f>
        <v/>
      </c>
      <c r="F49" s="14">
        <f>IF(A49&lt;=$E$3,"donnée",IF(A49&lt;='Tableau_de_bord'!$C$16,"bourrage",""))</f>
        <v/>
      </c>
    </row>
    <row r="50">
      <c r="A50" s="14" t="n">
        <v>26</v>
      </c>
      <c r="B50" s="14">
        <f>IF(A50&gt;96,0,IF(INDEX($C$10:$C$21,INT((A50-1)/8)+1)="",0,MOD(INT(MOD(INDEX($C$10:$C$21,INT((A50-1)/8)+1),256)/2^(7-MOD(A50-1,8))),2)))</f>
        <v/>
      </c>
      <c r="C50" s="14">
        <f>IF(A50&gt;48,0,IF(INDEX($G$10:$G$21,INT((A50-1)/4)+1)="",0,MOD(INT(INDEX($G$10:$G$21,INT((A50-1)/4)+1)/2^(3-MOD(A50-1,4))),2)))</f>
        <v/>
      </c>
      <c r="D50" s="14">
        <f>IF(MID($B$8,A50,1)="1",1,0)</f>
        <v/>
      </c>
      <c r="E50" s="21">
        <f>IF(A50&lt;=$E$3,CHOOSE($B$6,B50,C50,D50),0)</f>
        <v/>
      </c>
      <c r="F50" s="14">
        <f>IF(A50&lt;=$E$3,"donnée",IF(A50&lt;='Tableau_de_bord'!$C$16,"bourrage",""))</f>
        <v/>
      </c>
    </row>
    <row r="51">
      <c r="A51" s="14" t="n">
        <v>27</v>
      </c>
      <c r="B51" s="14">
        <f>IF(A51&gt;96,0,IF(INDEX($C$10:$C$21,INT((A51-1)/8)+1)="",0,MOD(INT(MOD(INDEX($C$10:$C$21,INT((A51-1)/8)+1),256)/2^(7-MOD(A51-1,8))),2)))</f>
        <v/>
      </c>
      <c r="C51" s="14">
        <f>IF(A51&gt;48,0,IF(INDEX($G$10:$G$21,INT((A51-1)/4)+1)="",0,MOD(INT(INDEX($G$10:$G$21,INT((A51-1)/4)+1)/2^(3-MOD(A51-1,4))),2)))</f>
        <v/>
      </c>
      <c r="D51" s="14">
        <f>IF(MID($B$8,A51,1)="1",1,0)</f>
        <v/>
      </c>
      <c r="E51" s="21">
        <f>IF(A51&lt;=$E$3,CHOOSE($B$6,B51,C51,D51),0)</f>
        <v/>
      </c>
      <c r="F51" s="14">
        <f>IF(A51&lt;=$E$3,"donnée",IF(A51&lt;='Tableau_de_bord'!$C$16,"bourrage",""))</f>
        <v/>
      </c>
    </row>
    <row r="52">
      <c r="A52" s="14" t="n">
        <v>28</v>
      </c>
      <c r="B52" s="14">
        <f>IF(A52&gt;96,0,IF(INDEX($C$10:$C$21,INT((A52-1)/8)+1)="",0,MOD(INT(MOD(INDEX($C$10:$C$21,INT((A52-1)/8)+1),256)/2^(7-MOD(A52-1,8))),2)))</f>
        <v/>
      </c>
      <c r="C52" s="14">
        <f>IF(A52&gt;48,0,IF(INDEX($G$10:$G$21,INT((A52-1)/4)+1)="",0,MOD(INT(INDEX($G$10:$G$21,INT((A52-1)/4)+1)/2^(3-MOD(A52-1,4))),2)))</f>
        <v/>
      </c>
      <c r="D52" s="14">
        <f>IF(MID($B$8,A52,1)="1",1,0)</f>
        <v/>
      </c>
      <c r="E52" s="21">
        <f>IF(A52&lt;=$E$3,CHOOSE($B$6,B52,C52,D52),0)</f>
        <v/>
      </c>
      <c r="F52" s="14">
        <f>IF(A52&lt;=$E$3,"donnée",IF(A52&lt;='Tableau_de_bord'!$C$16,"bourrage",""))</f>
        <v/>
      </c>
    </row>
    <row r="53">
      <c r="A53" s="14" t="n">
        <v>29</v>
      </c>
      <c r="B53" s="14">
        <f>IF(A53&gt;96,0,IF(INDEX($C$10:$C$21,INT((A53-1)/8)+1)="",0,MOD(INT(MOD(INDEX($C$10:$C$21,INT((A53-1)/8)+1),256)/2^(7-MOD(A53-1,8))),2)))</f>
        <v/>
      </c>
      <c r="C53" s="14">
        <f>IF(A53&gt;48,0,IF(INDEX($G$10:$G$21,INT((A53-1)/4)+1)="",0,MOD(INT(INDEX($G$10:$G$21,INT((A53-1)/4)+1)/2^(3-MOD(A53-1,4))),2)))</f>
        <v/>
      </c>
      <c r="D53" s="14">
        <f>IF(MID($B$8,A53,1)="1",1,0)</f>
        <v/>
      </c>
      <c r="E53" s="21">
        <f>IF(A53&lt;=$E$3,CHOOSE($B$6,B53,C53,D53),0)</f>
        <v/>
      </c>
      <c r="F53" s="14">
        <f>IF(A53&lt;=$E$3,"donnée",IF(A53&lt;='Tableau_de_bord'!$C$16,"bourrage",""))</f>
        <v/>
      </c>
    </row>
    <row r="54">
      <c r="A54" s="14" t="n">
        <v>30</v>
      </c>
      <c r="B54" s="14">
        <f>IF(A54&gt;96,0,IF(INDEX($C$10:$C$21,INT((A54-1)/8)+1)="",0,MOD(INT(MOD(INDEX($C$10:$C$21,INT((A54-1)/8)+1),256)/2^(7-MOD(A54-1,8))),2)))</f>
        <v/>
      </c>
      <c r="C54" s="14">
        <f>IF(A54&gt;48,0,IF(INDEX($G$10:$G$21,INT((A54-1)/4)+1)="",0,MOD(INT(INDEX($G$10:$G$21,INT((A54-1)/4)+1)/2^(3-MOD(A54-1,4))),2)))</f>
        <v/>
      </c>
      <c r="D54" s="14">
        <f>IF(MID($B$8,A54,1)="1",1,0)</f>
        <v/>
      </c>
      <c r="E54" s="21">
        <f>IF(A54&lt;=$E$3,CHOOSE($B$6,B54,C54,D54),0)</f>
        <v/>
      </c>
      <c r="F54" s="14">
        <f>IF(A54&lt;=$E$3,"donnée",IF(A54&lt;='Tableau_de_bord'!$C$16,"bourrage",""))</f>
        <v/>
      </c>
    </row>
    <row r="55">
      <c r="A55" s="14" t="n">
        <v>31</v>
      </c>
      <c r="B55" s="14">
        <f>IF(A55&gt;96,0,IF(INDEX($C$10:$C$21,INT((A55-1)/8)+1)="",0,MOD(INT(MOD(INDEX($C$10:$C$21,INT((A55-1)/8)+1),256)/2^(7-MOD(A55-1,8))),2)))</f>
        <v/>
      </c>
      <c r="C55" s="14">
        <f>IF(A55&gt;48,0,IF(INDEX($G$10:$G$21,INT((A55-1)/4)+1)="",0,MOD(INT(INDEX($G$10:$G$21,INT((A55-1)/4)+1)/2^(3-MOD(A55-1,4))),2)))</f>
        <v/>
      </c>
      <c r="D55" s="14">
        <f>IF(MID($B$8,A55,1)="1",1,0)</f>
        <v/>
      </c>
      <c r="E55" s="21">
        <f>IF(A55&lt;=$E$3,CHOOSE($B$6,B55,C55,D55),0)</f>
        <v/>
      </c>
      <c r="F55" s="14">
        <f>IF(A55&lt;=$E$3,"donnée",IF(A55&lt;='Tableau_de_bord'!$C$16,"bourrage",""))</f>
        <v/>
      </c>
    </row>
    <row r="56">
      <c r="A56" s="14" t="n">
        <v>32</v>
      </c>
      <c r="B56" s="14">
        <f>IF(A56&gt;96,0,IF(INDEX($C$10:$C$21,INT((A56-1)/8)+1)="",0,MOD(INT(MOD(INDEX($C$10:$C$21,INT((A56-1)/8)+1),256)/2^(7-MOD(A56-1,8))),2)))</f>
        <v/>
      </c>
      <c r="C56" s="14">
        <f>IF(A56&gt;48,0,IF(INDEX($G$10:$G$21,INT((A56-1)/4)+1)="",0,MOD(INT(INDEX($G$10:$G$21,INT((A56-1)/4)+1)/2^(3-MOD(A56-1,4))),2)))</f>
        <v/>
      </c>
      <c r="D56" s="14">
        <f>IF(MID($B$8,A56,1)="1",1,0)</f>
        <v/>
      </c>
      <c r="E56" s="21">
        <f>IF(A56&lt;=$E$3,CHOOSE($B$6,B56,C56,D56),0)</f>
        <v/>
      </c>
      <c r="F56" s="14">
        <f>IF(A56&lt;=$E$3,"donnée",IF(A56&lt;='Tableau_de_bord'!$C$16,"bourrage",""))</f>
        <v/>
      </c>
    </row>
    <row r="57">
      <c r="A57" s="14" t="n">
        <v>33</v>
      </c>
      <c r="B57" s="14">
        <f>IF(A57&gt;96,0,IF(INDEX($C$10:$C$21,INT((A57-1)/8)+1)="",0,MOD(INT(MOD(INDEX($C$10:$C$21,INT((A57-1)/8)+1),256)/2^(7-MOD(A57-1,8))),2)))</f>
        <v/>
      </c>
      <c r="C57" s="14">
        <f>IF(A57&gt;48,0,IF(INDEX($G$10:$G$21,INT((A57-1)/4)+1)="",0,MOD(INT(INDEX($G$10:$G$21,INT((A57-1)/4)+1)/2^(3-MOD(A57-1,4))),2)))</f>
        <v/>
      </c>
      <c r="D57" s="14">
        <f>IF(MID($B$8,A57,1)="1",1,0)</f>
        <v/>
      </c>
      <c r="E57" s="21">
        <f>IF(A57&lt;=$E$3,CHOOSE($B$6,B57,C57,D57),0)</f>
        <v/>
      </c>
      <c r="F57" s="14">
        <f>IF(A57&lt;=$E$3,"donnée",IF(A57&lt;='Tableau_de_bord'!$C$16,"bourrage",""))</f>
        <v/>
      </c>
    </row>
    <row r="58">
      <c r="A58" s="14" t="n">
        <v>34</v>
      </c>
      <c r="B58" s="14">
        <f>IF(A58&gt;96,0,IF(INDEX($C$10:$C$21,INT((A58-1)/8)+1)="",0,MOD(INT(MOD(INDEX($C$10:$C$21,INT((A58-1)/8)+1),256)/2^(7-MOD(A58-1,8))),2)))</f>
        <v/>
      </c>
      <c r="C58" s="14">
        <f>IF(A58&gt;48,0,IF(INDEX($G$10:$G$21,INT((A58-1)/4)+1)="",0,MOD(INT(INDEX($G$10:$G$21,INT((A58-1)/4)+1)/2^(3-MOD(A58-1,4))),2)))</f>
        <v/>
      </c>
      <c r="D58" s="14">
        <f>IF(MID($B$8,A58,1)="1",1,0)</f>
        <v/>
      </c>
      <c r="E58" s="21">
        <f>IF(A58&lt;=$E$3,CHOOSE($B$6,B58,C58,D58),0)</f>
        <v/>
      </c>
      <c r="F58" s="14">
        <f>IF(A58&lt;=$E$3,"donnée",IF(A58&lt;='Tableau_de_bord'!$C$16,"bourrage",""))</f>
        <v/>
      </c>
    </row>
    <row r="59">
      <c r="A59" s="14" t="n">
        <v>35</v>
      </c>
      <c r="B59" s="14">
        <f>IF(A59&gt;96,0,IF(INDEX($C$10:$C$21,INT((A59-1)/8)+1)="",0,MOD(INT(MOD(INDEX($C$10:$C$21,INT((A59-1)/8)+1),256)/2^(7-MOD(A59-1,8))),2)))</f>
        <v/>
      </c>
      <c r="C59" s="14">
        <f>IF(A59&gt;48,0,IF(INDEX($G$10:$G$21,INT((A59-1)/4)+1)="",0,MOD(INT(INDEX($G$10:$G$21,INT((A59-1)/4)+1)/2^(3-MOD(A59-1,4))),2)))</f>
        <v/>
      </c>
      <c r="D59" s="14">
        <f>IF(MID($B$8,A59,1)="1",1,0)</f>
        <v/>
      </c>
      <c r="E59" s="21">
        <f>IF(A59&lt;=$E$3,CHOOSE($B$6,B59,C59,D59),0)</f>
        <v/>
      </c>
      <c r="F59" s="14">
        <f>IF(A59&lt;=$E$3,"donnée",IF(A59&lt;='Tableau_de_bord'!$C$16,"bourrage",""))</f>
        <v/>
      </c>
    </row>
    <row r="60">
      <c r="A60" s="14" t="n">
        <v>36</v>
      </c>
      <c r="B60" s="14">
        <f>IF(A60&gt;96,0,IF(INDEX($C$10:$C$21,INT((A60-1)/8)+1)="",0,MOD(INT(MOD(INDEX($C$10:$C$21,INT((A60-1)/8)+1),256)/2^(7-MOD(A60-1,8))),2)))</f>
        <v/>
      </c>
      <c r="C60" s="14">
        <f>IF(A60&gt;48,0,IF(INDEX($G$10:$G$21,INT((A60-1)/4)+1)="",0,MOD(INT(INDEX($G$10:$G$21,INT((A60-1)/4)+1)/2^(3-MOD(A60-1,4))),2)))</f>
        <v/>
      </c>
      <c r="D60" s="14">
        <f>IF(MID($B$8,A60,1)="1",1,0)</f>
        <v/>
      </c>
      <c r="E60" s="21">
        <f>IF(A60&lt;=$E$3,CHOOSE($B$6,B60,C60,D60),0)</f>
        <v/>
      </c>
      <c r="F60" s="14">
        <f>IF(A60&lt;=$E$3,"donnée",IF(A60&lt;='Tableau_de_bord'!$C$16,"bourrage",""))</f>
        <v/>
      </c>
    </row>
    <row r="61">
      <c r="A61" s="14" t="n">
        <v>37</v>
      </c>
      <c r="B61" s="14">
        <f>IF(A61&gt;96,0,IF(INDEX($C$10:$C$21,INT((A61-1)/8)+1)="",0,MOD(INT(MOD(INDEX($C$10:$C$21,INT((A61-1)/8)+1),256)/2^(7-MOD(A61-1,8))),2)))</f>
        <v/>
      </c>
      <c r="C61" s="14">
        <f>IF(A61&gt;48,0,IF(INDEX($G$10:$G$21,INT((A61-1)/4)+1)="",0,MOD(INT(INDEX($G$10:$G$21,INT((A61-1)/4)+1)/2^(3-MOD(A61-1,4))),2)))</f>
        <v/>
      </c>
      <c r="D61" s="14">
        <f>IF(MID($B$8,A61,1)="1",1,0)</f>
        <v/>
      </c>
      <c r="E61" s="21">
        <f>IF(A61&lt;=$E$3,CHOOSE($B$6,B61,C61,D61),0)</f>
        <v/>
      </c>
      <c r="F61" s="14">
        <f>IF(A61&lt;=$E$3,"donnée",IF(A61&lt;='Tableau_de_bord'!$C$16,"bourrage",""))</f>
        <v/>
      </c>
    </row>
    <row r="62">
      <c r="A62" s="14" t="n">
        <v>38</v>
      </c>
      <c r="B62" s="14">
        <f>IF(A62&gt;96,0,IF(INDEX($C$10:$C$21,INT((A62-1)/8)+1)="",0,MOD(INT(MOD(INDEX($C$10:$C$21,INT((A62-1)/8)+1),256)/2^(7-MOD(A62-1,8))),2)))</f>
        <v/>
      </c>
      <c r="C62" s="14">
        <f>IF(A62&gt;48,0,IF(INDEX($G$10:$G$21,INT((A62-1)/4)+1)="",0,MOD(INT(INDEX($G$10:$G$21,INT((A62-1)/4)+1)/2^(3-MOD(A62-1,4))),2)))</f>
        <v/>
      </c>
      <c r="D62" s="14">
        <f>IF(MID($B$8,A62,1)="1",1,0)</f>
        <v/>
      </c>
      <c r="E62" s="21">
        <f>IF(A62&lt;=$E$3,CHOOSE($B$6,B62,C62,D62),0)</f>
        <v/>
      </c>
      <c r="F62" s="14">
        <f>IF(A62&lt;=$E$3,"donnée",IF(A62&lt;='Tableau_de_bord'!$C$16,"bourrage",""))</f>
        <v/>
      </c>
    </row>
    <row r="63">
      <c r="A63" s="14" t="n">
        <v>39</v>
      </c>
      <c r="B63" s="14">
        <f>IF(A63&gt;96,0,IF(INDEX($C$10:$C$21,INT((A63-1)/8)+1)="",0,MOD(INT(MOD(INDEX($C$10:$C$21,INT((A63-1)/8)+1),256)/2^(7-MOD(A63-1,8))),2)))</f>
        <v/>
      </c>
      <c r="C63" s="14">
        <f>IF(A63&gt;48,0,IF(INDEX($G$10:$G$21,INT((A63-1)/4)+1)="",0,MOD(INT(INDEX($G$10:$G$21,INT((A63-1)/4)+1)/2^(3-MOD(A63-1,4))),2)))</f>
        <v/>
      </c>
      <c r="D63" s="14">
        <f>IF(MID($B$8,A63,1)="1",1,0)</f>
        <v/>
      </c>
      <c r="E63" s="21">
        <f>IF(A63&lt;=$E$3,CHOOSE($B$6,B63,C63,D63),0)</f>
        <v/>
      </c>
      <c r="F63" s="14">
        <f>IF(A63&lt;=$E$3,"donnée",IF(A63&lt;='Tableau_de_bord'!$C$16,"bourrage",""))</f>
        <v/>
      </c>
    </row>
    <row r="64">
      <c r="A64" s="14" t="n">
        <v>40</v>
      </c>
      <c r="B64" s="14">
        <f>IF(A64&gt;96,0,IF(INDEX($C$10:$C$21,INT((A64-1)/8)+1)="",0,MOD(INT(MOD(INDEX($C$10:$C$21,INT((A64-1)/8)+1),256)/2^(7-MOD(A64-1,8))),2)))</f>
        <v/>
      </c>
      <c r="C64" s="14">
        <f>IF(A64&gt;48,0,IF(INDEX($G$10:$G$21,INT((A64-1)/4)+1)="",0,MOD(INT(INDEX($G$10:$G$21,INT((A64-1)/4)+1)/2^(3-MOD(A64-1,4))),2)))</f>
        <v/>
      </c>
      <c r="D64" s="14">
        <f>IF(MID($B$8,A64,1)="1",1,0)</f>
        <v/>
      </c>
      <c r="E64" s="21">
        <f>IF(A64&lt;=$E$3,CHOOSE($B$6,B64,C64,D64),0)</f>
        <v/>
      </c>
      <c r="F64" s="14">
        <f>IF(A64&lt;=$E$3,"donnée",IF(A64&lt;='Tableau_de_bord'!$C$16,"bourrage",""))</f>
        <v/>
      </c>
    </row>
    <row r="65">
      <c r="A65" s="14" t="n">
        <v>41</v>
      </c>
      <c r="B65" s="14">
        <f>IF(A65&gt;96,0,IF(INDEX($C$10:$C$21,INT((A65-1)/8)+1)="",0,MOD(INT(MOD(INDEX($C$10:$C$21,INT((A65-1)/8)+1),256)/2^(7-MOD(A65-1,8))),2)))</f>
        <v/>
      </c>
      <c r="C65" s="14">
        <f>IF(A65&gt;48,0,IF(INDEX($G$10:$G$21,INT((A65-1)/4)+1)="",0,MOD(INT(INDEX($G$10:$G$21,INT((A65-1)/4)+1)/2^(3-MOD(A65-1,4))),2)))</f>
        <v/>
      </c>
      <c r="D65" s="14">
        <f>IF(MID($B$8,A65,1)="1",1,0)</f>
        <v/>
      </c>
      <c r="E65" s="21">
        <f>IF(A65&lt;=$E$3,CHOOSE($B$6,B65,C65,D65),0)</f>
        <v/>
      </c>
      <c r="F65" s="14">
        <f>IF(A65&lt;=$E$3,"donnée",IF(A65&lt;='Tableau_de_bord'!$C$16,"bourrage",""))</f>
        <v/>
      </c>
    </row>
    <row r="66">
      <c r="A66" s="14" t="n">
        <v>42</v>
      </c>
      <c r="B66" s="14">
        <f>IF(A66&gt;96,0,IF(INDEX($C$10:$C$21,INT((A66-1)/8)+1)="",0,MOD(INT(MOD(INDEX($C$10:$C$21,INT((A66-1)/8)+1),256)/2^(7-MOD(A66-1,8))),2)))</f>
        <v/>
      </c>
      <c r="C66" s="14">
        <f>IF(A66&gt;48,0,IF(INDEX($G$10:$G$21,INT((A66-1)/4)+1)="",0,MOD(INT(INDEX($G$10:$G$21,INT((A66-1)/4)+1)/2^(3-MOD(A66-1,4))),2)))</f>
        <v/>
      </c>
      <c r="D66" s="14">
        <f>IF(MID($B$8,A66,1)="1",1,0)</f>
        <v/>
      </c>
      <c r="E66" s="21">
        <f>IF(A66&lt;=$E$3,CHOOSE($B$6,B66,C66,D66),0)</f>
        <v/>
      </c>
      <c r="F66" s="14">
        <f>IF(A66&lt;=$E$3,"donnée",IF(A66&lt;='Tableau_de_bord'!$C$16,"bourrage",""))</f>
        <v/>
      </c>
    </row>
    <row r="67">
      <c r="A67" s="14" t="n">
        <v>43</v>
      </c>
      <c r="B67" s="14">
        <f>IF(A67&gt;96,0,IF(INDEX($C$10:$C$21,INT((A67-1)/8)+1)="",0,MOD(INT(MOD(INDEX($C$10:$C$21,INT((A67-1)/8)+1),256)/2^(7-MOD(A67-1,8))),2)))</f>
        <v/>
      </c>
      <c r="C67" s="14">
        <f>IF(A67&gt;48,0,IF(INDEX($G$10:$G$21,INT((A67-1)/4)+1)="",0,MOD(INT(INDEX($G$10:$G$21,INT((A67-1)/4)+1)/2^(3-MOD(A67-1,4))),2)))</f>
        <v/>
      </c>
      <c r="D67" s="14">
        <f>IF(MID($B$8,A67,1)="1",1,0)</f>
        <v/>
      </c>
      <c r="E67" s="21">
        <f>IF(A67&lt;=$E$3,CHOOSE($B$6,B67,C67,D67),0)</f>
        <v/>
      </c>
      <c r="F67" s="14">
        <f>IF(A67&lt;=$E$3,"donnée",IF(A67&lt;='Tableau_de_bord'!$C$16,"bourrage",""))</f>
        <v/>
      </c>
    </row>
    <row r="68">
      <c r="A68" s="14" t="n">
        <v>44</v>
      </c>
      <c r="B68" s="14">
        <f>IF(A68&gt;96,0,IF(INDEX($C$10:$C$21,INT((A68-1)/8)+1)="",0,MOD(INT(MOD(INDEX($C$10:$C$21,INT((A68-1)/8)+1),256)/2^(7-MOD(A68-1,8))),2)))</f>
        <v/>
      </c>
      <c r="C68" s="14">
        <f>IF(A68&gt;48,0,IF(INDEX($G$10:$G$21,INT((A68-1)/4)+1)="",0,MOD(INT(INDEX($G$10:$G$21,INT((A68-1)/4)+1)/2^(3-MOD(A68-1,4))),2)))</f>
        <v/>
      </c>
      <c r="D68" s="14">
        <f>IF(MID($B$8,A68,1)="1",1,0)</f>
        <v/>
      </c>
      <c r="E68" s="21">
        <f>IF(A68&lt;=$E$3,CHOOSE($B$6,B68,C68,D68),0)</f>
        <v/>
      </c>
      <c r="F68" s="14">
        <f>IF(A68&lt;=$E$3,"donnée",IF(A68&lt;='Tableau_de_bord'!$C$16,"bourrage",""))</f>
        <v/>
      </c>
    </row>
    <row r="69">
      <c r="A69" s="14" t="n">
        <v>45</v>
      </c>
      <c r="B69" s="14">
        <f>IF(A69&gt;96,0,IF(INDEX($C$10:$C$21,INT((A69-1)/8)+1)="",0,MOD(INT(MOD(INDEX($C$10:$C$21,INT((A69-1)/8)+1),256)/2^(7-MOD(A69-1,8))),2)))</f>
        <v/>
      </c>
      <c r="C69" s="14">
        <f>IF(A69&gt;48,0,IF(INDEX($G$10:$G$21,INT((A69-1)/4)+1)="",0,MOD(INT(INDEX($G$10:$G$21,INT((A69-1)/4)+1)/2^(3-MOD(A69-1,4))),2)))</f>
        <v/>
      </c>
      <c r="D69" s="14">
        <f>IF(MID($B$8,A69,1)="1",1,0)</f>
        <v/>
      </c>
      <c r="E69" s="21">
        <f>IF(A69&lt;=$E$3,CHOOSE($B$6,B69,C69,D69),0)</f>
        <v/>
      </c>
      <c r="F69" s="14">
        <f>IF(A69&lt;=$E$3,"donnée",IF(A69&lt;='Tableau_de_bord'!$C$16,"bourrage",""))</f>
        <v/>
      </c>
    </row>
    <row r="70">
      <c r="A70" s="14" t="n">
        <v>46</v>
      </c>
      <c r="B70" s="14">
        <f>IF(A70&gt;96,0,IF(INDEX($C$10:$C$21,INT((A70-1)/8)+1)="",0,MOD(INT(MOD(INDEX($C$10:$C$21,INT((A70-1)/8)+1),256)/2^(7-MOD(A70-1,8))),2)))</f>
        <v/>
      </c>
      <c r="C70" s="14">
        <f>IF(A70&gt;48,0,IF(INDEX($G$10:$G$21,INT((A70-1)/4)+1)="",0,MOD(INT(INDEX($G$10:$G$21,INT((A70-1)/4)+1)/2^(3-MOD(A70-1,4))),2)))</f>
        <v/>
      </c>
      <c r="D70" s="14">
        <f>IF(MID($B$8,A70,1)="1",1,0)</f>
        <v/>
      </c>
      <c r="E70" s="21">
        <f>IF(A70&lt;=$E$3,CHOOSE($B$6,B70,C70,D70),0)</f>
        <v/>
      </c>
      <c r="F70" s="14">
        <f>IF(A70&lt;=$E$3,"donnée",IF(A70&lt;='Tableau_de_bord'!$C$16,"bourrage",""))</f>
        <v/>
      </c>
    </row>
    <row r="71">
      <c r="A71" s="14" t="n">
        <v>47</v>
      </c>
      <c r="B71" s="14">
        <f>IF(A71&gt;96,0,IF(INDEX($C$10:$C$21,INT((A71-1)/8)+1)="",0,MOD(INT(MOD(INDEX($C$10:$C$21,INT((A71-1)/8)+1),256)/2^(7-MOD(A71-1,8))),2)))</f>
        <v/>
      </c>
      <c r="C71" s="14">
        <f>IF(A71&gt;48,0,IF(INDEX($G$10:$G$21,INT((A71-1)/4)+1)="",0,MOD(INT(INDEX($G$10:$G$21,INT((A71-1)/4)+1)/2^(3-MOD(A71-1,4))),2)))</f>
        <v/>
      </c>
      <c r="D71" s="14">
        <f>IF(MID($B$8,A71,1)="1",1,0)</f>
        <v/>
      </c>
      <c r="E71" s="21">
        <f>IF(A71&lt;=$E$3,CHOOSE($B$6,B71,C71,D71),0)</f>
        <v/>
      </c>
      <c r="F71" s="14">
        <f>IF(A71&lt;=$E$3,"donnée",IF(A71&lt;='Tableau_de_bord'!$C$16,"bourrage",""))</f>
        <v/>
      </c>
    </row>
    <row r="72">
      <c r="A72" s="14" t="n">
        <v>48</v>
      </c>
      <c r="B72" s="14">
        <f>IF(A72&gt;96,0,IF(INDEX($C$10:$C$21,INT((A72-1)/8)+1)="",0,MOD(INT(MOD(INDEX($C$10:$C$21,INT((A72-1)/8)+1),256)/2^(7-MOD(A72-1,8))),2)))</f>
        <v/>
      </c>
      <c r="C72" s="14">
        <f>IF(A72&gt;48,0,IF(INDEX($G$10:$G$21,INT((A72-1)/4)+1)="",0,MOD(INT(INDEX($G$10:$G$21,INT((A72-1)/4)+1)/2^(3-MOD(A72-1,4))),2)))</f>
        <v/>
      </c>
      <c r="D72" s="14">
        <f>IF(MID($B$8,A72,1)="1",1,0)</f>
        <v/>
      </c>
      <c r="E72" s="21">
        <f>IF(A72&lt;=$E$3,CHOOSE($B$6,B72,C72,D72),0)</f>
        <v/>
      </c>
      <c r="F72" s="14">
        <f>IF(A72&lt;=$E$3,"donnée",IF(A72&lt;='Tableau_de_bord'!$C$16,"bourrage",""))</f>
        <v/>
      </c>
    </row>
    <row r="73">
      <c r="A73" s="14" t="n">
        <v>49</v>
      </c>
      <c r="B73" s="14">
        <f>IF(A73&gt;96,0,IF(INDEX($C$10:$C$21,INT((A73-1)/8)+1)="",0,MOD(INT(MOD(INDEX($C$10:$C$21,INT((A73-1)/8)+1),256)/2^(7-MOD(A73-1,8))),2)))</f>
        <v/>
      </c>
      <c r="C73" s="14">
        <f>IF(A73&gt;48,0,IF(INDEX($G$10:$G$21,INT((A73-1)/4)+1)="",0,MOD(INT(INDEX($G$10:$G$21,INT((A73-1)/4)+1)/2^(3-MOD(A73-1,4))),2)))</f>
        <v/>
      </c>
      <c r="D73" s="14">
        <f>IF(MID($B$8,A73,1)="1",1,0)</f>
        <v/>
      </c>
      <c r="E73" s="21">
        <f>IF(A73&lt;=$E$3,CHOOSE($B$6,B73,C73,D73),0)</f>
        <v/>
      </c>
      <c r="F73" s="14">
        <f>IF(A73&lt;=$E$3,"donnée",IF(A73&lt;='Tableau_de_bord'!$C$16,"bourrage",""))</f>
        <v/>
      </c>
    </row>
    <row r="74">
      <c r="A74" s="14" t="n">
        <v>50</v>
      </c>
      <c r="B74" s="14">
        <f>IF(A74&gt;96,0,IF(INDEX($C$10:$C$21,INT((A74-1)/8)+1)="",0,MOD(INT(MOD(INDEX($C$10:$C$21,INT((A74-1)/8)+1),256)/2^(7-MOD(A74-1,8))),2)))</f>
        <v/>
      </c>
      <c r="C74" s="14">
        <f>IF(A74&gt;48,0,IF(INDEX($G$10:$G$21,INT((A74-1)/4)+1)="",0,MOD(INT(INDEX($G$10:$G$21,INT((A74-1)/4)+1)/2^(3-MOD(A74-1,4))),2)))</f>
        <v/>
      </c>
      <c r="D74" s="14">
        <f>IF(MID($B$8,A74,1)="1",1,0)</f>
        <v/>
      </c>
      <c r="E74" s="21">
        <f>IF(A74&lt;=$E$3,CHOOSE($B$6,B74,C74,D74),0)</f>
        <v/>
      </c>
      <c r="F74" s="14">
        <f>IF(A74&lt;=$E$3,"donnée",IF(A74&lt;='Tableau_de_bord'!$C$16,"bourrage",""))</f>
        <v/>
      </c>
    </row>
    <row r="75">
      <c r="A75" s="14" t="n">
        <v>51</v>
      </c>
      <c r="B75" s="14">
        <f>IF(A75&gt;96,0,IF(INDEX($C$10:$C$21,INT((A75-1)/8)+1)="",0,MOD(INT(MOD(INDEX($C$10:$C$21,INT((A75-1)/8)+1),256)/2^(7-MOD(A75-1,8))),2)))</f>
        <v/>
      </c>
      <c r="C75" s="14">
        <f>IF(A75&gt;48,0,IF(INDEX($G$10:$G$21,INT((A75-1)/4)+1)="",0,MOD(INT(INDEX($G$10:$G$21,INT((A75-1)/4)+1)/2^(3-MOD(A75-1,4))),2)))</f>
        <v/>
      </c>
      <c r="D75" s="14">
        <f>IF(MID($B$8,A75,1)="1",1,0)</f>
        <v/>
      </c>
      <c r="E75" s="21">
        <f>IF(A75&lt;=$E$3,CHOOSE($B$6,B75,C75,D75),0)</f>
        <v/>
      </c>
      <c r="F75" s="14">
        <f>IF(A75&lt;=$E$3,"donnée",IF(A75&lt;='Tableau_de_bord'!$C$16,"bourrage",""))</f>
        <v/>
      </c>
    </row>
    <row r="76">
      <c r="A76" s="14" t="n">
        <v>52</v>
      </c>
      <c r="B76" s="14">
        <f>IF(A76&gt;96,0,IF(INDEX($C$10:$C$21,INT((A76-1)/8)+1)="",0,MOD(INT(MOD(INDEX($C$10:$C$21,INT((A76-1)/8)+1),256)/2^(7-MOD(A76-1,8))),2)))</f>
        <v/>
      </c>
      <c r="C76" s="14">
        <f>IF(A76&gt;48,0,IF(INDEX($G$10:$G$21,INT((A76-1)/4)+1)="",0,MOD(INT(INDEX($G$10:$G$21,INT((A76-1)/4)+1)/2^(3-MOD(A76-1,4))),2)))</f>
        <v/>
      </c>
      <c r="D76" s="14">
        <f>IF(MID($B$8,A76,1)="1",1,0)</f>
        <v/>
      </c>
      <c r="E76" s="21">
        <f>IF(A76&lt;=$E$3,CHOOSE($B$6,B76,C76,D76),0)</f>
        <v/>
      </c>
      <c r="F76" s="14">
        <f>IF(A76&lt;=$E$3,"donnée",IF(A76&lt;='Tableau_de_bord'!$C$16,"bourrage",""))</f>
        <v/>
      </c>
    </row>
    <row r="77">
      <c r="A77" s="14" t="n">
        <v>53</v>
      </c>
      <c r="B77" s="14">
        <f>IF(A77&gt;96,0,IF(INDEX($C$10:$C$21,INT((A77-1)/8)+1)="",0,MOD(INT(MOD(INDEX($C$10:$C$21,INT((A77-1)/8)+1),256)/2^(7-MOD(A77-1,8))),2)))</f>
        <v/>
      </c>
      <c r="C77" s="14">
        <f>IF(A77&gt;48,0,IF(INDEX($G$10:$G$21,INT((A77-1)/4)+1)="",0,MOD(INT(INDEX($G$10:$G$21,INT((A77-1)/4)+1)/2^(3-MOD(A77-1,4))),2)))</f>
        <v/>
      </c>
      <c r="D77" s="14">
        <f>IF(MID($B$8,A77,1)="1",1,0)</f>
        <v/>
      </c>
      <c r="E77" s="21">
        <f>IF(A77&lt;=$E$3,CHOOSE($B$6,B77,C77,D77),0)</f>
        <v/>
      </c>
      <c r="F77" s="14">
        <f>IF(A77&lt;=$E$3,"donnée",IF(A77&lt;='Tableau_de_bord'!$C$16,"bourrage",""))</f>
        <v/>
      </c>
    </row>
    <row r="78">
      <c r="A78" s="14" t="n">
        <v>54</v>
      </c>
      <c r="B78" s="14">
        <f>IF(A78&gt;96,0,IF(INDEX($C$10:$C$21,INT((A78-1)/8)+1)="",0,MOD(INT(MOD(INDEX($C$10:$C$21,INT((A78-1)/8)+1),256)/2^(7-MOD(A78-1,8))),2)))</f>
        <v/>
      </c>
      <c r="C78" s="14">
        <f>IF(A78&gt;48,0,IF(INDEX($G$10:$G$21,INT((A78-1)/4)+1)="",0,MOD(INT(INDEX($G$10:$G$21,INT((A78-1)/4)+1)/2^(3-MOD(A78-1,4))),2)))</f>
        <v/>
      </c>
      <c r="D78" s="14">
        <f>IF(MID($B$8,A78,1)="1",1,0)</f>
        <v/>
      </c>
      <c r="E78" s="21">
        <f>IF(A78&lt;=$E$3,CHOOSE($B$6,B78,C78,D78),0)</f>
        <v/>
      </c>
      <c r="F78" s="14">
        <f>IF(A78&lt;=$E$3,"donnée",IF(A78&lt;='Tableau_de_bord'!$C$16,"bourrage",""))</f>
        <v/>
      </c>
    </row>
    <row r="79">
      <c r="A79" s="14" t="n">
        <v>55</v>
      </c>
      <c r="B79" s="14">
        <f>IF(A79&gt;96,0,IF(INDEX($C$10:$C$21,INT((A79-1)/8)+1)="",0,MOD(INT(MOD(INDEX($C$10:$C$21,INT((A79-1)/8)+1),256)/2^(7-MOD(A79-1,8))),2)))</f>
        <v/>
      </c>
      <c r="C79" s="14">
        <f>IF(A79&gt;48,0,IF(INDEX($G$10:$G$21,INT((A79-1)/4)+1)="",0,MOD(INT(INDEX($G$10:$G$21,INT((A79-1)/4)+1)/2^(3-MOD(A79-1,4))),2)))</f>
        <v/>
      </c>
      <c r="D79" s="14">
        <f>IF(MID($B$8,A79,1)="1",1,0)</f>
        <v/>
      </c>
      <c r="E79" s="21">
        <f>IF(A79&lt;=$E$3,CHOOSE($B$6,B79,C79,D79),0)</f>
        <v/>
      </c>
      <c r="F79" s="14">
        <f>IF(A79&lt;=$E$3,"donnée",IF(A79&lt;='Tableau_de_bord'!$C$16,"bourrage",""))</f>
        <v/>
      </c>
    </row>
    <row r="80">
      <c r="A80" s="14" t="n">
        <v>56</v>
      </c>
      <c r="B80" s="14">
        <f>IF(A80&gt;96,0,IF(INDEX($C$10:$C$21,INT((A80-1)/8)+1)="",0,MOD(INT(MOD(INDEX($C$10:$C$21,INT((A80-1)/8)+1),256)/2^(7-MOD(A80-1,8))),2)))</f>
        <v/>
      </c>
      <c r="C80" s="14">
        <f>IF(A80&gt;48,0,IF(INDEX($G$10:$G$21,INT((A80-1)/4)+1)="",0,MOD(INT(INDEX($G$10:$G$21,INT((A80-1)/4)+1)/2^(3-MOD(A80-1,4))),2)))</f>
        <v/>
      </c>
      <c r="D80" s="14">
        <f>IF(MID($B$8,A80,1)="1",1,0)</f>
        <v/>
      </c>
      <c r="E80" s="21">
        <f>IF(A80&lt;=$E$3,CHOOSE($B$6,B80,C80,D80),0)</f>
        <v/>
      </c>
      <c r="F80" s="14">
        <f>IF(A80&lt;=$E$3,"donnée",IF(A80&lt;='Tableau_de_bord'!$C$16,"bourrage",""))</f>
        <v/>
      </c>
    </row>
    <row r="81">
      <c r="A81" s="14" t="n">
        <v>57</v>
      </c>
      <c r="B81" s="14">
        <f>IF(A81&gt;96,0,IF(INDEX($C$10:$C$21,INT((A81-1)/8)+1)="",0,MOD(INT(MOD(INDEX($C$10:$C$21,INT((A81-1)/8)+1),256)/2^(7-MOD(A81-1,8))),2)))</f>
        <v/>
      </c>
      <c r="C81" s="14">
        <f>IF(A81&gt;48,0,IF(INDEX($G$10:$G$21,INT((A81-1)/4)+1)="",0,MOD(INT(INDEX($G$10:$G$21,INT((A81-1)/4)+1)/2^(3-MOD(A81-1,4))),2)))</f>
        <v/>
      </c>
      <c r="D81" s="14">
        <f>IF(MID($B$8,A81,1)="1",1,0)</f>
        <v/>
      </c>
      <c r="E81" s="21">
        <f>IF(A81&lt;=$E$3,CHOOSE($B$6,B81,C81,D81),0)</f>
        <v/>
      </c>
      <c r="F81" s="14">
        <f>IF(A81&lt;=$E$3,"donnée",IF(A81&lt;='Tableau_de_bord'!$C$16,"bourrage",""))</f>
        <v/>
      </c>
    </row>
    <row r="82">
      <c r="A82" s="14" t="n">
        <v>58</v>
      </c>
      <c r="B82" s="14">
        <f>IF(A82&gt;96,0,IF(INDEX($C$10:$C$21,INT((A82-1)/8)+1)="",0,MOD(INT(MOD(INDEX($C$10:$C$21,INT((A82-1)/8)+1),256)/2^(7-MOD(A82-1,8))),2)))</f>
        <v/>
      </c>
      <c r="C82" s="14">
        <f>IF(A82&gt;48,0,IF(INDEX($G$10:$G$21,INT((A82-1)/4)+1)="",0,MOD(INT(INDEX($G$10:$G$21,INT((A82-1)/4)+1)/2^(3-MOD(A82-1,4))),2)))</f>
        <v/>
      </c>
      <c r="D82" s="14">
        <f>IF(MID($B$8,A82,1)="1",1,0)</f>
        <v/>
      </c>
      <c r="E82" s="21">
        <f>IF(A82&lt;=$E$3,CHOOSE($B$6,B82,C82,D82),0)</f>
        <v/>
      </c>
      <c r="F82" s="14">
        <f>IF(A82&lt;=$E$3,"donnée",IF(A82&lt;='Tableau_de_bord'!$C$16,"bourrage",""))</f>
        <v/>
      </c>
    </row>
    <row r="83">
      <c r="A83" s="14" t="n">
        <v>59</v>
      </c>
      <c r="B83" s="14">
        <f>IF(A83&gt;96,0,IF(INDEX($C$10:$C$21,INT((A83-1)/8)+1)="",0,MOD(INT(MOD(INDEX($C$10:$C$21,INT((A83-1)/8)+1),256)/2^(7-MOD(A83-1,8))),2)))</f>
        <v/>
      </c>
      <c r="C83" s="14">
        <f>IF(A83&gt;48,0,IF(INDEX($G$10:$G$21,INT((A83-1)/4)+1)="",0,MOD(INT(INDEX($G$10:$G$21,INT((A83-1)/4)+1)/2^(3-MOD(A83-1,4))),2)))</f>
        <v/>
      </c>
      <c r="D83" s="14">
        <f>IF(MID($B$8,A83,1)="1",1,0)</f>
        <v/>
      </c>
      <c r="E83" s="21">
        <f>IF(A83&lt;=$E$3,CHOOSE($B$6,B83,C83,D83),0)</f>
        <v/>
      </c>
      <c r="F83" s="14">
        <f>IF(A83&lt;=$E$3,"donnée",IF(A83&lt;='Tableau_de_bord'!$C$16,"bourrage",""))</f>
        <v/>
      </c>
    </row>
    <row r="84">
      <c r="A84" s="14" t="n">
        <v>60</v>
      </c>
      <c r="B84" s="14">
        <f>IF(A84&gt;96,0,IF(INDEX($C$10:$C$21,INT((A84-1)/8)+1)="",0,MOD(INT(MOD(INDEX($C$10:$C$21,INT((A84-1)/8)+1),256)/2^(7-MOD(A84-1,8))),2)))</f>
        <v/>
      </c>
      <c r="C84" s="14">
        <f>IF(A84&gt;48,0,IF(INDEX($G$10:$G$21,INT((A84-1)/4)+1)="",0,MOD(INT(INDEX($G$10:$G$21,INT((A84-1)/4)+1)/2^(3-MOD(A84-1,4))),2)))</f>
        <v/>
      </c>
      <c r="D84" s="14">
        <f>IF(MID($B$8,A84,1)="1",1,0)</f>
        <v/>
      </c>
      <c r="E84" s="21">
        <f>IF(A84&lt;=$E$3,CHOOSE($B$6,B84,C84,D84),0)</f>
        <v/>
      </c>
      <c r="F84" s="14">
        <f>IF(A84&lt;=$E$3,"donnée",IF(A84&lt;='Tableau_de_bord'!$C$16,"bourrage",""))</f>
        <v/>
      </c>
    </row>
    <row r="85">
      <c r="A85" s="14" t="n">
        <v>61</v>
      </c>
      <c r="B85" s="14">
        <f>IF(A85&gt;96,0,IF(INDEX($C$10:$C$21,INT((A85-1)/8)+1)="",0,MOD(INT(MOD(INDEX($C$10:$C$21,INT((A85-1)/8)+1),256)/2^(7-MOD(A85-1,8))),2)))</f>
        <v/>
      </c>
      <c r="C85" s="14">
        <f>IF(A85&gt;48,0,IF(INDEX($G$10:$G$21,INT((A85-1)/4)+1)="",0,MOD(INT(INDEX($G$10:$G$21,INT((A85-1)/4)+1)/2^(3-MOD(A85-1,4))),2)))</f>
        <v/>
      </c>
      <c r="D85" s="14">
        <f>IF(MID($B$8,A85,1)="1",1,0)</f>
        <v/>
      </c>
      <c r="E85" s="21">
        <f>IF(A85&lt;=$E$3,CHOOSE($B$6,B85,C85,D85),0)</f>
        <v/>
      </c>
      <c r="F85" s="14">
        <f>IF(A85&lt;=$E$3,"donnée",IF(A85&lt;='Tableau_de_bord'!$C$16,"bourrage",""))</f>
        <v/>
      </c>
    </row>
    <row r="86">
      <c r="A86" s="14" t="n">
        <v>62</v>
      </c>
      <c r="B86" s="14">
        <f>IF(A86&gt;96,0,IF(INDEX($C$10:$C$21,INT((A86-1)/8)+1)="",0,MOD(INT(MOD(INDEX($C$10:$C$21,INT((A86-1)/8)+1),256)/2^(7-MOD(A86-1,8))),2)))</f>
        <v/>
      </c>
      <c r="C86" s="14">
        <f>IF(A86&gt;48,0,IF(INDEX($G$10:$G$21,INT((A86-1)/4)+1)="",0,MOD(INT(INDEX($G$10:$G$21,INT((A86-1)/4)+1)/2^(3-MOD(A86-1,4))),2)))</f>
        <v/>
      </c>
      <c r="D86" s="14">
        <f>IF(MID($B$8,A86,1)="1",1,0)</f>
        <v/>
      </c>
      <c r="E86" s="21">
        <f>IF(A86&lt;=$E$3,CHOOSE($B$6,B86,C86,D86),0)</f>
        <v/>
      </c>
      <c r="F86" s="14">
        <f>IF(A86&lt;=$E$3,"donnée",IF(A86&lt;='Tableau_de_bord'!$C$16,"bourrage",""))</f>
        <v/>
      </c>
    </row>
    <row r="87">
      <c r="A87" s="14" t="n">
        <v>63</v>
      </c>
      <c r="B87" s="14">
        <f>IF(A87&gt;96,0,IF(INDEX($C$10:$C$21,INT((A87-1)/8)+1)="",0,MOD(INT(MOD(INDEX($C$10:$C$21,INT((A87-1)/8)+1),256)/2^(7-MOD(A87-1,8))),2)))</f>
        <v/>
      </c>
      <c r="C87" s="14">
        <f>IF(A87&gt;48,0,IF(INDEX($G$10:$G$21,INT((A87-1)/4)+1)="",0,MOD(INT(INDEX($G$10:$G$21,INT((A87-1)/4)+1)/2^(3-MOD(A87-1,4))),2)))</f>
        <v/>
      </c>
      <c r="D87" s="14">
        <f>IF(MID($B$8,A87,1)="1",1,0)</f>
        <v/>
      </c>
      <c r="E87" s="21">
        <f>IF(A87&lt;=$E$3,CHOOSE($B$6,B87,C87,D87),0)</f>
        <v/>
      </c>
      <c r="F87" s="14">
        <f>IF(A87&lt;=$E$3,"donnée",IF(A87&lt;='Tableau_de_bord'!$C$16,"bourrage",""))</f>
        <v/>
      </c>
    </row>
    <row r="88">
      <c r="A88" s="14" t="n">
        <v>64</v>
      </c>
      <c r="B88" s="14">
        <f>IF(A88&gt;96,0,IF(INDEX($C$10:$C$21,INT((A88-1)/8)+1)="",0,MOD(INT(MOD(INDEX($C$10:$C$21,INT((A88-1)/8)+1),256)/2^(7-MOD(A88-1,8))),2)))</f>
        <v/>
      </c>
      <c r="C88" s="14">
        <f>IF(A88&gt;48,0,IF(INDEX($G$10:$G$21,INT((A88-1)/4)+1)="",0,MOD(INT(INDEX($G$10:$G$21,INT((A88-1)/4)+1)/2^(3-MOD(A88-1,4))),2)))</f>
        <v/>
      </c>
      <c r="D88" s="14">
        <f>IF(MID($B$8,A88,1)="1",1,0)</f>
        <v/>
      </c>
      <c r="E88" s="21">
        <f>IF(A88&lt;=$E$3,CHOOSE($B$6,B88,C88,D88),0)</f>
        <v/>
      </c>
      <c r="F88" s="14">
        <f>IF(A88&lt;=$E$3,"donnée",IF(A88&lt;='Tableau_de_bord'!$C$16,"bourrage",""))</f>
        <v/>
      </c>
    </row>
    <row r="89">
      <c r="A89" s="14" t="n">
        <v>65</v>
      </c>
      <c r="B89" s="14">
        <f>IF(A89&gt;96,0,IF(INDEX($C$10:$C$21,INT((A89-1)/8)+1)="",0,MOD(INT(MOD(INDEX($C$10:$C$21,INT((A89-1)/8)+1),256)/2^(7-MOD(A89-1,8))),2)))</f>
        <v/>
      </c>
      <c r="C89" s="14">
        <f>IF(A89&gt;48,0,IF(INDEX($G$10:$G$21,INT((A89-1)/4)+1)="",0,MOD(INT(INDEX($G$10:$G$21,INT((A89-1)/4)+1)/2^(3-MOD(A89-1,4))),2)))</f>
        <v/>
      </c>
      <c r="D89" s="14">
        <f>IF(MID($B$8,A89,1)="1",1,0)</f>
        <v/>
      </c>
      <c r="E89" s="21">
        <f>IF(A89&lt;=$E$3,CHOOSE($B$6,B89,C89,D89),0)</f>
        <v/>
      </c>
      <c r="F89" s="14">
        <f>IF(A89&lt;=$E$3,"donnée",IF(A89&lt;='Tableau_de_bord'!$C$16,"bourrage",""))</f>
        <v/>
      </c>
    </row>
    <row r="90">
      <c r="A90" s="14" t="n">
        <v>66</v>
      </c>
      <c r="B90" s="14">
        <f>IF(A90&gt;96,0,IF(INDEX($C$10:$C$21,INT((A90-1)/8)+1)="",0,MOD(INT(MOD(INDEX($C$10:$C$21,INT((A90-1)/8)+1),256)/2^(7-MOD(A90-1,8))),2)))</f>
        <v/>
      </c>
      <c r="C90" s="14">
        <f>IF(A90&gt;48,0,IF(INDEX($G$10:$G$21,INT((A90-1)/4)+1)="",0,MOD(INT(INDEX($G$10:$G$21,INT((A90-1)/4)+1)/2^(3-MOD(A90-1,4))),2)))</f>
        <v/>
      </c>
      <c r="D90" s="14">
        <f>IF(MID($B$8,A90,1)="1",1,0)</f>
        <v/>
      </c>
      <c r="E90" s="21">
        <f>IF(A90&lt;=$E$3,CHOOSE($B$6,B90,C90,D90),0)</f>
        <v/>
      </c>
      <c r="F90" s="14">
        <f>IF(A90&lt;=$E$3,"donnée",IF(A90&lt;='Tableau_de_bord'!$C$16,"bourrage",""))</f>
        <v/>
      </c>
    </row>
    <row r="91">
      <c r="A91" s="14" t="n">
        <v>67</v>
      </c>
      <c r="B91" s="14">
        <f>IF(A91&gt;96,0,IF(INDEX($C$10:$C$21,INT((A91-1)/8)+1)="",0,MOD(INT(MOD(INDEX($C$10:$C$21,INT((A91-1)/8)+1),256)/2^(7-MOD(A91-1,8))),2)))</f>
        <v/>
      </c>
      <c r="C91" s="14">
        <f>IF(A91&gt;48,0,IF(INDEX($G$10:$G$21,INT((A91-1)/4)+1)="",0,MOD(INT(INDEX($G$10:$G$21,INT((A91-1)/4)+1)/2^(3-MOD(A91-1,4))),2)))</f>
        <v/>
      </c>
      <c r="D91" s="14">
        <f>IF(MID($B$8,A91,1)="1",1,0)</f>
        <v/>
      </c>
      <c r="E91" s="21">
        <f>IF(A91&lt;=$E$3,CHOOSE($B$6,B91,C91,D91),0)</f>
        <v/>
      </c>
      <c r="F91" s="14">
        <f>IF(A91&lt;=$E$3,"donnée",IF(A91&lt;='Tableau_de_bord'!$C$16,"bourrage",""))</f>
        <v/>
      </c>
    </row>
    <row r="92">
      <c r="A92" s="14" t="n">
        <v>68</v>
      </c>
      <c r="B92" s="14">
        <f>IF(A92&gt;96,0,IF(INDEX($C$10:$C$21,INT((A92-1)/8)+1)="",0,MOD(INT(MOD(INDEX($C$10:$C$21,INT((A92-1)/8)+1),256)/2^(7-MOD(A92-1,8))),2)))</f>
        <v/>
      </c>
      <c r="C92" s="14">
        <f>IF(A92&gt;48,0,IF(INDEX($G$10:$G$21,INT((A92-1)/4)+1)="",0,MOD(INT(INDEX($G$10:$G$21,INT((A92-1)/4)+1)/2^(3-MOD(A92-1,4))),2)))</f>
        <v/>
      </c>
      <c r="D92" s="14">
        <f>IF(MID($B$8,A92,1)="1",1,0)</f>
        <v/>
      </c>
      <c r="E92" s="21">
        <f>IF(A92&lt;=$E$3,CHOOSE($B$6,B92,C92,D92),0)</f>
        <v/>
      </c>
      <c r="F92" s="14">
        <f>IF(A92&lt;=$E$3,"donnée",IF(A92&lt;='Tableau_de_bord'!$C$16,"bourrage",""))</f>
        <v/>
      </c>
    </row>
    <row r="93">
      <c r="A93" s="14" t="n">
        <v>69</v>
      </c>
      <c r="B93" s="14">
        <f>IF(A93&gt;96,0,IF(INDEX($C$10:$C$21,INT((A93-1)/8)+1)="",0,MOD(INT(MOD(INDEX($C$10:$C$21,INT((A93-1)/8)+1),256)/2^(7-MOD(A93-1,8))),2)))</f>
        <v/>
      </c>
      <c r="C93" s="14">
        <f>IF(A93&gt;48,0,IF(INDEX($G$10:$G$21,INT((A93-1)/4)+1)="",0,MOD(INT(INDEX($G$10:$G$21,INT((A93-1)/4)+1)/2^(3-MOD(A93-1,4))),2)))</f>
        <v/>
      </c>
      <c r="D93" s="14">
        <f>IF(MID($B$8,A93,1)="1",1,0)</f>
        <v/>
      </c>
      <c r="E93" s="21">
        <f>IF(A93&lt;=$E$3,CHOOSE($B$6,B93,C93,D93),0)</f>
        <v/>
      </c>
      <c r="F93" s="14">
        <f>IF(A93&lt;=$E$3,"donnée",IF(A93&lt;='Tableau_de_bord'!$C$16,"bourrage",""))</f>
        <v/>
      </c>
    </row>
    <row r="94">
      <c r="A94" s="14" t="n">
        <v>70</v>
      </c>
      <c r="B94" s="14">
        <f>IF(A94&gt;96,0,IF(INDEX($C$10:$C$21,INT((A94-1)/8)+1)="",0,MOD(INT(MOD(INDEX($C$10:$C$21,INT((A94-1)/8)+1),256)/2^(7-MOD(A94-1,8))),2)))</f>
        <v/>
      </c>
      <c r="C94" s="14">
        <f>IF(A94&gt;48,0,IF(INDEX($G$10:$G$21,INT((A94-1)/4)+1)="",0,MOD(INT(INDEX($G$10:$G$21,INT((A94-1)/4)+1)/2^(3-MOD(A94-1,4))),2)))</f>
        <v/>
      </c>
      <c r="D94" s="14">
        <f>IF(MID($B$8,A94,1)="1",1,0)</f>
        <v/>
      </c>
      <c r="E94" s="21">
        <f>IF(A94&lt;=$E$3,CHOOSE($B$6,B94,C94,D94),0)</f>
        <v/>
      </c>
      <c r="F94" s="14">
        <f>IF(A94&lt;=$E$3,"donnée",IF(A94&lt;='Tableau_de_bord'!$C$16,"bourrage",""))</f>
        <v/>
      </c>
    </row>
    <row r="95">
      <c r="A95" s="14" t="n">
        <v>71</v>
      </c>
      <c r="B95" s="14">
        <f>IF(A95&gt;96,0,IF(INDEX($C$10:$C$21,INT((A95-1)/8)+1)="",0,MOD(INT(MOD(INDEX($C$10:$C$21,INT((A95-1)/8)+1),256)/2^(7-MOD(A95-1,8))),2)))</f>
        <v/>
      </c>
      <c r="C95" s="14">
        <f>IF(A95&gt;48,0,IF(INDEX($G$10:$G$21,INT((A95-1)/4)+1)="",0,MOD(INT(INDEX($G$10:$G$21,INT((A95-1)/4)+1)/2^(3-MOD(A95-1,4))),2)))</f>
        <v/>
      </c>
      <c r="D95" s="14">
        <f>IF(MID($B$8,A95,1)="1",1,0)</f>
        <v/>
      </c>
      <c r="E95" s="21">
        <f>IF(A95&lt;=$E$3,CHOOSE($B$6,B95,C95,D95),0)</f>
        <v/>
      </c>
      <c r="F95" s="14">
        <f>IF(A95&lt;=$E$3,"donnée",IF(A95&lt;='Tableau_de_bord'!$C$16,"bourrage",""))</f>
        <v/>
      </c>
    </row>
    <row r="96">
      <c r="A96" s="14" t="n">
        <v>72</v>
      </c>
      <c r="B96" s="14">
        <f>IF(A96&gt;96,0,IF(INDEX($C$10:$C$21,INT((A96-1)/8)+1)="",0,MOD(INT(MOD(INDEX($C$10:$C$21,INT((A96-1)/8)+1),256)/2^(7-MOD(A96-1,8))),2)))</f>
        <v/>
      </c>
      <c r="C96" s="14">
        <f>IF(A96&gt;48,0,IF(INDEX($G$10:$G$21,INT((A96-1)/4)+1)="",0,MOD(INT(INDEX($G$10:$G$21,INT((A96-1)/4)+1)/2^(3-MOD(A96-1,4))),2)))</f>
        <v/>
      </c>
      <c r="D96" s="14">
        <f>IF(MID($B$8,A96,1)="1",1,0)</f>
        <v/>
      </c>
      <c r="E96" s="21">
        <f>IF(A96&lt;=$E$3,CHOOSE($B$6,B96,C96,D96),0)</f>
        <v/>
      </c>
      <c r="F96" s="14">
        <f>IF(A96&lt;=$E$3,"donnée",IF(A96&lt;='Tableau_de_bord'!$C$16,"bourrage",""))</f>
        <v/>
      </c>
    </row>
    <row r="97">
      <c r="A97" s="14" t="n">
        <v>73</v>
      </c>
      <c r="B97" s="14">
        <f>IF(A97&gt;96,0,IF(INDEX($C$10:$C$21,INT((A97-1)/8)+1)="",0,MOD(INT(MOD(INDEX($C$10:$C$21,INT((A97-1)/8)+1),256)/2^(7-MOD(A97-1,8))),2)))</f>
        <v/>
      </c>
      <c r="C97" s="14">
        <f>IF(A97&gt;48,0,IF(INDEX($G$10:$G$21,INT((A97-1)/4)+1)="",0,MOD(INT(INDEX($G$10:$G$21,INT((A97-1)/4)+1)/2^(3-MOD(A97-1,4))),2)))</f>
        <v/>
      </c>
      <c r="D97" s="14">
        <f>IF(MID($B$8,A97,1)="1",1,0)</f>
        <v/>
      </c>
      <c r="E97" s="21">
        <f>IF(A97&lt;=$E$3,CHOOSE($B$6,B97,C97,D97),0)</f>
        <v/>
      </c>
      <c r="F97" s="14">
        <f>IF(A97&lt;=$E$3,"donnée",IF(A97&lt;='Tableau_de_bord'!$C$16,"bourrage",""))</f>
        <v/>
      </c>
    </row>
    <row r="98">
      <c r="A98" s="14" t="n">
        <v>74</v>
      </c>
      <c r="B98" s="14">
        <f>IF(A98&gt;96,0,IF(INDEX($C$10:$C$21,INT((A98-1)/8)+1)="",0,MOD(INT(MOD(INDEX($C$10:$C$21,INT((A98-1)/8)+1),256)/2^(7-MOD(A98-1,8))),2)))</f>
        <v/>
      </c>
      <c r="C98" s="14">
        <f>IF(A98&gt;48,0,IF(INDEX($G$10:$G$21,INT((A98-1)/4)+1)="",0,MOD(INT(INDEX($G$10:$G$21,INT((A98-1)/4)+1)/2^(3-MOD(A98-1,4))),2)))</f>
        <v/>
      </c>
      <c r="D98" s="14">
        <f>IF(MID($B$8,A98,1)="1",1,0)</f>
        <v/>
      </c>
      <c r="E98" s="21">
        <f>IF(A98&lt;=$E$3,CHOOSE($B$6,B98,C98,D98),0)</f>
        <v/>
      </c>
      <c r="F98" s="14">
        <f>IF(A98&lt;=$E$3,"donnée",IF(A98&lt;='Tableau_de_bord'!$C$16,"bourrage",""))</f>
        <v/>
      </c>
    </row>
    <row r="99">
      <c r="A99" s="14" t="n">
        <v>75</v>
      </c>
      <c r="B99" s="14">
        <f>IF(A99&gt;96,0,IF(INDEX($C$10:$C$21,INT((A99-1)/8)+1)="",0,MOD(INT(MOD(INDEX($C$10:$C$21,INT((A99-1)/8)+1),256)/2^(7-MOD(A99-1,8))),2)))</f>
        <v/>
      </c>
      <c r="C99" s="14">
        <f>IF(A99&gt;48,0,IF(INDEX($G$10:$G$21,INT((A99-1)/4)+1)="",0,MOD(INT(INDEX($G$10:$G$21,INT((A99-1)/4)+1)/2^(3-MOD(A99-1,4))),2)))</f>
        <v/>
      </c>
      <c r="D99" s="14">
        <f>IF(MID($B$8,A99,1)="1",1,0)</f>
        <v/>
      </c>
      <c r="E99" s="21">
        <f>IF(A99&lt;=$E$3,CHOOSE($B$6,B99,C99,D99),0)</f>
        <v/>
      </c>
      <c r="F99" s="14">
        <f>IF(A99&lt;=$E$3,"donnée",IF(A99&lt;='Tableau_de_bord'!$C$16,"bourrage",""))</f>
        <v/>
      </c>
    </row>
    <row r="100">
      <c r="A100" s="14" t="n">
        <v>76</v>
      </c>
      <c r="B100" s="14">
        <f>IF(A100&gt;96,0,IF(INDEX($C$10:$C$21,INT((A100-1)/8)+1)="",0,MOD(INT(MOD(INDEX($C$10:$C$21,INT((A100-1)/8)+1),256)/2^(7-MOD(A100-1,8))),2)))</f>
        <v/>
      </c>
      <c r="C100" s="14">
        <f>IF(A100&gt;48,0,IF(INDEX($G$10:$G$21,INT((A100-1)/4)+1)="",0,MOD(INT(INDEX($G$10:$G$21,INT((A100-1)/4)+1)/2^(3-MOD(A100-1,4))),2)))</f>
        <v/>
      </c>
      <c r="D100" s="14">
        <f>IF(MID($B$8,A100,1)="1",1,0)</f>
        <v/>
      </c>
      <c r="E100" s="21">
        <f>IF(A100&lt;=$E$3,CHOOSE($B$6,B100,C100,D100),0)</f>
        <v/>
      </c>
      <c r="F100" s="14">
        <f>IF(A100&lt;=$E$3,"donnée",IF(A100&lt;='Tableau_de_bord'!$C$16,"bourrage",""))</f>
        <v/>
      </c>
    </row>
    <row r="101">
      <c r="A101" s="14" t="n">
        <v>77</v>
      </c>
      <c r="B101" s="14">
        <f>IF(A101&gt;96,0,IF(INDEX($C$10:$C$21,INT((A101-1)/8)+1)="",0,MOD(INT(MOD(INDEX($C$10:$C$21,INT((A101-1)/8)+1),256)/2^(7-MOD(A101-1,8))),2)))</f>
        <v/>
      </c>
      <c r="C101" s="14">
        <f>IF(A101&gt;48,0,IF(INDEX($G$10:$G$21,INT((A101-1)/4)+1)="",0,MOD(INT(INDEX($G$10:$G$21,INT((A101-1)/4)+1)/2^(3-MOD(A101-1,4))),2)))</f>
        <v/>
      </c>
      <c r="D101" s="14">
        <f>IF(MID($B$8,A101,1)="1",1,0)</f>
        <v/>
      </c>
      <c r="E101" s="21">
        <f>IF(A101&lt;=$E$3,CHOOSE($B$6,B101,C101,D101),0)</f>
        <v/>
      </c>
      <c r="F101" s="14">
        <f>IF(A101&lt;=$E$3,"donnée",IF(A101&lt;='Tableau_de_bord'!$C$16,"bourrage",""))</f>
        <v/>
      </c>
    </row>
    <row r="102">
      <c r="A102" s="14" t="n">
        <v>78</v>
      </c>
      <c r="B102" s="14">
        <f>IF(A102&gt;96,0,IF(INDEX($C$10:$C$21,INT((A102-1)/8)+1)="",0,MOD(INT(MOD(INDEX($C$10:$C$21,INT((A102-1)/8)+1),256)/2^(7-MOD(A102-1,8))),2)))</f>
        <v/>
      </c>
      <c r="C102" s="14">
        <f>IF(A102&gt;48,0,IF(INDEX($G$10:$G$21,INT((A102-1)/4)+1)="",0,MOD(INT(INDEX($G$10:$G$21,INT((A102-1)/4)+1)/2^(3-MOD(A102-1,4))),2)))</f>
        <v/>
      </c>
      <c r="D102" s="14">
        <f>IF(MID($B$8,A102,1)="1",1,0)</f>
        <v/>
      </c>
      <c r="E102" s="21">
        <f>IF(A102&lt;=$E$3,CHOOSE($B$6,B102,C102,D102),0)</f>
        <v/>
      </c>
      <c r="F102" s="14">
        <f>IF(A102&lt;=$E$3,"donnée",IF(A102&lt;='Tableau_de_bord'!$C$16,"bourrage",""))</f>
        <v/>
      </c>
    </row>
    <row r="103">
      <c r="A103" s="14" t="n">
        <v>79</v>
      </c>
      <c r="B103" s="14">
        <f>IF(A103&gt;96,0,IF(INDEX($C$10:$C$21,INT((A103-1)/8)+1)="",0,MOD(INT(MOD(INDEX($C$10:$C$21,INT((A103-1)/8)+1),256)/2^(7-MOD(A103-1,8))),2)))</f>
        <v/>
      </c>
      <c r="C103" s="14">
        <f>IF(A103&gt;48,0,IF(INDEX($G$10:$G$21,INT((A103-1)/4)+1)="",0,MOD(INT(INDEX($G$10:$G$21,INT((A103-1)/4)+1)/2^(3-MOD(A103-1,4))),2)))</f>
        <v/>
      </c>
      <c r="D103" s="14">
        <f>IF(MID($B$8,A103,1)="1",1,0)</f>
        <v/>
      </c>
      <c r="E103" s="21">
        <f>IF(A103&lt;=$E$3,CHOOSE($B$6,B103,C103,D103),0)</f>
        <v/>
      </c>
      <c r="F103" s="14">
        <f>IF(A103&lt;=$E$3,"donnée",IF(A103&lt;='Tableau_de_bord'!$C$16,"bourrage",""))</f>
        <v/>
      </c>
    </row>
    <row r="104">
      <c r="A104" s="14" t="n">
        <v>80</v>
      </c>
      <c r="B104" s="14">
        <f>IF(A104&gt;96,0,IF(INDEX($C$10:$C$21,INT((A104-1)/8)+1)="",0,MOD(INT(MOD(INDEX($C$10:$C$21,INT((A104-1)/8)+1),256)/2^(7-MOD(A104-1,8))),2)))</f>
        <v/>
      </c>
      <c r="C104" s="14">
        <f>IF(A104&gt;48,0,IF(INDEX($G$10:$G$21,INT((A104-1)/4)+1)="",0,MOD(INT(INDEX($G$10:$G$21,INT((A104-1)/4)+1)/2^(3-MOD(A104-1,4))),2)))</f>
        <v/>
      </c>
      <c r="D104" s="14">
        <f>IF(MID($B$8,A104,1)="1",1,0)</f>
        <v/>
      </c>
      <c r="E104" s="21">
        <f>IF(A104&lt;=$E$3,CHOOSE($B$6,B104,C104,D104),0)</f>
        <v/>
      </c>
      <c r="F104" s="14">
        <f>IF(A104&lt;=$E$3,"donnée",IF(A104&lt;='Tableau_de_bord'!$C$16,"bourrage",""))</f>
        <v/>
      </c>
    </row>
    <row r="105">
      <c r="A105" s="14" t="n">
        <v>81</v>
      </c>
      <c r="B105" s="14">
        <f>IF(A105&gt;96,0,IF(INDEX($C$10:$C$21,INT((A105-1)/8)+1)="",0,MOD(INT(MOD(INDEX($C$10:$C$21,INT((A105-1)/8)+1),256)/2^(7-MOD(A105-1,8))),2)))</f>
        <v/>
      </c>
      <c r="C105" s="14">
        <f>IF(A105&gt;48,0,IF(INDEX($G$10:$G$21,INT((A105-1)/4)+1)="",0,MOD(INT(INDEX($G$10:$G$21,INT((A105-1)/4)+1)/2^(3-MOD(A105-1,4))),2)))</f>
        <v/>
      </c>
      <c r="D105" s="14">
        <f>IF(MID($B$8,A105,1)="1",1,0)</f>
        <v/>
      </c>
      <c r="E105" s="21">
        <f>IF(A105&lt;=$E$3,CHOOSE($B$6,B105,C105,D105),0)</f>
        <v/>
      </c>
      <c r="F105" s="14">
        <f>IF(A105&lt;=$E$3,"donnée",IF(A105&lt;='Tableau_de_bord'!$C$16,"bourrage",""))</f>
        <v/>
      </c>
    </row>
    <row r="106">
      <c r="A106" s="14" t="n">
        <v>82</v>
      </c>
      <c r="B106" s="14">
        <f>IF(A106&gt;96,0,IF(INDEX($C$10:$C$21,INT((A106-1)/8)+1)="",0,MOD(INT(MOD(INDEX($C$10:$C$21,INT((A106-1)/8)+1),256)/2^(7-MOD(A106-1,8))),2)))</f>
        <v/>
      </c>
      <c r="C106" s="14">
        <f>IF(A106&gt;48,0,IF(INDEX($G$10:$G$21,INT((A106-1)/4)+1)="",0,MOD(INT(INDEX($G$10:$G$21,INT((A106-1)/4)+1)/2^(3-MOD(A106-1,4))),2)))</f>
        <v/>
      </c>
      <c r="D106" s="14">
        <f>IF(MID($B$8,A106,1)="1",1,0)</f>
        <v/>
      </c>
      <c r="E106" s="21">
        <f>IF(A106&lt;=$E$3,CHOOSE($B$6,B106,C106,D106),0)</f>
        <v/>
      </c>
      <c r="F106" s="14">
        <f>IF(A106&lt;=$E$3,"donnée",IF(A106&lt;='Tableau_de_bord'!$C$16,"bourrage",""))</f>
        <v/>
      </c>
    </row>
    <row r="107">
      <c r="A107" s="14" t="n">
        <v>83</v>
      </c>
      <c r="B107" s="14">
        <f>IF(A107&gt;96,0,IF(INDEX($C$10:$C$21,INT((A107-1)/8)+1)="",0,MOD(INT(MOD(INDEX($C$10:$C$21,INT((A107-1)/8)+1),256)/2^(7-MOD(A107-1,8))),2)))</f>
        <v/>
      </c>
      <c r="C107" s="14">
        <f>IF(A107&gt;48,0,IF(INDEX($G$10:$G$21,INT((A107-1)/4)+1)="",0,MOD(INT(INDEX($G$10:$G$21,INT((A107-1)/4)+1)/2^(3-MOD(A107-1,4))),2)))</f>
        <v/>
      </c>
      <c r="D107" s="14">
        <f>IF(MID($B$8,A107,1)="1",1,0)</f>
        <v/>
      </c>
      <c r="E107" s="21">
        <f>IF(A107&lt;=$E$3,CHOOSE($B$6,B107,C107,D107),0)</f>
        <v/>
      </c>
      <c r="F107" s="14">
        <f>IF(A107&lt;=$E$3,"donnée",IF(A107&lt;='Tableau_de_bord'!$C$16,"bourrage",""))</f>
        <v/>
      </c>
    </row>
    <row r="108">
      <c r="A108" s="14" t="n">
        <v>84</v>
      </c>
      <c r="B108" s="14">
        <f>IF(A108&gt;96,0,IF(INDEX($C$10:$C$21,INT((A108-1)/8)+1)="",0,MOD(INT(MOD(INDEX($C$10:$C$21,INT((A108-1)/8)+1),256)/2^(7-MOD(A108-1,8))),2)))</f>
        <v/>
      </c>
      <c r="C108" s="14">
        <f>IF(A108&gt;48,0,IF(INDEX($G$10:$G$21,INT((A108-1)/4)+1)="",0,MOD(INT(INDEX($G$10:$G$21,INT((A108-1)/4)+1)/2^(3-MOD(A108-1,4))),2)))</f>
        <v/>
      </c>
      <c r="D108" s="14">
        <f>IF(MID($B$8,A108,1)="1",1,0)</f>
        <v/>
      </c>
      <c r="E108" s="21">
        <f>IF(A108&lt;=$E$3,CHOOSE($B$6,B108,C108,D108),0)</f>
        <v/>
      </c>
      <c r="F108" s="14">
        <f>IF(A108&lt;=$E$3,"donnée",IF(A108&lt;='Tableau_de_bord'!$C$16,"bourrage",""))</f>
        <v/>
      </c>
    </row>
    <row r="109">
      <c r="A109" s="14" t="n">
        <v>85</v>
      </c>
      <c r="B109" s="14">
        <f>IF(A109&gt;96,0,IF(INDEX($C$10:$C$21,INT((A109-1)/8)+1)="",0,MOD(INT(MOD(INDEX($C$10:$C$21,INT((A109-1)/8)+1),256)/2^(7-MOD(A109-1,8))),2)))</f>
        <v/>
      </c>
      <c r="C109" s="14">
        <f>IF(A109&gt;48,0,IF(INDEX($G$10:$G$21,INT((A109-1)/4)+1)="",0,MOD(INT(INDEX($G$10:$G$21,INT((A109-1)/4)+1)/2^(3-MOD(A109-1,4))),2)))</f>
        <v/>
      </c>
      <c r="D109" s="14">
        <f>IF(MID($B$8,A109,1)="1",1,0)</f>
        <v/>
      </c>
      <c r="E109" s="21">
        <f>IF(A109&lt;=$E$3,CHOOSE($B$6,B109,C109,D109),0)</f>
        <v/>
      </c>
      <c r="F109" s="14">
        <f>IF(A109&lt;=$E$3,"donnée",IF(A109&lt;='Tableau_de_bord'!$C$16,"bourrage",""))</f>
        <v/>
      </c>
    </row>
    <row r="110">
      <c r="A110" s="14" t="n">
        <v>86</v>
      </c>
      <c r="B110" s="14">
        <f>IF(A110&gt;96,0,IF(INDEX($C$10:$C$21,INT((A110-1)/8)+1)="",0,MOD(INT(MOD(INDEX($C$10:$C$21,INT((A110-1)/8)+1),256)/2^(7-MOD(A110-1,8))),2)))</f>
        <v/>
      </c>
      <c r="C110" s="14">
        <f>IF(A110&gt;48,0,IF(INDEX($G$10:$G$21,INT((A110-1)/4)+1)="",0,MOD(INT(INDEX($G$10:$G$21,INT((A110-1)/4)+1)/2^(3-MOD(A110-1,4))),2)))</f>
        <v/>
      </c>
      <c r="D110" s="14">
        <f>IF(MID($B$8,A110,1)="1",1,0)</f>
        <v/>
      </c>
      <c r="E110" s="21">
        <f>IF(A110&lt;=$E$3,CHOOSE($B$6,B110,C110,D110),0)</f>
        <v/>
      </c>
      <c r="F110" s="14">
        <f>IF(A110&lt;=$E$3,"donnée",IF(A110&lt;='Tableau_de_bord'!$C$16,"bourrage",""))</f>
        <v/>
      </c>
    </row>
    <row r="111">
      <c r="A111" s="14" t="n">
        <v>87</v>
      </c>
      <c r="B111" s="14">
        <f>IF(A111&gt;96,0,IF(INDEX($C$10:$C$21,INT((A111-1)/8)+1)="",0,MOD(INT(MOD(INDEX($C$10:$C$21,INT((A111-1)/8)+1),256)/2^(7-MOD(A111-1,8))),2)))</f>
        <v/>
      </c>
      <c r="C111" s="14">
        <f>IF(A111&gt;48,0,IF(INDEX($G$10:$G$21,INT((A111-1)/4)+1)="",0,MOD(INT(INDEX($G$10:$G$21,INT((A111-1)/4)+1)/2^(3-MOD(A111-1,4))),2)))</f>
        <v/>
      </c>
      <c r="D111" s="14">
        <f>IF(MID($B$8,A111,1)="1",1,0)</f>
        <v/>
      </c>
      <c r="E111" s="21">
        <f>IF(A111&lt;=$E$3,CHOOSE($B$6,B111,C111,D111),0)</f>
        <v/>
      </c>
      <c r="F111" s="14">
        <f>IF(A111&lt;=$E$3,"donnée",IF(A111&lt;='Tableau_de_bord'!$C$16,"bourrage",""))</f>
        <v/>
      </c>
    </row>
    <row r="112">
      <c r="A112" s="14" t="n">
        <v>88</v>
      </c>
      <c r="B112" s="14">
        <f>IF(A112&gt;96,0,IF(INDEX($C$10:$C$21,INT((A112-1)/8)+1)="",0,MOD(INT(MOD(INDEX($C$10:$C$21,INT((A112-1)/8)+1),256)/2^(7-MOD(A112-1,8))),2)))</f>
        <v/>
      </c>
      <c r="C112" s="14">
        <f>IF(A112&gt;48,0,IF(INDEX($G$10:$G$21,INT((A112-1)/4)+1)="",0,MOD(INT(INDEX($G$10:$G$21,INT((A112-1)/4)+1)/2^(3-MOD(A112-1,4))),2)))</f>
        <v/>
      </c>
      <c r="D112" s="14">
        <f>IF(MID($B$8,A112,1)="1",1,0)</f>
        <v/>
      </c>
      <c r="E112" s="21">
        <f>IF(A112&lt;=$E$3,CHOOSE($B$6,B112,C112,D112),0)</f>
        <v/>
      </c>
      <c r="F112" s="14">
        <f>IF(A112&lt;=$E$3,"donnée",IF(A112&lt;='Tableau_de_bord'!$C$16,"bourrage",""))</f>
        <v/>
      </c>
    </row>
    <row r="113">
      <c r="A113" s="14" t="n">
        <v>89</v>
      </c>
      <c r="B113" s="14">
        <f>IF(A113&gt;96,0,IF(INDEX($C$10:$C$21,INT((A113-1)/8)+1)="",0,MOD(INT(MOD(INDEX($C$10:$C$21,INT((A113-1)/8)+1),256)/2^(7-MOD(A113-1,8))),2)))</f>
        <v/>
      </c>
      <c r="C113" s="14">
        <f>IF(A113&gt;48,0,IF(INDEX($G$10:$G$21,INT((A113-1)/4)+1)="",0,MOD(INT(INDEX($G$10:$G$21,INT((A113-1)/4)+1)/2^(3-MOD(A113-1,4))),2)))</f>
        <v/>
      </c>
      <c r="D113" s="14">
        <f>IF(MID($B$8,A113,1)="1",1,0)</f>
        <v/>
      </c>
      <c r="E113" s="21">
        <f>IF(A113&lt;=$E$3,CHOOSE($B$6,B113,C113,D113),0)</f>
        <v/>
      </c>
      <c r="F113" s="14">
        <f>IF(A113&lt;=$E$3,"donnée",IF(A113&lt;='Tableau_de_bord'!$C$16,"bourrage",""))</f>
        <v/>
      </c>
    </row>
    <row r="114">
      <c r="A114" s="14" t="n">
        <v>90</v>
      </c>
      <c r="B114" s="14">
        <f>IF(A114&gt;96,0,IF(INDEX($C$10:$C$21,INT((A114-1)/8)+1)="",0,MOD(INT(MOD(INDEX($C$10:$C$21,INT((A114-1)/8)+1),256)/2^(7-MOD(A114-1,8))),2)))</f>
        <v/>
      </c>
      <c r="C114" s="14">
        <f>IF(A114&gt;48,0,IF(INDEX($G$10:$G$21,INT((A114-1)/4)+1)="",0,MOD(INT(INDEX($G$10:$G$21,INT((A114-1)/4)+1)/2^(3-MOD(A114-1,4))),2)))</f>
        <v/>
      </c>
      <c r="D114" s="14">
        <f>IF(MID($B$8,A114,1)="1",1,0)</f>
        <v/>
      </c>
      <c r="E114" s="21">
        <f>IF(A114&lt;=$E$3,CHOOSE($B$6,B114,C114,D114),0)</f>
        <v/>
      </c>
      <c r="F114" s="14">
        <f>IF(A114&lt;=$E$3,"donnée",IF(A114&lt;='Tableau_de_bord'!$C$16,"bourrage",""))</f>
        <v/>
      </c>
    </row>
    <row r="115">
      <c r="A115" s="14" t="n">
        <v>91</v>
      </c>
      <c r="B115" s="14">
        <f>IF(A115&gt;96,0,IF(INDEX($C$10:$C$21,INT((A115-1)/8)+1)="",0,MOD(INT(MOD(INDEX($C$10:$C$21,INT((A115-1)/8)+1),256)/2^(7-MOD(A115-1,8))),2)))</f>
        <v/>
      </c>
      <c r="C115" s="14">
        <f>IF(A115&gt;48,0,IF(INDEX($G$10:$G$21,INT((A115-1)/4)+1)="",0,MOD(INT(INDEX($G$10:$G$21,INT((A115-1)/4)+1)/2^(3-MOD(A115-1,4))),2)))</f>
        <v/>
      </c>
      <c r="D115" s="14">
        <f>IF(MID($B$8,A115,1)="1",1,0)</f>
        <v/>
      </c>
      <c r="E115" s="21">
        <f>IF(A115&lt;=$E$3,CHOOSE($B$6,B115,C115,D115),0)</f>
        <v/>
      </c>
      <c r="F115" s="14">
        <f>IF(A115&lt;=$E$3,"donnée",IF(A115&lt;='Tableau_de_bord'!$C$16,"bourrage",""))</f>
        <v/>
      </c>
    </row>
    <row r="116">
      <c r="A116" s="14" t="n">
        <v>92</v>
      </c>
      <c r="B116" s="14">
        <f>IF(A116&gt;96,0,IF(INDEX($C$10:$C$21,INT((A116-1)/8)+1)="",0,MOD(INT(MOD(INDEX($C$10:$C$21,INT((A116-1)/8)+1),256)/2^(7-MOD(A116-1,8))),2)))</f>
        <v/>
      </c>
      <c r="C116" s="14">
        <f>IF(A116&gt;48,0,IF(INDEX($G$10:$G$21,INT((A116-1)/4)+1)="",0,MOD(INT(INDEX($G$10:$G$21,INT((A116-1)/4)+1)/2^(3-MOD(A116-1,4))),2)))</f>
        <v/>
      </c>
      <c r="D116" s="14">
        <f>IF(MID($B$8,A116,1)="1",1,0)</f>
        <v/>
      </c>
      <c r="E116" s="21">
        <f>IF(A116&lt;=$E$3,CHOOSE($B$6,B116,C116,D116),0)</f>
        <v/>
      </c>
      <c r="F116" s="14">
        <f>IF(A116&lt;=$E$3,"donnée",IF(A116&lt;='Tableau_de_bord'!$C$16,"bourrage",""))</f>
        <v/>
      </c>
    </row>
    <row r="117">
      <c r="A117" s="14" t="n">
        <v>93</v>
      </c>
      <c r="B117" s="14">
        <f>IF(A117&gt;96,0,IF(INDEX($C$10:$C$21,INT((A117-1)/8)+1)="",0,MOD(INT(MOD(INDEX($C$10:$C$21,INT((A117-1)/8)+1),256)/2^(7-MOD(A117-1,8))),2)))</f>
        <v/>
      </c>
      <c r="C117" s="14">
        <f>IF(A117&gt;48,0,IF(INDEX($G$10:$G$21,INT((A117-1)/4)+1)="",0,MOD(INT(INDEX($G$10:$G$21,INT((A117-1)/4)+1)/2^(3-MOD(A117-1,4))),2)))</f>
        <v/>
      </c>
      <c r="D117" s="14">
        <f>IF(MID($B$8,A117,1)="1",1,0)</f>
        <v/>
      </c>
      <c r="E117" s="21">
        <f>IF(A117&lt;=$E$3,CHOOSE($B$6,B117,C117,D117),0)</f>
        <v/>
      </c>
      <c r="F117" s="14">
        <f>IF(A117&lt;=$E$3,"donnée",IF(A117&lt;='Tableau_de_bord'!$C$16,"bourrage",""))</f>
        <v/>
      </c>
    </row>
    <row r="118">
      <c r="A118" s="14" t="n">
        <v>94</v>
      </c>
      <c r="B118" s="14">
        <f>IF(A118&gt;96,0,IF(INDEX($C$10:$C$21,INT((A118-1)/8)+1)="",0,MOD(INT(MOD(INDEX($C$10:$C$21,INT((A118-1)/8)+1),256)/2^(7-MOD(A118-1,8))),2)))</f>
        <v/>
      </c>
      <c r="C118" s="14">
        <f>IF(A118&gt;48,0,IF(INDEX($G$10:$G$21,INT((A118-1)/4)+1)="",0,MOD(INT(INDEX($G$10:$G$21,INT((A118-1)/4)+1)/2^(3-MOD(A118-1,4))),2)))</f>
        <v/>
      </c>
      <c r="D118" s="14">
        <f>IF(MID($B$8,A118,1)="1",1,0)</f>
        <v/>
      </c>
      <c r="E118" s="21">
        <f>IF(A118&lt;=$E$3,CHOOSE($B$6,B118,C118,D118),0)</f>
        <v/>
      </c>
      <c r="F118" s="14">
        <f>IF(A118&lt;=$E$3,"donnée",IF(A118&lt;='Tableau_de_bord'!$C$16,"bourrage",""))</f>
        <v/>
      </c>
    </row>
    <row r="119">
      <c r="A119" s="14" t="n">
        <v>95</v>
      </c>
      <c r="B119" s="14">
        <f>IF(A119&gt;96,0,IF(INDEX($C$10:$C$21,INT((A119-1)/8)+1)="",0,MOD(INT(MOD(INDEX($C$10:$C$21,INT((A119-1)/8)+1),256)/2^(7-MOD(A119-1,8))),2)))</f>
        <v/>
      </c>
      <c r="C119" s="14">
        <f>IF(A119&gt;48,0,IF(INDEX($G$10:$G$21,INT((A119-1)/4)+1)="",0,MOD(INT(INDEX($G$10:$G$21,INT((A119-1)/4)+1)/2^(3-MOD(A119-1,4))),2)))</f>
        <v/>
      </c>
      <c r="D119" s="14">
        <f>IF(MID($B$8,A119,1)="1",1,0)</f>
        <v/>
      </c>
      <c r="E119" s="21">
        <f>IF(A119&lt;=$E$3,CHOOSE($B$6,B119,C119,D119),0)</f>
        <v/>
      </c>
      <c r="F119" s="14">
        <f>IF(A119&lt;=$E$3,"donnée",IF(A119&lt;='Tableau_de_bord'!$C$16,"bourrage",""))</f>
        <v/>
      </c>
    </row>
    <row r="120">
      <c r="A120" s="14" t="n">
        <v>96</v>
      </c>
      <c r="B120" s="14">
        <f>IF(A120&gt;96,0,IF(INDEX($C$10:$C$21,INT((A120-1)/8)+1)="",0,MOD(INT(MOD(INDEX($C$10:$C$21,INT((A120-1)/8)+1),256)/2^(7-MOD(A120-1,8))),2)))</f>
        <v/>
      </c>
      <c r="C120" s="14">
        <f>IF(A120&gt;48,0,IF(INDEX($G$10:$G$21,INT((A120-1)/4)+1)="",0,MOD(INT(INDEX($G$10:$G$21,INT((A120-1)/4)+1)/2^(3-MOD(A120-1,4))),2)))</f>
        <v/>
      </c>
      <c r="D120" s="14">
        <f>IF(MID($B$8,A120,1)="1",1,0)</f>
        <v/>
      </c>
      <c r="E120" s="21">
        <f>IF(A120&lt;=$E$3,CHOOSE($B$6,B120,C120,D120),0)</f>
        <v/>
      </c>
      <c r="F120" s="14">
        <f>IF(A120&lt;=$E$3,"donnée",IF(A120&lt;='Tableau_de_bord'!$C$16,"bourrage",""))</f>
        <v/>
      </c>
    </row>
    <row r="121">
      <c r="A121" s="14" t="n">
        <v>97</v>
      </c>
      <c r="B121" s="14">
        <f>IF(A121&gt;96,0,IF(INDEX($C$10:$C$21,INT((A121-1)/8)+1)="",0,MOD(INT(MOD(INDEX($C$10:$C$21,INT((A121-1)/8)+1),256)/2^(7-MOD(A121-1,8))),2)))</f>
        <v/>
      </c>
      <c r="C121" s="14">
        <f>IF(A121&gt;48,0,IF(INDEX($G$10:$G$21,INT((A121-1)/4)+1)="",0,MOD(INT(INDEX($G$10:$G$21,INT((A121-1)/4)+1)/2^(3-MOD(A121-1,4))),2)))</f>
        <v/>
      </c>
      <c r="D121" s="14">
        <f>IF(MID($B$8,A121,1)="1",1,0)</f>
        <v/>
      </c>
      <c r="E121" s="21">
        <f>IF(A121&lt;=$E$3,CHOOSE($B$6,B121,C121,D121),0)</f>
        <v/>
      </c>
      <c r="F121" s="14">
        <f>IF(A121&lt;=$E$3,"donnée",IF(A121&lt;='Tableau_de_bord'!$C$16,"bourrage",""))</f>
        <v/>
      </c>
    </row>
    <row r="122">
      <c r="A122" s="14" t="n">
        <v>98</v>
      </c>
      <c r="B122" s="14">
        <f>IF(A122&gt;96,0,IF(INDEX($C$10:$C$21,INT((A122-1)/8)+1)="",0,MOD(INT(MOD(INDEX($C$10:$C$21,INT((A122-1)/8)+1),256)/2^(7-MOD(A122-1,8))),2)))</f>
        <v/>
      </c>
      <c r="C122" s="14">
        <f>IF(A122&gt;48,0,IF(INDEX($G$10:$G$21,INT((A122-1)/4)+1)="",0,MOD(INT(INDEX($G$10:$G$21,INT((A122-1)/4)+1)/2^(3-MOD(A122-1,4))),2)))</f>
        <v/>
      </c>
      <c r="D122" s="14">
        <f>IF(MID($B$8,A122,1)="1",1,0)</f>
        <v/>
      </c>
      <c r="E122" s="21">
        <f>IF(A122&lt;=$E$3,CHOOSE($B$6,B122,C122,D122),0)</f>
        <v/>
      </c>
      <c r="F122" s="14">
        <f>IF(A122&lt;=$E$3,"donnée",IF(A122&lt;='Tableau_de_bord'!$C$16,"bourrage",""))</f>
        <v/>
      </c>
    </row>
    <row r="123">
      <c r="A123" s="14" t="n">
        <v>99</v>
      </c>
      <c r="B123" s="14">
        <f>IF(A123&gt;96,0,IF(INDEX($C$10:$C$21,INT((A123-1)/8)+1)="",0,MOD(INT(MOD(INDEX($C$10:$C$21,INT((A123-1)/8)+1),256)/2^(7-MOD(A123-1,8))),2)))</f>
        <v/>
      </c>
      <c r="C123" s="14">
        <f>IF(A123&gt;48,0,IF(INDEX($G$10:$G$21,INT((A123-1)/4)+1)="",0,MOD(INT(INDEX($G$10:$G$21,INT((A123-1)/4)+1)/2^(3-MOD(A123-1,4))),2)))</f>
        <v/>
      </c>
      <c r="D123" s="14">
        <f>IF(MID($B$8,A123,1)="1",1,0)</f>
        <v/>
      </c>
      <c r="E123" s="21">
        <f>IF(A123&lt;=$E$3,CHOOSE($B$6,B123,C123,D123),0)</f>
        <v/>
      </c>
      <c r="F123" s="14">
        <f>IF(A123&lt;=$E$3,"donnée",IF(A123&lt;='Tableau_de_bord'!$C$16,"bourrage",""))</f>
        <v/>
      </c>
    </row>
    <row r="124">
      <c r="A124" s="14" t="n">
        <v>100</v>
      </c>
      <c r="B124" s="14">
        <f>IF(A124&gt;96,0,IF(INDEX($C$10:$C$21,INT((A124-1)/8)+1)="",0,MOD(INT(MOD(INDEX($C$10:$C$21,INT((A124-1)/8)+1),256)/2^(7-MOD(A124-1,8))),2)))</f>
        <v/>
      </c>
      <c r="C124" s="14">
        <f>IF(A124&gt;48,0,IF(INDEX($G$10:$G$21,INT((A124-1)/4)+1)="",0,MOD(INT(INDEX($G$10:$G$21,INT((A124-1)/4)+1)/2^(3-MOD(A124-1,4))),2)))</f>
        <v/>
      </c>
      <c r="D124" s="14">
        <f>IF(MID($B$8,A124,1)="1",1,0)</f>
        <v/>
      </c>
      <c r="E124" s="21">
        <f>IF(A124&lt;=$E$3,CHOOSE($B$6,B124,C124,D124),0)</f>
        <v/>
      </c>
      <c r="F124" s="14">
        <f>IF(A124&lt;=$E$3,"donnée",IF(A124&lt;='Tableau_de_bord'!$C$16,"bourrage",""))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0" customWidth="1" min="11" max="11"/>
    <col width="30" customWidth="1" min="12" max="12"/>
  </cols>
  <sheetData>
    <row r="1">
      <c r="A1" s="17" t="inlineStr">
        <is>
          <t>Regroupement des bits en symboles et mapping I/Q</t>
        </is>
      </c>
    </row>
    <row r="2">
      <c r="A2" s="4" t="inlineStr">
        <is>
          <t>k =</t>
        </is>
      </c>
      <c r="B2" s="19">
        <f>'Tableau_de_bord'!C10</f>
        <v/>
      </c>
      <c r="C2" s="4" t="inlineStr">
        <is>
          <t>Nb symboles =</t>
        </is>
      </c>
      <c r="D2" s="19">
        <f>'Tableau_de_bord'!C14</f>
        <v/>
      </c>
      <c r="E2" s="4" t="inlineStr">
        <is>
          <t>Facteur norm. =</t>
        </is>
      </c>
      <c r="F2" s="22">
        <f>Constellations!F9</f>
        <v/>
      </c>
    </row>
    <row r="3"/>
    <row r="4"/>
    <row r="5">
      <c r="A5" s="20" t="inlineStr">
        <is>
          <t>n° symbole</t>
        </is>
      </c>
      <c r="B5" s="20" t="inlineStr">
        <is>
          <t>Bits</t>
        </is>
      </c>
      <c r="C5" s="20" t="inlineStr">
        <is>
          <t>Valide</t>
        </is>
      </c>
      <c r="D5" s="20" t="inlineStr">
        <is>
          <t>Valeur déc.</t>
        </is>
      </c>
      <c r="E5" s="20" t="inlineStr">
        <is>
          <t>I brut</t>
        </is>
      </c>
      <c r="F5" s="20" t="inlineStr">
        <is>
          <t>Q brut</t>
        </is>
      </c>
      <c r="G5" s="20" t="inlineStr">
        <is>
          <t>I norm.</t>
        </is>
      </c>
      <c r="H5" s="20" t="inlineStr">
        <is>
          <t>Q norm.</t>
        </is>
      </c>
      <c r="I5" s="20" t="inlineStr">
        <is>
          <t>Amplitude</t>
        </is>
      </c>
      <c r="J5" s="20" t="inlineStr">
        <is>
          <t>Phase (°)</t>
        </is>
      </c>
      <c r="K5" s="20" t="inlineStr">
        <is>
          <t>Train binaire (groupé)</t>
        </is>
      </c>
      <c r="L5" s="20" t="inlineStr">
        <is>
          <t>Suite des symboles</t>
        </is>
      </c>
    </row>
    <row r="6">
      <c r="A6" s="14" t="n">
        <v>1</v>
      </c>
      <c r="B6" s="14">
        <f>IF(C6=0,"",IF(0&lt;$B$2,INDEX(Bits!$E$25:$E$124,(A6-1)*$B$2+1),"")&amp;IF(1&lt;$B$2,INDEX(Bits!$E$25:$E$124,(A6-1)*$B$2+2),"")&amp;IF(2&lt;$B$2,INDEX(Bits!$E$25:$E$124,(A6-1)*$B$2+3),"")&amp;IF(3&lt;$B$2,INDEX(Bits!$E$25:$E$124,(A6-1)*$B$2+4),"")&amp;IF(4&lt;$B$2,INDEX(Bits!$E$25:$E$124,(A6-1)*$B$2+5),""))</f>
        <v/>
      </c>
      <c r="C6" s="14">
        <f>IF(A6&lt;=$D$2,1,0)</f>
        <v/>
      </c>
      <c r="D6" s="14">
        <f>IF(C6=0,"",IF(0&lt;$B$2,INDEX(Bits!$E$25:$E$124,(A6-1)*$B$2+1)*2^($B$2-1),0)+IF(1&lt;$B$2,INDEX(Bits!$E$25:$E$124,(A6-1)*$B$2+2)*2^($B$2-2),0)+IF(2&lt;$B$2,INDEX(Bits!$E$25:$E$124,(A6-1)*$B$2+3)*2^($B$2-3),0)+IF(3&lt;$B$2,INDEX(Bits!$E$25:$E$124,(A6-1)*$B$2+4)*2^($B$2-4),0)+IF(4&lt;$B$2,INDEX(Bits!$E$25:$E$124,(A6-1)*$B$2+5)*2^($B$2-5),0))</f>
        <v/>
      </c>
      <c r="E6" s="14">
        <f>IF(C6=0,"",INDEX(Constellations!$C$14:$L$45,D6+1,Constellations!$F$8))</f>
        <v/>
      </c>
      <c r="F6" s="14">
        <f>IF(C6=0,"",INDEX(Constellations!$C$14:$L$45,D6+1,Constellations!$F$8+1))</f>
        <v/>
      </c>
      <c r="G6" s="23">
        <f>IF(C6=0,"",E6*$F$2)</f>
        <v/>
      </c>
      <c r="H6" s="23">
        <f>IF(C6=0,"",F6*$F$2)</f>
        <v/>
      </c>
      <c r="I6" s="23">
        <f>IF(C6=0,"",SQRT(G6^2+H6^2))</f>
        <v/>
      </c>
      <c r="J6" s="24">
        <f>IF(C6=0,"",IF(AND(G6=0,H6=0),0,DEGREES(ATAN2(G6,H6))))</f>
        <v/>
      </c>
      <c r="K6" s="25">
        <f>B6</f>
        <v/>
      </c>
      <c r="L6" s="25">
        <f>IF(D6="","",D6&amp;"")</f>
        <v/>
      </c>
    </row>
    <row r="7">
      <c r="A7" s="14" t="n">
        <v>2</v>
      </c>
      <c r="B7" s="14">
        <f>IF(C7=0,"",IF(0&lt;$B$2,INDEX(Bits!$E$25:$E$124,(A7-1)*$B$2+1),"")&amp;IF(1&lt;$B$2,INDEX(Bits!$E$25:$E$124,(A7-1)*$B$2+2),"")&amp;IF(2&lt;$B$2,INDEX(Bits!$E$25:$E$124,(A7-1)*$B$2+3),"")&amp;IF(3&lt;$B$2,INDEX(Bits!$E$25:$E$124,(A7-1)*$B$2+4),"")&amp;IF(4&lt;$B$2,INDEX(Bits!$E$25:$E$124,(A7-1)*$B$2+5),""))</f>
        <v/>
      </c>
      <c r="C7" s="14">
        <f>IF(A7&lt;=$D$2,1,0)</f>
        <v/>
      </c>
      <c r="D7" s="14">
        <f>IF(C7=0,"",IF(0&lt;$B$2,INDEX(Bits!$E$25:$E$124,(A7-1)*$B$2+1)*2^($B$2-1),0)+IF(1&lt;$B$2,INDEX(Bits!$E$25:$E$124,(A7-1)*$B$2+2)*2^($B$2-2),0)+IF(2&lt;$B$2,INDEX(Bits!$E$25:$E$124,(A7-1)*$B$2+3)*2^($B$2-3),0)+IF(3&lt;$B$2,INDEX(Bits!$E$25:$E$124,(A7-1)*$B$2+4)*2^($B$2-4),0)+IF(4&lt;$B$2,INDEX(Bits!$E$25:$E$124,(A7-1)*$B$2+5)*2^($B$2-5),0))</f>
        <v/>
      </c>
      <c r="E7" s="14">
        <f>IF(C7=0,"",INDEX(Constellations!$C$14:$L$45,D7+1,Constellations!$F$8))</f>
        <v/>
      </c>
      <c r="F7" s="14">
        <f>IF(C7=0,"",INDEX(Constellations!$C$14:$L$45,D7+1,Constellations!$F$8+1))</f>
        <v/>
      </c>
      <c r="G7" s="23">
        <f>IF(C7=0,"",E7*$F$2)</f>
        <v/>
      </c>
      <c r="H7" s="23">
        <f>IF(C7=0,"",F7*$F$2)</f>
        <v/>
      </c>
      <c r="I7" s="23">
        <f>IF(C7=0,"",SQRT(G7^2+H7^2))</f>
        <v/>
      </c>
      <c r="J7" s="24">
        <f>IF(C7=0,"",IF(AND(G7=0,H7=0),0,DEGREES(ATAN2(G7,H7))))</f>
        <v/>
      </c>
      <c r="K7" s="25">
        <f>IF(C7=0,K6,K6&amp;" "&amp;B7)</f>
        <v/>
      </c>
      <c r="L7" s="25">
        <f>IF(C7=0,L6,L6&amp;" - "&amp;D7)</f>
        <v/>
      </c>
    </row>
    <row r="8">
      <c r="A8" s="14" t="n">
        <v>3</v>
      </c>
      <c r="B8" s="14">
        <f>IF(C8=0,"",IF(0&lt;$B$2,INDEX(Bits!$E$25:$E$124,(A8-1)*$B$2+1),"")&amp;IF(1&lt;$B$2,INDEX(Bits!$E$25:$E$124,(A8-1)*$B$2+2),"")&amp;IF(2&lt;$B$2,INDEX(Bits!$E$25:$E$124,(A8-1)*$B$2+3),"")&amp;IF(3&lt;$B$2,INDEX(Bits!$E$25:$E$124,(A8-1)*$B$2+4),"")&amp;IF(4&lt;$B$2,INDEX(Bits!$E$25:$E$124,(A8-1)*$B$2+5),""))</f>
        <v/>
      </c>
      <c r="C8" s="14">
        <f>IF(A8&lt;=$D$2,1,0)</f>
        <v/>
      </c>
      <c r="D8" s="14">
        <f>IF(C8=0,"",IF(0&lt;$B$2,INDEX(Bits!$E$25:$E$124,(A8-1)*$B$2+1)*2^($B$2-1),0)+IF(1&lt;$B$2,INDEX(Bits!$E$25:$E$124,(A8-1)*$B$2+2)*2^($B$2-2),0)+IF(2&lt;$B$2,INDEX(Bits!$E$25:$E$124,(A8-1)*$B$2+3)*2^($B$2-3),0)+IF(3&lt;$B$2,INDEX(Bits!$E$25:$E$124,(A8-1)*$B$2+4)*2^($B$2-4),0)+IF(4&lt;$B$2,INDEX(Bits!$E$25:$E$124,(A8-1)*$B$2+5)*2^($B$2-5),0))</f>
        <v/>
      </c>
      <c r="E8" s="14">
        <f>IF(C8=0,"",INDEX(Constellations!$C$14:$L$45,D8+1,Constellations!$F$8))</f>
        <v/>
      </c>
      <c r="F8" s="14">
        <f>IF(C8=0,"",INDEX(Constellations!$C$14:$L$45,D8+1,Constellations!$F$8+1))</f>
        <v/>
      </c>
      <c r="G8" s="23">
        <f>IF(C8=0,"",E8*$F$2)</f>
        <v/>
      </c>
      <c r="H8" s="23">
        <f>IF(C8=0,"",F8*$F$2)</f>
        <v/>
      </c>
      <c r="I8" s="23">
        <f>IF(C8=0,"",SQRT(G8^2+H8^2))</f>
        <v/>
      </c>
      <c r="J8" s="24">
        <f>IF(C8=0,"",IF(AND(G8=0,H8=0),0,DEGREES(ATAN2(G8,H8))))</f>
        <v/>
      </c>
      <c r="K8" s="25">
        <f>IF(C8=0,K7,K7&amp;" "&amp;B8)</f>
        <v/>
      </c>
      <c r="L8" s="25">
        <f>IF(C8=0,L7,L7&amp;" - "&amp;D8)</f>
        <v/>
      </c>
    </row>
    <row r="9">
      <c r="A9" s="14" t="n">
        <v>4</v>
      </c>
      <c r="B9" s="14">
        <f>IF(C9=0,"",IF(0&lt;$B$2,INDEX(Bits!$E$25:$E$124,(A9-1)*$B$2+1),"")&amp;IF(1&lt;$B$2,INDEX(Bits!$E$25:$E$124,(A9-1)*$B$2+2),"")&amp;IF(2&lt;$B$2,INDEX(Bits!$E$25:$E$124,(A9-1)*$B$2+3),"")&amp;IF(3&lt;$B$2,INDEX(Bits!$E$25:$E$124,(A9-1)*$B$2+4),"")&amp;IF(4&lt;$B$2,INDEX(Bits!$E$25:$E$124,(A9-1)*$B$2+5),""))</f>
        <v/>
      </c>
      <c r="C9" s="14">
        <f>IF(A9&lt;=$D$2,1,0)</f>
        <v/>
      </c>
      <c r="D9" s="14">
        <f>IF(C9=0,"",IF(0&lt;$B$2,INDEX(Bits!$E$25:$E$124,(A9-1)*$B$2+1)*2^($B$2-1),0)+IF(1&lt;$B$2,INDEX(Bits!$E$25:$E$124,(A9-1)*$B$2+2)*2^($B$2-2),0)+IF(2&lt;$B$2,INDEX(Bits!$E$25:$E$124,(A9-1)*$B$2+3)*2^($B$2-3),0)+IF(3&lt;$B$2,INDEX(Bits!$E$25:$E$124,(A9-1)*$B$2+4)*2^($B$2-4),0)+IF(4&lt;$B$2,INDEX(Bits!$E$25:$E$124,(A9-1)*$B$2+5)*2^($B$2-5),0))</f>
        <v/>
      </c>
      <c r="E9" s="14">
        <f>IF(C9=0,"",INDEX(Constellations!$C$14:$L$45,D9+1,Constellations!$F$8))</f>
        <v/>
      </c>
      <c r="F9" s="14">
        <f>IF(C9=0,"",INDEX(Constellations!$C$14:$L$45,D9+1,Constellations!$F$8+1))</f>
        <v/>
      </c>
      <c r="G9" s="23">
        <f>IF(C9=0,"",E9*$F$2)</f>
        <v/>
      </c>
      <c r="H9" s="23">
        <f>IF(C9=0,"",F9*$F$2)</f>
        <v/>
      </c>
      <c r="I9" s="23">
        <f>IF(C9=0,"",SQRT(G9^2+H9^2))</f>
        <v/>
      </c>
      <c r="J9" s="24">
        <f>IF(C9=0,"",IF(AND(G9=0,H9=0),0,DEGREES(ATAN2(G9,H9))))</f>
        <v/>
      </c>
      <c r="K9" s="25">
        <f>IF(C9=0,K8,K8&amp;" "&amp;B9)</f>
        <v/>
      </c>
      <c r="L9" s="25">
        <f>IF(C9=0,L8,L8&amp;" - "&amp;D9)</f>
        <v/>
      </c>
    </row>
    <row r="10">
      <c r="A10" s="14" t="n">
        <v>5</v>
      </c>
      <c r="B10" s="14">
        <f>IF(C10=0,"",IF(0&lt;$B$2,INDEX(Bits!$E$25:$E$124,(A10-1)*$B$2+1),"")&amp;IF(1&lt;$B$2,INDEX(Bits!$E$25:$E$124,(A10-1)*$B$2+2),"")&amp;IF(2&lt;$B$2,INDEX(Bits!$E$25:$E$124,(A10-1)*$B$2+3),"")&amp;IF(3&lt;$B$2,INDEX(Bits!$E$25:$E$124,(A10-1)*$B$2+4),"")&amp;IF(4&lt;$B$2,INDEX(Bits!$E$25:$E$124,(A10-1)*$B$2+5),""))</f>
        <v/>
      </c>
      <c r="C10" s="14">
        <f>IF(A10&lt;=$D$2,1,0)</f>
        <v/>
      </c>
      <c r="D10" s="14">
        <f>IF(C10=0,"",IF(0&lt;$B$2,INDEX(Bits!$E$25:$E$124,(A10-1)*$B$2+1)*2^($B$2-1),0)+IF(1&lt;$B$2,INDEX(Bits!$E$25:$E$124,(A10-1)*$B$2+2)*2^($B$2-2),0)+IF(2&lt;$B$2,INDEX(Bits!$E$25:$E$124,(A10-1)*$B$2+3)*2^($B$2-3),0)+IF(3&lt;$B$2,INDEX(Bits!$E$25:$E$124,(A10-1)*$B$2+4)*2^($B$2-4),0)+IF(4&lt;$B$2,INDEX(Bits!$E$25:$E$124,(A10-1)*$B$2+5)*2^($B$2-5),0))</f>
        <v/>
      </c>
      <c r="E10" s="14">
        <f>IF(C10=0,"",INDEX(Constellations!$C$14:$L$45,D10+1,Constellations!$F$8))</f>
        <v/>
      </c>
      <c r="F10" s="14">
        <f>IF(C10=0,"",INDEX(Constellations!$C$14:$L$45,D10+1,Constellations!$F$8+1))</f>
        <v/>
      </c>
      <c r="G10" s="23">
        <f>IF(C10=0,"",E10*$F$2)</f>
        <v/>
      </c>
      <c r="H10" s="23">
        <f>IF(C10=0,"",F10*$F$2)</f>
        <v/>
      </c>
      <c r="I10" s="23">
        <f>IF(C10=0,"",SQRT(G10^2+H10^2))</f>
        <v/>
      </c>
      <c r="J10" s="24">
        <f>IF(C10=0,"",IF(AND(G10=0,H10=0),0,DEGREES(ATAN2(G10,H10))))</f>
        <v/>
      </c>
      <c r="K10" s="25">
        <f>IF(C10=0,K9,K9&amp;" "&amp;B10)</f>
        <v/>
      </c>
      <c r="L10" s="25">
        <f>IF(C10=0,L9,L9&amp;" - "&amp;D10)</f>
        <v/>
      </c>
    </row>
    <row r="11">
      <c r="A11" s="14" t="n">
        <v>6</v>
      </c>
      <c r="B11" s="14">
        <f>IF(C11=0,"",IF(0&lt;$B$2,INDEX(Bits!$E$25:$E$124,(A11-1)*$B$2+1),"")&amp;IF(1&lt;$B$2,INDEX(Bits!$E$25:$E$124,(A11-1)*$B$2+2),"")&amp;IF(2&lt;$B$2,INDEX(Bits!$E$25:$E$124,(A11-1)*$B$2+3),"")&amp;IF(3&lt;$B$2,INDEX(Bits!$E$25:$E$124,(A11-1)*$B$2+4),"")&amp;IF(4&lt;$B$2,INDEX(Bits!$E$25:$E$124,(A11-1)*$B$2+5),""))</f>
        <v/>
      </c>
      <c r="C11" s="14">
        <f>IF(A11&lt;=$D$2,1,0)</f>
        <v/>
      </c>
      <c r="D11" s="14">
        <f>IF(C11=0,"",IF(0&lt;$B$2,INDEX(Bits!$E$25:$E$124,(A11-1)*$B$2+1)*2^($B$2-1),0)+IF(1&lt;$B$2,INDEX(Bits!$E$25:$E$124,(A11-1)*$B$2+2)*2^($B$2-2),0)+IF(2&lt;$B$2,INDEX(Bits!$E$25:$E$124,(A11-1)*$B$2+3)*2^($B$2-3),0)+IF(3&lt;$B$2,INDEX(Bits!$E$25:$E$124,(A11-1)*$B$2+4)*2^($B$2-4),0)+IF(4&lt;$B$2,INDEX(Bits!$E$25:$E$124,(A11-1)*$B$2+5)*2^($B$2-5),0))</f>
        <v/>
      </c>
      <c r="E11" s="14">
        <f>IF(C11=0,"",INDEX(Constellations!$C$14:$L$45,D11+1,Constellations!$F$8))</f>
        <v/>
      </c>
      <c r="F11" s="14">
        <f>IF(C11=0,"",INDEX(Constellations!$C$14:$L$45,D11+1,Constellations!$F$8+1))</f>
        <v/>
      </c>
      <c r="G11" s="23">
        <f>IF(C11=0,"",E11*$F$2)</f>
        <v/>
      </c>
      <c r="H11" s="23">
        <f>IF(C11=0,"",F11*$F$2)</f>
        <v/>
      </c>
      <c r="I11" s="23">
        <f>IF(C11=0,"",SQRT(G11^2+H11^2))</f>
        <v/>
      </c>
      <c r="J11" s="24">
        <f>IF(C11=0,"",IF(AND(G11=0,H11=0),0,DEGREES(ATAN2(G11,H11))))</f>
        <v/>
      </c>
      <c r="K11" s="25">
        <f>IF(C11=0,K10,K10&amp;" "&amp;B11)</f>
        <v/>
      </c>
      <c r="L11" s="25">
        <f>IF(C11=0,L10,L10&amp;" - "&amp;D11)</f>
        <v/>
      </c>
    </row>
    <row r="12">
      <c r="A12" s="14" t="n">
        <v>7</v>
      </c>
      <c r="B12" s="14">
        <f>IF(C12=0,"",IF(0&lt;$B$2,INDEX(Bits!$E$25:$E$124,(A12-1)*$B$2+1),"")&amp;IF(1&lt;$B$2,INDEX(Bits!$E$25:$E$124,(A12-1)*$B$2+2),"")&amp;IF(2&lt;$B$2,INDEX(Bits!$E$25:$E$124,(A12-1)*$B$2+3),"")&amp;IF(3&lt;$B$2,INDEX(Bits!$E$25:$E$124,(A12-1)*$B$2+4),"")&amp;IF(4&lt;$B$2,INDEX(Bits!$E$25:$E$124,(A12-1)*$B$2+5),""))</f>
        <v/>
      </c>
      <c r="C12" s="14">
        <f>IF(A12&lt;=$D$2,1,0)</f>
        <v/>
      </c>
      <c r="D12" s="14">
        <f>IF(C12=0,"",IF(0&lt;$B$2,INDEX(Bits!$E$25:$E$124,(A12-1)*$B$2+1)*2^($B$2-1),0)+IF(1&lt;$B$2,INDEX(Bits!$E$25:$E$124,(A12-1)*$B$2+2)*2^($B$2-2),0)+IF(2&lt;$B$2,INDEX(Bits!$E$25:$E$124,(A12-1)*$B$2+3)*2^($B$2-3),0)+IF(3&lt;$B$2,INDEX(Bits!$E$25:$E$124,(A12-1)*$B$2+4)*2^($B$2-4),0)+IF(4&lt;$B$2,INDEX(Bits!$E$25:$E$124,(A12-1)*$B$2+5)*2^($B$2-5),0))</f>
        <v/>
      </c>
      <c r="E12" s="14">
        <f>IF(C12=0,"",INDEX(Constellations!$C$14:$L$45,D12+1,Constellations!$F$8))</f>
        <v/>
      </c>
      <c r="F12" s="14">
        <f>IF(C12=0,"",INDEX(Constellations!$C$14:$L$45,D12+1,Constellations!$F$8+1))</f>
        <v/>
      </c>
      <c r="G12" s="23">
        <f>IF(C12=0,"",E12*$F$2)</f>
        <v/>
      </c>
      <c r="H12" s="23">
        <f>IF(C12=0,"",F12*$F$2)</f>
        <v/>
      </c>
      <c r="I12" s="23">
        <f>IF(C12=0,"",SQRT(G12^2+H12^2))</f>
        <v/>
      </c>
      <c r="J12" s="24">
        <f>IF(C12=0,"",IF(AND(G12=0,H12=0),0,DEGREES(ATAN2(G12,H12))))</f>
        <v/>
      </c>
      <c r="K12" s="25">
        <f>IF(C12=0,K11,K11&amp;" "&amp;B12)</f>
        <v/>
      </c>
      <c r="L12" s="25">
        <f>IF(C12=0,L11,L11&amp;" - "&amp;D12)</f>
        <v/>
      </c>
    </row>
    <row r="13">
      <c r="A13" s="14" t="n">
        <v>8</v>
      </c>
      <c r="B13" s="14">
        <f>IF(C13=0,"",IF(0&lt;$B$2,INDEX(Bits!$E$25:$E$124,(A13-1)*$B$2+1),"")&amp;IF(1&lt;$B$2,INDEX(Bits!$E$25:$E$124,(A13-1)*$B$2+2),"")&amp;IF(2&lt;$B$2,INDEX(Bits!$E$25:$E$124,(A13-1)*$B$2+3),"")&amp;IF(3&lt;$B$2,INDEX(Bits!$E$25:$E$124,(A13-1)*$B$2+4),"")&amp;IF(4&lt;$B$2,INDEX(Bits!$E$25:$E$124,(A13-1)*$B$2+5),""))</f>
        <v/>
      </c>
      <c r="C13" s="14">
        <f>IF(A13&lt;=$D$2,1,0)</f>
        <v/>
      </c>
      <c r="D13" s="14">
        <f>IF(C13=0,"",IF(0&lt;$B$2,INDEX(Bits!$E$25:$E$124,(A13-1)*$B$2+1)*2^($B$2-1),0)+IF(1&lt;$B$2,INDEX(Bits!$E$25:$E$124,(A13-1)*$B$2+2)*2^($B$2-2),0)+IF(2&lt;$B$2,INDEX(Bits!$E$25:$E$124,(A13-1)*$B$2+3)*2^($B$2-3),0)+IF(3&lt;$B$2,INDEX(Bits!$E$25:$E$124,(A13-1)*$B$2+4)*2^($B$2-4),0)+IF(4&lt;$B$2,INDEX(Bits!$E$25:$E$124,(A13-1)*$B$2+5)*2^($B$2-5),0))</f>
        <v/>
      </c>
      <c r="E13" s="14">
        <f>IF(C13=0,"",INDEX(Constellations!$C$14:$L$45,D13+1,Constellations!$F$8))</f>
        <v/>
      </c>
      <c r="F13" s="14">
        <f>IF(C13=0,"",INDEX(Constellations!$C$14:$L$45,D13+1,Constellations!$F$8+1))</f>
        <v/>
      </c>
      <c r="G13" s="23">
        <f>IF(C13=0,"",E13*$F$2)</f>
        <v/>
      </c>
      <c r="H13" s="23">
        <f>IF(C13=0,"",F13*$F$2)</f>
        <v/>
      </c>
      <c r="I13" s="23">
        <f>IF(C13=0,"",SQRT(G13^2+H13^2))</f>
        <v/>
      </c>
      <c r="J13" s="24">
        <f>IF(C13=0,"",IF(AND(G13=0,H13=0),0,DEGREES(ATAN2(G13,H13))))</f>
        <v/>
      </c>
      <c r="K13" s="25">
        <f>IF(C13=0,K12,K12&amp;" "&amp;B13)</f>
        <v/>
      </c>
      <c r="L13" s="25">
        <f>IF(C13=0,L12,L12&amp;" - "&amp;D13)</f>
        <v/>
      </c>
    </row>
    <row r="14">
      <c r="A14" s="14" t="n">
        <v>9</v>
      </c>
      <c r="B14" s="14">
        <f>IF(C14=0,"",IF(0&lt;$B$2,INDEX(Bits!$E$25:$E$124,(A14-1)*$B$2+1),"")&amp;IF(1&lt;$B$2,INDEX(Bits!$E$25:$E$124,(A14-1)*$B$2+2),"")&amp;IF(2&lt;$B$2,INDEX(Bits!$E$25:$E$124,(A14-1)*$B$2+3),"")&amp;IF(3&lt;$B$2,INDEX(Bits!$E$25:$E$124,(A14-1)*$B$2+4),"")&amp;IF(4&lt;$B$2,INDEX(Bits!$E$25:$E$124,(A14-1)*$B$2+5),""))</f>
        <v/>
      </c>
      <c r="C14" s="14">
        <f>IF(A14&lt;=$D$2,1,0)</f>
        <v/>
      </c>
      <c r="D14" s="14">
        <f>IF(C14=0,"",IF(0&lt;$B$2,INDEX(Bits!$E$25:$E$124,(A14-1)*$B$2+1)*2^($B$2-1),0)+IF(1&lt;$B$2,INDEX(Bits!$E$25:$E$124,(A14-1)*$B$2+2)*2^($B$2-2),0)+IF(2&lt;$B$2,INDEX(Bits!$E$25:$E$124,(A14-1)*$B$2+3)*2^($B$2-3),0)+IF(3&lt;$B$2,INDEX(Bits!$E$25:$E$124,(A14-1)*$B$2+4)*2^($B$2-4),0)+IF(4&lt;$B$2,INDEX(Bits!$E$25:$E$124,(A14-1)*$B$2+5)*2^($B$2-5),0))</f>
        <v/>
      </c>
      <c r="E14" s="14">
        <f>IF(C14=0,"",INDEX(Constellations!$C$14:$L$45,D14+1,Constellations!$F$8))</f>
        <v/>
      </c>
      <c r="F14" s="14">
        <f>IF(C14=0,"",INDEX(Constellations!$C$14:$L$45,D14+1,Constellations!$F$8+1))</f>
        <v/>
      </c>
      <c r="G14" s="23">
        <f>IF(C14=0,"",E14*$F$2)</f>
        <v/>
      </c>
      <c r="H14" s="23">
        <f>IF(C14=0,"",F14*$F$2)</f>
        <v/>
      </c>
      <c r="I14" s="23">
        <f>IF(C14=0,"",SQRT(G14^2+H14^2))</f>
        <v/>
      </c>
      <c r="J14" s="24">
        <f>IF(C14=0,"",IF(AND(G14=0,H14=0),0,DEGREES(ATAN2(G14,H14))))</f>
        <v/>
      </c>
      <c r="K14" s="25">
        <f>IF(C14=0,K13,K13&amp;" "&amp;B14)</f>
        <v/>
      </c>
      <c r="L14" s="25">
        <f>IF(C14=0,L13,L13&amp;" - "&amp;D14)</f>
        <v/>
      </c>
    </row>
    <row r="15">
      <c r="A15" s="14" t="n">
        <v>10</v>
      </c>
      <c r="B15" s="14">
        <f>IF(C15=0,"",IF(0&lt;$B$2,INDEX(Bits!$E$25:$E$124,(A15-1)*$B$2+1),"")&amp;IF(1&lt;$B$2,INDEX(Bits!$E$25:$E$124,(A15-1)*$B$2+2),"")&amp;IF(2&lt;$B$2,INDEX(Bits!$E$25:$E$124,(A15-1)*$B$2+3),"")&amp;IF(3&lt;$B$2,INDEX(Bits!$E$25:$E$124,(A15-1)*$B$2+4),"")&amp;IF(4&lt;$B$2,INDEX(Bits!$E$25:$E$124,(A15-1)*$B$2+5),""))</f>
        <v/>
      </c>
      <c r="C15" s="14">
        <f>IF(A15&lt;=$D$2,1,0)</f>
        <v/>
      </c>
      <c r="D15" s="14">
        <f>IF(C15=0,"",IF(0&lt;$B$2,INDEX(Bits!$E$25:$E$124,(A15-1)*$B$2+1)*2^($B$2-1),0)+IF(1&lt;$B$2,INDEX(Bits!$E$25:$E$124,(A15-1)*$B$2+2)*2^($B$2-2),0)+IF(2&lt;$B$2,INDEX(Bits!$E$25:$E$124,(A15-1)*$B$2+3)*2^($B$2-3),0)+IF(3&lt;$B$2,INDEX(Bits!$E$25:$E$124,(A15-1)*$B$2+4)*2^($B$2-4),0)+IF(4&lt;$B$2,INDEX(Bits!$E$25:$E$124,(A15-1)*$B$2+5)*2^($B$2-5),0))</f>
        <v/>
      </c>
      <c r="E15" s="14">
        <f>IF(C15=0,"",INDEX(Constellations!$C$14:$L$45,D15+1,Constellations!$F$8))</f>
        <v/>
      </c>
      <c r="F15" s="14">
        <f>IF(C15=0,"",INDEX(Constellations!$C$14:$L$45,D15+1,Constellations!$F$8+1))</f>
        <v/>
      </c>
      <c r="G15" s="23">
        <f>IF(C15=0,"",E15*$F$2)</f>
        <v/>
      </c>
      <c r="H15" s="23">
        <f>IF(C15=0,"",F15*$F$2)</f>
        <v/>
      </c>
      <c r="I15" s="23">
        <f>IF(C15=0,"",SQRT(G15^2+H15^2))</f>
        <v/>
      </c>
      <c r="J15" s="24">
        <f>IF(C15=0,"",IF(AND(G15=0,H15=0),0,DEGREES(ATAN2(G15,H15))))</f>
        <v/>
      </c>
      <c r="K15" s="25">
        <f>IF(C15=0,K14,K14&amp;" "&amp;B15)</f>
        <v/>
      </c>
      <c r="L15" s="25">
        <f>IF(C15=0,L14,L14&amp;" - "&amp;D15)</f>
        <v/>
      </c>
    </row>
    <row r="16">
      <c r="A16" s="14" t="n">
        <v>11</v>
      </c>
      <c r="B16" s="14">
        <f>IF(C16=0,"",IF(0&lt;$B$2,INDEX(Bits!$E$25:$E$124,(A16-1)*$B$2+1),"")&amp;IF(1&lt;$B$2,INDEX(Bits!$E$25:$E$124,(A16-1)*$B$2+2),"")&amp;IF(2&lt;$B$2,INDEX(Bits!$E$25:$E$124,(A16-1)*$B$2+3),"")&amp;IF(3&lt;$B$2,INDEX(Bits!$E$25:$E$124,(A16-1)*$B$2+4),"")&amp;IF(4&lt;$B$2,INDEX(Bits!$E$25:$E$124,(A16-1)*$B$2+5),""))</f>
        <v/>
      </c>
      <c r="C16" s="14">
        <f>IF(A16&lt;=$D$2,1,0)</f>
        <v/>
      </c>
      <c r="D16" s="14">
        <f>IF(C16=0,"",IF(0&lt;$B$2,INDEX(Bits!$E$25:$E$124,(A16-1)*$B$2+1)*2^($B$2-1),0)+IF(1&lt;$B$2,INDEX(Bits!$E$25:$E$124,(A16-1)*$B$2+2)*2^($B$2-2),0)+IF(2&lt;$B$2,INDEX(Bits!$E$25:$E$124,(A16-1)*$B$2+3)*2^($B$2-3),0)+IF(3&lt;$B$2,INDEX(Bits!$E$25:$E$124,(A16-1)*$B$2+4)*2^($B$2-4),0)+IF(4&lt;$B$2,INDEX(Bits!$E$25:$E$124,(A16-1)*$B$2+5)*2^($B$2-5),0))</f>
        <v/>
      </c>
      <c r="E16" s="14">
        <f>IF(C16=0,"",INDEX(Constellations!$C$14:$L$45,D16+1,Constellations!$F$8))</f>
        <v/>
      </c>
      <c r="F16" s="14">
        <f>IF(C16=0,"",INDEX(Constellations!$C$14:$L$45,D16+1,Constellations!$F$8+1))</f>
        <v/>
      </c>
      <c r="G16" s="23">
        <f>IF(C16=0,"",E16*$F$2)</f>
        <v/>
      </c>
      <c r="H16" s="23">
        <f>IF(C16=0,"",F16*$F$2)</f>
        <v/>
      </c>
      <c r="I16" s="23">
        <f>IF(C16=0,"",SQRT(G16^2+H16^2))</f>
        <v/>
      </c>
      <c r="J16" s="24">
        <f>IF(C16=0,"",IF(AND(G16=0,H16=0),0,DEGREES(ATAN2(G16,H16))))</f>
        <v/>
      </c>
      <c r="K16" s="25">
        <f>IF(C16=0,K15,K15&amp;" "&amp;B16)</f>
        <v/>
      </c>
      <c r="L16" s="25">
        <f>IF(C16=0,L15,L15&amp;" - "&amp;D16)</f>
        <v/>
      </c>
    </row>
    <row r="17">
      <c r="A17" s="14" t="n">
        <v>12</v>
      </c>
      <c r="B17" s="14">
        <f>IF(C17=0,"",IF(0&lt;$B$2,INDEX(Bits!$E$25:$E$124,(A17-1)*$B$2+1),"")&amp;IF(1&lt;$B$2,INDEX(Bits!$E$25:$E$124,(A17-1)*$B$2+2),"")&amp;IF(2&lt;$B$2,INDEX(Bits!$E$25:$E$124,(A17-1)*$B$2+3),"")&amp;IF(3&lt;$B$2,INDEX(Bits!$E$25:$E$124,(A17-1)*$B$2+4),"")&amp;IF(4&lt;$B$2,INDEX(Bits!$E$25:$E$124,(A17-1)*$B$2+5),""))</f>
        <v/>
      </c>
      <c r="C17" s="14">
        <f>IF(A17&lt;=$D$2,1,0)</f>
        <v/>
      </c>
      <c r="D17" s="14">
        <f>IF(C17=0,"",IF(0&lt;$B$2,INDEX(Bits!$E$25:$E$124,(A17-1)*$B$2+1)*2^($B$2-1),0)+IF(1&lt;$B$2,INDEX(Bits!$E$25:$E$124,(A17-1)*$B$2+2)*2^($B$2-2),0)+IF(2&lt;$B$2,INDEX(Bits!$E$25:$E$124,(A17-1)*$B$2+3)*2^($B$2-3),0)+IF(3&lt;$B$2,INDEX(Bits!$E$25:$E$124,(A17-1)*$B$2+4)*2^($B$2-4),0)+IF(4&lt;$B$2,INDEX(Bits!$E$25:$E$124,(A17-1)*$B$2+5)*2^($B$2-5),0))</f>
        <v/>
      </c>
      <c r="E17" s="14">
        <f>IF(C17=0,"",INDEX(Constellations!$C$14:$L$45,D17+1,Constellations!$F$8))</f>
        <v/>
      </c>
      <c r="F17" s="14">
        <f>IF(C17=0,"",INDEX(Constellations!$C$14:$L$45,D17+1,Constellations!$F$8+1))</f>
        <v/>
      </c>
      <c r="G17" s="23">
        <f>IF(C17=0,"",E17*$F$2)</f>
        <v/>
      </c>
      <c r="H17" s="23">
        <f>IF(C17=0,"",F17*$F$2)</f>
        <v/>
      </c>
      <c r="I17" s="23">
        <f>IF(C17=0,"",SQRT(G17^2+H17^2))</f>
        <v/>
      </c>
      <c r="J17" s="24">
        <f>IF(C17=0,"",IF(AND(G17=0,H17=0),0,DEGREES(ATAN2(G17,H17))))</f>
        <v/>
      </c>
      <c r="K17" s="25">
        <f>IF(C17=0,K16,K16&amp;" "&amp;B17)</f>
        <v/>
      </c>
      <c r="L17" s="25">
        <f>IF(C17=0,L16,L16&amp;" - "&amp;D17)</f>
        <v/>
      </c>
    </row>
    <row r="18">
      <c r="A18" s="14" t="n">
        <v>13</v>
      </c>
      <c r="B18" s="14">
        <f>IF(C18=0,"",IF(0&lt;$B$2,INDEX(Bits!$E$25:$E$124,(A18-1)*$B$2+1),"")&amp;IF(1&lt;$B$2,INDEX(Bits!$E$25:$E$124,(A18-1)*$B$2+2),"")&amp;IF(2&lt;$B$2,INDEX(Bits!$E$25:$E$124,(A18-1)*$B$2+3),"")&amp;IF(3&lt;$B$2,INDEX(Bits!$E$25:$E$124,(A18-1)*$B$2+4),"")&amp;IF(4&lt;$B$2,INDEX(Bits!$E$25:$E$124,(A18-1)*$B$2+5),""))</f>
        <v/>
      </c>
      <c r="C18" s="14">
        <f>IF(A18&lt;=$D$2,1,0)</f>
        <v/>
      </c>
      <c r="D18" s="14">
        <f>IF(C18=0,"",IF(0&lt;$B$2,INDEX(Bits!$E$25:$E$124,(A18-1)*$B$2+1)*2^($B$2-1),0)+IF(1&lt;$B$2,INDEX(Bits!$E$25:$E$124,(A18-1)*$B$2+2)*2^($B$2-2),0)+IF(2&lt;$B$2,INDEX(Bits!$E$25:$E$124,(A18-1)*$B$2+3)*2^($B$2-3),0)+IF(3&lt;$B$2,INDEX(Bits!$E$25:$E$124,(A18-1)*$B$2+4)*2^($B$2-4),0)+IF(4&lt;$B$2,INDEX(Bits!$E$25:$E$124,(A18-1)*$B$2+5)*2^($B$2-5),0))</f>
        <v/>
      </c>
      <c r="E18" s="14">
        <f>IF(C18=0,"",INDEX(Constellations!$C$14:$L$45,D18+1,Constellations!$F$8))</f>
        <v/>
      </c>
      <c r="F18" s="14">
        <f>IF(C18=0,"",INDEX(Constellations!$C$14:$L$45,D18+1,Constellations!$F$8+1))</f>
        <v/>
      </c>
      <c r="G18" s="23">
        <f>IF(C18=0,"",E18*$F$2)</f>
        <v/>
      </c>
      <c r="H18" s="23">
        <f>IF(C18=0,"",F18*$F$2)</f>
        <v/>
      </c>
      <c r="I18" s="23">
        <f>IF(C18=0,"",SQRT(G18^2+H18^2))</f>
        <v/>
      </c>
      <c r="J18" s="24">
        <f>IF(C18=0,"",IF(AND(G18=0,H18=0),0,DEGREES(ATAN2(G18,H18))))</f>
        <v/>
      </c>
      <c r="K18" s="25">
        <f>IF(C18=0,K17,K17&amp;" "&amp;B18)</f>
        <v/>
      </c>
      <c r="L18" s="25">
        <f>IF(C18=0,L17,L17&amp;" - "&amp;D18)</f>
        <v/>
      </c>
    </row>
    <row r="19">
      <c r="A19" s="14" t="n">
        <v>14</v>
      </c>
      <c r="B19" s="14">
        <f>IF(C19=0,"",IF(0&lt;$B$2,INDEX(Bits!$E$25:$E$124,(A19-1)*$B$2+1),"")&amp;IF(1&lt;$B$2,INDEX(Bits!$E$25:$E$124,(A19-1)*$B$2+2),"")&amp;IF(2&lt;$B$2,INDEX(Bits!$E$25:$E$124,(A19-1)*$B$2+3),"")&amp;IF(3&lt;$B$2,INDEX(Bits!$E$25:$E$124,(A19-1)*$B$2+4),"")&amp;IF(4&lt;$B$2,INDEX(Bits!$E$25:$E$124,(A19-1)*$B$2+5),""))</f>
        <v/>
      </c>
      <c r="C19" s="14">
        <f>IF(A19&lt;=$D$2,1,0)</f>
        <v/>
      </c>
      <c r="D19" s="14">
        <f>IF(C19=0,"",IF(0&lt;$B$2,INDEX(Bits!$E$25:$E$124,(A19-1)*$B$2+1)*2^($B$2-1),0)+IF(1&lt;$B$2,INDEX(Bits!$E$25:$E$124,(A19-1)*$B$2+2)*2^($B$2-2),0)+IF(2&lt;$B$2,INDEX(Bits!$E$25:$E$124,(A19-1)*$B$2+3)*2^($B$2-3),0)+IF(3&lt;$B$2,INDEX(Bits!$E$25:$E$124,(A19-1)*$B$2+4)*2^($B$2-4),0)+IF(4&lt;$B$2,INDEX(Bits!$E$25:$E$124,(A19-1)*$B$2+5)*2^($B$2-5),0))</f>
        <v/>
      </c>
      <c r="E19" s="14">
        <f>IF(C19=0,"",INDEX(Constellations!$C$14:$L$45,D19+1,Constellations!$F$8))</f>
        <v/>
      </c>
      <c r="F19" s="14">
        <f>IF(C19=0,"",INDEX(Constellations!$C$14:$L$45,D19+1,Constellations!$F$8+1))</f>
        <v/>
      </c>
      <c r="G19" s="23">
        <f>IF(C19=0,"",E19*$F$2)</f>
        <v/>
      </c>
      <c r="H19" s="23">
        <f>IF(C19=0,"",F19*$F$2)</f>
        <v/>
      </c>
      <c r="I19" s="23">
        <f>IF(C19=0,"",SQRT(G19^2+H19^2))</f>
        <v/>
      </c>
      <c r="J19" s="24">
        <f>IF(C19=0,"",IF(AND(G19=0,H19=0),0,DEGREES(ATAN2(G19,H19))))</f>
        <v/>
      </c>
      <c r="K19" s="25">
        <f>IF(C19=0,K18,K18&amp;" "&amp;B19)</f>
        <v/>
      </c>
      <c r="L19" s="25">
        <f>IF(C19=0,L18,L18&amp;" - "&amp;D19)</f>
        <v/>
      </c>
    </row>
    <row r="20">
      <c r="A20" s="14" t="n">
        <v>15</v>
      </c>
      <c r="B20" s="14">
        <f>IF(C20=0,"",IF(0&lt;$B$2,INDEX(Bits!$E$25:$E$124,(A20-1)*$B$2+1),"")&amp;IF(1&lt;$B$2,INDEX(Bits!$E$25:$E$124,(A20-1)*$B$2+2),"")&amp;IF(2&lt;$B$2,INDEX(Bits!$E$25:$E$124,(A20-1)*$B$2+3),"")&amp;IF(3&lt;$B$2,INDEX(Bits!$E$25:$E$124,(A20-1)*$B$2+4),"")&amp;IF(4&lt;$B$2,INDEX(Bits!$E$25:$E$124,(A20-1)*$B$2+5),""))</f>
        <v/>
      </c>
      <c r="C20" s="14">
        <f>IF(A20&lt;=$D$2,1,0)</f>
        <v/>
      </c>
      <c r="D20" s="14">
        <f>IF(C20=0,"",IF(0&lt;$B$2,INDEX(Bits!$E$25:$E$124,(A20-1)*$B$2+1)*2^($B$2-1),0)+IF(1&lt;$B$2,INDEX(Bits!$E$25:$E$124,(A20-1)*$B$2+2)*2^($B$2-2),0)+IF(2&lt;$B$2,INDEX(Bits!$E$25:$E$124,(A20-1)*$B$2+3)*2^($B$2-3),0)+IF(3&lt;$B$2,INDEX(Bits!$E$25:$E$124,(A20-1)*$B$2+4)*2^($B$2-4),0)+IF(4&lt;$B$2,INDEX(Bits!$E$25:$E$124,(A20-1)*$B$2+5)*2^($B$2-5),0))</f>
        <v/>
      </c>
      <c r="E20" s="14">
        <f>IF(C20=0,"",INDEX(Constellations!$C$14:$L$45,D20+1,Constellations!$F$8))</f>
        <v/>
      </c>
      <c r="F20" s="14">
        <f>IF(C20=0,"",INDEX(Constellations!$C$14:$L$45,D20+1,Constellations!$F$8+1))</f>
        <v/>
      </c>
      <c r="G20" s="23">
        <f>IF(C20=0,"",E20*$F$2)</f>
        <v/>
      </c>
      <c r="H20" s="23">
        <f>IF(C20=0,"",F20*$F$2)</f>
        <v/>
      </c>
      <c r="I20" s="23">
        <f>IF(C20=0,"",SQRT(G20^2+H20^2))</f>
        <v/>
      </c>
      <c r="J20" s="24">
        <f>IF(C20=0,"",IF(AND(G20=0,H20=0),0,DEGREES(ATAN2(G20,H20))))</f>
        <v/>
      </c>
      <c r="K20" s="25">
        <f>IF(C20=0,K19,K19&amp;" "&amp;B20)</f>
        <v/>
      </c>
      <c r="L20" s="25">
        <f>IF(C20=0,L19,L19&amp;" - "&amp;D20)</f>
        <v/>
      </c>
    </row>
    <row r="21">
      <c r="A21" s="14" t="n">
        <v>16</v>
      </c>
      <c r="B21" s="14">
        <f>IF(C21=0,"",IF(0&lt;$B$2,INDEX(Bits!$E$25:$E$124,(A21-1)*$B$2+1),"")&amp;IF(1&lt;$B$2,INDEX(Bits!$E$25:$E$124,(A21-1)*$B$2+2),"")&amp;IF(2&lt;$B$2,INDEX(Bits!$E$25:$E$124,(A21-1)*$B$2+3),"")&amp;IF(3&lt;$B$2,INDEX(Bits!$E$25:$E$124,(A21-1)*$B$2+4),"")&amp;IF(4&lt;$B$2,INDEX(Bits!$E$25:$E$124,(A21-1)*$B$2+5),""))</f>
        <v/>
      </c>
      <c r="C21" s="14">
        <f>IF(A21&lt;=$D$2,1,0)</f>
        <v/>
      </c>
      <c r="D21" s="14">
        <f>IF(C21=0,"",IF(0&lt;$B$2,INDEX(Bits!$E$25:$E$124,(A21-1)*$B$2+1)*2^($B$2-1),0)+IF(1&lt;$B$2,INDEX(Bits!$E$25:$E$124,(A21-1)*$B$2+2)*2^($B$2-2),0)+IF(2&lt;$B$2,INDEX(Bits!$E$25:$E$124,(A21-1)*$B$2+3)*2^($B$2-3),0)+IF(3&lt;$B$2,INDEX(Bits!$E$25:$E$124,(A21-1)*$B$2+4)*2^($B$2-4),0)+IF(4&lt;$B$2,INDEX(Bits!$E$25:$E$124,(A21-1)*$B$2+5)*2^($B$2-5),0))</f>
        <v/>
      </c>
      <c r="E21" s="14">
        <f>IF(C21=0,"",INDEX(Constellations!$C$14:$L$45,D21+1,Constellations!$F$8))</f>
        <v/>
      </c>
      <c r="F21" s="14">
        <f>IF(C21=0,"",INDEX(Constellations!$C$14:$L$45,D21+1,Constellations!$F$8+1))</f>
        <v/>
      </c>
      <c r="G21" s="23">
        <f>IF(C21=0,"",E21*$F$2)</f>
        <v/>
      </c>
      <c r="H21" s="23">
        <f>IF(C21=0,"",F21*$F$2)</f>
        <v/>
      </c>
      <c r="I21" s="23">
        <f>IF(C21=0,"",SQRT(G21^2+H21^2))</f>
        <v/>
      </c>
      <c r="J21" s="24">
        <f>IF(C21=0,"",IF(AND(G21=0,H21=0),0,DEGREES(ATAN2(G21,H21))))</f>
        <v/>
      </c>
      <c r="K21" s="25">
        <f>IF(C21=0,K20,K20&amp;" "&amp;B21)</f>
        <v/>
      </c>
      <c r="L21" s="25">
        <f>IF(C21=0,L20,L20&amp;" - "&amp;D21)</f>
        <v/>
      </c>
    </row>
    <row r="22">
      <c r="A22" s="14" t="n">
        <v>17</v>
      </c>
      <c r="B22" s="14">
        <f>IF(C22=0,"",IF(0&lt;$B$2,INDEX(Bits!$E$25:$E$124,(A22-1)*$B$2+1),"")&amp;IF(1&lt;$B$2,INDEX(Bits!$E$25:$E$124,(A22-1)*$B$2+2),"")&amp;IF(2&lt;$B$2,INDEX(Bits!$E$25:$E$124,(A22-1)*$B$2+3),"")&amp;IF(3&lt;$B$2,INDEX(Bits!$E$25:$E$124,(A22-1)*$B$2+4),"")&amp;IF(4&lt;$B$2,INDEX(Bits!$E$25:$E$124,(A22-1)*$B$2+5),""))</f>
        <v/>
      </c>
      <c r="C22" s="14">
        <f>IF(A22&lt;=$D$2,1,0)</f>
        <v/>
      </c>
      <c r="D22" s="14">
        <f>IF(C22=0,"",IF(0&lt;$B$2,INDEX(Bits!$E$25:$E$124,(A22-1)*$B$2+1)*2^($B$2-1),0)+IF(1&lt;$B$2,INDEX(Bits!$E$25:$E$124,(A22-1)*$B$2+2)*2^($B$2-2),0)+IF(2&lt;$B$2,INDEX(Bits!$E$25:$E$124,(A22-1)*$B$2+3)*2^($B$2-3),0)+IF(3&lt;$B$2,INDEX(Bits!$E$25:$E$124,(A22-1)*$B$2+4)*2^($B$2-4),0)+IF(4&lt;$B$2,INDEX(Bits!$E$25:$E$124,(A22-1)*$B$2+5)*2^($B$2-5),0))</f>
        <v/>
      </c>
      <c r="E22" s="14">
        <f>IF(C22=0,"",INDEX(Constellations!$C$14:$L$45,D22+1,Constellations!$F$8))</f>
        <v/>
      </c>
      <c r="F22" s="14">
        <f>IF(C22=0,"",INDEX(Constellations!$C$14:$L$45,D22+1,Constellations!$F$8+1))</f>
        <v/>
      </c>
      <c r="G22" s="23">
        <f>IF(C22=0,"",E22*$F$2)</f>
        <v/>
      </c>
      <c r="H22" s="23">
        <f>IF(C22=0,"",F22*$F$2)</f>
        <v/>
      </c>
      <c r="I22" s="23">
        <f>IF(C22=0,"",SQRT(G22^2+H22^2))</f>
        <v/>
      </c>
      <c r="J22" s="24">
        <f>IF(C22=0,"",IF(AND(G22=0,H22=0),0,DEGREES(ATAN2(G22,H22))))</f>
        <v/>
      </c>
      <c r="K22" s="25">
        <f>IF(C22=0,K21,K21&amp;" "&amp;B22)</f>
        <v/>
      </c>
      <c r="L22" s="25">
        <f>IF(C22=0,L21,L21&amp;" - "&amp;D22)</f>
        <v/>
      </c>
    </row>
    <row r="23">
      <c r="A23" s="14" t="n">
        <v>18</v>
      </c>
      <c r="B23" s="14">
        <f>IF(C23=0,"",IF(0&lt;$B$2,INDEX(Bits!$E$25:$E$124,(A23-1)*$B$2+1),"")&amp;IF(1&lt;$B$2,INDEX(Bits!$E$25:$E$124,(A23-1)*$B$2+2),"")&amp;IF(2&lt;$B$2,INDEX(Bits!$E$25:$E$124,(A23-1)*$B$2+3),"")&amp;IF(3&lt;$B$2,INDEX(Bits!$E$25:$E$124,(A23-1)*$B$2+4),"")&amp;IF(4&lt;$B$2,INDEX(Bits!$E$25:$E$124,(A23-1)*$B$2+5),""))</f>
        <v/>
      </c>
      <c r="C23" s="14">
        <f>IF(A23&lt;=$D$2,1,0)</f>
        <v/>
      </c>
      <c r="D23" s="14">
        <f>IF(C23=0,"",IF(0&lt;$B$2,INDEX(Bits!$E$25:$E$124,(A23-1)*$B$2+1)*2^($B$2-1),0)+IF(1&lt;$B$2,INDEX(Bits!$E$25:$E$124,(A23-1)*$B$2+2)*2^($B$2-2),0)+IF(2&lt;$B$2,INDEX(Bits!$E$25:$E$124,(A23-1)*$B$2+3)*2^($B$2-3),0)+IF(3&lt;$B$2,INDEX(Bits!$E$25:$E$124,(A23-1)*$B$2+4)*2^($B$2-4),0)+IF(4&lt;$B$2,INDEX(Bits!$E$25:$E$124,(A23-1)*$B$2+5)*2^($B$2-5),0))</f>
        <v/>
      </c>
      <c r="E23" s="14">
        <f>IF(C23=0,"",INDEX(Constellations!$C$14:$L$45,D23+1,Constellations!$F$8))</f>
        <v/>
      </c>
      <c r="F23" s="14">
        <f>IF(C23=0,"",INDEX(Constellations!$C$14:$L$45,D23+1,Constellations!$F$8+1))</f>
        <v/>
      </c>
      <c r="G23" s="23">
        <f>IF(C23=0,"",E23*$F$2)</f>
        <v/>
      </c>
      <c r="H23" s="23">
        <f>IF(C23=0,"",F23*$F$2)</f>
        <v/>
      </c>
      <c r="I23" s="23">
        <f>IF(C23=0,"",SQRT(G23^2+H23^2))</f>
        <v/>
      </c>
      <c r="J23" s="24">
        <f>IF(C23=0,"",IF(AND(G23=0,H23=0),0,DEGREES(ATAN2(G23,H23))))</f>
        <v/>
      </c>
      <c r="K23" s="25">
        <f>IF(C23=0,K22,K22&amp;" "&amp;B23)</f>
        <v/>
      </c>
      <c r="L23" s="25">
        <f>IF(C23=0,L22,L22&amp;" - "&amp;D23)</f>
        <v/>
      </c>
    </row>
    <row r="24">
      <c r="A24" s="14" t="n">
        <v>19</v>
      </c>
      <c r="B24" s="14">
        <f>IF(C24=0,"",IF(0&lt;$B$2,INDEX(Bits!$E$25:$E$124,(A24-1)*$B$2+1),"")&amp;IF(1&lt;$B$2,INDEX(Bits!$E$25:$E$124,(A24-1)*$B$2+2),"")&amp;IF(2&lt;$B$2,INDEX(Bits!$E$25:$E$124,(A24-1)*$B$2+3),"")&amp;IF(3&lt;$B$2,INDEX(Bits!$E$25:$E$124,(A24-1)*$B$2+4),"")&amp;IF(4&lt;$B$2,INDEX(Bits!$E$25:$E$124,(A24-1)*$B$2+5),""))</f>
        <v/>
      </c>
      <c r="C24" s="14">
        <f>IF(A24&lt;=$D$2,1,0)</f>
        <v/>
      </c>
      <c r="D24" s="14">
        <f>IF(C24=0,"",IF(0&lt;$B$2,INDEX(Bits!$E$25:$E$124,(A24-1)*$B$2+1)*2^($B$2-1),0)+IF(1&lt;$B$2,INDEX(Bits!$E$25:$E$124,(A24-1)*$B$2+2)*2^($B$2-2),0)+IF(2&lt;$B$2,INDEX(Bits!$E$25:$E$124,(A24-1)*$B$2+3)*2^($B$2-3),0)+IF(3&lt;$B$2,INDEX(Bits!$E$25:$E$124,(A24-1)*$B$2+4)*2^($B$2-4),0)+IF(4&lt;$B$2,INDEX(Bits!$E$25:$E$124,(A24-1)*$B$2+5)*2^($B$2-5),0))</f>
        <v/>
      </c>
      <c r="E24" s="14">
        <f>IF(C24=0,"",INDEX(Constellations!$C$14:$L$45,D24+1,Constellations!$F$8))</f>
        <v/>
      </c>
      <c r="F24" s="14">
        <f>IF(C24=0,"",INDEX(Constellations!$C$14:$L$45,D24+1,Constellations!$F$8+1))</f>
        <v/>
      </c>
      <c r="G24" s="23">
        <f>IF(C24=0,"",E24*$F$2)</f>
        <v/>
      </c>
      <c r="H24" s="23">
        <f>IF(C24=0,"",F24*$F$2)</f>
        <v/>
      </c>
      <c r="I24" s="23">
        <f>IF(C24=0,"",SQRT(G24^2+H24^2))</f>
        <v/>
      </c>
      <c r="J24" s="24">
        <f>IF(C24=0,"",IF(AND(G24=0,H24=0),0,DEGREES(ATAN2(G24,H24))))</f>
        <v/>
      </c>
      <c r="K24" s="25">
        <f>IF(C24=0,K23,K23&amp;" "&amp;B24)</f>
        <v/>
      </c>
      <c r="L24" s="25">
        <f>IF(C24=0,L23,L23&amp;" - "&amp;D24)</f>
        <v/>
      </c>
    </row>
    <row r="25">
      <c r="A25" s="14" t="n">
        <v>20</v>
      </c>
      <c r="B25" s="14">
        <f>IF(C25=0,"",IF(0&lt;$B$2,INDEX(Bits!$E$25:$E$124,(A25-1)*$B$2+1),"")&amp;IF(1&lt;$B$2,INDEX(Bits!$E$25:$E$124,(A25-1)*$B$2+2),"")&amp;IF(2&lt;$B$2,INDEX(Bits!$E$25:$E$124,(A25-1)*$B$2+3),"")&amp;IF(3&lt;$B$2,INDEX(Bits!$E$25:$E$124,(A25-1)*$B$2+4),"")&amp;IF(4&lt;$B$2,INDEX(Bits!$E$25:$E$124,(A25-1)*$B$2+5),""))</f>
        <v/>
      </c>
      <c r="C25" s="14">
        <f>IF(A25&lt;=$D$2,1,0)</f>
        <v/>
      </c>
      <c r="D25" s="14">
        <f>IF(C25=0,"",IF(0&lt;$B$2,INDEX(Bits!$E$25:$E$124,(A25-1)*$B$2+1)*2^($B$2-1),0)+IF(1&lt;$B$2,INDEX(Bits!$E$25:$E$124,(A25-1)*$B$2+2)*2^($B$2-2),0)+IF(2&lt;$B$2,INDEX(Bits!$E$25:$E$124,(A25-1)*$B$2+3)*2^($B$2-3),0)+IF(3&lt;$B$2,INDEX(Bits!$E$25:$E$124,(A25-1)*$B$2+4)*2^($B$2-4),0)+IF(4&lt;$B$2,INDEX(Bits!$E$25:$E$124,(A25-1)*$B$2+5)*2^($B$2-5),0))</f>
        <v/>
      </c>
      <c r="E25" s="14">
        <f>IF(C25=0,"",INDEX(Constellations!$C$14:$L$45,D25+1,Constellations!$F$8))</f>
        <v/>
      </c>
      <c r="F25" s="14">
        <f>IF(C25=0,"",INDEX(Constellations!$C$14:$L$45,D25+1,Constellations!$F$8+1))</f>
        <v/>
      </c>
      <c r="G25" s="23">
        <f>IF(C25=0,"",E25*$F$2)</f>
        <v/>
      </c>
      <c r="H25" s="23">
        <f>IF(C25=0,"",F25*$F$2)</f>
        <v/>
      </c>
      <c r="I25" s="23">
        <f>IF(C25=0,"",SQRT(G25^2+H25^2))</f>
        <v/>
      </c>
      <c r="J25" s="24">
        <f>IF(C25=0,"",IF(AND(G25=0,H25=0),0,DEGREES(ATAN2(G25,H25))))</f>
        <v/>
      </c>
      <c r="K25" s="25">
        <f>IF(C25=0,K24,K24&amp;" "&amp;B25)</f>
        <v/>
      </c>
      <c r="L25" s="25">
        <f>IF(C25=0,L24,L24&amp;" - "&amp;D25)</f>
        <v/>
      </c>
    </row>
    <row r="26">
      <c r="A26" s="14" t="n">
        <v>21</v>
      </c>
      <c r="B26" s="14">
        <f>IF(C26=0,"",IF(0&lt;$B$2,INDEX(Bits!$E$25:$E$124,(A26-1)*$B$2+1),"")&amp;IF(1&lt;$B$2,INDEX(Bits!$E$25:$E$124,(A26-1)*$B$2+2),"")&amp;IF(2&lt;$B$2,INDEX(Bits!$E$25:$E$124,(A26-1)*$B$2+3),"")&amp;IF(3&lt;$B$2,INDEX(Bits!$E$25:$E$124,(A26-1)*$B$2+4),"")&amp;IF(4&lt;$B$2,INDEX(Bits!$E$25:$E$124,(A26-1)*$B$2+5),""))</f>
        <v/>
      </c>
      <c r="C26" s="14">
        <f>IF(A26&lt;=$D$2,1,0)</f>
        <v/>
      </c>
      <c r="D26" s="14">
        <f>IF(C26=0,"",IF(0&lt;$B$2,INDEX(Bits!$E$25:$E$124,(A26-1)*$B$2+1)*2^($B$2-1),0)+IF(1&lt;$B$2,INDEX(Bits!$E$25:$E$124,(A26-1)*$B$2+2)*2^($B$2-2),0)+IF(2&lt;$B$2,INDEX(Bits!$E$25:$E$124,(A26-1)*$B$2+3)*2^($B$2-3),0)+IF(3&lt;$B$2,INDEX(Bits!$E$25:$E$124,(A26-1)*$B$2+4)*2^($B$2-4),0)+IF(4&lt;$B$2,INDEX(Bits!$E$25:$E$124,(A26-1)*$B$2+5)*2^($B$2-5),0))</f>
        <v/>
      </c>
      <c r="E26" s="14">
        <f>IF(C26=0,"",INDEX(Constellations!$C$14:$L$45,D26+1,Constellations!$F$8))</f>
        <v/>
      </c>
      <c r="F26" s="14">
        <f>IF(C26=0,"",INDEX(Constellations!$C$14:$L$45,D26+1,Constellations!$F$8+1))</f>
        <v/>
      </c>
      <c r="G26" s="23">
        <f>IF(C26=0,"",E26*$F$2)</f>
        <v/>
      </c>
      <c r="H26" s="23">
        <f>IF(C26=0,"",F26*$F$2)</f>
        <v/>
      </c>
      <c r="I26" s="23">
        <f>IF(C26=0,"",SQRT(G26^2+H26^2))</f>
        <v/>
      </c>
      <c r="J26" s="24">
        <f>IF(C26=0,"",IF(AND(G26=0,H26=0),0,DEGREES(ATAN2(G26,H26))))</f>
        <v/>
      </c>
      <c r="K26" s="25">
        <f>IF(C26=0,K25,K25&amp;" "&amp;B26)</f>
        <v/>
      </c>
      <c r="L26" s="25">
        <f>IF(C26=0,L25,L25&amp;" - "&amp;D26)</f>
        <v/>
      </c>
    </row>
    <row r="27">
      <c r="A27" s="14" t="n">
        <v>22</v>
      </c>
      <c r="B27" s="14">
        <f>IF(C27=0,"",IF(0&lt;$B$2,INDEX(Bits!$E$25:$E$124,(A27-1)*$B$2+1),"")&amp;IF(1&lt;$B$2,INDEX(Bits!$E$25:$E$124,(A27-1)*$B$2+2),"")&amp;IF(2&lt;$B$2,INDEX(Bits!$E$25:$E$124,(A27-1)*$B$2+3),"")&amp;IF(3&lt;$B$2,INDEX(Bits!$E$25:$E$124,(A27-1)*$B$2+4),"")&amp;IF(4&lt;$B$2,INDEX(Bits!$E$25:$E$124,(A27-1)*$B$2+5),""))</f>
        <v/>
      </c>
      <c r="C27" s="14">
        <f>IF(A27&lt;=$D$2,1,0)</f>
        <v/>
      </c>
      <c r="D27" s="14">
        <f>IF(C27=0,"",IF(0&lt;$B$2,INDEX(Bits!$E$25:$E$124,(A27-1)*$B$2+1)*2^($B$2-1),0)+IF(1&lt;$B$2,INDEX(Bits!$E$25:$E$124,(A27-1)*$B$2+2)*2^($B$2-2),0)+IF(2&lt;$B$2,INDEX(Bits!$E$25:$E$124,(A27-1)*$B$2+3)*2^($B$2-3),0)+IF(3&lt;$B$2,INDEX(Bits!$E$25:$E$124,(A27-1)*$B$2+4)*2^($B$2-4),0)+IF(4&lt;$B$2,INDEX(Bits!$E$25:$E$124,(A27-1)*$B$2+5)*2^($B$2-5),0))</f>
        <v/>
      </c>
      <c r="E27" s="14">
        <f>IF(C27=0,"",INDEX(Constellations!$C$14:$L$45,D27+1,Constellations!$F$8))</f>
        <v/>
      </c>
      <c r="F27" s="14">
        <f>IF(C27=0,"",INDEX(Constellations!$C$14:$L$45,D27+1,Constellations!$F$8+1))</f>
        <v/>
      </c>
      <c r="G27" s="23">
        <f>IF(C27=0,"",E27*$F$2)</f>
        <v/>
      </c>
      <c r="H27" s="23">
        <f>IF(C27=0,"",F27*$F$2)</f>
        <v/>
      </c>
      <c r="I27" s="23">
        <f>IF(C27=0,"",SQRT(G27^2+H27^2))</f>
        <v/>
      </c>
      <c r="J27" s="24">
        <f>IF(C27=0,"",IF(AND(G27=0,H27=0),0,DEGREES(ATAN2(G27,H27))))</f>
        <v/>
      </c>
      <c r="K27" s="25">
        <f>IF(C27=0,K26,K26&amp;" "&amp;B27)</f>
        <v/>
      </c>
      <c r="L27" s="25">
        <f>IF(C27=0,L26,L26&amp;" - "&amp;D27)</f>
        <v/>
      </c>
    </row>
    <row r="28">
      <c r="A28" s="14" t="n">
        <v>23</v>
      </c>
      <c r="B28" s="14">
        <f>IF(C28=0,"",IF(0&lt;$B$2,INDEX(Bits!$E$25:$E$124,(A28-1)*$B$2+1),"")&amp;IF(1&lt;$B$2,INDEX(Bits!$E$25:$E$124,(A28-1)*$B$2+2),"")&amp;IF(2&lt;$B$2,INDEX(Bits!$E$25:$E$124,(A28-1)*$B$2+3),"")&amp;IF(3&lt;$B$2,INDEX(Bits!$E$25:$E$124,(A28-1)*$B$2+4),"")&amp;IF(4&lt;$B$2,INDEX(Bits!$E$25:$E$124,(A28-1)*$B$2+5),""))</f>
        <v/>
      </c>
      <c r="C28" s="14">
        <f>IF(A28&lt;=$D$2,1,0)</f>
        <v/>
      </c>
      <c r="D28" s="14">
        <f>IF(C28=0,"",IF(0&lt;$B$2,INDEX(Bits!$E$25:$E$124,(A28-1)*$B$2+1)*2^($B$2-1),0)+IF(1&lt;$B$2,INDEX(Bits!$E$25:$E$124,(A28-1)*$B$2+2)*2^($B$2-2),0)+IF(2&lt;$B$2,INDEX(Bits!$E$25:$E$124,(A28-1)*$B$2+3)*2^($B$2-3),0)+IF(3&lt;$B$2,INDEX(Bits!$E$25:$E$124,(A28-1)*$B$2+4)*2^($B$2-4),0)+IF(4&lt;$B$2,INDEX(Bits!$E$25:$E$124,(A28-1)*$B$2+5)*2^($B$2-5),0))</f>
        <v/>
      </c>
      <c r="E28" s="14">
        <f>IF(C28=0,"",INDEX(Constellations!$C$14:$L$45,D28+1,Constellations!$F$8))</f>
        <v/>
      </c>
      <c r="F28" s="14">
        <f>IF(C28=0,"",INDEX(Constellations!$C$14:$L$45,D28+1,Constellations!$F$8+1))</f>
        <v/>
      </c>
      <c r="G28" s="23">
        <f>IF(C28=0,"",E28*$F$2)</f>
        <v/>
      </c>
      <c r="H28" s="23">
        <f>IF(C28=0,"",F28*$F$2)</f>
        <v/>
      </c>
      <c r="I28" s="23">
        <f>IF(C28=0,"",SQRT(G28^2+H28^2))</f>
        <v/>
      </c>
      <c r="J28" s="24">
        <f>IF(C28=0,"",IF(AND(G28=0,H28=0),0,DEGREES(ATAN2(G28,H28))))</f>
        <v/>
      </c>
      <c r="K28" s="25">
        <f>IF(C28=0,K27,K27&amp;" "&amp;B28)</f>
        <v/>
      </c>
      <c r="L28" s="25">
        <f>IF(C28=0,L27,L27&amp;" - "&amp;D28)</f>
        <v/>
      </c>
    </row>
    <row r="29">
      <c r="A29" s="14" t="n">
        <v>24</v>
      </c>
      <c r="B29" s="14">
        <f>IF(C29=0,"",IF(0&lt;$B$2,INDEX(Bits!$E$25:$E$124,(A29-1)*$B$2+1),"")&amp;IF(1&lt;$B$2,INDEX(Bits!$E$25:$E$124,(A29-1)*$B$2+2),"")&amp;IF(2&lt;$B$2,INDEX(Bits!$E$25:$E$124,(A29-1)*$B$2+3),"")&amp;IF(3&lt;$B$2,INDEX(Bits!$E$25:$E$124,(A29-1)*$B$2+4),"")&amp;IF(4&lt;$B$2,INDEX(Bits!$E$25:$E$124,(A29-1)*$B$2+5),""))</f>
        <v/>
      </c>
      <c r="C29" s="14">
        <f>IF(A29&lt;=$D$2,1,0)</f>
        <v/>
      </c>
      <c r="D29" s="14">
        <f>IF(C29=0,"",IF(0&lt;$B$2,INDEX(Bits!$E$25:$E$124,(A29-1)*$B$2+1)*2^($B$2-1),0)+IF(1&lt;$B$2,INDEX(Bits!$E$25:$E$124,(A29-1)*$B$2+2)*2^($B$2-2),0)+IF(2&lt;$B$2,INDEX(Bits!$E$25:$E$124,(A29-1)*$B$2+3)*2^($B$2-3),0)+IF(3&lt;$B$2,INDEX(Bits!$E$25:$E$124,(A29-1)*$B$2+4)*2^($B$2-4),0)+IF(4&lt;$B$2,INDEX(Bits!$E$25:$E$124,(A29-1)*$B$2+5)*2^($B$2-5),0))</f>
        <v/>
      </c>
      <c r="E29" s="14">
        <f>IF(C29=0,"",INDEX(Constellations!$C$14:$L$45,D29+1,Constellations!$F$8))</f>
        <v/>
      </c>
      <c r="F29" s="14">
        <f>IF(C29=0,"",INDEX(Constellations!$C$14:$L$45,D29+1,Constellations!$F$8+1))</f>
        <v/>
      </c>
      <c r="G29" s="23">
        <f>IF(C29=0,"",E29*$F$2)</f>
        <v/>
      </c>
      <c r="H29" s="23">
        <f>IF(C29=0,"",F29*$F$2)</f>
        <v/>
      </c>
      <c r="I29" s="23">
        <f>IF(C29=0,"",SQRT(G29^2+H29^2))</f>
        <v/>
      </c>
      <c r="J29" s="24">
        <f>IF(C29=0,"",IF(AND(G29=0,H29=0),0,DEGREES(ATAN2(G29,H29))))</f>
        <v/>
      </c>
      <c r="K29" s="25">
        <f>IF(C29=0,K28,K28&amp;" "&amp;B29)</f>
        <v/>
      </c>
      <c r="L29" s="25">
        <f>IF(C29=0,L28,L28&amp;" - "&amp;D29)</f>
        <v/>
      </c>
    </row>
    <row r="30">
      <c r="A30" s="14" t="n">
        <v>25</v>
      </c>
      <c r="B30" s="14">
        <f>IF(C30=0,"",IF(0&lt;$B$2,INDEX(Bits!$E$25:$E$124,(A30-1)*$B$2+1),"")&amp;IF(1&lt;$B$2,INDEX(Bits!$E$25:$E$124,(A30-1)*$B$2+2),"")&amp;IF(2&lt;$B$2,INDEX(Bits!$E$25:$E$124,(A30-1)*$B$2+3),"")&amp;IF(3&lt;$B$2,INDEX(Bits!$E$25:$E$124,(A30-1)*$B$2+4),"")&amp;IF(4&lt;$B$2,INDEX(Bits!$E$25:$E$124,(A30-1)*$B$2+5),""))</f>
        <v/>
      </c>
      <c r="C30" s="14">
        <f>IF(A30&lt;=$D$2,1,0)</f>
        <v/>
      </c>
      <c r="D30" s="14">
        <f>IF(C30=0,"",IF(0&lt;$B$2,INDEX(Bits!$E$25:$E$124,(A30-1)*$B$2+1)*2^($B$2-1),0)+IF(1&lt;$B$2,INDEX(Bits!$E$25:$E$124,(A30-1)*$B$2+2)*2^($B$2-2),0)+IF(2&lt;$B$2,INDEX(Bits!$E$25:$E$124,(A30-1)*$B$2+3)*2^($B$2-3),0)+IF(3&lt;$B$2,INDEX(Bits!$E$25:$E$124,(A30-1)*$B$2+4)*2^($B$2-4),0)+IF(4&lt;$B$2,INDEX(Bits!$E$25:$E$124,(A30-1)*$B$2+5)*2^($B$2-5),0))</f>
        <v/>
      </c>
      <c r="E30" s="14">
        <f>IF(C30=0,"",INDEX(Constellations!$C$14:$L$45,D30+1,Constellations!$F$8))</f>
        <v/>
      </c>
      <c r="F30" s="14">
        <f>IF(C30=0,"",INDEX(Constellations!$C$14:$L$45,D30+1,Constellations!$F$8+1))</f>
        <v/>
      </c>
      <c r="G30" s="23">
        <f>IF(C30=0,"",E30*$F$2)</f>
        <v/>
      </c>
      <c r="H30" s="23">
        <f>IF(C30=0,"",F30*$F$2)</f>
        <v/>
      </c>
      <c r="I30" s="23">
        <f>IF(C30=0,"",SQRT(G30^2+H30^2))</f>
        <v/>
      </c>
      <c r="J30" s="24">
        <f>IF(C30=0,"",IF(AND(G30=0,H30=0),0,DEGREES(ATAN2(G30,H30))))</f>
        <v/>
      </c>
      <c r="K30" s="25">
        <f>IF(C30=0,K29,K29&amp;" "&amp;B30)</f>
        <v/>
      </c>
      <c r="L30" s="25">
        <f>IF(C30=0,L29,L29&amp;" - "&amp;D30)</f>
        <v/>
      </c>
    </row>
    <row r="31">
      <c r="A31" s="14" t="n">
        <v>26</v>
      </c>
      <c r="B31" s="14">
        <f>IF(C31=0,"",IF(0&lt;$B$2,INDEX(Bits!$E$25:$E$124,(A31-1)*$B$2+1),"")&amp;IF(1&lt;$B$2,INDEX(Bits!$E$25:$E$124,(A31-1)*$B$2+2),"")&amp;IF(2&lt;$B$2,INDEX(Bits!$E$25:$E$124,(A31-1)*$B$2+3),"")&amp;IF(3&lt;$B$2,INDEX(Bits!$E$25:$E$124,(A31-1)*$B$2+4),"")&amp;IF(4&lt;$B$2,INDEX(Bits!$E$25:$E$124,(A31-1)*$B$2+5),""))</f>
        <v/>
      </c>
      <c r="C31" s="14">
        <f>IF(A31&lt;=$D$2,1,0)</f>
        <v/>
      </c>
      <c r="D31" s="14">
        <f>IF(C31=0,"",IF(0&lt;$B$2,INDEX(Bits!$E$25:$E$124,(A31-1)*$B$2+1)*2^($B$2-1),0)+IF(1&lt;$B$2,INDEX(Bits!$E$25:$E$124,(A31-1)*$B$2+2)*2^($B$2-2),0)+IF(2&lt;$B$2,INDEX(Bits!$E$25:$E$124,(A31-1)*$B$2+3)*2^($B$2-3),0)+IF(3&lt;$B$2,INDEX(Bits!$E$25:$E$124,(A31-1)*$B$2+4)*2^($B$2-4),0)+IF(4&lt;$B$2,INDEX(Bits!$E$25:$E$124,(A31-1)*$B$2+5)*2^($B$2-5),0))</f>
        <v/>
      </c>
      <c r="E31" s="14">
        <f>IF(C31=0,"",INDEX(Constellations!$C$14:$L$45,D31+1,Constellations!$F$8))</f>
        <v/>
      </c>
      <c r="F31" s="14">
        <f>IF(C31=0,"",INDEX(Constellations!$C$14:$L$45,D31+1,Constellations!$F$8+1))</f>
        <v/>
      </c>
      <c r="G31" s="23">
        <f>IF(C31=0,"",E31*$F$2)</f>
        <v/>
      </c>
      <c r="H31" s="23">
        <f>IF(C31=0,"",F31*$F$2)</f>
        <v/>
      </c>
      <c r="I31" s="23">
        <f>IF(C31=0,"",SQRT(G31^2+H31^2))</f>
        <v/>
      </c>
      <c r="J31" s="24">
        <f>IF(C31=0,"",IF(AND(G31=0,H31=0),0,DEGREES(ATAN2(G31,H31))))</f>
        <v/>
      </c>
      <c r="K31" s="25">
        <f>IF(C31=0,K30,K30&amp;" "&amp;B31)</f>
        <v/>
      </c>
      <c r="L31" s="25">
        <f>IF(C31=0,L30,L30&amp;" - "&amp;D31)</f>
        <v/>
      </c>
    </row>
    <row r="32">
      <c r="A32" s="14" t="n">
        <v>27</v>
      </c>
      <c r="B32" s="14">
        <f>IF(C32=0,"",IF(0&lt;$B$2,INDEX(Bits!$E$25:$E$124,(A32-1)*$B$2+1),"")&amp;IF(1&lt;$B$2,INDEX(Bits!$E$25:$E$124,(A32-1)*$B$2+2),"")&amp;IF(2&lt;$B$2,INDEX(Bits!$E$25:$E$124,(A32-1)*$B$2+3),"")&amp;IF(3&lt;$B$2,INDEX(Bits!$E$25:$E$124,(A32-1)*$B$2+4),"")&amp;IF(4&lt;$B$2,INDEX(Bits!$E$25:$E$124,(A32-1)*$B$2+5),""))</f>
        <v/>
      </c>
      <c r="C32" s="14">
        <f>IF(A32&lt;=$D$2,1,0)</f>
        <v/>
      </c>
      <c r="D32" s="14">
        <f>IF(C32=0,"",IF(0&lt;$B$2,INDEX(Bits!$E$25:$E$124,(A32-1)*$B$2+1)*2^($B$2-1),0)+IF(1&lt;$B$2,INDEX(Bits!$E$25:$E$124,(A32-1)*$B$2+2)*2^($B$2-2),0)+IF(2&lt;$B$2,INDEX(Bits!$E$25:$E$124,(A32-1)*$B$2+3)*2^($B$2-3),0)+IF(3&lt;$B$2,INDEX(Bits!$E$25:$E$124,(A32-1)*$B$2+4)*2^($B$2-4),0)+IF(4&lt;$B$2,INDEX(Bits!$E$25:$E$124,(A32-1)*$B$2+5)*2^($B$2-5),0))</f>
        <v/>
      </c>
      <c r="E32" s="14">
        <f>IF(C32=0,"",INDEX(Constellations!$C$14:$L$45,D32+1,Constellations!$F$8))</f>
        <v/>
      </c>
      <c r="F32" s="14">
        <f>IF(C32=0,"",INDEX(Constellations!$C$14:$L$45,D32+1,Constellations!$F$8+1))</f>
        <v/>
      </c>
      <c r="G32" s="23">
        <f>IF(C32=0,"",E32*$F$2)</f>
        <v/>
      </c>
      <c r="H32" s="23">
        <f>IF(C32=0,"",F32*$F$2)</f>
        <v/>
      </c>
      <c r="I32" s="23">
        <f>IF(C32=0,"",SQRT(G32^2+H32^2))</f>
        <v/>
      </c>
      <c r="J32" s="24">
        <f>IF(C32=0,"",IF(AND(G32=0,H32=0),0,DEGREES(ATAN2(G32,H32))))</f>
        <v/>
      </c>
      <c r="K32" s="25">
        <f>IF(C32=0,K31,K31&amp;" "&amp;B32)</f>
        <v/>
      </c>
      <c r="L32" s="25">
        <f>IF(C32=0,L31,L31&amp;" - "&amp;D32)</f>
        <v/>
      </c>
    </row>
    <row r="33">
      <c r="A33" s="14" t="n">
        <v>28</v>
      </c>
      <c r="B33" s="14">
        <f>IF(C33=0,"",IF(0&lt;$B$2,INDEX(Bits!$E$25:$E$124,(A33-1)*$B$2+1),"")&amp;IF(1&lt;$B$2,INDEX(Bits!$E$25:$E$124,(A33-1)*$B$2+2),"")&amp;IF(2&lt;$B$2,INDEX(Bits!$E$25:$E$124,(A33-1)*$B$2+3),"")&amp;IF(3&lt;$B$2,INDEX(Bits!$E$25:$E$124,(A33-1)*$B$2+4),"")&amp;IF(4&lt;$B$2,INDEX(Bits!$E$25:$E$124,(A33-1)*$B$2+5),""))</f>
        <v/>
      </c>
      <c r="C33" s="14">
        <f>IF(A33&lt;=$D$2,1,0)</f>
        <v/>
      </c>
      <c r="D33" s="14">
        <f>IF(C33=0,"",IF(0&lt;$B$2,INDEX(Bits!$E$25:$E$124,(A33-1)*$B$2+1)*2^($B$2-1),0)+IF(1&lt;$B$2,INDEX(Bits!$E$25:$E$124,(A33-1)*$B$2+2)*2^($B$2-2),0)+IF(2&lt;$B$2,INDEX(Bits!$E$25:$E$124,(A33-1)*$B$2+3)*2^($B$2-3),0)+IF(3&lt;$B$2,INDEX(Bits!$E$25:$E$124,(A33-1)*$B$2+4)*2^($B$2-4),0)+IF(4&lt;$B$2,INDEX(Bits!$E$25:$E$124,(A33-1)*$B$2+5)*2^($B$2-5),0))</f>
        <v/>
      </c>
      <c r="E33" s="14">
        <f>IF(C33=0,"",INDEX(Constellations!$C$14:$L$45,D33+1,Constellations!$F$8))</f>
        <v/>
      </c>
      <c r="F33" s="14">
        <f>IF(C33=0,"",INDEX(Constellations!$C$14:$L$45,D33+1,Constellations!$F$8+1))</f>
        <v/>
      </c>
      <c r="G33" s="23">
        <f>IF(C33=0,"",E33*$F$2)</f>
        <v/>
      </c>
      <c r="H33" s="23">
        <f>IF(C33=0,"",F33*$F$2)</f>
        <v/>
      </c>
      <c r="I33" s="23">
        <f>IF(C33=0,"",SQRT(G33^2+H33^2))</f>
        <v/>
      </c>
      <c r="J33" s="24">
        <f>IF(C33=0,"",IF(AND(G33=0,H33=0),0,DEGREES(ATAN2(G33,H33))))</f>
        <v/>
      </c>
      <c r="K33" s="25">
        <f>IF(C33=0,K32,K32&amp;" "&amp;B33)</f>
        <v/>
      </c>
      <c r="L33" s="25">
        <f>IF(C33=0,L32,L32&amp;" - "&amp;D33)</f>
        <v/>
      </c>
    </row>
    <row r="34">
      <c r="A34" s="14" t="n">
        <v>29</v>
      </c>
      <c r="B34" s="14">
        <f>IF(C34=0,"",IF(0&lt;$B$2,INDEX(Bits!$E$25:$E$124,(A34-1)*$B$2+1),"")&amp;IF(1&lt;$B$2,INDEX(Bits!$E$25:$E$124,(A34-1)*$B$2+2),"")&amp;IF(2&lt;$B$2,INDEX(Bits!$E$25:$E$124,(A34-1)*$B$2+3),"")&amp;IF(3&lt;$B$2,INDEX(Bits!$E$25:$E$124,(A34-1)*$B$2+4),"")&amp;IF(4&lt;$B$2,INDEX(Bits!$E$25:$E$124,(A34-1)*$B$2+5),""))</f>
        <v/>
      </c>
      <c r="C34" s="14">
        <f>IF(A34&lt;=$D$2,1,0)</f>
        <v/>
      </c>
      <c r="D34" s="14">
        <f>IF(C34=0,"",IF(0&lt;$B$2,INDEX(Bits!$E$25:$E$124,(A34-1)*$B$2+1)*2^($B$2-1),0)+IF(1&lt;$B$2,INDEX(Bits!$E$25:$E$124,(A34-1)*$B$2+2)*2^($B$2-2),0)+IF(2&lt;$B$2,INDEX(Bits!$E$25:$E$124,(A34-1)*$B$2+3)*2^($B$2-3),0)+IF(3&lt;$B$2,INDEX(Bits!$E$25:$E$124,(A34-1)*$B$2+4)*2^($B$2-4),0)+IF(4&lt;$B$2,INDEX(Bits!$E$25:$E$124,(A34-1)*$B$2+5)*2^($B$2-5),0))</f>
        <v/>
      </c>
      <c r="E34" s="14">
        <f>IF(C34=0,"",INDEX(Constellations!$C$14:$L$45,D34+1,Constellations!$F$8))</f>
        <v/>
      </c>
      <c r="F34" s="14">
        <f>IF(C34=0,"",INDEX(Constellations!$C$14:$L$45,D34+1,Constellations!$F$8+1))</f>
        <v/>
      </c>
      <c r="G34" s="23">
        <f>IF(C34=0,"",E34*$F$2)</f>
        <v/>
      </c>
      <c r="H34" s="23">
        <f>IF(C34=0,"",F34*$F$2)</f>
        <v/>
      </c>
      <c r="I34" s="23">
        <f>IF(C34=0,"",SQRT(G34^2+H34^2))</f>
        <v/>
      </c>
      <c r="J34" s="24">
        <f>IF(C34=0,"",IF(AND(G34=0,H34=0),0,DEGREES(ATAN2(G34,H34))))</f>
        <v/>
      </c>
      <c r="K34" s="25">
        <f>IF(C34=0,K33,K33&amp;" "&amp;B34)</f>
        <v/>
      </c>
      <c r="L34" s="25">
        <f>IF(C34=0,L33,L33&amp;" - "&amp;D34)</f>
        <v/>
      </c>
    </row>
    <row r="35">
      <c r="A35" s="14" t="n">
        <v>30</v>
      </c>
      <c r="B35" s="14">
        <f>IF(C35=0,"",IF(0&lt;$B$2,INDEX(Bits!$E$25:$E$124,(A35-1)*$B$2+1),"")&amp;IF(1&lt;$B$2,INDEX(Bits!$E$25:$E$124,(A35-1)*$B$2+2),"")&amp;IF(2&lt;$B$2,INDEX(Bits!$E$25:$E$124,(A35-1)*$B$2+3),"")&amp;IF(3&lt;$B$2,INDEX(Bits!$E$25:$E$124,(A35-1)*$B$2+4),"")&amp;IF(4&lt;$B$2,INDEX(Bits!$E$25:$E$124,(A35-1)*$B$2+5),""))</f>
        <v/>
      </c>
      <c r="C35" s="14">
        <f>IF(A35&lt;=$D$2,1,0)</f>
        <v/>
      </c>
      <c r="D35" s="14">
        <f>IF(C35=0,"",IF(0&lt;$B$2,INDEX(Bits!$E$25:$E$124,(A35-1)*$B$2+1)*2^($B$2-1),0)+IF(1&lt;$B$2,INDEX(Bits!$E$25:$E$124,(A35-1)*$B$2+2)*2^($B$2-2),0)+IF(2&lt;$B$2,INDEX(Bits!$E$25:$E$124,(A35-1)*$B$2+3)*2^($B$2-3),0)+IF(3&lt;$B$2,INDEX(Bits!$E$25:$E$124,(A35-1)*$B$2+4)*2^($B$2-4),0)+IF(4&lt;$B$2,INDEX(Bits!$E$25:$E$124,(A35-1)*$B$2+5)*2^($B$2-5),0))</f>
        <v/>
      </c>
      <c r="E35" s="14">
        <f>IF(C35=0,"",INDEX(Constellations!$C$14:$L$45,D35+1,Constellations!$F$8))</f>
        <v/>
      </c>
      <c r="F35" s="14">
        <f>IF(C35=0,"",INDEX(Constellations!$C$14:$L$45,D35+1,Constellations!$F$8+1))</f>
        <v/>
      </c>
      <c r="G35" s="23">
        <f>IF(C35=0,"",E35*$F$2)</f>
        <v/>
      </c>
      <c r="H35" s="23">
        <f>IF(C35=0,"",F35*$F$2)</f>
        <v/>
      </c>
      <c r="I35" s="23">
        <f>IF(C35=0,"",SQRT(G35^2+H35^2))</f>
        <v/>
      </c>
      <c r="J35" s="24">
        <f>IF(C35=0,"",IF(AND(G35=0,H35=0),0,DEGREES(ATAN2(G35,H35))))</f>
        <v/>
      </c>
      <c r="K35" s="25">
        <f>IF(C35=0,K34,K34&amp;" "&amp;B35)</f>
        <v/>
      </c>
      <c r="L35" s="25">
        <f>IF(C35=0,L34,L34&amp;" - "&amp;D35)</f>
        <v/>
      </c>
    </row>
    <row r="36">
      <c r="A36" s="14" t="n">
        <v>31</v>
      </c>
      <c r="B36" s="14">
        <f>IF(C36=0,"",IF(0&lt;$B$2,INDEX(Bits!$E$25:$E$124,(A36-1)*$B$2+1),"")&amp;IF(1&lt;$B$2,INDEX(Bits!$E$25:$E$124,(A36-1)*$B$2+2),"")&amp;IF(2&lt;$B$2,INDEX(Bits!$E$25:$E$124,(A36-1)*$B$2+3),"")&amp;IF(3&lt;$B$2,INDEX(Bits!$E$25:$E$124,(A36-1)*$B$2+4),"")&amp;IF(4&lt;$B$2,INDEX(Bits!$E$25:$E$124,(A36-1)*$B$2+5),""))</f>
        <v/>
      </c>
      <c r="C36" s="14">
        <f>IF(A36&lt;=$D$2,1,0)</f>
        <v/>
      </c>
      <c r="D36" s="14">
        <f>IF(C36=0,"",IF(0&lt;$B$2,INDEX(Bits!$E$25:$E$124,(A36-1)*$B$2+1)*2^($B$2-1),0)+IF(1&lt;$B$2,INDEX(Bits!$E$25:$E$124,(A36-1)*$B$2+2)*2^($B$2-2),0)+IF(2&lt;$B$2,INDEX(Bits!$E$25:$E$124,(A36-1)*$B$2+3)*2^($B$2-3),0)+IF(3&lt;$B$2,INDEX(Bits!$E$25:$E$124,(A36-1)*$B$2+4)*2^($B$2-4),0)+IF(4&lt;$B$2,INDEX(Bits!$E$25:$E$124,(A36-1)*$B$2+5)*2^($B$2-5),0))</f>
        <v/>
      </c>
      <c r="E36" s="14">
        <f>IF(C36=0,"",INDEX(Constellations!$C$14:$L$45,D36+1,Constellations!$F$8))</f>
        <v/>
      </c>
      <c r="F36" s="14">
        <f>IF(C36=0,"",INDEX(Constellations!$C$14:$L$45,D36+1,Constellations!$F$8+1))</f>
        <v/>
      </c>
      <c r="G36" s="23">
        <f>IF(C36=0,"",E36*$F$2)</f>
        <v/>
      </c>
      <c r="H36" s="23">
        <f>IF(C36=0,"",F36*$F$2)</f>
        <v/>
      </c>
      <c r="I36" s="23">
        <f>IF(C36=0,"",SQRT(G36^2+H36^2))</f>
        <v/>
      </c>
      <c r="J36" s="24">
        <f>IF(C36=0,"",IF(AND(G36=0,H36=0),0,DEGREES(ATAN2(G36,H36))))</f>
        <v/>
      </c>
      <c r="K36" s="25">
        <f>IF(C36=0,K35,K35&amp;" "&amp;B36)</f>
        <v/>
      </c>
      <c r="L36" s="25">
        <f>IF(C36=0,L35,L35&amp;" - "&amp;D36)</f>
        <v/>
      </c>
    </row>
    <row r="37">
      <c r="A37" s="14" t="n">
        <v>32</v>
      </c>
      <c r="B37" s="14">
        <f>IF(C37=0,"",IF(0&lt;$B$2,INDEX(Bits!$E$25:$E$124,(A37-1)*$B$2+1),"")&amp;IF(1&lt;$B$2,INDEX(Bits!$E$25:$E$124,(A37-1)*$B$2+2),"")&amp;IF(2&lt;$B$2,INDEX(Bits!$E$25:$E$124,(A37-1)*$B$2+3),"")&amp;IF(3&lt;$B$2,INDEX(Bits!$E$25:$E$124,(A37-1)*$B$2+4),"")&amp;IF(4&lt;$B$2,INDEX(Bits!$E$25:$E$124,(A37-1)*$B$2+5),""))</f>
        <v/>
      </c>
      <c r="C37" s="14">
        <f>IF(A37&lt;=$D$2,1,0)</f>
        <v/>
      </c>
      <c r="D37" s="14">
        <f>IF(C37=0,"",IF(0&lt;$B$2,INDEX(Bits!$E$25:$E$124,(A37-1)*$B$2+1)*2^($B$2-1),0)+IF(1&lt;$B$2,INDEX(Bits!$E$25:$E$124,(A37-1)*$B$2+2)*2^($B$2-2),0)+IF(2&lt;$B$2,INDEX(Bits!$E$25:$E$124,(A37-1)*$B$2+3)*2^($B$2-3),0)+IF(3&lt;$B$2,INDEX(Bits!$E$25:$E$124,(A37-1)*$B$2+4)*2^($B$2-4),0)+IF(4&lt;$B$2,INDEX(Bits!$E$25:$E$124,(A37-1)*$B$2+5)*2^($B$2-5),0))</f>
        <v/>
      </c>
      <c r="E37" s="14">
        <f>IF(C37=0,"",INDEX(Constellations!$C$14:$L$45,D37+1,Constellations!$F$8))</f>
        <v/>
      </c>
      <c r="F37" s="14">
        <f>IF(C37=0,"",INDEX(Constellations!$C$14:$L$45,D37+1,Constellations!$F$8+1))</f>
        <v/>
      </c>
      <c r="G37" s="23">
        <f>IF(C37=0,"",E37*$F$2)</f>
        <v/>
      </c>
      <c r="H37" s="23">
        <f>IF(C37=0,"",F37*$F$2)</f>
        <v/>
      </c>
      <c r="I37" s="23">
        <f>IF(C37=0,"",SQRT(G37^2+H37^2))</f>
        <v/>
      </c>
      <c r="J37" s="24">
        <f>IF(C37=0,"",IF(AND(G37=0,H37=0),0,DEGREES(ATAN2(G37,H37))))</f>
        <v/>
      </c>
      <c r="K37" s="25">
        <f>IF(C37=0,K36,K36&amp;" "&amp;B37)</f>
        <v/>
      </c>
      <c r="L37" s="25">
        <f>IF(C37=0,L36,L36&amp;" - "&amp;D37)</f>
        <v/>
      </c>
    </row>
    <row r="38">
      <c r="A38" s="14" t="n">
        <v>33</v>
      </c>
      <c r="B38" s="14">
        <f>IF(C38=0,"",IF(0&lt;$B$2,INDEX(Bits!$E$25:$E$124,(A38-1)*$B$2+1),"")&amp;IF(1&lt;$B$2,INDEX(Bits!$E$25:$E$124,(A38-1)*$B$2+2),"")&amp;IF(2&lt;$B$2,INDEX(Bits!$E$25:$E$124,(A38-1)*$B$2+3),"")&amp;IF(3&lt;$B$2,INDEX(Bits!$E$25:$E$124,(A38-1)*$B$2+4),"")&amp;IF(4&lt;$B$2,INDEX(Bits!$E$25:$E$124,(A38-1)*$B$2+5),""))</f>
        <v/>
      </c>
      <c r="C38" s="14">
        <f>IF(A38&lt;=$D$2,1,0)</f>
        <v/>
      </c>
      <c r="D38" s="14">
        <f>IF(C38=0,"",IF(0&lt;$B$2,INDEX(Bits!$E$25:$E$124,(A38-1)*$B$2+1)*2^($B$2-1),0)+IF(1&lt;$B$2,INDEX(Bits!$E$25:$E$124,(A38-1)*$B$2+2)*2^($B$2-2),0)+IF(2&lt;$B$2,INDEX(Bits!$E$25:$E$124,(A38-1)*$B$2+3)*2^($B$2-3),0)+IF(3&lt;$B$2,INDEX(Bits!$E$25:$E$124,(A38-1)*$B$2+4)*2^($B$2-4),0)+IF(4&lt;$B$2,INDEX(Bits!$E$25:$E$124,(A38-1)*$B$2+5)*2^($B$2-5),0))</f>
        <v/>
      </c>
      <c r="E38" s="14">
        <f>IF(C38=0,"",INDEX(Constellations!$C$14:$L$45,D38+1,Constellations!$F$8))</f>
        <v/>
      </c>
      <c r="F38" s="14">
        <f>IF(C38=0,"",INDEX(Constellations!$C$14:$L$45,D38+1,Constellations!$F$8+1))</f>
        <v/>
      </c>
      <c r="G38" s="23">
        <f>IF(C38=0,"",E38*$F$2)</f>
        <v/>
      </c>
      <c r="H38" s="23">
        <f>IF(C38=0,"",F38*$F$2)</f>
        <v/>
      </c>
      <c r="I38" s="23">
        <f>IF(C38=0,"",SQRT(G38^2+H38^2))</f>
        <v/>
      </c>
      <c r="J38" s="24">
        <f>IF(C38=0,"",IF(AND(G38=0,H38=0),0,DEGREES(ATAN2(G38,H38))))</f>
        <v/>
      </c>
      <c r="K38" s="25">
        <f>IF(C38=0,K37,K37&amp;" "&amp;B38)</f>
        <v/>
      </c>
      <c r="L38" s="25">
        <f>IF(C38=0,L37,L37&amp;" - "&amp;D38)</f>
        <v/>
      </c>
    </row>
    <row r="39">
      <c r="A39" s="14" t="n">
        <v>34</v>
      </c>
      <c r="B39" s="14">
        <f>IF(C39=0,"",IF(0&lt;$B$2,INDEX(Bits!$E$25:$E$124,(A39-1)*$B$2+1),"")&amp;IF(1&lt;$B$2,INDEX(Bits!$E$25:$E$124,(A39-1)*$B$2+2),"")&amp;IF(2&lt;$B$2,INDEX(Bits!$E$25:$E$124,(A39-1)*$B$2+3),"")&amp;IF(3&lt;$B$2,INDEX(Bits!$E$25:$E$124,(A39-1)*$B$2+4),"")&amp;IF(4&lt;$B$2,INDEX(Bits!$E$25:$E$124,(A39-1)*$B$2+5),""))</f>
        <v/>
      </c>
      <c r="C39" s="14">
        <f>IF(A39&lt;=$D$2,1,0)</f>
        <v/>
      </c>
      <c r="D39" s="14">
        <f>IF(C39=0,"",IF(0&lt;$B$2,INDEX(Bits!$E$25:$E$124,(A39-1)*$B$2+1)*2^($B$2-1),0)+IF(1&lt;$B$2,INDEX(Bits!$E$25:$E$124,(A39-1)*$B$2+2)*2^($B$2-2),0)+IF(2&lt;$B$2,INDEX(Bits!$E$25:$E$124,(A39-1)*$B$2+3)*2^($B$2-3),0)+IF(3&lt;$B$2,INDEX(Bits!$E$25:$E$124,(A39-1)*$B$2+4)*2^($B$2-4),0)+IF(4&lt;$B$2,INDEX(Bits!$E$25:$E$124,(A39-1)*$B$2+5)*2^($B$2-5),0))</f>
        <v/>
      </c>
      <c r="E39" s="14">
        <f>IF(C39=0,"",INDEX(Constellations!$C$14:$L$45,D39+1,Constellations!$F$8))</f>
        <v/>
      </c>
      <c r="F39" s="14">
        <f>IF(C39=0,"",INDEX(Constellations!$C$14:$L$45,D39+1,Constellations!$F$8+1))</f>
        <v/>
      </c>
      <c r="G39" s="23">
        <f>IF(C39=0,"",E39*$F$2)</f>
        <v/>
      </c>
      <c r="H39" s="23">
        <f>IF(C39=0,"",F39*$F$2)</f>
        <v/>
      </c>
      <c r="I39" s="23">
        <f>IF(C39=0,"",SQRT(G39^2+H39^2))</f>
        <v/>
      </c>
      <c r="J39" s="24">
        <f>IF(C39=0,"",IF(AND(G39=0,H39=0),0,DEGREES(ATAN2(G39,H39))))</f>
        <v/>
      </c>
      <c r="K39" s="25">
        <f>IF(C39=0,K38,K38&amp;" "&amp;B39)</f>
        <v/>
      </c>
      <c r="L39" s="25">
        <f>IF(C39=0,L38,L38&amp;" - "&amp;D39)</f>
        <v/>
      </c>
    </row>
    <row r="40">
      <c r="A40" s="14" t="n">
        <v>35</v>
      </c>
      <c r="B40" s="14">
        <f>IF(C40=0,"",IF(0&lt;$B$2,INDEX(Bits!$E$25:$E$124,(A40-1)*$B$2+1),"")&amp;IF(1&lt;$B$2,INDEX(Bits!$E$25:$E$124,(A40-1)*$B$2+2),"")&amp;IF(2&lt;$B$2,INDEX(Bits!$E$25:$E$124,(A40-1)*$B$2+3),"")&amp;IF(3&lt;$B$2,INDEX(Bits!$E$25:$E$124,(A40-1)*$B$2+4),"")&amp;IF(4&lt;$B$2,INDEX(Bits!$E$25:$E$124,(A40-1)*$B$2+5),""))</f>
        <v/>
      </c>
      <c r="C40" s="14">
        <f>IF(A40&lt;=$D$2,1,0)</f>
        <v/>
      </c>
      <c r="D40" s="14">
        <f>IF(C40=0,"",IF(0&lt;$B$2,INDEX(Bits!$E$25:$E$124,(A40-1)*$B$2+1)*2^($B$2-1),0)+IF(1&lt;$B$2,INDEX(Bits!$E$25:$E$124,(A40-1)*$B$2+2)*2^($B$2-2),0)+IF(2&lt;$B$2,INDEX(Bits!$E$25:$E$124,(A40-1)*$B$2+3)*2^($B$2-3),0)+IF(3&lt;$B$2,INDEX(Bits!$E$25:$E$124,(A40-1)*$B$2+4)*2^($B$2-4),0)+IF(4&lt;$B$2,INDEX(Bits!$E$25:$E$124,(A40-1)*$B$2+5)*2^($B$2-5),0))</f>
        <v/>
      </c>
      <c r="E40" s="14">
        <f>IF(C40=0,"",INDEX(Constellations!$C$14:$L$45,D40+1,Constellations!$F$8))</f>
        <v/>
      </c>
      <c r="F40" s="14">
        <f>IF(C40=0,"",INDEX(Constellations!$C$14:$L$45,D40+1,Constellations!$F$8+1))</f>
        <v/>
      </c>
      <c r="G40" s="23">
        <f>IF(C40=0,"",E40*$F$2)</f>
        <v/>
      </c>
      <c r="H40" s="23">
        <f>IF(C40=0,"",F40*$F$2)</f>
        <v/>
      </c>
      <c r="I40" s="23">
        <f>IF(C40=0,"",SQRT(G40^2+H40^2))</f>
        <v/>
      </c>
      <c r="J40" s="24">
        <f>IF(C40=0,"",IF(AND(G40=0,H40=0),0,DEGREES(ATAN2(G40,H40))))</f>
        <v/>
      </c>
      <c r="K40" s="25">
        <f>IF(C40=0,K39,K39&amp;" "&amp;B40)</f>
        <v/>
      </c>
      <c r="L40" s="25">
        <f>IF(C40=0,L39,L39&amp;" - "&amp;D40)</f>
        <v/>
      </c>
    </row>
    <row r="41">
      <c r="A41" s="14" t="n">
        <v>36</v>
      </c>
      <c r="B41" s="14">
        <f>IF(C41=0,"",IF(0&lt;$B$2,INDEX(Bits!$E$25:$E$124,(A41-1)*$B$2+1),"")&amp;IF(1&lt;$B$2,INDEX(Bits!$E$25:$E$124,(A41-1)*$B$2+2),"")&amp;IF(2&lt;$B$2,INDEX(Bits!$E$25:$E$124,(A41-1)*$B$2+3),"")&amp;IF(3&lt;$B$2,INDEX(Bits!$E$25:$E$124,(A41-1)*$B$2+4),"")&amp;IF(4&lt;$B$2,INDEX(Bits!$E$25:$E$124,(A41-1)*$B$2+5),""))</f>
        <v/>
      </c>
      <c r="C41" s="14">
        <f>IF(A41&lt;=$D$2,1,0)</f>
        <v/>
      </c>
      <c r="D41" s="14">
        <f>IF(C41=0,"",IF(0&lt;$B$2,INDEX(Bits!$E$25:$E$124,(A41-1)*$B$2+1)*2^($B$2-1),0)+IF(1&lt;$B$2,INDEX(Bits!$E$25:$E$124,(A41-1)*$B$2+2)*2^($B$2-2),0)+IF(2&lt;$B$2,INDEX(Bits!$E$25:$E$124,(A41-1)*$B$2+3)*2^($B$2-3),0)+IF(3&lt;$B$2,INDEX(Bits!$E$25:$E$124,(A41-1)*$B$2+4)*2^($B$2-4),0)+IF(4&lt;$B$2,INDEX(Bits!$E$25:$E$124,(A41-1)*$B$2+5)*2^($B$2-5),0))</f>
        <v/>
      </c>
      <c r="E41" s="14">
        <f>IF(C41=0,"",INDEX(Constellations!$C$14:$L$45,D41+1,Constellations!$F$8))</f>
        <v/>
      </c>
      <c r="F41" s="14">
        <f>IF(C41=0,"",INDEX(Constellations!$C$14:$L$45,D41+1,Constellations!$F$8+1))</f>
        <v/>
      </c>
      <c r="G41" s="23">
        <f>IF(C41=0,"",E41*$F$2)</f>
        <v/>
      </c>
      <c r="H41" s="23">
        <f>IF(C41=0,"",F41*$F$2)</f>
        <v/>
      </c>
      <c r="I41" s="23">
        <f>IF(C41=0,"",SQRT(G41^2+H41^2))</f>
        <v/>
      </c>
      <c r="J41" s="24">
        <f>IF(C41=0,"",IF(AND(G41=0,H41=0),0,DEGREES(ATAN2(G41,H41))))</f>
        <v/>
      </c>
      <c r="K41" s="25">
        <f>IF(C41=0,K40,K40&amp;" "&amp;B41)</f>
        <v/>
      </c>
      <c r="L41" s="25">
        <f>IF(C41=0,L40,L40&amp;" - "&amp;D41)</f>
        <v/>
      </c>
    </row>
    <row r="42">
      <c r="A42" s="14" t="n">
        <v>37</v>
      </c>
      <c r="B42" s="14">
        <f>IF(C42=0,"",IF(0&lt;$B$2,INDEX(Bits!$E$25:$E$124,(A42-1)*$B$2+1),"")&amp;IF(1&lt;$B$2,INDEX(Bits!$E$25:$E$124,(A42-1)*$B$2+2),"")&amp;IF(2&lt;$B$2,INDEX(Bits!$E$25:$E$124,(A42-1)*$B$2+3),"")&amp;IF(3&lt;$B$2,INDEX(Bits!$E$25:$E$124,(A42-1)*$B$2+4),"")&amp;IF(4&lt;$B$2,INDEX(Bits!$E$25:$E$124,(A42-1)*$B$2+5),""))</f>
        <v/>
      </c>
      <c r="C42" s="14">
        <f>IF(A42&lt;=$D$2,1,0)</f>
        <v/>
      </c>
      <c r="D42" s="14">
        <f>IF(C42=0,"",IF(0&lt;$B$2,INDEX(Bits!$E$25:$E$124,(A42-1)*$B$2+1)*2^($B$2-1),0)+IF(1&lt;$B$2,INDEX(Bits!$E$25:$E$124,(A42-1)*$B$2+2)*2^($B$2-2),0)+IF(2&lt;$B$2,INDEX(Bits!$E$25:$E$124,(A42-1)*$B$2+3)*2^($B$2-3),0)+IF(3&lt;$B$2,INDEX(Bits!$E$25:$E$124,(A42-1)*$B$2+4)*2^($B$2-4),0)+IF(4&lt;$B$2,INDEX(Bits!$E$25:$E$124,(A42-1)*$B$2+5)*2^($B$2-5),0))</f>
        <v/>
      </c>
      <c r="E42" s="14">
        <f>IF(C42=0,"",INDEX(Constellations!$C$14:$L$45,D42+1,Constellations!$F$8))</f>
        <v/>
      </c>
      <c r="F42" s="14">
        <f>IF(C42=0,"",INDEX(Constellations!$C$14:$L$45,D42+1,Constellations!$F$8+1))</f>
        <v/>
      </c>
      <c r="G42" s="23">
        <f>IF(C42=0,"",E42*$F$2)</f>
        <v/>
      </c>
      <c r="H42" s="23">
        <f>IF(C42=0,"",F42*$F$2)</f>
        <v/>
      </c>
      <c r="I42" s="23">
        <f>IF(C42=0,"",SQRT(G42^2+H42^2))</f>
        <v/>
      </c>
      <c r="J42" s="24">
        <f>IF(C42=0,"",IF(AND(G42=0,H42=0),0,DEGREES(ATAN2(G42,H42))))</f>
        <v/>
      </c>
      <c r="K42" s="25">
        <f>IF(C42=0,K41,K41&amp;" "&amp;B42)</f>
        <v/>
      </c>
      <c r="L42" s="25">
        <f>IF(C42=0,L41,L41&amp;" - "&amp;D42)</f>
        <v/>
      </c>
    </row>
    <row r="43">
      <c r="A43" s="14" t="n">
        <v>38</v>
      </c>
      <c r="B43" s="14">
        <f>IF(C43=0,"",IF(0&lt;$B$2,INDEX(Bits!$E$25:$E$124,(A43-1)*$B$2+1),"")&amp;IF(1&lt;$B$2,INDEX(Bits!$E$25:$E$124,(A43-1)*$B$2+2),"")&amp;IF(2&lt;$B$2,INDEX(Bits!$E$25:$E$124,(A43-1)*$B$2+3),"")&amp;IF(3&lt;$B$2,INDEX(Bits!$E$25:$E$124,(A43-1)*$B$2+4),"")&amp;IF(4&lt;$B$2,INDEX(Bits!$E$25:$E$124,(A43-1)*$B$2+5),""))</f>
        <v/>
      </c>
      <c r="C43" s="14">
        <f>IF(A43&lt;=$D$2,1,0)</f>
        <v/>
      </c>
      <c r="D43" s="14">
        <f>IF(C43=0,"",IF(0&lt;$B$2,INDEX(Bits!$E$25:$E$124,(A43-1)*$B$2+1)*2^($B$2-1),0)+IF(1&lt;$B$2,INDEX(Bits!$E$25:$E$124,(A43-1)*$B$2+2)*2^($B$2-2),0)+IF(2&lt;$B$2,INDEX(Bits!$E$25:$E$124,(A43-1)*$B$2+3)*2^($B$2-3),0)+IF(3&lt;$B$2,INDEX(Bits!$E$25:$E$124,(A43-1)*$B$2+4)*2^($B$2-4),0)+IF(4&lt;$B$2,INDEX(Bits!$E$25:$E$124,(A43-1)*$B$2+5)*2^($B$2-5),0))</f>
        <v/>
      </c>
      <c r="E43" s="14">
        <f>IF(C43=0,"",INDEX(Constellations!$C$14:$L$45,D43+1,Constellations!$F$8))</f>
        <v/>
      </c>
      <c r="F43" s="14">
        <f>IF(C43=0,"",INDEX(Constellations!$C$14:$L$45,D43+1,Constellations!$F$8+1))</f>
        <v/>
      </c>
      <c r="G43" s="23">
        <f>IF(C43=0,"",E43*$F$2)</f>
        <v/>
      </c>
      <c r="H43" s="23">
        <f>IF(C43=0,"",F43*$F$2)</f>
        <v/>
      </c>
      <c r="I43" s="23">
        <f>IF(C43=0,"",SQRT(G43^2+H43^2))</f>
        <v/>
      </c>
      <c r="J43" s="24">
        <f>IF(C43=0,"",IF(AND(G43=0,H43=0),0,DEGREES(ATAN2(G43,H43))))</f>
        <v/>
      </c>
      <c r="K43" s="25">
        <f>IF(C43=0,K42,K42&amp;" "&amp;B43)</f>
        <v/>
      </c>
      <c r="L43" s="25">
        <f>IF(C43=0,L42,L42&amp;" - "&amp;D43)</f>
        <v/>
      </c>
    </row>
    <row r="44">
      <c r="A44" s="14" t="n">
        <v>39</v>
      </c>
      <c r="B44" s="14">
        <f>IF(C44=0,"",IF(0&lt;$B$2,INDEX(Bits!$E$25:$E$124,(A44-1)*$B$2+1),"")&amp;IF(1&lt;$B$2,INDEX(Bits!$E$25:$E$124,(A44-1)*$B$2+2),"")&amp;IF(2&lt;$B$2,INDEX(Bits!$E$25:$E$124,(A44-1)*$B$2+3),"")&amp;IF(3&lt;$B$2,INDEX(Bits!$E$25:$E$124,(A44-1)*$B$2+4),"")&amp;IF(4&lt;$B$2,INDEX(Bits!$E$25:$E$124,(A44-1)*$B$2+5),""))</f>
        <v/>
      </c>
      <c r="C44" s="14">
        <f>IF(A44&lt;=$D$2,1,0)</f>
        <v/>
      </c>
      <c r="D44" s="14">
        <f>IF(C44=0,"",IF(0&lt;$B$2,INDEX(Bits!$E$25:$E$124,(A44-1)*$B$2+1)*2^($B$2-1),0)+IF(1&lt;$B$2,INDEX(Bits!$E$25:$E$124,(A44-1)*$B$2+2)*2^($B$2-2),0)+IF(2&lt;$B$2,INDEX(Bits!$E$25:$E$124,(A44-1)*$B$2+3)*2^($B$2-3),0)+IF(3&lt;$B$2,INDEX(Bits!$E$25:$E$124,(A44-1)*$B$2+4)*2^($B$2-4),0)+IF(4&lt;$B$2,INDEX(Bits!$E$25:$E$124,(A44-1)*$B$2+5)*2^($B$2-5),0))</f>
        <v/>
      </c>
      <c r="E44" s="14">
        <f>IF(C44=0,"",INDEX(Constellations!$C$14:$L$45,D44+1,Constellations!$F$8))</f>
        <v/>
      </c>
      <c r="F44" s="14">
        <f>IF(C44=0,"",INDEX(Constellations!$C$14:$L$45,D44+1,Constellations!$F$8+1))</f>
        <v/>
      </c>
      <c r="G44" s="23">
        <f>IF(C44=0,"",E44*$F$2)</f>
        <v/>
      </c>
      <c r="H44" s="23">
        <f>IF(C44=0,"",F44*$F$2)</f>
        <v/>
      </c>
      <c r="I44" s="23">
        <f>IF(C44=0,"",SQRT(G44^2+H44^2))</f>
        <v/>
      </c>
      <c r="J44" s="24">
        <f>IF(C44=0,"",IF(AND(G44=0,H44=0),0,DEGREES(ATAN2(G44,H44))))</f>
        <v/>
      </c>
      <c r="K44" s="25">
        <f>IF(C44=0,K43,K43&amp;" "&amp;B44)</f>
        <v/>
      </c>
      <c r="L44" s="25">
        <f>IF(C44=0,L43,L43&amp;" - "&amp;D44)</f>
        <v/>
      </c>
    </row>
    <row r="45">
      <c r="A45" s="14" t="n">
        <v>40</v>
      </c>
      <c r="B45" s="14">
        <f>IF(C45=0,"",IF(0&lt;$B$2,INDEX(Bits!$E$25:$E$124,(A45-1)*$B$2+1),"")&amp;IF(1&lt;$B$2,INDEX(Bits!$E$25:$E$124,(A45-1)*$B$2+2),"")&amp;IF(2&lt;$B$2,INDEX(Bits!$E$25:$E$124,(A45-1)*$B$2+3),"")&amp;IF(3&lt;$B$2,INDEX(Bits!$E$25:$E$124,(A45-1)*$B$2+4),"")&amp;IF(4&lt;$B$2,INDEX(Bits!$E$25:$E$124,(A45-1)*$B$2+5),""))</f>
        <v/>
      </c>
      <c r="C45" s="14">
        <f>IF(A45&lt;=$D$2,1,0)</f>
        <v/>
      </c>
      <c r="D45" s="14">
        <f>IF(C45=0,"",IF(0&lt;$B$2,INDEX(Bits!$E$25:$E$124,(A45-1)*$B$2+1)*2^($B$2-1),0)+IF(1&lt;$B$2,INDEX(Bits!$E$25:$E$124,(A45-1)*$B$2+2)*2^($B$2-2),0)+IF(2&lt;$B$2,INDEX(Bits!$E$25:$E$124,(A45-1)*$B$2+3)*2^($B$2-3),0)+IF(3&lt;$B$2,INDEX(Bits!$E$25:$E$124,(A45-1)*$B$2+4)*2^($B$2-4),0)+IF(4&lt;$B$2,INDEX(Bits!$E$25:$E$124,(A45-1)*$B$2+5)*2^($B$2-5),0))</f>
        <v/>
      </c>
      <c r="E45" s="14">
        <f>IF(C45=0,"",INDEX(Constellations!$C$14:$L$45,D45+1,Constellations!$F$8))</f>
        <v/>
      </c>
      <c r="F45" s="14">
        <f>IF(C45=0,"",INDEX(Constellations!$C$14:$L$45,D45+1,Constellations!$F$8+1))</f>
        <v/>
      </c>
      <c r="G45" s="23">
        <f>IF(C45=0,"",E45*$F$2)</f>
        <v/>
      </c>
      <c r="H45" s="23">
        <f>IF(C45=0,"",F45*$F$2)</f>
        <v/>
      </c>
      <c r="I45" s="23">
        <f>IF(C45=0,"",SQRT(G45^2+H45^2))</f>
        <v/>
      </c>
      <c r="J45" s="24">
        <f>IF(C45=0,"",IF(AND(G45=0,H45=0),0,DEGREES(ATAN2(G45,H45))))</f>
        <v/>
      </c>
      <c r="K45" s="25">
        <f>IF(C45=0,K44,K44&amp;" "&amp;B45)</f>
        <v/>
      </c>
      <c r="L45" s="25">
        <f>IF(C45=0,L44,L44&amp;" - "&amp;D45)</f>
        <v/>
      </c>
    </row>
    <row r="46">
      <c r="A46" s="14" t="n">
        <v>41</v>
      </c>
      <c r="B46" s="14">
        <f>IF(C46=0,"",IF(0&lt;$B$2,INDEX(Bits!$E$25:$E$124,(A46-1)*$B$2+1),"")&amp;IF(1&lt;$B$2,INDEX(Bits!$E$25:$E$124,(A46-1)*$B$2+2),"")&amp;IF(2&lt;$B$2,INDEX(Bits!$E$25:$E$124,(A46-1)*$B$2+3),"")&amp;IF(3&lt;$B$2,INDEX(Bits!$E$25:$E$124,(A46-1)*$B$2+4),"")&amp;IF(4&lt;$B$2,INDEX(Bits!$E$25:$E$124,(A46-1)*$B$2+5),""))</f>
        <v/>
      </c>
      <c r="C46" s="14">
        <f>IF(A46&lt;=$D$2,1,0)</f>
        <v/>
      </c>
      <c r="D46" s="14">
        <f>IF(C46=0,"",IF(0&lt;$B$2,INDEX(Bits!$E$25:$E$124,(A46-1)*$B$2+1)*2^($B$2-1),0)+IF(1&lt;$B$2,INDEX(Bits!$E$25:$E$124,(A46-1)*$B$2+2)*2^($B$2-2),0)+IF(2&lt;$B$2,INDEX(Bits!$E$25:$E$124,(A46-1)*$B$2+3)*2^($B$2-3),0)+IF(3&lt;$B$2,INDEX(Bits!$E$25:$E$124,(A46-1)*$B$2+4)*2^($B$2-4),0)+IF(4&lt;$B$2,INDEX(Bits!$E$25:$E$124,(A46-1)*$B$2+5)*2^($B$2-5),0))</f>
        <v/>
      </c>
      <c r="E46" s="14">
        <f>IF(C46=0,"",INDEX(Constellations!$C$14:$L$45,D46+1,Constellations!$F$8))</f>
        <v/>
      </c>
      <c r="F46" s="14">
        <f>IF(C46=0,"",INDEX(Constellations!$C$14:$L$45,D46+1,Constellations!$F$8+1))</f>
        <v/>
      </c>
      <c r="G46" s="23">
        <f>IF(C46=0,"",E46*$F$2)</f>
        <v/>
      </c>
      <c r="H46" s="23">
        <f>IF(C46=0,"",F46*$F$2)</f>
        <v/>
      </c>
      <c r="I46" s="23">
        <f>IF(C46=0,"",SQRT(G46^2+H46^2))</f>
        <v/>
      </c>
      <c r="J46" s="24">
        <f>IF(C46=0,"",IF(AND(G46=0,H46=0),0,DEGREES(ATAN2(G46,H46))))</f>
        <v/>
      </c>
      <c r="K46" s="25">
        <f>IF(C46=0,K45,K45&amp;" "&amp;B46)</f>
        <v/>
      </c>
      <c r="L46" s="25">
        <f>IF(C46=0,L45,L45&amp;" - "&amp;D46)</f>
        <v/>
      </c>
    </row>
    <row r="47">
      <c r="A47" s="14" t="n">
        <v>42</v>
      </c>
      <c r="B47" s="14">
        <f>IF(C47=0,"",IF(0&lt;$B$2,INDEX(Bits!$E$25:$E$124,(A47-1)*$B$2+1),"")&amp;IF(1&lt;$B$2,INDEX(Bits!$E$25:$E$124,(A47-1)*$B$2+2),"")&amp;IF(2&lt;$B$2,INDEX(Bits!$E$25:$E$124,(A47-1)*$B$2+3),"")&amp;IF(3&lt;$B$2,INDEX(Bits!$E$25:$E$124,(A47-1)*$B$2+4),"")&amp;IF(4&lt;$B$2,INDEX(Bits!$E$25:$E$124,(A47-1)*$B$2+5),""))</f>
        <v/>
      </c>
      <c r="C47" s="14">
        <f>IF(A47&lt;=$D$2,1,0)</f>
        <v/>
      </c>
      <c r="D47" s="14">
        <f>IF(C47=0,"",IF(0&lt;$B$2,INDEX(Bits!$E$25:$E$124,(A47-1)*$B$2+1)*2^($B$2-1),0)+IF(1&lt;$B$2,INDEX(Bits!$E$25:$E$124,(A47-1)*$B$2+2)*2^($B$2-2),0)+IF(2&lt;$B$2,INDEX(Bits!$E$25:$E$124,(A47-1)*$B$2+3)*2^($B$2-3),0)+IF(3&lt;$B$2,INDEX(Bits!$E$25:$E$124,(A47-1)*$B$2+4)*2^($B$2-4),0)+IF(4&lt;$B$2,INDEX(Bits!$E$25:$E$124,(A47-1)*$B$2+5)*2^($B$2-5),0))</f>
        <v/>
      </c>
      <c r="E47" s="14">
        <f>IF(C47=0,"",INDEX(Constellations!$C$14:$L$45,D47+1,Constellations!$F$8))</f>
        <v/>
      </c>
      <c r="F47" s="14">
        <f>IF(C47=0,"",INDEX(Constellations!$C$14:$L$45,D47+1,Constellations!$F$8+1))</f>
        <v/>
      </c>
      <c r="G47" s="23">
        <f>IF(C47=0,"",E47*$F$2)</f>
        <v/>
      </c>
      <c r="H47" s="23">
        <f>IF(C47=0,"",F47*$F$2)</f>
        <v/>
      </c>
      <c r="I47" s="23">
        <f>IF(C47=0,"",SQRT(G47^2+H47^2))</f>
        <v/>
      </c>
      <c r="J47" s="24">
        <f>IF(C47=0,"",IF(AND(G47=0,H47=0),0,DEGREES(ATAN2(G47,H47))))</f>
        <v/>
      </c>
      <c r="K47" s="25">
        <f>IF(C47=0,K46,K46&amp;" "&amp;B47)</f>
        <v/>
      </c>
      <c r="L47" s="25">
        <f>IF(C47=0,L46,L46&amp;" - "&amp;D47)</f>
        <v/>
      </c>
    </row>
    <row r="48">
      <c r="A48" s="14" t="n">
        <v>43</v>
      </c>
      <c r="B48" s="14">
        <f>IF(C48=0,"",IF(0&lt;$B$2,INDEX(Bits!$E$25:$E$124,(A48-1)*$B$2+1),"")&amp;IF(1&lt;$B$2,INDEX(Bits!$E$25:$E$124,(A48-1)*$B$2+2),"")&amp;IF(2&lt;$B$2,INDEX(Bits!$E$25:$E$124,(A48-1)*$B$2+3),"")&amp;IF(3&lt;$B$2,INDEX(Bits!$E$25:$E$124,(A48-1)*$B$2+4),"")&amp;IF(4&lt;$B$2,INDEX(Bits!$E$25:$E$124,(A48-1)*$B$2+5),""))</f>
        <v/>
      </c>
      <c r="C48" s="14">
        <f>IF(A48&lt;=$D$2,1,0)</f>
        <v/>
      </c>
      <c r="D48" s="14">
        <f>IF(C48=0,"",IF(0&lt;$B$2,INDEX(Bits!$E$25:$E$124,(A48-1)*$B$2+1)*2^($B$2-1),0)+IF(1&lt;$B$2,INDEX(Bits!$E$25:$E$124,(A48-1)*$B$2+2)*2^($B$2-2),0)+IF(2&lt;$B$2,INDEX(Bits!$E$25:$E$124,(A48-1)*$B$2+3)*2^($B$2-3),0)+IF(3&lt;$B$2,INDEX(Bits!$E$25:$E$124,(A48-1)*$B$2+4)*2^($B$2-4),0)+IF(4&lt;$B$2,INDEX(Bits!$E$25:$E$124,(A48-1)*$B$2+5)*2^($B$2-5),0))</f>
        <v/>
      </c>
      <c r="E48" s="14">
        <f>IF(C48=0,"",INDEX(Constellations!$C$14:$L$45,D48+1,Constellations!$F$8))</f>
        <v/>
      </c>
      <c r="F48" s="14">
        <f>IF(C48=0,"",INDEX(Constellations!$C$14:$L$45,D48+1,Constellations!$F$8+1))</f>
        <v/>
      </c>
      <c r="G48" s="23">
        <f>IF(C48=0,"",E48*$F$2)</f>
        <v/>
      </c>
      <c r="H48" s="23">
        <f>IF(C48=0,"",F48*$F$2)</f>
        <v/>
      </c>
      <c r="I48" s="23">
        <f>IF(C48=0,"",SQRT(G48^2+H48^2))</f>
        <v/>
      </c>
      <c r="J48" s="24">
        <f>IF(C48=0,"",IF(AND(G48=0,H48=0),0,DEGREES(ATAN2(G48,H48))))</f>
        <v/>
      </c>
      <c r="K48" s="25">
        <f>IF(C48=0,K47,K47&amp;" "&amp;B48)</f>
        <v/>
      </c>
      <c r="L48" s="25">
        <f>IF(C48=0,L47,L47&amp;" - "&amp;D48)</f>
        <v/>
      </c>
    </row>
    <row r="49">
      <c r="A49" s="14" t="n">
        <v>44</v>
      </c>
      <c r="B49" s="14">
        <f>IF(C49=0,"",IF(0&lt;$B$2,INDEX(Bits!$E$25:$E$124,(A49-1)*$B$2+1),"")&amp;IF(1&lt;$B$2,INDEX(Bits!$E$25:$E$124,(A49-1)*$B$2+2),"")&amp;IF(2&lt;$B$2,INDEX(Bits!$E$25:$E$124,(A49-1)*$B$2+3),"")&amp;IF(3&lt;$B$2,INDEX(Bits!$E$25:$E$124,(A49-1)*$B$2+4),"")&amp;IF(4&lt;$B$2,INDEX(Bits!$E$25:$E$124,(A49-1)*$B$2+5),""))</f>
        <v/>
      </c>
      <c r="C49" s="14">
        <f>IF(A49&lt;=$D$2,1,0)</f>
        <v/>
      </c>
      <c r="D49" s="14">
        <f>IF(C49=0,"",IF(0&lt;$B$2,INDEX(Bits!$E$25:$E$124,(A49-1)*$B$2+1)*2^($B$2-1),0)+IF(1&lt;$B$2,INDEX(Bits!$E$25:$E$124,(A49-1)*$B$2+2)*2^($B$2-2),0)+IF(2&lt;$B$2,INDEX(Bits!$E$25:$E$124,(A49-1)*$B$2+3)*2^($B$2-3),0)+IF(3&lt;$B$2,INDEX(Bits!$E$25:$E$124,(A49-1)*$B$2+4)*2^($B$2-4),0)+IF(4&lt;$B$2,INDEX(Bits!$E$25:$E$124,(A49-1)*$B$2+5)*2^($B$2-5),0))</f>
        <v/>
      </c>
      <c r="E49" s="14">
        <f>IF(C49=0,"",INDEX(Constellations!$C$14:$L$45,D49+1,Constellations!$F$8))</f>
        <v/>
      </c>
      <c r="F49" s="14">
        <f>IF(C49=0,"",INDEX(Constellations!$C$14:$L$45,D49+1,Constellations!$F$8+1))</f>
        <v/>
      </c>
      <c r="G49" s="23">
        <f>IF(C49=0,"",E49*$F$2)</f>
        <v/>
      </c>
      <c r="H49" s="23">
        <f>IF(C49=0,"",F49*$F$2)</f>
        <v/>
      </c>
      <c r="I49" s="23">
        <f>IF(C49=0,"",SQRT(G49^2+H49^2))</f>
        <v/>
      </c>
      <c r="J49" s="24">
        <f>IF(C49=0,"",IF(AND(G49=0,H49=0),0,DEGREES(ATAN2(G49,H49))))</f>
        <v/>
      </c>
      <c r="K49" s="25">
        <f>IF(C49=0,K48,K48&amp;" "&amp;B49)</f>
        <v/>
      </c>
      <c r="L49" s="25">
        <f>IF(C49=0,L48,L48&amp;" - "&amp;D49)</f>
        <v/>
      </c>
    </row>
    <row r="50">
      <c r="A50" s="14" t="n">
        <v>45</v>
      </c>
      <c r="B50" s="14">
        <f>IF(C50=0,"",IF(0&lt;$B$2,INDEX(Bits!$E$25:$E$124,(A50-1)*$B$2+1),"")&amp;IF(1&lt;$B$2,INDEX(Bits!$E$25:$E$124,(A50-1)*$B$2+2),"")&amp;IF(2&lt;$B$2,INDEX(Bits!$E$25:$E$124,(A50-1)*$B$2+3),"")&amp;IF(3&lt;$B$2,INDEX(Bits!$E$25:$E$124,(A50-1)*$B$2+4),"")&amp;IF(4&lt;$B$2,INDEX(Bits!$E$25:$E$124,(A50-1)*$B$2+5),""))</f>
        <v/>
      </c>
      <c r="C50" s="14">
        <f>IF(A50&lt;=$D$2,1,0)</f>
        <v/>
      </c>
      <c r="D50" s="14">
        <f>IF(C50=0,"",IF(0&lt;$B$2,INDEX(Bits!$E$25:$E$124,(A50-1)*$B$2+1)*2^($B$2-1),0)+IF(1&lt;$B$2,INDEX(Bits!$E$25:$E$124,(A50-1)*$B$2+2)*2^($B$2-2),0)+IF(2&lt;$B$2,INDEX(Bits!$E$25:$E$124,(A50-1)*$B$2+3)*2^($B$2-3),0)+IF(3&lt;$B$2,INDEX(Bits!$E$25:$E$124,(A50-1)*$B$2+4)*2^($B$2-4),0)+IF(4&lt;$B$2,INDEX(Bits!$E$25:$E$124,(A50-1)*$B$2+5)*2^($B$2-5),0))</f>
        <v/>
      </c>
      <c r="E50" s="14">
        <f>IF(C50=0,"",INDEX(Constellations!$C$14:$L$45,D50+1,Constellations!$F$8))</f>
        <v/>
      </c>
      <c r="F50" s="14">
        <f>IF(C50=0,"",INDEX(Constellations!$C$14:$L$45,D50+1,Constellations!$F$8+1))</f>
        <v/>
      </c>
      <c r="G50" s="23">
        <f>IF(C50=0,"",E50*$F$2)</f>
        <v/>
      </c>
      <c r="H50" s="23">
        <f>IF(C50=0,"",F50*$F$2)</f>
        <v/>
      </c>
      <c r="I50" s="23">
        <f>IF(C50=0,"",SQRT(G50^2+H50^2))</f>
        <v/>
      </c>
      <c r="J50" s="24">
        <f>IF(C50=0,"",IF(AND(G50=0,H50=0),0,DEGREES(ATAN2(G50,H50))))</f>
        <v/>
      </c>
      <c r="K50" s="25">
        <f>IF(C50=0,K49,K49&amp;" "&amp;B50)</f>
        <v/>
      </c>
      <c r="L50" s="25">
        <f>IF(C50=0,L49,L49&amp;" - "&amp;D50)</f>
        <v/>
      </c>
    </row>
    <row r="51">
      <c r="A51" s="14" t="n">
        <v>46</v>
      </c>
      <c r="B51" s="14">
        <f>IF(C51=0,"",IF(0&lt;$B$2,INDEX(Bits!$E$25:$E$124,(A51-1)*$B$2+1),"")&amp;IF(1&lt;$B$2,INDEX(Bits!$E$25:$E$124,(A51-1)*$B$2+2),"")&amp;IF(2&lt;$B$2,INDEX(Bits!$E$25:$E$124,(A51-1)*$B$2+3),"")&amp;IF(3&lt;$B$2,INDEX(Bits!$E$25:$E$124,(A51-1)*$B$2+4),"")&amp;IF(4&lt;$B$2,INDEX(Bits!$E$25:$E$124,(A51-1)*$B$2+5),""))</f>
        <v/>
      </c>
      <c r="C51" s="14">
        <f>IF(A51&lt;=$D$2,1,0)</f>
        <v/>
      </c>
      <c r="D51" s="14">
        <f>IF(C51=0,"",IF(0&lt;$B$2,INDEX(Bits!$E$25:$E$124,(A51-1)*$B$2+1)*2^($B$2-1),0)+IF(1&lt;$B$2,INDEX(Bits!$E$25:$E$124,(A51-1)*$B$2+2)*2^($B$2-2),0)+IF(2&lt;$B$2,INDEX(Bits!$E$25:$E$124,(A51-1)*$B$2+3)*2^($B$2-3),0)+IF(3&lt;$B$2,INDEX(Bits!$E$25:$E$124,(A51-1)*$B$2+4)*2^($B$2-4),0)+IF(4&lt;$B$2,INDEX(Bits!$E$25:$E$124,(A51-1)*$B$2+5)*2^($B$2-5),0))</f>
        <v/>
      </c>
      <c r="E51" s="14">
        <f>IF(C51=0,"",INDEX(Constellations!$C$14:$L$45,D51+1,Constellations!$F$8))</f>
        <v/>
      </c>
      <c r="F51" s="14">
        <f>IF(C51=0,"",INDEX(Constellations!$C$14:$L$45,D51+1,Constellations!$F$8+1))</f>
        <v/>
      </c>
      <c r="G51" s="23">
        <f>IF(C51=0,"",E51*$F$2)</f>
        <v/>
      </c>
      <c r="H51" s="23">
        <f>IF(C51=0,"",F51*$F$2)</f>
        <v/>
      </c>
      <c r="I51" s="23">
        <f>IF(C51=0,"",SQRT(G51^2+H51^2))</f>
        <v/>
      </c>
      <c r="J51" s="24">
        <f>IF(C51=0,"",IF(AND(G51=0,H51=0),0,DEGREES(ATAN2(G51,H51))))</f>
        <v/>
      </c>
      <c r="K51" s="25">
        <f>IF(C51=0,K50,K50&amp;" "&amp;B51)</f>
        <v/>
      </c>
      <c r="L51" s="25">
        <f>IF(C51=0,L50,L50&amp;" - "&amp;D51)</f>
        <v/>
      </c>
    </row>
    <row r="52">
      <c r="A52" s="14" t="n">
        <v>47</v>
      </c>
      <c r="B52" s="14">
        <f>IF(C52=0,"",IF(0&lt;$B$2,INDEX(Bits!$E$25:$E$124,(A52-1)*$B$2+1),"")&amp;IF(1&lt;$B$2,INDEX(Bits!$E$25:$E$124,(A52-1)*$B$2+2),"")&amp;IF(2&lt;$B$2,INDEX(Bits!$E$25:$E$124,(A52-1)*$B$2+3),"")&amp;IF(3&lt;$B$2,INDEX(Bits!$E$25:$E$124,(A52-1)*$B$2+4),"")&amp;IF(4&lt;$B$2,INDEX(Bits!$E$25:$E$124,(A52-1)*$B$2+5),""))</f>
        <v/>
      </c>
      <c r="C52" s="14">
        <f>IF(A52&lt;=$D$2,1,0)</f>
        <v/>
      </c>
      <c r="D52" s="14">
        <f>IF(C52=0,"",IF(0&lt;$B$2,INDEX(Bits!$E$25:$E$124,(A52-1)*$B$2+1)*2^($B$2-1),0)+IF(1&lt;$B$2,INDEX(Bits!$E$25:$E$124,(A52-1)*$B$2+2)*2^($B$2-2),0)+IF(2&lt;$B$2,INDEX(Bits!$E$25:$E$124,(A52-1)*$B$2+3)*2^($B$2-3),0)+IF(3&lt;$B$2,INDEX(Bits!$E$25:$E$124,(A52-1)*$B$2+4)*2^($B$2-4),0)+IF(4&lt;$B$2,INDEX(Bits!$E$25:$E$124,(A52-1)*$B$2+5)*2^($B$2-5),0))</f>
        <v/>
      </c>
      <c r="E52" s="14">
        <f>IF(C52=0,"",INDEX(Constellations!$C$14:$L$45,D52+1,Constellations!$F$8))</f>
        <v/>
      </c>
      <c r="F52" s="14">
        <f>IF(C52=0,"",INDEX(Constellations!$C$14:$L$45,D52+1,Constellations!$F$8+1))</f>
        <v/>
      </c>
      <c r="G52" s="23">
        <f>IF(C52=0,"",E52*$F$2)</f>
        <v/>
      </c>
      <c r="H52" s="23">
        <f>IF(C52=0,"",F52*$F$2)</f>
        <v/>
      </c>
      <c r="I52" s="23">
        <f>IF(C52=0,"",SQRT(G52^2+H52^2))</f>
        <v/>
      </c>
      <c r="J52" s="24">
        <f>IF(C52=0,"",IF(AND(G52=0,H52=0),0,DEGREES(ATAN2(G52,H52))))</f>
        <v/>
      </c>
      <c r="K52" s="25">
        <f>IF(C52=0,K51,K51&amp;" "&amp;B52)</f>
        <v/>
      </c>
      <c r="L52" s="25">
        <f>IF(C52=0,L51,L51&amp;" - "&amp;D52)</f>
        <v/>
      </c>
    </row>
    <row r="53">
      <c r="A53" s="14" t="n">
        <v>48</v>
      </c>
      <c r="B53" s="14">
        <f>IF(C53=0,"",IF(0&lt;$B$2,INDEX(Bits!$E$25:$E$124,(A53-1)*$B$2+1),"")&amp;IF(1&lt;$B$2,INDEX(Bits!$E$25:$E$124,(A53-1)*$B$2+2),"")&amp;IF(2&lt;$B$2,INDEX(Bits!$E$25:$E$124,(A53-1)*$B$2+3),"")&amp;IF(3&lt;$B$2,INDEX(Bits!$E$25:$E$124,(A53-1)*$B$2+4),"")&amp;IF(4&lt;$B$2,INDEX(Bits!$E$25:$E$124,(A53-1)*$B$2+5),""))</f>
        <v/>
      </c>
      <c r="C53" s="14">
        <f>IF(A53&lt;=$D$2,1,0)</f>
        <v/>
      </c>
      <c r="D53" s="14">
        <f>IF(C53=0,"",IF(0&lt;$B$2,INDEX(Bits!$E$25:$E$124,(A53-1)*$B$2+1)*2^($B$2-1),0)+IF(1&lt;$B$2,INDEX(Bits!$E$25:$E$124,(A53-1)*$B$2+2)*2^($B$2-2),0)+IF(2&lt;$B$2,INDEX(Bits!$E$25:$E$124,(A53-1)*$B$2+3)*2^($B$2-3),0)+IF(3&lt;$B$2,INDEX(Bits!$E$25:$E$124,(A53-1)*$B$2+4)*2^($B$2-4),0)+IF(4&lt;$B$2,INDEX(Bits!$E$25:$E$124,(A53-1)*$B$2+5)*2^($B$2-5),0))</f>
        <v/>
      </c>
      <c r="E53" s="14">
        <f>IF(C53=0,"",INDEX(Constellations!$C$14:$L$45,D53+1,Constellations!$F$8))</f>
        <v/>
      </c>
      <c r="F53" s="14">
        <f>IF(C53=0,"",INDEX(Constellations!$C$14:$L$45,D53+1,Constellations!$F$8+1))</f>
        <v/>
      </c>
      <c r="G53" s="23">
        <f>IF(C53=0,"",E53*$F$2)</f>
        <v/>
      </c>
      <c r="H53" s="23">
        <f>IF(C53=0,"",F53*$F$2)</f>
        <v/>
      </c>
      <c r="I53" s="23">
        <f>IF(C53=0,"",SQRT(G53^2+H53^2))</f>
        <v/>
      </c>
      <c r="J53" s="24">
        <f>IF(C53=0,"",IF(AND(G53=0,H53=0),0,DEGREES(ATAN2(G53,H53))))</f>
        <v/>
      </c>
      <c r="K53" s="25">
        <f>IF(C53=0,K52,K52&amp;" "&amp;B53)</f>
        <v/>
      </c>
      <c r="L53" s="25">
        <f>IF(C53=0,L52,L52&amp;" - "&amp;D53)</f>
        <v/>
      </c>
    </row>
    <row r="54">
      <c r="A54" s="14" t="n">
        <v>49</v>
      </c>
      <c r="B54" s="14">
        <f>IF(C54=0,"",IF(0&lt;$B$2,INDEX(Bits!$E$25:$E$124,(A54-1)*$B$2+1),"")&amp;IF(1&lt;$B$2,INDEX(Bits!$E$25:$E$124,(A54-1)*$B$2+2),"")&amp;IF(2&lt;$B$2,INDEX(Bits!$E$25:$E$124,(A54-1)*$B$2+3),"")&amp;IF(3&lt;$B$2,INDEX(Bits!$E$25:$E$124,(A54-1)*$B$2+4),"")&amp;IF(4&lt;$B$2,INDEX(Bits!$E$25:$E$124,(A54-1)*$B$2+5),""))</f>
        <v/>
      </c>
      <c r="C54" s="14">
        <f>IF(A54&lt;=$D$2,1,0)</f>
        <v/>
      </c>
      <c r="D54" s="14">
        <f>IF(C54=0,"",IF(0&lt;$B$2,INDEX(Bits!$E$25:$E$124,(A54-1)*$B$2+1)*2^($B$2-1),0)+IF(1&lt;$B$2,INDEX(Bits!$E$25:$E$124,(A54-1)*$B$2+2)*2^($B$2-2),0)+IF(2&lt;$B$2,INDEX(Bits!$E$25:$E$124,(A54-1)*$B$2+3)*2^($B$2-3),0)+IF(3&lt;$B$2,INDEX(Bits!$E$25:$E$124,(A54-1)*$B$2+4)*2^($B$2-4),0)+IF(4&lt;$B$2,INDEX(Bits!$E$25:$E$124,(A54-1)*$B$2+5)*2^($B$2-5),0))</f>
        <v/>
      </c>
      <c r="E54" s="14">
        <f>IF(C54=0,"",INDEX(Constellations!$C$14:$L$45,D54+1,Constellations!$F$8))</f>
        <v/>
      </c>
      <c r="F54" s="14">
        <f>IF(C54=0,"",INDEX(Constellations!$C$14:$L$45,D54+1,Constellations!$F$8+1))</f>
        <v/>
      </c>
      <c r="G54" s="23">
        <f>IF(C54=0,"",E54*$F$2)</f>
        <v/>
      </c>
      <c r="H54" s="23">
        <f>IF(C54=0,"",F54*$F$2)</f>
        <v/>
      </c>
      <c r="I54" s="23">
        <f>IF(C54=0,"",SQRT(G54^2+H54^2))</f>
        <v/>
      </c>
      <c r="J54" s="24">
        <f>IF(C54=0,"",IF(AND(G54=0,H54=0),0,DEGREES(ATAN2(G54,H54))))</f>
        <v/>
      </c>
      <c r="K54" s="25">
        <f>IF(C54=0,K53,K53&amp;" "&amp;B54)</f>
        <v/>
      </c>
      <c r="L54" s="25">
        <f>IF(C54=0,L53,L53&amp;" - "&amp;D54)</f>
        <v/>
      </c>
    </row>
    <row r="55">
      <c r="A55" s="14" t="n">
        <v>50</v>
      </c>
      <c r="B55" s="14">
        <f>IF(C55=0,"",IF(0&lt;$B$2,INDEX(Bits!$E$25:$E$124,(A55-1)*$B$2+1),"")&amp;IF(1&lt;$B$2,INDEX(Bits!$E$25:$E$124,(A55-1)*$B$2+2),"")&amp;IF(2&lt;$B$2,INDEX(Bits!$E$25:$E$124,(A55-1)*$B$2+3),"")&amp;IF(3&lt;$B$2,INDEX(Bits!$E$25:$E$124,(A55-1)*$B$2+4),"")&amp;IF(4&lt;$B$2,INDEX(Bits!$E$25:$E$124,(A55-1)*$B$2+5),""))</f>
        <v/>
      </c>
      <c r="C55" s="14">
        <f>IF(A55&lt;=$D$2,1,0)</f>
        <v/>
      </c>
      <c r="D55" s="14">
        <f>IF(C55=0,"",IF(0&lt;$B$2,INDEX(Bits!$E$25:$E$124,(A55-1)*$B$2+1)*2^($B$2-1),0)+IF(1&lt;$B$2,INDEX(Bits!$E$25:$E$124,(A55-1)*$B$2+2)*2^($B$2-2),0)+IF(2&lt;$B$2,INDEX(Bits!$E$25:$E$124,(A55-1)*$B$2+3)*2^($B$2-3),0)+IF(3&lt;$B$2,INDEX(Bits!$E$25:$E$124,(A55-1)*$B$2+4)*2^($B$2-4),0)+IF(4&lt;$B$2,INDEX(Bits!$E$25:$E$124,(A55-1)*$B$2+5)*2^($B$2-5),0))</f>
        <v/>
      </c>
      <c r="E55" s="14">
        <f>IF(C55=0,"",INDEX(Constellations!$C$14:$L$45,D55+1,Constellations!$F$8))</f>
        <v/>
      </c>
      <c r="F55" s="14">
        <f>IF(C55=0,"",INDEX(Constellations!$C$14:$L$45,D55+1,Constellations!$F$8+1))</f>
        <v/>
      </c>
      <c r="G55" s="23">
        <f>IF(C55=0,"",E55*$F$2)</f>
        <v/>
      </c>
      <c r="H55" s="23">
        <f>IF(C55=0,"",F55*$F$2)</f>
        <v/>
      </c>
      <c r="I55" s="23">
        <f>IF(C55=0,"",SQRT(G55^2+H55^2))</f>
        <v/>
      </c>
      <c r="J55" s="24">
        <f>IF(C55=0,"",IF(AND(G55=0,H55=0),0,DEGREES(ATAN2(G55,H55))))</f>
        <v/>
      </c>
      <c r="K55" s="25">
        <f>IF(C55=0,K54,K54&amp;" "&amp;B55)</f>
        <v/>
      </c>
      <c r="L55" s="25">
        <f>IF(C55=0,L54,L54&amp;" - "&amp;D55)</f>
        <v/>
      </c>
    </row>
    <row r="56">
      <c r="A56" s="14" t="n">
        <v>51</v>
      </c>
      <c r="B56" s="14">
        <f>IF(C56=0,"",IF(0&lt;$B$2,INDEX(Bits!$E$25:$E$124,(A56-1)*$B$2+1),"")&amp;IF(1&lt;$B$2,INDEX(Bits!$E$25:$E$124,(A56-1)*$B$2+2),"")&amp;IF(2&lt;$B$2,INDEX(Bits!$E$25:$E$124,(A56-1)*$B$2+3),"")&amp;IF(3&lt;$B$2,INDEX(Bits!$E$25:$E$124,(A56-1)*$B$2+4),"")&amp;IF(4&lt;$B$2,INDEX(Bits!$E$25:$E$124,(A56-1)*$B$2+5),""))</f>
        <v/>
      </c>
      <c r="C56" s="14">
        <f>IF(A56&lt;=$D$2,1,0)</f>
        <v/>
      </c>
      <c r="D56" s="14">
        <f>IF(C56=0,"",IF(0&lt;$B$2,INDEX(Bits!$E$25:$E$124,(A56-1)*$B$2+1)*2^($B$2-1),0)+IF(1&lt;$B$2,INDEX(Bits!$E$25:$E$124,(A56-1)*$B$2+2)*2^($B$2-2),0)+IF(2&lt;$B$2,INDEX(Bits!$E$25:$E$124,(A56-1)*$B$2+3)*2^($B$2-3),0)+IF(3&lt;$B$2,INDEX(Bits!$E$25:$E$124,(A56-1)*$B$2+4)*2^($B$2-4),0)+IF(4&lt;$B$2,INDEX(Bits!$E$25:$E$124,(A56-1)*$B$2+5)*2^($B$2-5),0))</f>
        <v/>
      </c>
      <c r="E56" s="14">
        <f>IF(C56=0,"",INDEX(Constellations!$C$14:$L$45,D56+1,Constellations!$F$8))</f>
        <v/>
      </c>
      <c r="F56" s="14">
        <f>IF(C56=0,"",INDEX(Constellations!$C$14:$L$45,D56+1,Constellations!$F$8+1))</f>
        <v/>
      </c>
      <c r="G56" s="23">
        <f>IF(C56=0,"",E56*$F$2)</f>
        <v/>
      </c>
      <c r="H56" s="23">
        <f>IF(C56=0,"",F56*$F$2)</f>
        <v/>
      </c>
      <c r="I56" s="23">
        <f>IF(C56=0,"",SQRT(G56^2+H56^2))</f>
        <v/>
      </c>
      <c r="J56" s="24">
        <f>IF(C56=0,"",IF(AND(G56=0,H56=0),0,DEGREES(ATAN2(G56,H56))))</f>
        <v/>
      </c>
      <c r="K56" s="25">
        <f>IF(C56=0,K55,K55&amp;" "&amp;B56)</f>
        <v/>
      </c>
      <c r="L56" s="25">
        <f>IF(C56=0,L55,L55&amp;" - "&amp;D56)</f>
        <v/>
      </c>
    </row>
    <row r="57">
      <c r="A57" s="14" t="n">
        <v>52</v>
      </c>
      <c r="B57" s="14">
        <f>IF(C57=0,"",IF(0&lt;$B$2,INDEX(Bits!$E$25:$E$124,(A57-1)*$B$2+1),"")&amp;IF(1&lt;$B$2,INDEX(Bits!$E$25:$E$124,(A57-1)*$B$2+2),"")&amp;IF(2&lt;$B$2,INDEX(Bits!$E$25:$E$124,(A57-1)*$B$2+3),"")&amp;IF(3&lt;$B$2,INDEX(Bits!$E$25:$E$124,(A57-1)*$B$2+4),"")&amp;IF(4&lt;$B$2,INDEX(Bits!$E$25:$E$124,(A57-1)*$B$2+5),""))</f>
        <v/>
      </c>
      <c r="C57" s="14">
        <f>IF(A57&lt;=$D$2,1,0)</f>
        <v/>
      </c>
      <c r="D57" s="14">
        <f>IF(C57=0,"",IF(0&lt;$B$2,INDEX(Bits!$E$25:$E$124,(A57-1)*$B$2+1)*2^($B$2-1),0)+IF(1&lt;$B$2,INDEX(Bits!$E$25:$E$124,(A57-1)*$B$2+2)*2^($B$2-2),0)+IF(2&lt;$B$2,INDEX(Bits!$E$25:$E$124,(A57-1)*$B$2+3)*2^($B$2-3),0)+IF(3&lt;$B$2,INDEX(Bits!$E$25:$E$124,(A57-1)*$B$2+4)*2^($B$2-4),0)+IF(4&lt;$B$2,INDEX(Bits!$E$25:$E$124,(A57-1)*$B$2+5)*2^($B$2-5),0))</f>
        <v/>
      </c>
      <c r="E57" s="14">
        <f>IF(C57=0,"",INDEX(Constellations!$C$14:$L$45,D57+1,Constellations!$F$8))</f>
        <v/>
      </c>
      <c r="F57" s="14">
        <f>IF(C57=0,"",INDEX(Constellations!$C$14:$L$45,D57+1,Constellations!$F$8+1))</f>
        <v/>
      </c>
      <c r="G57" s="23">
        <f>IF(C57=0,"",E57*$F$2)</f>
        <v/>
      </c>
      <c r="H57" s="23">
        <f>IF(C57=0,"",F57*$F$2)</f>
        <v/>
      </c>
      <c r="I57" s="23">
        <f>IF(C57=0,"",SQRT(G57^2+H57^2))</f>
        <v/>
      </c>
      <c r="J57" s="24">
        <f>IF(C57=0,"",IF(AND(G57=0,H57=0),0,DEGREES(ATAN2(G57,H57))))</f>
        <v/>
      </c>
      <c r="K57" s="25">
        <f>IF(C57=0,K56,K56&amp;" "&amp;B57)</f>
        <v/>
      </c>
      <c r="L57" s="25">
        <f>IF(C57=0,L56,L56&amp;" - "&amp;D57)</f>
        <v/>
      </c>
    </row>
    <row r="58">
      <c r="A58" s="14" t="n">
        <v>53</v>
      </c>
      <c r="B58" s="14">
        <f>IF(C58=0,"",IF(0&lt;$B$2,INDEX(Bits!$E$25:$E$124,(A58-1)*$B$2+1),"")&amp;IF(1&lt;$B$2,INDEX(Bits!$E$25:$E$124,(A58-1)*$B$2+2),"")&amp;IF(2&lt;$B$2,INDEX(Bits!$E$25:$E$124,(A58-1)*$B$2+3),"")&amp;IF(3&lt;$B$2,INDEX(Bits!$E$25:$E$124,(A58-1)*$B$2+4),"")&amp;IF(4&lt;$B$2,INDEX(Bits!$E$25:$E$124,(A58-1)*$B$2+5),""))</f>
        <v/>
      </c>
      <c r="C58" s="14">
        <f>IF(A58&lt;=$D$2,1,0)</f>
        <v/>
      </c>
      <c r="D58" s="14">
        <f>IF(C58=0,"",IF(0&lt;$B$2,INDEX(Bits!$E$25:$E$124,(A58-1)*$B$2+1)*2^($B$2-1),0)+IF(1&lt;$B$2,INDEX(Bits!$E$25:$E$124,(A58-1)*$B$2+2)*2^($B$2-2),0)+IF(2&lt;$B$2,INDEX(Bits!$E$25:$E$124,(A58-1)*$B$2+3)*2^($B$2-3),0)+IF(3&lt;$B$2,INDEX(Bits!$E$25:$E$124,(A58-1)*$B$2+4)*2^($B$2-4),0)+IF(4&lt;$B$2,INDEX(Bits!$E$25:$E$124,(A58-1)*$B$2+5)*2^($B$2-5),0))</f>
        <v/>
      </c>
      <c r="E58" s="14">
        <f>IF(C58=0,"",INDEX(Constellations!$C$14:$L$45,D58+1,Constellations!$F$8))</f>
        <v/>
      </c>
      <c r="F58" s="14">
        <f>IF(C58=0,"",INDEX(Constellations!$C$14:$L$45,D58+1,Constellations!$F$8+1))</f>
        <v/>
      </c>
      <c r="G58" s="23">
        <f>IF(C58=0,"",E58*$F$2)</f>
        <v/>
      </c>
      <c r="H58" s="23">
        <f>IF(C58=0,"",F58*$F$2)</f>
        <v/>
      </c>
      <c r="I58" s="23">
        <f>IF(C58=0,"",SQRT(G58^2+H58^2))</f>
        <v/>
      </c>
      <c r="J58" s="24">
        <f>IF(C58=0,"",IF(AND(G58=0,H58=0),0,DEGREES(ATAN2(G58,H58))))</f>
        <v/>
      </c>
      <c r="K58" s="25">
        <f>IF(C58=0,K57,K57&amp;" "&amp;B58)</f>
        <v/>
      </c>
      <c r="L58" s="25">
        <f>IF(C58=0,L57,L57&amp;" - "&amp;D58)</f>
        <v/>
      </c>
    </row>
    <row r="59">
      <c r="A59" s="14" t="n">
        <v>54</v>
      </c>
      <c r="B59" s="14">
        <f>IF(C59=0,"",IF(0&lt;$B$2,INDEX(Bits!$E$25:$E$124,(A59-1)*$B$2+1),"")&amp;IF(1&lt;$B$2,INDEX(Bits!$E$25:$E$124,(A59-1)*$B$2+2),"")&amp;IF(2&lt;$B$2,INDEX(Bits!$E$25:$E$124,(A59-1)*$B$2+3),"")&amp;IF(3&lt;$B$2,INDEX(Bits!$E$25:$E$124,(A59-1)*$B$2+4),"")&amp;IF(4&lt;$B$2,INDEX(Bits!$E$25:$E$124,(A59-1)*$B$2+5),""))</f>
        <v/>
      </c>
      <c r="C59" s="14">
        <f>IF(A59&lt;=$D$2,1,0)</f>
        <v/>
      </c>
      <c r="D59" s="14">
        <f>IF(C59=0,"",IF(0&lt;$B$2,INDEX(Bits!$E$25:$E$124,(A59-1)*$B$2+1)*2^($B$2-1),0)+IF(1&lt;$B$2,INDEX(Bits!$E$25:$E$124,(A59-1)*$B$2+2)*2^($B$2-2),0)+IF(2&lt;$B$2,INDEX(Bits!$E$25:$E$124,(A59-1)*$B$2+3)*2^($B$2-3),0)+IF(3&lt;$B$2,INDEX(Bits!$E$25:$E$124,(A59-1)*$B$2+4)*2^($B$2-4),0)+IF(4&lt;$B$2,INDEX(Bits!$E$25:$E$124,(A59-1)*$B$2+5)*2^($B$2-5),0))</f>
        <v/>
      </c>
      <c r="E59" s="14">
        <f>IF(C59=0,"",INDEX(Constellations!$C$14:$L$45,D59+1,Constellations!$F$8))</f>
        <v/>
      </c>
      <c r="F59" s="14">
        <f>IF(C59=0,"",INDEX(Constellations!$C$14:$L$45,D59+1,Constellations!$F$8+1))</f>
        <v/>
      </c>
      <c r="G59" s="23">
        <f>IF(C59=0,"",E59*$F$2)</f>
        <v/>
      </c>
      <c r="H59" s="23">
        <f>IF(C59=0,"",F59*$F$2)</f>
        <v/>
      </c>
      <c r="I59" s="23">
        <f>IF(C59=0,"",SQRT(G59^2+H59^2))</f>
        <v/>
      </c>
      <c r="J59" s="24">
        <f>IF(C59=0,"",IF(AND(G59=0,H59=0),0,DEGREES(ATAN2(G59,H59))))</f>
        <v/>
      </c>
      <c r="K59" s="25">
        <f>IF(C59=0,K58,K58&amp;" "&amp;B59)</f>
        <v/>
      </c>
      <c r="L59" s="25">
        <f>IF(C59=0,L58,L58&amp;" - "&amp;D59)</f>
        <v/>
      </c>
    </row>
    <row r="60">
      <c r="A60" s="14" t="n">
        <v>55</v>
      </c>
      <c r="B60" s="14">
        <f>IF(C60=0,"",IF(0&lt;$B$2,INDEX(Bits!$E$25:$E$124,(A60-1)*$B$2+1),"")&amp;IF(1&lt;$B$2,INDEX(Bits!$E$25:$E$124,(A60-1)*$B$2+2),"")&amp;IF(2&lt;$B$2,INDEX(Bits!$E$25:$E$124,(A60-1)*$B$2+3),"")&amp;IF(3&lt;$B$2,INDEX(Bits!$E$25:$E$124,(A60-1)*$B$2+4),"")&amp;IF(4&lt;$B$2,INDEX(Bits!$E$25:$E$124,(A60-1)*$B$2+5),""))</f>
        <v/>
      </c>
      <c r="C60" s="14">
        <f>IF(A60&lt;=$D$2,1,0)</f>
        <v/>
      </c>
      <c r="D60" s="14">
        <f>IF(C60=0,"",IF(0&lt;$B$2,INDEX(Bits!$E$25:$E$124,(A60-1)*$B$2+1)*2^($B$2-1),0)+IF(1&lt;$B$2,INDEX(Bits!$E$25:$E$124,(A60-1)*$B$2+2)*2^($B$2-2),0)+IF(2&lt;$B$2,INDEX(Bits!$E$25:$E$124,(A60-1)*$B$2+3)*2^($B$2-3),0)+IF(3&lt;$B$2,INDEX(Bits!$E$25:$E$124,(A60-1)*$B$2+4)*2^($B$2-4),0)+IF(4&lt;$B$2,INDEX(Bits!$E$25:$E$124,(A60-1)*$B$2+5)*2^($B$2-5),0))</f>
        <v/>
      </c>
      <c r="E60" s="14">
        <f>IF(C60=0,"",INDEX(Constellations!$C$14:$L$45,D60+1,Constellations!$F$8))</f>
        <v/>
      </c>
      <c r="F60" s="14">
        <f>IF(C60=0,"",INDEX(Constellations!$C$14:$L$45,D60+1,Constellations!$F$8+1))</f>
        <v/>
      </c>
      <c r="G60" s="23">
        <f>IF(C60=0,"",E60*$F$2)</f>
        <v/>
      </c>
      <c r="H60" s="23">
        <f>IF(C60=0,"",F60*$F$2)</f>
        <v/>
      </c>
      <c r="I60" s="23">
        <f>IF(C60=0,"",SQRT(G60^2+H60^2))</f>
        <v/>
      </c>
      <c r="J60" s="24">
        <f>IF(C60=0,"",IF(AND(G60=0,H60=0),0,DEGREES(ATAN2(G60,H60))))</f>
        <v/>
      </c>
      <c r="K60" s="25">
        <f>IF(C60=0,K59,K59&amp;" "&amp;B60)</f>
        <v/>
      </c>
      <c r="L60" s="25">
        <f>IF(C60=0,L59,L59&amp;" - "&amp;D60)</f>
        <v/>
      </c>
    </row>
    <row r="61">
      <c r="A61" s="14" t="n">
        <v>56</v>
      </c>
      <c r="B61" s="14">
        <f>IF(C61=0,"",IF(0&lt;$B$2,INDEX(Bits!$E$25:$E$124,(A61-1)*$B$2+1),"")&amp;IF(1&lt;$B$2,INDEX(Bits!$E$25:$E$124,(A61-1)*$B$2+2),"")&amp;IF(2&lt;$B$2,INDEX(Bits!$E$25:$E$124,(A61-1)*$B$2+3),"")&amp;IF(3&lt;$B$2,INDEX(Bits!$E$25:$E$124,(A61-1)*$B$2+4),"")&amp;IF(4&lt;$B$2,INDEX(Bits!$E$25:$E$124,(A61-1)*$B$2+5),""))</f>
        <v/>
      </c>
      <c r="C61" s="14">
        <f>IF(A61&lt;=$D$2,1,0)</f>
        <v/>
      </c>
      <c r="D61" s="14">
        <f>IF(C61=0,"",IF(0&lt;$B$2,INDEX(Bits!$E$25:$E$124,(A61-1)*$B$2+1)*2^($B$2-1),0)+IF(1&lt;$B$2,INDEX(Bits!$E$25:$E$124,(A61-1)*$B$2+2)*2^($B$2-2),0)+IF(2&lt;$B$2,INDEX(Bits!$E$25:$E$124,(A61-1)*$B$2+3)*2^($B$2-3),0)+IF(3&lt;$B$2,INDEX(Bits!$E$25:$E$124,(A61-1)*$B$2+4)*2^($B$2-4),0)+IF(4&lt;$B$2,INDEX(Bits!$E$25:$E$124,(A61-1)*$B$2+5)*2^($B$2-5),0))</f>
        <v/>
      </c>
      <c r="E61" s="14">
        <f>IF(C61=0,"",INDEX(Constellations!$C$14:$L$45,D61+1,Constellations!$F$8))</f>
        <v/>
      </c>
      <c r="F61" s="14">
        <f>IF(C61=0,"",INDEX(Constellations!$C$14:$L$45,D61+1,Constellations!$F$8+1))</f>
        <v/>
      </c>
      <c r="G61" s="23">
        <f>IF(C61=0,"",E61*$F$2)</f>
        <v/>
      </c>
      <c r="H61" s="23">
        <f>IF(C61=0,"",F61*$F$2)</f>
        <v/>
      </c>
      <c r="I61" s="23">
        <f>IF(C61=0,"",SQRT(G61^2+H61^2))</f>
        <v/>
      </c>
      <c r="J61" s="24">
        <f>IF(C61=0,"",IF(AND(G61=0,H61=0),0,DEGREES(ATAN2(G61,H61))))</f>
        <v/>
      </c>
      <c r="K61" s="25">
        <f>IF(C61=0,K60,K60&amp;" "&amp;B61)</f>
        <v/>
      </c>
      <c r="L61" s="25">
        <f>IF(C61=0,L60,L60&amp;" - "&amp;D61)</f>
        <v/>
      </c>
    </row>
    <row r="62">
      <c r="A62" s="14" t="n">
        <v>57</v>
      </c>
      <c r="B62" s="14">
        <f>IF(C62=0,"",IF(0&lt;$B$2,INDEX(Bits!$E$25:$E$124,(A62-1)*$B$2+1),"")&amp;IF(1&lt;$B$2,INDEX(Bits!$E$25:$E$124,(A62-1)*$B$2+2),"")&amp;IF(2&lt;$B$2,INDEX(Bits!$E$25:$E$124,(A62-1)*$B$2+3),"")&amp;IF(3&lt;$B$2,INDEX(Bits!$E$25:$E$124,(A62-1)*$B$2+4),"")&amp;IF(4&lt;$B$2,INDEX(Bits!$E$25:$E$124,(A62-1)*$B$2+5),""))</f>
        <v/>
      </c>
      <c r="C62" s="14">
        <f>IF(A62&lt;=$D$2,1,0)</f>
        <v/>
      </c>
      <c r="D62" s="14">
        <f>IF(C62=0,"",IF(0&lt;$B$2,INDEX(Bits!$E$25:$E$124,(A62-1)*$B$2+1)*2^($B$2-1),0)+IF(1&lt;$B$2,INDEX(Bits!$E$25:$E$124,(A62-1)*$B$2+2)*2^($B$2-2),0)+IF(2&lt;$B$2,INDEX(Bits!$E$25:$E$124,(A62-1)*$B$2+3)*2^($B$2-3),0)+IF(3&lt;$B$2,INDEX(Bits!$E$25:$E$124,(A62-1)*$B$2+4)*2^($B$2-4),0)+IF(4&lt;$B$2,INDEX(Bits!$E$25:$E$124,(A62-1)*$B$2+5)*2^($B$2-5),0))</f>
        <v/>
      </c>
      <c r="E62" s="14">
        <f>IF(C62=0,"",INDEX(Constellations!$C$14:$L$45,D62+1,Constellations!$F$8))</f>
        <v/>
      </c>
      <c r="F62" s="14">
        <f>IF(C62=0,"",INDEX(Constellations!$C$14:$L$45,D62+1,Constellations!$F$8+1))</f>
        <v/>
      </c>
      <c r="G62" s="23">
        <f>IF(C62=0,"",E62*$F$2)</f>
        <v/>
      </c>
      <c r="H62" s="23">
        <f>IF(C62=0,"",F62*$F$2)</f>
        <v/>
      </c>
      <c r="I62" s="23">
        <f>IF(C62=0,"",SQRT(G62^2+H62^2))</f>
        <v/>
      </c>
      <c r="J62" s="24">
        <f>IF(C62=0,"",IF(AND(G62=0,H62=0),0,DEGREES(ATAN2(G62,H62))))</f>
        <v/>
      </c>
      <c r="K62" s="25">
        <f>IF(C62=0,K61,K61&amp;" "&amp;B62)</f>
        <v/>
      </c>
      <c r="L62" s="25">
        <f>IF(C62=0,L61,L61&amp;" - "&amp;D62)</f>
        <v/>
      </c>
    </row>
    <row r="63">
      <c r="A63" s="14" t="n">
        <v>58</v>
      </c>
      <c r="B63" s="14">
        <f>IF(C63=0,"",IF(0&lt;$B$2,INDEX(Bits!$E$25:$E$124,(A63-1)*$B$2+1),"")&amp;IF(1&lt;$B$2,INDEX(Bits!$E$25:$E$124,(A63-1)*$B$2+2),"")&amp;IF(2&lt;$B$2,INDEX(Bits!$E$25:$E$124,(A63-1)*$B$2+3),"")&amp;IF(3&lt;$B$2,INDEX(Bits!$E$25:$E$124,(A63-1)*$B$2+4),"")&amp;IF(4&lt;$B$2,INDEX(Bits!$E$25:$E$124,(A63-1)*$B$2+5),""))</f>
        <v/>
      </c>
      <c r="C63" s="14">
        <f>IF(A63&lt;=$D$2,1,0)</f>
        <v/>
      </c>
      <c r="D63" s="14">
        <f>IF(C63=0,"",IF(0&lt;$B$2,INDEX(Bits!$E$25:$E$124,(A63-1)*$B$2+1)*2^($B$2-1),0)+IF(1&lt;$B$2,INDEX(Bits!$E$25:$E$124,(A63-1)*$B$2+2)*2^($B$2-2),0)+IF(2&lt;$B$2,INDEX(Bits!$E$25:$E$124,(A63-1)*$B$2+3)*2^($B$2-3),0)+IF(3&lt;$B$2,INDEX(Bits!$E$25:$E$124,(A63-1)*$B$2+4)*2^($B$2-4),0)+IF(4&lt;$B$2,INDEX(Bits!$E$25:$E$124,(A63-1)*$B$2+5)*2^($B$2-5),0))</f>
        <v/>
      </c>
      <c r="E63" s="14">
        <f>IF(C63=0,"",INDEX(Constellations!$C$14:$L$45,D63+1,Constellations!$F$8))</f>
        <v/>
      </c>
      <c r="F63" s="14">
        <f>IF(C63=0,"",INDEX(Constellations!$C$14:$L$45,D63+1,Constellations!$F$8+1))</f>
        <v/>
      </c>
      <c r="G63" s="23">
        <f>IF(C63=0,"",E63*$F$2)</f>
        <v/>
      </c>
      <c r="H63" s="23">
        <f>IF(C63=0,"",F63*$F$2)</f>
        <v/>
      </c>
      <c r="I63" s="23">
        <f>IF(C63=0,"",SQRT(G63^2+H63^2))</f>
        <v/>
      </c>
      <c r="J63" s="24">
        <f>IF(C63=0,"",IF(AND(G63=0,H63=0),0,DEGREES(ATAN2(G63,H63))))</f>
        <v/>
      </c>
      <c r="K63" s="25">
        <f>IF(C63=0,K62,K62&amp;" "&amp;B63)</f>
        <v/>
      </c>
      <c r="L63" s="25">
        <f>IF(C63=0,L62,L62&amp;" - "&amp;D63)</f>
        <v/>
      </c>
    </row>
    <row r="64">
      <c r="A64" s="14" t="n">
        <v>59</v>
      </c>
      <c r="B64" s="14">
        <f>IF(C64=0,"",IF(0&lt;$B$2,INDEX(Bits!$E$25:$E$124,(A64-1)*$B$2+1),"")&amp;IF(1&lt;$B$2,INDEX(Bits!$E$25:$E$124,(A64-1)*$B$2+2),"")&amp;IF(2&lt;$B$2,INDEX(Bits!$E$25:$E$124,(A64-1)*$B$2+3),"")&amp;IF(3&lt;$B$2,INDEX(Bits!$E$25:$E$124,(A64-1)*$B$2+4),"")&amp;IF(4&lt;$B$2,INDEX(Bits!$E$25:$E$124,(A64-1)*$B$2+5),""))</f>
        <v/>
      </c>
      <c r="C64" s="14">
        <f>IF(A64&lt;=$D$2,1,0)</f>
        <v/>
      </c>
      <c r="D64" s="14">
        <f>IF(C64=0,"",IF(0&lt;$B$2,INDEX(Bits!$E$25:$E$124,(A64-1)*$B$2+1)*2^($B$2-1),0)+IF(1&lt;$B$2,INDEX(Bits!$E$25:$E$124,(A64-1)*$B$2+2)*2^($B$2-2),0)+IF(2&lt;$B$2,INDEX(Bits!$E$25:$E$124,(A64-1)*$B$2+3)*2^($B$2-3),0)+IF(3&lt;$B$2,INDEX(Bits!$E$25:$E$124,(A64-1)*$B$2+4)*2^($B$2-4),0)+IF(4&lt;$B$2,INDEX(Bits!$E$25:$E$124,(A64-1)*$B$2+5)*2^($B$2-5),0))</f>
        <v/>
      </c>
      <c r="E64" s="14">
        <f>IF(C64=0,"",INDEX(Constellations!$C$14:$L$45,D64+1,Constellations!$F$8))</f>
        <v/>
      </c>
      <c r="F64" s="14">
        <f>IF(C64=0,"",INDEX(Constellations!$C$14:$L$45,D64+1,Constellations!$F$8+1))</f>
        <v/>
      </c>
      <c r="G64" s="23">
        <f>IF(C64=0,"",E64*$F$2)</f>
        <v/>
      </c>
      <c r="H64" s="23">
        <f>IF(C64=0,"",F64*$F$2)</f>
        <v/>
      </c>
      <c r="I64" s="23">
        <f>IF(C64=0,"",SQRT(G64^2+H64^2))</f>
        <v/>
      </c>
      <c r="J64" s="24">
        <f>IF(C64=0,"",IF(AND(G64=0,H64=0),0,DEGREES(ATAN2(G64,H64))))</f>
        <v/>
      </c>
      <c r="K64" s="25">
        <f>IF(C64=0,K63,K63&amp;" "&amp;B64)</f>
        <v/>
      </c>
      <c r="L64" s="25">
        <f>IF(C64=0,L63,L63&amp;" - "&amp;D64)</f>
        <v/>
      </c>
    </row>
    <row r="65">
      <c r="A65" s="14" t="n">
        <v>60</v>
      </c>
      <c r="B65" s="14">
        <f>IF(C65=0,"",IF(0&lt;$B$2,INDEX(Bits!$E$25:$E$124,(A65-1)*$B$2+1),"")&amp;IF(1&lt;$B$2,INDEX(Bits!$E$25:$E$124,(A65-1)*$B$2+2),"")&amp;IF(2&lt;$B$2,INDEX(Bits!$E$25:$E$124,(A65-1)*$B$2+3),"")&amp;IF(3&lt;$B$2,INDEX(Bits!$E$25:$E$124,(A65-1)*$B$2+4),"")&amp;IF(4&lt;$B$2,INDEX(Bits!$E$25:$E$124,(A65-1)*$B$2+5),""))</f>
        <v/>
      </c>
      <c r="C65" s="14">
        <f>IF(A65&lt;=$D$2,1,0)</f>
        <v/>
      </c>
      <c r="D65" s="14">
        <f>IF(C65=0,"",IF(0&lt;$B$2,INDEX(Bits!$E$25:$E$124,(A65-1)*$B$2+1)*2^($B$2-1),0)+IF(1&lt;$B$2,INDEX(Bits!$E$25:$E$124,(A65-1)*$B$2+2)*2^($B$2-2),0)+IF(2&lt;$B$2,INDEX(Bits!$E$25:$E$124,(A65-1)*$B$2+3)*2^($B$2-3),0)+IF(3&lt;$B$2,INDEX(Bits!$E$25:$E$124,(A65-1)*$B$2+4)*2^($B$2-4),0)+IF(4&lt;$B$2,INDEX(Bits!$E$25:$E$124,(A65-1)*$B$2+5)*2^($B$2-5),0))</f>
        <v/>
      </c>
      <c r="E65" s="14">
        <f>IF(C65=0,"",INDEX(Constellations!$C$14:$L$45,D65+1,Constellations!$F$8))</f>
        <v/>
      </c>
      <c r="F65" s="14">
        <f>IF(C65=0,"",INDEX(Constellations!$C$14:$L$45,D65+1,Constellations!$F$8+1))</f>
        <v/>
      </c>
      <c r="G65" s="23">
        <f>IF(C65=0,"",E65*$F$2)</f>
        <v/>
      </c>
      <c r="H65" s="23">
        <f>IF(C65=0,"",F65*$F$2)</f>
        <v/>
      </c>
      <c r="I65" s="23">
        <f>IF(C65=0,"",SQRT(G65^2+H65^2))</f>
        <v/>
      </c>
      <c r="J65" s="24">
        <f>IF(C65=0,"",IF(AND(G65=0,H65=0),0,DEGREES(ATAN2(G65,H65))))</f>
        <v/>
      </c>
      <c r="K65" s="25">
        <f>IF(C65=0,K64,K64&amp;" "&amp;B65)</f>
        <v/>
      </c>
      <c r="L65" s="25">
        <f>IF(C65=0,L64,L64&amp;" - "&amp;D65)</f>
        <v/>
      </c>
    </row>
    <row r="66">
      <c r="A66" s="14" t="n">
        <v>61</v>
      </c>
      <c r="B66" s="14">
        <f>IF(C66=0,"",IF(0&lt;$B$2,INDEX(Bits!$E$25:$E$124,(A66-1)*$B$2+1),"")&amp;IF(1&lt;$B$2,INDEX(Bits!$E$25:$E$124,(A66-1)*$B$2+2),"")&amp;IF(2&lt;$B$2,INDEX(Bits!$E$25:$E$124,(A66-1)*$B$2+3),"")&amp;IF(3&lt;$B$2,INDEX(Bits!$E$25:$E$124,(A66-1)*$B$2+4),"")&amp;IF(4&lt;$B$2,INDEX(Bits!$E$25:$E$124,(A66-1)*$B$2+5),""))</f>
        <v/>
      </c>
      <c r="C66" s="14">
        <f>IF(A66&lt;=$D$2,1,0)</f>
        <v/>
      </c>
      <c r="D66" s="14">
        <f>IF(C66=0,"",IF(0&lt;$B$2,INDEX(Bits!$E$25:$E$124,(A66-1)*$B$2+1)*2^($B$2-1),0)+IF(1&lt;$B$2,INDEX(Bits!$E$25:$E$124,(A66-1)*$B$2+2)*2^($B$2-2),0)+IF(2&lt;$B$2,INDEX(Bits!$E$25:$E$124,(A66-1)*$B$2+3)*2^($B$2-3),0)+IF(3&lt;$B$2,INDEX(Bits!$E$25:$E$124,(A66-1)*$B$2+4)*2^($B$2-4),0)+IF(4&lt;$B$2,INDEX(Bits!$E$25:$E$124,(A66-1)*$B$2+5)*2^($B$2-5),0))</f>
        <v/>
      </c>
      <c r="E66" s="14">
        <f>IF(C66=0,"",INDEX(Constellations!$C$14:$L$45,D66+1,Constellations!$F$8))</f>
        <v/>
      </c>
      <c r="F66" s="14">
        <f>IF(C66=0,"",INDEX(Constellations!$C$14:$L$45,D66+1,Constellations!$F$8+1))</f>
        <v/>
      </c>
      <c r="G66" s="23">
        <f>IF(C66=0,"",E66*$F$2)</f>
        <v/>
      </c>
      <c r="H66" s="23">
        <f>IF(C66=0,"",F66*$F$2)</f>
        <v/>
      </c>
      <c r="I66" s="23">
        <f>IF(C66=0,"",SQRT(G66^2+H66^2))</f>
        <v/>
      </c>
      <c r="J66" s="24">
        <f>IF(C66=0,"",IF(AND(G66=0,H66=0),0,DEGREES(ATAN2(G66,H66))))</f>
        <v/>
      </c>
      <c r="K66" s="25">
        <f>IF(C66=0,K65,K65&amp;" "&amp;B66)</f>
        <v/>
      </c>
      <c r="L66" s="25">
        <f>IF(C66=0,L65,L65&amp;" - "&amp;D66)</f>
        <v/>
      </c>
    </row>
    <row r="67">
      <c r="A67" s="14" t="n">
        <v>62</v>
      </c>
      <c r="B67" s="14">
        <f>IF(C67=0,"",IF(0&lt;$B$2,INDEX(Bits!$E$25:$E$124,(A67-1)*$B$2+1),"")&amp;IF(1&lt;$B$2,INDEX(Bits!$E$25:$E$124,(A67-1)*$B$2+2),"")&amp;IF(2&lt;$B$2,INDEX(Bits!$E$25:$E$124,(A67-1)*$B$2+3),"")&amp;IF(3&lt;$B$2,INDEX(Bits!$E$25:$E$124,(A67-1)*$B$2+4),"")&amp;IF(4&lt;$B$2,INDEX(Bits!$E$25:$E$124,(A67-1)*$B$2+5),""))</f>
        <v/>
      </c>
      <c r="C67" s="14">
        <f>IF(A67&lt;=$D$2,1,0)</f>
        <v/>
      </c>
      <c r="D67" s="14">
        <f>IF(C67=0,"",IF(0&lt;$B$2,INDEX(Bits!$E$25:$E$124,(A67-1)*$B$2+1)*2^($B$2-1),0)+IF(1&lt;$B$2,INDEX(Bits!$E$25:$E$124,(A67-1)*$B$2+2)*2^($B$2-2),0)+IF(2&lt;$B$2,INDEX(Bits!$E$25:$E$124,(A67-1)*$B$2+3)*2^($B$2-3),0)+IF(3&lt;$B$2,INDEX(Bits!$E$25:$E$124,(A67-1)*$B$2+4)*2^($B$2-4),0)+IF(4&lt;$B$2,INDEX(Bits!$E$25:$E$124,(A67-1)*$B$2+5)*2^($B$2-5),0))</f>
        <v/>
      </c>
      <c r="E67" s="14">
        <f>IF(C67=0,"",INDEX(Constellations!$C$14:$L$45,D67+1,Constellations!$F$8))</f>
        <v/>
      </c>
      <c r="F67" s="14">
        <f>IF(C67=0,"",INDEX(Constellations!$C$14:$L$45,D67+1,Constellations!$F$8+1))</f>
        <v/>
      </c>
      <c r="G67" s="23">
        <f>IF(C67=0,"",E67*$F$2)</f>
        <v/>
      </c>
      <c r="H67" s="23">
        <f>IF(C67=0,"",F67*$F$2)</f>
        <v/>
      </c>
      <c r="I67" s="23">
        <f>IF(C67=0,"",SQRT(G67^2+H67^2))</f>
        <v/>
      </c>
      <c r="J67" s="24">
        <f>IF(C67=0,"",IF(AND(G67=0,H67=0),0,DEGREES(ATAN2(G67,H67))))</f>
        <v/>
      </c>
      <c r="K67" s="25">
        <f>IF(C67=0,K66,K66&amp;" "&amp;B67)</f>
        <v/>
      </c>
      <c r="L67" s="25">
        <f>IF(C67=0,L66,L66&amp;" - "&amp;D67)</f>
        <v/>
      </c>
    </row>
    <row r="68">
      <c r="A68" s="14" t="n">
        <v>63</v>
      </c>
      <c r="B68" s="14">
        <f>IF(C68=0,"",IF(0&lt;$B$2,INDEX(Bits!$E$25:$E$124,(A68-1)*$B$2+1),"")&amp;IF(1&lt;$B$2,INDEX(Bits!$E$25:$E$124,(A68-1)*$B$2+2),"")&amp;IF(2&lt;$B$2,INDEX(Bits!$E$25:$E$124,(A68-1)*$B$2+3),"")&amp;IF(3&lt;$B$2,INDEX(Bits!$E$25:$E$124,(A68-1)*$B$2+4),"")&amp;IF(4&lt;$B$2,INDEX(Bits!$E$25:$E$124,(A68-1)*$B$2+5),""))</f>
        <v/>
      </c>
      <c r="C68" s="14">
        <f>IF(A68&lt;=$D$2,1,0)</f>
        <v/>
      </c>
      <c r="D68" s="14">
        <f>IF(C68=0,"",IF(0&lt;$B$2,INDEX(Bits!$E$25:$E$124,(A68-1)*$B$2+1)*2^($B$2-1),0)+IF(1&lt;$B$2,INDEX(Bits!$E$25:$E$124,(A68-1)*$B$2+2)*2^($B$2-2),0)+IF(2&lt;$B$2,INDEX(Bits!$E$25:$E$124,(A68-1)*$B$2+3)*2^($B$2-3),0)+IF(3&lt;$B$2,INDEX(Bits!$E$25:$E$124,(A68-1)*$B$2+4)*2^($B$2-4),0)+IF(4&lt;$B$2,INDEX(Bits!$E$25:$E$124,(A68-1)*$B$2+5)*2^($B$2-5),0))</f>
        <v/>
      </c>
      <c r="E68" s="14">
        <f>IF(C68=0,"",INDEX(Constellations!$C$14:$L$45,D68+1,Constellations!$F$8))</f>
        <v/>
      </c>
      <c r="F68" s="14">
        <f>IF(C68=0,"",INDEX(Constellations!$C$14:$L$45,D68+1,Constellations!$F$8+1))</f>
        <v/>
      </c>
      <c r="G68" s="23">
        <f>IF(C68=0,"",E68*$F$2)</f>
        <v/>
      </c>
      <c r="H68" s="23">
        <f>IF(C68=0,"",F68*$F$2)</f>
        <v/>
      </c>
      <c r="I68" s="23">
        <f>IF(C68=0,"",SQRT(G68^2+H68^2))</f>
        <v/>
      </c>
      <c r="J68" s="24">
        <f>IF(C68=0,"",IF(AND(G68=0,H68=0),0,DEGREES(ATAN2(G68,H68))))</f>
        <v/>
      </c>
      <c r="K68" s="25">
        <f>IF(C68=0,K67,K67&amp;" "&amp;B68)</f>
        <v/>
      </c>
      <c r="L68" s="25">
        <f>IF(C68=0,L67,L67&amp;" - "&amp;D68)</f>
        <v/>
      </c>
    </row>
    <row r="69">
      <c r="A69" s="14" t="n">
        <v>64</v>
      </c>
      <c r="B69" s="14">
        <f>IF(C69=0,"",IF(0&lt;$B$2,INDEX(Bits!$E$25:$E$124,(A69-1)*$B$2+1),"")&amp;IF(1&lt;$B$2,INDEX(Bits!$E$25:$E$124,(A69-1)*$B$2+2),"")&amp;IF(2&lt;$B$2,INDEX(Bits!$E$25:$E$124,(A69-1)*$B$2+3),"")&amp;IF(3&lt;$B$2,INDEX(Bits!$E$25:$E$124,(A69-1)*$B$2+4),"")&amp;IF(4&lt;$B$2,INDEX(Bits!$E$25:$E$124,(A69-1)*$B$2+5),""))</f>
        <v/>
      </c>
      <c r="C69" s="14">
        <f>IF(A69&lt;=$D$2,1,0)</f>
        <v/>
      </c>
      <c r="D69" s="14">
        <f>IF(C69=0,"",IF(0&lt;$B$2,INDEX(Bits!$E$25:$E$124,(A69-1)*$B$2+1)*2^($B$2-1),0)+IF(1&lt;$B$2,INDEX(Bits!$E$25:$E$124,(A69-1)*$B$2+2)*2^($B$2-2),0)+IF(2&lt;$B$2,INDEX(Bits!$E$25:$E$124,(A69-1)*$B$2+3)*2^($B$2-3),0)+IF(3&lt;$B$2,INDEX(Bits!$E$25:$E$124,(A69-1)*$B$2+4)*2^($B$2-4),0)+IF(4&lt;$B$2,INDEX(Bits!$E$25:$E$124,(A69-1)*$B$2+5)*2^($B$2-5),0))</f>
        <v/>
      </c>
      <c r="E69" s="14">
        <f>IF(C69=0,"",INDEX(Constellations!$C$14:$L$45,D69+1,Constellations!$F$8))</f>
        <v/>
      </c>
      <c r="F69" s="14">
        <f>IF(C69=0,"",INDEX(Constellations!$C$14:$L$45,D69+1,Constellations!$F$8+1))</f>
        <v/>
      </c>
      <c r="G69" s="23">
        <f>IF(C69=0,"",E69*$F$2)</f>
        <v/>
      </c>
      <c r="H69" s="23">
        <f>IF(C69=0,"",F69*$F$2)</f>
        <v/>
      </c>
      <c r="I69" s="23">
        <f>IF(C69=0,"",SQRT(G69^2+H69^2))</f>
        <v/>
      </c>
      <c r="J69" s="24">
        <f>IF(C69=0,"",IF(AND(G69=0,H69=0),0,DEGREES(ATAN2(G69,H69))))</f>
        <v/>
      </c>
      <c r="K69" s="25">
        <f>IF(C69=0,K68,K68&amp;" "&amp;B69)</f>
        <v/>
      </c>
      <c r="L69" s="25">
        <f>IF(C69=0,L68,L68&amp;" - "&amp;D69)</f>
        <v/>
      </c>
    </row>
    <row r="70">
      <c r="A70" s="14" t="n">
        <v>65</v>
      </c>
      <c r="B70" s="14">
        <f>IF(C70=0,"",IF(0&lt;$B$2,INDEX(Bits!$E$25:$E$124,(A70-1)*$B$2+1),"")&amp;IF(1&lt;$B$2,INDEX(Bits!$E$25:$E$124,(A70-1)*$B$2+2),"")&amp;IF(2&lt;$B$2,INDEX(Bits!$E$25:$E$124,(A70-1)*$B$2+3),"")&amp;IF(3&lt;$B$2,INDEX(Bits!$E$25:$E$124,(A70-1)*$B$2+4),"")&amp;IF(4&lt;$B$2,INDEX(Bits!$E$25:$E$124,(A70-1)*$B$2+5),""))</f>
        <v/>
      </c>
      <c r="C70" s="14">
        <f>IF(A70&lt;=$D$2,1,0)</f>
        <v/>
      </c>
      <c r="D70" s="14">
        <f>IF(C70=0,"",IF(0&lt;$B$2,INDEX(Bits!$E$25:$E$124,(A70-1)*$B$2+1)*2^($B$2-1),0)+IF(1&lt;$B$2,INDEX(Bits!$E$25:$E$124,(A70-1)*$B$2+2)*2^($B$2-2),0)+IF(2&lt;$B$2,INDEX(Bits!$E$25:$E$124,(A70-1)*$B$2+3)*2^($B$2-3),0)+IF(3&lt;$B$2,INDEX(Bits!$E$25:$E$124,(A70-1)*$B$2+4)*2^($B$2-4),0)+IF(4&lt;$B$2,INDEX(Bits!$E$25:$E$124,(A70-1)*$B$2+5)*2^($B$2-5),0))</f>
        <v/>
      </c>
      <c r="E70" s="14">
        <f>IF(C70=0,"",INDEX(Constellations!$C$14:$L$45,D70+1,Constellations!$F$8))</f>
        <v/>
      </c>
      <c r="F70" s="14">
        <f>IF(C70=0,"",INDEX(Constellations!$C$14:$L$45,D70+1,Constellations!$F$8+1))</f>
        <v/>
      </c>
      <c r="G70" s="23">
        <f>IF(C70=0,"",E70*$F$2)</f>
        <v/>
      </c>
      <c r="H70" s="23">
        <f>IF(C70=0,"",F70*$F$2)</f>
        <v/>
      </c>
      <c r="I70" s="23">
        <f>IF(C70=0,"",SQRT(G70^2+H70^2))</f>
        <v/>
      </c>
      <c r="J70" s="24">
        <f>IF(C70=0,"",IF(AND(G70=0,H70=0),0,DEGREES(ATAN2(G70,H70))))</f>
        <v/>
      </c>
      <c r="K70" s="25">
        <f>IF(C70=0,K69,K69&amp;" "&amp;B70)</f>
        <v/>
      </c>
      <c r="L70" s="25">
        <f>IF(C70=0,L69,L69&amp;" - "&amp;D70)</f>
        <v/>
      </c>
    </row>
    <row r="71">
      <c r="A71" s="14" t="n">
        <v>66</v>
      </c>
      <c r="B71" s="14">
        <f>IF(C71=0,"",IF(0&lt;$B$2,INDEX(Bits!$E$25:$E$124,(A71-1)*$B$2+1),"")&amp;IF(1&lt;$B$2,INDEX(Bits!$E$25:$E$124,(A71-1)*$B$2+2),"")&amp;IF(2&lt;$B$2,INDEX(Bits!$E$25:$E$124,(A71-1)*$B$2+3),"")&amp;IF(3&lt;$B$2,INDEX(Bits!$E$25:$E$124,(A71-1)*$B$2+4),"")&amp;IF(4&lt;$B$2,INDEX(Bits!$E$25:$E$124,(A71-1)*$B$2+5),""))</f>
        <v/>
      </c>
      <c r="C71" s="14">
        <f>IF(A71&lt;=$D$2,1,0)</f>
        <v/>
      </c>
      <c r="D71" s="14">
        <f>IF(C71=0,"",IF(0&lt;$B$2,INDEX(Bits!$E$25:$E$124,(A71-1)*$B$2+1)*2^($B$2-1),0)+IF(1&lt;$B$2,INDEX(Bits!$E$25:$E$124,(A71-1)*$B$2+2)*2^($B$2-2),0)+IF(2&lt;$B$2,INDEX(Bits!$E$25:$E$124,(A71-1)*$B$2+3)*2^($B$2-3),0)+IF(3&lt;$B$2,INDEX(Bits!$E$25:$E$124,(A71-1)*$B$2+4)*2^($B$2-4),0)+IF(4&lt;$B$2,INDEX(Bits!$E$25:$E$124,(A71-1)*$B$2+5)*2^($B$2-5),0))</f>
        <v/>
      </c>
      <c r="E71" s="14">
        <f>IF(C71=0,"",INDEX(Constellations!$C$14:$L$45,D71+1,Constellations!$F$8))</f>
        <v/>
      </c>
      <c r="F71" s="14">
        <f>IF(C71=0,"",INDEX(Constellations!$C$14:$L$45,D71+1,Constellations!$F$8+1))</f>
        <v/>
      </c>
      <c r="G71" s="23">
        <f>IF(C71=0,"",E71*$F$2)</f>
        <v/>
      </c>
      <c r="H71" s="23">
        <f>IF(C71=0,"",F71*$F$2)</f>
        <v/>
      </c>
      <c r="I71" s="23">
        <f>IF(C71=0,"",SQRT(G71^2+H71^2))</f>
        <v/>
      </c>
      <c r="J71" s="24">
        <f>IF(C71=0,"",IF(AND(G71=0,H71=0),0,DEGREES(ATAN2(G71,H71))))</f>
        <v/>
      </c>
      <c r="K71" s="25">
        <f>IF(C71=0,K70,K70&amp;" "&amp;B71)</f>
        <v/>
      </c>
      <c r="L71" s="25">
        <f>IF(C71=0,L70,L70&amp;" - "&amp;D71)</f>
        <v/>
      </c>
    </row>
    <row r="72">
      <c r="A72" s="14" t="n">
        <v>67</v>
      </c>
      <c r="B72" s="14">
        <f>IF(C72=0,"",IF(0&lt;$B$2,INDEX(Bits!$E$25:$E$124,(A72-1)*$B$2+1),"")&amp;IF(1&lt;$B$2,INDEX(Bits!$E$25:$E$124,(A72-1)*$B$2+2),"")&amp;IF(2&lt;$B$2,INDEX(Bits!$E$25:$E$124,(A72-1)*$B$2+3),"")&amp;IF(3&lt;$B$2,INDEX(Bits!$E$25:$E$124,(A72-1)*$B$2+4),"")&amp;IF(4&lt;$B$2,INDEX(Bits!$E$25:$E$124,(A72-1)*$B$2+5),""))</f>
        <v/>
      </c>
      <c r="C72" s="14">
        <f>IF(A72&lt;=$D$2,1,0)</f>
        <v/>
      </c>
      <c r="D72" s="14">
        <f>IF(C72=0,"",IF(0&lt;$B$2,INDEX(Bits!$E$25:$E$124,(A72-1)*$B$2+1)*2^($B$2-1),0)+IF(1&lt;$B$2,INDEX(Bits!$E$25:$E$124,(A72-1)*$B$2+2)*2^($B$2-2),0)+IF(2&lt;$B$2,INDEX(Bits!$E$25:$E$124,(A72-1)*$B$2+3)*2^($B$2-3),0)+IF(3&lt;$B$2,INDEX(Bits!$E$25:$E$124,(A72-1)*$B$2+4)*2^($B$2-4),0)+IF(4&lt;$B$2,INDEX(Bits!$E$25:$E$124,(A72-1)*$B$2+5)*2^($B$2-5),0))</f>
        <v/>
      </c>
      <c r="E72" s="14">
        <f>IF(C72=0,"",INDEX(Constellations!$C$14:$L$45,D72+1,Constellations!$F$8))</f>
        <v/>
      </c>
      <c r="F72" s="14">
        <f>IF(C72=0,"",INDEX(Constellations!$C$14:$L$45,D72+1,Constellations!$F$8+1))</f>
        <v/>
      </c>
      <c r="G72" s="23">
        <f>IF(C72=0,"",E72*$F$2)</f>
        <v/>
      </c>
      <c r="H72" s="23">
        <f>IF(C72=0,"",F72*$F$2)</f>
        <v/>
      </c>
      <c r="I72" s="23">
        <f>IF(C72=0,"",SQRT(G72^2+H72^2))</f>
        <v/>
      </c>
      <c r="J72" s="24">
        <f>IF(C72=0,"",IF(AND(G72=0,H72=0),0,DEGREES(ATAN2(G72,H72))))</f>
        <v/>
      </c>
      <c r="K72" s="25">
        <f>IF(C72=0,K71,K71&amp;" "&amp;B72)</f>
        <v/>
      </c>
      <c r="L72" s="25">
        <f>IF(C72=0,L71,L71&amp;" - "&amp;D72)</f>
        <v/>
      </c>
    </row>
    <row r="73">
      <c r="A73" s="14" t="n">
        <v>68</v>
      </c>
      <c r="B73" s="14">
        <f>IF(C73=0,"",IF(0&lt;$B$2,INDEX(Bits!$E$25:$E$124,(A73-1)*$B$2+1),"")&amp;IF(1&lt;$B$2,INDEX(Bits!$E$25:$E$124,(A73-1)*$B$2+2),"")&amp;IF(2&lt;$B$2,INDEX(Bits!$E$25:$E$124,(A73-1)*$B$2+3),"")&amp;IF(3&lt;$B$2,INDEX(Bits!$E$25:$E$124,(A73-1)*$B$2+4),"")&amp;IF(4&lt;$B$2,INDEX(Bits!$E$25:$E$124,(A73-1)*$B$2+5),""))</f>
        <v/>
      </c>
      <c r="C73" s="14">
        <f>IF(A73&lt;=$D$2,1,0)</f>
        <v/>
      </c>
      <c r="D73" s="14">
        <f>IF(C73=0,"",IF(0&lt;$B$2,INDEX(Bits!$E$25:$E$124,(A73-1)*$B$2+1)*2^($B$2-1),0)+IF(1&lt;$B$2,INDEX(Bits!$E$25:$E$124,(A73-1)*$B$2+2)*2^($B$2-2),0)+IF(2&lt;$B$2,INDEX(Bits!$E$25:$E$124,(A73-1)*$B$2+3)*2^($B$2-3),0)+IF(3&lt;$B$2,INDEX(Bits!$E$25:$E$124,(A73-1)*$B$2+4)*2^($B$2-4),0)+IF(4&lt;$B$2,INDEX(Bits!$E$25:$E$124,(A73-1)*$B$2+5)*2^($B$2-5),0))</f>
        <v/>
      </c>
      <c r="E73" s="14">
        <f>IF(C73=0,"",INDEX(Constellations!$C$14:$L$45,D73+1,Constellations!$F$8))</f>
        <v/>
      </c>
      <c r="F73" s="14">
        <f>IF(C73=0,"",INDEX(Constellations!$C$14:$L$45,D73+1,Constellations!$F$8+1))</f>
        <v/>
      </c>
      <c r="G73" s="23">
        <f>IF(C73=0,"",E73*$F$2)</f>
        <v/>
      </c>
      <c r="H73" s="23">
        <f>IF(C73=0,"",F73*$F$2)</f>
        <v/>
      </c>
      <c r="I73" s="23">
        <f>IF(C73=0,"",SQRT(G73^2+H73^2))</f>
        <v/>
      </c>
      <c r="J73" s="24">
        <f>IF(C73=0,"",IF(AND(G73=0,H73=0),0,DEGREES(ATAN2(G73,H73))))</f>
        <v/>
      </c>
      <c r="K73" s="25">
        <f>IF(C73=0,K72,K72&amp;" "&amp;B73)</f>
        <v/>
      </c>
      <c r="L73" s="25">
        <f>IF(C73=0,L72,L72&amp;" - "&amp;D73)</f>
        <v/>
      </c>
    </row>
    <row r="74">
      <c r="A74" s="14" t="n">
        <v>69</v>
      </c>
      <c r="B74" s="14">
        <f>IF(C74=0,"",IF(0&lt;$B$2,INDEX(Bits!$E$25:$E$124,(A74-1)*$B$2+1),"")&amp;IF(1&lt;$B$2,INDEX(Bits!$E$25:$E$124,(A74-1)*$B$2+2),"")&amp;IF(2&lt;$B$2,INDEX(Bits!$E$25:$E$124,(A74-1)*$B$2+3),"")&amp;IF(3&lt;$B$2,INDEX(Bits!$E$25:$E$124,(A74-1)*$B$2+4),"")&amp;IF(4&lt;$B$2,INDEX(Bits!$E$25:$E$124,(A74-1)*$B$2+5),""))</f>
        <v/>
      </c>
      <c r="C74" s="14">
        <f>IF(A74&lt;=$D$2,1,0)</f>
        <v/>
      </c>
      <c r="D74" s="14">
        <f>IF(C74=0,"",IF(0&lt;$B$2,INDEX(Bits!$E$25:$E$124,(A74-1)*$B$2+1)*2^($B$2-1),0)+IF(1&lt;$B$2,INDEX(Bits!$E$25:$E$124,(A74-1)*$B$2+2)*2^($B$2-2),0)+IF(2&lt;$B$2,INDEX(Bits!$E$25:$E$124,(A74-1)*$B$2+3)*2^($B$2-3),0)+IF(3&lt;$B$2,INDEX(Bits!$E$25:$E$124,(A74-1)*$B$2+4)*2^($B$2-4),0)+IF(4&lt;$B$2,INDEX(Bits!$E$25:$E$124,(A74-1)*$B$2+5)*2^($B$2-5),0))</f>
        <v/>
      </c>
      <c r="E74" s="14">
        <f>IF(C74=0,"",INDEX(Constellations!$C$14:$L$45,D74+1,Constellations!$F$8))</f>
        <v/>
      </c>
      <c r="F74" s="14">
        <f>IF(C74=0,"",INDEX(Constellations!$C$14:$L$45,D74+1,Constellations!$F$8+1))</f>
        <v/>
      </c>
      <c r="G74" s="23">
        <f>IF(C74=0,"",E74*$F$2)</f>
        <v/>
      </c>
      <c r="H74" s="23">
        <f>IF(C74=0,"",F74*$F$2)</f>
        <v/>
      </c>
      <c r="I74" s="23">
        <f>IF(C74=0,"",SQRT(G74^2+H74^2))</f>
        <v/>
      </c>
      <c r="J74" s="24">
        <f>IF(C74=0,"",IF(AND(G74=0,H74=0),0,DEGREES(ATAN2(G74,H74))))</f>
        <v/>
      </c>
      <c r="K74" s="25">
        <f>IF(C74=0,K73,K73&amp;" "&amp;B74)</f>
        <v/>
      </c>
      <c r="L74" s="25">
        <f>IF(C74=0,L73,L73&amp;" - "&amp;D74)</f>
        <v/>
      </c>
    </row>
    <row r="75">
      <c r="A75" s="14" t="n">
        <v>70</v>
      </c>
      <c r="B75" s="14">
        <f>IF(C75=0,"",IF(0&lt;$B$2,INDEX(Bits!$E$25:$E$124,(A75-1)*$B$2+1),"")&amp;IF(1&lt;$B$2,INDEX(Bits!$E$25:$E$124,(A75-1)*$B$2+2),"")&amp;IF(2&lt;$B$2,INDEX(Bits!$E$25:$E$124,(A75-1)*$B$2+3),"")&amp;IF(3&lt;$B$2,INDEX(Bits!$E$25:$E$124,(A75-1)*$B$2+4),"")&amp;IF(4&lt;$B$2,INDEX(Bits!$E$25:$E$124,(A75-1)*$B$2+5),""))</f>
        <v/>
      </c>
      <c r="C75" s="14">
        <f>IF(A75&lt;=$D$2,1,0)</f>
        <v/>
      </c>
      <c r="D75" s="14">
        <f>IF(C75=0,"",IF(0&lt;$B$2,INDEX(Bits!$E$25:$E$124,(A75-1)*$B$2+1)*2^($B$2-1),0)+IF(1&lt;$B$2,INDEX(Bits!$E$25:$E$124,(A75-1)*$B$2+2)*2^($B$2-2),0)+IF(2&lt;$B$2,INDEX(Bits!$E$25:$E$124,(A75-1)*$B$2+3)*2^($B$2-3),0)+IF(3&lt;$B$2,INDEX(Bits!$E$25:$E$124,(A75-1)*$B$2+4)*2^($B$2-4),0)+IF(4&lt;$B$2,INDEX(Bits!$E$25:$E$124,(A75-1)*$B$2+5)*2^($B$2-5),0))</f>
        <v/>
      </c>
      <c r="E75" s="14">
        <f>IF(C75=0,"",INDEX(Constellations!$C$14:$L$45,D75+1,Constellations!$F$8))</f>
        <v/>
      </c>
      <c r="F75" s="14">
        <f>IF(C75=0,"",INDEX(Constellations!$C$14:$L$45,D75+1,Constellations!$F$8+1))</f>
        <v/>
      </c>
      <c r="G75" s="23">
        <f>IF(C75=0,"",E75*$F$2)</f>
        <v/>
      </c>
      <c r="H75" s="23">
        <f>IF(C75=0,"",F75*$F$2)</f>
        <v/>
      </c>
      <c r="I75" s="23">
        <f>IF(C75=0,"",SQRT(G75^2+H75^2))</f>
        <v/>
      </c>
      <c r="J75" s="24">
        <f>IF(C75=0,"",IF(AND(G75=0,H75=0),0,DEGREES(ATAN2(G75,H75))))</f>
        <v/>
      </c>
      <c r="K75" s="25">
        <f>IF(C75=0,K74,K74&amp;" "&amp;B75)</f>
        <v/>
      </c>
      <c r="L75" s="25">
        <f>IF(C75=0,L74,L74&amp;" - "&amp;D75)</f>
        <v/>
      </c>
    </row>
    <row r="76">
      <c r="A76" s="14" t="n">
        <v>71</v>
      </c>
      <c r="B76" s="14">
        <f>IF(C76=0,"",IF(0&lt;$B$2,INDEX(Bits!$E$25:$E$124,(A76-1)*$B$2+1),"")&amp;IF(1&lt;$B$2,INDEX(Bits!$E$25:$E$124,(A76-1)*$B$2+2),"")&amp;IF(2&lt;$B$2,INDEX(Bits!$E$25:$E$124,(A76-1)*$B$2+3),"")&amp;IF(3&lt;$B$2,INDEX(Bits!$E$25:$E$124,(A76-1)*$B$2+4),"")&amp;IF(4&lt;$B$2,INDEX(Bits!$E$25:$E$124,(A76-1)*$B$2+5),""))</f>
        <v/>
      </c>
      <c r="C76" s="14">
        <f>IF(A76&lt;=$D$2,1,0)</f>
        <v/>
      </c>
      <c r="D76" s="14">
        <f>IF(C76=0,"",IF(0&lt;$B$2,INDEX(Bits!$E$25:$E$124,(A76-1)*$B$2+1)*2^($B$2-1),0)+IF(1&lt;$B$2,INDEX(Bits!$E$25:$E$124,(A76-1)*$B$2+2)*2^($B$2-2),0)+IF(2&lt;$B$2,INDEX(Bits!$E$25:$E$124,(A76-1)*$B$2+3)*2^($B$2-3),0)+IF(3&lt;$B$2,INDEX(Bits!$E$25:$E$124,(A76-1)*$B$2+4)*2^($B$2-4),0)+IF(4&lt;$B$2,INDEX(Bits!$E$25:$E$124,(A76-1)*$B$2+5)*2^($B$2-5),0))</f>
        <v/>
      </c>
      <c r="E76" s="14">
        <f>IF(C76=0,"",INDEX(Constellations!$C$14:$L$45,D76+1,Constellations!$F$8))</f>
        <v/>
      </c>
      <c r="F76" s="14">
        <f>IF(C76=0,"",INDEX(Constellations!$C$14:$L$45,D76+1,Constellations!$F$8+1))</f>
        <v/>
      </c>
      <c r="G76" s="23">
        <f>IF(C76=0,"",E76*$F$2)</f>
        <v/>
      </c>
      <c r="H76" s="23">
        <f>IF(C76=0,"",F76*$F$2)</f>
        <v/>
      </c>
      <c r="I76" s="23">
        <f>IF(C76=0,"",SQRT(G76^2+H76^2))</f>
        <v/>
      </c>
      <c r="J76" s="24">
        <f>IF(C76=0,"",IF(AND(G76=0,H76=0),0,DEGREES(ATAN2(G76,H76))))</f>
        <v/>
      </c>
      <c r="K76" s="25">
        <f>IF(C76=0,K75,K75&amp;" "&amp;B76)</f>
        <v/>
      </c>
      <c r="L76" s="25">
        <f>IF(C76=0,L75,L75&amp;" - "&amp;D76)</f>
        <v/>
      </c>
    </row>
    <row r="77">
      <c r="A77" s="14" t="n">
        <v>72</v>
      </c>
      <c r="B77" s="14">
        <f>IF(C77=0,"",IF(0&lt;$B$2,INDEX(Bits!$E$25:$E$124,(A77-1)*$B$2+1),"")&amp;IF(1&lt;$B$2,INDEX(Bits!$E$25:$E$124,(A77-1)*$B$2+2),"")&amp;IF(2&lt;$B$2,INDEX(Bits!$E$25:$E$124,(A77-1)*$B$2+3),"")&amp;IF(3&lt;$B$2,INDEX(Bits!$E$25:$E$124,(A77-1)*$B$2+4),"")&amp;IF(4&lt;$B$2,INDEX(Bits!$E$25:$E$124,(A77-1)*$B$2+5),""))</f>
        <v/>
      </c>
      <c r="C77" s="14">
        <f>IF(A77&lt;=$D$2,1,0)</f>
        <v/>
      </c>
      <c r="D77" s="14">
        <f>IF(C77=0,"",IF(0&lt;$B$2,INDEX(Bits!$E$25:$E$124,(A77-1)*$B$2+1)*2^($B$2-1),0)+IF(1&lt;$B$2,INDEX(Bits!$E$25:$E$124,(A77-1)*$B$2+2)*2^($B$2-2),0)+IF(2&lt;$B$2,INDEX(Bits!$E$25:$E$124,(A77-1)*$B$2+3)*2^($B$2-3),0)+IF(3&lt;$B$2,INDEX(Bits!$E$25:$E$124,(A77-1)*$B$2+4)*2^($B$2-4),0)+IF(4&lt;$B$2,INDEX(Bits!$E$25:$E$124,(A77-1)*$B$2+5)*2^($B$2-5),0))</f>
        <v/>
      </c>
      <c r="E77" s="14">
        <f>IF(C77=0,"",INDEX(Constellations!$C$14:$L$45,D77+1,Constellations!$F$8))</f>
        <v/>
      </c>
      <c r="F77" s="14">
        <f>IF(C77=0,"",INDEX(Constellations!$C$14:$L$45,D77+1,Constellations!$F$8+1))</f>
        <v/>
      </c>
      <c r="G77" s="23">
        <f>IF(C77=0,"",E77*$F$2)</f>
        <v/>
      </c>
      <c r="H77" s="23">
        <f>IF(C77=0,"",F77*$F$2)</f>
        <v/>
      </c>
      <c r="I77" s="23">
        <f>IF(C77=0,"",SQRT(G77^2+H77^2))</f>
        <v/>
      </c>
      <c r="J77" s="24">
        <f>IF(C77=0,"",IF(AND(G77=0,H77=0),0,DEGREES(ATAN2(G77,H77))))</f>
        <v/>
      </c>
      <c r="K77" s="25">
        <f>IF(C77=0,K76,K76&amp;" "&amp;B77)</f>
        <v/>
      </c>
      <c r="L77" s="25">
        <f>IF(C77=0,L76,L76&amp;" - "&amp;D77)</f>
        <v/>
      </c>
    </row>
    <row r="78">
      <c r="A78" s="14" t="n">
        <v>73</v>
      </c>
      <c r="B78" s="14">
        <f>IF(C78=0,"",IF(0&lt;$B$2,INDEX(Bits!$E$25:$E$124,(A78-1)*$B$2+1),"")&amp;IF(1&lt;$B$2,INDEX(Bits!$E$25:$E$124,(A78-1)*$B$2+2),"")&amp;IF(2&lt;$B$2,INDEX(Bits!$E$25:$E$124,(A78-1)*$B$2+3),"")&amp;IF(3&lt;$B$2,INDEX(Bits!$E$25:$E$124,(A78-1)*$B$2+4),"")&amp;IF(4&lt;$B$2,INDEX(Bits!$E$25:$E$124,(A78-1)*$B$2+5),""))</f>
        <v/>
      </c>
      <c r="C78" s="14">
        <f>IF(A78&lt;=$D$2,1,0)</f>
        <v/>
      </c>
      <c r="D78" s="14">
        <f>IF(C78=0,"",IF(0&lt;$B$2,INDEX(Bits!$E$25:$E$124,(A78-1)*$B$2+1)*2^($B$2-1),0)+IF(1&lt;$B$2,INDEX(Bits!$E$25:$E$124,(A78-1)*$B$2+2)*2^($B$2-2),0)+IF(2&lt;$B$2,INDEX(Bits!$E$25:$E$124,(A78-1)*$B$2+3)*2^($B$2-3),0)+IF(3&lt;$B$2,INDEX(Bits!$E$25:$E$124,(A78-1)*$B$2+4)*2^($B$2-4),0)+IF(4&lt;$B$2,INDEX(Bits!$E$25:$E$124,(A78-1)*$B$2+5)*2^($B$2-5),0))</f>
        <v/>
      </c>
      <c r="E78" s="14">
        <f>IF(C78=0,"",INDEX(Constellations!$C$14:$L$45,D78+1,Constellations!$F$8))</f>
        <v/>
      </c>
      <c r="F78" s="14">
        <f>IF(C78=0,"",INDEX(Constellations!$C$14:$L$45,D78+1,Constellations!$F$8+1))</f>
        <v/>
      </c>
      <c r="G78" s="23">
        <f>IF(C78=0,"",E78*$F$2)</f>
        <v/>
      </c>
      <c r="H78" s="23">
        <f>IF(C78=0,"",F78*$F$2)</f>
        <v/>
      </c>
      <c r="I78" s="23">
        <f>IF(C78=0,"",SQRT(G78^2+H78^2))</f>
        <v/>
      </c>
      <c r="J78" s="24">
        <f>IF(C78=0,"",IF(AND(G78=0,H78=0),0,DEGREES(ATAN2(G78,H78))))</f>
        <v/>
      </c>
      <c r="K78" s="25">
        <f>IF(C78=0,K77,K77&amp;" "&amp;B78)</f>
        <v/>
      </c>
      <c r="L78" s="25">
        <f>IF(C78=0,L77,L77&amp;" - "&amp;D78)</f>
        <v/>
      </c>
    </row>
    <row r="79">
      <c r="A79" s="14" t="n">
        <v>74</v>
      </c>
      <c r="B79" s="14">
        <f>IF(C79=0,"",IF(0&lt;$B$2,INDEX(Bits!$E$25:$E$124,(A79-1)*$B$2+1),"")&amp;IF(1&lt;$B$2,INDEX(Bits!$E$25:$E$124,(A79-1)*$B$2+2),"")&amp;IF(2&lt;$B$2,INDEX(Bits!$E$25:$E$124,(A79-1)*$B$2+3),"")&amp;IF(3&lt;$B$2,INDEX(Bits!$E$25:$E$124,(A79-1)*$B$2+4),"")&amp;IF(4&lt;$B$2,INDEX(Bits!$E$25:$E$124,(A79-1)*$B$2+5),""))</f>
        <v/>
      </c>
      <c r="C79" s="14">
        <f>IF(A79&lt;=$D$2,1,0)</f>
        <v/>
      </c>
      <c r="D79" s="14">
        <f>IF(C79=0,"",IF(0&lt;$B$2,INDEX(Bits!$E$25:$E$124,(A79-1)*$B$2+1)*2^($B$2-1),0)+IF(1&lt;$B$2,INDEX(Bits!$E$25:$E$124,(A79-1)*$B$2+2)*2^($B$2-2),0)+IF(2&lt;$B$2,INDEX(Bits!$E$25:$E$124,(A79-1)*$B$2+3)*2^($B$2-3),0)+IF(3&lt;$B$2,INDEX(Bits!$E$25:$E$124,(A79-1)*$B$2+4)*2^($B$2-4),0)+IF(4&lt;$B$2,INDEX(Bits!$E$25:$E$124,(A79-1)*$B$2+5)*2^($B$2-5),0))</f>
        <v/>
      </c>
      <c r="E79" s="14">
        <f>IF(C79=0,"",INDEX(Constellations!$C$14:$L$45,D79+1,Constellations!$F$8))</f>
        <v/>
      </c>
      <c r="F79" s="14">
        <f>IF(C79=0,"",INDEX(Constellations!$C$14:$L$45,D79+1,Constellations!$F$8+1))</f>
        <v/>
      </c>
      <c r="G79" s="23">
        <f>IF(C79=0,"",E79*$F$2)</f>
        <v/>
      </c>
      <c r="H79" s="23">
        <f>IF(C79=0,"",F79*$F$2)</f>
        <v/>
      </c>
      <c r="I79" s="23">
        <f>IF(C79=0,"",SQRT(G79^2+H79^2))</f>
        <v/>
      </c>
      <c r="J79" s="24">
        <f>IF(C79=0,"",IF(AND(G79=0,H79=0),0,DEGREES(ATAN2(G79,H79))))</f>
        <v/>
      </c>
      <c r="K79" s="25">
        <f>IF(C79=0,K78,K78&amp;" "&amp;B79)</f>
        <v/>
      </c>
      <c r="L79" s="25">
        <f>IF(C79=0,L78,L78&amp;" - "&amp;D79)</f>
        <v/>
      </c>
    </row>
    <row r="80">
      <c r="A80" s="14" t="n">
        <v>75</v>
      </c>
      <c r="B80" s="14">
        <f>IF(C80=0,"",IF(0&lt;$B$2,INDEX(Bits!$E$25:$E$124,(A80-1)*$B$2+1),"")&amp;IF(1&lt;$B$2,INDEX(Bits!$E$25:$E$124,(A80-1)*$B$2+2),"")&amp;IF(2&lt;$B$2,INDEX(Bits!$E$25:$E$124,(A80-1)*$B$2+3),"")&amp;IF(3&lt;$B$2,INDEX(Bits!$E$25:$E$124,(A80-1)*$B$2+4),"")&amp;IF(4&lt;$B$2,INDEX(Bits!$E$25:$E$124,(A80-1)*$B$2+5),""))</f>
        <v/>
      </c>
      <c r="C80" s="14">
        <f>IF(A80&lt;=$D$2,1,0)</f>
        <v/>
      </c>
      <c r="D80" s="14">
        <f>IF(C80=0,"",IF(0&lt;$B$2,INDEX(Bits!$E$25:$E$124,(A80-1)*$B$2+1)*2^($B$2-1),0)+IF(1&lt;$B$2,INDEX(Bits!$E$25:$E$124,(A80-1)*$B$2+2)*2^($B$2-2),0)+IF(2&lt;$B$2,INDEX(Bits!$E$25:$E$124,(A80-1)*$B$2+3)*2^($B$2-3),0)+IF(3&lt;$B$2,INDEX(Bits!$E$25:$E$124,(A80-1)*$B$2+4)*2^($B$2-4),0)+IF(4&lt;$B$2,INDEX(Bits!$E$25:$E$124,(A80-1)*$B$2+5)*2^($B$2-5),0))</f>
        <v/>
      </c>
      <c r="E80" s="14">
        <f>IF(C80=0,"",INDEX(Constellations!$C$14:$L$45,D80+1,Constellations!$F$8))</f>
        <v/>
      </c>
      <c r="F80" s="14">
        <f>IF(C80=0,"",INDEX(Constellations!$C$14:$L$45,D80+1,Constellations!$F$8+1))</f>
        <v/>
      </c>
      <c r="G80" s="23">
        <f>IF(C80=0,"",E80*$F$2)</f>
        <v/>
      </c>
      <c r="H80" s="23">
        <f>IF(C80=0,"",F80*$F$2)</f>
        <v/>
      </c>
      <c r="I80" s="23">
        <f>IF(C80=0,"",SQRT(G80^2+H80^2))</f>
        <v/>
      </c>
      <c r="J80" s="24">
        <f>IF(C80=0,"",IF(AND(G80=0,H80=0),0,DEGREES(ATAN2(G80,H80))))</f>
        <v/>
      </c>
      <c r="K80" s="25">
        <f>IF(C80=0,K79,K79&amp;" "&amp;B80)</f>
        <v/>
      </c>
      <c r="L80" s="25">
        <f>IF(C80=0,L79,L79&amp;" - "&amp;D80)</f>
        <v/>
      </c>
    </row>
    <row r="81">
      <c r="A81" s="14" t="n">
        <v>76</v>
      </c>
      <c r="B81" s="14">
        <f>IF(C81=0,"",IF(0&lt;$B$2,INDEX(Bits!$E$25:$E$124,(A81-1)*$B$2+1),"")&amp;IF(1&lt;$B$2,INDEX(Bits!$E$25:$E$124,(A81-1)*$B$2+2),"")&amp;IF(2&lt;$B$2,INDEX(Bits!$E$25:$E$124,(A81-1)*$B$2+3),"")&amp;IF(3&lt;$B$2,INDEX(Bits!$E$25:$E$124,(A81-1)*$B$2+4),"")&amp;IF(4&lt;$B$2,INDEX(Bits!$E$25:$E$124,(A81-1)*$B$2+5),""))</f>
        <v/>
      </c>
      <c r="C81" s="14">
        <f>IF(A81&lt;=$D$2,1,0)</f>
        <v/>
      </c>
      <c r="D81" s="14">
        <f>IF(C81=0,"",IF(0&lt;$B$2,INDEX(Bits!$E$25:$E$124,(A81-1)*$B$2+1)*2^($B$2-1),0)+IF(1&lt;$B$2,INDEX(Bits!$E$25:$E$124,(A81-1)*$B$2+2)*2^($B$2-2),0)+IF(2&lt;$B$2,INDEX(Bits!$E$25:$E$124,(A81-1)*$B$2+3)*2^($B$2-3),0)+IF(3&lt;$B$2,INDEX(Bits!$E$25:$E$124,(A81-1)*$B$2+4)*2^($B$2-4),0)+IF(4&lt;$B$2,INDEX(Bits!$E$25:$E$124,(A81-1)*$B$2+5)*2^($B$2-5),0))</f>
        <v/>
      </c>
      <c r="E81" s="14">
        <f>IF(C81=0,"",INDEX(Constellations!$C$14:$L$45,D81+1,Constellations!$F$8))</f>
        <v/>
      </c>
      <c r="F81" s="14">
        <f>IF(C81=0,"",INDEX(Constellations!$C$14:$L$45,D81+1,Constellations!$F$8+1))</f>
        <v/>
      </c>
      <c r="G81" s="23">
        <f>IF(C81=0,"",E81*$F$2)</f>
        <v/>
      </c>
      <c r="H81" s="23">
        <f>IF(C81=0,"",F81*$F$2)</f>
        <v/>
      </c>
      <c r="I81" s="23">
        <f>IF(C81=0,"",SQRT(G81^2+H81^2))</f>
        <v/>
      </c>
      <c r="J81" s="24">
        <f>IF(C81=0,"",IF(AND(G81=0,H81=0),0,DEGREES(ATAN2(G81,H81))))</f>
        <v/>
      </c>
      <c r="K81" s="25">
        <f>IF(C81=0,K80,K80&amp;" "&amp;B81)</f>
        <v/>
      </c>
      <c r="L81" s="25">
        <f>IF(C81=0,L80,L80&amp;" - "&amp;D81)</f>
        <v/>
      </c>
    </row>
    <row r="82">
      <c r="A82" s="14" t="n">
        <v>77</v>
      </c>
      <c r="B82" s="14">
        <f>IF(C82=0,"",IF(0&lt;$B$2,INDEX(Bits!$E$25:$E$124,(A82-1)*$B$2+1),"")&amp;IF(1&lt;$B$2,INDEX(Bits!$E$25:$E$124,(A82-1)*$B$2+2),"")&amp;IF(2&lt;$B$2,INDEX(Bits!$E$25:$E$124,(A82-1)*$B$2+3),"")&amp;IF(3&lt;$B$2,INDEX(Bits!$E$25:$E$124,(A82-1)*$B$2+4),"")&amp;IF(4&lt;$B$2,INDEX(Bits!$E$25:$E$124,(A82-1)*$B$2+5),""))</f>
        <v/>
      </c>
      <c r="C82" s="14">
        <f>IF(A82&lt;=$D$2,1,0)</f>
        <v/>
      </c>
      <c r="D82" s="14">
        <f>IF(C82=0,"",IF(0&lt;$B$2,INDEX(Bits!$E$25:$E$124,(A82-1)*$B$2+1)*2^($B$2-1),0)+IF(1&lt;$B$2,INDEX(Bits!$E$25:$E$124,(A82-1)*$B$2+2)*2^($B$2-2),0)+IF(2&lt;$B$2,INDEX(Bits!$E$25:$E$124,(A82-1)*$B$2+3)*2^($B$2-3),0)+IF(3&lt;$B$2,INDEX(Bits!$E$25:$E$124,(A82-1)*$B$2+4)*2^($B$2-4),0)+IF(4&lt;$B$2,INDEX(Bits!$E$25:$E$124,(A82-1)*$B$2+5)*2^($B$2-5),0))</f>
        <v/>
      </c>
      <c r="E82" s="14">
        <f>IF(C82=0,"",INDEX(Constellations!$C$14:$L$45,D82+1,Constellations!$F$8))</f>
        <v/>
      </c>
      <c r="F82" s="14">
        <f>IF(C82=0,"",INDEX(Constellations!$C$14:$L$45,D82+1,Constellations!$F$8+1))</f>
        <v/>
      </c>
      <c r="G82" s="23">
        <f>IF(C82=0,"",E82*$F$2)</f>
        <v/>
      </c>
      <c r="H82" s="23">
        <f>IF(C82=0,"",F82*$F$2)</f>
        <v/>
      </c>
      <c r="I82" s="23">
        <f>IF(C82=0,"",SQRT(G82^2+H82^2))</f>
        <v/>
      </c>
      <c r="J82" s="24">
        <f>IF(C82=0,"",IF(AND(G82=0,H82=0),0,DEGREES(ATAN2(G82,H82))))</f>
        <v/>
      </c>
      <c r="K82" s="25">
        <f>IF(C82=0,K81,K81&amp;" "&amp;B82)</f>
        <v/>
      </c>
      <c r="L82" s="25">
        <f>IF(C82=0,L81,L81&amp;" - "&amp;D82)</f>
        <v/>
      </c>
    </row>
    <row r="83">
      <c r="A83" s="14" t="n">
        <v>78</v>
      </c>
      <c r="B83" s="14">
        <f>IF(C83=0,"",IF(0&lt;$B$2,INDEX(Bits!$E$25:$E$124,(A83-1)*$B$2+1),"")&amp;IF(1&lt;$B$2,INDEX(Bits!$E$25:$E$124,(A83-1)*$B$2+2),"")&amp;IF(2&lt;$B$2,INDEX(Bits!$E$25:$E$124,(A83-1)*$B$2+3),"")&amp;IF(3&lt;$B$2,INDEX(Bits!$E$25:$E$124,(A83-1)*$B$2+4),"")&amp;IF(4&lt;$B$2,INDEX(Bits!$E$25:$E$124,(A83-1)*$B$2+5),""))</f>
        <v/>
      </c>
      <c r="C83" s="14">
        <f>IF(A83&lt;=$D$2,1,0)</f>
        <v/>
      </c>
      <c r="D83" s="14">
        <f>IF(C83=0,"",IF(0&lt;$B$2,INDEX(Bits!$E$25:$E$124,(A83-1)*$B$2+1)*2^($B$2-1),0)+IF(1&lt;$B$2,INDEX(Bits!$E$25:$E$124,(A83-1)*$B$2+2)*2^($B$2-2),0)+IF(2&lt;$B$2,INDEX(Bits!$E$25:$E$124,(A83-1)*$B$2+3)*2^($B$2-3),0)+IF(3&lt;$B$2,INDEX(Bits!$E$25:$E$124,(A83-1)*$B$2+4)*2^($B$2-4),0)+IF(4&lt;$B$2,INDEX(Bits!$E$25:$E$124,(A83-1)*$B$2+5)*2^($B$2-5),0))</f>
        <v/>
      </c>
      <c r="E83" s="14">
        <f>IF(C83=0,"",INDEX(Constellations!$C$14:$L$45,D83+1,Constellations!$F$8))</f>
        <v/>
      </c>
      <c r="F83" s="14">
        <f>IF(C83=0,"",INDEX(Constellations!$C$14:$L$45,D83+1,Constellations!$F$8+1))</f>
        <v/>
      </c>
      <c r="G83" s="23">
        <f>IF(C83=0,"",E83*$F$2)</f>
        <v/>
      </c>
      <c r="H83" s="23">
        <f>IF(C83=0,"",F83*$F$2)</f>
        <v/>
      </c>
      <c r="I83" s="23">
        <f>IF(C83=0,"",SQRT(G83^2+H83^2))</f>
        <v/>
      </c>
      <c r="J83" s="24">
        <f>IF(C83=0,"",IF(AND(G83=0,H83=0),0,DEGREES(ATAN2(G83,H83))))</f>
        <v/>
      </c>
      <c r="K83" s="25">
        <f>IF(C83=0,K82,K82&amp;" "&amp;B83)</f>
        <v/>
      </c>
      <c r="L83" s="25">
        <f>IF(C83=0,L82,L82&amp;" - "&amp;D83)</f>
        <v/>
      </c>
    </row>
    <row r="84">
      <c r="A84" s="14" t="n">
        <v>79</v>
      </c>
      <c r="B84" s="14">
        <f>IF(C84=0,"",IF(0&lt;$B$2,INDEX(Bits!$E$25:$E$124,(A84-1)*$B$2+1),"")&amp;IF(1&lt;$B$2,INDEX(Bits!$E$25:$E$124,(A84-1)*$B$2+2),"")&amp;IF(2&lt;$B$2,INDEX(Bits!$E$25:$E$124,(A84-1)*$B$2+3),"")&amp;IF(3&lt;$B$2,INDEX(Bits!$E$25:$E$124,(A84-1)*$B$2+4),"")&amp;IF(4&lt;$B$2,INDEX(Bits!$E$25:$E$124,(A84-1)*$B$2+5),""))</f>
        <v/>
      </c>
      <c r="C84" s="14">
        <f>IF(A84&lt;=$D$2,1,0)</f>
        <v/>
      </c>
      <c r="D84" s="14">
        <f>IF(C84=0,"",IF(0&lt;$B$2,INDEX(Bits!$E$25:$E$124,(A84-1)*$B$2+1)*2^($B$2-1),0)+IF(1&lt;$B$2,INDEX(Bits!$E$25:$E$124,(A84-1)*$B$2+2)*2^($B$2-2),0)+IF(2&lt;$B$2,INDEX(Bits!$E$25:$E$124,(A84-1)*$B$2+3)*2^($B$2-3),0)+IF(3&lt;$B$2,INDEX(Bits!$E$25:$E$124,(A84-1)*$B$2+4)*2^($B$2-4),0)+IF(4&lt;$B$2,INDEX(Bits!$E$25:$E$124,(A84-1)*$B$2+5)*2^($B$2-5),0))</f>
        <v/>
      </c>
      <c r="E84" s="14">
        <f>IF(C84=0,"",INDEX(Constellations!$C$14:$L$45,D84+1,Constellations!$F$8))</f>
        <v/>
      </c>
      <c r="F84" s="14">
        <f>IF(C84=0,"",INDEX(Constellations!$C$14:$L$45,D84+1,Constellations!$F$8+1))</f>
        <v/>
      </c>
      <c r="G84" s="23">
        <f>IF(C84=0,"",E84*$F$2)</f>
        <v/>
      </c>
      <c r="H84" s="23">
        <f>IF(C84=0,"",F84*$F$2)</f>
        <v/>
      </c>
      <c r="I84" s="23">
        <f>IF(C84=0,"",SQRT(G84^2+H84^2))</f>
        <v/>
      </c>
      <c r="J84" s="24">
        <f>IF(C84=0,"",IF(AND(G84=0,H84=0),0,DEGREES(ATAN2(G84,H84))))</f>
        <v/>
      </c>
      <c r="K84" s="25">
        <f>IF(C84=0,K83,K83&amp;" "&amp;B84)</f>
        <v/>
      </c>
      <c r="L84" s="25">
        <f>IF(C84=0,L83,L83&amp;" - "&amp;D84)</f>
        <v/>
      </c>
    </row>
    <row r="85">
      <c r="A85" s="14" t="n">
        <v>80</v>
      </c>
      <c r="B85" s="14">
        <f>IF(C85=0,"",IF(0&lt;$B$2,INDEX(Bits!$E$25:$E$124,(A85-1)*$B$2+1),"")&amp;IF(1&lt;$B$2,INDEX(Bits!$E$25:$E$124,(A85-1)*$B$2+2),"")&amp;IF(2&lt;$B$2,INDEX(Bits!$E$25:$E$124,(A85-1)*$B$2+3),"")&amp;IF(3&lt;$B$2,INDEX(Bits!$E$25:$E$124,(A85-1)*$B$2+4),"")&amp;IF(4&lt;$B$2,INDEX(Bits!$E$25:$E$124,(A85-1)*$B$2+5),""))</f>
        <v/>
      </c>
      <c r="C85" s="14">
        <f>IF(A85&lt;=$D$2,1,0)</f>
        <v/>
      </c>
      <c r="D85" s="14">
        <f>IF(C85=0,"",IF(0&lt;$B$2,INDEX(Bits!$E$25:$E$124,(A85-1)*$B$2+1)*2^($B$2-1),0)+IF(1&lt;$B$2,INDEX(Bits!$E$25:$E$124,(A85-1)*$B$2+2)*2^($B$2-2),0)+IF(2&lt;$B$2,INDEX(Bits!$E$25:$E$124,(A85-1)*$B$2+3)*2^($B$2-3),0)+IF(3&lt;$B$2,INDEX(Bits!$E$25:$E$124,(A85-1)*$B$2+4)*2^($B$2-4),0)+IF(4&lt;$B$2,INDEX(Bits!$E$25:$E$124,(A85-1)*$B$2+5)*2^($B$2-5),0))</f>
        <v/>
      </c>
      <c r="E85" s="14">
        <f>IF(C85=0,"",INDEX(Constellations!$C$14:$L$45,D85+1,Constellations!$F$8))</f>
        <v/>
      </c>
      <c r="F85" s="14">
        <f>IF(C85=0,"",INDEX(Constellations!$C$14:$L$45,D85+1,Constellations!$F$8+1))</f>
        <v/>
      </c>
      <c r="G85" s="23">
        <f>IF(C85=0,"",E85*$F$2)</f>
        <v/>
      </c>
      <c r="H85" s="23">
        <f>IF(C85=0,"",F85*$F$2)</f>
        <v/>
      </c>
      <c r="I85" s="23">
        <f>IF(C85=0,"",SQRT(G85^2+H85^2))</f>
        <v/>
      </c>
      <c r="J85" s="24">
        <f>IF(C85=0,"",IF(AND(G85=0,H85=0),0,DEGREES(ATAN2(G85,H85))))</f>
        <v/>
      </c>
      <c r="K85" s="25">
        <f>IF(C85=0,K84,K84&amp;" "&amp;B85)</f>
        <v/>
      </c>
      <c r="L85" s="25">
        <f>IF(C85=0,L84,L84&amp;" - "&amp;D85)</f>
        <v/>
      </c>
    </row>
    <row r="86">
      <c r="A86" s="14" t="n">
        <v>81</v>
      </c>
      <c r="B86" s="14">
        <f>IF(C86=0,"",IF(0&lt;$B$2,INDEX(Bits!$E$25:$E$124,(A86-1)*$B$2+1),"")&amp;IF(1&lt;$B$2,INDEX(Bits!$E$25:$E$124,(A86-1)*$B$2+2),"")&amp;IF(2&lt;$B$2,INDEX(Bits!$E$25:$E$124,(A86-1)*$B$2+3),"")&amp;IF(3&lt;$B$2,INDEX(Bits!$E$25:$E$124,(A86-1)*$B$2+4),"")&amp;IF(4&lt;$B$2,INDEX(Bits!$E$25:$E$124,(A86-1)*$B$2+5),""))</f>
        <v/>
      </c>
      <c r="C86" s="14">
        <f>IF(A86&lt;=$D$2,1,0)</f>
        <v/>
      </c>
      <c r="D86" s="14">
        <f>IF(C86=0,"",IF(0&lt;$B$2,INDEX(Bits!$E$25:$E$124,(A86-1)*$B$2+1)*2^($B$2-1),0)+IF(1&lt;$B$2,INDEX(Bits!$E$25:$E$124,(A86-1)*$B$2+2)*2^($B$2-2),0)+IF(2&lt;$B$2,INDEX(Bits!$E$25:$E$124,(A86-1)*$B$2+3)*2^($B$2-3),0)+IF(3&lt;$B$2,INDEX(Bits!$E$25:$E$124,(A86-1)*$B$2+4)*2^($B$2-4),0)+IF(4&lt;$B$2,INDEX(Bits!$E$25:$E$124,(A86-1)*$B$2+5)*2^($B$2-5),0))</f>
        <v/>
      </c>
      <c r="E86" s="14">
        <f>IF(C86=0,"",INDEX(Constellations!$C$14:$L$45,D86+1,Constellations!$F$8))</f>
        <v/>
      </c>
      <c r="F86" s="14">
        <f>IF(C86=0,"",INDEX(Constellations!$C$14:$L$45,D86+1,Constellations!$F$8+1))</f>
        <v/>
      </c>
      <c r="G86" s="23">
        <f>IF(C86=0,"",E86*$F$2)</f>
        <v/>
      </c>
      <c r="H86" s="23">
        <f>IF(C86=0,"",F86*$F$2)</f>
        <v/>
      </c>
      <c r="I86" s="23">
        <f>IF(C86=0,"",SQRT(G86^2+H86^2))</f>
        <v/>
      </c>
      <c r="J86" s="24">
        <f>IF(C86=0,"",IF(AND(G86=0,H86=0),0,DEGREES(ATAN2(G86,H86))))</f>
        <v/>
      </c>
      <c r="K86" s="25">
        <f>IF(C86=0,K85,K85&amp;" "&amp;B86)</f>
        <v/>
      </c>
      <c r="L86" s="25">
        <f>IF(C86=0,L85,L85&amp;" - "&amp;D86)</f>
        <v/>
      </c>
    </row>
    <row r="87">
      <c r="A87" s="14" t="n">
        <v>82</v>
      </c>
      <c r="B87" s="14">
        <f>IF(C87=0,"",IF(0&lt;$B$2,INDEX(Bits!$E$25:$E$124,(A87-1)*$B$2+1),"")&amp;IF(1&lt;$B$2,INDEX(Bits!$E$25:$E$124,(A87-1)*$B$2+2),"")&amp;IF(2&lt;$B$2,INDEX(Bits!$E$25:$E$124,(A87-1)*$B$2+3),"")&amp;IF(3&lt;$B$2,INDEX(Bits!$E$25:$E$124,(A87-1)*$B$2+4),"")&amp;IF(4&lt;$B$2,INDEX(Bits!$E$25:$E$124,(A87-1)*$B$2+5),""))</f>
        <v/>
      </c>
      <c r="C87" s="14">
        <f>IF(A87&lt;=$D$2,1,0)</f>
        <v/>
      </c>
      <c r="D87" s="14">
        <f>IF(C87=0,"",IF(0&lt;$B$2,INDEX(Bits!$E$25:$E$124,(A87-1)*$B$2+1)*2^($B$2-1),0)+IF(1&lt;$B$2,INDEX(Bits!$E$25:$E$124,(A87-1)*$B$2+2)*2^($B$2-2),0)+IF(2&lt;$B$2,INDEX(Bits!$E$25:$E$124,(A87-1)*$B$2+3)*2^($B$2-3),0)+IF(3&lt;$B$2,INDEX(Bits!$E$25:$E$124,(A87-1)*$B$2+4)*2^($B$2-4),0)+IF(4&lt;$B$2,INDEX(Bits!$E$25:$E$124,(A87-1)*$B$2+5)*2^($B$2-5),0))</f>
        <v/>
      </c>
      <c r="E87" s="14">
        <f>IF(C87=0,"",INDEX(Constellations!$C$14:$L$45,D87+1,Constellations!$F$8))</f>
        <v/>
      </c>
      <c r="F87" s="14">
        <f>IF(C87=0,"",INDEX(Constellations!$C$14:$L$45,D87+1,Constellations!$F$8+1))</f>
        <v/>
      </c>
      <c r="G87" s="23">
        <f>IF(C87=0,"",E87*$F$2)</f>
        <v/>
      </c>
      <c r="H87" s="23">
        <f>IF(C87=0,"",F87*$F$2)</f>
        <v/>
      </c>
      <c r="I87" s="23">
        <f>IF(C87=0,"",SQRT(G87^2+H87^2))</f>
        <v/>
      </c>
      <c r="J87" s="24">
        <f>IF(C87=0,"",IF(AND(G87=0,H87=0),0,DEGREES(ATAN2(G87,H87))))</f>
        <v/>
      </c>
      <c r="K87" s="25">
        <f>IF(C87=0,K86,K86&amp;" "&amp;B87)</f>
        <v/>
      </c>
      <c r="L87" s="25">
        <f>IF(C87=0,L86,L86&amp;" - "&amp;D87)</f>
        <v/>
      </c>
    </row>
    <row r="88">
      <c r="A88" s="14" t="n">
        <v>83</v>
      </c>
      <c r="B88" s="14">
        <f>IF(C88=0,"",IF(0&lt;$B$2,INDEX(Bits!$E$25:$E$124,(A88-1)*$B$2+1),"")&amp;IF(1&lt;$B$2,INDEX(Bits!$E$25:$E$124,(A88-1)*$B$2+2),"")&amp;IF(2&lt;$B$2,INDEX(Bits!$E$25:$E$124,(A88-1)*$B$2+3),"")&amp;IF(3&lt;$B$2,INDEX(Bits!$E$25:$E$124,(A88-1)*$B$2+4),"")&amp;IF(4&lt;$B$2,INDEX(Bits!$E$25:$E$124,(A88-1)*$B$2+5),""))</f>
        <v/>
      </c>
      <c r="C88" s="14">
        <f>IF(A88&lt;=$D$2,1,0)</f>
        <v/>
      </c>
      <c r="D88" s="14">
        <f>IF(C88=0,"",IF(0&lt;$B$2,INDEX(Bits!$E$25:$E$124,(A88-1)*$B$2+1)*2^($B$2-1),0)+IF(1&lt;$B$2,INDEX(Bits!$E$25:$E$124,(A88-1)*$B$2+2)*2^($B$2-2),0)+IF(2&lt;$B$2,INDEX(Bits!$E$25:$E$124,(A88-1)*$B$2+3)*2^($B$2-3),0)+IF(3&lt;$B$2,INDEX(Bits!$E$25:$E$124,(A88-1)*$B$2+4)*2^($B$2-4),0)+IF(4&lt;$B$2,INDEX(Bits!$E$25:$E$124,(A88-1)*$B$2+5)*2^($B$2-5),0))</f>
        <v/>
      </c>
      <c r="E88" s="14">
        <f>IF(C88=0,"",INDEX(Constellations!$C$14:$L$45,D88+1,Constellations!$F$8))</f>
        <v/>
      </c>
      <c r="F88" s="14">
        <f>IF(C88=0,"",INDEX(Constellations!$C$14:$L$45,D88+1,Constellations!$F$8+1))</f>
        <v/>
      </c>
      <c r="G88" s="23">
        <f>IF(C88=0,"",E88*$F$2)</f>
        <v/>
      </c>
      <c r="H88" s="23">
        <f>IF(C88=0,"",F88*$F$2)</f>
        <v/>
      </c>
      <c r="I88" s="23">
        <f>IF(C88=0,"",SQRT(G88^2+H88^2))</f>
        <v/>
      </c>
      <c r="J88" s="24">
        <f>IF(C88=0,"",IF(AND(G88=0,H88=0),0,DEGREES(ATAN2(G88,H88))))</f>
        <v/>
      </c>
      <c r="K88" s="25">
        <f>IF(C88=0,K87,K87&amp;" "&amp;B88)</f>
        <v/>
      </c>
      <c r="L88" s="25">
        <f>IF(C88=0,L87,L87&amp;" - "&amp;D88)</f>
        <v/>
      </c>
    </row>
    <row r="89">
      <c r="A89" s="14" t="n">
        <v>84</v>
      </c>
      <c r="B89" s="14">
        <f>IF(C89=0,"",IF(0&lt;$B$2,INDEX(Bits!$E$25:$E$124,(A89-1)*$B$2+1),"")&amp;IF(1&lt;$B$2,INDEX(Bits!$E$25:$E$124,(A89-1)*$B$2+2),"")&amp;IF(2&lt;$B$2,INDEX(Bits!$E$25:$E$124,(A89-1)*$B$2+3),"")&amp;IF(3&lt;$B$2,INDEX(Bits!$E$25:$E$124,(A89-1)*$B$2+4),"")&amp;IF(4&lt;$B$2,INDEX(Bits!$E$25:$E$124,(A89-1)*$B$2+5),""))</f>
        <v/>
      </c>
      <c r="C89" s="14">
        <f>IF(A89&lt;=$D$2,1,0)</f>
        <v/>
      </c>
      <c r="D89" s="14">
        <f>IF(C89=0,"",IF(0&lt;$B$2,INDEX(Bits!$E$25:$E$124,(A89-1)*$B$2+1)*2^($B$2-1),0)+IF(1&lt;$B$2,INDEX(Bits!$E$25:$E$124,(A89-1)*$B$2+2)*2^($B$2-2),0)+IF(2&lt;$B$2,INDEX(Bits!$E$25:$E$124,(A89-1)*$B$2+3)*2^($B$2-3),0)+IF(3&lt;$B$2,INDEX(Bits!$E$25:$E$124,(A89-1)*$B$2+4)*2^($B$2-4),0)+IF(4&lt;$B$2,INDEX(Bits!$E$25:$E$124,(A89-1)*$B$2+5)*2^($B$2-5),0))</f>
        <v/>
      </c>
      <c r="E89" s="14">
        <f>IF(C89=0,"",INDEX(Constellations!$C$14:$L$45,D89+1,Constellations!$F$8))</f>
        <v/>
      </c>
      <c r="F89" s="14">
        <f>IF(C89=0,"",INDEX(Constellations!$C$14:$L$45,D89+1,Constellations!$F$8+1))</f>
        <v/>
      </c>
      <c r="G89" s="23">
        <f>IF(C89=0,"",E89*$F$2)</f>
        <v/>
      </c>
      <c r="H89" s="23">
        <f>IF(C89=0,"",F89*$F$2)</f>
        <v/>
      </c>
      <c r="I89" s="23">
        <f>IF(C89=0,"",SQRT(G89^2+H89^2))</f>
        <v/>
      </c>
      <c r="J89" s="24">
        <f>IF(C89=0,"",IF(AND(G89=0,H89=0),0,DEGREES(ATAN2(G89,H89))))</f>
        <v/>
      </c>
      <c r="K89" s="25">
        <f>IF(C89=0,K88,K88&amp;" "&amp;B89)</f>
        <v/>
      </c>
      <c r="L89" s="25">
        <f>IF(C89=0,L88,L88&amp;" - "&amp;D89)</f>
        <v/>
      </c>
    </row>
    <row r="90">
      <c r="A90" s="14" t="n">
        <v>85</v>
      </c>
      <c r="B90" s="14">
        <f>IF(C90=0,"",IF(0&lt;$B$2,INDEX(Bits!$E$25:$E$124,(A90-1)*$B$2+1),"")&amp;IF(1&lt;$B$2,INDEX(Bits!$E$25:$E$124,(A90-1)*$B$2+2),"")&amp;IF(2&lt;$B$2,INDEX(Bits!$E$25:$E$124,(A90-1)*$B$2+3),"")&amp;IF(3&lt;$B$2,INDEX(Bits!$E$25:$E$124,(A90-1)*$B$2+4),"")&amp;IF(4&lt;$B$2,INDEX(Bits!$E$25:$E$124,(A90-1)*$B$2+5),""))</f>
        <v/>
      </c>
      <c r="C90" s="14">
        <f>IF(A90&lt;=$D$2,1,0)</f>
        <v/>
      </c>
      <c r="D90" s="14">
        <f>IF(C90=0,"",IF(0&lt;$B$2,INDEX(Bits!$E$25:$E$124,(A90-1)*$B$2+1)*2^($B$2-1),0)+IF(1&lt;$B$2,INDEX(Bits!$E$25:$E$124,(A90-1)*$B$2+2)*2^($B$2-2),0)+IF(2&lt;$B$2,INDEX(Bits!$E$25:$E$124,(A90-1)*$B$2+3)*2^($B$2-3),0)+IF(3&lt;$B$2,INDEX(Bits!$E$25:$E$124,(A90-1)*$B$2+4)*2^($B$2-4),0)+IF(4&lt;$B$2,INDEX(Bits!$E$25:$E$124,(A90-1)*$B$2+5)*2^($B$2-5),0))</f>
        <v/>
      </c>
      <c r="E90" s="14">
        <f>IF(C90=0,"",INDEX(Constellations!$C$14:$L$45,D90+1,Constellations!$F$8))</f>
        <v/>
      </c>
      <c r="F90" s="14">
        <f>IF(C90=0,"",INDEX(Constellations!$C$14:$L$45,D90+1,Constellations!$F$8+1))</f>
        <v/>
      </c>
      <c r="G90" s="23">
        <f>IF(C90=0,"",E90*$F$2)</f>
        <v/>
      </c>
      <c r="H90" s="23">
        <f>IF(C90=0,"",F90*$F$2)</f>
        <v/>
      </c>
      <c r="I90" s="23">
        <f>IF(C90=0,"",SQRT(G90^2+H90^2))</f>
        <v/>
      </c>
      <c r="J90" s="24">
        <f>IF(C90=0,"",IF(AND(G90=0,H90=0),0,DEGREES(ATAN2(G90,H90))))</f>
        <v/>
      </c>
      <c r="K90" s="25">
        <f>IF(C90=0,K89,K89&amp;" "&amp;B90)</f>
        <v/>
      </c>
      <c r="L90" s="25">
        <f>IF(C90=0,L89,L89&amp;" - "&amp;D90)</f>
        <v/>
      </c>
    </row>
    <row r="91">
      <c r="A91" s="14" t="n">
        <v>86</v>
      </c>
      <c r="B91" s="14">
        <f>IF(C91=0,"",IF(0&lt;$B$2,INDEX(Bits!$E$25:$E$124,(A91-1)*$B$2+1),"")&amp;IF(1&lt;$B$2,INDEX(Bits!$E$25:$E$124,(A91-1)*$B$2+2),"")&amp;IF(2&lt;$B$2,INDEX(Bits!$E$25:$E$124,(A91-1)*$B$2+3),"")&amp;IF(3&lt;$B$2,INDEX(Bits!$E$25:$E$124,(A91-1)*$B$2+4),"")&amp;IF(4&lt;$B$2,INDEX(Bits!$E$25:$E$124,(A91-1)*$B$2+5),""))</f>
        <v/>
      </c>
      <c r="C91" s="14">
        <f>IF(A91&lt;=$D$2,1,0)</f>
        <v/>
      </c>
      <c r="D91" s="14">
        <f>IF(C91=0,"",IF(0&lt;$B$2,INDEX(Bits!$E$25:$E$124,(A91-1)*$B$2+1)*2^($B$2-1),0)+IF(1&lt;$B$2,INDEX(Bits!$E$25:$E$124,(A91-1)*$B$2+2)*2^($B$2-2),0)+IF(2&lt;$B$2,INDEX(Bits!$E$25:$E$124,(A91-1)*$B$2+3)*2^($B$2-3),0)+IF(3&lt;$B$2,INDEX(Bits!$E$25:$E$124,(A91-1)*$B$2+4)*2^($B$2-4),0)+IF(4&lt;$B$2,INDEX(Bits!$E$25:$E$124,(A91-1)*$B$2+5)*2^($B$2-5),0))</f>
        <v/>
      </c>
      <c r="E91" s="14">
        <f>IF(C91=0,"",INDEX(Constellations!$C$14:$L$45,D91+1,Constellations!$F$8))</f>
        <v/>
      </c>
      <c r="F91" s="14">
        <f>IF(C91=0,"",INDEX(Constellations!$C$14:$L$45,D91+1,Constellations!$F$8+1))</f>
        <v/>
      </c>
      <c r="G91" s="23">
        <f>IF(C91=0,"",E91*$F$2)</f>
        <v/>
      </c>
      <c r="H91" s="23">
        <f>IF(C91=0,"",F91*$F$2)</f>
        <v/>
      </c>
      <c r="I91" s="23">
        <f>IF(C91=0,"",SQRT(G91^2+H91^2))</f>
        <v/>
      </c>
      <c r="J91" s="24">
        <f>IF(C91=0,"",IF(AND(G91=0,H91=0),0,DEGREES(ATAN2(G91,H91))))</f>
        <v/>
      </c>
      <c r="K91" s="25">
        <f>IF(C91=0,K90,K90&amp;" "&amp;B91)</f>
        <v/>
      </c>
      <c r="L91" s="25">
        <f>IF(C91=0,L90,L90&amp;" - "&amp;D91)</f>
        <v/>
      </c>
    </row>
    <row r="92">
      <c r="A92" s="14" t="n">
        <v>87</v>
      </c>
      <c r="B92" s="14">
        <f>IF(C92=0,"",IF(0&lt;$B$2,INDEX(Bits!$E$25:$E$124,(A92-1)*$B$2+1),"")&amp;IF(1&lt;$B$2,INDEX(Bits!$E$25:$E$124,(A92-1)*$B$2+2),"")&amp;IF(2&lt;$B$2,INDEX(Bits!$E$25:$E$124,(A92-1)*$B$2+3),"")&amp;IF(3&lt;$B$2,INDEX(Bits!$E$25:$E$124,(A92-1)*$B$2+4),"")&amp;IF(4&lt;$B$2,INDEX(Bits!$E$25:$E$124,(A92-1)*$B$2+5),""))</f>
        <v/>
      </c>
      <c r="C92" s="14">
        <f>IF(A92&lt;=$D$2,1,0)</f>
        <v/>
      </c>
      <c r="D92" s="14">
        <f>IF(C92=0,"",IF(0&lt;$B$2,INDEX(Bits!$E$25:$E$124,(A92-1)*$B$2+1)*2^($B$2-1),0)+IF(1&lt;$B$2,INDEX(Bits!$E$25:$E$124,(A92-1)*$B$2+2)*2^($B$2-2),0)+IF(2&lt;$B$2,INDEX(Bits!$E$25:$E$124,(A92-1)*$B$2+3)*2^($B$2-3),0)+IF(3&lt;$B$2,INDEX(Bits!$E$25:$E$124,(A92-1)*$B$2+4)*2^($B$2-4),0)+IF(4&lt;$B$2,INDEX(Bits!$E$25:$E$124,(A92-1)*$B$2+5)*2^($B$2-5),0))</f>
        <v/>
      </c>
      <c r="E92" s="14">
        <f>IF(C92=0,"",INDEX(Constellations!$C$14:$L$45,D92+1,Constellations!$F$8))</f>
        <v/>
      </c>
      <c r="F92" s="14">
        <f>IF(C92=0,"",INDEX(Constellations!$C$14:$L$45,D92+1,Constellations!$F$8+1))</f>
        <v/>
      </c>
      <c r="G92" s="23">
        <f>IF(C92=0,"",E92*$F$2)</f>
        <v/>
      </c>
      <c r="H92" s="23">
        <f>IF(C92=0,"",F92*$F$2)</f>
        <v/>
      </c>
      <c r="I92" s="23">
        <f>IF(C92=0,"",SQRT(G92^2+H92^2))</f>
        <v/>
      </c>
      <c r="J92" s="24">
        <f>IF(C92=0,"",IF(AND(G92=0,H92=0),0,DEGREES(ATAN2(G92,H92))))</f>
        <v/>
      </c>
      <c r="K92" s="25">
        <f>IF(C92=0,K91,K91&amp;" "&amp;B92)</f>
        <v/>
      </c>
      <c r="L92" s="25">
        <f>IF(C92=0,L91,L91&amp;" - "&amp;D92)</f>
        <v/>
      </c>
    </row>
    <row r="93">
      <c r="A93" s="14" t="n">
        <v>88</v>
      </c>
      <c r="B93" s="14">
        <f>IF(C93=0,"",IF(0&lt;$B$2,INDEX(Bits!$E$25:$E$124,(A93-1)*$B$2+1),"")&amp;IF(1&lt;$B$2,INDEX(Bits!$E$25:$E$124,(A93-1)*$B$2+2),"")&amp;IF(2&lt;$B$2,INDEX(Bits!$E$25:$E$124,(A93-1)*$B$2+3),"")&amp;IF(3&lt;$B$2,INDEX(Bits!$E$25:$E$124,(A93-1)*$B$2+4),"")&amp;IF(4&lt;$B$2,INDEX(Bits!$E$25:$E$124,(A93-1)*$B$2+5),""))</f>
        <v/>
      </c>
      <c r="C93" s="14">
        <f>IF(A93&lt;=$D$2,1,0)</f>
        <v/>
      </c>
      <c r="D93" s="14">
        <f>IF(C93=0,"",IF(0&lt;$B$2,INDEX(Bits!$E$25:$E$124,(A93-1)*$B$2+1)*2^($B$2-1),0)+IF(1&lt;$B$2,INDEX(Bits!$E$25:$E$124,(A93-1)*$B$2+2)*2^($B$2-2),0)+IF(2&lt;$B$2,INDEX(Bits!$E$25:$E$124,(A93-1)*$B$2+3)*2^($B$2-3),0)+IF(3&lt;$B$2,INDEX(Bits!$E$25:$E$124,(A93-1)*$B$2+4)*2^($B$2-4),0)+IF(4&lt;$B$2,INDEX(Bits!$E$25:$E$124,(A93-1)*$B$2+5)*2^($B$2-5),0))</f>
        <v/>
      </c>
      <c r="E93" s="14">
        <f>IF(C93=0,"",INDEX(Constellations!$C$14:$L$45,D93+1,Constellations!$F$8))</f>
        <v/>
      </c>
      <c r="F93" s="14">
        <f>IF(C93=0,"",INDEX(Constellations!$C$14:$L$45,D93+1,Constellations!$F$8+1))</f>
        <v/>
      </c>
      <c r="G93" s="23">
        <f>IF(C93=0,"",E93*$F$2)</f>
        <v/>
      </c>
      <c r="H93" s="23">
        <f>IF(C93=0,"",F93*$F$2)</f>
        <v/>
      </c>
      <c r="I93" s="23">
        <f>IF(C93=0,"",SQRT(G93^2+H93^2))</f>
        <v/>
      </c>
      <c r="J93" s="24">
        <f>IF(C93=0,"",IF(AND(G93=0,H93=0),0,DEGREES(ATAN2(G93,H93))))</f>
        <v/>
      </c>
      <c r="K93" s="25">
        <f>IF(C93=0,K92,K92&amp;" "&amp;B93)</f>
        <v/>
      </c>
      <c r="L93" s="25">
        <f>IF(C93=0,L92,L92&amp;" - "&amp;D93)</f>
        <v/>
      </c>
    </row>
    <row r="94">
      <c r="A94" s="14" t="n">
        <v>89</v>
      </c>
      <c r="B94" s="14">
        <f>IF(C94=0,"",IF(0&lt;$B$2,INDEX(Bits!$E$25:$E$124,(A94-1)*$B$2+1),"")&amp;IF(1&lt;$B$2,INDEX(Bits!$E$25:$E$124,(A94-1)*$B$2+2),"")&amp;IF(2&lt;$B$2,INDEX(Bits!$E$25:$E$124,(A94-1)*$B$2+3),"")&amp;IF(3&lt;$B$2,INDEX(Bits!$E$25:$E$124,(A94-1)*$B$2+4),"")&amp;IF(4&lt;$B$2,INDEX(Bits!$E$25:$E$124,(A94-1)*$B$2+5),""))</f>
        <v/>
      </c>
      <c r="C94" s="14">
        <f>IF(A94&lt;=$D$2,1,0)</f>
        <v/>
      </c>
      <c r="D94" s="14">
        <f>IF(C94=0,"",IF(0&lt;$B$2,INDEX(Bits!$E$25:$E$124,(A94-1)*$B$2+1)*2^($B$2-1),0)+IF(1&lt;$B$2,INDEX(Bits!$E$25:$E$124,(A94-1)*$B$2+2)*2^($B$2-2),0)+IF(2&lt;$B$2,INDEX(Bits!$E$25:$E$124,(A94-1)*$B$2+3)*2^($B$2-3),0)+IF(3&lt;$B$2,INDEX(Bits!$E$25:$E$124,(A94-1)*$B$2+4)*2^($B$2-4),0)+IF(4&lt;$B$2,INDEX(Bits!$E$25:$E$124,(A94-1)*$B$2+5)*2^($B$2-5),0))</f>
        <v/>
      </c>
      <c r="E94" s="14">
        <f>IF(C94=0,"",INDEX(Constellations!$C$14:$L$45,D94+1,Constellations!$F$8))</f>
        <v/>
      </c>
      <c r="F94" s="14">
        <f>IF(C94=0,"",INDEX(Constellations!$C$14:$L$45,D94+1,Constellations!$F$8+1))</f>
        <v/>
      </c>
      <c r="G94" s="23">
        <f>IF(C94=0,"",E94*$F$2)</f>
        <v/>
      </c>
      <c r="H94" s="23">
        <f>IF(C94=0,"",F94*$F$2)</f>
        <v/>
      </c>
      <c r="I94" s="23">
        <f>IF(C94=0,"",SQRT(G94^2+H94^2))</f>
        <v/>
      </c>
      <c r="J94" s="24">
        <f>IF(C94=0,"",IF(AND(G94=0,H94=0),0,DEGREES(ATAN2(G94,H94))))</f>
        <v/>
      </c>
      <c r="K94" s="25">
        <f>IF(C94=0,K93,K93&amp;" "&amp;B94)</f>
        <v/>
      </c>
      <c r="L94" s="25">
        <f>IF(C94=0,L93,L93&amp;" - "&amp;D94)</f>
        <v/>
      </c>
    </row>
    <row r="95">
      <c r="A95" s="14" t="n">
        <v>90</v>
      </c>
      <c r="B95" s="14">
        <f>IF(C95=0,"",IF(0&lt;$B$2,INDEX(Bits!$E$25:$E$124,(A95-1)*$B$2+1),"")&amp;IF(1&lt;$B$2,INDEX(Bits!$E$25:$E$124,(A95-1)*$B$2+2),"")&amp;IF(2&lt;$B$2,INDEX(Bits!$E$25:$E$124,(A95-1)*$B$2+3),"")&amp;IF(3&lt;$B$2,INDEX(Bits!$E$25:$E$124,(A95-1)*$B$2+4),"")&amp;IF(4&lt;$B$2,INDEX(Bits!$E$25:$E$124,(A95-1)*$B$2+5),""))</f>
        <v/>
      </c>
      <c r="C95" s="14">
        <f>IF(A95&lt;=$D$2,1,0)</f>
        <v/>
      </c>
      <c r="D95" s="14">
        <f>IF(C95=0,"",IF(0&lt;$B$2,INDEX(Bits!$E$25:$E$124,(A95-1)*$B$2+1)*2^($B$2-1),0)+IF(1&lt;$B$2,INDEX(Bits!$E$25:$E$124,(A95-1)*$B$2+2)*2^($B$2-2),0)+IF(2&lt;$B$2,INDEX(Bits!$E$25:$E$124,(A95-1)*$B$2+3)*2^($B$2-3),0)+IF(3&lt;$B$2,INDEX(Bits!$E$25:$E$124,(A95-1)*$B$2+4)*2^($B$2-4),0)+IF(4&lt;$B$2,INDEX(Bits!$E$25:$E$124,(A95-1)*$B$2+5)*2^($B$2-5),0))</f>
        <v/>
      </c>
      <c r="E95" s="14">
        <f>IF(C95=0,"",INDEX(Constellations!$C$14:$L$45,D95+1,Constellations!$F$8))</f>
        <v/>
      </c>
      <c r="F95" s="14">
        <f>IF(C95=0,"",INDEX(Constellations!$C$14:$L$45,D95+1,Constellations!$F$8+1))</f>
        <v/>
      </c>
      <c r="G95" s="23">
        <f>IF(C95=0,"",E95*$F$2)</f>
        <v/>
      </c>
      <c r="H95" s="23">
        <f>IF(C95=0,"",F95*$F$2)</f>
        <v/>
      </c>
      <c r="I95" s="23">
        <f>IF(C95=0,"",SQRT(G95^2+H95^2))</f>
        <v/>
      </c>
      <c r="J95" s="24">
        <f>IF(C95=0,"",IF(AND(G95=0,H95=0),0,DEGREES(ATAN2(G95,H95))))</f>
        <v/>
      </c>
      <c r="K95" s="25">
        <f>IF(C95=0,K94,K94&amp;" "&amp;B95)</f>
        <v/>
      </c>
      <c r="L95" s="25">
        <f>IF(C95=0,L94,L94&amp;" - "&amp;D95)</f>
        <v/>
      </c>
    </row>
    <row r="96">
      <c r="A96" s="14" t="n">
        <v>91</v>
      </c>
      <c r="B96" s="14">
        <f>IF(C96=0,"",IF(0&lt;$B$2,INDEX(Bits!$E$25:$E$124,(A96-1)*$B$2+1),"")&amp;IF(1&lt;$B$2,INDEX(Bits!$E$25:$E$124,(A96-1)*$B$2+2),"")&amp;IF(2&lt;$B$2,INDEX(Bits!$E$25:$E$124,(A96-1)*$B$2+3),"")&amp;IF(3&lt;$B$2,INDEX(Bits!$E$25:$E$124,(A96-1)*$B$2+4),"")&amp;IF(4&lt;$B$2,INDEX(Bits!$E$25:$E$124,(A96-1)*$B$2+5),""))</f>
        <v/>
      </c>
      <c r="C96" s="14">
        <f>IF(A96&lt;=$D$2,1,0)</f>
        <v/>
      </c>
      <c r="D96" s="14">
        <f>IF(C96=0,"",IF(0&lt;$B$2,INDEX(Bits!$E$25:$E$124,(A96-1)*$B$2+1)*2^($B$2-1),0)+IF(1&lt;$B$2,INDEX(Bits!$E$25:$E$124,(A96-1)*$B$2+2)*2^($B$2-2),0)+IF(2&lt;$B$2,INDEX(Bits!$E$25:$E$124,(A96-1)*$B$2+3)*2^($B$2-3),0)+IF(3&lt;$B$2,INDEX(Bits!$E$25:$E$124,(A96-1)*$B$2+4)*2^($B$2-4),0)+IF(4&lt;$B$2,INDEX(Bits!$E$25:$E$124,(A96-1)*$B$2+5)*2^($B$2-5),0))</f>
        <v/>
      </c>
      <c r="E96" s="14">
        <f>IF(C96=0,"",INDEX(Constellations!$C$14:$L$45,D96+1,Constellations!$F$8))</f>
        <v/>
      </c>
      <c r="F96" s="14">
        <f>IF(C96=0,"",INDEX(Constellations!$C$14:$L$45,D96+1,Constellations!$F$8+1))</f>
        <v/>
      </c>
      <c r="G96" s="23">
        <f>IF(C96=0,"",E96*$F$2)</f>
        <v/>
      </c>
      <c r="H96" s="23">
        <f>IF(C96=0,"",F96*$F$2)</f>
        <v/>
      </c>
      <c r="I96" s="23">
        <f>IF(C96=0,"",SQRT(G96^2+H96^2))</f>
        <v/>
      </c>
      <c r="J96" s="24">
        <f>IF(C96=0,"",IF(AND(G96=0,H96=0),0,DEGREES(ATAN2(G96,H96))))</f>
        <v/>
      </c>
      <c r="K96" s="25">
        <f>IF(C96=0,K95,K95&amp;" "&amp;B96)</f>
        <v/>
      </c>
      <c r="L96" s="25">
        <f>IF(C96=0,L95,L95&amp;" - "&amp;D96)</f>
        <v/>
      </c>
    </row>
    <row r="97">
      <c r="A97" s="14" t="n">
        <v>92</v>
      </c>
      <c r="B97" s="14">
        <f>IF(C97=0,"",IF(0&lt;$B$2,INDEX(Bits!$E$25:$E$124,(A97-1)*$B$2+1),"")&amp;IF(1&lt;$B$2,INDEX(Bits!$E$25:$E$124,(A97-1)*$B$2+2),"")&amp;IF(2&lt;$B$2,INDEX(Bits!$E$25:$E$124,(A97-1)*$B$2+3),"")&amp;IF(3&lt;$B$2,INDEX(Bits!$E$25:$E$124,(A97-1)*$B$2+4),"")&amp;IF(4&lt;$B$2,INDEX(Bits!$E$25:$E$124,(A97-1)*$B$2+5),""))</f>
        <v/>
      </c>
      <c r="C97" s="14">
        <f>IF(A97&lt;=$D$2,1,0)</f>
        <v/>
      </c>
      <c r="D97" s="14">
        <f>IF(C97=0,"",IF(0&lt;$B$2,INDEX(Bits!$E$25:$E$124,(A97-1)*$B$2+1)*2^($B$2-1),0)+IF(1&lt;$B$2,INDEX(Bits!$E$25:$E$124,(A97-1)*$B$2+2)*2^($B$2-2),0)+IF(2&lt;$B$2,INDEX(Bits!$E$25:$E$124,(A97-1)*$B$2+3)*2^($B$2-3),0)+IF(3&lt;$B$2,INDEX(Bits!$E$25:$E$124,(A97-1)*$B$2+4)*2^($B$2-4),0)+IF(4&lt;$B$2,INDEX(Bits!$E$25:$E$124,(A97-1)*$B$2+5)*2^($B$2-5),0))</f>
        <v/>
      </c>
      <c r="E97" s="14">
        <f>IF(C97=0,"",INDEX(Constellations!$C$14:$L$45,D97+1,Constellations!$F$8))</f>
        <v/>
      </c>
      <c r="F97" s="14">
        <f>IF(C97=0,"",INDEX(Constellations!$C$14:$L$45,D97+1,Constellations!$F$8+1))</f>
        <v/>
      </c>
      <c r="G97" s="23">
        <f>IF(C97=0,"",E97*$F$2)</f>
        <v/>
      </c>
      <c r="H97" s="23">
        <f>IF(C97=0,"",F97*$F$2)</f>
        <v/>
      </c>
      <c r="I97" s="23">
        <f>IF(C97=0,"",SQRT(G97^2+H97^2))</f>
        <v/>
      </c>
      <c r="J97" s="24">
        <f>IF(C97=0,"",IF(AND(G97=0,H97=0),0,DEGREES(ATAN2(G97,H97))))</f>
        <v/>
      </c>
      <c r="K97" s="25">
        <f>IF(C97=0,K96,K96&amp;" "&amp;B97)</f>
        <v/>
      </c>
      <c r="L97" s="25">
        <f>IF(C97=0,L96,L96&amp;" - "&amp;D97)</f>
        <v/>
      </c>
    </row>
    <row r="98">
      <c r="A98" s="14" t="n">
        <v>93</v>
      </c>
      <c r="B98" s="14">
        <f>IF(C98=0,"",IF(0&lt;$B$2,INDEX(Bits!$E$25:$E$124,(A98-1)*$B$2+1),"")&amp;IF(1&lt;$B$2,INDEX(Bits!$E$25:$E$124,(A98-1)*$B$2+2),"")&amp;IF(2&lt;$B$2,INDEX(Bits!$E$25:$E$124,(A98-1)*$B$2+3),"")&amp;IF(3&lt;$B$2,INDEX(Bits!$E$25:$E$124,(A98-1)*$B$2+4),"")&amp;IF(4&lt;$B$2,INDEX(Bits!$E$25:$E$124,(A98-1)*$B$2+5),""))</f>
        <v/>
      </c>
      <c r="C98" s="14">
        <f>IF(A98&lt;=$D$2,1,0)</f>
        <v/>
      </c>
      <c r="D98" s="14">
        <f>IF(C98=0,"",IF(0&lt;$B$2,INDEX(Bits!$E$25:$E$124,(A98-1)*$B$2+1)*2^($B$2-1),0)+IF(1&lt;$B$2,INDEX(Bits!$E$25:$E$124,(A98-1)*$B$2+2)*2^($B$2-2),0)+IF(2&lt;$B$2,INDEX(Bits!$E$25:$E$124,(A98-1)*$B$2+3)*2^($B$2-3),0)+IF(3&lt;$B$2,INDEX(Bits!$E$25:$E$124,(A98-1)*$B$2+4)*2^($B$2-4),0)+IF(4&lt;$B$2,INDEX(Bits!$E$25:$E$124,(A98-1)*$B$2+5)*2^($B$2-5),0))</f>
        <v/>
      </c>
      <c r="E98" s="14">
        <f>IF(C98=0,"",INDEX(Constellations!$C$14:$L$45,D98+1,Constellations!$F$8))</f>
        <v/>
      </c>
      <c r="F98" s="14">
        <f>IF(C98=0,"",INDEX(Constellations!$C$14:$L$45,D98+1,Constellations!$F$8+1))</f>
        <v/>
      </c>
      <c r="G98" s="23">
        <f>IF(C98=0,"",E98*$F$2)</f>
        <v/>
      </c>
      <c r="H98" s="23">
        <f>IF(C98=0,"",F98*$F$2)</f>
        <v/>
      </c>
      <c r="I98" s="23">
        <f>IF(C98=0,"",SQRT(G98^2+H98^2))</f>
        <v/>
      </c>
      <c r="J98" s="24">
        <f>IF(C98=0,"",IF(AND(G98=0,H98=0),0,DEGREES(ATAN2(G98,H98))))</f>
        <v/>
      </c>
      <c r="K98" s="25">
        <f>IF(C98=0,K97,K97&amp;" "&amp;B98)</f>
        <v/>
      </c>
      <c r="L98" s="25">
        <f>IF(C98=0,L97,L97&amp;" - "&amp;D98)</f>
        <v/>
      </c>
    </row>
    <row r="99">
      <c r="A99" s="14" t="n">
        <v>94</v>
      </c>
      <c r="B99" s="14">
        <f>IF(C99=0,"",IF(0&lt;$B$2,INDEX(Bits!$E$25:$E$124,(A99-1)*$B$2+1),"")&amp;IF(1&lt;$B$2,INDEX(Bits!$E$25:$E$124,(A99-1)*$B$2+2),"")&amp;IF(2&lt;$B$2,INDEX(Bits!$E$25:$E$124,(A99-1)*$B$2+3),"")&amp;IF(3&lt;$B$2,INDEX(Bits!$E$25:$E$124,(A99-1)*$B$2+4),"")&amp;IF(4&lt;$B$2,INDEX(Bits!$E$25:$E$124,(A99-1)*$B$2+5),""))</f>
        <v/>
      </c>
      <c r="C99" s="14">
        <f>IF(A99&lt;=$D$2,1,0)</f>
        <v/>
      </c>
      <c r="D99" s="14">
        <f>IF(C99=0,"",IF(0&lt;$B$2,INDEX(Bits!$E$25:$E$124,(A99-1)*$B$2+1)*2^($B$2-1),0)+IF(1&lt;$B$2,INDEX(Bits!$E$25:$E$124,(A99-1)*$B$2+2)*2^($B$2-2),0)+IF(2&lt;$B$2,INDEX(Bits!$E$25:$E$124,(A99-1)*$B$2+3)*2^($B$2-3),0)+IF(3&lt;$B$2,INDEX(Bits!$E$25:$E$124,(A99-1)*$B$2+4)*2^($B$2-4),0)+IF(4&lt;$B$2,INDEX(Bits!$E$25:$E$124,(A99-1)*$B$2+5)*2^($B$2-5),0))</f>
        <v/>
      </c>
      <c r="E99" s="14">
        <f>IF(C99=0,"",INDEX(Constellations!$C$14:$L$45,D99+1,Constellations!$F$8))</f>
        <v/>
      </c>
      <c r="F99" s="14">
        <f>IF(C99=0,"",INDEX(Constellations!$C$14:$L$45,D99+1,Constellations!$F$8+1))</f>
        <v/>
      </c>
      <c r="G99" s="23">
        <f>IF(C99=0,"",E99*$F$2)</f>
        <v/>
      </c>
      <c r="H99" s="23">
        <f>IF(C99=0,"",F99*$F$2)</f>
        <v/>
      </c>
      <c r="I99" s="23">
        <f>IF(C99=0,"",SQRT(G99^2+H99^2))</f>
        <v/>
      </c>
      <c r="J99" s="24">
        <f>IF(C99=0,"",IF(AND(G99=0,H99=0),0,DEGREES(ATAN2(G99,H99))))</f>
        <v/>
      </c>
      <c r="K99" s="25">
        <f>IF(C99=0,K98,K98&amp;" "&amp;B99)</f>
        <v/>
      </c>
      <c r="L99" s="25">
        <f>IF(C99=0,L98,L98&amp;" - "&amp;D99)</f>
        <v/>
      </c>
    </row>
    <row r="100">
      <c r="A100" s="14" t="n">
        <v>95</v>
      </c>
      <c r="B100" s="14">
        <f>IF(C100=0,"",IF(0&lt;$B$2,INDEX(Bits!$E$25:$E$124,(A100-1)*$B$2+1),"")&amp;IF(1&lt;$B$2,INDEX(Bits!$E$25:$E$124,(A100-1)*$B$2+2),"")&amp;IF(2&lt;$B$2,INDEX(Bits!$E$25:$E$124,(A100-1)*$B$2+3),"")&amp;IF(3&lt;$B$2,INDEX(Bits!$E$25:$E$124,(A100-1)*$B$2+4),"")&amp;IF(4&lt;$B$2,INDEX(Bits!$E$25:$E$124,(A100-1)*$B$2+5),""))</f>
        <v/>
      </c>
      <c r="C100" s="14">
        <f>IF(A100&lt;=$D$2,1,0)</f>
        <v/>
      </c>
      <c r="D100" s="14">
        <f>IF(C100=0,"",IF(0&lt;$B$2,INDEX(Bits!$E$25:$E$124,(A100-1)*$B$2+1)*2^($B$2-1),0)+IF(1&lt;$B$2,INDEX(Bits!$E$25:$E$124,(A100-1)*$B$2+2)*2^($B$2-2),0)+IF(2&lt;$B$2,INDEX(Bits!$E$25:$E$124,(A100-1)*$B$2+3)*2^($B$2-3),0)+IF(3&lt;$B$2,INDEX(Bits!$E$25:$E$124,(A100-1)*$B$2+4)*2^($B$2-4),0)+IF(4&lt;$B$2,INDEX(Bits!$E$25:$E$124,(A100-1)*$B$2+5)*2^($B$2-5),0))</f>
        <v/>
      </c>
      <c r="E100" s="14">
        <f>IF(C100=0,"",INDEX(Constellations!$C$14:$L$45,D100+1,Constellations!$F$8))</f>
        <v/>
      </c>
      <c r="F100" s="14">
        <f>IF(C100=0,"",INDEX(Constellations!$C$14:$L$45,D100+1,Constellations!$F$8+1))</f>
        <v/>
      </c>
      <c r="G100" s="23">
        <f>IF(C100=0,"",E100*$F$2)</f>
        <v/>
      </c>
      <c r="H100" s="23">
        <f>IF(C100=0,"",F100*$F$2)</f>
        <v/>
      </c>
      <c r="I100" s="23">
        <f>IF(C100=0,"",SQRT(G100^2+H100^2))</f>
        <v/>
      </c>
      <c r="J100" s="24">
        <f>IF(C100=0,"",IF(AND(G100=0,H100=0),0,DEGREES(ATAN2(G100,H100))))</f>
        <v/>
      </c>
      <c r="K100" s="25">
        <f>IF(C100=0,K99,K99&amp;" "&amp;B100)</f>
        <v/>
      </c>
      <c r="L100" s="25">
        <f>IF(C100=0,L99,L99&amp;" - "&amp;D100)</f>
        <v/>
      </c>
    </row>
    <row r="101">
      <c r="A101" s="14" t="n">
        <v>96</v>
      </c>
      <c r="B101" s="14">
        <f>IF(C101=0,"",IF(0&lt;$B$2,INDEX(Bits!$E$25:$E$124,(A101-1)*$B$2+1),"")&amp;IF(1&lt;$B$2,INDEX(Bits!$E$25:$E$124,(A101-1)*$B$2+2),"")&amp;IF(2&lt;$B$2,INDEX(Bits!$E$25:$E$124,(A101-1)*$B$2+3),"")&amp;IF(3&lt;$B$2,INDEX(Bits!$E$25:$E$124,(A101-1)*$B$2+4),"")&amp;IF(4&lt;$B$2,INDEX(Bits!$E$25:$E$124,(A101-1)*$B$2+5),""))</f>
        <v/>
      </c>
      <c r="C101" s="14">
        <f>IF(A101&lt;=$D$2,1,0)</f>
        <v/>
      </c>
      <c r="D101" s="14">
        <f>IF(C101=0,"",IF(0&lt;$B$2,INDEX(Bits!$E$25:$E$124,(A101-1)*$B$2+1)*2^($B$2-1),0)+IF(1&lt;$B$2,INDEX(Bits!$E$25:$E$124,(A101-1)*$B$2+2)*2^($B$2-2),0)+IF(2&lt;$B$2,INDEX(Bits!$E$25:$E$124,(A101-1)*$B$2+3)*2^($B$2-3),0)+IF(3&lt;$B$2,INDEX(Bits!$E$25:$E$124,(A101-1)*$B$2+4)*2^($B$2-4),0)+IF(4&lt;$B$2,INDEX(Bits!$E$25:$E$124,(A101-1)*$B$2+5)*2^($B$2-5),0))</f>
        <v/>
      </c>
      <c r="E101" s="14">
        <f>IF(C101=0,"",INDEX(Constellations!$C$14:$L$45,D101+1,Constellations!$F$8))</f>
        <v/>
      </c>
      <c r="F101" s="14">
        <f>IF(C101=0,"",INDEX(Constellations!$C$14:$L$45,D101+1,Constellations!$F$8+1))</f>
        <v/>
      </c>
      <c r="G101" s="23">
        <f>IF(C101=0,"",E101*$F$2)</f>
        <v/>
      </c>
      <c r="H101" s="23">
        <f>IF(C101=0,"",F101*$F$2)</f>
        <v/>
      </c>
      <c r="I101" s="23">
        <f>IF(C101=0,"",SQRT(G101^2+H101^2))</f>
        <v/>
      </c>
      <c r="J101" s="24">
        <f>IF(C101=0,"",IF(AND(G101=0,H101=0),0,DEGREES(ATAN2(G101,H101))))</f>
        <v/>
      </c>
      <c r="K101" s="25">
        <f>IF(C101=0,K100,K100&amp;" "&amp;B101)</f>
        <v/>
      </c>
      <c r="L101" s="25">
        <f>IF(C101=0,L100,L100&amp;" - "&amp;D101)</f>
        <v/>
      </c>
    </row>
  </sheetData>
  <conditionalFormatting sqref="A6:J101">
    <cfRule type="expression" priority="1" dxfId="3">
      <formula>$C6=1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7" t="inlineStr">
        <is>
          <t>Signal modulé  s(t) = I(t)·cos(2π·fc·t) + Q(t)·sin(2π·fc·t)</t>
        </is>
      </c>
    </row>
    <row r="2">
      <c r="A2" s="4" t="inlineStr">
        <is>
          <t>Durée totale (Tb)</t>
        </is>
      </c>
      <c r="C2" s="7">
        <f>'Tableau_de_bord'!C16</f>
        <v/>
      </c>
      <c r="E2" s="16" t="inlineStr">
        <is>
          <t>Temps exprimé en durées de bit Tb (débit binaire constant) : un symbole dure k·Tb.</t>
        </is>
      </c>
    </row>
    <row r="3">
      <c r="A3" s="4" t="inlineStr">
        <is>
          <t>Cycles de porteuse / bit</t>
        </is>
      </c>
      <c r="C3" s="7">
        <f>'Tableau_de_bord'!C7</f>
        <v/>
      </c>
      <c r="E3" s="16" t="inlineStr">
        <is>
          <t>2000 échantillons répartis sur toute la durée du message.</t>
        </is>
      </c>
    </row>
    <row r="4">
      <c r="A4" s="4" t="inlineStr">
        <is>
          <t>k</t>
        </is>
      </c>
      <c r="C4" s="7">
        <f>'Tableau_de_bord'!C10</f>
        <v/>
      </c>
    </row>
    <row r="5">
      <c r="A5" s="4" t="inlineStr">
        <is>
          <t>Nb symboles</t>
        </is>
      </c>
      <c r="C5" s="7">
        <f>'Tableau_de_bord'!C14</f>
        <v/>
      </c>
    </row>
    <row r="6"/>
    <row r="7">
      <c r="A7" s="20" t="inlineStr">
        <is>
          <t>n</t>
        </is>
      </c>
      <c r="B7" s="20" t="inlineStr">
        <is>
          <t>t (en Tb)</t>
        </is>
      </c>
      <c r="C7" s="20" t="inlineStr">
        <is>
          <t>Bit</t>
        </is>
      </c>
      <c r="D7" s="20" t="inlineStr">
        <is>
          <t>n° symbole</t>
        </is>
      </c>
      <c r="E7" s="20" t="inlineStr">
        <is>
          <t>I(t)</t>
        </is>
      </c>
      <c r="F7" s="20" t="inlineStr">
        <is>
          <t>Q(t)</t>
        </is>
      </c>
      <c r="G7" s="20" t="inlineStr">
        <is>
          <t>cos(2πfc t)</t>
        </is>
      </c>
      <c r="H7" s="20" t="inlineStr">
        <is>
          <t>sin(2πfc t)</t>
        </is>
      </c>
      <c r="I7" s="20" t="inlineStr">
        <is>
          <t>s(t)</t>
        </is>
      </c>
    </row>
    <row r="8">
      <c r="A8" s="7" t="n">
        <v>1</v>
      </c>
      <c r="B8" s="26">
        <f>(A8-1)/2000*$C$2</f>
        <v/>
      </c>
      <c r="C8" s="7">
        <f>INDEX(Bits!$E$25:$E$124,INT(B8)+1)</f>
        <v/>
      </c>
      <c r="D8" s="7">
        <f>MAX(1,MIN(INT(B8/$C$4)+1,$C$5))</f>
        <v/>
      </c>
      <c r="E8" s="26">
        <f>IF($C$5=0,0,INDEX(Symboles!$G$6:$G$101,D8))</f>
        <v/>
      </c>
      <c r="F8" s="26">
        <f>IF($C$5=0,0,INDEX(Symboles!$H$6:$H$101,D8))</f>
        <v/>
      </c>
      <c r="G8" s="26">
        <f>COS(2*PI()*$C$3*B8)</f>
        <v/>
      </c>
      <c r="H8" s="26">
        <f>SIN(2*PI()*$C$3*B8)</f>
        <v/>
      </c>
      <c r="I8" s="26">
        <f>E8*G8+F8*H8</f>
        <v/>
      </c>
    </row>
    <row r="9">
      <c r="A9" s="7" t="n">
        <v>2</v>
      </c>
      <c r="B9" s="26">
        <f>(A9-1)/2000*$C$2</f>
        <v/>
      </c>
      <c r="C9" s="7">
        <f>INDEX(Bits!$E$25:$E$124,INT(B9)+1)</f>
        <v/>
      </c>
      <c r="D9" s="7">
        <f>MAX(1,MIN(INT(B9/$C$4)+1,$C$5))</f>
        <v/>
      </c>
      <c r="E9" s="26">
        <f>IF($C$5=0,0,INDEX(Symboles!$G$6:$G$101,D9))</f>
        <v/>
      </c>
      <c r="F9" s="26">
        <f>IF($C$5=0,0,INDEX(Symboles!$H$6:$H$101,D9))</f>
        <v/>
      </c>
      <c r="G9" s="26">
        <f>COS(2*PI()*$C$3*B9)</f>
        <v/>
      </c>
      <c r="H9" s="26">
        <f>SIN(2*PI()*$C$3*B9)</f>
        <v/>
      </c>
      <c r="I9" s="26">
        <f>E9*G9+F9*H9</f>
        <v/>
      </c>
    </row>
    <row r="10">
      <c r="A10" s="7" t="n">
        <v>3</v>
      </c>
      <c r="B10" s="26">
        <f>(A10-1)/2000*$C$2</f>
        <v/>
      </c>
      <c r="C10" s="7">
        <f>INDEX(Bits!$E$25:$E$124,INT(B10)+1)</f>
        <v/>
      </c>
      <c r="D10" s="7">
        <f>MAX(1,MIN(INT(B10/$C$4)+1,$C$5))</f>
        <v/>
      </c>
      <c r="E10" s="26">
        <f>IF($C$5=0,0,INDEX(Symboles!$G$6:$G$101,D10))</f>
        <v/>
      </c>
      <c r="F10" s="26">
        <f>IF($C$5=0,0,INDEX(Symboles!$H$6:$H$101,D10))</f>
        <v/>
      </c>
      <c r="G10" s="26">
        <f>COS(2*PI()*$C$3*B10)</f>
        <v/>
      </c>
      <c r="H10" s="26">
        <f>SIN(2*PI()*$C$3*B10)</f>
        <v/>
      </c>
      <c r="I10" s="26">
        <f>E10*G10+F10*H10</f>
        <v/>
      </c>
    </row>
    <row r="11">
      <c r="A11" s="7" t="n">
        <v>4</v>
      </c>
      <c r="B11" s="26">
        <f>(A11-1)/2000*$C$2</f>
        <v/>
      </c>
      <c r="C11" s="7">
        <f>INDEX(Bits!$E$25:$E$124,INT(B11)+1)</f>
        <v/>
      </c>
      <c r="D11" s="7">
        <f>MAX(1,MIN(INT(B11/$C$4)+1,$C$5))</f>
        <v/>
      </c>
      <c r="E11" s="26">
        <f>IF($C$5=0,0,INDEX(Symboles!$G$6:$G$101,D11))</f>
        <v/>
      </c>
      <c r="F11" s="26">
        <f>IF($C$5=0,0,INDEX(Symboles!$H$6:$H$101,D11))</f>
        <v/>
      </c>
      <c r="G11" s="26">
        <f>COS(2*PI()*$C$3*B11)</f>
        <v/>
      </c>
      <c r="H11" s="26">
        <f>SIN(2*PI()*$C$3*B11)</f>
        <v/>
      </c>
      <c r="I11" s="26">
        <f>E11*G11+F11*H11</f>
        <v/>
      </c>
    </row>
    <row r="12">
      <c r="A12" s="7" t="n">
        <v>5</v>
      </c>
      <c r="B12" s="26">
        <f>(A12-1)/2000*$C$2</f>
        <v/>
      </c>
      <c r="C12" s="7">
        <f>INDEX(Bits!$E$25:$E$124,INT(B12)+1)</f>
        <v/>
      </c>
      <c r="D12" s="7">
        <f>MAX(1,MIN(INT(B12/$C$4)+1,$C$5))</f>
        <v/>
      </c>
      <c r="E12" s="26">
        <f>IF($C$5=0,0,INDEX(Symboles!$G$6:$G$101,D12))</f>
        <v/>
      </c>
      <c r="F12" s="26">
        <f>IF($C$5=0,0,INDEX(Symboles!$H$6:$H$101,D12))</f>
        <v/>
      </c>
      <c r="G12" s="26">
        <f>COS(2*PI()*$C$3*B12)</f>
        <v/>
      </c>
      <c r="H12" s="26">
        <f>SIN(2*PI()*$C$3*B12)</f>
        <v/>
      </c>
      <c r="I12" s="26">
        <f>E12*G12+F12*H12</f>
        <v/>
      </c>
    </row>
    <row r="13">
      <c r="A13" s="7" t="n">
        <v>6</v>
      </c>
      <c r="B13" s="26">
        <f>(A13-1)/2000*$C$2</f>
        <v/>
      </c>
      <c r="C13" s="7">
        <f>INDEX(Bits!$E$25:$E$124,INT(B13)+1)</f>
        <v/>
      </c>
      <c r="D13" s="7">
        <f>MAX(1,MIN(INT(B13/$C$4)+1,$C$5))</f>
        <v/>
      </c>
      <c r="E13" s="26">
        <f>IF($C$5=0,0,INDEX(Symboles!$G$6:$G$101,D13))</f>
        <v/>
      </c>
      <c r="F13" s="26">
        <f>IF($C$5=0,0,INDEX(Symboles!$H$6:$H$101,D13))</f>
        <v/>
      </c>
      <c r="G13" s="26">
        <f>COS(2*PI()*$C$3*B13)</f>
        <v/>
      </c>
      <c r="H13" s="26">
        <f>SIN(2*PI()*$C$3*B13)</f>
        <v/>
      </c>
      <c r="I13" s="26">
        <f>E13*G13+F13*H13</f>
        <v/>
      </c>
    </row>
    <row r="14">
      <c r="A14" s="7" t="n">
        <v>7</v>
      </c>
      <c r="B14" s="26">
        <f>(A14-1)/2000*$C$2</f>
        <v/>
      </c>
      <c r="C14" s="7">
        <f>INDEX(Bits!$E$25:$E$124,INT(B14)+1)</f>
        <v/>
      </c>
      <c r="D14" s="7">
        <f>MAX(1,MIN(INT(B14/$C$4)+1,$C$5))</f>
        <v/>
      </c>
      <c r="E14" s="26">
        <f>IF($C$5=0,0,INDEX(Symboles!$G$6:$G$101,D14))</f>
        <v/>
      </c>
      <c r="F14" s="26">
        <f>IF($C$5=0,0,INDEX(Symboles!$H$6:$H$101,D14))</f>
        <v/>
      </c>
      <c r="G14" s="26">
        <f>COS(2*PI()*$C$3*B14)</f>
        <v/>
      </c>
      <c r="H14" s="26">
        <f>SIN(2*PI()*$C$3*B14)</f>
        <v/>
      </c>
      <c r="I14" s="26">
        <f>E14*G14+F14*H14</f>
        <v/>
      </c>
    </row>
    <row r="15">
      <c r="A15" s="7" t="n">
        <v>8</v>
      </c>
      <c r="B15" s="26">
        <f>(A15-1)/2000*$C$2</f>
        <v/>
      </c>
      <c r="C15" s="7">
        <f>INDEX(Bits!$E$25:$E$124,INT(B15)+1)</f>
        <v/>
      </c>
      <c r="D15" s="7">
        <f>MAX(1,MIN(INT(B15/$C$4)+1,$C$5))</f>
        <v/>
      </c>
      <c r="E15" s="26">
        <f>IF($C$5=0,0,INDEX(Symboles!$G$6:$G$101,D15))</f>
        <v/>
      </c>
      <c r="F15" s="26">
        <f>IF($C$5=0,0,INDEX(Symboles!$H$6:$H$101,D15))</f>
        <v/>
      </c>
      <c r="G15" s="26">
        <f>COS(2*PI()*$C$3*B15)</f>
        <v/>
      </c>
      <c r="H15" s="26">
        <f>SIN(2*PI()*$C$3*B15)</f>
        <v/>
      </c>
      <c r="I15" s="26">
        <f>E15*G15+F15*H15</f>
        <v/>
      </c>
    </row>
    <row r="16">
      <c r="A16" s="7" t="n">
        <v>9</v>
      </c>
      <c r="B16" s="26">
        <f>(A16-1)/2000*$C$2</f>
        <v/>
      </c>
      <c r="C16" s="7">
        <f>INDEX(Bits!$E$25:$E$124,INT(B16)+1)</f>
        <v/>
      </c>
      <c r="D16" s="7">
        <f>MAX(1,MIN(INT(B16/$C$4)+1,$C$5))</f>
        <v/>
      </c>
      <c r="E16" s="26">
        <f>IF($C$5=0,0,INDEX(Symboles!$G$6:$G$101,D16))</f>
        <v/>
      </c>
      <c r="F16" s="26">
        <f>IF($C$5=0,0,INDEX(Symboles!$H$6:$H$101,D16))</f>
        <v/>
      </c>
      <c r="G16" s="26">
        <f>COS(2*PI()*$C$3*B16)</f>
        <v/>
      </c>
      <c r="H16" s="26">
        <f>SIN(2*PI()*$C$3*B16)</f>
        <v/>
      </c>
      <c r="I16" s="26">
        <f>E16*G16+F16*H16</f>
        <v/>
      </c>
    </row>
    <row r="17">
      <c r="A17" s="7" t="n">
        <v>10</v>
      </c>
      <c r="B17" s="26">
        <f>(A17-1)/2000*$C$2</f>
        <v/>
      </c>
      <c r="C17" s="7">
        <f>INDEX(Bits!$E$25:$E$124,INT(B17)+1)</f>
        <v/>
      </c>
      <c r="D17" s="7">
        <f>MAX(1,MIN(INT(B17/$C$4)+1,$C$5))</f>
        <v/>
      </c>
      <c r="E17" s="26">
        <f>IF($C$5=0,0,INDEX(Symboles!$G$6:$G$101,D17))</f>
        <v/>
      </c>
      <c r="F17" s="26">
        <f>IF($C$5=0,0,INDEX(Symboles!$H$6:$H$101,D17))</f>
        <v/>
      </c>
      <c r="G17" s="26">
        <f>COS(2*PI()*$C$3*B17)</f>
        <v/>
      </c>
      <c r="H17" s="26">
        <f>SIN(2*PI()*$C$3*B17)</f>
        <v/>
      </c>
      <c r="I17" s="26">
        <f>E17*G17+F17*H17</f>
        <v/>
      </c>
    </row>
    <row r="18">
      <c r="A18" s="7" t="n">
        <v>11</v>
      </c>
      <c r="B18" s="26">
        <f>(A18-1)/2000*$C$2</f>
        <v/>
      </c>
      <c r="C18" s="7">
        <f>INDEX(Bits!$E$25:$E$124,INT(B18)+1)</f>
        <v/>
      </c>
      <c r="D18" s="7">
        <f>MAX(1,MIN(INT(B18/$C$4)+1,$C$5))</f>
        <v/>
      </c>
      <c r="E18" s="26">
        <f>IF($C$5=0,0,INDEX(Symboles!$G$6:$G$101,D18))</f>
        <v/>
      </c>
      <c r="F18" s="26">
        <f>IF($C$5=0,0,INDEX(Symboles!$H$6:$H$101,D18))</f>
        <v/>
      </c>
      <c r="G18" s="26">
        <f>COS(2*PI()*$C$3*B18)</f>
        <v/>
      </c>
      <c r="H18" s="26">
        <f>SIN(2*PI()*$C$3*B18)</f>
        <v/>
      </c>
      <c r="I18" s="26">
        <f>E18*G18+F18*H18</f>
        <v/>
      </c>
    </row>
    <row r="19">
      <c r="A19" s="7" t="n">
        <v>12</v>
      </c>
      <c r="B19" s="26">
        <f>(A19-1)/2000*$C$2</f>
        <v/>
      </c>
      <c r="C19" s="7">
        <f>INDEX(Bits!$E$25:$E$124,INT(B19)+1)</f>
        <v/>
      </c>
      <c r="D19" s="7">
        <f>MAX(1,MIN(INT(B19/$C$4)+1,$C$5))</f>
        <v/>
      </c>
      <c r="E19" s="26">
        <f>IF($C$5=0,0,INDEX(Symboles!$G$6:$G$101,D19))</f>
        <v/>
      </c>
      <c r="F19" s="26">
        <f>IF($C$5=0,0,INDEX(Symboles!$H$6:$H$101,D19))</f>
        <v/>
      </c>
      <c r="G19" s="26">
        <f>COS(2*PI()*$C$3*B19)</f>
        <v/>
      </c>
      <c r="H19" s="26">
        <f>SIN(2*PI()*$C$3*B19)</f>
        <v/>
      </c>
      <c r="I19" s="26">
        <f>E19*G19+F19*H19</f>
        <v/>
      </c>
    </row>
    <row r="20">
      <c r="A20" s="7" t="n">
        <v>13</v>
      </c>
      <c r="B20" s="26">
        <f>(A20-1)/2000*$C$2</f>
        <v/>
      </c>
      <c r="C20" s="7">
        <f>INDEX(Bits!$E$25:$E$124,INT(B20)+1)</f>
        <v/>
      </c>
      <c r="D20" s="7">
        <f>MAX(1,MIN(INT(B20/$C$4)+1,$C$5))</f>
        <v/>
      </c>
      <c r="E20" s="26">
        <f>IF($C$5=0,0,INDEX(Symboles!$G$6:$G$101,D20))</f>
        <v/>
      </c>
      <c r="F20" s="26">
        <f>IF($C$5=0,0,INDEX(Symboles!$H$6:$H$101,D20))</f>
        <v/>
      </c>
      <c r="G20" s="26">
        <f>COS(2*PI()*$C$3*B20)</f>
        <v/>
      </c>
      <c r="H20" s="26">
        <f>SIN(2*PI()*$C$3*B20)</f>
        <v/>
      </c>
      <c r="I20" s="26">
        <f>E20*G20+F20*H20</f>
        <v/>
      </c>
    </row>
    <row r="21">
      <c r="A21" s="7" t="n">
        <v>14</v>
      </c>
      <c r="B21" s="26">
        <f>(A21-1)/2000*$C$2</f>
        <v/>
      </c>
      <c r="C21" s="7">
        <f>INDEX(Bits!$E$25:$E$124,INT(B21)+1)</f>
        <v/>
      </c>
      <c r="D21" s="7">
        <f>MAX(1,MIN(INT(B21/$C$4)+1,$C$5))</f>
        <v/>
      </c>
      <c r="E21" s="26">
        <f>IF($C$5=0,0,INDEX(Symboles!$G$6:$G$101,D21))</f>
        <v/>
      </c>
      <c r="F21" s="26">
        <f>IF($C$5=0,0,INDEX(Symboles!$H$6:$H$101,D21))</f>
        <v/>
      </c>
      <c r="G21" s="26">
        <f>COS(2*PI()*$C$3*B21)</f>
        <v/>
      </c>
      <c r="H21" s="26">
        <f>SIN(2*PI()*$C$3*B21)</f>
        <v/>
      </c>
      <c r="I21" s="26">
        <f>E21*G21+F21*H21</f>
        <v/>
      </c>
    </row>
    <row r="22">
      <c r="A22" s="7" t="n">
        <v>15</v>
      </c>
      <c r="B22" s="26">
        <f>(A22-1)/2000*$C$2</f>
        <v/>
      </c>
      <c r="C22" s="7">
        <f>INDEX(Bits!$E$25:$E$124,INT(B22)+1)</f>
        <v/>
      </c>
      <c r="D22" s="7">
        <f>MAX(1,MIN(INT(B22/$C$4)+1,$C$5))</f>
        <v/>
      </c>
      <c r="E22" s="26">
        <f>IF($C$5=0,0,INDEX(Symboles!$G$6:$G$101,D22))</f>
        <v/>
      </c>
      <c r="F22" s="26">
        <f>IF($C$5=0,0,INDEX(Symboles!$H$6:$H$101,D22))</f>
        <v/>
      </c>
      <c r="G22" s="26">
        <f>COS(2*PI()*$C$3*B22)</f>
        <v/>
      </c>
      <c r="H22" s="26">
        <f>SIN(2*PI()*$C$3*B22)</f>
        <v/>
      </c>
      <c r="I22" s="26">
        <f>E22*G22+F22*H22</f>
        <v/>
      </c>
    </row>
    <row r="23">
      <c r="A23" s="7" t="n">
        <v>16</v>
      </c>
      <c r="B23" s="26">
        <f>(A23-1)/2000*$C$2</f>
        <v/>
      </c>
      <c r="C23" s="7">
        <f>INDEX(Bits!$E$25:$E$124,INT(B23)+1)</f>
        <v/>
      </c>
      <c r="D23" s="7">
        <f>MAX(1,MIN(INT(B23/$C$4)+1,$C$5))</f>
        <v/>
      </c>
      <c r="E23" s="26">
        <f>IF($C$5=0,0,INDEX(Symboles!$G$6:$G$101,D23))</f>
        <v/>
      </c>
      <c r="F23" s="26">
        <f>IF($C$5=0,0,INDEX(Symboles!$H$6:$H$101,D23))</f>
        <v/>
      </c>
      <c r="G23" s="26">
        <f>COS(2*PI()*$C$3*B23)</f>
        <v/>
      </c>
      <c r="H23" s="26">
        <f>SIN(2*PI()*$C$3*B23)</f>
        <v/>
      </c>
      <c r="I23" s="26">
        <f>E23*G23+F23*H23</f>
        <v/>
      </c>
    </row>
    <row r="24">
      <c r="A24" s="7" t="n">
        <v>17</v>
      </c>
      <c r="B24" s="26">
        <f>(A24-1)/2000*$C$2</f>
        <v/>
      </c>
      <c r="C24" s="7">
        <f>INDEX(Bits!$E$25:$E$124,INT(B24)+1)</f>
        <v/>
      </c>
      <c r="D24" s="7">
        <f>MAX(1,MIN(INT(B24/$C$4)+1,$C$5))</f>
        <v/>
      </c>
      <c r="E24" s="26">
        <f>IF($C$5=0,0,INDEX(Symboles!$G$6:$G$101,D24))</f>
        <v/>
      </c>
      <c r="F24" s="26">
        <f>IF($C$5=0,0,INDEX(Symboles!$H$6:$H$101,D24))</f>
        <v/>
      </c>
      <c r="G24" s="26">
        <f>COS(2*PI()*$C$3*B24)</f>
        <v/>
      </c>
      <c r="H24" s="26">
        <f>SIN(2*PI()*$C$3*B24)</f>
        <v/>
      </c>
      <c r="I24" s="26">
        <f>E24*G24+F24*H24</f>
        <v/>
      </c>
    </row>
    <row r="25">
      <c r="A25" s="7" t="n">
        <v>18</v>
      </c>
      <c r="B25" s="26">
        <f>(A25-1)/2000*$C$2</f>
        <v/>
      </c>
      <c r="C25" s="7">
        <f>INDEX(Bits!$E$25:$E$124,INT(B25)+1)</f>
        <v/>
      </c>
      <c r="D25" s="7">
        <f>MAX(1,MIN(INT(B25/$C$4)+1,$C$5))</f>
        <v/>
      </c>
      <c r="E25" s="26">
        <f>IF($C$5=0,0,INDEX(Symboles!$G$6:$G$101,D25))</f>
        <v/>
      </c>
      <c r="F25" s="26">
        <f>IF($C$5=0,0,INDEX(Symboles!$H$6:$H$101,D25))</f>
        <v/>
      </c>
      <c r="G25" s="26">
        <f>COS(2*PI()*$C$3*B25)</f>
        <v/>
      </c>
      <c r="H25" s="26">
        <f>SIN(2*PI()*$C$3*B25)</f>
        <v/>
      </c>
      <c r="I25" s="26">
        <f>E25*G25+F25*H25</f>
        <v/>
      </c>
    </row>
    <row r="26">
      <c r="A26" s="7" t="n">
        <v>19</v>
      </c>
      <c r="B26" s="26">
        <f>(A26-1)/2000*$C$2</f>
        <v/>
      </c>
      <c r="C26" s="7">
        <f>INDEX(Bits!$E$25:$E$124,INT(B26)+1)</f>
        <v/>
      </c>
      <c r="D26" s="7">
        <f>MAX(1,MIN(INT(B26/$C$4)+1,$C$5))</f>
        <v/>
      </c>
      <c r="E26" s="26">
        <f>IF($C$5=0,0,INDEX(Symboles!$G$6:$G$101,D26))</f>
        <v/>
      </c>
      <c r="F26" s="26">
        <f>IF($C$5=0,0,INDEX(Symboles!$H$6:$H$101,D26))</f>
        <v/>
      </c>
      <c r="G26" s="26">
        <f>COS(2*PI()*$C$3*B26)</f>
        <v/>
      </c>
      <c r="H26" s="26">
        <f>SIN(2*PI()*$C$3*B26)</f>
        <v/>
      </c>
      <c r="I26" s="26">
        <f>E26*G26+F26*H26</f>
        <v/>
      </c>
    </row>
    <row r="27">
      <c r="A27" s="7" t="n">
        <v>20</v>
      </c>
      <c r="B27" s="26">
        <f>(A27-1)/2000*$C$2</f>
        <v/>
      </c>
      <c r="C27" s="7">
        <f>INDEX(Bits!$E$25:$E$124,INT(B27)+1)</f>
        <v/>
      </c>
      <c r="D27" s="7">
        <f>MAX(1,MIN(INT(B27/$C$4)+1,$C$5))</f>
        <v/>
      </c>
      <c r="E27" s="26">
        <f>IF($C$5=0,0,INDEX(Symboles!$G$6:$G$101,D27))</f>
        <v/>
      </c>
      <c r="F27" s="26">
        <f>IF($C$5=0,0,INDEX(Symboles!$H$6:$H$101,D27))</f>
        <v/>
      </c>
      <c r="G27" s="26">
        <f>COS(2*PI()*$C$3*B27)</f>
        <v/>
      </c>
      <c r="H27" s="26">
        <f>SIN(2*PI()*$C$3*B27)</f>
        <v/>
      </c>
      <c r="I27" s="26">
        <f>E27*G27+F27*H27</f>
        <v/>
      </c>
    </row>
    <row r="28">
      <c r="A28" s="7" t="n">
        <v>21</v>
      </c>
      <c r="B28" s="26">
        <f>(A28-1)/2000*$C$2</f>
        <v/>
      </c>
      <c r="C28" s="7">
        <f>INDEX(Bits!$E$25:$E$124,INT(B28)+1)</f>
        <v/>
      </c>
      <c r="D28" s="7">
        <f>MAX(1,MIN(INT(B28/$C$4)+1,$C$5))</f>
        <v/>
      </c>
      <c r="E28" s="26">
        <f>IF($C$5=0,0,INDEX(Symboles!$G$6:$G$101,D28))</f>
        <v/>
      </c>
      <c r="F28" s="26">
        <f>IF($C$5=0,0,INDEX(Symboles!$H$6:$H$101,D28))</f>
        <v/>
      </c>
      <c r="G28" s="26">
        <f>COS(2*PI()*$C$3*B28)</f>
        <v/>
      </c>
      <c r="H28" s="26">
        <f>SIN(2*PI()*$C$3*B28)</f>
        <v/>
      </c>
      <c r="I28" s="26">
        <f>E28*G28+F28*H28</f>
        <v/>
      </c>
    </row>
    <row r="29">
      <c r="A29" s="7" t="n">
        <v>22</v>
      </c>
      <c r="B29" s="26">
        <f>(A29-1)/2000*$C$2</f>
        <v/>
      </c>
      <c r="C29" s="7">
        <f>INDEX(Bits!$E$25:$E$124,INT(B29)+1)</f>
        <v/>
      </c>
      <c r="D29" s="7">
        <f>MAX(1,MIN(INT(B29/$C$4)+1,$C$5))</f>
        <v/>
      </c>
      <c r="E29" s="26">
        <f>IF($C$5=0,0,INDEX(Symboles!$G$6:$G$101,D29))</f>
        <v/>
      </c>
      <c r="F29" s="26">
        <f>IF($C$5=0,0,INDEX(Symboles!$H$6:$H$101,D29))</f>
        <v/>
      </c>
      <c r="G29" s="26">
        <f>COS(2*PI()*$C$3*B29)</f>
        <v/>
      </c>
      <c r="H29" s="26">
        <f>SIN(2*PI()*$C$3*B29)</f>
        <v/>
      </c>
      <c r="I29" s="26">
        <f>E29*G29+F29*H29</f>
        <v/>
      </c>
    </row>
    <row r="30">
      <c r="A30" s="7" t="n">
        <v>23</v>
      </c>
      <c r="B30" s="26">
        <f>(A30-1)/2000*$C$2</f>
        <v/>
      </c>
      <c r="C30" s="7">
        <f>INDEX(Bits!$E$25:$E$124,INT(B30)+1)</f>
        <v/>
      </c>
      <c r="D30" s="7">
        <f>MAX(1,MIN(INT(B30/$C$4)+1,$C$5))</f>
        <v/>
      </c>
      <c r="E30" s="26">
        <f>IF($C$5=0,0,INDEX(Symboles!$G$6:$G$101,D30))</f>
        <v/>
      </c>
      <c r="F30" s="26">
        <f>IF($C$5=0,0,INDEX(Symboles!$H$6:$H$101,D30))</f>
        <v/>
      </c>
      <c r="G30" s="26">
        <f>COS(2*PI()*$C$3*B30)</f>
        <v/>
      </c>
      <c r="H30" s="26">
        <f>SIN(2*PI()*$C$3*B30)</f>
        <v/>
      </c>
      <c r="I30" s="26">
        <f>E30*G30+F30*H30</f>
        <v/>
      </c>
    </row>
    <row r="31">
      <c r="A31" s="7" t="n">
        <v>24</v>
      </c>
      <c r="B31" s="26">
        <f>(A31-1)/2000*$C$2</f>
        <v/>
      </c>
      <c r="C31" s="7">
        <f>INDEX(Bits!$E$25:$E$124,INT(B31)+1)</f>
        <v/>
      </c>
      <c r="D31" s="7">
        <f>MAX(1,MIN(INT(B31/$C$4)+1,$C$5))</f>
        <v/>
      </c>
      <c r="E31" s="26">
        <f>IF($C$5=0,0,INDEX(Symboles!$G$6:$G$101,D31))</f>
        <v/>
      </c>
      <c r="F31" s="26">
        <f>IF($C$5=0,0,INDEX(Symboles!$H$6:$H$101,D31))</f>
        <v/>
      </c>
      <c r="G31" s="26">
        <f>COS(2*PI()*$C$3*B31)</f>
        <v/>
      </c>
      <c r="H31" s="26">
        <f>SIN(2*PI()*$C$3*B31)</f>
        <v/>
      </c>
      <c r="I31" s="26">
        <f>E31*G31+F31*H31</f>
        <v/>
      </c>
    </row>
    <row r="32">
      <c r="A32" s="7" t="n">
        <v>25</v>
      </c>
      <c r="B32" s="26">
        <f>(A32-1)/2000*$C$2</f>
        <v/>
      </c>
      <c r="C32" s="7">
        <f>INDEX(Bits!$E$25:$E$124,INT(B32)+1)</f>
        <v/>
      </c>
      <c r="D32" s="7">
        <f>MAX(1,MIN(INT(B32/$C$4)+1,$C$5))</f>
        <v/>
      </c>
      <c r="E32" s="26">
        <f>IF($C$5=0,0,INDEX(Symboles!$G$6:$G$101,D32))</f>
        <v/>
      </c>
      <c r="F32" s="26">
        <f>IF($C$5=0,0,INDEX(Symboles!$H$6:$H$101,D32))</f>
        <v/>
      </c>
      <c r="G32" s="26">
        <f>COS(2*PI()*$C$3*B32)</f>
        <v/>
      </c>
      <c r="H32" s="26">
        <f>SIN(2*PI()*$C$3*B32)</f>
        <v/>
      </c>
      <c r="I32" s="26">
        <f>E32*G32+F32*H32</f>
        <v/>
      </c>
    </row>
    <row r="33">
      <c r="A33" s="7" t="n">
        <v>26</v>
      </c>
      <c r="B33" s="26">
        <f>(A33-1)/2000*$C$2</f>
        <v/>
      </c>
      <c r="C33" s="7">
        <f>INDEX(Bits!$E$25:$E$124,INT(B33)+1)</f>
        <v/>
      </c>
      <c r="D33" s="7">
        <f>MAX(1,MIN(INT(B33/$C$4)+1,$C$5))</f>
        <v/>
      </c>
      <c r="E33" s="26">
        <f>IF($C$5=0,0,INDEX(Symboles!$G$6:$G$101,D33))</f>
        <v/>
      </c>
      <c r="F33" s="26">
        <f>IF($C$5=0,0,INDEX(Symboles!$H$6:$H$101,D33))</f>
        <v/>
      </c>
      <c r="G33" s="26">
        <f>COS(2*PI()*$C$3*B33)</f>
        <v/>
      </c>
      <c r="H33" s="26">
        <f>SIN(2*PI()*$C$3*B33)</f>
        <v/>
      </c>
      <c r="I33" s="26">
        <f>E33*G33+F33*H33</f>
        <v/>
      </c>
    </row>
    <row r="34">
      <c r="A34" s="7" t="n">
        <v>27</v>
      </c>
      <c r="B34" s="26">
        <f>(A34-1)/2000*$C$2</f>
        <v/>
      </c>
      <c r="C34" s="7">
        <f>INDEX(Bits!$E$25:$E$124,INT(B34)+1)</f>
        <v/>
      </c>
      <c r="D34" s="7">
        <f>MAX(1,MIN(INT(B34/$C$4)+1,$C$5))</f>
        <v/>
      </c>
      <c r="E34" s="26">
        <f>IF($C$5=0,0,INDEX(Symboles!$G$6:$G$101,D34))</f>
        <v/>
      </c>
      <c r="F34" s="26">
        <f>IF($C$5=0,0,INDEX(Symboles!$H$6:$H$101,D34))</f>
        <v/>
      </c>
      <c r="G34" s="26">
        <f>COS(2*PI()*$C$3*B34)</f>
        <v/>
      </c>
      <c r="H34" s="26">
        <f>SIN(2*PI()*$C$3*B34)</f>
        <v/>
      </c>
      <c r="I34" s="26">
        <f>E34*G34+F34*H34</f>
        <v/>
      </c>
    </row>
    <row r="35">
      <c r="A35" s="7" t="n">
        <v>28</v>
      </c>
      <c r="B35" s="26">
        <f>(A35-1)/2000*$C$2</f>
        <v/>
      </c>
      <c r="C35" s="7">
        <f>INDEX(Bits!$E$25:$E$124,INT(B35)+1)</f>
        <v/>
      </c>
      <c r="D35" s="7">
        <f>MAX(1,MIN(INT(B35/$C$4)+1,$C$5))</f>
        <v/>
      </c>
      <c r="E35" s="26">
        <f>IF($C$5=0,0,INDEX(Symboles!$G$6:$G$101,D35))</f>
        <v/>
      </c>
      <c r="F35" s="26">
        <f>IF($C$5=0,0,INDEX(Symboles!$H$6:$H$101,D35))</f>
        <v/>
      </c>
      <c r="G35" s="26">
        <f>COS(2*PI()*$C$3*B35)</f>
        <v/>
      </c>
      <c r="H35" s="26">
        <f>SIN(2*PI()*$C$3*B35)</f>
        <v/>
      </c>
      <c r="I35" s="26">
        <f>E35*G35+F35*H35</f>
        <v/>
      </c>
    </row>
    <row r="36">
      <c r="A36" s="7" t="n">
        <v>29</v>
      </c>
      <c r="B36" s="26">
        <f>(A36-1)/2000*$C$2</f>
        <v/>
      </c>
      <c r="C36" s="7">
        <f>INDEX(Bits!$E$25:$E$124,INT(B36)+1)</f>
        <v/>
      </c>
      <c r="D36" s="7">
        <f>MAX(1,MIN(INT(B36/$C$4)+1,$C$5))</f>
        <v/>
      </c>
      <c r="E36" s="26">
        <f>IF($C$5=0,0,INDEX(Symboles!$G$6:$G$101,D36))</f>
        <v/>
      </c>
      <c r="F36" s="26">
        <f>IF($C$5=0,0,INDEX(Symboles!$H$6:$H$101,D36))</f>
        <v/>
      </c>
      <c r="G36" s="26">
        <f>COS(2*PI()*$C$3*B36)</f>
        <v/>
      </c>
      <c r="H36" s="26">
        <f>SIN(2*PI()*$C$3*B36)</f>
        <v/>
      </c>
      <c r="I36" s="26">
        <f>E36*G36+F36*H36</f>
        <v/>
      </c>
    </row>
    <row r="37">
      <c r="A37" s="7" t="n">
        <v>30</v>
      </c>
      <c r="B37" s="26">
        <f>(A37-1)/2000*$C$2</f>
        <v/>
      </c>
      <c r="C37" s="7">
        <f>INDEX(Bits!$E$25:$E$124,INT(B37)+1)</f>
        <v/>
      </c>
      <c r="D37" s="7">
        <f>MAX(1,MIN(INT(B37/$C$4)+1,$C$5))</f>
        <v/>
      </c>
      <c r="E37" s="26">
        <f>IF($C$5=0,0,INDEX(Symboles!$G$6:$G$101,D37))</f>
        <v/>
      </c>
      <c r="F37" s="26">
        <f>IF($C$5=0,0,INDEX(Symboles!$H$6:$H$101,D37))</f>
        <v/>
      </c>
      <c r="G37" s="26">
        <f>COS(2*PI()*$C$3*B37)</f>
        <v/>
      </c>
      <c r="H37" s="26">
        <f>SIN(2*PI()*$C$3*B37)</f>
        <v/>
      </c>
      <c r="I37" s="26">
        <f>E37*G37+F37*H37</f>
        <v/>
      </c>
    </row>
    <row r="38">
      <c r="A38" s="7" t="n">
        <v>31</v>
      </c>
      <c r="B38" s="26">
        <f>(A38-1)/2000*$C$2</f>
        <v/>
      </c>
      <c r="C38" s="7">
        <f>INDEX(Bits!$E$25:$E$124,INT(B38)+1)</f>
        <v/>
      </c>
      <c r="D38" s="7">
        <f>MAX(1,MIN(INT(B38/$C$4)+1,$C$5))</f>
        <v/>
      </c>
      <c r="E38" s="26">
        <f>IF($C$5=0,0,INDEX(Symboles!$G$6:$G$101,D38))</f>
        <v/>
      </c>
      <c r="F38" s="26">
        <f>IF($C$5=0,0,INDEX(Symboles!$H$6:$H$101,D38))</f>
        <v/>
      </c>
      <c r="G38" s="26">
        <f>COS(2*PI()*$C$3*B38)</f>
        <v/>
      </c>
      <c r="H38" s="26">
        <f>SIN(2*PI()*$C$3*B38)</f>
        <v/>
      </c>
      <c r="I38" s="26">
        <f>E38*G38+F38*H38</f>
        <v/>
      </c>
    </row>
    <row r="39">
      <c r="A39" s="7" t="n">
        <v>32</v>
      </c>
      <c r="B39" s="26">
        <f>(A39-1)/2000*$C$2</f>
        <v/>
      </c>
      <c r="C39" s="7">
        <f>INDEX(Bits!$E$25:$E$124,INT(B39)+1)</f>
        <v/>
      </c>
      <c r="D39" s="7">
        <f>MAX(1,MIN(INT(B39/$C$4)+1,$C$5))</f>
        <v/>
      </c>
      <c r="E39" s="26">
        <f>IF($C$5=0,0,INDEX(Symboles!$G$6:$G$101,D39))</f>
        <v/>
      </c>
      <c r="F39" s="26">
        <f>IF($C$5=0,0,INDEX(Symboles!$H$6:$H$101,D39))</f>
        <v/>
      </c>
      <c r="G39" s="26">
        <f>COS(2*PI()*$C$3*B39)</f>
        <v/>
      </c>
      <c r="H39" s="26">
        <f>SIN(2*PI()*$C$3*B39)</f>
        <v/>
      </c>
      <c r="I39" s="26">
        <f>E39*G39+F39*H39</f>
        <v/>
      </c>
    </row>
    <row r="40">
      <c r="A40" s="7" t="n">
        <v>33</v>
      </c>
      <c r="B40" s="26">
        <f>(A40-1)/2000*$C$2</f>
        <v/>
      </c>
      <c r="C40" s="7">
        <f>INDEX(Bits!$E$25:$E$124,INT(B40)+1)</f>
        <v/>
      </c>
      <c r="D40" s="7">
        <f>MAX(1,MIN(INT(B40/$C$4)+1,$C$5))</f>
        <v/>
      </c>
      <c r="E40" s="26">
        <f>IF($C$5=0,0,INDEX(Symboles!$G$6:$G$101,D40))</f>
        <v/>
      </c>
      <c r="F40" s="26">
        <f>IF($C$5=0,0,INDEX(Symboles!$H$6:$H$101,D40))</f>
        <v/>
      </c>
      <c r="G40" s="26">
        <f>COS(2*PI()*$C$3*B40)</f>
        <v/>
      </c>
      <c r="H40" s="26">
        <f>SIN(2*PI()*$C$3*B40)</f>
        <v/>
      </c>
      <c r="I40" s="26">
        <f>E40*G40+F40*H40</f>
        <v/>
      </c>
    </row>
    <row r="41">
      <c r="A41" s="7" t="n">
        <v>34</v>
      </c>
      <c r="B41" s="26">
        <f>(A41-1)/2000*$C$2</f>
        <v/>
      </c>
      <c r="C41" s="7">
        <f>INDEX(Bits!$E$25:$E$124,INT(B41)+1)</f>
        <v/>
      </c>
      <c r="D41" s="7">
        <f>MAX(1,MIN(INT(B41/$C$4)+1,$C$5))</f>
        <v/>
      </c>
      <c r="E41" s="26">
        <f>IF($C$5=0,0,INDEX(Symboles!$G$6:$G$101,D41))</f>
        <v/>
      </c>
      <c r="F41" s="26">
        <f>IF($C$5=0,0,INDEX(Symboles!$H$6:$H$101,D41))</f>
        <v/>
      </c>
      <c r="G41" s="26">
        <f>COS(2*PI()*$C$3*B41)</f>
        <v/>
      </c>
      <c r="H41" s="26">
        <f>SIN(2*PI()*$C$3*B41)</f>
        <v/>
      </c>
      <c r="I41" s="26">
        <f>E41*G41+F41*H41</f>
        <v/>
      </c>
    </row>
    <row r="42">
      <c r="A42" s="7" t="n">
        <v>35</v>
      </c>
      <c r="B42" s="26">
        <f>(A42-1)/2000*$C$2</f>
        <v/>
      </c>
      <c r="C42" s="7">
        <f>INDEX(Bits!$E$25:$E$124,INT(B42)+1)</f>
        <v/>
      </c>
      <c r="D42" s="7">
        <f>MAX(1,MIN(INT(B42/$C$4)+1,$C$5))</f>
        <v/>
      </c>
      <c r="E42" s="26">
        <f>IF($C$5=0,0,INDEX(Symboles!$G$6:$G$101,D42))</f>
        <v/>
      </c>
      <c r="F42" s="26">
        <f>IF($C$5=0,0,INDEX(Symboles!$H$6:$H$101,D42))</f>
        <v/>
      </c>
      <c r="G42" s="26">
        <f>COS(2*PI()*$C$3*B42)</f>
        <v/>
      </c>
      <c r="H42" s="26">
        <f>SIN(2*PI()*$C$3*B42)</f>
        <v/>
      </c>
      <c r="I42" s="26">
        <f>E42*G42+F42*H42</f>
        <v/>
      </c>
    </row>
    <row r="43">
      <c r="A43" s="7" t="n">
        <v>36</v>
      </c>
      <c r="B43" s="26">
        <f>(A43-1)/2000*$C$2</f>
        <v/>
      </c>
      <c r="C43" s="7">
        <f>INDEX(Bits!$E$25:$E$124,INT(B43)+1)</f>
        <v/>
      </c>
      <c r="D43" s="7">
        <f>MAX(1,MIN(INT(B43/$C$4)+1,$C$5))</f>
        <v/>
      </c>
      <c r="E43" s="26">
        <f>IF($C$5=0,0,INDEX(Symboles!$G$6:$G$101,D43))</f>
        <v/>
      </c>
      <c r="F43" s="26">
        <f>IF($C$5=0,0,INDEX(Symboles!$H$6:$H$101,D43))</f>
        <v/>
      </c>
      <c r="G43" s="26">
        <f>COS(2*PI()*$C$3*B43)</f>
        <v/>
      </c>
      <c r="H43" s="26">
        <f>SIN(2*PI()*$C$3*B43)</f>
        <v/>
      </c>
      <c r="I43" s="26">
        <f>E43*G43+F43*H43</f>
        <v/>
      </c>
    </row>
    <row r="44">
      <c r="A44" s="7" t="n">
        <v>37</v>
      </c>
      <c r="B44" s="26">
        <f>(A44-1)/2000*$C$2</f>
        <v/>
      </c>
      <c r="C44" s="7">
        <f>INDEX(Bits!$E$25:$E$124,INT(B44)+1)</f>
        <v/>
      </c>
      <c r="D44" s="7">
        <f>MAX(1,MIN(INT(B44/$C$4)+1,$C$5))</f>
        <v/>
      </c>
      <c r="E44" s="26">
        <f>IF($C$5=0,0,INDEX(Symboles!$G$6:$G$101,D44))</f>
        <v/>
      </c>
      <c r="F44" s="26">
        <f>IF($C$5=0,0,INDEX(Symboles!$H$6:$H$101,D44))</f>
        <v/>
      </c>
      <c r="G44" s="26">
        <f>COS(2*PI()*$C$3*B44)</f>
        <v/>
      </c>
      <c r="H44" s="26">
        <f>SIN(2*PI()*$C$3*B44)</f>
        <v/>
      </c>
      <c r="I44" s="26">
        <f>E44*G44+F44*H44</f>
        <v/>
      </c>
    </row>
    <row r="45">
      <c r="A45" s="7" t="n">
        <v>38</v>
      </c>
      <c r="B45" s="26">
        <f>(A45-1)/2000*$C$2</f>
        <v/>
      </c>
      <c r="C45" s="7">
        <f>INDEX(Bits!$E$25:$E$124,INT(B45)+1)</f>
        <v/>
      </c>
      <c r="D45" s="7">
        <f>MAX(1,MIN(INT(B45/$C$4)+1,$C$5))</f>
        <v/>
      </c>
      <c r="E45" s="26">
        <f>IF($C$5=0,0,INDEX(Symboles!$G$6:$G$101,D45))</f>
        <v/>
      </c>
      <c r="F45" s="26">
        <f>IF($C$5=0,0,INDEX(Symboles!$H$6:$H$101,D45))</f>
        <v/>
      </c>
      <c r="G45" s="26">
        <f>COS(2*PI()*$C$3*B45)</f>
        <v/>
      </c>
      <c r="H45" s="26">
        <f>SIN(2*PI()*$C$3*B45)</f>
        <v/>
      </c>
      <c r="I45" s="26">
        <f>E45*G45+F45*H45</f>
        <v/>
      </c>
    </row>
    <row r="46">
      <c r="A46" s="7" t="n">
        <v>39</v>
      </c>
      <c r="B46" s="26">
        <f>(A46-1)/2000*$C$2</f>
        <v/>
      </c>
      <c r="C46" s="7">
        <f>INDEX(Bits!$E$25:$E$124,INT(B46)+1)</f>
        <v/>
      </c>
      <c r="D46" s="7">
        <f>MAX(1,MIN(INT(B46/$C$4)+1,$C$5))</f>
        <v/>
      </c>
      <c r="E46" s="26">
        <f>IF($C$5=0,0,INDEX(Symboles!$G$6:$G$101,D46))</f>
        <v/>
      </c>
      <c r="F46" s="26">
        <f>IF($C$5=0,0,INDEX(Symboles!$H$6:$H$101,D46))</f>
        <v/>
      </c>
      <c r="G46" s="26">
        <f>COS(2*PI()*$C$3*B46)</f>
        <v/>
      </c>
      <c r="H46" s="26">
        <f>SIN(2*PI()*$C$3*B46)</f>
        <v/>
      </c>
      <c r="I46" s="26">
        <f>E46*G46+F46*H46</f>
        <v/>
      </c>
    </row>
    <row r="47">
      <c r="A47" s="7" t="n">
        <v>40</v>
      </c>
      <c r="B47" s="26">
        <f>(A47-1)/2000*$C$2</f>
        <v/>
      </c>
      <c r="C47" s="7">
        <f>INDEX(Bits!$E$25:$E$124,INT(B47)+1)</f>
        <v/>
      </c>
      <c r="D47" s="7">
        <f>MAX(1,MIN(INT(B47/$C$4)+1,$C$5))</f>
        <v/>
      </c>
      <c r="E47" s="26">
        <f>IF($C$5=0,0,INDEX(Symboles!$G$6:$G$101,D47))</f>
        <v/>
      </c>
      <c r="F47" s="26">
        <f>IF($C$5=0,0,INDEX(Symboles!$H$6:$H$101,D47))</f>
        <v/>
      </c>
      <c r="G47" s="26">
        <f>COS(2*PI()*$C$3*B47)</f>
        <v/>
      </c>
      <c r="H47" s="26">
        <f>SIN(2*PI()*$C$3*B47)</f>
        <v/>
      </c>
      <c r="I47" s="26">
        <f>E47*G47+F47*H47</f>
        <v/>
      </c>
    </row>
    <row r="48">
      <c r="A48" s="7" t="n">
        <v>41</v>
      </c>
      <c r="B48" s="26">
        <f>(A48-1)/2000*$C$2</f>
        <v/>
      </c>
      <c r="C48" s="7">
        <f>INDEX(Bits!$E$25:$E$124,INT(B48)+1)</f>
        <v/>
      </c>
      <c r="D48" s="7">
        <f>MAX(1,MIN(INT(B48/$C$4)+1,$C$5))</f>
        <v/>
      </c>
      <c r="E48" s="26">
        <f>IF($C$5=0,0,INDEX(Symboles!$G$6:$G$101,D48))</f>
        <v/>
      </c>
      <c r="F48" s="26">
        <f>IF($C$5=0,0,INDEX(Symboles!$H$6:$H$101,D48))</f>
        <v/>
      </c>
      <c r="G48" s="26">
        <f>COS(2*PI()*$C$3*B48)</f>
        <v/>
      </c>
      <c r="H48" s="26">
        <f>SIN(2*PI()*$C$3*B48)</f>
        <v/>
      </c>
      <c r="I48" s="26">
        <f>E48*G48+F48*H48</f>
        <v/>
      </c>
    </row>
    <row r="49">
      <c r="A49" s="7" t="n">
        <v>42</v>
      </c>
      <c r="B49" s="26">
        <f>(A49-1)/2000*$C$2</f>
        <v/>
      </c>
      <c r="C49" s="7">
        <f>INDEX(Bits!$E$25:$E$124,INT(B49)+1)</f>
        <v/>
      </c>
      <c r="D49" s="7">
        <f>MAX(1,MIN(INT(B49/$C$4)+1,$C$5))</f>
        <v/>
      </c>
      <c r="E49" s="26">
        <f>IF($C$5=0,0,INDEX(Symboles!$G$6:$G$101,D49))</f>
        <v/>
      </c>
      <c r="F49" s="26">
        <f>IF($C$5=0,0,INDEX(Symboles!$H$6:$H$101,D49))</f>
        <v/>
      </c>
      <c r="G49" s="26">
        <f>COS(2*PI()*$C$3*B49)</f>
        <v/>
      </c>
      <c r="H49" s="26">
        <f>SIN(2*PI()*$C$3*B49)</f>
        <v/>
      </c>
      <c r="I49" s="26">
        <f>E49*G49+F49*H49</f>
        <v/>
      </c>
    </row>
    <row r="50">
      <c r="A50" s="7" t="n">
        <v>43</v>
      </c>
      <c r="B50" s="26">
        <f>(A50-1)/2000*$C$2</f>
        <v/>
      </c>
      <c r="C50" s="7">
        <f>INDEX(Bits!$E$25:$E$124,INT(B50)+1)</f>
        <v/>
      </c>
      <c r="D50" s="7">
        <f>MAX(1,MIN(INT(B50/$C$4)+1,$C$5))</f>
        <v/>
      </c>
      <c r="E50" s="26">
        <f>IF($C$5=0,0,INDEX(Symboles!$G$6:$G$101,D50))</f>
        <v/>
      </c>
      <c r="F50" s="26">
        <f>IF($C$5=0,0,INDEX(Symboles!$H$6:$H$101,D50))</f>
        <v/>
      </c>
      <c r="G50" s="26">
        <f>COS(2*PI()*$C$3*B50)</f>
        <v/>
      </c>
      <c r="H50" s="26">
        <f>SIN(2*PI()*$C$3*B50)</f>
        <v/>
      </c>
      <c r="I50" s="26">
        <f>E50*G50+F50*H50</f>
        <v/>
      </c>
    </row>
    <row r="51">
      <c r="A51" s="7" t="n">
        <v>44</v>
      </c>
      <c r="B51" s="26">
        <f>(A51-1)/2000*$C$2</f>
        <v/>
      </c>
      <c r="C51" s="7">
        <f>INDEX(Bits!$E$25:$E$124,INT(B51)+1)</f>
        <v/>
      </c>
      <c r="D51" s="7">
        <f>MAX(1,MIN(INT(B51/$C$4)+1,$C$5))</f>
        <v/>
      </c>
      <c r="E51" s="26">
        <f>IF($C$5=0,0,INDEX(Symboles!$G$6:$G$101,D51))</f>
        <v/>
      </c>
      <c r="F51" s="26">
        <f>IF($C$5=0,0,INDEX(Symboles!$H$6:$H$101,D51))</f>
        <v/>
      </c>
      <c r="G51" s="26">
        <f>COS(2*PI()*$C$3*B51)</f>
        <v/>
      </c>
      <c r="H51" s="26">
        <f>SIN(2*PI()*$C$3*B51)</f>
        <v/>
      </c>
      <c r="I51" s="26">
        <f>E51*G51+F51*H51</f>
        <v/>
      </c>
    </row>
    <row r="52">
      <c r="A52" s="7" t="n">
        <v>45</v>
      </c>
      <c r="B52" s="26">
        <f>(A52-1)/2000*$C$2</f>
        <v/>
      </c>
      <c r="C52" s="7">
        <f>INDEX(Bits!$E$25:$E$124,INT(B52)+1)</f>
        <v/>
      </c>
      <c r="D52" s="7">
        <f>MAX(1,MIN(INT(B52/$C$4)+1,$C$5))</f>
        <v/>
      </c>
      <c r="E52" s="26">
        <f>IF($C$5=0,0,INDEX(Symboles!$G$6:$G$101,D52))</f>
        <v/>
      </c>
      <c r="F52" s="26">
        <f>IF($C$5=0,0,INDEX(Symboles!$H$6:$H$101,D52))</f>
        <v/>
      </c>
      <c r="G52" s="26">
        <f>COS(2*PI()*$C$3*B52)</f>
        <v/>
      </c>
      <c r="H52" s="26">
        <f>SIN(2*PI()*$C$3*B52)</f>
        <v/>
      </c>
      <c r="I52" s="26">
        <f>E52*G52+F52*H52</f>
        <v/>
      </c>
    </row>
    <row r="53">
      <c r="A53" s="7" t="n">
        <v>46</v>
      </c>
      <c r="B53" s="26">
        <f>(A53-1)/2000*$C$2</f>
        <v/>
      </c>
      <c r="C53" s="7">
        <f>INDEX(Bits!$E$25:$E$124,INT(B53)+1)</f>
        <v/>
      </c>
      <c r="D53" s="7">
        <f>MAX(1,MIN(INT(B53/$C$4)+1,$C$5))</f>
        <v/>
      </c>
      <c r="E53" s="26">
        <f>IF($C$5=0,0,INDEX(Symboles!$G$6:$G$101,D53))</f>
        <v/>
      </c>
      <c r="F53" s="26">
        <f>IF($C$5=0,0,INDEX(Symboles!$H$6:$H$101,D53))</f>
        <v/>
      </c>
      <c r="G53" s="26">
        <f>COS(2*PI()*$C$3*B53)</f>
        <v/>
      </c>
      <c r="H53" s="26">
        <f>SIN(2*PI()*$C$3*B53)</f>
        <v/>
      </c>
      <c r="I53" s="26">
        <f>E53*G53+F53*H53</f>
        <v/>
      </c>
    </row>
    <row r="54">
      <c r="A54" s="7" t="n">
        <v>47</v>
      </c>
      <c r="B54" s="26">
        <f>(A54-1)/2000*$C$2</f>
        <v/>
      </c>
      <c r="C54" s="7">
        <f>INDEX(Bits!$E$25:$E$124,INT(B54)+1)</f>
        <v/>
      </c>
      <c r="D54" s="7">
        <f>MAX(1,MIN(INT(B54/$C$4)+1,$C$5))</f>
        <v/>
      </c>
      <c r="E54" s="26">
        <f>IF($C$5=0,0,INDEX(Symboles!$G$6:$G$101,D54))</f>
        <v/>
      </c>
      <c r="F54" s="26">
        <f>IF($C$5=0,0,INDEX(Symboles!$H$6:$H$101,D54))</f>
        <v/>
      </c>
      <c r="G54" s="26">
        <f>COS(2*PI()*$C$3*B54)</f>
        <v/>
      </c>
      <c r="H54" s="26">
        <f>SIN(2*PI()*$C$3*B54)</f>
        <v/>
      </c>
      <c r="I54" s="26">
        <f>E54*G54+F54*H54</f>
        <v/>
      </c>
    </row>
    <row r="55">
      <c r="A55" s="7" t="n">
        <v>48</v>
      </c>
      <c r="B55" s="26">
        <f>(A55-1)/2000*$C$2</f>
        <v/>
      </c>
      <c r="C55" s="7">
        <f>INDEX(Bits!$E$25:$E$124,INT(B55)+1)</f>
        <v/>
      </c>
      <c r="D55" s="7">
        <f>MAX(1,MIN(INT(B55/$C$4)+1,$C$5))</f>
        <v/>
      </c>
      <c r="E55" s="26">
        <f>IF($C$5=0,0,INDEX(Symboles!$G$6:$G$101,D55))</f>
        <v/>
      </c>
      <c r="F55" s="26">
        <f>IF($C$5=0,0,INDEX(Symboles!$H$6:$H$101,D55))</f>
        <v/>
      </c>
      <c r="G55" s="26">
        <f>COS(2*PI()*$C$3*B55)</f>
        <v/>
      </c>
      <c r="H55" s="26">
        <f>SIN(2*PI()*$C$3*B55)</f>
        <v/>
      </c>
      <c r="I55" s="26">
        <f>E55*G55+F55*H55</f>
        <v/>
      </c>
    </row>
    <row r="56">
      <c r="A56" s="7" t="n">
        <v>49</v>
      </c>
      <c r="B56" s="26">
        <f>(A56-1)/2000*$C$2</f>
        <v/>
      </c>
      <c r="C56" s="7">
        <f>INDEX(Bits!$E$25:$E$124,INT(B56)+1)</f>
        <v/>
      </c>
      <c r="D56" s="7">
        <f>MAX(1,MIN(INT(B56/$C$4)+1,$C$5))</f>
        <v/>
      </c>
      <c r="E56" s="26">
        <f>IF($C$5=0,0,INDEX(Symboles!$G$6:$G$101,D56))</f>
        <v/>
      </c>
      <c r="F56" s="26">
        <f>IF($C$5=0,0,INDEX(Symboles!$H$6:$H$101,D56))</f>
        <v/>
      </c>
      <c r="G56" s="26">
        <f>COS(2*PI()*$C$3*B56)</f>
        <v/>
      </c>
      <c r="H56" s="26">
        <f>SIN(2*PI()*$C$3*B56)</f>
        <v/>
      </c>
      <c r="I56" s="26">
        <f>E56*G56+F56*H56</f>
        <v/>
      </c>
    </row>
    <row r="57">
      <c r="A57" s="7" t="n">
        <v>50</v>
      </c>
      <c r="B57" s="26">
        <f>(A57-1)/2000*$C$2</f>
        <v/>
      </c>
      <c r="C57" s="7">
        <f>INDEX(Bits!$E$25:$E$124,INT(B57)+1)</f>
        <v/>
      </c>
      <c r="D57" s="7">
        <f>MAX(1,MIN(INT(B57/$C$4)+1,$C$5))</f>
        <v/>
      </c>
      <c r="E57" s="26">
        <f>IF($C$5=0,0,INDEX(Symboles!$G$6:$G$101,D57))</f>
        <v/>
      </c>
      <c r="F57" s="26">
        <f>IF($C$5=0,0,INDEX(Symboles!$H$6:$H$101,D57))</f>
        <v/>
      </c>
      <c r="G57" s="26">
        <f>COS(2*PI()*$C$3*B57)</f>
        <v/>
      </c>
      <c r="H57" s="26">
        <f>SIN(2*PI()*$C$3*B57)</f>
        <v/>
      </c>
      <c r="I57" s="26">
        <f>E57*G57+F57*H57</f>
        <v/>
      </c>
    </row>
    <row r="58">
      <c r="A58" s="7" t="n">
        <v>51</v>
      </c>
      <c r="B58" s="26">
        <f>(A58-1)/2000*$C$2</f>
        <v/>
      </c>
      <c r="C58" s="7">
        <f>INDEX(Bits!$E$25:$E$124,INT(B58)+1)</f>
        <v/>
      </c>
      <c r="D58" s="7">
        <f>MAX(1,MIN(INT(B58/$C$4)+1,$C$5))</f>
        <v/>
      </c>
      <c r="E58" s="26">
        <f>IF($C$5=0,0,INDEX(Symboles!$G$6:$G$101,D58))</f>
        <v/>
      </c>
      <c r="F58" s="26">
        <f>IF($C$5=0,0,INDEX(Symboles!$H$6:$H$101,D58))</f>
        <v/>
      </c>
      <c r="G58" s="26">
        <f>COS(2*PI()*$C$3*B58)</f>
        <v/>
      </c>
      <c r="H58" s="26">
        <f>SIN(2*PI()*$C$3*B58)</f>
        <v/>
      </c>
      <c r="I58" s="26">
        <f>E58*G58+F58*H58</f>
        <v/>
      </c>
    </row>
    <row r="59">
      <c r="A59" s="7" t="n">
        <v>52</v>
      </c>
      <c r="B59" s="26">
        <f>(A59-1)/2000*$C$2</f>
        <v/>
      </c>
      <c r="C59" s="7">
        <f>INDEX(Bits!$E$25:$E$124,INT(B59)+1)</f>
        <v/>
      </c>
      <c r="D59" s="7">
        <f>MAX(1,MIN(INT(B59/$C$4)+1,$C$5))</f>
        <v/>
      </c>
      <c r="E59" s="26">
        <f>IF($C$5=0,0,INDEX(Symboles!$G$6:$G$101,D59))</f>
        <v/>
      </c>
      <c r="F59" s="26">
        <f>IF($C$5=0,0,INDEX(Symboles!$H$6:$H$101,D59))</f>
        <v/>
      </c>
      <c r="G59" s="26">
        <f>COS(2*PI()*$C$3*B59)</f>
        <v/>
      </c>
      <c r="H59" s="26">
        <f>SIN(2*PI()*$C$3*B59)</f>
        <v/>
      </c>
      <c r="I59" s="26">
        <f>E59*G59+F59*H59</f>
        <v/>
      </c>
    </row>
    <row r="60">
      <c r="A60" s="7" t="n">
        <v>53</v>
      </c>
      <c r="B60" s="26">
        <f>(A60-1)/2000*$C$2</f>
        <v/>
      </c>
      <c r="C60" s="7">
        <f>INDEX(Bits!$E$25:$E$124,INT(B60)+1)</f>
        <v/>
      </c>
      <c r="D60" s="7">
        <f>MAX(1,MIN(INT(B60/$C$4)+1,$C$5))</f>
        <v/>
      </c>
      <c r="E60" s="26">
        <f>IF($C$5=0,0,INDEX(Symboles!$G$6:$G$101,D60))</f>
        <v/>
      </c>
      <c r="F60" s="26">
        <f>IF($C$5=0,0,INDEX(Symboles!$H$6:$H$101,D60))</f>
        <v/>
      </c>
      <c r="G60" s="26">
        <f>COS(2*PI()*$C$3*B60)</f>
        <v/>
      </c>
      <c r="H60" s="26">
        <f>SIN(2*PI()*$C$3*B60)</f>
        <v/>
      </c>
      <c r="I60" s="26">
        <f>E60*G60+F60*H60</f>
        <v/>
      </c>
    </row>
    <row r="61">
      <c r="A61" s="7" t="n">
        <v>54</v>
      </c>
      <c r="B61" s="26">
        <f>(A61-1)/2000*$C$2</f>
        <v/>
      </c>
      <c r="C61" s="7">
        <f>INDEX(Bits!$E$25:$E$124,INT(B61)+1)</f>
        <v/>
      </c>
      <c r="D61" s="7">
        <f>MAX(1,MIN(INT(B61/$C$4)+1,$C$5))</f>
        <v/>
      </c>
      <c r="E61" s="26">
        <f>IF($C$5=0,0,INDEX(Symboles!$G$6:$G$101,D61))</f>
        <v/>
      </c>
      <c r="F61" s="26">
        <f>IF($C$5=0,0,INDEX(Symboles!$H$6:$H$101,D61))</f>
        <v/>
      </c>
      <c r="G61" s="26">
        <f>COS(2*PI()*$C$3*B61)</f>
        <v/>
      </c>
      <c r="H61" s="26">
        <f>SIN(2*PI()*$C$3*B61)</f>
        <v/>
      </c>
      <c r="I61" s="26">
        <f>E61*G61+F61*H61</f>
        <v/>
      </c>
    </row>
    <row r="62">
      <c r="A62" s="7" t="n">
        <v>55</v>
      </c>
      <c r="B62" s="26">
        <f>(A62-1)/2000*$C$2</f>
        <v/>
      </c>
      <c r="C62" s="7">
        <f>INDEX(Bits!$E$25:$E$124,INT(B62)+1)</f>
        <v/>
      </c>
      <c r="D62" s="7">
        <f>MAX(1,MIN(INT(B62/$C$4)+1,$C$5))</f>
        <v/>
      </c>
      <c r="E62" s="26">
        <f>IF($C$5=0,0,INDEX(Symboles!$G$6:$G$101,D62))</f>
        <v/>
      </c>
      <c r="F62" s="26">
        <f>IF($C$5=0,0,INDEX(Symboles!$H$6:$H$101,D62))</f>
        <v/>
      </c>
      <c r="G62" s="26">
        <f>COS(2*PI()*$C$3*B62)</f>
        <v/>
      </c>
      <c r="H62" s="26">
        <f>SIN(2*PI()*$C$3*B62)</f>
        <v/>
      </c>
      <c r="I62" s="26">
        <f>E62*G62+F62*H62</f>
        <v/>
      </c>
    </row>
    <row r="63">
      <c r="A63" s="7" t="n">
        <v>56</v>
      </c>
      <c r="B63" s="26">
        <f>(A63-1)/2000*$C$2</f>
        <v/>
      </c>
      <c r="C63" s="7">
        <f>INDEX(Bits!$E$25:$E$124,INT(B63)+1)</f>
        <v/>
      </c>
      <c r="D63" s="7">
        <f>MAX(1,MIN(INT(B63/$C$4)+1,$C$5))</f>
        <v/>
      </c>
      <c r="E63" s="26">
        <f>IF($C$5=0,0,INDEX(Symboles!$G$6:$G$101,D63))</f>
        <v/>
      </c>
      <c r="F63" s="26">
        <f>IF($C$5=0,0,INDEX(Symboles!$H$6:$H$101,D63))</f>
        <v/>
      </c>
      <c r="G63" s="26">
        <f>COS(2*PI()*$C$3*B63)</f>
        <v/>
      </c>
      <c r="H63" s="26">
        <f>SIN(2*PI()*$C$3*B63)</f>
        <v/>
      </c>
      <c r="I63" s="26">
        <f>E63*G63+F63*H63</f>
        <v/>
      </c>
    </row>
    <row r="64">
      <c r="A64" s="7" t="n">
        <v>57</v>
      </c>
      <c r="B64" s="26">
        <f>(A64-1)/2000*$C$2</f>
        <v/>
      </c>
      <c r="C64" s="7">
        <f>INDEX(Bits!$E$25:$E$124,INT(B64)+1)</f>
        <v/>
      </c>
      <c r="D64" s="7">
        <f>MAX(1,MIN(INT(B64/$C$4)+1,$C$5))</f>
        <v/>
      </c>
      <c r="E64" s="26">
        <f>IF($C$5=0,0,INDEX(Symboles!$G$6:$G$101,D64))</f>
        <v/>
      </c>
      <c r="F64" s="26">
        <f>IF($C$5=0,0,INDEX(Symboles!$H$6:$H$101,D64))</f>
        <v/>
      </c>
      <c r="G64" s="26">
        <f>COS(2*PI()*$C$3*B64)</f>
        <v/>
      </c>
      <c r="H64" s="26">
        <f>SIN(2*PI()*$C$3*B64)</f>
        <v/>
      </c>
      <c r="I64" s="26">
        <f>E64*G64+F64*H64</f>
        <v/>
      </c>
    </row>
    <row r="65">
      <c r="A65" s="7" t="n">
        <v>58</v>
      </c>
      <c r="B65" s="26">
        <f>(A65-1)/2000*$C$2</f>
        <v/>
      </c>
      <c r="C65" s="7">
        <f>INDEX(Bits!$E$25:$E$124,INT(B65)+1)</f>
        <v/>
      </c>
      <c r="D65" s="7">
        <f>MAX(1,MIN(INT(B65/$C$4)+1,$C$5))</f>
        <v/>
      </c>
      <c r="E65" s="26">
        <f>IF($C$5=0,0,INDEX(Symboles!$G$6:$G$101,D65))</f>
        <v/>
      </c>
      <c r="F65" s="26">
        <f>IF($C$5=0,0,INDEX(Symboles!$H$6:$H$101,D65))</f>
        <v/>
      </c>
      <c r="G65" s="26">
        <f>COS(2*PI()*$C$3*B65)</f>
        <v/>
      </c>
      <c r="H65" s="26">
        <f>SIN(2*PI()*$C$3*B65)</f>
        <v/>
      </c>
      <c r="I65" s="26">
        <f>E65*G65+F65*H65</f>
        <v/>
      </c>
    </row>
    <row r="66">
      <c r="A66" s="7" t="n">
        <v>59</v>
      </c>
      <c r="B66" s="26">
        <f>(A66-1)/2000*$C$2</f>
        <v/>
      </c>
      <c r="C66" s="7">
        <f>INDEX(Bits!$E$25:$E$124,INT(B66)+1)</f>
        <v/>
      </c>
      <c r="D66" s="7">
        <f>MAX(1,MIN(INT(B66/$C$4)+1,$C$5))</f>
        <v/>
      </c>
      <c r="E66" s="26">
        <f>IF($C$5=0,0,INDEX(Symboles!$G$6:$G$101,D66))</f>
        <v/>
      </c>
      <c r="F66" s="26">
        <f>IF($C$5=0,0,INDEX(Symboles!$H$6:$H$101,D66))</f>
        <v/>
      </c>
      <c r="G66" s="26">
        <f>COS(2*PI()*$C$3*B66)</f>
        <v/>
      </c>
      <c r="H66" s="26">
        <f>SIN(2*PI()*$C$3*B66)</f>
        <v/>
      </c>
      <c r="I66" s="26">
        <f>E66*G66+F66*H66</f>
        <v/>
      </c>
    </row>
    <row r="67">
      <c r="A67" s="7" t="n">
        <v>60</v>
      </c>
      <c r="B67" s="26">
        <f>(A67-1)/2000*$C$2</f>
        <v/>
      </c>
      <c r="C67" s="7">
        <f>INDEX(Bits!$E$25:$E$124,INT(B67)+1)</f>
        <v/>
      </c>
      <c r="D67" s="7">
        <f>MAX(1,MIN(INT(B67/$C$4)+1,$C$5))</f>
        <v/>
      </c>
      <c r="E67" s="26">
        <f>IF($C$5=0,0,INDEX(Symboles!$G$6:$G$101,D67))</f>
        <v/>
      </c>
      <c r="F67" s="26">
        <f>IF($C$5=0,0,INDEX(Symboles!$H$6:$H$101,D67))</f>
        <v/>
      </c>
      <c r="G67" s="26">
        <f>COS(2*PI()*$C$3*B67)</f>
        <v/>
      </c>
      <c r="H67" s="26">
        <f>SIN(2*PI()*$C$3*B67)</f>
        <v/>
      </c>
      <c r="I67" s="26">
        <f>E67*G67+F67*H67</f>
        <v/>
      </c>
    </row>
    <row r="68">
      <c r="A68" s="7" t="n">
        <v>61</v>
      </c>
      <c r="B68" s="26">
        <f>(A68-1)/2000*$C$2</f>
        <v/>
      </c>
      <c r="C68" s="7">
        <f>INDEX(Bits!$E$25:$E$124,INT(B68)+1)</f>
        <v/>
      </c>
      <c r="D68" s="7">
        <f>MAX(1,MIN(INT(B68/$C$4)+1,$C$5))</f>
        <v/>
      </c>
      <c r="E68" s="26">
        <f>IF($C$5=0,0,INDEX(Symboles!$G$6:$G$101,D68))</f>
        <v/>
      </c>
      <c r="F68" s="26">
        <f>IF($C$5=0,0,INDEX(Symboles!$H$6:$H$101,D68))</f>
        <v/>
      </c>
      <c r="G68" s="26">
        <f>COS(2*PI()*$C$3*B68)</f>
        <v/>
      </c>
      <c r="H68" s="26">
        <f>SIN(2*PI()*$C$3*B68)</f>
        <v/>
      </c>
      <c r="I68" s="26">
        <f>E68*G68+F68*H68</f>
        <v/>
      </c>
    </row>
    <row r="69">
      <c r="A69" s="7" t="n">
        <v>62</v>
      </c>
      <c r="B69" s="26">
        <f>(A69-1)/2000*$C$2</f>
        <v/>
      </c>
      <c r="C69" s="7">
        <f>INDEX(Bits!$E$25:$E$124,INT(B69)+1)</f>
        <v/>
      </c>
      <c r="D69" s="7">
        <f>MAX(1,MIN(INT(B69/$C$4)+1,$C$5))</f>
        <v/>
      </c>
      <c r="E69" s="26">
        <f>IF($C$5=0,0,INDEX(Symboles!$G$6:$G$101,D69))</f>
        <v/>
      </c>
      <c r="F69" s="26">
        <f>IF($C$5=0,0,INDEX(Symboles!$H$6:$H$101,D69))</f>
        <v/>
      </c>
      <c r="G69" s="26">
        <f>COS(2*PI()*$C$3*B69)</f>
        <v/>
      </c>
      <c r="H69" s="26">
        <f>SIN(2*PI()*$C$3*B69)</f>
        <v/>
      </c>
      <c r="I69" s="26">
        <f>E69*G69+F69*H69</f>
        <v/>
      </c>
    </row>
    <row r="70">
      <c r="A70" s="7" t="n">
        <v>63</v>
      </c>
      <c r="B70" s="26">
        <f>(A70-1)/2000*$C$2</f>
        <v/>
      </c>
      <c r="C70" s="7">
        <f>INDEX(Bits!$E$25:$E$124,INT(B70)+1)</f>
        <v/>
      </c>
      <c r="D70" s="7">
        <f>MAX(1,MIN(INT(B70/$C$4)+1,$C$5))</f>
        <v/>
      </c>
      <c r="E70" s="26">
        <f>IF($C$5=0,0,INDEX(Symboles!$G$6:$G$101,D70))</f>
        <v/>
      </c>
      <c r="F70" s="26">
        <f>IF($C$5=0,0,INDEX(Symboles!$H$6:$H$101,D70))</f>
        <v/>
      </c>
      <c r="G70" s="26">
        <f>COS(2*PI()*$C$3*B70)</f>
        <v/>
      </c>
      <c r="H70" s="26">
        <f>SIN(2*PI()*$C$3*B70)</f>
        <v/>
      </c>
      <c r="I70" s="26">
        <f>E70*G70+F70*H70</f>
        <v/>
      </c>
    </row>
    <row r="71">
      <c r="A71" s="7" t="n">
        <v>64</v>
      </c>
      <c r="B71" s="26">
        <f>(A71-1)/2000*$C$2</f>
        <v/>
      </c>
      <c r="C71" s="7">
        <f>INDEX(Bits!$E$25:$E$124,INT(B71)+1)</f>
        <v/>
      </c>
      <c r="D71" s="7">
        <f>MAX(1,MIN(INT(B71/$C$4)+1,$C$5))</f>
        <v/>
      </c>
      <c r="E71" s="26">
        <f>IF($C$5=0,0,INDEX(Symboles!$G$6:$G$101,D71))</f>
        <v/>
      </c>
      <c r="F71" s="26">
        <f>IF($C$5=0,0,INDEX(Symboles!$H$6:$H$101,D71))</f>
        <v/>
      </c>
      <c r="G71" s="26">
        <f>COS(2*PI()*$C$3*B71)</f>
        <v/>
      </c>
      <c r="H71" s="26">
        <f>SIN(2*PI()*$C$3*B71)</f>
        <v/>
      </c>
      <c r="I71" s="26">
        <f>E71*G71+F71*H71</f>
        <v/>
      </c>
    </row>
    <row r="72">
      <c r="A72" s="7" t="n">
        <v>65</v>
      </c>
      <c r="B72" s="26">
        <f>(A72-1)/2000*$C$2</f>
        <v/>
      </c>
      <c r="C72" s="7">
        <f>INDEX(Bits!$E$25:$E$124,INT(B72)+1)</f>
        <v/>
      </c>
      <c r="D72" s="7">
        <f>MAX(1,MIN(INT(B72/$C$4)+1,$C$5))</f>
        <v/>
      </c>
      <c r="E72" s="26">
        <f>IF($C$5=0,0,INDEX(Symboles!$G$6:$G$101,D72))</f>
        <v/>
      </c>
      <c r="F72" s="26">
        <f>IF($C$5=0,0,INDEX(Symboles!$H$6:$H$101,D72))</f>
        <v/>
      </c>
      <c r="G72" s="26">
        <f>COS(2*PI()*$C$3*B72)</f>
        <v/>
      </c>
      <c r="H72" s="26">
        <f>SIN(2*PI()*$C$3*B72)</f>
        <v/>
      </c>
      <c r="I72" s="26">
        <f>E72*G72+F72*H72</f>
        <v/>
      </c>
    </row>
    <row r="73">
      <c r="A73" s="7" t="n">
        <v>66</v>
      </c>
      <c r="B73" s="26">
        <f>(A73-1)/2000*$C$2</f>
        <v/>
      </c>
      <c r="C73" s="7">
        <f>INDEX(Bits!$E$25:$E$124,INT(B73)+1)</f>
        <v/>
      </c>
      <c r="D73" s="7">
        <f>MAX(1,MIN(INT(B73/$C$4)+1,$C$5))</f>
        <v/>
      </c>
      <c r="E73" s="26">
        <f>IF($C$5=0,0,INDEX(Symboles!$G$6:$G$101,D73))</f>
        <v/>
      </c>
      <c r="F73" s="26">
        <f>IF($C$5=0,0,INDEX(Symboles!$H$6:$H$101,D73))</f>
        <v/>
      </c>
      <c r="G73" s="26">
        <f>COS(2*PI()*$C$3*B73)</f>
        <v/>
      </c>
      <c r="H73" s="26">
        <f>SIN(2*PI()*$C$3*B73)</f>
        <v/>
      </c>
      <c r="I73" s="26">
        <f>E73*G73+F73*H73</f>
        <v/>
      </c>
    </row>
    <row r="74">
      <c r="A74" s="7" t="n">
        <v>67</v>
      </c>
      <c r="B74" s="26">
        <f>(A74-1)/2000*$C$2</f>
        <v/>
      </c>
      <c r="C74" s="7">
        <f>INDEX(Bits!$E$25:$E$124,INT(B74)+1)</f>
        <v/>
      </c>
      <c r="D74" s="7">
        <f>MAX(1,MIN(INT(B74/$C$4)+1,$C$5))</f>
        <v/>
      </c>
      <c r="E74" s="26">
        <f>IF($C$5=0,0,INDEX(Symboles!$G$6:$G$101,D74))</f>
        <v/>
      </c>
      <c r="F74" s="26">
        <f>IF($C$5=0,0,INDEX(Symboles!$H$6:$H$101,D74))</f>
        <v/>
      </c>
      <c r="G74" s="26">
        <f>COS(2*PI()*$C$3*B74)</f>
        <v/>
      </c>
      <c r="H74" s="26">
        <f>SIN(2*PI()*$C$3*B74)</f>
        <v/>
      </c>
      <c r="I74" s="26">
        <f>E74*G74+F74*H74</f>
        <v/>
      </c>
    </row>
    <row r="75">
      <c r="A75" s="7" t="n">
        <v>68</v>
      </c>
      <c r="B75" s="26">
        <f>(A75-1)/2000*$C$2</f>
        <v/>
      </c>
      <c r="C75" s="7">
        <f>INDEX(Bits!$E$25:$E$124,INT(B75)+1)</f>
        <v/>
      </c>
      <c r="D75" s="7">
        <f>MAX(1,MIN(INT(B75/$C$4)+1,$C$5))</f>
        <v/>
      </c>
      <c r="E75" s="26">
        <f>IF($C$5=0,0,INDEX(Symboles!$G$6:$G$101,D75))</f>
        <v/>
      </c>
      <c r="F75" s="26">
        <f>IF($C$5=0,0,INDEX(Symboles!$H$6:$H$101,D75))</f>
        <v/>
      </c>
      <c r="G75" s="26">
        <f>COS(2*PI()*$C$3*B75)</f>
        <v/>
      </c>
      <c r="H75" s="26">
        <f>SIN(2*PI()*$C$3*B75)</f>
        <v/>
      </c>
      <c r="I75" s="26">
        <f>E75*G75+F75*H75</f>
        <v/>
      </c>
    </row>
    <row r="76">
      <c r="A76" s="7" t="n">
        <v>69</v>
      </c>
      <c r="B76" s="26">
        <f>(A76-1)/2000*$C$2</f>
        <v/>
      </c>
      <c r="C76" s="7">
        <f>INDEX(Bits!$E$25:$E$124,INT(B76)+1)</f>
        <v/>
      </c>
      <c r="D76" s="7">
        <f>MAX(1,MIN(INT(B76/$C$4)+1,$C$5))</f>
        <v/>
      </c>
      <c r="E76" s="26">
        <f>IF($C$5=0,0,INDEX(Symboles!$G$6:$G$101,D76))</f>
        <v/>
      </c>
      <c r="F76" s="26">
        <f>IF($C$5=0,0,INDEX(Symboles!$H$6:$H$101,D76))</f>
        <v/>
      </c>
      <c r="G76" s="26">
        <f>COS(2*PI()*$C$3*B76)</f>
        <v/>
      </c>
      <c r="H76" s="26">
        <f>SIN(2*PI()*$C$3*B76)</f>
        <v/>
      </c>
      <c r="I76" s="26">
        <f>E76*G76+F76*H76</f>
        <v/>
      </c>
    </row>
    <row r="77">
      <c r="A77" s="7" t="n">
        <v>70</v>
      </c>
      <c r="B77" s="26">
        <f>(A77-1)/2000*$C$2</f>
        <v/>
      </c>
      <c r="C77" s="7">
        <f>INDEX(Bits!$E$25:$E$124,INT(B77)+1)</f>
        <v/>
      </c>
      <c r="D77" s="7">
        <f>MAX(1,MIN(INT(B77/$C$4)+1,$C$5))</f>
        <v/>
      </c>
      <c r="E77" s="26">
        <f>IF($C$5=0,0,INDEX(Symboles!$G$6:$G$101,D77))</f>
        <v/>
      </c>
      <c r="F77" s="26">
        <f>IF($C$5=0,0,INDEX(Symboles!$H$6:$H$101,D77))</f>
        <v/>
      </c>
      <c r="G77" s="26">
        <f>COS(2*PI()*$C$3*B77)</f>
        <v/>
      </c>
      <c r="H77" s="26">
        <f>SIN(2*PI()*$C$3*B77)</f>
        <v/>
      </c>
      <c r="I77" s="26">
        <f>E77*G77+F77*H77</f>
        <v/>
      </c>
    </row>
    <row r="78">
      <c r="A78" s="7" t="n">
        <v>71</v>
      </c>
      <c r="B78" s="26">
        <f>(A78-1)/2000*$C$2</f>
        <v/>
      </c>
      <c r="C78" s="7">
        <f>INDEX(Bits!$E$25:$E$124,INT(B78)+1)</f>
        <v/>
      </c>
      <c r="D78" s="7">
        <f>MAX(1,MIN(INT(B78/$C$4)+1,$C$5))</f>
        <v/>
      </c>
      <c r="E78" s="26">
        <f>IF($C$5=0,0,INDEX(Symboles!$G$6:$G$101,D78))</f>
        <v/>
      </c>
      <c r="F78" s="26">
        <f>IF($C$5=0,0,INDEX(Symboles!$H$6:$H$101,D78))</f>
        <v/>
      </c>
      <c r="G78" s="26">
        <f>COS(2*PI()*$C$3*B78)</f>
        <v/>
      </c>
      <c r="H78" s="26">
        <f>SIN(2*PI()*$C$3*B78)</f>
        <v/>
      </c>
      <c r="I78" s="26">
        <f>E78*G78+F78*H78</f>
        <v/>
      </c>
    </row>
    <row r="79">
      <c r="A79" s="7" t="n">
        <v>72</v>
      </c>
      <c r="B79" s="26">
        <f>(A79-1)/2000*$C$2</f>
        <v/>
      </c>
      <c r="C79" s="7">
        <f>INDEX(Bits!$E$25:$E$124,INT(B79)+1)</f>
        <v/>
      </c>
      <c r="D79" s="7">
        <f>MAX(1,MIN(INT(B79/$C$4)+1,$C$5))</f>
        <v/>
      </c>
      <c r="E79" s="26">
        <f>IF($C$5=0,0,INDEX(Symboles!$G$6:$G$101,D79))</f>
        <v/>
      </c>
      <c r="F79" s="26">
        <f>IF($C$5=0,0,INDEX(Symboles!$H$6:$H$101,D79))</f>
        <v/>
      </c>
      <c r="G79" s="26">
        <f>COS(2*PI()*$C$3*B79)</f>
        <v/>
      </c>
      <c r="H79" s="26">
        <f>SIN(2*PI()*$C$3*B79)</f>
        <v/>
      </c>
      <c r="I79" s="26">
        <f>E79*G79+F79*H79</f>
        <v/>
      </c>
    </row>
    <row r="80">
      <c r="A80" s="7" t="n">
        <v>73</v>
      </c>
      <c r="B80" s="26">
        <f>(A80-1)/2000*$C$2</f>
        <v/>
      </c>
      <c r="C80" s="7">
        <f>INDEX(Bits!$E$25:$E$124,INT(B80)+1)</f>
        <v/>
      </c>
      <c r="D80" s="7">
        <f>MAX(1,MIN(INT(B80/$C$4)+1,$C$5))</f>
        <v/>
      </c>
      <c r="E80" s="26">
        <f>IF($C$5=0,0,INDEX(Symboles!$G$6:$G$101,D80))</f>
        <v/>
      </c>
      <c r="F80" s="26">
        <f>IF($C$5=0,0,INDEX(Symboles!$H$6:$H$101,D80))</f>
        <v/>
      </c>
      <c r="G80" s="26">
        <f>COS(2*PI()*$C$3*B80)</f>
        <v/>
      </c>
      <c r="H80" s="26">
        <f>SIN(2*PI()*$C$3*B80)</f>
        <v/>
      </c>
      <c r="I80" s="26">
        <f>E80*G80+F80*H80</f>
        <v/>
      </c>
    </row>
    <row r="81">
      <c r="A81" s="7" t="n">
        <v>74</v>
      </c>
      <c r="B81" s="26">
        <f>(A81-1)/2000*$C$2</f>
        <v/>
      </c>
      <c r="C81" s="7">
        <f>INDEX(Bits!$E$25:$E$124,INT(B81)+1)</f>
        <v/>
      </c>
      <c r="D81" s="7">
        <f>MAX(1,MIN(INT(B81/$C$4)+1,$C$5))</f>
        <v/>
      </c>
      <c r="E81" s="26">
        <f>IF($C$5=0,0,INDEX(Symboles!$G$6:$G$101,D81))</f>
        <v/>
      </c>
      <c r="F81" s="26">
        <f>IF($C$5=0,0,INDEX(Symboles!$H$6:$H$101,D81))</f>
        <v/>
      </c>
      <c r="G81" s="26">
        <f>COS(2*PI()*$C$3*B81)</f>
        <v/>
      </c>
      <c r="H81" s="26">
        <f>SIN(2*PI()*$C$3*B81)</f>
        <v/>
      </c>
      <c r="I81" s="26">
        <f>E81*G81+F81*H81</f>
        <v/>
      </c>
    </row>
    <row r="82">
      <c r="A82" s="7" t="n">
        <v>75</v>
      </c>
      <c r="B82" s="26">
        <f>(A82-1)/2000*$C$2</f>
        <v/>
      </c>
      <c r="C82" s="7">
        <f>INDEX(Bits!$E$25:$E$124,INT(B82)+1)</f>
        <v/>
      </c>
      <c r="D82" s="7">
        <f>MAX(1,MIN(INT(B82/$C$4)+1,$C$5))</f>
        <v/>
      </c>
      <c r="E82" s="26">
        <f>IF($C$5=0,0,INDEX(Symboles!$G$6:$G$101,D82))</f>
        <v/>
      </c>
      <c r="F82" s="26">
        <f>IF($C$5=0,0,INDEX(Symboles!$H$6:$H$101,D82))</f>
        <v/>
      </c>
      <c r="G82" s="26">
        <f>COS(2*PI()*$C$3*B82)</f>
        <v/>
      </c>
      <c r="H82" s="26">
        <f>SIN(2*PI()*$C$3*B82)</f>
        <v/>
      </c>
      <c r="I82" s="26">
        <f>E82*G82+F82*H82</f>
        <v/>
      </c>
    </row>
    <row r="83">
      <c r="A83" s="7" t="n">
        <v>76</v>
      </c>
      <c r="B83" s="26">
        <f>(A83-1)/2000*$C$2</f>
        <v/>
      </c>
      <c r="C83" s="7">
        <f>INDEX(Bits!$E$25:$E$124,INT(B83)+1)</f>
        <v/>
      </c>
      <c r="D83" s="7">
        <f>MAX(1,MIN(INT(B83/$C$4)+1,$C$5))</f>
        <v/>
      </c>
      <c r="E83" s="26">
        <f>IF($C$5=0,0,INDEX(Symboles!$G$6:$G$101,D83))</f>
        <v/>
      </c>
      <c r="F83" s="26">
        <f>IF($C$5=0,0,INDEX(Symboles!$H$6:$H$101,D83))</f>
        <v/>
      </c>
      <c r="G83" s="26">
        <f>COS(2*PI()*$C$3*B83)</f>
        <v/>
      </c>
      <c r="H83" s="26">
        <f>SIN(2*PI()*$C$3*B83)</f>
        <v/>
      </c>
      <c r="I83" s="26">
        <f>E83*G83+F83*H83</f>
        <v/>
      </c>
    </row>
    <row r="84">
      <c r="A84" s="7" t="n">
        <v>77</v>
      </c>
      <c r="B84" s="26">
        <f>(A84-1)/2000*$C$2</f>
        <v/>
      </c>
      <c r="C84" s="7">
        <f>INDEX(Bits!$E$25:$E$124,INT(B84)+1)</f>
        <v/>
      </c>
      <c r="D84" s="7">
        <f>MAX(1,MIN(INT(B84/$C$4)+1,$C$5))</f>
        <v/>
      </c>
      <c r="E84" s="26">
        <f>IF($C$5=0,0,INDEX(Symboles!$G$6:$G$101,D84))</f>
        <v/>
      </c>
      <c r="F84" s="26">
        <f>IF($C$5=0,0,INDEX(Symboles!$H$6:$H$101,D84))</f>
        <v/>
      </c>
      <c r="G84" s="26">
        <f>COS(2*PI()*$C$3*B84)</f>
        <v/>
      </c>
      <c r="H84" s="26">
        <f>SIN(2*PI()*$C$3*B84)</f>
        <v/>
      </c>
      <c r="I84" s="26">
        <f>E84*G84+F84*H84</f>
        <v/>
      </c>
    </row>
    <row r="85">
      <c r="A85" s="7" t="n">
        <v>78</v>
      </c>
      <c r="B85" s="26">
        <f>(A85-1)/2000*$C$2</f>
        <v/>
      </c>
      <c r="C85" s="7">
        <f>INDEX(Bits!$E$25:$E$124,INT(B85)+1)</f>
        <v/>
      </c>
      <c r="D85" s="7">
        <f>MAX(1,MIN(INT(B85/$C$4)+1,$C$5))</f>
        <v/>
      </c>
      <c r="E85" s="26">
        <f>IF($C$5=0,0,INDEX(Symboles!$G$6:$G$101,D85))</f>
        <v/>
      </c>
      <c r="F85" s="26">
        <f>IF($C$5=0,0,INDEX(Symboles!$H$6:$H$101,D85))</f>
        <v/>
      </c>
      <c r="G85" s="26">
        <f>COS(2*PI()*$C$3*B85)</f>
        <v/>
      </c>
      <c r="H85" s="26">
        <f>SIN(2*PI()*$C$3*B85)</f>
        <v/>
      </c>
      <c r="I85" s="26">
        <f>E85*G85+F85*H85</f>
        <v/>
      </c>
    </row>
    <row r="86">
      <c r="A86" s="7" t="n">
        <v>79</v>
      </c>
      <c r="B86" s="26">
        <f>(A86-1)/2000*$C$2</f>
        <v/>
      </c>
      <c r="C86" s="7">
        <f>INDEX(Bits!$E$25:$E$124,INT(B86)+1)</f>
        <v/>
      </c>
      <c r="D86" s="7">
        <f>MAX(1,MIN(INT(B86/$C$4)+1,$C$5))</f>
        <v/>
      </c>
      <c r="E86" s="26">
        <f>IF($C$5=0,0,INDEX(Symboles!$G$6:$G$101,D86))</f>
        <v/>
      </c>
      <c r="F86" s="26">
        <f>IF($C$5=0,0,INDEX(Symboles!$H$6:$H$101,D86))</f>
        <v/>
      </c>
      <c r="G86" s="26">
        <f>COS(2*PI()*$C$3*B86)</f>
        <v/>
      </c>
      <c r="H86" s="26">
        <f>SIN(2*PI()*$C$3*B86)</f>
        <v/>
      </c>
      <c r="I86" s="26">
        <f>E86*G86+F86*H86</f>
        <v/>
      </c>
    </row>
    <row r="87">
      <c r="A87" s="7" t="n">
        <v>80</v>
      </c>
      <c r="B87" s="26">
        <f>(A87-1)/2000*$C$2</f>
        <v/>
      </c>
      <c r="C87" s="7">
        <f>INDEX(Bits!$E$25:$E$124,INT(B87)+1)</f>
        <v/>
      </c>
      <c r="D87" s="7">
        <f>MAX(1,MIN(INT(B87/$C$4)+1,$C$5))</f>
        <v/>
      </c>
      <c r="E87" s="26">
        <f>IF($C$5=0,0,INDEX(Symboles!$G$6:$G$101,D87))</f>
        <v/>
      </c>
      <c r="F87" s="26">
        <f>IF($C$5=0,0,INDEX(Symboles!$H$6:$H$101,D87))</f>
        <v/>
      </c>
      <c r="G87" s="26">
        <f>COS(2*PI()*$C$3*B87)</f>
        <v/>
      </c>
      <c r="H87" s="26">
        <f>SIN(2*PI()*$C$3*B87)</f>
        <v/>
      </c>
      <c r="I87" s="26">
        <f>E87*G87+F87*H87</f>
        <v/>
      </c>
    </row>
    <row r="88">
      <c r="A88" s="7" t="n">
        <v>81</v>
      </c>
      <c r="B88" s="26">
        <f>(A88-1)/2000*$C$2</f>
        <v/>
      </c>
      <c r="C88" s="7">
        <f>INDEX(Bits!$E$25:$E$124,INT(B88)+1)</f>
        <v/>
      </c>
      <c r="D88" s="7">
        <f>MAX(1,MIN(INT(B88/$C$4)+1,$C$5))</f>
        <v/>
      </c>
      <c r="E88" s="26">
        <f>IF($C$5=0,0,INDEX(Symboles!$G$6:$G$101,D88))</f>
        <v/>
      </c>
      <c r="F88" s="26">
        <f>IF($C$5=0,0,INDEX(Symboles!$H$6:$H$101,D88))</f>
        <v/>
      </c>
      <c r="G88" s="26">
        <f>COS(2*PI()*$C$3*B88)</f>
        <v/>
      </c>
      <c r="H88" s="26">
        <f>SIN(2*PI()*$C$3*B88)</f>
        <v/>
      </c>
      <c r="I88" s="26">
        <f>E88*G88+F88*H88</f>
        <v/>
      </c>
    </row>
    <row r="89">
      <c r="A89" s="7" t="n">
        <v>82</v>
      </c>
      <c r="B89" s="26">
        <f>(A89-1)/2000*$C$2</f>
        <v/>
      </c>
      <c r="C89" s="7">
        <f>INDEX(Bits!$E$25:$E$124,INT(B89)+1)</f>
        <v/>
      </c>
      <c r="D89" s="7">
        <f>MAX(1,MIN(INT(B89/$C$4)+1,$C$5))</f>
        <v/>
      </c>
      <c r="E89" s="26">
        <f>IF($C$5=0,0,INDEX(Symboles!$G$6:$G$101,D89))</f>
        <v/>
      </c>
      <c r="F89" s="26">
        <f>IF($C$5=0,0,INDEX(Symboles!$H$6:$H$101,D89))</f>
        <v/>
      </c>
      <c r="G89" s="26">
        <f>COS(2*PI()*$C$3*B89)</f>
        <v/>
      </c>
      <c r="H89" s="26">
        <f>SIN(2*PI()*$C$3*B89)</f>
        <v/>
      </c>
      <c r="I89" s="26">
        <f>E89*G89+F89*H89</f>
        <v/>
      </c>
    </row>
    <row r="90">
      <c r="A90" s="7" t="n">
        <v>83</v>
      </c>
      <c r="B90" s="26">
        <f>(A90-1)/2000*$C$2</f>
        <v/>
      </c>
      <c r="C90" s="7">
        <f>INDEX(Bits!$E$25:$E$124,INT(B90)+1)</f>
        <v/>
      </c>
      <c r="D90" s="7">
        <f>MAX(1,MIN(INT(B90/$C$4)+1,$C$5))</f>
        <v/>
      </c>
      <c r="E90" s="26">
        <f>IF($C$5=0,0,INDEX(Symboles!$G$6:$G$101,D90))</f>
        <v/>
      </c>
      <c r="F90" s="26">
        <f>IF($C$5=0,0,INDEX(Symboles!$H$6:$H$101,D90))</f>
        <v/>
      </c>
      <c r="G90" s="26">
        <f>COS(2*PI()*$C$3*B90)</f>
        <v/>
      </c>
      <c r="H90" s="26">
        <f>SIN(2*PI()*$C$3*B90)</f>
        <v/>
      </c>
      <c r="I90" s="26">
        <f>E90*G90+F90*H90</f>
        <v/>
      </c>
    </row>
    <row r="91">
      <c r="A91" s="7" t="n">
        <v>84</v>
      </c>
      <c r="B91" s="26">
        <f>(A91-1)/2000*$C$2</f>
        <v/>
      </c>
      <c r="C91" s="7">
        <f>INDEX(Bits!$E$25:$E$124,INT(B91)+1)</f>
        <v/>
      </c>
      <c r="D91" s="7">
        <f>MAX(1,MIN(INT(B91/$C$4)+1,$C$5))</f>
        <v/>
      </c>
      <c r="E91" s="26">
        <f>IF($C$5=0,0,INDEX(Symboles!$G$6:$G$101,D91))</f>
        <v/>
      </c>
      <c r="F91" s="26">
        <f>IF($C$5=0,0,INDEX(Symboles!$H$6:$H$101,D91))</f>
        <v/>
      </c>
      <c r="G91" s="26">
        <f>COS(2*PI()*$C$3*B91)</f>
        <v/>
      </c>
      <c r="H91" s="26">
        <f>SIN(2*PI()*$C$3*B91)</f>
        <v/>
      </c>
      <c r="I91" s="26">
        <f>E91*G91+F91*H91</f>
        <v/>
      </c>
    </row>
    <row r="92">
      <c r="A92" s="7" t="n">
        <v>85</v>
      </c>
      <c r="B92" s="26">
        <f>(A92-1)/2000*$C$2</f>
        <v/>
      </c>
      <c r="C92" s="7">
        <f>INDEX(Bits!$E$25:$E$124,INT(B92)+1)</f>
        <v/>
      </c>
      <c r="D92" s="7">
        <f>MAX(1,MIN(INT(B92/$C$4)+1,$C$5))</f>
        <v/>
      </c>
      <c r="E92" s="26">
        <f>IF($C$5=0,0,INDEX(Symboles!$G$6:$G$101,D92))</f>
        <v/>
      </c>
      <c r="F92" s="26">
        <f>IF($C$5=0,0,INDEX(Symboles!$H$6:$H$101,D92))</f>
        <v/>
      </c>
      <c r="G92" s="26">
        <f>COS(2*PI()*$C$3*B92)</f>
        <v/>
      </c>
      <c r="H92" s="26">
        <f>SIN(2*PI()*$C$3*B92)</f>
        <v/>
      </c>
      <c r="I92" s="26">
        <f>E92*G92+F92*H92</f>
        <v/>
      </c>
    </row>
    <row r="93">
      <c r="A93" s="7" t="n">
        <v>86</v>
      </c>
      <c r="B93" s="26">
        <f>(A93-1)/2000*$C$2</f>
        <v/>
      </c>
      <c r="C93" s="7">
        <f>INDEX(Bits!$E$25:$E$124,INT(B93)+1)</f>
        <v/>
      </c>
      <c r="D93" s="7">
        <f>MAX(1,MIN(INT(B93/$C$4)+1,$C$5))</f>
        <v/>
      </c>
      <c r="E93" s="26">
        <f>IF($C$5=0,0,INDEX(Symboles!$G$6:$G$101,D93))</f>
        <v/>
      </c>
      <c r="F93" s="26">
        <f>IF($C$5=0,0,INDEX(Symboles!$H$6:$H$101,D93))</f>
        <v/>
      </c>
      <c r="G93" s="26">
        <f>COS(2*PI()*$C$3*B93)</f>
        <v/>
      </c>
      <c r="H93" s="26">
        <f>SIN(2*PI()*$C$3*B93)</f>
        <v/>
      </c>
      <c r="I93" s="26">
        <f>E93*G93+F93*H93</f>
        <v/>
      </c>
    </row>
    <row r="94">
      <c r="A94" s="7" t="n">
        <v>87</v>
      </c>
      <c r="B94" s="26">
        <f>(A94-1)/2000*$C$2</f>
        <v/>
      </c>
      <c r="C94" s="7">
        <f>INDEX(Bits!$E$25:$E$124,INT(B94)+1)</f>
        <v/>
      </c>
      <c r="D94" s="7">
        <f>MAX(1,MIN(INT(B94/$C$4)+1,$C$5))</f>
        <v/>
      </c>
      <c r="E94" s="26">
        <f>IF($C$5=0,0,INDEX(Symboles!$G$6:$G$101,D94))</f>
        <v/>
      </c>
      <c r="F94" s="26">
        <f>IF($C$5=0,0,INDEX(Symboles!$H$6:$H$101,D94))</f>
        <v/>
      </c>
      <c r="G94" s="26">
        <f>COS(2*PI()*$C$3*B94)</f>
        <v/>
      </c>
      <c r="H94" s="26">
        <f>SIN(2*PI()*$C$3*B94)</f>
        <v/>
      </c>
      <c r="I94" s="26">
        <f>E94*G94+F94*H94</f>
        <v/>
      </c>
    </row>
    <row r="95">
      <c r="A95" s="7" t="n">
        <v>88</v>
      </c>
      <c r="B95" s="26">
        <f>(A95-1)/2000*$C$2</f>
        <v/>
      </c>
      <c r="C95" s="7">
        <f>INDEX(Bits!$E$25:$E$124,INT(B95)+1)</f>
        <v/>
      </c>
      <c r="D95" s="7">
        <f>MAX(1,MIN(INT(B95/$C$4)+1,$C$5))</f>
        <v/>
      </c>
      <c r="E95" s="26">
        <f>IF($C$5=0,0,INDEX(Symboles!$G$6:$G$101,D95))</f>
        <v/>
      </c>
      <c r="F95" s="26">
        <f>IF($C$5=0,0,INDEX(Symboles!$H$6:$H$101,D95))</f>
        <v/>
      </c>
      <c r="G95" s="26">
        <f>COS(2*PI()*$C$3*B95)</f>
        <v/>
      </c>
      <c r="H95" s="26">
        <f>SIN(2*PI()*$C$3*B95)</f>
        <v/>
      </c>
      <c r="I95" s="26">
        <f>E95*G95+F95*H95</f>
        <v/>
      </c>
    </row>
    <row r="96">
      <c r="A96" s="7" t="n">
        <v>89</v>
      </c>
      <c r="B96" s="26">
        <f>(A96-1)/2000*$C$2</f>
        <v/>
      </c>
      <c r="C96" s="7">
        <f>INDEX(Bits!$E$25:$E$124,INT(B96)+1)</f>
        <v/>
      </c>
      <c r="D96" s="7">
        <f>MAX(1,MIN(INT(B96/$C$4)+1,$C$5))</f>
        <v/>
      </c>
      <c r="E96" s="26">
        <f>IF($C$5=0,0,INDEX(Symboles!$G$6:$G$101,D96))</f>
        <v/>
      </c>
      <c r="F96" s="26">
        <f>IF($C$5=0,0,INDEX(Symboles!$H$6:$H$101,D96))</f>
        <v/>
      </c>
      <c r="G96" s="26">
        <f>COS(2*PI()*$C$3*B96)</f>
        <v/>
      </c>
      <c r="H96" s="26">
        <f>SIN(2*PI()*$C$3*B96)</f>
        <v/>
      </c>
      <c r="I96" s="26">
        <f>E96*G96+F96*H96</f>
        <v/>
      </c>
    </row>
    <row r="97">
      <c r="A97" s="7" t="n">
        <v>90</v>
      </c>
      <c r="B97" s="26">
        <f>(A97-1)/2000*$C$2</f>
        <v/>
      </c>
      <c r="C97" s="7">
        <f>INDEX(Bits!$E$25:$E$124,INT(B97)+1)</f>
        <v/>
      </c>
      <c r="D97" s="7">
        <f>MAX(1,MIN(INT(B97/$C$4)+1,$C$5))</f>
        <v/>
      </c>
      <c r="E97" s="26">
        <f>IF($C$5=0,0,INDEX(Symboles!$G$6:$G$101,D97))</f>
        <v/>
      </c>
      <c r="F97" s="26">
        <f>IF($C$5=0,0,INDEX(Symboles!$H$6:$H$101,D97))</f>
        <v/>
      </c>
      <c r="G97" s="26">
        <f>COS(2*PI()*$C$3*B97)</f>
        <v/>
      </c>
      <c r="H97" s="26">
        <f>SIN(2*PI()*$C$3*B97)</f>
        <v/>
      </c>
      <c r="I97" s="26">
        <f>E97*G97+F97*H97</f>
        <v/>
      </c>
    </row>
    <row r="98">
      <c r="A98" s="7" t="n">
        <v>91</v>
      </c>
      <c r="B98" s="26">
        <f>(A98-1)/2000*$C$2</f>
        <v/>
      </c>
      <c r="C98" s="7">
        <f>INDEX(Bits!$E$25:$E$124,INT(B98)+1)</f>
        <v/>
      </c>
      <c r="D98" s="7">
        <f>MAX(1,MIN(INT(B98/$C$4)+1,$C$5))</f>
        <v/>
      </c>
      <c r="E98" s="26">
        <f>IF($C$5=0,0,INDEX(Symboles!$G$6:$G$101,D98))</f>
        <v/>
      </c>
      <c r="F98" s="26">
        <f>IF($C$5=0,0,INDEX(Symboles!$H$6:$H$101,D98))</f>
        <v/>
      </c>
      <c r="G98" s="26">
        <f>COS(2*PI()*$C$3*B98)</f>
        <v/>
      </c>
      <c r="H98" s="26">
        <f>SIN(2*PI()*$C$3*B98)</f>
        <v/>
      </c>
      <c r="I98" s="26">
        <f>E98*G98+F98*H98</f>
        <v/>
      </c>
    </row>
    <row r="99">
      <c r="A99" s="7" t="n">
        <v>92</v>
      </c>
      <c r="B99" s="26">
        <f>(A99-1)/2000*$C$2</f>
        <v/>
      </c>
      <c r="C99" s="7">
        <f>INDEX(Bits!$E$25:$E$124,INT(B99)+1)</f>
        <v/>
      </c>
      <c r="D99" s="7">
        <f>MAX(1,MIN(INT(B99/$C$4)+1,$C$5))</f>
        <v/>
      </c>
      <c r="E99" s="26">
        <f>IF($C$5=0,0,INDEX(Symboles!$G$6:$G$101,D99))</f>
        <v/>
      </c>
      <c r="F99" s="26">
        <f>IF($C$5=0,0,INDEX(Symboles!$H$6:$H$101,D99))</f>
        <v/>
      </c>
      <c r="G99" s="26">
        <f>COS(2*PI()*$C$3*B99)</f>
        <v/>
      </c>
      <c r="H99" s="26">
        <f>SIN(2*PI()*$C$3*B99)</f>
        <v/>
      </c>
      <c r="I99" s="26">
        <f>E99*G99+F99*H99</f>
        <v/>
      </c>
    </row>
    <row r="100">
      <c r="A100" s="7" t="n">
        <v>93</v>
      </c>
      <c r="B100" s="26">
        <f>(A100-1)/2000*$C$2</f>
        <v/>
      </c>
      <c r="C100" s="7">
        <f>INDEX(Bits!$E$25:$E$124,INT(B100)+1)</f>
        <v/>
      </c>
      <c r="D100" s="7">
        <f>MAX(1,MIN(INT(B100/$C$4)+1,$C$5))</f>
        <v/>
      </c>
      <c r="E100" s="26">
        <f>IF($C$5=0,0,INDEX(Symboles!$G$6:$G$101,D100))</f>
        <v/>
      </c>
      <c r="F100" s="26">
        <f>IF($C$5=0,0,INDEX(Symboles!$H$6:$H$101,D100))</f>
        <v/>
      </c>
      <c r="G100" s="26">
        <f>COS(2*PI()*$C$3*B100)</f>
        <v/>
      </c>
      <c r="H100" s="26">
        <f>SIN(2*PI()*$C$3*B100)</f>
        <v/>
      </c>
      <c r="I100" s="26">
        <f>E100*G100+F100*H100</f>
        <v/>
      </c>
    </row>
    <row r="101">
      <c r="A101" s="7" t="n">
        <v>94</v>
      </c>
      <c r="B101" s="26">
        <f>(A101-1)/2000*$C$2</f>
        <v/>
      </c>
      <c r="C101" s="7">
        <f>INDEX(Bits!$E$25:$E$124,INT(B101)+1)</f>
        <v/>
      </c>
      <c r="D101" s="7">
        <f>MAX(1,MIN(INT(B101/$C$4)+1,$C$5))</f>
        <v/>
      </c>
      <c r="E101" s="26">
        <f>IF($C$5=0,0,INDEX(Symboles!$G$6:$G$101,D101))</f>
        <v/>
      </c>
      <c r="F101" s="26">
        <f>IF($C$5=0,0,INDEX(Symboles!$H$6:$H$101,D101))</f>
        <v/>
      </c>
      <c r="G101" s="26">
        <f>COS(2*PI()*$C$3*B101)</f>
        <v/>
      </c>
      <c r="H101" s="26">
        <f>SIN(2*PI()*$C$3*B101)</f>
        <v/>
      </c>
      <c r="I101" s="26">
        <f>E101*G101+F101*H101</f>
        <v/>
      </c>
    </row>
    <row r="102">
      <c r="A102" s="7" t="n">
        <v>95</v>
      </c>
      <c r="B102" s="26">
        <f>(A102-1)/2000*$C$2</f>
        <v/>
      </c>
      <c r="C102" s="7">
        <f>INDEX(Bits!$E$25:$E$124,INT(B102)+1)</f>
        <v/>
      </c>
      <c r="D102" s="7">
        <f>MAX(1,MIN(INT(B102/$C$4)+1,$C$5))</f>
        <v/>
      </c>
      <c r="E102" s="26">
        <f>IF($C$5=0,0,INDEX(Symboles!$G$6:$G$101,D102))</f>
        <v/>
      </c>
      <c r="F102" s="26">
        <f>IF($C$5=0,0,INDEX(Symboles!$H$6:$H$101,D102))</f>
        <v/>
      </c>
      <c r="G102" s="26">
        <f>COS(2*PI()*$C$3*B102)</f>
        <v/>
      </c>
      <c r="H102" s="26">
        <f>SIN(2*PI()*$C$3*B102)</f>
        <v/>
      </c>
      <c r="I102" s="26">
        <f>E102*G102+F102*H102</f>
        <v/>
      </c>
    </row>
    <row r="103">
      <c r="A103" s="7" t="n">
        <v>96</v>
      </c>
      <c r="B103" s="26">
        <f>(A103-1)/2000*$C$2</f>
        <v/>
      </c>
      <c r="C103" s="7">
        <f>INDEX(Bits!$E$25:$E$124,INT(B103)+1)</f>
        <v/>
      </c>
      <c r="D103" s="7">
        <f>MAX(1,MIN(INT(B103/$C$4)+1,$C$5))</f>
        <v/>
      </c>
      <c r="E103" s="26">
        <f>IF($C$5=0,0,INDEX(Symboles!$G$6:$G$101,D103))</f>
        <v/>
      </c>
      <c r="F103" s="26">
        <f>IF($C$5=0,0,INDEX(Symboles!$H$6:$H$101,D103))</f>
        <v/>
      </c>
      <c r="G103" s="26">
        <f>COS(2*PI()*$C$3*B103)</f>
        <v/>
      </c>
      <c r="H103" s="26">
        <f>SIN(2*PI()*$C$3*B103)</f>
        <v/>
      </c>
      <c r="I103" s="26">
        <f>E103*G103+F103*H103</f>
        <v/>
      </c>
    </row>
    <row r="104">
      <c r="A104" s="7" t="n">
        <v>97</v>
      </c>
      <c r="B104" s="26">
        <f>(A104-1)/2000*$C$2</f>
        <v/>
      </c>
      <c r="C104" s="7">
        <f>INDEX(Bits!$E$25:$E$124,INT(B104)+1)</f>
        <v/>
      </c>
      <c r="D104" s="7">
        <f>MAX(1,MIN(INT(B104/$C$4)+1,$C$5))</f>
        <v/>
      </c>
      <c r="E104" s="26">
        <f>IF($C$5=0,0,INDEX(Symboles!$G$6:$G$101,D104))</f>
        <v/>
      </c>
      <c r="F104" s="26">
        <f>IF($C$5=0,0,INDEX(Symboles!$H$6:$H$101,D104))</f>
        <v/>
      </c>
      <c r="G104" s="26">
        <f>COS(2*PI()*$C$3*B104)</f>
        <v/>
      </c>
      <c r="H104" s="26">
        <f>SIN(2*PI()*$C$3*B104)</f>
        <v/>
      </c>
      <c r="I104" s="26">
        <f>E104*G104+F104*H104</f>
        <v/>
      </c>
    </row>
    <row r="105">
      <c r="A105" s="7" t="n">
        <v>98</v>
      </c>
      <c r="B105" s="26">
        <f>(A105-1)/2000*$C$2</f>
        <v/>
      </c>
      <c r="C105" s="7">
        <f>INDEX(Bits!$E$25:$E$124,INT(B105)+1)</f>
        <v/>
      </c>
      <c r="D105" s="7">
        <f>MAX(1,MIN(INT(B105/$C$4)+1,$C$5))</f>
        <v/>
      </c>
      <c r="E105" s="26">
        <f>IF($C$5=0,0,INDEX(Symboles!$G$6:$G$101,D105))</f>
        <v/>
      </c>
      <c r="F105" s="26">
        <f>IF($C$5=0,0,INDEX(Symboles!$H$6:$H$101,D105))</f>
        <v/>
      </c>
      <c r="G105" s="26">
        <f>COS(2*PI()*$C$3*B105)</f>
        <v/>
      </c>
      <c r="H105" s="26">
        <f>SIN(2*PI()*$C$3*B105)</f>
        <v/>
      </c>
      <c r="I105" s="26">
        <f>E105*G105+F105*H105</f>
        <v/>
      </c>
    </row>
    <row r="106">
      <c r="A106" s="7" t="n">
        <v>99</v>
      </c>
      <c r="B106" s="26">
        <f>(A106-1)/2000*$C$2</f>
        <v/>
      </c>
      <c r="C106" s="7">
        <f>INDEX(Bits!$E$25:$E$124,INT(B106)+1)</f>
        <v/>
      </c>
      <c r="D106" s="7">
        <f>MAX(1,MIN(INT(B106/$C$4)+1,$C$5))</f>
        <v/>
      </c>
      <c r="E106" s="26">
        <f>IF($C$5=0,0,INDEX(Symboles!$G$6:$G$101,D106))</f>
        <v/>
      </c>
      <c r="F106" s="26">
        <f>IF($C$5=0,0,INDEX(Symboles!$H$6:$H$101,D106))</f>
        <v/>
      </c>
      <c r="G106" s="26">
        <f>COS(2*PI()*$C$3*B106)</f>
        <v/>
      </c>
      <c r="H106" s="26">
        <f>SIN(2*PI()*$C$3*B106)</f>
        <v/>
      </c>
      <c r="I106" s="26">
        <f>E106*G106+F106*H106</f>
        <v/>
      </c>
    </row>
    <row r="107">
      <c r="A107" s="7" t="n">
        <v>100</v>
      </c>
      <c r="B107" s="26">
        <f>(A107-1)/2000*$C$2</f>
        <v/>
      </c>
      <c r="C107" s="7">
        <f>INDEX(Bits!$E$25:$E$124,INT(B107)+1)</f>
        <v/>
      </c>
      <c r="D107" s="7">
        <f>MAX(1,MIN(INT(B107/$C$4)+1,$C$5))</f>
        <v/>
      </c>
      <c r="E107" s="26">
        <f>IF($C$5=0,0,INDEX(Symboles!$G$6:$G$101,D107))</f>
        <v/>
      </c>
      <c r="F107" s="26">
        <f>IF($C$5=0,0,INDEX(Symboles!$H$6:$H$101,D107))</f>
        <v/>
      </c>
      <c r="G107" s="26">
        <f>COS(2*PI()*$C$3*B107)</f>
        <v/>
      </c>
      <c r="H107" s="26">
        <f>SIN(2*PI()*$C$3*B107)</f>
        <v/>
      </c>
      <c r="I107" s="26">
        <f>E107*G107+F107*H107</f>
        <v/>
      </c>
    </row>
    <row r="108">
      <c r="A108" s="7" t="n">
        <v>101</v>
      </c>
      <c r="B108" s="26">
        <f>(A108-1)/2000*$C$2</f>
        <v/>
      </c>
      <c r="C108" s="7">
        <f>INDEX(Bits!$E$25:$E$124,INT(B108)+1)</f>
        <v/>
      </c>
      <c r="D108" s="7">
        <f>MAX(1,MIN(INT(B108/$C$4)+1,$C$5))</f>
        <v/>
      </c>
      <c r="E108" s="26">
        <f>IF($C$5=0,0,INDEX(Symboles!$G$6:$G$101,D108))</f>
        <v/>
      </c>
      <c r="F108" s="26">
        <f>IF($C$5=0,0,INDEX(Symboles!$H$6:$H$101,D108))</f>
        <v/>
      </c>
      <c r="G108" s="26">
        <f>COS(2*PI()*$C$3*B108)</f>
        <v/>
      </c>
      <c r="H108" s="26">
        <f>SIN(2*PI()*$C$3*B108)</f>
        <v/>
      </c>
      <c r="I108" s="26">
        <f>E108*G108+F108*H108</f>
        <v/>
      </c>
    </row>
    <row r="109">
      <c r="A109" s="7" t="n">
        <v>102</v>
      </c>
      <c r="B109" s="26">
        <f>(A109-1)/2000*$C$2</f>
        <v/>
      </c>
      <c r="C109" s="7">
        <f>INDEX(Bits!$E$25:$E$124,INT(B109)+1)</f>
        <v/>
      </c>
      <c r="D109" s="7">
        <f>MAX(1,MIN(INT(B109/$C$4)+1,$C$5))</f>
        <v/>
      </c>
      <c r="E109" s="26">
        <f>IF($C$5=0,0,INDEX(Symboles!$G$6:$G$101,D109))</f>
        <v/>
      </c>
      <c r="F109" s="26">
        <f>IF($C$5=0,0,INDEX(Symboles!$H$6:$H$101,D109))</f>
        <v/>
      </c>
      <c r="G109" s="26">
        <f>COS(2*PI()*$C$3*B109)</f>
        <v/>
      </c>
      <c r="H109" s="26">
        <f>SIN(2*PI()*$C$3*B109)</f>
        <v/>
      </c>
      <c r="I109" s="26">
        <f>E109*G109+F109*H109</f>
        <v/>
      </c>
    </row>
    <row r="110">
      <c r="A110" s="7" t="n">
        <v>103</v>
      </c>
      <c r="B110" s="26">
        <f>(A110-1)/2000*$C$2</f>
        <v/>
      </c>
      <c r="C110" s="7">
        <f>INDEX(Bits!$E$25:$E$124,INT(B110)+1)</f>
        <v/>
      </c>
      <c r="D110" s="7">
        <f>MAX(1,MIN(INT(B110/$C$4)+1,$C$5))</f>
        <v/>
      </c>
      <c r="E110" s="26">
        <f>IF($C$5=0,0,INDEX(Symboles!$G$6:$G$101,D110))</f>
        <v/>
      </c>
      <c r="F110" s="26">
        <f>IF($C$5=0,0,INDEX(Symboles!$H$6:$H$101,D110))</f>
        <v/>
      </c>
      <c r="G110" s="26">
        <f>COS(2*PI()*$C$3*B110)</f>
        <v/>
      </c>
      <c r="H110" s="26">
        <f>SIN(2*PI()*$C$3*B110)</f>
        <v/>
      </c>
      <c r="I110" s="26">
        <f>E110*G110+F110*H110</f>
        <v/>
      </c>
    </row>
    <row r="111">
      <c r="A111" s="7" t="n">
        <v>104</v>
      </c>
      <c r="B111" s="26">
        <f>(A111-1)/2000*$C$2</f>
        <v/>
      </c>
      <c r="C111" s="7">
        <f>INDEX(Bits!$E$25:$E$124,INT(B111)+1)</f>
        <v/>
      </c>
      <c r="D111" s="7">
        <f>MAX(1,MIN(INT(B111/$C$4)+1,$C$5))</f>
        <v/>
      </c>
      <c r="E111" s="26">
        <f>IF($C$5=0,0,INDEX(Symboles!$G$6:$G$101,D111))</f>
        <v/>
      </c>
      <c r="F111" s="26">
        <f>IF($C$5=0,0,INDEX(Symboles!$H$6:$H$101,D111))</f>
        <v/>
      </c>
      <c r="G111" s="26">
        <f>COS(2*PI()*$C$3*B111)</f>
        <v/>
      </c>
      <c r="H111" s="26">
        <f>SIN(2*PI()*$C$3*B111)</f>
        <v/>
      </c>
      <c r="I111" s="26">
        <f>E111*G111+F111*H111</f>
        <v/>
      </c>
    </row>
    <row r="112">
      <c r="A112" s="7" t="n">
        <v>105</v>
      </c>
      <c r="B112" s="26">
        <f>(A112-1)/2000*$C$2</f>
        <v/>
      </c>
      <c r="C112" s="7">
        <f>INDEX(Bits!$E$25:$E$124,INT(B112)+1)</f>
        <v/>
      </c>
      <c r="D112" s="7">
        <f>MAX(1,MIN(INT(B112/$C$4)+1,$C$5))</f>
        <v/>
      </c>
      <c r="E112" s="26">
        <f>IF($C$5=0,0,INDEX(Symboles!$G$6:$G$101,D112))</f>
        <v/>
      </c>
      <c r="F112" s="26">
        <f>IF($C$5=0,0,INDEX(Symboles!$H$6:$H$101,D112))</f>
        <v/>
      </c>
      <c r="G112" s="26">
        <f>COS(2*PI()*$C$3*B112)</f>
        <v/>
      </c>
      <c r="H112" s="26">
        <f>SIN(2*PI()*$C$3*B112)</f>
        <v/>
      </c>
      <c r="I112" s="26">
        <f>E112*G112+F112*H112</f>
        <v/>
      </c>
    </row>
    <row r="113">
      <c r="A113" s="7" t="n">
        <v>106</v>
      </c>
      <c r="B113" s="26">
        <f>(A113-1)/2000*$C$2</f>
        <v/>
      </c>
      <c r="C113" s="7">
        <f>INDEX(Bits!$E$25:$E$124,INT(B113)+1)</f>
        <v/>
      </c>
      <c r="D113" s="7">
        <f>MAX(1,MIN(INT(B113/$C$4)+1,$C$5))</f>
        <v/>
      </c>
      <c r="E113" s="26">
        <f>IF($C$5=0,0,INDEX(Symboles!$G$6:$G$101,D113))</f>
        <v/>
      </c>
      <c r="F113" s="26">
        <f>IF($C$5=0,0,INDEX(Symboles!$H$6:$H$101,D113))</f>
        <v/>
      </c>
      <c r="G113" s="26">
        <f>COS(2*PI()*$C$3*B113)</f>
        <v/>
      </c>
      <c r="H113" s="26">
        <f>SIN(2*PI()*$C$3*B113)</f>
        <v/>
      </c>
      <c r="I113" s="26">
        <f>E113*G113+F113*H113</f>
        <v/>
      </c>
    </row>
    <row r="114">
      <c r="A114" s="7" t="n">
        <v>107</v>
      </c>
      <c r="B114" s="26">
        <f>(A114-1)/2000*$C$2</f>
        <v/>
      </c>
      <c r="C114" s="7">
        <f>INDEX(Bits!$E$25:$E$124,INT(B114)+1)</f>
        <v/>
      </c>
      <c r="D114" s="7">
        <f>MAX(1,MIN(INT(B114/$C$4)+1,$C$5))</f>
        <v/>
      </c>
      <c r="E114" s="26">
        <f>IF($C$5=0,0,INDEX(Symboles!$G$6:$G$101,D114))</f>
        <v/>
      </c>
      <c r="F114" s="26">
        <f>IF($C$5=0,0,INDEX(Symboles!$H$6:$H$101,D114))</f>
        <v/>
      </c>
      <c r="G114" s="26">
        <f>COS(2*PI()*$C$3*B114)</f>
        <v/>
      </c>
      <c r="H114" s="26">
        <f>SIN(2*PI()*$C$3*B114)</f>
        <v/>
      </c>
      <c r="I114" s="26">
        <f>E114*G114+F114*H114</f>
        <v/>
      </c>
    </row>
    <row r="115">
      <c r="A115" s="7" t="n">
        <v>108</v>
      </c>
      <c r="B115" s="26">
        <f>(A115-1)/2000*$C$2</f>
        <v/>
      </c>
      <c r="C115" s="7">
        <f>INDEX(Bits!$E$25:$E$124,INT(B115)+1)</f>
        <v/>
      </c>
      <c r="D115" s="7">
        <f>MAX(1,MIN(INT(B115/$C$4)+1,$C$5))</f>
        <v/>
      </c>
      <c r="E115" s="26">
        <f>IF($C$5=0,0,INDEX(Symboles!$G$6:$G$101,D115))</f>
        <v/>
      </c>
      <c r="F115" s="26">
        <f>IF($C$5=0,0,INDEX(Symboles!$H$6:$H$101,D115))</f>
        <v/>
      </c>
      <c r="G115" s="26">
        <f>COS(2*PI()*$C$3*B115)</f>
        <v/>
      </c>
      <c r="H115" s="26">
        <f>SIN(2*PI()*$C$3*B115)</f>
        <v/>
      </c>
      <c r="I115" s="26">
        <f>E115*G115+F115*H115</f>
        <v/>
      </c>
    </row>
    <row r="116">
      <c r="A116" s="7" t="n">
        <v>109</v>
      </c>
      <c r="B116" s="26">
        <f>(A116-1)/2000*$C$2</f>
        <v/>
      </c>
      <c r="C116" s="7">
        <f>INDEX(Bits!$E$25:$E$124,INT(B116)+1)</f>
        <v/>
      </c>
      <c r="D116" s="7">
        <f>MAX(1,MIN(INT(B116/$C$4)+1,$C$5))</f>
        <v/>
      </c>
      <c r="E116" s="26">
        <f>IF($C$5=0,0,INDEX(Symboles!$G$6:$G$101,D116))</f>
        <v/>
      </c>
      <c r="F116" s="26">
        <f>IF($C$5=0,0,INDEX(Symboles!$H$6:$H$101,D116))</f>
        <v/>
      </c>
      <c r="G116" s="26">
        <f>COS(2*PI()*$C$3*B116)</f>
        <v/>
      </c>
      <c r="H116" s="26">
        <f>SIN(2*PI()*$C$3*B116)</f>
        <v/>
      </c>
      <c r="I116" s="26">
        <f>E116*G116+F116*H116</f>
        <v/>
      </c>
    </row>
    <row r="117">
      <c r="A117" s="7" t="n">
        <v>110</v>
      </c>
      <c r="B117" s="26">
        <f>(A117-1)/2000*$C$2</f>
        <v/>
      </c>
      <c r="C117" s="7">
        <f>INDEX(Bits!$E$25:$E$124,INT(B117)+1)</f>
        <v/>
      </c>
      <c r="D117" s="7">
        <f>MAX(1,MIN(INT(B117/$C$4)+1,$C$5))</f>
        <v/>
      </c>
      <c r="E117" s="26">
        <f>IF($C$5=0,0,INDEX(Symboles!$G$6:$G$101,D117))</f>
        <v/>
      </c>
      <c r="F117" s="26">
        <f>IF($C$5=0,0,INDEX(Symboles!$H$6:$H$101,D117))</f>
        <v/>
      </c>
      <c r="G117" s="26">
        <f>COS(2*PI()*$C$3*B117)</f>
        <v/>
      </c>
      <c r="H117" s="26">
        <f>SIN(2*PI()*$C$3*B117)</f>
        <v/>
      </c>
      <c r="I117" s="26">
        <f>E117*G117+F117*H117</f>
        <v/>
      </c>
    </row>
    <row r="118">
      <c r="A118" s="7" t="n">
        <v>111</v>
      </c>
      <c r="B118" s="26">
        <f>(A118-1)/2000*$C$2</f>
        <v/>
      </c>
      <c r="C118" s="7">
        <f>INDEX(Bits!$E$25:$E$124,INT(B118)+1)</f>
        <v/>
      </c>
      <c r="D118" s="7">
        <f>MAX(1,MIN(INT(B118/$C$4)+1,$C$5))</f>
        <v/>
      </c>
      <c r="E118" s="26">
        <f>IF($C$5=0,0,INDEX(Symboles!$G$6:$G$101,D118))</f>
        <v/>
      </c>
      <c r="F118" s="26">
        <f>IF($C$5=0,0,INDEX(Symboles!$H$6:$H$101,D118))</f>
        <v/>
      </c>
      <c r="G118" s="26">
        <f>COS(2*PI()*$C$3*B118)</f>
        <v/>
      </c>
      <c r="H118" s="26">
        <f>SIN(2*PI()*$C$3*B118)</f>
        <v/>
      </c>
      <c r="I118" s="26">
        <f>E118*G118+F118*H118</f>
        <v/>
      </c>
    </row>
    <row r="119">
      <c r="A119" s="7" t="n">
        <v>112</v>
      </c>
      <c r="B119" s="26">
        <f>(A119-1)/2000*$C$2</f>
        <v/>
      </c>
      <c r="C119" s="7">
        <f>INDEX(Bits!$E$25:$E$124,INT(B119)+1)</f>
        <v/>
      </c>
      <c r="D119" s="7">
        <f>MAX(1,MIN(INT(B119/$C$4)+1,$C$5))</f>
        <v/>
      </c>
      <c r="E119" s="26">
        <f>IF($C$5=0,0,INDEX(Symboles!$G$6:$G$101,D119))</f>
        <v/>
      </c>
      <c r="F119" s="26">
        <f>IF($C$5=0,0,INDEX(Symboles!$H$6:$H$101,D119))</f>
        <v/>
      </c>
      <c r="G119" s="26">
        <f>COS(2*PI()*$C$3*B119)</f>
        <v/>
      </c>
      <c r="H119" s="26">
        <f>SIN(2*PI()*$C$3*B119)</f>
        <v/>
      </c>
      <c r="I119" s="26">
        <f>E119*G119+F119*H119</f>
        <v/>
      </c>
    </row>
    <row r="120">
      <c r="A120" s="7" t="n">
        <v>113</v>
      </c>
      <c r="B120" s="26">
        <f>(A120-1)/2000*$C$2</f>
        <v/>
      </c>
      <c r="C120" s="7">
        <f>INDEX(Bits!$E$25:$E$124,INT(B120)+1)</f>
        <v/>
      </c>
      <c r="D120" s="7">
        <f>MAX(1,MIN(INT(B120/$C$4)+1,$C$5))</f>
        <v/>
      </c>
      <c r="E120" s="26">
        <f>IF($C$5=0,0,INDEX(Symboles!$G$6:$G$101,D120))</f>
        <v/>
      </c>
      <c r="F120" s="26">
        <f>IF($C$5=0,0,INDEX(Symboles!$H$6:$H$101,D120))</f>
        <v/>
      </c>
      <c r="G120" s="26">
        <f>COS(2*PI()*$C$3*B120)</f>
        <v/>
      </c>
      <c r="H120" s="26">
        <f>SIN(2*PI()*$C$3*B120)</f>
        <v/>
      </c>
      <c r="I120" s="26">
        <f>E120*G120+F120*H120</f>
        <v/>
      </c>
    </row>
    <row r="121">
      <c r="A121" s="7" t="n">
        <v>114</v>
      </c>
      <c r="B121" s="26">
        <f>(A121-1)/2000*$C$2</f>
        <v/>
      </c>
      <c r="C121" s="7">
        <f>INDEX(Bits!$E$25:$E$124,INT(B121)+1)</f>
        <v/>
      </c>
      <c r="D121" s="7">
        <f>MAX(1,MIN(INT(B121/$C$4)+1,$C$5))</f>
        <v/>
      </c>
      <c r="E121" s="26">
        <f>IF($C$5=0,0,INDEX(Symboles!$G$6:$G$101,D121))</f>
        <v/>
      </c>
      <c r="F121" s="26">
        <f>IF($C$5=0,0,INDEX(Symboles!$H$6:$H$101,D121))</f>
        <v/>
      </c>
      <c r="G121" s="26">
        <f>COS(2*PI()*$C$3*B121)</f>
        <v/>
      </c>
      <c r="H121" s="26">
        <f>SIN(2*PI()*$C$3*B121)</f>
        <v/>
      </c>
      <c r="I121" s="26">
        <f>E121*G121+F121*H121</f>
        <v/>
      </c>
    </row>
    <row r="122">
      <c r="A122" s="7" t="n">
        <v>115</v>
      </c>
      <c r="B122" s="26">
        <f>(A122-1)/2000*$C$2</f>
        <v/>
      </c>
      <c r="C122" s="7">
        <f>INDEX(Bits!$E$25:$E$124,INT(B122)+1)</f>
        <v/>
      </c>
      <c r="D122" s="7">
        <f>MAX(1,MIN(INT(B122/$C$4)+1,$C$5))</f>
        <v/>
      </c>
      <c r="E122" s="26">
        <f>IF($C$5=0,0,INDEX(Symboles!$G$6:$G$101,D122))</f>
        <v/>
      </c>
      <c r="F122" s="26">
        <f>IF($C$5=0,0,INDEX(Symboles!$H$6:$H$101,D122))</f>
        <v/>
      </c>
      <c r="G122" s="26">
        <f>COS(2*PI()*$C$3*B122)</f>
        <v/>
      </c>
      <c r="H122" s="26">
        <f>SIN(2*PI()*$C$3*B122)</f>
        <v/>
      </c>
      <c r="I122" s="26">
        <f>E122*G122+F122*H122</f>
        <v/>
      </c>
    </row>
    <row r="123">
      <c r="A123" s="7" t="n">
        <v>116</v>
      </c>
      <c r="B123" s="26">
        <f>(A123-1)/2000*$C$2</f>
        <v/>
      </c>
      <c r="C123" s="7">
        <f>INDEX(Bits!$E$25:$E$124,INT(B123)+1)</f>
        <v/>
      </c>
      <c r="D123" s="7">
        <f>MAX(1,MIN(INT(B123/$C$4)+1,$C$5))</f>
        <v/>
      </c>
      <c r="E123" s="26">
        <f>IF($C$5=0,0,INDEX(Symboles!$G$6:$G$101,D123))</f>
        <v/>
      </c>
      <c r="F123" s="26">
        <f>IF($C$5=0,0,INDEX(Symboles!$H$6:$H$101,D123))</f>
        <v/>
      </c>
      <c r="G123" s="26">
        <f>COS(2*PI()*$C$3*B123)</f>
        <v/>
      </c>
      <c r="H123" s="26">
        <f>SIN(2*PI()*$C$3*B123)</f>
        <v/>
      </c>
      <c r="I123" s="26">
        <f>E123*G123+F123*H123</f>
        <v/>
      </c>
    </row>
    <row r="124">
      <c r="A124" s="7" t="n">
        <v>117</v>
      </c>
      <c r="B124" s="26">
        <f>(A124-1)/2000*$C$2</f>
        <v/>
      </c>
      <c r="C124" s="7">
        <f>INDEX(Bits!$E$25:$E$124,INT(B124)+1)</f>
        <v/>
      </c>
      <c r="D124" s="7">
        <f>MAX(1,MIN(INT(B124/$C$4)+1,$C$5))</f>
        <v/>
      </c>
      <c r="E124" s="26">
        <f>IF($C$5=0,0,INDEX(Symboles!$G$6:$G$101,D124))</f>
        <v/>
      </c>
      <c r="F124" s="26">
        <f>IF($C$5=0,0,INDEX(Symboles!$H$6:$H$101,D124))</f>
        <v/>
      </c>
      <c r="G124" s="26">
        <f>COS(2*PI()*$C$3*B124)</f>
        <v/>
      </c>
      <c r="H124" s="26">
        <f>SIN(2*PI()*$C$3*B124)</f>
        <v/>
      </c>
      <c r="I124" s="26">
        <f>E124*G124+F124*H124</f>
        <v/>
      </c>
    </row>
    <row r="125">
      <c r="A125" s="7" t="n">
        <v>118</v>
      </c>
      <c r="B125" s="26">
        <f>(A125-1)/2000*$C$2</f>
        <v/>
      </c>
      <c r="C125" s="7">
        <f>INDEX(Bits!$E$25:$E$124,INT(B125)+1)</f>
        <v/>
      </c>
      <c r="D125" s="7">
        <f>MAX(1,MIN(INT(B125/$C$4)+1,$C$5))</f>
        <v/>
      </c>
      <c r="E125" s="26">
        <f>IF($C$5=0,0,INDEX(Symboles!$G$6:$G$101,D125))</f>
        <v/>
      </c>
      <c r="F125" s="26">
        <f>IF($C$5=0,0,INDEX(Symboles!$H$6:$H$101,D125))</f>
        <v/>
      </c>
      <c r="G125" s="26">
        <f>COS(2*PI()*$C$3*B125)</f>
        <v/>
      </c>
      <c r="H125" s="26">
        <f>SIN(2*PI()*$C$3*B125)</f>
        <v/>
      </c>
      <c r="I125" s="26">
        <f>E125*G125+F125*H125</f>
        <v/>
      </c>
    </row>
    <row r="126">
      <c r="A126" s="7" t="n">
        <v>119</v>
      </c>
      <c r="B126" s="26">
        <f>(A126-1)/2000*$C$2</f>
        <v/>
      </c>
      <c r="C126" s="7">
        <f>INDEX(Bits!$E$25:$E$124,INT(B126)+1)</f>
        <v/>
      </c>
      <c r="D126" s="7">
        <f>MAX(1,MIN(INT(B126/$C$4)+1,$C$5))</f>
        <v/>
      </c>
      <c r="E126" s="26">
        <f>IF($C$5=0,0,INDEX(Symboles!$G$6:$G$101,D126))</f>
        <v/>
      </c>
      <c r="F126" s="26">
        <f>IF($C$5=0,0,INDEX(Symboles!$H$6:$H$101,D126))</f>
        <v/>
      </c>
      <c r="G126" s="26">
        <f>COS(2*PI()*$C$3*B126)</f>
        <v/>
      </c>
      <c r="H126" s="26">
        <f>SIN(2*PI()*$C$3*B126)</f>
        <v/>
      </c>
      <c r="I126" s="26">
        <f>E126*G126+F126*H126</f>
        <v/>
      </c>
    </row>
    <row r="127">
      <c r="A127" s="7" t="n">
        <v>120</v>
      </c>
      <c r="B127" s="26">
        <f>(A127-1)/2000*$C$2</f>
        <v/>
      </c>
      <c r="C127" s="7">
        <f>INDEX(Bits!$E$25:$E$124,INT(B127)+1)</f>
        <v/>
      </c>
      <c r="D127" s="7">
        <f>MAX(1,MIN(INT(B127/$C$4)+1,$C$5))</f>
        <v/>
      </c>
      <c r="E127" s="26">
        <f>IF($C$5=0,0,INDEX(Symboles!$G$6:$G$101,D127))</f>
        <v/>
      </c>
      <c r="F127" s="26">
        <f>IF($C$5=0,0,INDEX(Symboles!$H$6:$H$101,D127))</f>
        <v/>
      </c>
      <c r="G127" s="26">
        <f>COS(2*PI()*$C$3*B127)</f>
        <v/>
      </c>
      <c r="H127" s="26">
        <f>SIN(2*PI()*$C$3*B127)</f>
        <v/>
      </c>
      <c r="I127" s="26">
        <f>E127*G127+F127*H127</f>
        <v/>
      </c>
    </row>
    <row r="128">
      <c r="A128" s="7" t="n">
        <v>121</v>
      </c>
      <c r="B128" s="26">
        <f>(A128-1)/2000*$C$2</f>
        <v/>
      </c>
      <c r="C128" s="7">
        <f>INDEX(Bits!$E$25:$E$124,INT(B128)+1)</f>
        <v/>
      </c>
      <c r="D128" s="7">
        <f>MAX(1,MIN(INT(B128/$C$4)+1,$C$5))</f>
        <v/>
      </c>
      <c r="E128" s="26">
        <f>IF($C$5=0,0,INDEX(Symboles!$G$6:$G$101,D128))</f>
        <v/>
      </c>
      <c r="F128" s="26">
        <f>IF($C$5=0,0,INDEX(Symboles!$H$6:$H$101,D128))</f>
        <v/>
      </c>
      <c r="G128" s="26">
        <f>COS(2*PI()*$C$3*B128)</f>
        <v/>
      </c>
      <c r="H128" s="26">
        <f>SIN(2*PI()*$C$3*B128)</f>
        <v/>
      </c>
      <c r="I128" s="26">
        <f>E128*G128+F128*H128</f>
        <v/>
      </c>
    </row>
    <row r="129">
      <c r="A129" s="7" t="n">
        <v>122</v>
      </c>
      <c r="B129" s="26">
        <f>(A129-1)/2000*$C$2</f>
        <v/>
      </c>
      <c r="C129" s="7">
        <f>INDEX(Bits!$E$25:$E$124,INT(B129)+1)</f>
        <v/>
      </c>
      <c r="D129" s="7">
        <f>MAX(1,MIN(INT(B129/$C$4)+1,$C$5))</f>
        <v/>
      </c>
      <c r="E129" s="26">
        <f>IF($C$5=0,0,INDEX(Symboles!$G$6:$G$101,D129))</f>
        <v/>
      </c>
      <c r="F129" s="26">
        <f>IF($C$5=0,0,INDEX(Symboles!$H$6:$H$101,D129))</f>
        <v/>
      </c>
      <c r="G129" s="26">
        <f>COS(2*PI()*$C$3*B129)</f>
        <v/>
      </c>
      <c r="H129" s="26">
        <f>SIN(2*PI()*$C$3*B129)</f>
        <v/>
      </c>
      <c r="I129" s="26">
        <f>E129*G129+F129*H129</f>
        <v/>
      </c>
    </row>
    <row r="130">
      <c r="A130" s="7" t="n">
        <v>123</v>
      </c>
      <c r="B130" s="26">
        <f>(A130-1)/2000*$C$2</f>
        <v/>
      </c>
      <c r="C130" s="7">
        <f>INDEX(Bits!$E$25:$E$124,INT(B130)+1)</f>
        <v/>
      </c>
      <c r="D130" s="7">
        <f>MAX(1,MIN(INT(B130/$C$4)+1,$C$5))</f>
        <v/>
      </c>
      <c r="E130" s="26">
        <f>IF($C$5=0,0,INDEX(Symboles!$G$6:$G$101,D130))</f>
        <v/>
      </c>
      <c r="F130" s="26">
        <f>IF($C$5=0,0,INDEX(Symboles!$H$6:$H$101,D130))</f>
        <v/>
      </c>
      <c r="G130" s="26">
        <f>COS(2*PI()*$C$3*B130)</f>
        <v/>
      </c>
      <c r="H130" s="26">
        <f>SIN(2*PI()*$C$3*B130)</f>
        <v/>
      </c>
      <c r="I130" s="26">
        <f>E130*G130+F130*H130</f>
        <v/>
      </c>
    </row>
    <row r="131">
      <c r="A131" s="7" t="n">
        <v>124</v>
      </c>
      <c r="B131" s="26">
        <f>(A131-1)/2000*$C$2</f>
        <v/>
      </c>
      <c r="C131" s="7">
        <f>INDEX(Bits!$E$25:$E$124,INT(B131)+1)</f>
        <v/>
      </c>
      <c r="D131" s="7">
        <f>MAX(1,MIN(INT(B131/$C$4)+1,$C$5))</f>
        <v/>
      </c>
      <c r="E131" s="26">
        <f>IF($C$5=0,0,INDEX(Symboles!$G$6:$G$101,D131))</f>
        <v/>
      </c>
      <c r="F131" s="26">
        <f>IF($C$5=0,0,INDEX(Symboles!$H$6:$H$101,D131))</f>
        <v/>
      </c>
      <c r="G131" s="26">
        <f>COS(2*PI()*$C$3*B131)</f>
        <v/>
      </c>
      <c r="H131" s="26">
        <f>SIN(2*PI()*$C$3*B131)</f>
        <v/>
      </c>
      <c r="I131" s="26">
        <f>E131*G131+F131*H131</f>
        <v/>
      </c>
    </row>
    <row r="132">
      <c r="A132" s="7" t="n">
        <v>125</v>
      </c>
      <c r="B132" s="26">
        <f>(A132-1)/2000*$C$2</f>
        <v/>
      </c>
      <c r="C132" s="7">
        <f>INDEX(Bits!$E$25:$E$124,INT(B132)+1)</f>
        <v/>
      </c>
      <c r="D132" s="7">
        <f>MAX(1,MIN(INT(B132/$C$4)+1,$C$5))</f>
        <v/>
      </c>
      <c r="E132" s="26">
        <f>IF($C$5=0,0,INDEX(Symboles!$G$6:$G$101,D132))</f>
        <v/>
      </c>
      <c r="F132" s="26">
        <f>IF($C$5=0,0,INDEX(Symboles!$H$6:$H$101,D132))</f>
        <v/>
      </c>
      <c r="G132" s="26">
        <f>COS(2*PI()*$C$3*B132)</f>
        <v/>
      </c>
      <c r="H132" s="26">
        <f>SIN(2*PI()*$C$3*B132)</f>
        <v/>
      </c>
      <c r="I132" s="26">
        <f>E132*G132+F132*H132</f>
        <v/>
      </c>
    </row>
    <row r="133">
      <c r="A133" s="7" t="n">
        <v>126</v>
      </c>
      <c r="B133" s="26">
        <f>(A133-1)/2000*$C$2</f>
        <v/>
      </c>
      <c r="C133" s="7">
        <f>INDEX(Bits!$E$25:$E$124,INT(B133)+1)</f>
        <v/>
      </c>
      <c r="D133" s="7">
        <f>MAX(1,MIN(INT(B133/$C$4)+1,$C$5))</f>
        <v/>
      </c>
      <c r="E133" s="26">
        <f>IF($C$5=0,0,INDEX(Symboles!$G$6:$G$101,D133))</f>
        <v/>
      </c>
      <c r="F133" s="26">
        <f>IF($C$5=0,0,INDEX(Symboles!$H$6:$H$101,D133))</f>
        <v/>
      </c>
      <c r="G133" s="26">
        <f>COS(2*PI()*$C$3*B133)</f>
        <v/>
      </c>
      <c r="H133" s="26">
        <f>SIN(2*PI()*$C$3*B133)</f>
        <v/>
      </c>
      <c r="I133" s="26">
        <f>E133*G133+F133*H133</f>
        <v/>
      </c>
    </row>
    <row r="134">
      <c r="A134" s="7" t="n">
        <v>127</v>
      </c>
      <c r="B134" s="26">
        <f>(A134-1)/2000*$C$2</f>
        <v/>
      </c>
      <c r="C134" s="7">
        <f>INDEX(Bits!$E$25:$E$124,INT(B134)+1)</f>
        <v/>
      </c>
      <c r="D134" s="7">
        <f>MAX(1,MIN(INT(B134/$C$4)+1,$C$5))</f>
        <v/>
      </c>
      <c r="E134" s="26">
        <f>IF($C$5=0,0,INDEX(Symboles!$G$6:$G$101,D134))</f>
        <v/>
      </c>
      <c r="F134" s="26">
        <f>IF($C$5=0,0,INDEX(Symboles!$H$6:$H$101,D134))</f>
        <v/>
      </c>
      <c r="G134" s="26">
        <f>COS(2*PI()*$C$3*B134)</f>
        <v/>
      </c>
      <c r="H134" s="26">
        <f>SIN(2*PI()*$C$3*B134)</f>
        <v/>
      </c>
      <c r="I134" s="26">
        <f>E134*G134+F134*H134</f>
        <v/>
      </c>
    </row>
    <row r="135">
      <c r="A135" s="7" t="n">
        <v>128</v>
      </c>
      <c r="B135" s="26">
        <f>(A135-1)/2000*$C$2</f>
        <v/>
      </c>
      <c r="C135" s="7">
        <f>INDEX(Bits!$E$25:$E$124,INT(B135)+1)</f>
        <v/>
      </c>
      <c r="D135" s="7">
        <f>MAX(1,MIN(INT(B135/$C$4)+1,$C$5))</f>
        <v/>
      </c>
      <c r="E135" s="26">
        <f>IF($C$5=0,0,INDEX(Symboles!$G$6:$G$101,D135))</f>
        <v/>
      </c>
      <c r="F135" s="26">
        <f>IF($C$5=0,0,INDEX(Symboles!$H$6:$H$101,D135))</f>
        <v/>
      </c>
      <c r="G135" s="26">
        <f>COS(2*PI()*$C$3*B135)</f>
        <v/>
      </c>
      <c r="H135" s="26">
        <f>SIN(2*PI()*$C$3*B135)</f>
        <v/>
      </c>
      <c r="I135" s="26">
        <f>E135*G135+F135*H135</f>
        <v/>
      </c>
    </row>
    <row r="136">
      <c r="A136" s="7" t="n">
        <v>129</v>
      </c>
      <c r="B136" s="26">
        <f>(A136-1)/2000*$C$2</f>
        <v/>
      </c>
      <c r="C136" s="7">
        <f>INDEX(Bits!$E$25:$E$124,INT(B136)+1)</f>
        <v/>
      </c>
      <c r="D136" s="7">
        <f>MAX(1,MIN(INT(B136/$C$4)+1,$C$5))</f>
        <v/>
      </c>
      <c r="E136" s="26">
        <f>IF($C$5=0,0,INDEX(Symboles!$G$6:$G$101,D136))</f>
        <v/>
      </c>
      <c r="F136" s="26">
        <f>IF($C$5=0,0,INDEX(Symboles!$H$6:$H$101,D136))</f>
        <v/>
      </c>
      <c r="G136" s="26">
        <f>COS(2*PI()*$C$3*B136)</f>
        <v/>
      </c>
      <c r="H136" s="26">
        <f>SIN(2*PI()*$C$3*B136)</f>
        <v/>
      </c>
      <c r="I136" s="26">
        <f>E136*G136+F136*H136</f>
        <v/>
      </c>
    </row>
    <row r="137">
      <c r="A137" s="7" t="n">
        <v>130</v>
      </c>
      <c r="B137" s="26">
        <f>(A137-1)/2000*$C$2</f>
        <v/>
      </c>
      <c r="C137" s="7">
        <f>INDEX(Bits!$E$25:$E$124,INT(B137)+1)</f>
        <v/>
      </c>
      <c r="D137" s="7">
        <f>MAX(1,MIN(INT(B137/$C$4)+1,$C$5))</f>
        <v/>
      </c>
      <c r="E137" s="26">
        <f>IF($C$5=0,0,INDEX(Symboles!$G$6:$G$101,D137))</f>
        <v/>
      </c>
      <c r="F137" s="26">
        <f>IF($C$5=0,0,INDEX(Symboles!$H$6:$H$101,D137))</f>
        <v/>
      </c>
      <c r="G137" s="26">
        <f>COS(2*PI()*$C$3*B137)</f>
        <v/>
      </c>
      <c r="H137" s="26">
        <f>SIN(2*PI()*$C$3*B137)</f>
        <v/>
      </c>
      <c r="I137" s="26">
        <f>E137*G137+F137*H137</f>
        <v/>
      </c>
    </row>
    <row r="138">
      <c r="A138" s="7" t="n">
        <v>131</v>
      </c>
      <c r="B138" s="26">
        <f>(A138-1)/2000*$C$2</f>
        <v/>
      </c>
      <c r="C138" s="7">
        <f>INDEX(Bits!$E$25:$E$124,INT(B138)+1)</f>
        <v/>
      </c>
      <c r="D138" s="7">
        <f>MAX(1,MIN(INT(B138/$C$4)+1,$C$5))</f>
        <v/>
      </c>
      <c r="E138" s="26">
        <f>IF($C$5=0,0,INDEX(Symboles!$G$6:$G$101,D138))</f>
        <v/>
      </c>
      <c r="F138" s="26">
        <f>IF($C$5=0,0,INDEX(Symboles!$H$6:$H$101,D138))</f>
        <v/>
      </c>
      <c r="G138" s="26">
        <f>COS(2*PI()*$C$3*B138)</f>
        <v/>
      </c>
      <c r="H138" s="26">
        <f>SIN(2*PI()*$C$3*B138)</f>
        <v/>
      </c>
      <c r="I138" s="26">
        <f>E138*G138+F138*H138</f>
        <v/>
      </c>
    </row>
    <row r="139">
      <c r="A139" s="7" t="n">
        <v>132</v>
      </c>
      <c r="B139" s="26">
        <f>(A139-1)/2000*$C$2</f>
        <v/>
      </c>
      <c r="C139" s="7">
        <f>INDEX(Bits!$E$25:$E$124,INT(B139)+1)</f>
        <v/>
      </c>
      <c r="D139" s="7">
        <f>MAX(1,MIN(INT(B139/$C$4)+1,$C$5))</f>
        <v/>
      </c>
      <c r="E139" s="26">
        <f>IF($C$5=0,0,INDEX(Symboles!$G$6:$G$101,D139))</f>
        <v/>
      </c>
      <c r="F139" s="26">
        <f>IF($C$5=0,0,INDEX(Symboles!$H$6:$H$101,D139))</f>
        <v/>
      </c>
      <c r="G139" s="26">
        <f>COS(2*PI()*$C$3*B139)</f>
        <v/>
      </c>
      <c r="H139" s="26">
        <f>SIN(2*PI()*$C$3*B139)</f>
        <v/>
      </c>
      <c r="I139" s="26">
        <f>E139*G139+F139*H139</f>
        <v/>
      </c>
    </row>
    <row r="140">
      <c r="A140" s="7" t="n">
        <v>133</v>
      </c>
      <c r="B140" s="26">
        <f>(A140-1)/2000*$C$2</f>
        <v/>
      </c>
      <c r="C140" s="7">
        <f>INDEX(Bits!$E$25:$E$124,INT(B140)+1)</f>
        <v/>
      </c>
      <c r="D140" s="7">
        <f>MAX(1,MIN(INT(B140/$C$4)+1,$C$5))</f>
        <v/>
      </c>
      <c r="E140" s="26">
        <f>IF($C$5=0,0,INDEX(Symboles!$G$6:$G$101,D140))</f>
        <v/>
      </c>
      <c r="F140" s="26">
        <f>IF($C$5=0,0,INDEX(Symboles!$H$6:$H$101,D140))</f>
        <v/>
      </c>
      <c r="G140" s="26">
        <f>COS(2*PI()*$C$3*B140)</f>
        <v/>
      </c>
      <c r="H140" s="26">
        <f>SIN(2*PI()*$C$3*B140)</f>
        <v/>
      </c>
      <c r="I140" s="26">
        <f>E140*G140+F140*H140</f>
        <v/>
      </c>
    </row>
    <row r="141">
      <c r="A141" s="7" t="n">
        <v>134</v>
      </c>
      <c r="B141" s="26">
        <f>(A141-1)/2000*$C$2</f>
        <v/>
      </c>
      <c r="C141" s="7">
        <f>INDEX(Bits!$E$25:$E$124,INT(B141)+1)</f>
        <v/>
      </c>
      <c r="D141" s="7">
        <f>MAX(1,MIN(INT(B141/$C$4)+1,$C$5))</f>
        <v/>
      </c>
      <c r="E141" s="26">
        <f>IF($C$5=0,0,INDEX(Symboles!$G$6:$G$101,D141))</f>
        <v/>
      </c>
      <c r="F141" s="26">
        <f>IF($C$5=0,0,INDEX(Symboles!$H$6:$H$101,D141))</f>
        <v/>
      </c>
      <c r="G141" s="26">
        <f>COS(2*PI()*$C$3*B141)</f>
        <v/>
      </c>
      <c r="H141" s="26">
        <f>SIN(2*PI()*$C$3*B141)</f>
        <v/>
      </c>
      <c r="I141" s="26">
        <f>E141*G141+F141*H141</f>
        <v/>
      </c>
    </row>
    <row r="142">
      <c r="A142" s="7" t="n">
        <v>135</v>
      </c>
      <c r="B142" s="26">
        <f>(A142-1)/2000*$C$2</f>
        <v/>
      </c>
      <c r="C142" s="7">
        <f>INDEX(Bits!$E$25:$E$124,INT(B142)+1)</f>
        <v/>
      </c>
      <c r="D142" s="7">
        <f>MAX(1,MIN(INT(B142/$C$4)+1,$C$5))</f>
        <v/>
      </c>
      <c r="E142" s="26">
        <f>IF($C$5=0,0,INDEX(Symboles!$G$6:$G$101,D142))</f>
        <v/>
      </c>
      <c r="F142" s="26">
        <f>IF($C$5=0,0,INDEX(Symboles!$H$6:$H$101,D142))</f>
        <v/>
      </c>
      <c r="G142" s="26">
        <f>COS(2*PI()*$C$3*B142)</f>
        <v/>
      </c>
      <c r="H142" s="26">
        <f>SIN(2*PI()*$C$3*B142)</f>
        <v/>
      </c>
      <c r="I142" s="26">
        <f>E142*G142+F142*H142</f>
        <v/>
      </c>
    </row>
    <row r="143">
      <c r="A143" s="7" t="n">
        <v>136</v>
      </c>
      <c r="B143" s="26">
        <f>(A143-1)/2000*$C$2</f>
        <v/>
      </c>
      <c r="C143" s="7">
        <f>INDEX(Bits!$E$25:$E$124,INT(B143)+1)</f>
        <v/>
      </c>
      <c r="D143" s="7">
        <f>MAX(1,MIN(INT(B143/$C$4)+1,$C$5))</f>
        <v/>
      </c>
      <c r="E143" s="26">
        <f>IF($C$5=0,0,INDEX(Symboles!$G$6:$G$101,D143))</f>
        <v/>
      </c>
      <c r="F143" s="26">
        <f>IF($C$5=0,0,INDEX(Symboles!$H$6:$H$101,D143))</f>
        <v/>
      </c>
      <c r="G143" s="26">
        <f>COS(2*PI()*$C$3*B143)</f>
        <v/>
      </c>
      <c r="H143" s="26">
        <f>SIN(2*PI()*$C$3*B143)</f>
        <v/>
      </c>
      <c r="I143" s="26">
        <f>E143*G143+F143*H143</f>
        <v/>
      </c>
    </row>
    <row r="144">
      <c r="A144" s="7" t="n">
        <v>137</v>
      </c>
      <c r="B144" s="26">
        <f>(A144-1)/2000*$C$2</f>
        <v/>
      </c>
      <c r="C144" s="7">
        <f>INDEX(Bits!$E$25:$E$124,INT(B144)+1)</f>
        <v/>
      </c>
      <c r="D144" s="7">
        <f>MAX(1,MIN(INT(B144/$C$4)+1,$C$5))</f>
        <v/>
      </c>
      <c r="E144" s="26">
        <f>IF($C$5=0,0,INDEX(Symboles!$G$6:$G$101,D144))</f>
        <v/>
      </c>
      <c r="F144" s="26">
        <f>IF($C$5=0,0,INDEX(Symboles!$H$6:$H$101,D144))</f>
        <v/>
      </c>
      <c r="G144" s="26">
        <f>COS(2*PI()*$C$3*B144)</f>
        <v/>
      </c>
      <c r="H144" s="26">
        <f>SIN(2*PI()*$C$3*B144)</f>
        <v/>
      </c>
      <c r="I144" s="26">
        <f>E144*G144+F144*H144</f>
        <v/>
      </c>
    </row>
    <row r="145">
      <c r="A145" s="7" t="n">
        <v>138</v>
      </c>
      <c r="B145" s="26">
        <f>(A145-1)/2000*$C$2</f>
        <v/>
      </c>
      <c r="C145" s="7">
        <f>INDEX(Bits!$E$25:$E$124,INT(B145)+1)</f>
        <v/>
      </c>
      <c r="D145" s="7">
        <f>MAX(1,MIN(INT(B145/$C$4)+1,$C$5))</f>
        <v/>
      </c>
      <c r="E145" s="26">
        <f>IF($C$5=0,0,INDEX(Symboles!$G$6:$G$101,D145))</f>
        <v/>
      </c>
      <c r="F145" s="26">
        <f>IF($C$5=0,0,INDEX(Symboles!$H$6:$H$101,D145))</f>
        <v/>
      </c>
      <c r="G145" s="26">
        <f>COS(2*PI()*$C$3*B145)</f>
        <v/>
      </c>
      <c r="H145" s="26">
        <f>SIN(2*PI()*$C$3*B145)</f>
        <v/>
      </c>
      <c r="I145" s="26">
        <f>E145*G145+F145*H145</f>
        <v/>
      </c>
    </row>
    <row r="146">
      <c r="A146" s="7" t="n">
        <v>139</v>
      </c>
      <c r="B146" s="26">
        <f>(A146-1)/2000*$C$2</f>
        <v/>
      </c>
      <c r="C146" s="7">
        <f>INDEX(Bits!$E$25:$E$124,INT(B146)+1)</f>
        <v/>
      </c>
      <c r="D146" s="7">
        <f>MAX(1,MIN(INT(B146/$C$4)+1,$C$5))</f>
        <v/>
      </c>
      <c r="E146" s="26">
        <f>IF($C$5=0,0,INDEX(Symboles!$G$6:$G$101,D146))</f>
        <v/>
      </c>
      <c r="F146" s="26">
        <f>IF($C$5=0,0,INDEX(Symboles!$H$6:$H$101,D146))</f>
        <v/>
      </c>
      <c r="G146" s="26">
        <f>COS(2*PI()*$C$3*B146)</f>
        <v/>
      </c>
      <c r="H146" s="26">
        <f>SIN(2*PI()*$C$3*B146)</f>
        <v/>
      </c>
      <c r="I146" s="26">
        <f>E146*G146+F146*H146</f>
        <v/>
      </c>
    </row>
    <row r="147">
      <c r="A147" s="7" t="n">
        <v>140</v>
      </c>
      <c r="B147" s="26">
        <f>(A147-1)/2000*$C$2</f>
        <v/>
      </c>
      <c r="C147" s="7">
        <f>INDEX(Bits!$E$25:$E$124,INT(B147)+1)</f>
        <v/>
      </c>
      <c r="D147" s="7">
        <f>MAX(1,MIN(INT(B147/$C$4)+1,$C$5))</f>
        <v/>
      </c>
      <c r="E147" s="26">
        <f>IF($C$5=0,0,INDEX(Symboles!$G$6:$G$101,D147))</f>
        <v/>
      </c>
      <c r="F147" s="26">
        <f>IF($C$5=0,0,INDEX(Symboles!$H$6:$H$101,D147))</f>
        <v/>
      </c>
      <c r="G147" s="26">
        <f>COS(2*PI()*$C$3*B147)</f>
        <v/>
      </c>
      <c r="H147" s="26">
        <f>SIN(2*PI()*$C$3*B147)</f>
        <v/>
      </c>
      <c r="I147" s="26">
        <f>E147*G147+F147*H147</f>
        <v/>
      </c>
    </row>
    <row r="148">
      <c r="A148" s="7" t="n">
        <v>141</v>
      </c>
      <c r="B148" s="26">
        <f>(A148-1)/2000*$C$2</f>
        <v/>
      </c>
      <c r="C148" s="7">
        <f>INDEX(Bits!$E$25:$E$124,INT(B148)+1)</f>
        <v/>
      </c>
      <c r="D148" s="7">
        <f>MAX(1,MIN(INT(B148/$C$4)+1,$C$5))</f>
        <v/>
      </c>
      <c r="E148" s="26">
        <f>IF($C$5=0,0,INDEX(Symboles!$G$6:$G$101,D148))</f>
        <v/>
      </c>
      <c r="F148" s="26">
        <f>IF($C$5=0,0,INDEX(Symboles!$H$6:$H$101,D148))</f>
        <v/>
      </c>
      <c r="G148" s="26">
        <f>COS(2*PI()*$C$3*B148)</f>
        <v/>
      </c>
      <c r="H148" s="26">
        <f>SIN(2*PI()*$C$3*B148)</f>
        <v/>
      </c>
      <c r="I148" s="26">
        <f>E148*G148+F148*H148</f>
        <v/>
      </c>
    </row>
    <row r="149">
      <c r="A149" s="7" t="n">
        <v>142</v>
      </c>
      <c r="B149" s="26">
        <f>(A149-1)/2000*$C$2</f>
        <v/>
      </c>
      <c r="C149" s="7">
        <f>INDEX(Bits!$E$25:$E$124,INT(B149)+1)</f>
        <v/>
      </c>
      <c r="D149" s="7">
        <f>MAX(1,MIN(INT(B149/$C$4)+1,$C$5))</f>
        <v/>
      </c>
      <c r="E149" s="26">
        <f>IF($C$5=0,0,INDEX(Symboles!$G$6:$G$101,D149))</f>
        <v/>
      </c>
      <c r="F149" s="26">
        <f>IF($C$5=0,0,INDEX(Symboles!$H$6:$H$101,D149))</f>
        <v/>
      </c>
      <c r="G149" s="26">
        <f>COS(2*PI()*$C$3*B149)</f>
        <v/>
      </c>
      <c r="H149" s="26">
        <f>SIN(2*PI()*$C$3*B149)</f>
        <v/>
      </c>
      <c r="I149" s="26">
        <f>E149*G149+F149*H149</f>
        <v/>
      </c>
    </row>
    <row r="150">
      <c r="A150" s="7" t="n">
        <v>143</v>
      </c>
      <c r="B150" s="26">
        <f>(A150-1)/2000*$C$2</f>
        <v/>
      </c>
      <c r="C150" s="7">
        <f>INDEX(Bits!$E$25:$E$124,INT(B150)+1)</f>
        <v/>
      </c>
      <c r="D150" s="7">
        <f>MAX(1,MIN(INT(B150/$C$4)+1,$C$5))</f>
        <v/>
      </c>
      <c r="E150" s="26">
        <f>IF($C$5=0,0,INDEX(Symboles!$G$6:$G$101,D150))</f>
        <v/>
      </c>
      <c r="F150" s="26">
        <f>IF($C$5=0,0,INDEX(Symboles!$H$6:$H$101,D150))</f>
        <v/>
      </c>
      <c r="G150" s="26">
        <f>COS(2*PI()*$C$3*B150)</f>
        <v/>
      </c>
      <c r="H150" s="26">
        <f>SIN(2*PI()*$C$3*B150)</f>
        <v/>
      </c>
      <c r="I150" s="26">
        <f>E150*G150+F150*H150</f>
        <v/>
      </c>
    </row>
    <row r="151">
      <c r="A151" s="7" t="n">
        <v>144</v>
      </c>
      <c r="B151" s="26">
        <f>(A151-1)/2000*$C$2</f>
        <v/>
      </c>
      <c r="C151" s="7">
        <f>INDEX(Bits!$E$25:$E$124,INT(B151)+1)</f>
        <v/>
      </c>
      <c r="D151" s="7">
        <f>MAX(1,MIN(INT(B151/$C$4)+1,$C$5))</f>
        <v/>
      </c>
      <c r="E151" s="26">
        <f>IF($C$5=0,0,INDEX(Symboles!$G$6:$G$101,D151))</f>
        <v/>
      </c>
      <c r="F151" s="26">
        <f>IF($C$5=0,0,INDEX(Symboles!$H$6:$H$101,D151))</f>
        <v/>
      </c>
      <c r="G151" s="26">
        <f>COS(2*PI()*$C$3*B151)</f>
        <v/>
      </c>
      <c r="H151" s="26">
        <f>SIN(2*PI()*$C$3*B151)</f>
        <v/>
      </c>
      <c r="I151" s="26">
        <f>E151*G151+F151*H151</f>
        <v/>
      </c>
    </row>
    <row r="152">
      <c r="A152" s="7" t="n">
        <v>145</v>
      </c>
      <c r="B152" s="26">
        <f>(A152-1)/2000*$C$2</f>
        <v/>
      </c>
      <c r="C152" s="7">
        <f>INDEX(Bits!$E$25:$E$124,INT(B152)+1)</f>
        <v/>
      </c>
      <c r="D152" s="7">
        <f>MAX(1,MIN(INT(B152/$C$4)+1,$C$5))</f>
        <v/>
      </c>
      <c r="E152" s="26">
        <f>IF($C$5=0,0,INDEX(Symboles!$G$6:$G$101,D152))</f>
        <v/>
      </c>
      <c r="F152" s="26">
        <f>IF($C$5=0,0,INDEX(Symboles!$H$6:$H$101,D152))</f>
        <v/>
      </c>
      <c r="G152" s="26">
        <f>COS(2*PI()*$C$3*B152)</f>
        <v/>
      </c>
      <c r="H152" s="26">
        <f>SIN(2*PI()*$C$3*B152)</f>
        <v/>
      </c>
      <c r="I152" s="26">
        <f>E152*G152+F152*H152</f>
        <v/>
      </c>
    </row>
    <row r="153">
      <c r="A153" s="7" t="n">
        <v>146</v>
      </c>
      <c r="B153" s="26">
        <f>(A153-1)/2000*$C$2</f>
        <v/>
      </c>
      <c r="C153" s="7">
        <f>INDEX(Bits!$E$25:$E$124,INT(B153)+1)</f>
        <v/>
      </c>
      <c r="D153" s="7">
        <f>MAX(1,MIN(INT(B153/$C$4)+1,$C$5))</f>
        <v/>
      </c>
      <c r="E153" s="26">
        <f>IF($C$5=0,0,INDEX(Symboles!$G$6:$G$101,D153))</f>
        <v/>
      </c>
      <c r="F153" s="26">
        <f>IF($C$5=0,0,INDEX(Symboles!$H$6:$H$101,D153))</f>
        <v/>
      </c>
      <c r="G153" s="26">
        <f>COS(2*PI()*$C$3*B153)</f>
        <v/>
      </c>
      <c r="H153" s="26">
        <f>SIN(2*PI()*$C$3*B153)</f>
        <v/>
      </c>
      <c r="I153" s="26">
        <f>E153*G153+F153*H153</f>
        <v/>
      </c>
    </row>
    <row r="154">
      <c r="A154" s="7" t="n">
        <v>147</v>
      </c>
      <c r="B154" s="26">
        <f>(A154-1)/2000*$C$2</f>
        <v/>
      </c>
      <c r="C154" s="7">
        <f>INDEX(Bits!$E$25:$E$124,INT(B154)+1)</f>
        <v/>
      </c>
      <c r="D154" s="7">
        <f>MAX(1,MIN(INT(B154/$C$4)+1,$C$5))</f>
        <v/>
      </c>
      <c r="E154" s="26">
        <f>IF($C$5=0,0,INDEX(Symboles!$G$6:$G$101,D154))</f>
        <v/>
      </c>
      <c r="F154" s="26">
        <f>IF($C$5=0,0,INDEX(Symboles!$H$6:$H$101,D154))</f>
        <v/>
      </c>
      <c r="G154" s="26">
        <f>COS(2*PI()*$C$3*B154)</f>
        <v/>
      </c>
      <c r="H154" s="26">
        <f>SIN(2*PI()*$C$3*B154)</f>
        <v/>
      </c>
      <c r="I154" s="26">
        <f>E154*G154+F154*H154</f>
        <v/>
      </c>
    </row>
    <row r="155">
      <c r="A155" s="7" t="n">
        <v>148</v>
      </c>
      <c r="B155" s="26">
        <f>(A155-1)/2000*$C$2</f>
        <v/>
      </c>
      <c r="C155" s="7">
        <f>INDEX(Bits!$E$25:$E$124,INT(B155)+1)</f>
        <v/>
      </c>
      <c r="D155" s="7">
        <f>MAX(1,MIN(INT(B155/$C$4)+1,$C$5))</f>
        <v/>
      </c>
      <c r="E155" s="26">
        <f>IF($C$5=0,0,INDEX(Symboles!$G$6:$G$101,D155))</f>
        <v/>
      </c>
      <c r="F155" s="26">
        <f>IF($C$5=0,0,INDEX(Symboles!$H$6:$H$101,D155))</f>
        <v/>
      </c>
      <c r="G155" s="26">
        <f>COS(2*PI()*$C$3*B155)</f>
        <v/>
      </c>
      <c r="H155" s="26">
        <f>SIN(2*PI()*$C$3*B155)</f>
        <v/>
      </c>
      <c r="I155" s="26">
        <f>E155*G155+F155*H155</f>
        <v/>
      </c>
    </row>
    <row r="156">
      <c r="A156" s="7" t="n">
        <v>149</v>
      </c>
      <c r="B156" s="26">
        <f>(A156-1)/2000*$C$2</f>
        <v/>
      </c>
      <c r="C156" s="7">
        <f>INDEX(Bits!$E$25:$E$124,INT(B156)+1)</f>
        <v/>
      </c>
      <c r="D156" s="7">
        <f>MAX(1,MIN(INT(B156/$C$4)+1,$C$5))</f>
        <v/>
      </c>
      <c r="E156" s="26">
        <f>IF($C$5=0,0,INDEX(Symboles!$G$6:$G$101,D156))</f>
        <v/>
      </c>
      <c r="F156" s="26">
        <f>IF($C$5=0,0,INDEX(Symboles!$H$6:$H$101,D156))</f>
        <v/>
      </c>
      <c r="G156" s="26">
        <f>COS(2*PI()*$C$3*B156)</f>
        <v/>
      </c>
      <c r="H156" s="26">
        <f>SIN(2*PI()*$C$3*B156)</f>
        <v/>
      </c>
      <c r="I156" s="26">
        <f>E156*G156+F156*H156</f>
        <v/>
      </c>
    </row>
    <row r="157">
      <c r="A157" s="7" t="n">
        <v>150</v>
      </c>
      <c r="B157" s="26">
        <f>(A157-1)/2000*$C$2</f>
        <v/>
      </c>
      <c r="C157" s="7">
        <f>INDEX(Bits!$E$25:$E$124,INT(B157)+1)</f>
        <v/>
      </c>
      <c r="D157" s="7">
        <f>MAX(1,MIN(INT(B157/$C$4)+1,$C$5))</f>
        <v/>
      </c>
      <c r="E157" s="26">
        <f>IF($C$5=0,0,INDEX(Symboles!$G$6:$G$101,D157))</f>
        <v/>
      </c>
      <c r="F157" s="26">
        <f>IF($C$5=0,0,INDEX(Symboles!$H$6:$H$101,D157))</f>
        <v/>
      </c>
      <c r="G157" s="26">
        <f>COS(2*PI()*$C$3*B157)</f>
        <v/>
      </c>
      <c r="H157" s="26">
        <f>SIN(2*PI()*$C$3*B157)</f>
        <v/>
      </c>
      <c r="I157" s="26">
        <f>E157*G157+F157*H157</f>
        <v/>
      </c>
    </row>
    <row r="158">
      <c r="A158" s="7" t="n">
        <v>151</v>
      </c>
      <c r="B158" s="26">
        <f>(A158-1)/2000*$C$2</f>
        <v/>
      </c>
      <c r="C158" s="7">
        <f>INDEX(Bits!$E$25:$E$124,INT(B158)+1)</f>
        <v/>
      </c>
      <c r="D158" s="7">
        <f>MAX(1,MIN(INT(B158/$C$4)+1,$C$5))</f>
        <v/>
      </c>
      <c r="E158" s="26">
        <f>IF($C$5=0,0,INDEX(Symboles!$G$6:$G$101,D158))</f>
        <v/>
      </c>
      <c r="F158" s="26">
        <f>IF($C$5=0,0,INDEX(Symboles!$H$6:$H$101,D158))</f>
        <v/>
      </c>
      <c r="G158" s="26">
        <f>COS(2*PI()*$C$3*B158)</f>
        <v/>
      </c>
      <c r="H158" s="26">
        <f>SIN(2*PI()*$C$3*B158)</f>
        <v/>
      </c>
      <c r="I158" s="26">
        <f>E158*G158+F158*H158</f>
        <v/>
      </c>
    </row>
    <row r="159">
      <c r="A159" s="7" t="n">
        <v>152</v>
      </c>
      <c r="B159" s="26">
        <f>(A159-1)/2000*$C$2</f>
        <v/>
      </c>
      <c r="C159" s="7">
        <f>INDEX(Bits!$E$25:$E$124,INT(B159)+1)</f>
        <v/>
      </c>
      <c r="D159" s="7">
        <f>MAX(1,MIN(INT(B159/$C$4)+1,$C$5))</f>
        <v/>
      </c>
      <c r="E159" s="26">
        <f>IF($C$5=0,0,INDEX(Symboles!$G$6:$G$101,D159))</f>
        <v/>
      </c>
      <c r="F159" s="26">
        <f>IF($C$5=0,0,INDEX(Symboles!$H$6:$H$101,D159))</f>
        <v/>
      </c>
      <c r="G159" s="26">
        <f>COS(2*PI()*$C$3*B159)</f>
        <v/>
      </c>
      <c r="H159" s="26">
        <f>SIN(2*PI()*$C$3*B159)</f>
        <v/>
      </c>
      <c r="I159" s="26">
        <f>E159*G159+F159*H159</f>
        <v/>
      </c>
    </row>
    <row r="160">
      <c r="A160" s="7" t="n">
        <v>153</v>
      </c>
      <c r="B160" s="26">
        <f>(A160-1)/2000*$C$2</f>
        <v/>
      </c>
      <c r="C160" s="7">
        <f>INDEX(Bits!$E$25:$E$124,INT(B160)+1)</f>
        <v/>
      </c>
      <c r="D160" s="7">
        <f>MAX(1,MIN(INT(B160/$C$4)+1,$C$5))</f>
        <v/>
      </c>
      <c r="E160" s="26">
        <f>IF($C$5=0,0,INDEX(Symboles!$G$6:$G$101,D160))</f>
        <v/>
      </c>
      <c r="F160" s="26">
        <f>IF($C$5=0,0,INDEX(Symboles!$H$6:$H$101,D160))</f>
        <v/>
      </c>
      <c r="G160" s="26">
        <f>COS(2*PI()*$C$3*B160)</f>
        <v/>
      </c>
      <c r="H160" s="26">
        <f>SIN(2*PI()*$C$3*B160)</f>
        <v/>
      </c>
      <c r="I160" s="26">
        <f>E160*G160+F160*H160</f>
        <v/>
      </c>
    </row>
    <row r="161">
      <c r="A161" s="7" t="n">
        <v>154</v>
      </c>
      <c r="B161" s="26">
        <f>(A161-1)/2000*$C$2</f>
        <v/>
      </c>
      <c r="C161" s="7">
        <f>INDEX(Bits!$E$25:$E$124,INT(B161)+1)</f>
        <v/>
      </c>
      <c r="D161" s="7">
        <f>MAX(1,MIN(INT(B161/$C$4)+1,$C$5))</f>
        <v/>
      </c>
      <c r="E161" s="26">
        <f>IF($C$5=0,0,INDEX(Symboles!$G$6:$G$101,D161))</f>
        <v/>
      </c>
      <c r="F161" s="26">
        <f>IF($C$5=0,0,INDEX(Symboles!$H$6:$H$101,D161))</f>
        <v/>
      </c>
      <c r="G161" s="26">
        <f>COS(2*PI()*$C$3*B161)</f>
        <v/>
      </c>
      <c r="H161" s="26">
        <f>SIN(2*PI()*$C$3*B161)</f>
        <v/>
      </c>
      <c r="I161" s="26">
        <f>E161*G161+F161*H161</f>
        <v/>
      </c>
    </row>
    <row r="162">
      <c r="A162" s="7" t="n">
        <v>155</v>
      </c>
      <c r="B162" s="26">
        <f>(A162-1)/2000*$C$2</f>
        <v/>
      </c>
      <c r="C162" s="7">
        <f>INDEX(Bits!$E$25:$E$124,INT(B162)+1)</f>
        <v/>
      </c>
      <c r="D162" s="7">
        <f>MAX(1,MIN(INT(B162/$C$4)+1,$C$5))</f>
        <v/>
      </c>
      <c r="E162" s="26">
        <f>IF($C$5=0,0,INDEX(Symboles!$G$6:$G$101,D162))</f>
        <v/>
      </c>
      <c r="F162" s="26">
        <f>IF($C$5=0,0,INDEX(Symboles!$H$6:$H$101,D162))</f>
        <v/>
      </c>
      <c r="G162" s="26">
        <f>COS(2*PI()*$C$3*B162)</f>
        <v/>
      </c>
      <c r="H162" s="26">
        <f>SIN(2*PI()*$C$3*B162)</f>
        <v/>
      </c>
      <c r="I162" s="26">
        <f>E162*G162+F162*H162</f>
        <v/>
      </c>
    </row>
    <row r="163">
      <c r="A163" s="7" t="n">
        <v>156</v>
      </c>
      <c r="B163" s="26">
        <f>(A163-1)/2000*$C$2</f>
        <v/>
      </c>
      <c r="C163" s="7">
        <f>INDEX(Bits!$E$25:$E$124,INT(B163)+1)</f>
        <v/>
      </c>
      <c r="D163" s="7">
        <f>MAX(1,MIN(INT(B163/$C$4)+1,$C$5))</f>
        <v/>
      </c>
      <c r="E163" s="26">
        <f>IF($C$5=0,0,INDEX(Symboles!$G$6:$G$101,D163))</f>
        <v/>
      </c>
      <c r="F163" s="26">
        <f>IF($C$5=0,0,INDEX(Symboles!$H$6:$H$101,D163))</f>
        <v/>
      </c>
      <c r="G163" s="26">
        <f>COS(2*PI()*$C$3*B163)</f>
        <v/>
      </c>
      <c r="H163" s="26">
        <f>SIN(2*PI()*$C$3*B163)</f>
        <v/>
      </c>
      <c r="I163" s="26">
        <f>E163*G163+F163*H163</f>
        <v/>
      </c>
    </row>
    <row r="164">
      <c r="A164" s="7" t="n">
        <v>157</v>
      </c>
      <c r="B164" s="26">
        <f>(A164-1)/2000*$C$2</f>
        <v/>
      </c>
      <c r="C164" s="7">
        <f>INDEX(Bits!$E$25:$E$124,INT(B164)+1)</f>
        <v/>
      </c>
      <c r="D164" s="7">
        <f>MAX(1,MIN(INT(B164/$C$4)+1,$C$5))</f>
        <v/>
      </c>
      <c r="E164" s="26">
        <f>IF($C$5=0,0,INDEX(Symboles!$G$6:$G$101,D164))</f>
        <v/>
      </c>
      <c r="F164" s="26">
        <f>IF($C$5=0,0,INDEX(Symboles!$H$6:$H$101,D164))</f>
        <v/>
      </c>
      <c r="G164" s="26">
        <f>COS(2*PI()*$C$3*B164)</f>
        <v/>
      </c>
      <c r="H164" s="26">
        <f>SIN(2*PI()*$C$3*B164)</f>
        <v/>
      </c>
      <c r="I164" s="26">
        <f>E164*G164+F164*H164</f>
        <v/>
      </c>
    </row>
    <row r="165">
      <c r="A165" s="7" t="n">
        <v>158</v>
      </c>
      <c r="B165" s="26">
        <f>(A165-1)/2000*$C$2</f>
        <v/>
      </c>
      <c r="C165" s="7">
        <f>INDEX(Bits!$E$25:$E$124,INT(B165)+1)</f>
        <v/>
      </c>
      <c r="D165" s="7">
        <f>MAX(1,MIN(INT(B165/$C$4)+1,$C$5))</f>
        <v/>
      </c>
      <c r="E165" s="26">
        <f>IF($C$5=0,0,INDEX(Symboles!$G$6:$G$101,D165))</f>
        <v/>
      </c>
      <c r="F165" s="26">
        <f>IF($C$5=0,0,INDEX(Symboles!$H$6:$H$101,D165))</f>
        <v/>
      </c>
      <c r="G165" s="26">
        <f>COS(2*PI()*$C$3*B165)</f>
        <v/>
      </c>
      <c r="H165" s="26">
        <f>SIN(2*PI()*$C$3*B165)</f>
        <v/>
      </c>
      <c r="I165" s="26">
        <f>E165*G165+F165*H165</f>
        <v/>
      </c>
    </row>
    <row r="166">
      <c r="A166" s="7" t="n">
        <v>159</v>
      </c>
      <c r="B166" s="26">
        <f>(A166-1)/2000*$C$2</f>
        <v/>
      </c>
      <c r="C166" s="7">
        <f>INDEX(Bits!$E$25:$E$124,INT(B166)+1)</f>
        <v/>
      </c>
      <c r="D166" s="7">
        <f>MAX(1,MIN(INT(B166/$C$4)+1,$C$5))</f>
        <v/>
      </c>
      <c r="E166" s="26">
        <f>IF($C$5=0,0,INDEX(Symboles!$G$6:$G$101,D166))</f>
        <v/>
      </c>
      <c r="F166" s="26">
        <f>IF($C$5=0,0,INDEX(Symboles!$H$6:$H$101,D166))</f>
        <v/>
      </c>
      <c r="G166" s="26">
        <f>COS(2*PI()*$C$3*B166)</f>
        <v/>
      </c>
      <c r="H166" s="26">
        <f>SIN(2*PI()*$C$3*B166)</f>
        <v/>
      </c>
      <c r="I166" s="26">
        <f>E166*G166+F166*H166</f>
        <v/>
      </c>
    </row>
    <row r="167">
      <c r="A167" s="7" t="n">
        <v>160</v>
      </c>
      <c r="B167" s="26">
        <f>(A167-1)/2000*$C$2</f>
        <v/>
      </c>
      <c r="C167" s="7">
        <f>INDEX(Bits!$E$25:$E$124,INT(B167)+1)</f>
        <v/>
      </c>
      <c r="D167" s="7">
        <f>MAX(1,MIN(INT(B167/$C$4)+1,$C$5))</f>
        <v/>
      </c>
      <c r="E167" s="26">
        <f>IF($C$5=0,0,INDEX(Symboles!$G$6:$G$101,D167))</f>
        <v/>
      </c>
      <c r="F167" s="26">
        <f>IF($C$5=0,0,INDEX(Symboles!$H$6:$H$101,D167))</f>
        <v/>
      </c>
      <c r="G167" s="26">
        <f>COS(2*PI()*$C$3*B167)</f>
        <v/>
      </c>
      <c r="H167" s="26">
        <f>SIN(2*PI()*$C$3*B167)</f>
        <v/>
      </c>
      <c r="I167" s="26">
        <f>E167*G167+F167*H167</f>
        <v/>
      </c>
    </row>
    <row r="168">
      <c r="A168" s="7" t="n">
        <v>161</v>
      </c>
      <c r="B168" s="26">
        <f>(A168-1)/2000*$C$2</f>
        <v/>
      </c>
      <c r="C168" s="7">
        <f>INDEX(Bits!$E$25:$E$124,INT(B168)+1)</f>
        <v/>
      </c>
      <c r="D168" s="7">
        <f>MAX(1,MIN(INT(B168/$C$4)+1,$C$5))</f>
        <v/>
      </c>
      <c r="E168" s="26">
        <f>IF($C$5=0,0,INDEX(Symboles!$G$6:$G$101,D168))</f>
        <v/>
      </c>
      <c r="F168" s="26">
        <f>IF($C$5=0,0,INDEX(Symboles!$H$6:$H$101,D168))</f>
        <v/>
      </c>
      <c r="G168" s="26">
        <f>COS(2*PI()*$C$3*B168)</f>
        <v/>
      </c>
      <c r="H168" s="26">
        <f>SIN(2*PI()*$C$3*B168)</f>
        <v/>
      </c>
      <c r="I168" s="26">
        <f>E168*G168+F168*H168</f>
        <v/>
      </c>
    </row>
    <row r="169">
      <c r="A169" s="7" t="n">
        <v>162</v>
      </c>
      <c r="B169" s="26">
        <f>(A169-1)/2000*$C$2</f>
        <v/>
      </c>
      <c r="C169" s="7">
        <f>INDEX(Bits!$E$25:$E$124,INT(B169)+1)</f>
        <v/>
      </c>
      <c r="D169" s="7">
        <f>MAX(1,MIN(INT(B169/$C$4)+1,$C$5))</f>
        <v/>
      </c>
      <c r="E169" s="26">
        <f>IF($C$5=0,0,INDEX(Symboles!$G$6:$G$101,D169))</f>
        <v/>
      </c>
      <c r="F169" s="26">
        <f>IF($C$5=0,0,INDEX(Symboles!$H$6:$H$101,D169))</f>
        <v/>
      </c>
      <c r="G169" s="26">
        <f>COS(2*PI()*$C$3*B169)</f>
        <v/>
      </c>
      <c r="H169" s="26">
        <f>SIN(2*PI()*$C$3*B169)</f>
        <v/>
      </c>
      <c r="I169" s="26">
        <f>E169*G169+F169*H169</f>
        <v/>
      </c>
    </row>
    <row r="170">
      <c r="A170" s="7" t="n">
        <v>163</v>
      </c>
      <c r="B170" s="26">
        <f>(A170-1)/2000*$C$2</f>
        <v/>
      </c>
      <c r="C170" s="7">
        <f>INDEX(Bits!$E$25:$E$124,INT(B170)+1)</f>
        <v/>
      </c>
      <c r="D170" s="7">
        <f>MAX(1,MIN(INT(B170/$C$4)+1,$C$5))</f>
        <v/>
      </c>
      <c r="E170" s="26">
        <f>IF($C$5=0,0,INDEX(Symboles!$G$6:$G$101,D170))</f>
        <v/>
      </c>
      <c r="F170" s="26">
        <f>IF($C$5=0,0,INDEX(Symboles!$H$6:$H$101,D170))</f>
        <v/>
      </c>
      <c r="G170" s="26">
        <f>COS(2*PI()*$C$3*B170)</f>
        <v/>
      </c>
      <c r="H170" s="26">
        <f>SIN(2*PI()*$C$3*B170)</f>
        <v/>
      </c>
      <c r="I170" s="26">
        <f>E170*G170+F170*H170</f>
        <v/>
      </c>
    </row>
    <row r="171">
      <c r="A171" s="7" t="n">
        <v>164</v>
      </c>
      <c r="B171" s="26">
        <f>(A171-1)/2000*$C$2</f>
        <v/>
      </c>
      <c r="C171" s="7">
        <f>INDEX(Bits!$E$25:$E$124,INT(B171)+1)</f>
        <v/>
      </c>
      <c r="D171" s="7">
        <f>MAX(1,MIN(INT(B171/$C$4)+1,$C$5))</f>
        <v/>
      </c>
      <c r="E171" s="26">
        <f>IF($C$5=0,0,INDEX(Symboles!$G$6:$G$101,D171))</f>
        <v/>
      </c>
      <c r="F171" s="26">
        <f>IF($C$5=0,0,INDEX(Symboles!$H$6:$H$101,D171))</f>
        <v/>
      </c>
      <c r="G171" s="26">
        <f>COS(2*PI()*$C$3*B171)</f>
        <v/>
      </c>
      <c r="H171" s="26">
        <f>SIN(2*PI()*$C$3*B171)</f>
        <v/>
      </c>
      <c r="I171" s="26">
        <f>E171*G171+F171*H171</f>
        <v/>
      </c>
    </row>
    <row r="172">
      <c r="A172" s="7" t="n">
        <v>165</v>
      </c>
      <c r="B172" s="26">
        <f>(A172-1)/2000*$C$2</f>
        <v/>
      </c>
      <c r="C172" s="7">
        <f>INDEX(Bits!$E$25:$E$124,INT(B172)+1)</f>
        <v/>
      </c>
      <c r="D172" s="7">
        <f>MAX(1,MIN(INT(B172/$C$4)+1,$C$5))</f>
        <v/>
      </c>
      <c r="E172" s="26">
        <f>IF($C$5=0,0,INDEX(Symboles!$G$6:$G$101,D172))</f>
        <v/>
      </c>
      <c r="F172" s="26">
        <f>IF($C$5=0,0,INDEX(Symboles!$H$6:$H$101,D172))</f>
        <v/>
      </c>
      <c r="G172" s="26">
        <f>COS(2*PI()*$C$3*B172)</f>
        <v/>
      </c>
      <c r="H172" s="26">
        <f>SIN(2*PI()*$C$3*B172)</f>
        <v/>
      </c>
      <c r="I172" s="26">
        <f>E172*G172+F172*H172</f>
        <v/>
      </c>
    </row>
    <row r="173">
      <c r="A173" s="7" t="n">
        <v>166</v>
      </c>
      <c r="B173" s="26">
        <f>(A173-1)/2000*$C$2</f>
        <v/>
      </c>
      <c r="C173" s="7">
        <f>INDEX(Bits!$E$25:$E$124,INT(B173)+1)</f>
        <v/>
      </c>
      <c r="D173" s="7">
        <f>MAX(1,MIN(INT(B173/$C$4)+1,$C$5))</f>
        <v/>
      </c>
      <c r="E173" s="26">
        <f>IF($C$5=0,0,INDEX(Symboles!$G$6:$G$101,D173))</f>
        <v/>
      </c>
      <c r="F173" s="26">
        <f>IF($C$5=0,0,INDEX(Symboles!$H$6:$H$101,D173))</f>
        <v/>
      </c>
      <c r="G173" s="26">
        <f>COS(2*PI()*$C$3*B173)</f>
        <v/>
      </c>
      <c r="H173" s="26">
        <f>SIN(2*PI()*$C$3*B173)</f>
        <v/>
      </c>
      <c r="I173" s="26">
        <f>E173*G173+F173*H173</f>
        <v/>
      </c>
    </row>
    <row r="174">
      <c r="A174" s="7" t="n">
        <v>167</v>
      </c>
      <c r="B174" s="26">
        <f>(A174-1)/2000*$C$2</f>
        <v/>
      </c>
      <c r="C174" s="7">
        <f>INDEX(Bits!$E$25:$E$124,INT(B174)+1)</f>
        <v/>
      </c>
      <c r="D174" s="7">
        <f>MAX(1,MIN(INT(B174/$C$4)+1,$C$5))</f>
        <v/>
      </c>
      <c r="E174" s="26">
        <f>IF($C$5=0,0,INDEX(Symboles!$G$6:$G$101,D174))</f>
        <v/>
      </c>
      <c r="F174" s="26">
        <f>IF($C$5=0,0,INDEX(Symboles!$H$6:$H$101,D174))</f>
        <v/>
      </c>
      <c r="G174" s="26">
        <f>COS(2*PI()*$C$3*B174)</f>
        <v/>
      </c>
      <c r="H174" s="26">
        <f>SIN(2*PI()*$C$3*B174)</f>
        <v/>
      </c>
      <c r="I174" s="26">
        <f>E174*G174+F174*H174</f>
        <v/>
      </c>
    </row>
    <row r="175">
      <c r="A175" s="7" t="n">
        <v>168</v>
      </c>
      <c r="B175" s="26">
        <f>(A175-1)/2000*$C$2</f>
        <v/>
      </c>
      <c r="C175" s="7">
        <f>INDEX(Bits!$E$25:$E$124,INT(B175)+1)</f>
        <v/>
      </c>
      <c r="D175" s="7">
        <f>MAX(1,MIN(INT(B175/$C$4)+1,$C$5))</f>
        <v/>
      </c>
      <c r="E175" s="26">
        <f>IF($C$5=0,0,INDEX(Symboles!$G$6:$G$101,D175))</f>
        <v/>
      </c>
      <c r="F175" s="26">
        <f>IF($C$5=0,0,INDEX(Symboles!$H$6:$H$101,D175))</f>
        <v/>
      </c>
      <c r="G175" s="26">
        <f>COS(2*PI()*$C$3*B175)</f>
        <v/>
      </c>
      <c r="H175" s="26">
        <f>SIN(2*PI()*$C$3*B175)</f>
        <v/>
      </c>
      <c r="I175" s="26">
        <f>E175*G175+F175*H175</f>
        <v/>
      </c>
    </row>
    <row r="176">
      <c r="A176" s="7" t="n">
        <v>169</v>
      </c>
      <c r="B176" s="26">
        <f>(A176-1)/2000*$C$2</f>
        <v/>
      </c>
      <c r="C176" s="7">
        <f>INDEX(Bits!$E$25:$E$124,INT(B176)+1)</f>
        <v/>
      </c>
      <c r="D176" s="7">
        <f>MAX(1,MIN(INT(B176/$C$4)+1,$C$5))</f>
        <v/>
      </c>
      <c r="E176" s="26">
        <f>IF($C$5=0,0,INDEX(Symboles!$G$6:$G$101,D176))</f>
        <v/>
      </c>
      <c r="F176" s="26">
        <f>IF($C$5=0,0,INDEX(Symboles!$H$6:$H$101,D176))</f>
        <v/>
      </c>
      <c r="G176" s="26">
        <f>COS(2*PI()*$C$3*B176)</f>
        <v/>
      </c>
      <c r="H176" s="26">
        <f>SIN(2*PI()*$C$3*B176)</f>
        <v/>
      </c>
      <c r="I176" s="26">
        <f>E176*G176+F176*H176</f>
        <v/>
      </c>
    </row>
    <row r="177">
      <c r="A177" s="7" t="n">
        <v>170</v>
      </c>
      <c r="B177" s="26">
        <f>(A177-1)/2000*$C$2</f>
        <v/>
      </c>
      <c r="C177" s="7">
        <f>INDEX(Bits!$E$25:$E$124,INT(B177)+1)</f>
        <v/>
      </c>
      <c r="D177" s="7">
        <f>MAX(1,MIN(INT(B177/$C$4)+1,$C$5))</f>
        <v/>
      </c>
      <c r="E177" s="26">
        <f>IF($C$5=0,0,INDEX(Symboles!$G$6:$G$101,D177))</f>
        <v/>
      </c>
      <c r="F177" s="26">
        <f>IF($C$5=0,0,INDEX(Symboles!$H$6:$H$101,D177))</f>
        <v/>
      </c>
      <c r="G177" s="26">
        <f>COS(2*PI()*$C$3*B177)</f>
        <v/>
      </c>
      <c r="H177" s="26">
        <f>SIN(2*PI()*$C$3*B177)</f>
        <v/>
      </c>
      <c r="I177" s="26">
        <f>E177*G177+F177*H177</f>
        <v/>
      </c>
    </row>
    <row r="178">
      <c r="A178" s="7" t="n">
        <v>171</v>
      </c>
      <c r="B178" s="26">
        <f>(A178-1)/2000*$C$2</f>
        <v/>
      </c>
      <c r="C178" s="7">
        <f>INDEX(Bits!$E$25:$E$124,INT(B178)+1)</f>
        <v/>
      </c>
      <c r="D178" s="7">
        <f>MAX(1,MIN(INT(B178/$C$4)+1,$C$5))</f>
        <v/>
      </c>
      <c r="E178" s="26">
        <f>IF($C$5=0,0,INDEX(Symboles!$G$6:$G$101,D178))</f>
        <v/>
      </c>
      <c r="F178" s="26">
        <f>IF($C$5=0,0,INDEX(Symboles!$H$6:$H$101,D178))</f>
        <v/>
      </c>
      <c r="G178" s="26">
        <f>COS(2*PI()*$C$3*B178)</f>
        <v/>
      </c>
      <c r="H178" s="26">
        <f>SIN(2*PI()*$C$3*B178)</f>
        <v/>
      </c>
      <c r="I178" s="26">
        <f>E178*G178+F178*H178</f>
        <v/>
      </c>
    </row>
    <row r="179">
      <c r="A179" s="7" t="n">
        <v>172</v>
      </c>
      <c r="B179" s="26">
        <f>(A179-1)/2000*$C$2</f>
        <v/>
      </c>
      <c r="C179" s="7">
        <f>INDEX(Bits!$E$25:$E$124,INT(B179)+1)</f>
        <v/>
      </c>
      <c r="D179" s="7">
        <f>MAX(1,MIN(INT(B179/$C$4)+1,$C$5))</f>
        <v/>
      </c>
      <c r="E179" s="26">
        <f>IF($C$5=0,0,INDEX(Symboles!$G$6:$G$101,D179))</f>
        <v/>
      </c>
      <c r="F179" s="26">
        <f>IF($C$5=0,0,INDEX(Symboles!$H$6:$H$101,D179))</f>
        <v/>
      </c>
      <c r="G179" s="26">
        <f>COS(2*PI()*$C$3*B179)</f>
        <v/>
      </c>
      <c r="H179" s="26">
        <f>SIN(2*PI()*$C$3*B179)</f>
        <v/>
      </c>
      <c r="I179" s="26">
        <f>E179*G179+F179*H179</f>
        <v/>
      </c>
    </row>
    <row r="180">
      <c r="A180" s="7" t="n">
        <v>173</v>
      </c>
      <c r="B180" s="26">
        <f>(A180-1)/2000*$C$2</f>
        <v/>
      </c>
      <c r="C180" s="7">
        <f>INDEX(Bits!$E$25:$E$124,INT(B180)+1)</f>
        <v/>
      </c>
      <c r="D180" s="7">
        <f>MAX(1,MIN(INT(B180/$C$4)+1,$C$5))</f>
        <v/>
      </c>
      <c r="E180" s="26">
        <f>IF($C$5=0,0,INDEX(Symboles!$G$6:$G$101,D180))</f>
        <v/>
      </c>
      <c r="F180" s="26">
        <f>IF($C$5=0,0,INDEX(Symboles!$H$6:$H$101,D180))</f>
        <v/>
      </c>
      <c r="G180" s="26">
        <f>COS(2*PI()*$C$3*B180)</f>
        <v/>
      </c>
      <c r="H180" s="26">
        <f>SIN(2*PI()*$C$3*B180)</f>
        <v/>
      </c>
      <c r="I180" s="26">
        <f>E180*G180+F180*H180</f>
        <v/>
      </c>
    </row>
    <row r="181">
      <c r="A181" s="7" t="n">
        <v>174</v>
      </c>
      <c r="B181" s="26">
        <f>(A181-1)/2000*$C$2</f>
        <v/>
      </c>
      <c r="C181" s="7">
        <f>INDEX(Bits!$E$25:$E$124,INT(B181)+1)</f>
        <v/>
      </c>
      <c r="D181" s="7">
        <f>MAX(1,MIN(INT(B181/$C$4)+1,$C$5))</f>
        <v/>
      </c>
      <c r="E181" s="26">
        <f>IF($C$5=0,0,INDEX(Symboles!$G$6:$G$101,D181))</f>
        <v/>
      </c>
      <c r="F181" s="26">
        <f>IF($C$5=0,0,INDEX(Symboles!$H$6:$H$101,D181))</f>
        <v/>
      </c>
      <c r="G181" s="26">
        <f>COS(2*PI()*$C$3*B181)</f>
        <v/>
      </c>
      <c r="H181" s="26">
        <f>SIN(2*PI()*$C$3*B181)</f>
        <v/>
      </c>
      <c r="I181" s="26">
        <f>E181*G181+F181*H181</f>
        <v/>
      </c>
    </row>
    <row r="182">
      <c r="A182" s="7" t="n">
        <v>175</v>
      </c>
      <c r="B182" s="26">
        <f>(A182-1)/2000*$C$2</f>
        <v/>
      </c>
      <c r="C182" s="7">
        <f>INDEX(Bits!$E$25:$E$124,INT(B182)+1)</f>
        <v/>
      </c>
      <c r="D182" s="7">
        <f>MAX(1,MIN(INT(B182/$C$4)+1,$C$5))</f>
        <v/>
      </c>
      <c r="E182" s="26">
        <f>IF($C$5=0,0,INDEX(Symboles!$G$6:$G$101,D182))</f>
        <v/>
      </c>
      <c r="F182" s="26">
        <f>IF($C$5=0,0,INDEX(Symboles!$H$6:$H$101,D182))</f>
        <v/>
      </c>
      <c r="G182" s="26">
        <f>COS(2*PI()*$C$3*B182)</f>
        <v/>
      </c>
      <c r="H182" s="26">
        <f>SIN(2*PI()*$C$3*B182)</f>
        <v/>
      </c>
      <c r="I182" s="26">
        <f>E182*G182+F182*H182</f>
        <v/>
      </c>
    </row>
    <row r="183">
      <c r="A183" s="7" t="n">
        <v>176</v>
      </c>
      <c r="B183" s="26">
        <f>(A183-1)/2000*$C$2</f>
        <v/>
      </c>
      <c r="C183" s="7">
        <f>INDEX(Bits!$E$25:$E$124,INT(B183)+1)</f>
        <v/>
      </c>
      <c r="D183" s="7">
        <f>MAX(1,MIN(INT(B183/$C$4)+1,$C$5))</f>
        <v/>
      </c>
      <c r="E183" s="26">
        <f>IF($C$5=0,0,INDEX(Symboles!$G$6:$G$101,D183))</f>
        <v/>
      </c>
      <c r="F183" s="26">
        <f>IF($C$5=0,0,INDEX(Symboles!$H$6:$H$101,D183))</f>
        <v/>
      </c>
      <c r="G183" s="26">
        <f>COS(2*PI()*$C$3*B183)</f>
        <v/>
      </c>
      <c r="H183" s="26">
        <f>SIN(2*PI()*$C$3*B183)</f>
        <v/>
      </c>
      <c r="I183" s="26">
        <f>E183*G183+F183*H183</f>
        <v/>
      </c>
    </row>
    <row r="184">
      <c r="A184" s="7" t="n">
        <v>177</v>
      </c>
      <c r="B184" s="26">
        <f>(A184-1)/2000*$C$2</f>
        <v/>
      </c>
      <c r="C184" s="7">
        <f>INDEX(Bits!$E$25:$E$124,INT(B184)+1)</f>
        <v/>
      </c>
      <c r="D184" s="7">
        <f>MAX(1,MIN(INT(B184/$C$4)+1,$C$5))</f>
        <v/>
      </c>
      <c r="E184" s="26">
        <f>IF($C$5=0,0,INDEX(Symboles!$G$6:$G$101,D184))</f>
        <v/>
      </c>
      <c r="F184" s="26">
        <f>IF($C$5=0,0,INDEX(Symboles!$H$6:$H$101,D184))</f>
        <v/>
      </c>
      <c r="G184" s="26">
        <f>COS(2*PI()*$C$3*B184)</f>
        <v/>
      </c>
      <c r="H184" s="26">
        <f>SIN(2*PI()*$C$3*B184)</f>
        <v/>
      </c>
      <c r="I184" s="26">
        <f>E184*G184+F184*H184</f>
        <v/>
      </c>
    </row>
    <row r="185">
      <c r="A185" s="7" t="n">
        <v>178</v>
      </c>
      <c r="B185" s="26">
        <f>(A185-1)/2000*$C$2</f>
        <v/>
      </c>
      <c r="C185" s="7">
        <f>INDEX(Bits!$E$25:$E$124,INT(B185)+1)</f>
        <v/>
      </c>
      <c r="D185" s="7">
        <f>MAX(1,MIN(INT(B185/$C$4)+1,$C$5))</f>
        <v/>
      </c>
      <c r="E185" s="26">
        <f>IF($C$5=0,0,INDEX(Symboles!$G$6:$G$101,D185))</f>
        <v/>
      </c>
      <c r="F185" s="26">
        <f>IF($C$5=0,0,INDEX(Symboles!$H$6:$H$101,D185))</f>
        <v/>
      </c>
      <c r="G185" s="26">
        <f>COS(2*PI()*$C$3*B185)</f>
        <v/>
      </c>
      <c r="H185" s="26">
        <f>SIN(2*PI()*$C$3*B185)</f>
        <v/>
      </c>
      <c r="I185" s="26">
        <f>E185*G185+F185*H185</f>
        <v/>
      </c>
    </row>
    <row r="186">
      <c r="A186" s="7" t="n">
        <v>179</v>
      </c>
      <c r="B186" s="26">
        <f>(A186-1)/2000*$C$2</f>
        <v/>
      </c>
      <c r="C186" s="7">
        <f>INDEX(Bits!$E$25:$E$124,INT(B186)+1)</f>
        <v/>
      </c>
      <c r="D186" s="7">
        <f>MAX(1,MIN(INT(B186/$C$4)+1,$C$5))</f>
        <v/>
      </c>
      <c r="E186" s="26">
        <f>IF($C$5=0,0,INDEX(Symboles!$G$6:$G$101,D186))</f>
        <v/>
      </c>
      <c r="F186" s="26">
        <f>IF($C$5=0,0,INDEX(Symboles!$H$6:$H$101,D186))</f>
        <v/>
      </c>
      <c r="G186" s="26">
        <f>COS(2*PI()*$C$3*B186)</f>
        <v/>
      </c>
      <c r="H186" s="26">
        <f>SIN(2*PI()*$C$3*B186)</f>
        <v/>
      </c>
      <c r="I186" s="26">
        <f>E186*G186+F186*H186</f>
        <v/>
      </c>
    </row>
    <row r="187">
      <c r="A187" s="7" t="n">
        <v>180</v>
      </c>
      <c r="B187" s="26">
        <f>(A187-1)/2000*$C$2</f>
        <v/>
      </c>
      <c r="C187" s="7">
        <f>INDEX(Bits!$E$25:$E$124,INT(B187)+1)</f>
        <v/>
      </c>
      <c r="D187" s="7">
        <f>MAX(1,MIN(INT(B187/$C$4)+1,$C$5))</f>
        <v/>
      </c>
      <c r="E187" s="26">
        <f>IF($C$5=0,0,INDEX(Symboles!$G$6:$G$101,D187))</f>
        <v/>
      </c>
      <c r="F187" s="26">
        <f>IF($C$5=0,0,INDEX(Symboles!$H$6:$H$101,D187))</f>
        <v/>
      </c>
      <c r="G187" s="26">
        <f>COS(2*PI()*$C$3*B187)</f>
        <v/>
      </c>
      <c r="H187" s="26">
        <f>SIN(2*PI()*$C$3*B187)</f>
        <v/>
      </c>
      <c r="I187" s="26">
        <f>E187*G187+F187*H187</f>
        <v/>
      </c>
    </row>
    <row r="188">
      <c r="A188" s="7" t="n">
        <v>181</v>
      </c>
      <c r="B188" s="26">
        <f>(A188-1)/2000*$C$2</f>
        <v/>
      </c>
      <c r="C188" s="7">
        <f>INDEX(Bits!$E$25:$E$124,INT(B188)+1)</f>
        <v/>
      </c>
      <c r="D188" s="7">
        <f>MAX(1,MIN(INT(B188/$C$4)+1,$C$5))</f>
        <v/>
      </c>
      <c r="E188" s="26">
        <f>IF($C$5=0,0,INDEX(Symboles!$G$6:$G$101,D188))</f>
        <v/>
      </c>
      <c r="F188" s="26">
        <f>IF($C$5=0,0,INDEX(Symboles!$H$6:$H$101,D188))</f>
        <v/>
      </c>
      <c r="G188" s="26">
        <f>COS(2*PI()*$C$3*B188)</f>
        <v/>
      </c>
      <c r="H188" s="26">
        <f>SIN(2*PI()*$C$3*B188)</f>
        <v/>
      </c>
      <c r="I188" s="26">
        <f>E188*G188+F188*H188</f>
        <v/>
      </c>
    </row>
    <row r="189">
      <c r="A189" s="7" t="n">
        <v>182</v>
      </c>
      <c r="B189" s="26">
        <f>(A189-1)/2000*$C$2</f>
        <v/>
      </c>
      <c r="C189" s="7">
        <f>INDEX(Bits!$E$25:$E$124,INT(B189)+1)</f>
        <v/>
      </c>
      <c r="D189" s="7">
        <f>MAX(1,MIN(INT(B189/$C$4)+1,$C$5))</f>
        <v/>
      </c>
      <c r="E189" s="26">
        <f>IF($C$5=0,0,INDEX(Symboles!$G$6:$G$101,D189))</f>
        <v/>
      </c>
      <c r="F189" s="26">
        <f>IF($C$5=0,0,INDEX(Symboles!$H$6:$H$101,D189))</f>
        <v/>
      </c>
      <c r="G189" s="26">
        <f>COS(2*PI()*$C$3*B189)</f>
        <v/>
      </c>
      <c r="H189" s="26">
        <f>SIN(2*PI()*$C$3*B189)</f>
        <v/>
      </c>
      <c r="I189" s="26">
        <f>E189*G189+F189*H189</f>
        <v/>
      </c>
    </row>
    <row r="190">
      <c r="A190" s="7" t="n">
        <v>183</v>
      </c>
      <c r="B190" s="26">
        <f>(A190-1)/2000*$C$2</f>
        <v/>
      </c>
      <c r="C190" s="7">
        <f>INDEX(Bits!$E$25:$E$124,INT(B190)+1)</f>
        <v/>
      </c>
      <c r="D190" s="7">
        <f>MAX(1,MIN(INT(B190/$C$4)+1,$C$5))</f>
        <v/>
      </c>
      <c r="E190" s="26">
        <f>IF($C$5=0,0,INDEX(Symboles!$G$6:$G$101,D190))</f>
        <v/>
      </c>
      <c r="F190" s="26">
        <f>IF($C$5=0,0,INDEX(Symboles!$H$6:$H$101,D190))</f>
        <v/>
      </c>
      <c r="G190" s="26">
        <f>COS(2*PI()*$C$3*B190)</f>
        <v/>
      </c>
      <c r="H190" s="26">
        <f>SIN(2*PI()*$C$3*B190)</f>
        <v/>
      </c>
      <c r="I190" s="26">
        <f>E190*G190+F190*H190</f>
        <v/>
      </c>
    </row>
    <row r="191">
      <c r="A191" s="7" t="n">
        <v>184</v>
      </c>
      <c r="B191" s="26">
        <f>(A191-1)/2000*$C$2</f>
        <v/>
      </c>
      <c r="C191" s="7">
        <f>INDEX(Bits!$E$25:$E$124,INT(B191)+1)</f>
        <v/>
      </c>
      <c r="D191" s="7">
        <f>MAX(1,MIN(INT(B191/$C$4)+1,$C$5))</f>
        <v/>
      </c>
      <c r="E191" s="26">
        <f>IF($C$5=0,0,INDEX(Symboles!$G$6:$G$101,D191))</f>
        <v/>
      </c>
      <c r="F191" s="26">
        <f>IF($C$5=0,0,INDEX(Symboles!$H$6:$H$101,D191))</f>
        <v/>
      </c>
      <c r="G191" s="26">
        <f>COS(2*PI()*$C$3*B191)</f>
        <v/>
      </c>
      <c r="H191" s="26">
        <f>SIN(2*PI()*$C$3*B191)</f>
        <v/>
      </c>
      <c r="I191" s="26">
        <f>E191*G191+F191*H191</f>
        <v/>
      </c>
    </row>
    <row r="192">
      <c r="A192" s="7" t="n">
        <v>185</v>
      </c>
      <c r="B192" s="26">
        <f>(A192-1)/2000*$C$2</f>
        <v/>
      </c>
      <c r="C192" s="7">
        <f>INDEX(Bits!$E$25:$E$124,INT(B192)+1)</f>
        <v/>
      </c>
      <c r="D192" s="7">
        <f>MAX(1,MIN(INT(B192/$C$4)+1,$C$5))</f>
        <v/>
      </c>
      <c r="E192" s="26">
        <f>IF($C$5=0,0,INDEX(Symboles!$G$6:$G$101,D192))</f>
        <v/>
      </c>
      <c r="F192" s="26">
        <f>IF($C$5=0,0,INDEX(Symboles!$H$6:$H$101,D192))</f>
        <v/>
      </c>
      <c r="G192" s="26">
        <f>COS(2*PI()*$C$3*B192)</f>
        <v/>
      </c>
      <c r="H192" s="26">
        <f>SIN(2*PI()*$C$3*B192)</f>
        <v/>
      </c>
      <c r="I192" s="26">
        <f>E192*G192+F192*H192</f>
        <v/>
      </c>
    </row>
    <row r="193">
      <c r="A193" s="7" t="n">
        <v>186</v>
      </c>
      <c r="B193" s="26">
        <f>(A193-1)/2000*$C$2</f>
        <v/>
      </c>
      <c r="C193" s="7">
        <f>INDEX(Bits!$E$25:$E$124,INT(B193)+1)</f>
        <v/>
      </c>
      <c r="D193" s="7">
        <f>MAX(1,MIN(INT(B193/$C$4)+1,$C$5))</f>
        <v/>
      </c>
      <c r="E193" s="26">
        <f>IF($C$5=0,0,INDEX(Symboles!$G$6:$G$101,D193))</f>
        <v/>
      </c>
      <c r="F193" s="26">
        <f>IF($C$5=0,0,INDEX(Symboles!$H$6:$H$101,D193))</f>
        <v/>
      </c>
      <c r="G193" s="26">
        <f>COS(2*PI()*$C$3*B193)</f>
        <v/>
      </c>
      <c r="H193" s="26">
        <f>SIN(2*PI()*$C$3*B193)</f>
        <v/>
      </c>
      <c r="I193" s="26">
        <f>E193*G193+F193*H193</f>
        <v/>
      </c>
    </row>
    <row r="194">
      <c r="A194" s="7" t="n">
        <v>187</v>
      </c>
      <c r="B194" s="26">
        <f>(A194-1)/2000*$C$2</f>
        <v/>
      </c>
      <c r="C194" s="7">
        <f>INDEX(Bits!$E$25:$E$124,INT(B194)+1)</f>
        <v/>
      </c>
      <c r="D194" s="7">
        <f>MAX(1,MIN(INT(B194/$C$4)+1,$C$5))</f>
        <v/>
      </c>
      <c r="E194" s="26">
        <f>IF($C$5=0,0,INDEX(Symboles!$G$6:$G$101,D194))</f>
        <v/>
      </c>
      <c r="F194" s="26">
        <f>IF($C$5=0,0,INDEX(Symboles!$H$6:$H$101,D194))</f>
        <v/>
      </c>
      <c r="G194" s="26">
        <f>COS(2*PI()*$C$3*B194)</f>
        <v/>
      </c>
      <c r="H194" s="26">
        <f>SIN(2*PI()*$C$3*B194)</f>
        <v/>
      </c>
      <c r="I194" s="26">
        <f>E194*G194+F194*H194</f>
        <v/>
      </c>
    </row>
    <row r="195">
      <c r="A195" s="7" t="n">
        <v>188</v>
      </c>
      <c r="B195" s="26">
        <f>(A195-1)/2000*$C$2</f>
        <v/>
      </c>
      <c r="C195" s="7">
        <f>INDEX(Bits!$E$25:$E$124,INT(B195)+1)</f>
        <v/>
      </c>
      <c r="D195" s="7">
        <f>MAX(1,MIN(INT(B195/$C$4)+1,$C$5))</f>
        <v/>
      </c>
      <c r="E195" s="26">
        <f>IF($C$5=0,0,INDEX(Symboles!$G$6:$G$101,D195))</f>
        <v/>
      </c>
      <c r="F195" s="26">
        <f>IF($C$5=0,0,INDEX(Symboles!$H$6:$H$101,D195))</f>
        <v/>
      </c>
      <c r="G195" s="26">
        <f>COS(2*PI()*$C$3*B195)</f>
        <v/>
      </c>
      <c r="H195" s="26">
        <f>SIN(2*PI()*$C$3*B195)</f>
        <v/>
      </c>
      <c r="I195" s="26">
        <f>E195*G195+F195*H195</f>
        <v/>
      </c>
    </row>
    <row r="196">
      <c r="A196" s="7" t="n">
        <v>189</v>
      </c>
      <c r="B196" s="26">
        <f>(A196-1)/2000*$C$2</f>
        <v/>
      </c>
      <c r="C196" s="7">
        <f>INDEX(Bits!$E$25:$E$124,INT(B196)+1)</f>
        <v/>
      </c>
      <c r="D196" s="7">
        <f>MAX(1,MIN(INT(B196/$C$4)+1,$C$5))</f>
        <v/>
      </c>
      <c r="E196" s="26">
        <f>IF($C$5=0,0,INDEX(Symboles!$G$6:$G$101,D196))</f>
        <v/>
      </c>
      <c r="F196" s="26">
        <f>IF($C$5=0,0,INDEX(Symboles!$H$6:$H$101,D196))</f>
        <v/>
      </c>
      <c r="G196" s="26">
        <f>COS(2*PI()*$C$3*B196)</f>
        <v/>
      </c>
      <c r="H196" s="26">
        <f>SIN(2*PI()*$C$3*B196)</f>
        <v/>
      </c>
      <c r="I196" s="26">
        <f>E196*G196+F196*H196</f>
        <v/>
      </c>
    </row>
    <row r="197">
      <c r="A197" s="7" t="n">
        <v>190</v>
      </c>
      <c r="B197" s="26">
        <f>(A197-1)/2000*$C$2</f>
        <v/>
      </c>
      <c r="C197" s="7">
        <f>INDEX(Bits!$E$25:$E$124,INT(B197)+1)</f>
        <v/>
      </c>
      <c r="D197" s="7">
        <f>MAX(1,MIN(INT(B197/$C$4)+1,$C$5))</f>
        <v/>
      </c>
      <c r="E197" s="26">
        <f>IF($C$5=0,0,INDEX(Symboles!$G$6:$G$101,D197))</f>
        <v/>
      </c>
      <c r="F197" s="26">
        <f>IF($C$5=0,0,INDEX(Symboles!$H$6:$H$101,D197))</f>
        <v/>
      </c>
      <c r="G197" s="26">
        <f>COS(2*PI()*$C$3*B197)</f>
        <v/>
      </c>
      <c r="H197" s="26">
        <f>SIN(2*PI()*$C$3*B197)</f>
        <v/>
      </c>
      <c r="I197" s="26">
        <f>E197*G197+F197*H197</f>
        <v/>
      </c>
    </row>
    <row r="198">
      <c r="A198" s="7" t="n">
        <v>191</v>
      </c>
      <c r="B198" s="26">
        <f>(A198-1)/2000*$C$2</f>
        <v/>
      </c>
      <c r="C198" s="7">
        <f>INDEX(Bits!$E$25:$E$124,INT(B198)+1)</f>
        <v/>
      </c>
      <c r="D198" s="7">
        <f>MAX(1,MIN(INT(B198/$C$4)+1,$C$5))</f>
        <v/>
      </c>
      <c r="E198" s="26">
        <f>IF($C$5=0,0,INDEX(Symboles!$G$6:$G$101,D198))</f>
        <v/>
      </c>
      <c r="F198" s="26">
        <f>IF($C$5=0,0,INDEX(Symboles!$H$6:$H$101,D198))</f>
        <v/>
      </c>
      <c r="G198" s="26">
        <f>COS(2*PI()*$C$3*B198)</f>
        <v/>
      </c>
      <c r="H198" s="26">
        <f>SIN(2*PI()*$C$3*B198)</f>
        <v/>
      </c>
      <c r="I198" s="26">
        <f>E198*G198+F198*H198</f>
        <v/>
      </c>
    </row>
    <row r="199">
      <c r="A199" s="7" t="n">
        <v>192</v>
      </c>
      <c r="B199" s="26">
        <f>(A199-1)/2000*$C$2</f>
        <v/>
      </c>
      <c r="C199" s="7">
        <f>INDEX(Bits!$E$25:$E$124,INT(B199)+1)</f>
        <v/>
      </c>
      <c r="D199" s="7">
        <f>MAX(1,MIN(INT(B199/$C$4)+1,$C$5))</f>
        <v/>
      </c>
      <c r="E199" s="26">
        <f>IF($C$5=0,0,INDEX(Symboles!$G$6:$G$101,D199))</f>
        <v/>
      </c>
      <c r="F199" s="26">
        <f>IF($C$5=0,0,INDEX(Symboles!$H$6:$H$101,D199))</f>
        <v/>
      </c>
      <c r="G199" s="26">
        <f>COS(2*PI()*$C$3*B199)</f>
        <v/>
      </c>
      <c r="H199" s="26">
        <f>SIN(2*PI()*$C$3*B199)</f>
        <v/>
      </c>
      <c r="I199" s="26">
        <f>E199*G199+F199*H199</f>
        <v/>
      </c>
    </row>
    <row r="200">
      <c r="A200" s="7" t="n">
        <v>193</v>
      </c>
      <c r="B200" s="26">
        <f>(A200-1)/2000*$C$2</f>
        <v/>
      </c>
      <c r="C200" s="7">
        <f>INDEX(Bits!$E$25:$E$124,INT(B200)+1)</f>
        <v/>
      </c>
      <c r="D200" s="7">
        <f>MAX(1,MIN(INT(B200/$C$4)+1,$C$5))</f>
        <v/>
      </c>
      <c r="E200" s="26">
        <f>IF($C$5=0,0,INDEX(Symboles!$G$6:$G$101,D200))</f>
        <v/>
      </c>
      <c r="F200" s="26">
        <f>IF($C$5=0,0,INDEX(Symboles!$H$6:$H$101,D200))</f>
        <v/>
      </c>
      <c r="G200" s="26">
        <f>COS(2*PI()*$C$3*B200)</f>
        <v/>
      </c>
      <c r="H200" s="26">
        <f>SIN(2*PI()*$C$3*B200)</f>
        <v/>
      </c>
      <c r="I200" s="26">
        <f>E200*G200+F200*H200</f>
        <v/>
      </c>
    </row>
    <row r="201">
      <c r="A201" s="7" t="n">
        <v>194</v>
      </c>
      <c r="B201" s="26">
        <f>(A201-1)/2000*$C$2</f>
        <v/>
      </c>
      <c r="C201" s="7">
        <f>INDEX(Bits!$E$25:$E$124,INT(B201)+1)</f>
        <v/>
      </c>
      <c r="D201" s="7">
        <f>MAX(1,MIN(INT(B201/$C$4)+1,$C$5))</f>
        <v/>
      </c>
      <c r="E201" s="26">
        <f>IF($C$5=0,0,INDEX(Symboles!$G$6:$G$101,D201))</f>
        <v/>
      </c>
      <c r="F201" s="26">
        <f>IF($C$5=0,0,INDEX(Symboles!$H$6:$H$101,D201))</f>
        <v/>
      </c>
      <c r="G201" s="26">
        <f>COS(2*PI()*$C$3*B201)</f>
        <v/>
      </c>
      <c r="H201" s="26">
        <f>SIN(2*PI()*$C$3*B201)</f>
        <v/>
      </c>
      <c r="I201" s="26">
        <f>E201*G201+F201*H201</f>
        <v/>
      </c>
    </row>
    <row r="202">
      <c r="A202" s="7" t="n">
        <v>195</v>
      </c>
      <c r="B202" s="26">
        <f>(A202-1)/2000*$C$2</f>
        <v/>
      </c>
      <c r="C202" s="7">
        <f>INDEX(Bits!$E$25:$E$124,INT(B202)+1)</f>
        <v/>
      </c>
      <c r="D202" s="7">
        <f>MAX(1,MIN(INT(B202/$C$4)+1,$C$5))</f>
        <v/>
      </c>
      <c r="E202" s="26">
        <f>IF($C$5=0,0,INDEX(Symboles!$G$6:$G$101,D202))</f>
        <v/>
      </c>
      <c r="F202" s="26">
        <f>IF($C$5=0,0,INDEX(Symboles!$H$6:$H$101,D202))</f>
        <v/>
      </c>
      <c r="G202" s="26">
        <f>COS(2*PI()*$C$3*B202)</f>
        <v/>
      </c>
      <c r="H202" s="26">
        <f>SIN(2*PI()*$C$3*B202)</f>
        <v/>
      </c>
      <c r="I202" s="26">
        <f>E202*G202+F202*H202</f>
        <v/>
      </c>
    </row>
    <row r="203">
      <c r="A203" s="7" t="n">
        <v>196</v>
      </c>
      <c r="B203" s="26">
        <f>(A203-1)/2000*$C$2</f>
        <v/>
      </c>
      <c r="C203" s="7">
        <f>INDEX(Bits!$E$25:$E$124,INT(B203)+1)</f>
        <v/>
      </c>
      <c r="D203" s="7">
        <f>MAX(1,MIN(INT(B203/$C$4)+1,$C$5))</f>
        <v/>
      </c>
      <c r="E203" s="26">
        <f>IF($C$5=0,0,INDEX(Symboles!$G$6:$G$101,D203))</f>
        <v/>
      </c>
      <c r="F203" s="26">
        <f>IF($C$5=0,0,INDEX(Symboles!$H$6:$H$101,D203))</f>
        <v/>
      </c>
      <c r="G203" s="26">
        <f>COS(2*PI()*$C$3*B203)</f>
        <v/>
      </c>
      <c r="H203" s="26">
        <f>SIN(2*PI()*$C$3*B203)</f>
        <v/>
      </c>
      <c r="I203" s="26">
        <f>E203*G203+F203*H203</f>
        <v/>
      </c>
    </row>
    <row r="204">
      <c r="A204" s="7" t="n">
        <v>197</v>
      </c>
      <c r="B204" s="26">
        <f>(A204-1)/2000*$C$2</f>
        <v/>
      </c>
      <c r="C204" s="7">
        <f>INDEX(Bits!$E$25:$E$124,INT(B204)+1)</f>
        <v/>
      </c>
      <c r="D204" s="7">
        <f>MAX(1,MIN(INT(B204/$C$4)+1,$C$5))</f>
        <v/>
      </c>
      <c r="E204" s="26">
        <f>IF($C$5=0,0,INDEX(Symboles!$G$6:$G$101,D204))</f>
        <v/>
      </c>
      <c r="F204" s="26">
        <f>IF($C$5=0,0,INDEX(Symboles!$H$6:$H$101,D204))</f>
        <v/>
      </c>
      <c r="G204" s="26">
        <f>COS(2*PI()*$C$3*B204)</f>
        <v/>
      </c>
      <c r="H204" s="26">
        <f>SIN(2*PI()*$C$3*B204)</f>
        <v/>
      </c>
      <c r="I204" s="26">
        <f>E204*G204+F204*H204</f>
        <v/>
      </c>
    </row>
    <row r="205">
      <c r="A205" s="7" t="n">
        <v>198</v>
      </c>
      <c r="B205" s="26">
        <f>(A205-1)/2000*$C$2</f>
        <v/>
      </c>
      <c r="C205" s="7">
        <f>INDEX(Bits!$E$25:$E$124,INT(B205)+1)</f>
        <v/>
      </c>
      <c r="D205" s="7">
        <f>MAX(1,MIN(INT(B205/$C$4)+1,$C$5))</f>
        <v/>
      </c>
      <c r="E205" s="26">
        <f>IF($C$5=0,0,INDEX(Symboles!$G$6:$G$101,D205))</f>
        <v/>
      </c>
      <c r="F205" s="26">
        <f>IF($C$5=0,0,INDEX(Symboles!$H$6:$H$101,D205))</f>
        <v/>
      </c>
      <c r="G205" s="26">
        <f>COS(2*PI()*$C$3*B205)</f>
        <v/>
      </c>
      <c r="H205" s="26">
        <f>SIN(2*PI()*$C$3*B205)</f>
        <v/>
      </c>
      <c r="I205" s="26">
        <f>E205*G205+F205*H205</f>
        <v/>
      </c>
    </row>
    <row r="206">
      <c r="A206" s="7" t="n">
        <v>199</v>
      </c>
      <c r="B206" s="26">
        <f>(A206-1)/2000*$C$2</f>
        <v/>
      </c>
      <c r="C206" s="7">
        <f>INDEX(Bits!$E$25:$E$124,INT(B206)+1)</f>
        <v/>
      </c>
      <c r="D206" s="7">
        <f>MAX(1,MIN(INT(B206/$C$4)+1,$C$5))</f>
        <v/>
      </c>
      <c r="E206" s="26">
        <f>IF($C$5=0,0,INDEX(Symboles!$G$6:$G$101,D206))</f>
        <v/>
      </c>
      <c r="F206" s="26">
        <f>IF($C$5=0,0,INDEX(Symboles!$H$6:$H$101,D206))</f>
        <v/>
      </c>
      <c r="G206" s="26">
        <f>COS(2*PI()*$C$3*B206)</f>
        <v/>
      </c>
      <c r="H206" s="26">
        <f>SIN(2*PI()*$C$3*B206)</f>
        <v/>
      </c>
      <c r="I206" s="26">
        <f>E206*G206+F206*H206</f>
        <v/>
      </c>
    </row>
    <row r="207">
      <c r="A207" s="7" t="n">
        <v>200</v>
      </c>
      <c r="B207" s="26">
        <f>(A207-1)/2000*$C$2</f>
        <v/>
      </c>
      <c r="C207" s="7">
        <f>INDEX(Bits!$E$25:$E$124,INT(B207)+1)</f>
        <v/>
      </c>
      <c r="D207" s="7">
        <f>MAX(1,MIN(INT(B207/$C$4)+1,$C$5))</f>
        <v/>
      </c>
      <c r="E207" s="26">
        <f>IF($C$5=0,0,INDEX(Symboles!$G$6:$G$101,D207))</f>
        <v/>
      </c>
      <c r="F207" s="26">
        <f>IF($C$5=0,0,INDEX(Symboles!$H$6:$H$101,D207))</f>
        <v/>
      </c>
      <c r="G207" s="26">
        <f>COS(2*PI()*$C$3*B207)</f>
        <v/>
      </c>
      <c r="H207" s="26">
        <f>SIN(2*PI()*$C$3*B207)</f>
        <v/>
      </c>
      <c r="I207" s="26">
        <f>E207*G207+F207*H207</f>
        <v/>
      </c>
    </row>
    <row r="208">
      <c r="A208" s="7" t="n">
        <v>201</v>
      </c>
      <c r="B208" s="26">
        <f>(A208-1)/2000*$C$2</f>
        <v/>
      </c>
      <c r="C208" s="7">
        <f>INDEX(Bits!$E$25:$E$124,INT(B208)+1)</f>
        <v/>
      </c>
      <c r="D208" s="7">
        <f>MAX(1,MIN(INT(B208/$C$4)+1,$C$5))</f>
        <v/>
      </c>
      <c r="E208" s="26">
        <f>IF($C$5=0,0,INDEX(Symboles!$G$6:$G$101,D208))</f>
        <v/>
      </c>
      <c r="F208" s="26">
        <f>IF($C$5=0,0,INDEX(Symboles!$H$6:$H$101,D208))</f>
        <v/>
      </c>
      <c r="G208" s="26">
        <f>COS(2*PI()*$C$3*B208)</f>
        <v/>
      </c>
      <c r="H208" s="26">
        <f>SIN(2*PI()*$C$3*B208)</f>
        <v/>
      </c>
      <c r="I208" s="26">
        <f>E208*G208+F208*H208</f>
        <v/>
      </c>
    </row>
    <row r="209">
      <c r="A209" s="7" t="n">
        <v>202</v>
      </c>
      <c r="B209" s="26">
        <f>(A209-1)/2000*$C$2</f>
        <v/>
      </c>
      <c r="C209" s="7">
        <f>INDEX(Bits!$E$25:$E$124,INT(B209)+1)</f>
        <v/>
      </c>
      <c r="D209" s="7">
        <f>MAX(1,MIN(INT(B209/$C$4)+1,$C$5))</f>
        <v/>
      </c>
      <c r="E209" s="26">
        <f>IF($C$5=0,0,INDEX(Symboles!$G$6:$G$101,D209))</f>
        <v/>
      </c>
      <c r="F209" s="26">
        <f>IF($C$5=0,0,INDEX(Symboles!$H$6:$H$101,D209))</f>
        <v/>
      </c>
      <c r="G209" s="26">
        <f>COS(2*PI()*$C$3*B209)</f>
        <v/>
      </c>
      <c r="H209" s="26">
        <f>SIN(2*PI()*$C$3*B209)</f>
        <v/>
      </c>
      <c r="I209" s="26">
        <f>E209*G209+F209*H209</f>
        <v/>
      </c>
    </row>
    <row r="210">
      <c r="A210" s="7" t="n">
        <v>203</v>
      </c>
      <c r="B210" s="26">
        <f>(A210-1)/2000*$C$2</f>
        <v/>
      </c>
      <c r="C210" s="7">
        <f>INDEX(Bits!$E$25:$E$124,INT(B210)+1)</f>
        <v/>
      </c>
      <c r="D210" s="7">
        <f>MAX(1,MIN(INT(B210/$C$4)+1,$C$5))</f>
        <v/>
      </c>
      <c r="E210" s="26">
        <f>IF($C$5=0,0,INDEX(Symboles!$G$6:$G$101,D210))</f>
        <v/>
      </c>
      <c r="F210" s="26">
        <f>IF($C$5=0,0,INDEX(Symboles!$H$6:$H$101,D210))</f>
        <v/>
      </c>
      <c r="G210" s="26">
        <f>COS(2*PI()*$C$3*B210)</f>
        <v/>
      </c>
      <c r="H210" s="26">
        <f>SIN(2*PI()*$C$3*B210)</f>
        <v/>
      </c>
      <c r="I210" s="26">
        <f>E210*G210+F210*H210</f>
        <v/>
      </c>
    </row>
    <row r="211">
      <c r="A211" s="7" t="n">
        <v>204</v>
      </c>
      <c r="B211" s="26">
        <f>(A211-1)/2000*$C$2</f>
        <v/>
      </c>
      <c r="C211" s="7">
        <f>INDEX(Bits!$E$25:$E$124,INT(B211)+1)</f>
        <v/>
      </c>
      <c r="D211" s="7">
        <f>MAX(1,MIN(INT(B211/$C$4)+1,$C$5))</f>
        <v/>
      </c>
      <c r="E211" s="26">
        <f>IF($C$5=0,0,INDEX(Symboles!$G$6:$G$101,D211))</f>
        <v/>
      </c>
      <c r="F211" s="26">
        <f>IF($C$5=0,0,INDEX(Symboles!$H$6:$H$101,D211))</f>
        <v/>
      </c>
      <c r="G211" s="26">
        <f>COS(2*PI()*$C$3*B211)</f>
        <v/>
      </c>
      <c r="H211" s="26">
        <f>SIN(2*PI()*$C$3*B211)</f>
        <v/>
      </c>
      <c r="I211" s="26">
        <f>E211*G211+F211*H211</f>
        <v/>
      </c>
    </row>
    <row r="212">
      <c r="A212" s="7" t="n">
        <v>205</v>
      </c>
      <c r="B212" s="26">
        <f>(A212-1)/2000*$C$2</f>
        <v/>
      </c>
      <c r="C212" s="7">
        <f>INDEX(Bits!$E$25:$E$124,INT(B212)+1)</f>
        <v/>
      </c>
      <c r="D212" s="7">
        <f>MAX(1,MIN(INT(B212/$C$4)+1,$C$5))</f>
        <v/>
      </c>
      <c r="E212" s="26">
        <f>IF($C$5=0,0,INDEX(Symboles!$G$6:$G$101,D212))</f>
        <v/>
      </c>
      <c r="F212" s="26">
        <f>IF($C$5=0,0,INDEX(Symboles!$H$6:$H$101,D212))</f>
        <v/>
      </c>
      <c r="G212" s="26">
        <f>COS(2*PI()*$C$3*B212)</f>
        <v/>
      </c>
      <c r="H212" s="26">
        <f>SIN(2*PI()*$C$3*B212)</f>
        <v/>
      </c>
      <c r="I212" s="26">
        <f>E212*G212+F212*H212</f>
        <v/>
      </c>
    </row>
    <row r="213">
      <c r="A213" s="7" t="n">
        <v>206</v>
      </c>
      <c r="B213" s="26">
        <f>(A213-1)/2000*$C$2</f>
        <v/>
      </c>
      <c r="C213" s="7">
        <f>INDEX(Bits!$E$25:$E$124,INT(B213)+1)</f>
        <v/>
      </c>
      <c r="D213" s="7">
        <f>MAX(1,MIN(INT(B213/$C$4)+1,$C$5))</f>
        <v/>
      </c>
      <c r="E213" s="26">
        <f>IF($C$5=0,0,INDEX(Symboles!$G$6:$G$101,D213))</f>
        <v/>
      </c>
      <c r="F213" s="26">
        <f>IF($C$5=0,0,INDEX(Symboles!$H$6:$H$101,D213))</f>
        <v/>
      </c>
      <c r="G213" s="26">
        <f>COS(2*PI()*$C$3*B213)</f>
        <v/>
      </c>
      <c r="H213" s="26">
        <f>SIN(2*PI()*$C$3*B213)</f>
        <v/>
      </c>
      <c r="I213" s="26">
        <f>E213*G213+F213*H213</f>
        <v/>
      </c>
    </row>
    <row r="214">
      <c r="A214" s="7" t="n">
        <v>207</v>
      </c>
      <c r="B214" s="26">
        <f>(A214-1)/2000*$C$2</f>
        <v/>
      </c>
      <c r="C214" s="7">
        <f>INDEX(Bits!$E$25:$E$124,INT(B214)+1)</f>
        <v/>
      </c>
      <c r="D214" s="7">
        <f>MAX(1,MIN(INT(B214/$C$4)+1,$C$5))</f>
        <v/>
      </c>
      <c r="E214" s="26">
        <f>IF($C$5=0,0,INDEX(Symboles!$G$6:$G$101,D214))</f>
        <v/>
      </c>
      <c r="F214" s="26">
        <f>IF($C$5=0,0,INDEX(Symboles!$H$6:$H$101,D214))</f>
        <v/>
      </c>
      <c r="G214" s="26">
        <f>COS(2*PI()*$C$3*B214)</f>
        <v/>
      </c>
      <c r="H214" s="26">
        <f>SIN(2*PI()*$C$3*B214)</f>
        <v/>
      </c>
      <c r="I214" s="26">
        <f>E214*G214+F214*H214</f>
        <v/>
      </c>
    </row>
    <row r="215">
      <c r="A215" s="7" t="n">
        <v>208</v>
      </c>
      <c r="B215" s="26">
        <f>(A215-1)/2000*$C$2</f>
        <v/>
      </c>
      <c r="C215" s="7">
        <f>INDEX(Bits!$E$25:$E$124,INT(B215)+1)</f>
        <v/>
      </c>
      <c r="D215" s="7">
        <f>MAX(1,MIN(INT(B215/$C$4)+1,$C$5))</f>
        <v/>
      </c>
      <c r="E215" s="26">
        <f>IF($C$5=0,0,INDEX(Symboles!$G$6:$G$101,D215))</f>
        <v/>
      </c>
      <c r="F215" s="26">
        <f>IF($C$5=0,0,INDEX(Symboles!$H$6:$H$101,D215))</f>
        <v/>
      </c>
      <c r="G215" s="26">
        <f>COS(2*PI()*$C$3*B215)</f>
        <v/>
      </c>
      <c r="H215" s="26">
        <f>SIN(2*PI()*$C$3*B215)</f>
        <v/>
      </c>
      <c r="I215" s="26">
        <f>E215*G215+F215*H215</f>
        <v/>
      </c>
    </row>
    <row r="216">
      <c r="A216" s="7" t="n">
        <v>209</v>
      </c>
      <c r="B216" s="26">
        <f>(A216-1)/2000*$C$2</f>
        <v/>
      </c>
      <c r="C216" s="7">
        <f>INDEX(Bits!$E$25:$E$124,INT(B216)+1)</f>
        <v/>
      </c>
      <c r="D216" s="7">
        <f>MAX(1,MIN(INT(B216/$C$4)+1,$C$5))</f>
        <v/>
      </c>
      <c r="E216" s="26">
        <f>IF($C$5=0,0,INDEX(Symboles!$G$6:$G$101,D216))</f>
        <v/>
      </c>
      <c r="F216" s="26">
        <f>IF($C$5=0,0,INDEX(Symboles!$H$6:$H$101,D216))</f>
        <v/>
      </c>
      <c r="G216" s="26">
        <f>COS(2*PI()*$C$3*B216)</f>
        <v/>
      </c>
      <c r="H216" s="26">
        <f>SIN(2*PI()*$C$3*B216)</f>
        <v/>
      </c>
      <c r="I216" s="26">
        <f>E216*G216+F216*H216</f>
        <v/>
      </c>
    </row>
    <row r="217">
      <c r="A217" s="7" t="n">
        <v>210</v>
      </c>
      <c r="B217" s="26">
        <f>(A217-1)/2000*$C$2</f>
        <v/>
      </c>
      <c r="C217" s="7">
        <f>INDEX(Bits!$E$25:$E$124,INT(B217)+1)</f>
        <v/>
      </c>
      <c r="D217" s="7">
        <f>MAX(1,MIN(INT(B217/$C$4)+1,$C$5))</f>
        <v/>
      </c>
      <c r="E217" s="26">
        <f>IF($C$5=0,0,INDEX(Symboles!$G$6:$G$101,D217))</f>
        <v/>
      </c>
      <c r="F217" s="26">
        <f>IF($C$5=0,0,INDEX(Symboles!$H$6:$H$101,D217))</f>
        <v/>
      </c>
      <c r="G217" s="26">
        <f>COS(2*PI()*$C$3*B217)</f>
        <v/>
      </c>
      <c r="H217" s="26">
        <f>SIN(2*PI()*$C$3*B217)</f>
        <v/>
      </c>
      <c r="I217" s="26">
        <f>E217*G217+F217*H217</f>
        <v/>
      </c>
    </row>
    <row r="218">
      <c r="A218" s="7" t="n">
        <v>211</v>
      </c>
      <c r="B218" s="26">
        <f>(A218-1)/2000*$C$2</f>
        <v/>
      </c>
      <c r="C218" s="7">
        <f>INDEX(Bits!$E$25:$E$124,INT(B218)+1)</f>
        <v/>
      </c>
      <c r="D218" s="7">
        <f>MAX(1,MIN(INT(B218/$C$4)+1,$C$5))</f>
        <v/>
      </c>
      <c r="E218" s="26">
        <f>IF($C$5=0,0,INDEX(Symboles!$G$6:$G$101,D218))</f>
        <v/>
      </c>
      <c r="F218" s="26">
        <f>IF($C$5=0,0,INDEX(Symboles!$H$6:$H$101,D218))</f>
        <v/>
      </c>
      <c r="G218" s="26">
        <f>COS(2*PI()*$C$3*B218)</f>
        <v/>
      </c>
      <c r="H218" s="26">
        <f>SIN(2*PI()*$C$3*B218)</f>
        <v/>
      </c>
      <c r="I218" s="26">
        <f>E218*G218+F218*H218</f>
        <v/>
      </c>
    </row>
    <row r="219">
      <c r="A219" s="7" t="n">
        <v>212</v>
      </c>
      <c r="B219" s="26">
        <f>(A219-1)/2000*$C$2</f>
        <v/>
      </c>
      <c r="C219" s="7">
        <f>INDEX(Bits!$E$25:$E$124,INT(B219)+1)</f>
        <v/>
      </c>
      <c r="D219" s="7">
        <f>MAX(1,MIN(INT(B219/$C$4)+1,$C$5))</f>
        <v/>
      </c>
      <c r="E219" s="26">
        <f>IF($C$5=0,0,INDEX(Symboles!$G$6:$G$101,D219))</f>
        <v/>
      </c>
      <c r="F219" s="26">
        <f>IF($C$5=0,0,INDEX(Symboles!$H$6:$H$101,D219))</f>
        <v/>
      </c>
      <c r="G219" s="26">
        <f>COS(2*PI()*$C$3*B219)</f>
        <v/>
      </c>
      <c r="H219" s="26">
        <f>SIN(2*PI()*$C$3*B219)</f>
        <v/>
      </c>
      <c r="I219" s="26">
        <f>E219*G219+F219*H219</f>
        <v/>
      </c>
    </row>
    <row r="220">
      <c r="A220" s="7" t="n">
        <v>213</v>
      </c>
      <c r="B220" s="26">
        <f>(A220-1)/2000*$C$2</f>
        <v/>
      </c>
      <c r="C220" s="7">
        <f>INDEX(Bits!$E$25:$E$124,INT(B220)+1)</f>
        <v/>
      </c>
      <c r="D220" s="7">
        <f>MAX(1,MIN(INT(B220/$C$4)+1,$C$5))</f>
        <v/>
      </c>
      <c r="E220" s="26">
        <f>IF($C$5=0,0,INDEX(Symboles!$G$6:$G$101,D220))</f>
        <v/>
      </c>
      <c r="F220" s="26">
        <f>IF($C$5=0,0,INDEX(Symboles!$H$6:$H$101,D220))</f>
        <v/>
      </c>
      <c r="G220" s="26">
        <f>COS(2*PI()*$C$3*B220)</f>
        <v/>
      </c>
      <c r="H220" s="26">
        <f>SIN(2*PI()*$C$3*B220)</f>
        <v/>
      </c>
      <c r="I220" s="26">
        <f>E220*G220+F220*H220</f>
        <v/>
      </c>
    </row>
    <row r="221">
      <c r="A221" s="7" t="n">
        <v>214</v>
      </c>
      <c r="B221" s="26">
        <f>(A221-1)/2000*$C$2</f>
        <v/>
      </c>
      <c r="C221" s="7">
        <f>INDEX(Bits!$E$25:$E$124,INT(B221)+1)</f>
        <v/>
      </c>
      <c r="D221" s="7">
        <f>MAX(1,MIN(INT(B221/$C$4)+1,$C$5))</f>
        <v/>
      </c>
      <c r="E221" s="26">
        <f>IF($C$5=0,0,INDEX(Symboles!$G$6:$G$101,D221))</f>
        <v/>
      </c>
      <c r="F221" s="26">
        <f>IF($C$5=0,0,INDEX(Symboles!$H$6:$H$101,D221))</f>
        <v/>
      </c>
      <c r="G221" s="26">
        <f>COS(2*PI()*$C$3*B221)</f>
        <v/>
      </c>
      <c r="H221" s="26">
        <f>SIN(2*PI()*$C$3*B221)</f>
        <v/>
      </c>
      <c r="I221" s="26">
        <f>E221*G221+F221*H221</f>
        <v/>
      </c>
    </row>
    <row r="222">
      <c r="A222" s="7" t="n">
        <v>215</v>
      </c>
      <c r="B222" s="26">
        <f>(A222-1)/2000*$C$2</f>
        <v/>
      </c>
      <c r="C222" s="7">
        <f>INDEX(Bits!$E$25:$E$124,INT(B222)+1)</f>
        <v/>
      </c>
      <c r="D222" s="7">
        <f>MAX(1,MIN(INT(B222/$C$4)+1,$C$5))</f>
        <v/>
      </c>
      <c r="E222" s="26">
        <f>IF($C$5=0,0,INDEX(Symboles!$G$6:$G$101,D222))</f>
        <v/>
      </c>
      <c r="F222" s="26">
        <f>IF($C$5=0,0,INDEX(Symboles!$H$6:$H$101,D222))</f>
        <v/>
      </c>
      <c r="G222" s="26">
        <f>COS(2*PI()*$C$3*B222)</f>
        <v/>
      </c>
      <c r="H222" s="26">
        <f>SIN(2*PI()*$C$3*B222)</f>
        <v/>
      </c>
      <c r="I222" s="26">
        <f>E222*G222+F222*H222</f>
        <v/>
      </c>
    </row>
    <row r="223">
      <c r="A223" s="7" t="n">
        <v>216</v>
      </c>
      <c r="B223" s="26">
        <f>(A223-1)/2000*$C$2</f>
        <v/>
      </c>
      <c r="C223" s="7">
        <f>INDEX(Bits!$E$25:$E$124,INT(B223)+1)</f>
        <v/>
      </c>
      <c r="D223" s="7">
        <f>MAX(1,MIN(INT(B223/$C$4)+1,$C$5))</f>
        <v/>
      </c>
      <c r="E223" s="26">
        <f>IF($C$5=0,0,INDEX(Symboles!$G$6:$G$101,D223))</f>
        <v/>
      </c>
      <c r="F223" s="26">
        <f>IF($C$5=0,0,INDEX(Symboles!$H$6:$H$101,D223))</f>
        <v/>
      </c>
      <c r="G223" s="26">
        <f>COS(2*PI()*$C$3*B223)</f>
        <v/>
      </c>
      <c r="H223" s="26">
        <f>SIN(2*PI()*$C$3*B223)</f>
        <v/>
      </c>
      <c r="I223" s="26">
        <f>E223*G223+F223*H223</f>
        <v/>
      </c>
    </row>
    <row r="224">
      <c r="A224" s="7" t="n">
        <v>217</v>
      </c>
      <c r="B224" s="26">
        <f>(A224-1)/2000*$C$2</f>
        <v/>
      </c>
      <c r="C224" s="7">
        <f>INDEX(Bits!$E$25:$E$124,INT(B224)+1)</f>
        <v/>
      </c>
      <c r="D224" s="7">
        <f>MAX(1,MIN(INT(B224/$C$4)+1,$C$5))</f>
        <v/>
      </c>
      <c r="E224" s="26">
        <f>IF($C$5=0,0,INDEX(Symboles!$G$6:$G$101,D224))</f>
        <v/>
      </c>
      <c r="F224" s="26">
        <f>IF($C$5=0,0,INDEX(Symboles!$H$6:$H$101,D224))</f>
        <v/>
      </c>
      <c r="G224" s="26">
        <f>COS(2*PI()*$C$3*B224)</f>
        <v/>
      </c>
      <c r="H224" s="26">
        <f>SIN(2*PI()*$C$3*B224)</f>
        <v/>
      </c>
      <c r="I224" s="26">
        <f>E224*G224+F224*H224</f>
        <v/>
      </c>
    </row>
    <row r="225">
      <c r="A225" s="7" t="n">
        <v>218</v>
      </c>
      <c r="B225" s="26">
        <f>(A225-1)/2000*$C$2</f>
        <v/>
      </c>
      <c r="C225" s="7">
        <f>INDEX(Bits!$E$25:$E$124,INT(B225)+1)</f>
        <v/>
      </c>
      <c r="D225" s="7">
        <f>MAX(1,MIN(INT(B225/$C$4)+1,$C$5))</f>
        <v/>
      </c>
      <c r="E225" s="26">
        <f>IF($C$5=0,0,INDEX(Symboles!$G$6:$G$101,D225))</f>
        <v/>
      </c>
      <c r="F225" s="26">
        <f>IF($C$5=0,0,INDEX(Symboles!$H$6:$H$101,D225))</f>
        <v/>
      </c>
      <c r="G225" s="26">
        <f>COS(2*PI()*$C$3*B225)</f>
        <v/>
      </c>
      <c r="H225" s="26">
        <f>SIN(2*PI()*$C$3*B225)</f>
        <v/>
      </c>
      <c r="I225" s="26">
        <f>E225*G225+F225*H225</f>
        <v/>
      </c>
    </row>
    <row r="226">
      <c r="A226" s="7" t="n">
        <v>219</v>
      </c>
      <c r="B226" s="26">
        <f>(A226-1)/2000*$C$2</f>
        <v/>
      </c>
      <c r="C226" s="7">
        <f>INDEX(Bits!$E$25:$E$124,INT(B226)+1)</f>
        <v/>
      </c>
      <c r="D226" s="7">
        <f>MAX(1,MIN(INT(B226/$C$4)+1,$C$5))</f>
        <v/>
      </c>
      <c r="E226" s="26">
        <f>IF($C$5=0,0,INDEX(Symboles!$G$6:$G$101,D226))</f>
        <v/>
      </c>
      <c r="F226" s="26">
        <f>IF($C$5=0,0,INDEX(Symboles!$H$6:$H$101,D226))</f>
        <v/>
      </c>
      <c r="G226" s="26">
        <f>COS(2*PI()*$C$3*B226)</f>
        <v/>
      </c>
      <c r="H226" s="26">
        <f>SIN(2*PI()*$C$3*B226)</f>
        <v/>
      </c>
      <c r="I226" s="26">
        <f>E226*G226+F226*H226</f>
        <v/>
      </c>
    </row>
    <row r="227">
      <c r="A227" s="7" t="n">
        <v>220</v>
      </c>
      <c r="B227" s="26">
        <f>(A227-1)/2000*$C$2</f>
        <v/>
      </c>
      <c r="C227" s="7">
        <f>INDEX(Bits!$E$25:$E$124,INT(B227)+1)</f>
        <v/>
      </c>
      <c r="D227" s="7">
        <f>MAX(1,MIN(INT(B227/$C$4)+1,$C$5))</f>
        <v/>
      </c>
      <c r="E227" s="26">
        <f>IF($C$5=0,0,INDEX(Symboles!$G$6:$G$101,D227))</f>
        <v/>
      </c>
      <c r="F227" s="26">
        <f>IF($C$5=0,0,INDEX(Symboles!$H$6:$H$101,D227))</f>
        <v/>
      </c>
      <c r="G227" s="26">
        <f>COS(2*PI()*$C$3*B227)</f>
        <v/>
      </c>
      <c r="H227" s="26">
        <f>SIN(2*PI()*$C$3*B227)</f>
        <v/>
      </c>
      <c r="I227" s="26">
        <f>E227*G227+F227*H227</f>
        <v/>
      </c>
    </row>
    <row r="228">
      <c r="A228" s="7" t="n">
        <v>221</v>
      </c>
      <c r="B228" s="26">
        <f>(A228-1)/2000*$C$2</f>
        <v/>
      </c>
      <c r="C228" s="7">
        <f>INDEX(Bits!$E$25:$E$124,INT(B228)+1)</f>
        <v/>
      </c>
      <c r="D228" s="7">
        <f>MAX(1,MIN(INT(B228/$C$4)+1,$C$5))</f>
        <v/>
      </c>
      <c r="E228" s="26">
        <f>IF($C$5=0,0,INDEX(Symboles!$G$6:$G$101,D228))</f>
        <v/>
      </c>
      <c r="F228" s="26">
        <f>IF($C$5=0,0,INDEX(Symboles!$H$6:$H$101,D228))</f>
        <v/>
      </c>
      <c r="G228" s="26">
        <f>COS(2*PI()*$C$3*B228)</f>
        <v/>
      </c>
      <c r="H228" s="26">
        <f>SIN(2*PI()*$C$3*B228)</f>
        <v/>
      </c>
      <c r="I228" s="26">
        <f>E228*G228+F228*H228</f>
        <v/>
      </c>
    </row>
    <row r="229">
      <c r="A229" s="7" t="n">
        <v>222</v>
      </c>
      <c r="B229" s="26">
        <f>(A229-1)/2000*$C$2</f>
        <v/>
      </c>
      <c r="C229" s="7">
        <f>INDEX(Bits!$E$25:$E$124,INT(B229)+1)</f>
        <v/>
      </c>
      <c r="D229" s="7">
        <f>MAX(1,MIN(INT(B229/$C$4)+1,$C$5))</f>
        <v/>
      </c>
      <c r="E229" s="26">
        <f>IF($C$5=0,0,INDEX(Symboles!$G$6:$G$101,D229))</f>
        <v/>
      </c>
      <c r="F229" s="26">
        <f>IF($C$5=0,0,INDEX(Symboles!$H$6:$H$101,D229))</f>
        <v/>
      </c>
      <c r="G229" s="26">
        <f>COS(2*PI()*$C$3*B229)</f>
        <v/>
      </c>
      <c r="H229" s="26">
        <f>SIN(2*PI()*$C$3*B229)</f>
        <v/>
      </c>
      <c r="I229" s="26">
        <f>E229*G229+F229*H229</f>
        <v/>
      </c>
    </row>
    <row r="230">
      <c r="A230" s="7" t="n">
        <v>223</v>
      </c>
      <c r="B230" s="26">
        <f>(A230-1)/2000*$C$2</f>
        <v/>
      </c>
      <c r="C230" s="7">
        <f>INDEX(Bits!$E$25:$E$124,INT(B230)+1)</f>
        <v/>
      </c>
      <c r="D230" s="7">
        <f>MAX(1,MIN(INT(B230/$C$4)+1,$C$5))</f>
        <v/>
      </c>
      <c r="E230" s="26">
        <f>IF($C$5=0,0,INDEX(Symboles!$G$6:$G$101,D230))</f>
        <v/>
      </c>
      <c r="F230" s="26">
        <f>IF($C$5=0,0,INDEX(Symboles!$H$6:$H$101,D230))</f>
        <v/>
      </c>
      <c r="G230" s="26">
        <f>COS(2*PI()*$C$3*B230)</f>
        <v/>
      </c>
      <c r="H230" s="26">
        <f>SIN(2*PI()*$C$3*B230)</f>
        <v/>
      </c>
      <c r="I230" s="26">
        <f>E230*G230+F230*H230</f>
        <v/>
      </c>
    </row>
    <row r="231">
      <c r="A231" s="7" t="n">
        <v>224</v>
      </c>
      <c r="B231" s="26">
        <f>(A231-1)/2000*$C$2</f>
        <v/>
      </c>
      <c r="C231" s="7">
        <f>INDEX(Bits!$E$25:$E$124,INT(B231)+1)</f>
        <v/>
      </c>
      <c r="D231" s="7">
        <f>MAX(1,MIN(INT(B231/$C$4)+1,$C$5))</f>
        <v/>
      </c>
      <c r="E231" s="26">
        <f>IF($C$5=0,0,INDEX(Symboles!$G$6:$G$101,D231))</f>
        <v/>
      </c>
      <c r="F231" s="26">
        <f>IF($C$5=0,0,INDEX(Symboles!$H$6:$H$101,D231))</f>
        <v/>
      </c>
      <c r="G231" s="26">
        <f>COS(2*PI()*$C$3*B231)</f>
        <v/>
      </c>
      <c r="H231" s="26">
        <f>SIN(2*PI()*$C$3*B231)</f>
        <v/>
      </c>
      <c r="I231" s="26">
        <f>E231*G231+F231*H231</f>
        <v/>
      </c>
    </row>
    <row r="232">
      <c r="A232" s="7" t="n">
        <v>225</v>
      </c>
      <c r="B232" s="26">
        <f>(A232-1)/2000*$C$2</f>
        <v/>
      </c>
      <c r="C232" s="7">
        <f>INDEX(Bits!$E$25:$E$124,INT(B232)+1)</f>
        <v/>
      </c>
      <c r="D232" s="7">
        <f>MAX(1,MIN(INT(B232/$C$4)+1,$C$5))</f>
        <v/>
      </c>
      <c r="E232" s="26">
        <f>IF($C$5=0,0,INDEX(Symboles!$G$6:$G$101,D232))</f>
        <v/>
      </c>
      <c r="F232" s="26">
        <f>IF($C$5=0,0,INDEX(Symboles!$H$6:$H$101,D232))</f>
        <v/>
      </c>
      <c r="G232" s="26">
        <f>COS(2*PI()*$C$3*B232)</f>
        <v/>
      </c>
      <c r="H232" s="26">
        <f>SIN(2*PI()*$C$3*B232)</f>
        <v/>
      </c>
      <c r="I232" s="26">
        <f>E232*G232+F232*H232</f>
        <v/>
      </c>
    </row>
    <row r="233">
      <c r="A233" s="7" t="n">
        <v>226</v>
      </c>
      <c r="B233" s="26">
        <f>(A233-1)/2000*$C$2</f>
        <v/>
      </c>
      <c r="C233" s="7">
        <f>INDEX(Bits!$E$25:$E$124,INT(B233)+1)</f>
        <v/>
      </c>
      <c r="D233" s="7">
        <f>MAX(1,MIN(INT(B233/$C$4)+1,$C$5))</f>
        <v/>
      </c>
      <c r="E233" s="26">
        <f>IF($C$5=0,0,INDEX(Symboles!$G$6:$G$101,D233))</f>
        <v/>
      </c>
      <c r="F233" s="26">
        <f>IF($C$5=0,0,INDEX(Symboles!$H$6:$H$101,D233))</f>
        <v/>
      </c>
      <c r="G233" s="26">
        <f>COS(2*PI()*$C$3*B233)</f>
        <v/>
      </c>
      <c r="H233" s="26">
        <f>SIN(2*PI()*$C$3*B233)</f>
        <v/>
      </c>
      <c r="I233" s="26">
        <f>E233*G233+F233*H233</f>
        <v/>
      </c>
    </row>
    <row r="234">
      <c r="A234" s="7" t="n">
        <v>227</v>
      </c>
      <c r="B234" s="26">
        <f>(A234-1)/2000*$C$2</f>
        <v/>
      </c>
      <c r="C234" s="7">
        <f>INDEX(Bits!$E$25:$E$124,INT(B234)+1)</f>
        <v/>
      </c>
      <c r="D234" s="7">
        <f>MAX(1,MIN(INT(B234/$C$4)+1,$C$5))</f>
        <v/>
      </c>
      <c r="E234" s="26">
        <f>IF($C$5=0,0,INDEX(Symboles!$G$6:$G$101,D234))</f>
        <v/>
      </c>
      <c r="F234" s="26">
        <f>IF($C$5=0,0,INDEX(Symboles!$H$6:$H$101,D234))</f>
        <v/>
      </c>
      <c r="G234" s="26">
        <f>COS(2*PI()*$C$3*B234)</f>
        <v/>
      </c>
      <c r="H234" s="26">
        <f>SIN(2*PI()*$C$3*B234)</f>
        <v/>
      </c>
      <c r="I234" s="26">
        <f>E234*G234+F234*H234</f>
        <v/>
      </c>
    </row>
    <row r="235">
      <c r="A235" s="7" t="n">
        <v>228</v>
      </c>
      <c r="B235" s="26">
        <f>(A235-1)/2000*$C$2</f>
        <v/>
      </c>
      <c r="C235" s="7">
        <f>INDEX(Bits!$E$25:$E$124,INT(B235)+1)</f>
        <v/>
      </c>
      <c r="D235" s="7">
        <f>MAX(1,MIN(INT(B235/$C$4)+1,$C$5))</f>
        <v/>
      </c>
      <c r="E235" s="26">
        <f>IF($C$5=0,0,INDEX(Symboles!$G$6:$G$101,D235))</f>
        <v/>
      </c>
      <c r="F235" s="26">
        <f>IF($C$5=0,0,INDEX(Symboles!$H$6:$H$101,D235))</f>
        <v/>
      </c>
      <c r="G235" s="26">
        <f>COS(2*PI()*$C$3*B235)</f>
        <v/>
      </c>
      <c r="H235" s="26">
        <f>SIN(2*PI()*$C$3*B235)</f>
        <v/>
      </c>
      <c r="I235" s="26">
        <f>E235*G235+F235*H235</f>
        <v/>
      </c>
    </row>
    <row r="236">
      <c r="A236" s="7" t="n">
        <v>229</v>
      </c>
      <c r="B236" s="26">
        <f>(A236-1)/2000*$C$2</f>
        <v/>
      </c>
      <c r="C236" s="7">
        <f>INDEX(Bits!$E$25:$E$124,INT(B236)+1)</f>
        <v/>
      </c>
      <c r="D236" s="7">
        <f>MAX(1,MIN(INT(B236/$C$4)+1,$C$5))</f>
        <v/>
      </c>
      <c r="E236" s="26">
        <f>IF($C$5=0,0,INDEX(Symboles!$G$6:$G$101,D236))</f>
        <v/>
      </c>
      <c r="F236" s="26">
        <f>IF($C$5=0,0,INDEX(Symboles!$H$6:$H$101,D236))</f>
        <v/>
      </c>
      <c r="G236" s="26">
        <f>COS(2*PI()*$C$3*B236)</f>
        <v/>
      </c>
      <c r="H236" s="26">
        <f>SIN(2*PI()*$C$3*B236)</f>
        <v/>
      </c>
      <c r="I236" s="26">
        <f>E236*G236+F236*H236</f>
        <v/>
      </c>
    </row>
    <row r="237">
      <c r="A237" s="7" t="n">
        <v>230</v>
      </c>
      <c r="B237" s="26">
        <f>(A237-1)/2000*$C$2</f>
        <v/>
      </c>
      <c r="C237" s="7">
        <f>INDEX(Bits!$E$25:$E$124,INT(B237)+1)</f>
        <v/>
      </c>
      <c r="D237" s="7">
        <f>MAX(1,MIN(INT(B237/$C$4)+1,$C$5))</f>
        <v/>
      </c>
      <c r="E237" s="26">
        <f>IF($C$5=0,0,INDEX(Symboles!$G$6:$G$101,D237))</f>
        <v/>
      </c>
      <c r="F237" s="26">
        <f>IF($C$5=0,0,INDEX(Symboles!$H$6:$H$101,D237))</f>
        <v/>
      </c>
      <c r="G237" s="26">
        <f>COS(2*PI()*$C$3*B237)</f>
        <v/>
      </c>
      <c r="H237" s="26">
        <f>SIN(2*PI()*$C$3*B237)</f>
        <v/>
      </c>
      <c r="I237" s="26">
        <f>E237*G237+F237*H237</f>
        <v/>
      </c>
    </row>
    <row r="238">
      <c r="A238" s="7" t="n">
        <v>231</v>
      </c>
      <c r="B238" s="26">
        <f>(A238-1)/2000*$C$2</f>
        <v/>
      </c>
      <c r="C238" s="7">
        <f>INDEX(Bits!$E$25:$E$124,INT(B238)+1)</f>
        <v/>
      </c>
      <c r="D238" s="7">
        <f>MAX(1,MIN(INT(B238/$C$4)+1,$C$5))</f>
        <v/>
      </c>
      <c r="E238" s="26">
        <f>IF($C$5=0,0,INDEX(Symboles!$G$6:$G$101,D238))</f>
        <v/>
      </c>
      <c r="F238" s="26">
        <f>IF($C$5=0,0,INDEX(Symboles!$H$6:$H$101,D238))</f>
        <v/>
      </c>
      <c r="G238" s="26">
        <f>COS(2*PI()*$C$3*B238)</f>
        <v/>
      </c>
      <c r="H238" s="26">
        <f>SIN(2*PI()*$C$3*B238)</f>
        <v/>
      </c>
      <c r="I238" s="26">
        <f>E238*G238+F238*H238</f>
        <v/>
      </c>
    </row>
    <row r="239">
      <c r="A239" s="7" t="n">
        <v>232</v>
      </c>
      <c r="B239" s="26">
        <f>(A239-1)/2000*$C$2</f>
        <v/>
      </c>
      <c r="C239" s="7">
        <f>INDEX(Bits!$E$25:$E$124,INT(B239)+1)</f>
        <v/>
      </c>
      <c r="D239" s="7">
        <f>MAX(1,MIN(INT(B239/$C$4)+1,$C$5))</f>
        <v/>
      </c>
      <c r="E239" s="26">
        <f>IF($C$5=0,0,INDEX(Symboles!$G$6:$G$101,D239))</f>
        <v/>
      </c>
      <c r="F239" s="26">
        <f>IF($C$5=0,0,INDEX(Symboles!$H$6:$H$101,D239))</f>
        <v/>
      </c>
      <c r="G239" s="26">
        <f>COS(2*PI()*$C$3*B239)</f>
        <v/>
      </c>
      <c r="H239" s="26">
        <f>SIN(2*PI()*$C$3*B239)</f>
        <v/>
      </c>
      <c r="I239" s="26">
        <f>E239*G239+F239*H239</f>
        <v/>
      </c>
    </row>
    <row r="240">
      <c r="A240" s="7" t="n">
        <v>233</v>
      </c>
      <c r="B240" s="26">
        <f>(A240-1)/2000*$C$2</f>
        <v/>
      </c>
      <c r="C240" s="7">
        <f>INDEX(Bits!$E$25:$E$124,INT(B240)+1)</f>
        <v/>
      </c>
      <c r="D240" s="7">
        <f>MAX(1,MIN(INT(B240/$C$4)+1,$C$5))</f>
        <v/>
      </c>
      <c r="E240" s="26">
        <f>IF($C$5=0,0,INDEX(Symboles!$G$6:$G$101,D240))</f>
        <v/>
      </c>
      <c r="F240" s="26">
        <f>IF($C$5=0,0,INDEX(Symboles!$H$6:$H$101,D240))</f>
        <v/>
      </c>
      <c r="G240" s="26">
        <f>COS(2*PI()*$C$3*B240)</f>
        <v/>
      </c>
      <c r="H240" s="26">
        <f>SIN(2*PI()*$C$3*B240)</f>
        <v/>
      </c>
      <c r="I240" s="26">
        <f>E240*G240+F240*H240</f>
        <v/>
      </c>
    </row>
    <row r="241">
      <c r="A241" s="7" t="n">
        <v>234</v>
      </c>
      <c r="B241" s="26">
        <f>(A241-1)/2000*$C$2</f>
        <v/>
      </c>
      <c r="C241" s="7">
        <f>INDEX(Bits!$E$25:$E$124,INT(B241)+1)</f>
        <v/>
      </c>
      <c r="D241" s="7">
        <f>MAX(1,MIN(INT(B241/$C$4)+1,$C$5))</f>
        <v/>
      </c>
      <c r="E241" s="26">
        <f>IF($C$5=0,0,INDEX(Symboles!$G$6:$G$101,D241))</f>
        <v/>
      </c>
      <c r="F241" s="26">
        <f>IF($C$5=0,0,INDEX(Symboles!$H$6:$H$101,D241))</f>
        <v/>
      </c>
      <c r="G241" s="26">
        <f>COS(2*PI()*$C$3*B241)</f>
        <v/>
      </c>
      <c r="H241" s="26">
        <f>SIN(2*PI()*$C$3*B241)</f>
        <v/>
      </c>
      <c r="I241" s="26">
        <f>E241*G241+F241*H241</f>
        <v/>
      </c>
    </row>
    <row r="242">
      <c r="A242" s="7" t="n">
        <v>235</v>
      </c>
      <c r="B242" s="26">
        <f>(A242-1)/2000*$C$2</f>
        <v/>
      </c>
      <c r="C242" s="7">
        <f>INDEX(Bits!$E$25:$E$124,INT(B242)+1)</f>
        <v/>
      </c>
      <c r="D242" s="7">
        <f>MAX(1,MIN(INT(B242/$C$4)+1,$C$5))</f>
        <v/>
      </c>
      <c r="E242" s="26">
        <f>IF($C$5=0,0,INDEX(Symboles!$G$6:$G$101,D242))</f>
        <v/>
      </c>
      <c r="F242" s="26">
        <f>IF($C$5=0,0,INDEX(Symboles!$H$6:$H$101,D242))</f>
        <v/>
      </c>
      <c r="G242" s="26">
        <f>COS(2*PI()*$C$3*B242)</f>
        <v/>
      </c>
      <c r="H242" s="26">
        <f>SIN(2*PI()*$C$3*B242)</f>
        <v/>
      </c>
      <c r="I242" s="26">
        <f>E242*G242+F242*H242</f>
        <v/>
      </c>
    </row>
    <row r="243">
      <c r="A243" s="7" t="n">
        <v>236</v>
      </c>
      <c r="B243" s="26">
        <f>(A243-1)/2000*$C$2</f>
        <v/>
      </c>
      <c r="C243" s="7">
        <f>INDEX(Bits!$E$25:$E$124,INT(B243)+1)</f>
        <v/>
      </c>
      <c r="D243" s="7">
        <f>MAX(1,MIN(INT(B243/$C$4)+1,$C$5))</f>
        <v/>
      </c>
      <c r="E243" s="26">
        <f>IF($C$5=0,0,INDEX(Symboles!$G$6:$G$101,D243))</f>
        <v/>
      </c>
      <c r="F243" s="26">
        <f>IF($C$5=0,0,INDEX(Symboles!$H$6:$H$101,D243))</f>
        <v/>
      </c>
      <c r="G243" s="26">
        <f>COS(2*PI()*$C$3*B243)</f>
        <v/>
      </c>
      <c r="H243" s="26">
        <f>SIN(2*PI()*$C$3*B243)</f>
        <v/>
      </c>
      <c r="I243" s="26">
        <f>E243*G243+F243*H243</f>
        <v/>
      </c>
    </row>
    <row r="244">
      <c r="A244" s="7" t="n">
        <v>237</v>
      </c>
      <c r="B244" s="26">
        <f>(A244-1)/2000*$C$2</f>
        <v/>
      </c>
      <c r="C244" s="7">
        <f>INDEX(Bits!$E$25:$E$124,INT(B244)+1)</f>
        <v/>
      </c>
      <c r="D244" s="7">
        <f>MAX(1,MIN(INT(B244/$C$4)+1,$C$5))</f>
        <v/>
      </c>
      <c r="E244" s="26">
        <f>IF($C$5=0,0,INDEX(Symboles!$G$6:$G$101,D244))</f>
        <v/>
      </c>
      <c r="F244" s="26">
        <f>IF($C$5=0,0,INDEX(Symboles!$H$6:$H$101,D244))</f>
        <v/>
      </c>
      <c r="G244" s="26">
        <f>COS(2*PI()*$C$3*B244)</f>
        <v/>
      </c>
      <c r="H244" s="26">
        <f>SIN(2*PI()*$C$3*B244)</f>
        <v/>
      </c>
      <c r="I244" s="26">
        <f>E244*G244+F244*H244</f>
        <v/>
      </c>
    </row>
    <row r="245">
      <c r="A245" s="7" t="n">
        <v>238</v>
      </c>
      <c r="B245" s="26">
        <f>(A245-1)/2000*$C$2</f>
        <v/>
      </c>
      <c r="C245" s="7">
        <f>INDEX(Bits!$E$25:$E$124,INT(B245)+1)</f>
        <v/>
      </c>
      <c r="D245" s="7">
        <f>MAX(1,MIN(INT(B245/$C$4)+1,$C$5))</f>
        <v/>
      </c>
      <c r="E245" s="26">
        <f>IF($C$5=0,0,INDEX(Symboles!$G$6:$G$101,D245))</f>
        <v/>
      </c>
      <c r="F245" s="26">
        <f>IF($C$5=0,0,INDEX(Symboles!$H$6:$H$101,D245))</f>
        <v/>
      </c>
      <c r="G245" s="26">
        <f>COS(2*PI()*$C$3*B245)</f>
        <v/>
      </c>
      <c r="H245" s="26">
        <f>SIN(2*PI()*$C$3*B245)</f>
        <v/>
      </c>
      <c r="I245" s="26">
        <f>E245*G245+F245*H245</f>
        <v/>
      </c>
    </row>
    <row r="246">
      <c r="A246" s="7" t="n">
        <v>239</v>
      </c>
      <c r="B246" s="26">
        <f>(A246-1)/2000*$C$2</f>
        <v/>
      </c>
      <c r="C246" s="7">
        <f>INDEX(Bits!$E$25:$E$124,INT(B246)+1)</f>
        <v/>
      </c>
      <c r="D246" s="7">
        <f>MAX(1,MIN(INT(B246/$C$4)+1,$C$5))</f>
        <v/>
      </c>
      <c r="E246" s="26">
        <f>IF($C$5=0,0,INDEX(Symboles!$G$6:$G$101,D246))</f>
        <v/>
      </c>
      <c r="F246" s="26">
        <f>IF($C$5=0,0,INDEX(Symboles!$H$6:$H$101,D246))</f>
        <v/>
      </c>
      <c r="G246" s="26">
        <f>COS(2*PI()*$C$3*B246)</f>
        <v/>
      </c>
      <c r="H246" s="26">
        <f>SIN(2*PI()*$C$3*B246)</f>
        <v/>
      </c>
      <c r="I246" s="26">
        <f>E246*G246+F246*H246</f>
        <v/>
      </c>
    </row>
    <row r="247">
      <c r="A247" s="7" t="n">
        <v>240</v>
      </c>
      <c r="B247" s="26">
        <f>(A247-1)/2000*$C$2</f>
        <v/>
      </c>
      <c r="C247" s="7">
        <f>INDEX(Bits!$E$25:$E$124,INT(B247)+1)</f>
        <v/>
      </c>
      <c r="D247" s="7">
        <f>MAX(1,MIN(INT(B247/$C$4)+1,$C$5))</f>
        <v/>
      </c>
      <c r="E247" s="26">
        <f>IF($C$5=0,0,INDEX(Symboles!$G$6:$G$101,D247))</f>
        <v/>
      </c>
      <c r="F247" s="26">
        <f>IF($C$5=0,0,INDEX(Symboles!$H$6:$H$101,D247))</f>
        <v/>
      </c>
      <c r="G247" s="26">
        <f>COS(2*PI()*$C$3*B247)</f>
        <v/>
      </c>
      <c r="H247" s="26">
        <f>SIN(2*PI()*$C$3*B247)</f>
        <v/>
      </c>
      <c r="I247" s="26">
        <f>E247*G247+F247*H247</f>
        <v/>
      </c>
    </row>
    <row r="248">
      <c r="A248" s="7" t="n">
        <v>241</v>
      </c>
      <c r="B248" s="26">
        <f>(A248-1)/2000*$C$2</f>
        <v/>
      </c>
      <c r="C248" s="7">
        <f>INDEX(Bits!$E$25:$E$124,INT(B248)+1)</f>
        <v/>
      </c>
      <c r="D248" s="7">
        <f>MAX(1,MIN(INT(B248/$C$4)+1,$C$5))</f>
        <v/>
      </c>
      <c r="E248" s="26">
        <f>IF($C$5=0,0,INDEX(Symboles!$G$6:$G$101,D248))</f>
        <v/>
      </c>
      <c r="F248" s="26">
        <f>IF($C$5=0,0,INDEX(Symboles!$H$6:$H$101,D248))</f>
        <v/>
      </c>
      <c r="G248" s="26">
        <f>COS(2*PI()*$C$3*B248)</f>
        <v/>
      </c>
      <c r="H248" s="26">
        <f>SIN(2*PI()*$C$3*B248)</f>
        <v/>
      </c>
      <c r="I248" s="26">
        <f>E248*G248+F248*H248</f>
        <v/>
      </c>
    </row>
    <row r="249">
      <c r="A249" s="7" t="n">
        <v>242</v>
      </c>
      <c r="B249" s="26">
        <f>(A249-1)/2000*$C$2</f>
        <v/>
      </c>
      <c r="C249" s="7">
        <f>INDEX(Bits!$E$25:$E$124,INT(B249)+1)</f>
        <v/>
      </c>
      <c r="D249" s="7">
        <f>MAX(1,MIN(INT(B249/$C$4)+1,$C$5))</f>
        <v/>
      </c>
      <c r="E249" s="26">
        <f>IF($C$5=0,0,INDEX(Symboles!$G$6:$G$101,D249))</f>
        <v/>
      </c>
      <c r="F249" s="26">
        <f>IF($C$5=0,0,INDEX(Symboles!$H$6:$H$101,D249))</f>
        <v/>
      </c>
      <c r="G249" s="26">
        <f>COS(2*PI()*$C$3*B249)</f>
        <v/>
      </c>
      <c r="H249" s="26">
        <f>SIN(2*PI()*$C$3*B249)</f>
        <v/>
      </c>
      <c r="I249" s="26">
        <f>E249*G249+F249*H249</f>
        <v/>
      </c>
    </row>
    <row r="250">
      <c r="A250" s="7" t="n">
        <v>243</v>
      </c>
      <c r="B250" s="26">
        <f>(A250-1)/2000*$C$2</f>
        <v/>
      </c>
      <c r="C250" s="7">
        <f>INDEX(Bits!$E$25:$E$124,INT(B250)+1)</f>
        <v/>
      </c>
      <c r="D250" s="7">
        <f>MAX(1,MIN(INT(B250/$C$4)+1,$C$5))</f>
        <v/>
      </c>
      <c r="E250" s="26">
        <f>IF($C$5=0,0,INDEX(Symboles!$G$6:$G$101,D250))</f>
        <v/>
      </c>
      <c r="F250" s="26">
        <f>IF($C$5=0,0,INDEX(Symboles!$H$6:$H$101,D250))</f>
        <v/>
      </c>
      <c r="G250" s="26">
        <f>COS(2*PI()*$C$3*B250)</f>
        <v/>
      </c>
      <c r="H250" s="26">
        <f>SIN(2*PI()*$C$3*B250)</f>
        <v/>
      </c>
      <c r="I250" s="26">
        <f>E250*G250+F250*H250</f>
        <v/>
      </c>
    </row>
    <row r="251">
      <c r="A251" s="7" t="n">
        <v>244</v>
      </c>
      <c r="B251" s="26">
        <f>(A251-1)/2000*$C$2</f>
        <v/>
      </c>
      <c r="C251" s="7">
        <f>INDEX(Bits!$E$25:$E$124,INT(B251)+1)</f>
        <v/>
      </c>
      <c r="D251" s="7">
        <f>MAX(1,MIN(INT(B251/$C$4)+1,$C$5))</f>
        <v/>
      </c>
      <c r="E251" s="26">
        <f>IF($C$5=0,0,INDEX(Symboles!$G$6:$G$101,D251))</f>
        <v/>
      </c>
      <c r="F251" s="26">
        <f>IF($C$5=0,0,INDEX(Symboles!$H$6:$H$101,D251))</f>
        <v/>
      </c>
      <c r="G251" s="26">
        <f>COS(2*PI()*$C$3*B251)</f>
        <v/>
      </c>
      <c r="H251" s="26">
        <f>SIN(2*PI()*$C$3*B251)</f>
        <v/>
      </c>
      <c r="I251" s="26">
        <f>E251*G251+F251*H251</f>
        <v/>
      </c>
    </row>
    <row r="252">
      <c r="A252" s="7" t="n">
        <v>245</v>
      </c>
      <c r="B252" s="26">
        <f>(A252-1)/2000*$C$2</f>
        <v/>
      </c>
      <c r="C252" s="7">
        <f>INDEX(Bits!$E$25:$E$124,INT(B252)+1)</f>
        <v/>
      </c>
      <c r="D252" s="7">
        <f>MAX(1,MIN(INT(B252/$C$4)+1,$C$5))</f>
        <v/>
      </c>
      <c r="E252" s="26">
        <f>IF($C$5=0,0,INDEX(Symboles!$G$6:$G$101,D252))</f>
        <v/>
      </c>
      <c r="F252" s="26">
        <f>IF($C$5=0,0,INDEX(Symboles!$H$6:$H$101,D252))</f>
        <v/>
      </c>
      <c r="G252" s="26">
        <f>COS(2*PI()*$C$3*B252)</f>
        <v/>
      </c>
      <c r="H252" s="26">
        <f>SIN(2*PI()*$C$3*B252)</f>
        <v/>
      </c>
      <c r="I252" s="26">
        <f>E252*G252+F252*H252</f>
        <v/>
      </c>
    </row>
    <row r="253">
      <c r="A253" s="7" t="n">
        <v>246</v>
      </c>
      <c r="B253" s="26">
        <f>(A253-1)/2000*$C$2</f>
        <v/>
      </c>
      <c r="C253" s="7">
        <f>INDEX(Bits!$E$25:$E$124,INT(B253)+1)</f>
        <v/>
      </c>
      <c r="D253" s="7">
        <f>MAX(1,MIN(INT(B253/$C$4)+1,$C$5))</f>
        <v/>
      </c>
      <c r="E253" s="26">
        <f>IF($C$5=0,0,INDEX(Symboles!$G$6:$G$101,D253))</f>
        <v/>
      </c>
      <c r="F253" s="26">
        <f>IF($C$5=0,0,INDEX(Symboles!$H$6:$H$101,D253))</f>
        <v/>
      </c>
      <c r="G253" s="26">
        <f>COS(2*PI()*$C$3*B253)</f>
        <v/>
      </c>
      <c r="H253" s="26">
        <f>SIN(2*PI()*$C$3*B253)</f>
        <v/>
      </c>
      <c r="I253" s="26">
        <f>E253*G253+F253*H253</f>
        <v/>
      </c>
    </row>
    <row r="254">
      <c r="A254" s="7" t="n">
        <v>247</v>
      </c>
      <c r="B254" s="26">
        <f>(A254-1)/2000*$C$2</f>
        <v/>
      </c>
      <c r="C254" s="7">
        <f>INDEX(Bits!$E$25:$E$124,INT(B254)+1)</f>
        <v/>
      </c>
      <c r="D254" s="7">
        <f>MAX(1,MIN(INT(B254/$C$4)+1,$C$5))</f>
        <v/>
      </c>
      <c r="E254" s="26">
        <f>IF($C$5=0,0,INDEX(Symboles!$G$6:$G$101,D254))</f>
        <v/>
      </c>
      <c r="F254" s="26">
        <f>IF($C$5=0,0,INDEX(Symboles!$H$6:$H$101,D254))</f>
        <v/>
      </c>
      <c r="G254" s="26">
        <f>COS(2*PI()*$C$3*B254)</f>
        <v/>
      </c>
      <c r="H254" s="26">
        <f>SIN(2*PI()*$C$3*B254)</f>
        <v/>
      </c>
      <c r="I254" s="26">
        <f>E254*G254+F254*H254</f>
        <v/>
      </c>
    </row>
    <row r="255">
      <c r="A255" s="7" t="n">
        <v>248</v>
      </c>
      <c r="B255" s="26">
        <f>(A255-1)/2000*$C$2</f>
        <v/>
      </c>
      <c r="C255" s="7">
        <f>INDEX(Bits!$E$25:$E$124,INT(B255)+1)</f>
        <v/>
      </c>
      <c r="D255" s="7">
        <f>MAX(1,MIN(INT(B255/$C$4)+1,$C$5))</f>
        <v/>
      </c>
      <c r="E255" s="26">
        <f>IF($C$5=0,0,INDEX(Symboles!$G$6:$G$101,D255))</f>
        <v/>
      </c>
      <c r="F255" s="26">
        <f>IF($C$5=0,0,INDEX(Symboles!$H$6:$H$101,D255))</f>
        <v/>
      </c>
      <c r="G255" s="26">
        <f>COS(2*PI()*$C$3*B255)</f>
        <v/>
      </c>
      <c r="H255" s="26">
        <f>SIN(2*PI()*$C$3*B255)</f>
        <v/>
      </c>
      <c r="I255" s="26">
        <f>E255*G255+F255*H255</f>
        <v/>
      </c>
    </row>
    <row r="256">
      <c r="A256" s="7" t="n">
        <v>249</v>
      </c>
      <c r="B256" s="26">
        <f>(A256-1)/2000*$C$2</f>
        <v/>
      </c>
      <c r="C256" s="7">
        <f>INDEX(Bits!$E$25:$E$124,INT(B256)+1)</f>
        <v/>
      </c>
      <c r="D256" s="7">
        <f>MAX(1,MIN(INT(B256/$C$4)+1,$C$5))</f>
        <v/>
      </c>
      <c r="E256" s="26">
        <f>IF($C$5=0,0,INDEX(Symboles!$G$6:$G$101,D256))</f>
        <v/>
      </c>
      <c r="F256" s="26">
        <f>IF($C$5=0,0,INDEX(Symboles!$H$6:$H$101,D256))</f>
        <v/>
      </c>
      <c r="G256" s="26">
        <f>COS(2*PI()*$C$3*B256)</f>
        <v/>
      </c>
      <c r="H256" s="26">
        <f>SIN(2*PI()*$C$3*B256)</f>
        <v/>
      </c>
      <c r="I256" s="26">
        <f>E256*G256+F256*H256</f>
        <v/>
      </c>
    </row>
    <row r="257">
      <c r="A257" s="7" t="n">
        <v>250</v>
      </c>
      <c r="B257" s="26">
        <f>(A257-1)/2000*$C$2</f>
        <v/>
      </c>
      <c r="C257" s="7">
        <f>INDEX(Bits!$E$25:$E$124,INT(B257)+1)</f>
        <v/>
      </c>
      <c r="D257" s="7">
        <f>MAX(1,MIN(INT(B257/$C$4)+1,$C$5))</f>
        <v/>
      </c>
      <c r="E257" s="26">
        <f>IF($C$5=0,0,INDEX(Symboles!$G$6:$G$101,D257))</f>
        <v/>
      </c>
      <c r="F257" s="26">
        <f>IF($C$5=0,0,INDEX(Symboles!$H$6:$H$101,D257))</f>
        <v/>
      </c>
      <c r="G257" s="26">
        <f>COS(2*PI()*$C$3*B257)</f>
        <v/>
      </c>
      <c r="H257" s="26">
        <f>SIN(2*PI()*$C$3*B257)</f>
        <v/>
      </c>
      <c r="I257" s="26">
        <f>E257*G257+F257*H257</f>
        <v/>
      </c>
    </row>
    <row r="258">
      <c r="A258" s="7" t="n">
        <v>251</v>
      </c>
      <c r="B258" s="26">
        <f>(A258-1)/2000*$C$2</f>
        <v/>
      </c>
      <c r="C258" s="7">
        <f>INDEX(Bits!$E$25:$E$124,INT(B258)+1)</f>
        <v/>
      </c>
      <c r="D258" s="7">
        <f>MAX(1,MIN(INT(B258/$C$4)+1,$C$5))</f>
        <v/>
      </c>
      <c r="E258" s="26">
        <f>IF($C$5=0,0,INDEX(Symboles!$G$6:$G$101,D258))</f>
        <v/>
      </c>
      <c r="F258" s="26">
        <f>IF($C$5=0,0,INDEX(Symboles!$H$6:$H$101,D258))</f>
        <v/>
      </c>
      <c r="G258" s="26">
        <f>COS(2*PI()*$C$3*B258)</f>
        <v/>
      </c>
      <c r="H258" s="26">
        <f>SIN(2*PI()*$C$3*B258)</f>
        <v/>
      </c>
      <c r="I258" s="26">
        <f>E258*G258+F258*H258</f>
        <v/>
      </c>
    </row>
    <row r="259">
      <c r="A259" s="7" t="n">
        <v>252</v>
      </c>
      <c r="B259" s="26">
        <f>(A259-1)/2000*$C$2</f>
        <v/>
      </c>
      <c r="C259" s="7">
        <f>INDEX(Bits!$E$25:$E$124,INT(B259)+1)</f>
        <v/>
      </c>
      <c r="D259" s="7">
        <f>MAX(1,MIN(INT(B259/$C$4)+1,$C$5))</f>
        <v/>
      </c>
      <c r="E259" s="26">
        <f>IF($C$5=0,0,INDEX(Symboles!$G$6:$G$101,D259))</f>
        <v/>
      </c>
      <c r="F259" s="26">
        <f>IF($C$5=0,0,INDEX(Symboles!$H$6:$H$101,D259))</f>
        <v/>
      </c>
      <c r="G259" s="26">
        <f>COS(2*PI()*$C$3*B259)</f>
        <v/>
      </c>
      <c r="H259" s="26">
        <f>SIN(2*PI()*$C$3*B259)</f>
        <v/>
      </c>
      <c r="I259" s="26">
        <f>E259*G259+F259*H259</f>
        <v/>
      </c>
    </row>
    <row r="260">
      <c r="A260" s="7" t="n">
        <v>253</v>
      </c>
      <c r="B260" s="26">
        <f>(A260-1)/2000*$C$2</f>
        <v/>
      </c>
      <c r="C260" s="7">
        <f>INDEX(Bits!$E$25:$E$124,INT(B260)+1)</f>
        <v/>
      </c>
      <c r="D260" s="7">
        <f>MAX(1,MIN(INT(B260/$C$4)+1,$C$5))</f>
        <v/>
      </c>
      <c r="E260" s="26">
        <f>IF($C$5=0,0,INDEX(Symboles!$G$6:$G$101,D260))</f>
        <v/>
      </c>
      <c r="F260" s="26">
        <f>IF($C$5=0,0,INDEX(Symboles!$H$6:$H$101,D260))</f>
        <v/>
      </c>
      <c r="G260" s="26">
        <f>COS(2*PI()*$C$3*B260)</f>
        <v/>
      </c>
      <c r="H260" s="26">
        <f>SIN(2*PI()*$C$3*B260)</f>
        <v/>
      </c>
      <c r="I260" s="26">
        <f>E260*G260+F260*H260</f>
        <v/>
      </c>
    </row>
    <row r="261">
      <c r="A261" s="7" t="n">
        <v>254</v>
      </c>
      <c r="B261" s="26">
        <f>(A261-1)/2000*$C$2</f>
        <v/>
      </c>
      <c r="C261" s="7">
        <f>INDEX(Bits!$E$25:$E$124,INT(B261)+1)</f>
        <v/>
      </c>
      <c r="D261" s="7">
        <f>MAX(1,MIN(INT(B261/$C$4)+1,$C$5))</f>
        <v/>
      </c>
      <c r="E261" s="26">
        <f>IF($C$5=0,0,INDEX(Symboles!$G$6:$G$101,D261))</f>
        <v/>
      </c>
      <c r="F261" s="26">
        <f>IF($C$5=0,0,INDEX(Symboles!$H$6:$H$101,D261))</f>
        <v/>
      </c>
      <c r="G261" s="26">
        <f>COS(2*PI()*$C$3*B261)</f>
        <v/>
      </c>
      <c r="H261" s="26">
        <f>SIN(2*PI()*$C$3*B261)</f>
        <v/>
      </c>
      <c r="I261" s="26">
        <f>E261*G261+F261*H261</f>
        <v/>
      </c>
    </row>
    <row r="262">
      <c r="A262" s="7" t="n">
        <v>255</v>
      </c>
      <c r="B262" s="26">
        <f>(A262-1)/2000*$C$2</f>
        <v/>
      </c>
      <c r="C262" s="7">
        <f>INDEX(Bits!$E$25:$E$124,INT(B262)+1)</f>
        <v/>
      </c>
      <c r="D262" s="7">
        <f>MAX(1,MIN(INT(B262/$C$4)+1,$C$5))</f>
        <v/>
      </c>
      <c r="E262" s="26">
        <f>IF($C$5=0,0,INDEX(Symboles!$G$6:$G$101,D262))</f>
        <v/>
      </c>
      <c r="F262" s="26">
        <f>IF($C$5=0,0,INDEX(Symboles!$H$6:$H$101,D262))</f>
        <v/>
      </c>
      <c r="G262" s="26">
        <f>COS(2*PI()*$C$3*B262)</f>
        <v/>
      </c>
      <c r="H262" s="26">
        <f>SIN(2*PI()*$C$3*B262)</f>
        <v/>
      </c>
      <c r="I262" s="26">
        <f>E262*G262+F262*H262</f>
        <v/>
      </c>
    </row>
    <row r="263">
      <c r="A263" s="7" t="n">
        <v>256</v>
      </c>
      <c r="B263" s="26">
        <f>(A263-1)/2000*$C$2</f>
        <v/>
      </c>
      <c r="C263" s="7">
        <f>INDEX(Bits!$E$25:$E$124,INT(B263)+1)</f>
        <v/>
      </c>
      <c r="D263" s="7">
        <f>MAX(1,MIN(INT(B263/$C$4)+1,$C$5))</f>
        <v/>
      </c>
      <c r="E263" s="26">
        <f>IF($C$5=0,0,INDEX(Symboles!$G$6:$G$101,D263))</f>
        <v/>
      </c>
      <c r="F263" s="26">
        <f>IF($C$5=0,0,INDEX(Symboles!$H$6:$H$101,D263))</f>
        <v/>
      </c>
      <c r="G263" s="26">
        <f>COS(2*PI()*$C$3*B263)</f>
        <v/>
      </c>
      <c r="H263" s="26">
        <f>SIN(2*PI()*$C$3*B263)</f>
        <v/>
      </c>
      <c r="I263" s="26">
        <f>E263*G263+F263*H263</f>
        <v/>
      </c>
    </row>
    <row r="264">
      <c r="A264" s="7" t="n">
        <v>257</v>
      </c>
      <c r="B264" s="26">
        <f>(A264-1)/2000*$C$2</f>
        <v/>
      </c>
      <c r="C264" s="7">
        <f>INDEX(Bits!$E$25:$E$124,INT(B264)+1)</f>
        <v/>
      </c>
      <c r="D264" s="7">
        <f>MAX(1,MIN(INT(B264/$C$4)+1,$C$5))</f>
        <v/>
      </c>
      <c r="E264" s="26">
        <f>IF($C$5=0,0,INDEX(Symboles!$G$6:$G$101,D264))</f>
        <v/>
      </c>
      <c r="F264" s="26">
        <f>IF($C$5=0,0,INDEX(Symboles!$H$6:$H$101,D264))</f>
        <v/>
      </c>
      <c r="G264" s="26">
        <f>COS(2*PI()*$C$3*B264)</f>
        <v/>
      </c>
      <c r="H264" s="26">
        <f>SIN(2*PI()*$C$3*B264)</f>
        <v/>
      </c>
      <c r="I264" s="26">
        <f>E264*G264+F264*H264</f>
        <v/>
      </c>
    </row>
    <row r="265">
      <c r="A265" s="7" t="n">
        <v>258</v>
      </c>
      <c r="B265" s="26">
        <f>(A265-1)/2000*$C$2</f>
        <v/>
      </c>
      <c r="C265" s="7">
        <f>INDEX(Bits!$E$25:$E$124,INT(B265)+1)</f>
        <v/>
      </c>
      <c r="D265" s="7">
        <f>MAX(1,MIN(INT(B265/$C$4)+1,$C$5))</f>
        <v/>
      </c>
      <c r="E265" s="26">
        <f>IF($C$5=0,0,INDEX(Symboles!$G$6:$G$101,D265))</f>
        <v/>
      </c>
      <c r="F265" s="26">
        <f>IF($C$5=0,0,INDEX(Symboles!$H$6:$H$101,D265))</f>
        <v/>
      </c>
      <c r="G265" s="26">
        <f>COS(2*PI()*$C$3*B265)</f>
        <v/>
      </c>
      <c r="H265" s="26">
        <f>SIN(2*PI()*$C$3*B265)</f>
        <v/>
      </c>
      <c r="I265" s="26">
        <f>E265*G265+F265*H265</f>
        <v/>
      </c>
    </row>
    <row r="266">
      <c r="A266" s="7" t="n">
        <v>259</v>
      </c>
      <c r="B266" s="26">
        <f>(A266-1)/2000*$C$2</f>
        <v/>
      </c>
      <c r="C266" s="7">
        <f>INDEX(Bits!$E$25:$E$124,INT(B266)+1)</f>
        <v/>
      </c>
      <c r="D266" s="7">
        <f>MAX(1,MIN(INT(B266/$C$4)+1,$C$5))</f>
        <v/>
      </c>
      <c r="E266" s="26">
        <f>IF($C$5=0,0,INDEX(Symboles!$G$6:$G$101,D266))</f>
        <v/>
      </c>
      <c r="F266" s="26">
        <f>IF($C$5=0,0,INDEX(Symboles!$H$6:$H$101,D266))</f>
        <v/>
      </c>
      <c r="G266" s="26">
        <f>COS(2*PI()*$C$3*B266)</f>
        <v/>
      </c>
      <c r="H266" s="26">
        <f>SIN(2*PI()*$C$3*B266)</f>
        <v/>
      </c>
      <c r="I266" s="26">
        <f>E266*G266+F266*H266</f>
        <v/>
      </c>
    </row>
    <row r="267">
      <c r="A267" s="7" t="n">
        <v>260</v>
      </c>
      <c r="B267" s="26">
        <f>(A267-1)/2000*$C$2</f>
        <v/>
      </c>
      <c r="C267" s="7">
        <f>INDEX(Bits!$E$25:$E$124,INT(B267)+1)</f>
        <v/>
      </c>
      <c r="D267" s="7">
        <f>MAX(1,MIN(INT(B267/$C$4)+1,$C$5))</f>
        <v/>
      </c>
      <c r="E267" s="26">
        <f>IF($C$5=0,0,INDEX(Symboles!$G$6:$G$101,D267))</f>
        <v/>
      </c>
      <c r="F267" s="26">
        <f>IF($C$5=0,0,INDEX(Symboles!$H$6:$H$101,D267))</f>
        <v/>
      </c>
      <c r="G267" s="26">
        <f>COS(2*PI()*$C$3*B267)</f>
        <v/>
      </c>
      <c r="H267" s="26">
        <f>SIN(2*PI()*$C$3*B267)</f>
        <v/>
      </c>
      <c r="I267" s="26">
        <f>E267*G267+F267*H267</f>
        <v/>
      </c>
    </row>
    <row r="268">
      <c r="A268" s="7" t="n">
        <v>261</v>
      </c>
      <c r="B268" s="26">
        <f>(A268-1)/2000*$C$2</f>
        <v/>
      </c>
      <c r="C268" s="7">
        <f>INDEX(Bits!$E$25:$E$124,INT(B268)+1)</f>
        <v/>
      </c>
      <c r="D268" s="7">
        <f>MAX(1,MIN(INT(B268/$C$4)+1,$C$5))</f>
        <v/>
      </c>
      <c r="E268" s="26">
        <f>IF($C$5=0,0,INDEX(Symboles!$G$6:$G$101,D268))</f>
        <v/>
      </c>
      <c r="F268" s="26">
        <f>IF($C$5=0,0,INDEX(Symboles!$H$6:$H$101,D268))</f>
        <v/>
      </c>
      <c r="G268" s="26">
        <f>COS(2*PI()*$C$3*B268)</f>
        <v/>
      </c>
      <c r="H268" s="26">
        <f>SIN(2*PI()*$C$3*B268)</f>
        <v/>
      </c>
      <c r="I268" s="26">
        <f>E268*G268+F268*H268</f>
        <v/>
      </c>
    </row>
    <row r="269">
      <c r="A269" s="7" t="n">
        <v>262</v>
      </c>
      <c r="B269" s="26">
        <f>(A269-1)/2000*$C$2</f>
        <v/>
      </c>
      <c r="C269" s="7">
        <f>INDEX(Bits!$E$25:$E$124,INT(B269)+1)</f>
        <v/>
      </c>
      <c r="D269" s="7">
        <f>MAX(1,MIN(INT(B269/$C$4)+1,$C$5))</f>
        <v/>
      </c>
      <c r="E269" s="26">
        <f>IF($C$5=0,0,INDEX(Symboles!$G$6:$G$101,D269))</f>
        <v/>
      </c>
      <c r="F269" s="26">
        <f>IF($C$5=0,0,INDEX(Symboles!$H$6:$H$101,D269))</f>
        <v/>
      </c>
      <c r="G269" s="26">
        <f>COS(2*PI()*$C$3*B269)</f>
        <v/>
      </c>
      <c r="H269" s="26">
        <f>SIN(2*PI()*$C$3*B269)</f>
        <v/>
      </c>
      <c r="I269" s="26">
        <f>E269*G269+F269*H269</f>
        <v/>
      </c>
    </row>
    <row r="270">
      <c r="A270" s="7" t="n">
        <v>263</v>
      </c>
      <c r="B270" s="26">
        <f>(A270-1)/2000*$C$2</f>
        <v/>
      </c>
      <c r="C270" s="7">
        <f>INDEX(Bits!$E$25:$E$124,INT(B270)+1)</f>
        <v/>
      </c>
      <c r="D270" s="7">
        <f>MAX(1,MIN(INT(B270/$C$4)+1,$C$5))</f>
        <v/>
      </c>
      <c r="E270" s="26">
        <f>IF($C$5=0,0,INDEX(Symboles!$G$6:$G$101,D270))</f>
        <v/>
      </c>
      <c r="F270" s="26">
        <f>IF($C$5=0,0,INDEX(Symboles!$H$6:$H$101,D270))</f>
        <v/>
      </c>
      <c r="G270" s="26">
        <f>COS(2*PI()*$C$3*B270)</f>
        <v/>
      </c>
      <c r="H270" s="26">
        <f>SIN(2*PI()*$C$3*B270)</f>
        <v/>
      </c>
      <c r="I270" s="26">
        <f>E270*G270+F270*H270</f>
        <v/>
      </c>
    </row>
    <row r="271">
      <c r="A271" s="7" t="n">
        <v>264</v>
      </c>
      <c r="B271" s="26">
        <f>(A271-1)/2000*$C$2</f>
        <v/>
      </c>
      <c r="C271" s="7">
        <f>INDEX(Bits!$E$25:$E$124,INT(B271)+1)</f>
        <v/>
      </c>
      <c r="D271" s="7">
        <f>MAX(1,MIN(INT(B271/$C$4)+1,$C$5))</f>
        <v/>
      </c>
      <c r="E271" s="26">
        <f>IF($C$5=0,0,INDEX(Symboles!$G$6:$G$101,D271))</f>
        <v/>
      </c>
      <c r="F271" s="26">
        <f>IF($C$5=0,0,INDEX(Symboles!$H$6:$H$101,D271))</f>
        <v/>
      </c>
      <c r="G271" s="26">
        <f>COS(2*PI()*$C$3*B271)</f>
        <v/>
      </c>
      <c r="H271" s="26">
        <f>SIN(2*PI()*$C$3*B271)</f>
        <v/>
      </c>
      <c r="I271" s="26">
        <f>E271*G271+F271*H271</f>
        <v/>
      </c>
    </row>
    <row r="272">
      <c r="A272" s="7" t="n">
        <v>265</v>
      </c>
      <c r="B272" s="26">
        <f>(A272-1)/2000*$C$2</f>
        <v/>
      </c>
      <c r="C272" s="7">
        <f>INDEX(Bits!$E$25:$E$124,INT(B272)+1)</f>
        <v/>
      </c>
      <c r="D272" s="7">
        <f>MAX(1,MIN(INT(B272/$C$4)+1,$C$5))</f>
        <v/>
      </c>
      <c r="E272" s="26">
        <f>IF($C$5=0,0,INDEX(Symboles!$G$6:$G$101,D272))</f>
        <v/>
      </c>
      <c r="F272" s="26">
        <f>IF($C$5=0,0,INDEX(Symboles!$H$6:$H$101,D272))</f>
        <v/>
      </c>
      <c r="G272" s="26">
        <f>COS(2*PI()*$C$3*B272)</f>
        <v/>
      </c>
      <c r="H272" s="26">
        <f>SIN(2*PI()*$C$3*B272)</f>
        <v/>
      </c>
      <c r="I272" s="26">
        <f>E272*G272+F272*H272</f>
        <v/>
      </c>
    </row>
    <row r="273">
      <c r="A273" s="7" t="n">
        <v>266</v>
      </c>
      <c r="B273" s="26">
        <f>(A273-1)/2000*$C$2</f>
        <v/>
      </c>
      <c r="C273" s="7">
        <f>INDEX(Bits!$E$25:$E$124,INT(B273)+1)</f>
        <v/>
      </c>
      <c r="D273" s="7">
        <f>MAX(1,MIN(INT(B273/$C$4)+1,$C$5))</f>
        <v/>
      </c>
      <c r="E273" s="26">
        <f>IF($C$5=0,0,INDEX(Symboles!$G$6:$G$101,D273))</f>
        <v/>
      </c>
      <c r="F273" s="26">
        <f>IF($C$5=0,0,INDEX(Symboles!$H$6:$H$101,D273))</f>
        <v/>
      </c>
      <c r="G273" s="26">
        <f>COS(2*PI()*$C$3*B273)</f>
        <v/>
      </c>
      <c r="H273" s="26">
        <f>SIN(2*PI()*$C$3*B273)</f>
        <v/>
      </c>
      <c r="I273" s="26">
        <f>E273*G273+F273*H273</f>
        <v/>
      </c>
    </row>
    <row r="274">
      <c r="A274" s="7" t="n">
        <v>267</v>
      </c>
      <c r="B274" s="26">
        <f>(A274-1)/2000*$C$2</f>
        <v/>
      </c>
      <c r="C274" s="7">
        <f>INDEX(Bits!$E$25:$E$124,INT(B274)+1)</f>
        <v/>
      </c>
      <c r="D274" s="7">
        <f>MAX(1,MIN(INT(B274/$C$4)+1,$C$5))</f>
        <v/>
      </c>
      <c r="E274" s="26">
        <f>IF($C$5=0,0,INDEX(Symboles!$G$6:$G$101,D274))</f>
        <v/>
      </c>
      <c r="F274" s="26">
        <f>IF($C$5=0,0,INDEX(Symboles!$H$6:$H$101,D274))</f>
        <v/>
      </c>
      <c r="G274" s="26">
        <f>COS(2*PI()*$C$3*B274)</f>
        <v/>
      </c>
      <c r="H274" s="26">
        <f>SIN(2*PI()*$C$3*B274)</f>
        <v/>
      </c>
      <c r="I274" s="26">
        <f>E274*G274+F274*H274</f>
        <v/>
      </c>
    </row>
    <row r="275">
      <c r="A275" s="7" t="n">
        <v>268</v>
      </c>
      <c r="B275" s="26">
        <f>(A275-1)/2000*$C$2</f>
        <v/>
      </c>
      <c r="C275" s="7">
        <f>INDEX(Bits!$E$25:$E$124,INT(B275)+1)</f>
        <v/>
      </c>
      <c r="D275" s="7">
        <f>MAX(1,MIN(INT(B275/$C$4)+1,$C$5))</f>
        <v/>
      </c>
      <c r="E275" s="26">
        <f>IF($C$5=0,0,INDEX(Symboles!$G$6:$G$101,D275))</f>
        <v/>
      </c>
      <c r="F275" s="26">
        <f>IF($C$5=0,0,INDEX(Symboles!$H$6:$H$101,D275))</f>
        <v/>
      </c>
      <c r="G275" s="26">
        <f>COS(2*PI()*$C$3*B275)</f>
        <v/>
      </c>
      <c r="H275" s="26">
        <f>SIN(2*PI()*$C$3*B275)</f>
        <v/>
      </c>
      <c r="I275" s="26">
        <f>E275*G275+F275*H275</f>
        <v/>
      </c>
    </row>
    <row r="276">
      <c r="A276" s="7" t="n">
        <v>269</v>
      </c>
      <c r="B276" s="26">
        <f>(A276-1)/2000*$C$2</f>
        <v/>
      </c>
      <c r="C276" s="7">
        <f>INDEX(Bits!$E$25:$E$124,INT(B276)+1)</f>
        <v/>
      </c>
      <c r="D276" s="7">
        <f>MAX(1,MIN(INT(B276/$C$4)+1,$C$5))</f>
        <v/>
      </c>
      <c r="E276" s="26">
        <f>IF($C$5=0,0,INDEX(Symboles!$G$6:$G$101,D276))</f>
        <v/>
      </c>
      <c r="F276" s="26">
        <f>IF($C$5=0,0,INDEX(Symboles!$H$6:$H$101,D276))</f>
        <v/>
      </c>
      <c r="G276" s="26">
        <f>COS(2*PI()*$C$3*B276)</f>
        <v/>
      </c>
      <c r="H276" s="26">
        <f>SIN(2*PI()*$C$3*B276)</f>
        <v/>
      </c>
      <c r="I276" s="26">
        <f>E276*G276+F276*H276</f>
        <v/>
      </c>
    </row>
    <row r="277">
      <c r="A277" s="7" t="n">
        <v>270</v>
      </c>
      <c r="B277" s="26">
        <f>(A277-1)/2000*$C$2</f>
        <v/>
      </c>
      <c r="C277" s="7">
        <f>INDEX(Bits!$E$25:$E$124,INT(B277)+1)</f>
        <v/>
      </c>
      <c r="D277" s="7">
        <f>MAX(1,MIN(INT(B277/$C$4)+1,$C$5))</f>
        <v/>
      </c>
      <c r="E277" s="26">
        <f>IF($C$5=0,0,INDEX(Symboles!$G$6:$G$101,D277))</f>
        <v/>
      </c>
      <c r="F277" s="26">
        <f>IF($C$5=0,0,INDEX(Symboles!$H$6:$H$101,D277))</f>
        <v/>
      </c>
      <c r="G277" s="26">
        <f>COS(2*PI()*$C$3*B277)</f>
        <v/>
      </c>
      <c r="H277" s="26">
        <f>SIN(2*PI()*$C$3*B277)</f>
        <v/>
      </c>
      <c r="I277" s="26">
        <f>E277*G277+F277*H277</f>
        <v/>
      </c>
    </row>
    <row r="278">
      <c r="A278" s="7" t="n">
        <v>271</v>
      </c>
      <c r="B278" s="26">
        <f>(A278-1)/2000*$C$2</f>
        <v/>
      </c>
      <c r="C278" s="7">
        <f>INDEX(Bits!$E$25:$E$124,INT(B278)+1)</f>
        <v/>
      </c>
      <c r="D278" s="7">
        <f>MAX(1,MIN(INT(B278/$C$4)+1,$C$5))</f>
        <v/>
      </c>
      <c r="E278" s="26">
        <f>IF($C$5=0,0,INDEX(Symboles!$G$6:$G$101,D278))</f>
        <v/>
      </c>
      <c r="F278" s="26">
        <f>IF($C$5=0,0,INDEX(Symboles!$H$6:$H$101,D278))</f>
        <v/>
      </c>
      <c r="G278" s="26">
        <f>COS(2*PI()*$C$3*B278)</f>
        <v/>
      </c>
      <c r="H278" s="26">
        <f>SIN(2*PI()*$C$3*B278)</f>
        <v/>
      </c>
      <c r="I278" s="26">
        <f>E278*G278+F278*H278</f>
        <v/>
      </c>
    </row>
    <row r="279">
      <c r="A279" s="7" t="n">
        <v>272</v>
      </c>
      <c r="B279" s="26">
        <f>(A279-1)/2000*$C$2</f>
        <v/>
      </c>
      <c r="C279" s="7">
        <f>INDEX(Bits!$E$25:$E$124,INT(B279)+1)</f>
        <v/>
      </c>
      <c r="D279" s="7">
        <f>MAX(1,MIN(INT(B279/$C$4)+1,$C$5))</f>
        <v/>
      </c>
      <c r="E279" s="26">
        <f>IF($C$5=0,0,INDEX(Symboles!$G$6:$G$101,D279))</f>
        <v/>
      </c>
      <c r="F279" s="26">
        <f>IF($C$5=0,0,INDEX(Symboles!$H$6:$H$101,D279))</f>
        <v/>
      </c>
      <c r="G279" s="26">
        <f>COS(2*PI()*$C$3*B279)</f>
        <v/>
      </c>
      <c r="H279" s="26">
        <f>SIN(2*PI()*$C$3*B279)</f>
        <v/>
      </c>
      <c r="I279" s="26">
        <f>E279*G279+F279*H279</f>
        <v/>
      </c>
    </row>
    <row r="280">
      <c r="A280" s="7" t="n">
        <v>273</v>
      </c>
      <c r="B280" s="26">
        <f>(A280-1)/2000*$C$2</f>
        <v/>
      </c>
      <c r="C280" s="7">
        <f>INDEX(Bits!$E$25:$E$124,INT(B280)+1)</f>
        <v/>
      </c>
      <c r="D280" s="7">
        <f>MAX(1,MIN(INT(B280/$C$4)+1,$C$5))</f>
        <v/>
      </c>
      <c r="E280" s="26">
        <f>IF($C$5=0,0,INDEX(Symboles!$G$6:$G$101,D280))</f>
        <v/>
      </c>
      <c r="F280" s="26">
        <f>IF($C$5=0,0,INDEX(Symboles!$H$6:$H$101,D280))</f>
        <v/>
      </c>
      <c r="G280" s="26">
        <f>COS(2*PI()*$C$3*B280)</f>
        <v/>
      </c>
      <c r="H280" s="26">
        <f>SIN(2*PI()*$C$3*B280)</f>
        <v/>
      </c>
      <c r="I280" s="26">
        <f>E280*G280+F280*H280</f>
        <v/>
      </c>
    </row>
    <row r="281">
      <c r="A281" s="7" t="n">
        <v>274</v>
      </c>
      <c r="B281" s="26">
        <f>(A281-1)/2000*$C$2</f>
        <v/>
      </c>
      <c r="C281" s="7">
        <f>INDEX(Bits!$E$25:$E$124,INT(B281)+1)</f>
        <v/>
      </c>
      <c r="D281" s="7">
        <f>MAX(1,MIN(INT(B281/$C$4)+1,$C$5))</f>
        <v/>
      </c>
      <c r="E281" s="26">
        <f>IF($C$5=0,0,INDEX(Symboles!$G$6:$G$101,D281))</f>
        <v/>
      </c>
      <c r="F281" s="26">
        <f>IF($C$5=0,0,INDEX(Symboles!$H$6:$H$101,D281))</f>
        <v/>
      </c>
      <c r="G281" s="26">
        <f>COS(2*PI()*$C$3*B281)</f>
        <v/>
      </c>
      <c r="H281" s="26">
        <f>SIN(2*PI()*$C$3*B281)</f>
        <v/>
      </c>
      <c r="I281" s="26">
        <f>E281*G281+F281*H281</f>
        <v/>
      </c>
    </row>
    <row r="282">
      <c r="A282" s="7" t="n">
        <v>275</v>
      </c>
      <c r="B282" s="26">
        <f>(A282-1)/2000*$C$2</f>
        <v/>
      </c>
      <c r="C282" s="7">
        <f>INDEX(Bits!$E$25:$E$124,INT(B282)+1)</f>
        <v/>
      </c>
      <c r="D282" s="7">
        <f>MAX(1,MIN(INT(B282/$C$4)+1,$C$5))</f>
        <v/>
      </c>
      <c r="E282" s="26">
        <f>IF($C$5=0,0,INDEX(Symboles!$G$6:$G$101,D282))</f>
        <v/>
      </c>
      <c r="F282" s="26">
        <f>IF($C$5=0,0,INDEX(Symboles!$H$6:$H$101,D282))</f>
        <v/>
      </c>
      <c r="G282" s="26">
        <f>COS(2*PI()*$C$3*B282)</f>
        <v/>
      </c>
      <c r="H282" s="26">
        <f>SIN(2*PI()*$C$3*B282)</f>
        <v/>
      </c>
      <c r="I282" s="26">
        <f>E282*G282+F282*H282</f>
        <v/>
      </c>
    </row>
    <row r="283">
      <c r="A283" s="7" t="n">
        <v>276</v>
      </c>
      <c r="B283" s="26">
        <f>(A283-1)/2000*$C$2</f>
        <v/>
      </c>
      <c r="C283" s="7">
        <f>INDEX(Bits!$E$25:$E$124,INT(B283)+1)</f>
        <v/>
      </c>
      <c r="D283" s="7">
        <f>MAX(1,MIN(INT(B283/$C$4)+1,$C$5))</f>
        <v/>
      </c>
      <c r="E283" s="26">
        <f>IF($C$5=0,0,INDEX(Symboles!$G$6:$G$101,D283))</f>
        <v/>
      </c>
      <c r="F283" s="26">
        <f>IF($C$5=0,0,INDEX(Symboles!$H$6:$H$101,D283))</f>
        <v/>
      </c>
      <c r="G283" s="26">
        <f>COS(2*PI()*$C$3*B283)</f>
        <v/>
      </c>
      <c r="H283" s="26">
        <f>SIN(2*PI()*$C$3*B283)</f>
        <v/>
      </c>
      <c r="I283" s="26">
        <f>E283*G283+F283*H283</f>
        <v/>
      </c>
    </row>
    <row r="284">
      <c r="A284" s="7" t="n">
        <v>277</v>
      </c>
      <c r="B284" s="26">
        <f>(A284-1)/2000*$C$2</f>
        <v/>
      </c>
      <c r="C284" s="7">
        <f>INDEX(Bits!$E$25:$E$124,INT(B284)+1)</f>
        <v/>
      </c>
      <c r="D284" s="7">
        <f>MAX(1,MIN(INT(B284/$C$4)+1,$C$5))</f>
        <v/>
      </c>
      <c r="E284" s="26">
        <f>IF($C$5=0,0,INDEX(Symboles!$G$6:$G$101,D284))</f>
        <v/>
      </c>
      <c r="F284" s="26">
        <f>IF($C$5=0,0,INDEX(Symboles!$H$6:$H$101,D284))</f>
        <v/>
      </c>
      <c r="G284" s="26">
        <f>COS(2*PI()*$C$3*B284)</f>
        <v/>
      </c>
      <c r="H284" s="26">
        <f>SIN(2*PI()*$C$3*B284)</f>
        <v/>
      </c>
      <c r="I284" s="26">
        <f>E284*G284+F284*H284</f>
        <v/>
      </c>
    </row>
    <row r="285">
      <c r="A285" s="7" t="n">
        <v>278</v>
      </c>
      <c r="B285" s="26">
        <f>(A285-1)/2000*$C$2</f>
        <v/>
      </c>
      <c r="C285" s="7">
        <f>INDEX(Bits!$E$25:$E$124,INT(B285)+1)</f>
        <v/>
      </c>
      <c r="D285" s="7">
        <f>MAX(1,MIN(INT(B285/$C$4)+1,$C$5))</f>
        <v/>
      </c>
      <c r="E285" s="26">
        <f>IF($C$5=0,0,INDEX(Symboles!$G$6:$G$101,D285))</f>
        <v/>
      </c>
      <c r="F285" s="26">
        <f>IF($C$5=0,0,INDEX(Symboles!$H$6:$H$101,D285))</f>
        <v/>
      </c>
      <c r="G285" s="26">
        <f>COS(2*PI()*$C$3*B285)</f>
        <v/>
      </c>
      <c r="H285" s="26">
        <f>SIN(2*PI()*$C$3*B285)</f>
        <v/>
      </c>
      <c r="I285" s="26">
        <f>E285*G285+F285*H285</f>
        <v/>
      </c>
    </row>
    <row r="286">
      <c r="A286" s="7" t="n">
        <v>279</v>
      </c>
      <c r="B286" s="26">
        <f>(A286-1)/2000*$C$2</f>
        <v/>
      </c>
      <c r="C286" s="7">
        <f>INDEX(Bits!$E$25:$E$124,INT(B286)+1)</f>
        <v/>
      </c>
      <c r="D286" s="7">
        <f>MAX(1,MIN(INT(B286/$C$4)+1,$C$5))</f>
        <v/>
      </c>
      <c r="E286" s="26">
        <f>IF($C$5=0,0,INDEX(Symboles!$G$6:$G$101,D286))</f>
        <v/>
      </c>
      <c r="F286" s="26">
        <f>IF($C$5=0,0,INDEX(Symboles!$H$6:$H$101,D286))</f>
        <v/>
      </c>
      <c r="G286" s="26">
        <f>COS(2*PI()*$C$3*B286)</f>
        <v/>
      </c>
      <c r="H286" s="26">
        <f>SIN(2*PI()*$C$3*B286)</f>
        <v/>
      </c>
      <c r="I286" s="26">
        <f>E286*G286+F286*H286</f>
        <v/>
      </c>
    </row>
    <row r="287">
      <c r="A287" s="7" t="n">
        <v>280</v>
      </c>
      <c r="B287" s="26">
        <f>(A287-1)/2000*$C$2</f>
        <v/>
      </c>
      <c r="C287" s="7">
        <f>INDEX(Bits!$E$25:$E$124,INT(B287)+1)</f>
        <v/>
      </c>
      <c r="D287" s="7">
        <f>MAX(1,MIN(INT(B287/$C$4)+1,$C$5))</f>
        <v/>
      </c>
      <c r="E287" s="26">
        <f>IF($C$5=0,0,INDEX(Symboles!$G$6:$G$101,D287))</f>
        <v/>
      </c>
      <c r="F287" s="26">
        <f>IF($C$5=0,0,INDEX(Symboles!$H$6:$H$101,D287))</f>
        <v/>
      </c>
      <c r="G287" s="26">
        <f>COS(2*PI()*$C$3*B287)</f>
        <v/>
      </c>
      <c r="H287" s="26">
        <f>SIN(2*PI()*$C$3*B287)</f>
        <v/>
      </c>
      <c r="I287" s="26">
        <f>E287*G287+F287*H287</f>
        <v/>
      </c>
    </row>
    <row r="288">
      <c r="A288" s="7" t="n">
        <v>281</v>
      </c>
      <c r="B288" s="26">
        <f>(A288-1)/2000*$C$2</f>
        <v/>
      </c>
      <c r="C288" s="7">
        <f>INDEX(Bits!$E$25:$E$124,INT(B288)+1)</f>
        <v/>
      </c>
      <c r="D288" s="7">
        <f>MAX(1,MIN(INT(B288/$C$4)+1,$C$5))</f>
        <v/>
      </c>
      <c r="E288" s="26">
        <f>IF($C$5=0,0,INDEX(Symboles!$G$6:$G$101,D288))</f>
        <v/>
      </c>
      <c r="F288" s="26">
        <f>IF($C$5=0,0,INDEX(Symboles!$H$6:$H$101,D288))</f>
        <v/>
      </c>
      <c r="G288" s="26">
        <f>COS(2*PI()*$C$3*B288)</f>
        <v/>
      </c>
      <c r="H288" s="26">
        <f>SIN(2*PI()*$C$3*B288)</f>
        <v/>
      </c>
      <c r="I288" s="26">
        <f>E288*G288+F288*H288</f>
        <v/>
      </c>
    </row>
    <row r="289">
      <c r="A289" s="7" t="n">
        <v>282</v>
      </c>
      <c r="B289" s="26">
        <f>(A289-1)/2000*$C$2</f>
        <v/>
      </c>
      <c r="C289" s="7">
        <f>INDEX(Bits!$E$25:$E$124,INT(B289)+1)</f>
        <v/>
      </c>
      <c r="D289" s="7">
        <f>MAX(1,MIN(INT(B289/$C$4)+1,$C$5))</f>
        <v/>
      </c>
      <c r="E289" s="26">
        <f>IF($C$5=0,0,INDEX(Symboles!$G$6:$G$101,D289))</f>
        <v/>
      </c>
      <c r="F289" s="26">
        <f>IF($C$5=0,0,INDEX(Symboles!$H$6:$H$101,D289))</f>
        <v/>
      </c>
      <c r="G289" s="26">
        <f>COS(2*PI()*$C$3*B289)</f>
        <v/>
      </c>
      <c r="H289" s="26">
        <f>SIN(2*PI()*$C$3*B289)</f>
        <v/>
      </c>
      <c r="I289" s="26">
        <f>E289*G289+F289*H289</f>
        <v/>
      </c>
    </row>
    <row r="290">
      <c r="A290" s="7" t="n">
        <v>283</v>
      </c>
      <c r="B290" s="26">
        <f>(A290-1)/2000*$C$2</f>
        <v/>
      </c>
      <c r="C290" s="7">
        <f>INDEX(Bits!$E$25:$E$124,INT(B290)+1)</f>
        <v/>
      </c>
      <c r="D290" s="7">
        <f>MAX(1,MIN(INT(B290/$C$4)+1,$C$5))</f>
        <v/>
      </c>
      <c r="E290" s="26">
        <f>IF($C$5=0,0,INDEX(Symboles!$G$6:$G$101,D290))</f>
        <v/>
      </c>
      <c r="F290" s="26">
        <f>IF($C$5=0,0,INDEX(Symboles!$H$6:$H$101,D290))</f>
        <v/>
      </c>
      <c r="G290" s="26">
        <f>COS(2*PI()*$C$3*B290)</f>
        <v/>
      </c>
      <c r="H290" s="26">
        <f>SIN(2*PI()*$C$3*B290)</f>
        <v/>
      </c>
      <c r="I290" s="26">
        <f>E290*G290+F290*H290</f>
        <v/>
      </c>
    </row>
    <row r="291">
      <c r="A291" s="7" t="n">
        <v>284</v>
      </c>
      <c r="B291" s="26">
        <f>(A291-1)/2000*$C$2</f>
        <v/>
      </c>
      <c r="C291" s="7">
        <f>INDEX(Bits!$E$25:$E$124,INT(B291)+1)</f>
        <v/>
      </c>
      <c r="D291" s="7">
        <f>MAX(1,MIN(INT(B291/$C$4)+1,$C$5))</f>
        <v/>
      </c>
      <c r="E291" s="26">
        <f>IF($C$5=0,0,INDEX(Symboles!$G$6:$G$101,D291))</f>
        <v/>
      </c>
      <c r="F291" s="26">
        <f>IF($C$5=0,0,INDEX(Symboles!$H$6:$H$101,D291))</f>
        <v/>
      </c>
      <c r="G291" s="26">
        <f>COS(2*PI()*$C$3*B291)</f>
        <v/>
      </c>
      <c r="H291" s="26">
        <f>SIN(2*PI()*$C$3*B291)</f>
        <v/>
      </c>
      <c r="I291" s="26">
        <f>E291*G291+F291*H291</f>
        <v/>
      </c>
    </row>
    <row r="292">
      <c r="A292" s="7" t="n">
        <v>285</v>
      </c>
      <c r="B292" s="26">
        <f>(A292-1)/2000*$C$2</f>
        <v/>
      </c>
      <c r="C292" s="7">
        <f>INDEX(Bits!$E$25:$E$124,INT(B292)+1)</f>
        <v/>
      </c>
      <c r="D292" s="7">
        <f>MAX(1,MIN(INT(B292/$C$4)+1,$C$5))</f>
        <v/>
      </c>
      <c r="E292" s="26">
        <f>IF($C$5=0,0,INDEX(Symboles!$G$6:$G$101,D292))</f>
        <v/>
      </c>
      <c r="F292" s="26">
        <f>IF($C$5=0,0,INDEX(Symboles!$H$6:$H$101,D292))</f>
        <v/>
      </c>
      <c r="G292" s="26">
        <f>COS(2*PI()*$C$3*B292)</f>
        <v/>
      </c>
      <c r="H292" s="26">
        <f>SIN(2*PI()*$C$3*B292)</f>
        <v/>
      </c>
      <c r="I292" s="26">
        <f>E292*G292+F292*H292</f>
        <v/>
      </c>
    </row>
    <row r="293">
      <c r="A293" s="7" t="n">
        <v>286</v>
      </c>
      <c r="B293" s="26">
        <f>(A293-1)/2000*$C$2</f>
        <v/>
      </c>
      <c r="C293" s="7">
        <f>INDEX(Bits!$E$25:$E$124,INT(B293)+1)</f>
        <v/>
      </c>
      <c r="D293" s="7">
        <f>MAX(1,MIN(INT(B293/$C$4)+1,$C$5))</f>
        <v/>
      </c>
      <c r="E293" s="26">
        <f>IF($C$5=0,0,INDEX(Symboles!$G$6:$G$101,D293))</f>
        <v/>
      </c>
      <c r="F293" s="26">
        <f>IF($C$5=0,0,INDEX(Symboles!$H$6:$H$101,D293))</f>
        <v/>
      </c>
      <c r="G293" s="26">
        <f>COS(2*PI()*$C$3*B293)</f>
        <v/>
      </c>
      <c r="H293" s="26">
        <f>SIN(2*PI()*$C$3*B293)</f>
        <v/>
      </c>
      <c r="I293" s="26">
        <f>E293*G293+F293*H293</f>
        <v/>
      </c>
    </row>
    <row r="294">
      <c r="A294" s="7" t="n">
        <v>287</v>
      </c>
      <c r="B294" s="26">
        <f>(A294-1)/2000*$C$2</f>
        <v/>
      </c>
      <c r="C294" s="7">
        <f>INDEX(Bits!$E$25:$E$124,INT(B294)+1)</f>
        <v/>
      </c>
      <c r="D294" s="7">
        <f>MAX(1,MIN(INT(B294/$C$4)+1,$C$5))</f>
        <v/>
      </c>
      <c r="E294" s="26">
        <f>IF($C$5=0,0,INDEX(Symboles!$G$6:$G$101,D294))</f>
        <v/>
      </c>
      <c r="F294" s="26">
        <f>IF($C$5=0,0,INDEX(Symboles!$H$6:$H$101,D294))</f>
        <v/>
      </c>
      <c r="G294" s="26">
        <f>COS(2*PI()*$C$3*B294)</f>
        <v/>
      </c>
      <c r="H294" s="26">
        <f>SIN(2*PI()*$C$3*B294)</f>
        <v/>
      </c>
      <c r="I294" s="26">
        <f>E294*G294+F294*H294</f>
        <v/>
      </c>
    </row>
    <row r="295">
      <c r="A295" s="7" t="n">
        <v>288</v>
      </c>
      <c r="B295" s="26">
        <f>(A295-1)/2000*$C$2</f>
        <v/>
      </c>
      <c r="C295" s="7">
        <f>INDEX(Bits!$E$25:$E$124,INT(B295)+1)</f>
        <v/>
      </c>
      <c r="D295" s="7">
        <f>MAX(1,MIN(INT(B295/$C$4)+1,$C$5))</f>
        <v/>
      </c>
      <c r="E295" s="26">
        <f>IF($C$5=0,0,INDEX(Symboles!$G$6:$G$101,D295))</f>
        <v/>
      </c>
      <c r="F295" s="26">
        <f>IF($C$5=0,0,INDEX(Symboles!$H$6:$H$101,D295))</f>
        <v/>
      </c>
      <c r="G295" s="26">
        <f>COS(2*PI()*$C$3*B295)</f>
        <v/>
      </c>
      <c r="H295" s="26">
        <f>SIN(2*PI()*$C$3*B295)</f>
        <v/>
      </c>
      <c r="I295" s="26">
        <f>E295*G295+F295*H295</f>
        <v/>
      </c>
    </row>
    <row r="296">
      <c r="A296" s="7" t="n">
        <v>289</v>
      </c>
      <c r="B296" s="26">
        <f>(A296-1)/2000*$C$2</f>
        <v/>
      </c>
      <c r="C296" s="7">
        <f>INDEX(Bits!$E$25:$E$124,INT(B296)+1)</f>
        <v/>
      </c>
      <c r="D296" s="7">
        <f>MAX(1,MIN(INT(B296/$C$4)+1,$C$5))</f>
        <v/>
      </c>
      <c r="E296" s="26">
        <f>IF($C$5=0,0,INDEX(Symboles!$G$6:$G$101,D296))</f>
        <v/>
      </c>
      <c r="F296" s="26">
        <f>IF($C$5=0,0,INDEX(Symboles!$H$6:$H$101,D296))</f>
        <v/>
      </c>
      <c r="G296" s="26">
        <f>COS(2*PI()*$C$3*B296)</f>
        <v/>
      </c>
      <c r="H296" s="26">
        <f>SIN(2*PI()*$C$3*B296)</f>
        <v/>
      </c>
      <c r="I296" s="26">
        <f>E296*G296+F296*H296</f>
        <v/>
      </c>
    </row>
    <row r="297">
      <c r="A297" s="7" t="n">
        <v>290</v>
      </c>
      <c r="B297" s="26">
        <f>(A297-1)/2000*$C$2</f>
        <v/>
      </c>
      <c r="C297" s="7">
        <f>INDEX(Bits!$E$25:$E$124,INT(B297)+1)</f>
        <v/>
      </c>
      <c r="D297" s="7">
        <f>MAX(1,MIN(INT(B297/$C$4)+1,$C$5))</f>
        <v/>
      </c>
      <c r="E297" s="26">
        <f>IF($C$5=0,0,INDEX(Symboles!$G$6:$G$101,D297))</f>
        <v/>
      </c>
      <c r="F297" s="26">
        <f>IF($C$5=0,0,INDEX(Symboles!$H$6:$H$101,D297))</f>
        <v/>
      </c>
      <c r="G297" s="26">
        <f>COS(2*PI()*$C$3*B297)</f>
        <v/>
      </c>
      <c r="H297" s="26">
        <f>SIN(2*PI()*$C$3*B297)</f>
        <v/>
      </c>
      <c r="I297" s="26">
        <f>E297*G297+F297*H297</f>
        <v/>
      </c>
    </row>
    <row r="298">
      <c r="A298" s="7" t="n">
        <v>291</v>
      </c>
      <c r="B298" s="26">
        <f>(A298-1)/2000*$C$2</f>
        <v/>
      </c>
      <c r="C298" s="7">
        <f>INDEX(Bits!$E$25:$E$124,INT(B298)+1)</f>
        <v/>
      </c>
      <c r="D298" s="7">
        <f>MAX(1,MIN(INT(B298/$C$4)+1,$C$5))</f>
        <v/>
      </c>
      <c r="E298" s="26">
        <f>IF($C$5=0,0,INDEX(Symboles!$G$6:$G$101,D298))</f>
        <v/>
      </c>
      <c r="F298" s="26">
        <f>IF($C$5=0,0,INDEX(Symboles!$H$6:$H$101,D298))</f>
        <v/>
      </c>
      <c r="G298" s="26">
        <f>COS(2*PI()*$C$3*B298)</f>
        <v/>
      </c>
      <c r="H298" s="26">
        <f>SIN(2*PI()*$C$3*B298)</f>
        <v/>
      </c>
      <c r="I298" s="26">
        <f>E298*G298+F298*H298</f>
        <v/>
      </c>
    </row>
    <row r="299">
      <c r="A299" s="7" t="n">
        <v>292</v>
      </c>
      <c r="B299" s="26">
        <f>(A299-1)/2000*$C$2</f>
        <v/>
      </c>
      <c r="C299" s="7">
        <f>INDEX(Bits!$E$25:$E$124,INT(B299)+1)</f>
        <v/>
      </c>
      <c r="D299" s="7">
        <f>MAX(1,MIN(INT(B299/$C$4)+1,$C$5))</f>
        <v/>
      </c>
      <c r="E299" s="26">
        <f>IF($C$5=0,0,INDEX(Symboles!$G$6:$G$101,D299))</f>
        <v/>
      </c>
      <c r="F299" s="26">
        <f>IF($C$5=0,0,INDEX(Symboles!$H$6:$H$101,D299))</f>
        <v/>
      </c>
      <c r="G299" s="26">
        <f>COS(2*PI()*$C$3*B299)</f>
        <v/>
      </c>
      <c r="H299" s="26">
        <f>SIN(2*PI()*$C$3*B299)</f>
        <v/>
      </c>
      <c r="I299" s="26">
        <f>E299*G299+F299*H299</f>
        <v/>
      </c>
    </row>
    <row r="300">
      <c r="A300" s="7" t="n">
        <v>293</v>
      </c>
      <c r="B300" s="26">
        <f>(A300-1)/2000*$C$2</f>
        <v/>
      </c>
      <c r="C300" s="7">
        <f>INDEX(Bits!$E$25:$E$124,INT(B300)+1)</f>
        <v/>
      </c>
      <c r="D300" s="7">
        <f>MAX(1,MIN(INT(B300/$C$4)+1,$C$5))</f>
        <v/>
      </c>
      <c r="E300" s="26">
        <f>IF($C$5=0,0,INDEX(Symboles!$G$6:$G$101,D300))</f>
        <v/>
      </c>
      <c r="F300" s="26">
        <f>IF($C$5=0,0,INDEX(Symboles!$H$6:$H$101,D300))</f>
        <v/>
      </c>
      <c r="G300" s="26">
        <f>COS(2*PI()*$C$3*B300)</f>
        <v/>
      </c>
      <c r="H300" s="26">
        <f>SIN(2*PI()*$C$3*B300)</f>
        <v/>
      </c>
      <c r="I300" s="26">
        <f>E300*G300+F300*H300</f>
        <v/>
      </c>
    </row>
    <row r="301">
      <c r="A301" s="7" t="n">
        <v>294</v>
      </c>
      <c r="B301" s="26">
        <f>(A301-1)/2000*$C$2</f>
        <v/>
      </c>
      <c r="C301" s="7">
        <f>INDEX(Bits!$E$25:$E$124,INT(B301)+1)</f>
        <v/>
      </c>
      <c r="D301" s="7">
        <f>MAX(1,MIN(INT(B301/$C$4)+1,$C$5))</f>
        <v/>
      </c>
      <c r="E301" s="26">
        <f>IF($C$5=0,0,INDEX(Symboles!$G$6:$G$101,D301))</f>
        <v/>
      </c>
      <c r="F301" s="26">
        <f>IF($C$5=0,0,INDEX(Symboles!$H$6:$H$101,D301))</f>
        <v/>
      </c>
      <c r="G301" s="26">
        <f>COS(2*PI()*$C$3*B301)</f>
        <v/>
      </c>
      <c r="H301" s="26">
        <f>SIN(2*PI()*$C$3*B301)</f>
        <v/>
      </c>
      <c r="I301" s="26">
        <f>E301*G301+F301*H301</f>
        <v/>
      </c>
    </row>
    <row r="302">
      <c r="A302" s="7" t="n">
        <v>295</v>
      </c>
      <c r="B302" s="26">
        <f>(A302-1)/2000*$C$2</f>
        <v/>
      </c>
      <c r="C302" s="7">
        <f>INDEX(Bits!$E$25:$E$124,INT(B302)+1)</f>
        <v/>
      </c>
      <c r="D302" s="7">
        <f>MAX(1,MIN(INT(B302/$C$4)+1,$C$5))</f>
        <v/>
      </c>
      <c r="E302" s="26">
        <f>IF($C$5=0,0,INDEX(Symboles!$G$6:$G$101,D302))</f>
        <v/>
      </c>
      <c r="F302" s="26">
        <f>IF($C$5=0,0,INDEX(Symboles!$H$6:$H$101,D302))</f>
        <v/>
      </c>
      <c r="G302" s="26">
        <f>COS(2*PI()*$C$3*B302)</f>
        <v/>
      </c>
      <c r="H302" s="26">
        <f>SIN(2*PI()*$C$3*B302)</f>
        <v/>
      </c>
      <c r="I302" s="26">
        <f>E302*G302+F302*H302</f>
        <v/>
      </c>
    </row>
    <row r="303">
      <c r="A303" s="7" t="n">
        <v>296</v>
      </c>
      <c r="B303" s="26">
        <f>(A303-1)/2000*$C$2</f>
        <v/>
      </c>
      <c r="C303" s="7">
        <f>INDEX(Bits!$E$25:$E$124,INT(B303)+1)</f>
        <v/>
      </c>
      <c r="D303" s="7">
        <f>MAX(1,MIN(INT(B303/$C$4)+1,$C$5))</f>
        <v/>
      </c>
      <c r="E303" s="26">
        <f>IF($C$5=0,0,INDEX(Symboles!$G$6:$G$101,D303))</f>
        <v/>
      </c>
      <c r="F303" s="26">
        <f>IF($C$5=0,0,INDEX(Symboles!$H$6:$H$101,D303))</f>
        <v/>
      </c>
      <c r="G303" s="26">
        <f>COS(2*PI()*$C$3*B303)</f>
        <v/>
      </c>
      <c r="H303" s="26">
        <f>SIN(2*PI()*$C$3*B303)</f>
        <v/>
      </c>
      <c r="I303" s="26">
        <f>E303*G303+F303*H303</f>
        <v/>
      </c>
    </row>
    <row r="304">
      <c r="A304" s="7" t="n">
        <v>297</v>
      </c>
      <c r="B304" s="26">
        <f>(A304-1)/2000*$C$2</f>
        <v/>
      </c>
      <c r="C304" s="7">
        <f>INDEX(Bits!$E$25:$E$124,INT(B304)+1)</f>
        <v/>
      </c>
      <c r="D304" s="7">
        <f>MAX(1,MIN(INT(B304/$C$4)+1,$C$5))</f>
        <v/>
      </c>
      <c r="E304" s="26">
        <f>IF($C$5=0,0,INDEX(Symboles!$G$6:$G$101,D304))</f>
        <v/>
      </c>
      <c r="F304" s="26">
        <f>IF($C$5=0,0,INDEX(Symboles!$H$6:$H$101,D304))</f>
        <v/>
      </c>
      <c r="G304" s="26">
        <f>COS(2*PI()*$C$3*B304)</f>
        <v/>
      </c>
      <c r="H304" s="26">
        <f>SIN(2*PI()*$C$3*B304)</f>
        <v/>
      </c>
      <c r="I304" s="26">
        <f>E304*G304+F304*H304</f>
        <v/>
      </c>
    </row>
    <row r="305">
      <c r="A305" s="7" t="n">
        <v>298</v>
      </c>
      <c r="B305" s="26">
        <f>(A305-1)/2000*$C$2</f>
        <v/>
      </c>
      <c r="C305" s="7">
        <f>INDEX(Bits!$E$25:$E$124,INT(B305)+1)</f>
        <v/>
      </c>
      <c r="D305" s="7">
        <f>MAX(1,MIN(INT(B305/$C$4)+1,$C$5))</f>
        <v/>
      </c>
      <c r="E305" s="26">
        <f>IF($C$5=0,0,INDEX(Symboles!$G$6:$G$101,D305))</f>
        <v/>
      </c>
      <c r="F305" s="26">
        <f>IF($C$5=0,0,INDEX(Symboles!$H$6:$H$101,D305))</f>
        <v/>
      </c>
      <c r="G305" s="26">
        <f>COS(2*PI()*$C$3*B305)</f>
        <v/>
      </c>
      <c r="H305" s="26">
        <f>SIN(2*PI()*$C$3*B305)</f>
        <v/>
      </c>
      <c r="I305" s="26">
        <f>E305*G305+F305*H305</f>
        <v/>
      </c>
    </row>
    <row r="306">
      <c r="A306" s="7" t="n">
        <v>299</v>
      </c>
      <c r="B306" s="26">
        <f>(A306-1)/2000*$C$2</f>
        <v/>
      </c>
      <c r="C306" s="7">
        <f>INDEX(Bits!$E$25:$E$124,INT(B306)+1)</f>
        <v/>
      </c>
      <c r="D306" s="7">
        <f>MAX(1,MIN(INT(B306/$C$4)+1,$C$5))</f>
        <v/>
      </c>
      <c r="E306" s="26">
        <f>IF($C$5=0,0,INDEX(Symboles!$G$6:$G$101,D306))</f>
        <v/>
      </c>
      <c r="F306" s="26">
        <f>IF($C$5=0,0,INDEX(Symboles!$H$6:$H$101,D306))</f>
        <v/>
      </c>
      <c r="G306" s="26">
        <f>COS(2*PI()*$C$3*B306)</f>
        <v/>
      </c>
      <c r="H306" s="26">
        <f>SIN(2*PI()*$C$3*B306)</f>
        <v/>
      </c>
      <c r="I306" s="26">
        <f>E306*G306+F306*H306</f>
        <v/>
      </c>
    </row>
    <row r="307">
      <c r="A307" s="7" t="n">
        <v>300</v>
      </c>
      <c r="B307" s="26">
        <f>(A307-1)/2000*$C$2</f>
        <v/>
      </c>
      <c r="C307" s="7">
        <f>INDEX(Bits!$E$25:$E$124,INT(B307)+1)</f>
        <v/>
      </c>
      <c r="D307" s="7">
        <f>MAX(1,MIN(INT(B307/$C$4)+1,$C$5))</f>
        <v/>
      </c>
      <c r="E307" s="26">
        <f>IF($C$5=0,0,INDEX(Symboles!$G$6:$G$101,D307))</f>
        <v/>
      </c>
      <c r="F307" s="26">
        <f>IF($C$5=0,0,INDEX(Symboles!$H$6:$H$101,D307))</f>
        <v/>
      </c>
      <c r="G307" s="26">
        <f>COS(2*PI()*$C$3*B307)</f>
        <v/>
      </c>
      <c r="H307" s="26">
        <f>SIN(2*PI()*$C$3*B307)</f>
        <v/>
      </c>
      <c r="I307" s="26">
        <f>E307*G307+F307*H307</f>
        <v/>
      </c>
    </row>
    <row r="308">
      <c r="A308" s="7" t="n">
        <v>301</v>
      </c>
      <c r="B308" s="26">
        <f>(A308-1)/2000*$C$2</f>
        <v/>
      </c>
      <c r="C308" s="7">
        <f>INDEX(Bits!$E$25:$E$124,INT(B308)+1)</f>
        <v/>
      </c>
      <c r="D308" s="7">
        <f>MAX(1,MIN(INT(B308/$C$4)+1,$C$5))</f>
        <v/>
      </c>
      <c r="E308" s="26">
        <f>IF($C$5=0,0,INDEX(Symboles!$G$6:$G$101,D308))</f>
        <v/>
      </c>
      <c r="F308" s="26">
        <f>IF($C$5=0,0,INDEX(Symboles!$H$6:$H$101,D308))</f>
        <v/>
      </c>
      <c r="G308" s="26">
        <f>COS(2*PI()*$C$3*B308)</f>
        <v/>
      </c>
      <c r="H308" s="26">
        <f>SIN(2*PI()*$C$3*B308)</f>
        <v/>
      </c>
      <c r="I308" s="26">
        <f>E308*G308+F308*H308</f>
        <v/>
      </c>
    </row>
    <row r="309">
      <c r="A309" s="7" t="n">
        <v>302</v>
      </c>
      <c r="B309" s="26">
        <f>(A309-1)/2000*$C$2</f>
        <v/>
      </c>
      <c r="C309" s="7">
        <f>INDEX(Bits!$E$25:$E$124,INT(B309)+1)</f>
        <v/>
      </c>
      <c r="D309" s="7">
        <f>MAX(1,MIN(INT(B309/$C$4)+1,$C$5))</f>
        <v/>
      </c>
      <c r="E309" s="26">
        <f>IF($C$5=0,0,INDEX(Symboles!$G$6:$G$101,D309))</f>
        <v/>
      </c>
      <c r="F309" s="26">
        <f>IF($C$5=0,0,INDEX(Symboles!$H$6:$H$101,D309))</f>
        <v/>
      </c>
      <c r="G309" s="26">
        <f>COS(2*PI()*$C$3*B309)</f>
        <v/>
      </c>
      <c r="H309" s="26">
        <f>SIN(2*PI()*$C$3*B309)</f>
        <v/>
      </c>
      <c r="I309" s="26">
        <f>E309*G309+F309*H309</f>
        <v/>
      </c>
    </row>
    <row r="310">
      <c r="A310" s="7" t="n">
        <v>303</v>
      </c>
      <c r="B310" s="26">
        <f>(A310-1)/2000*$C$2</f>
        <v/>
      </c>
      <c r="C310" s="7">
        <f>INDEX(Bits!$E$25:$E$124,INT(B310)+1)</f>
        <v/>
      </c>
      <c r="D310" s="7">
        <f>MAX(1,MIN(INT(B310/$C$4)+1,$C$5))</f>
        <v/>
      </c>
      <c r="E310" s="26">
        <f>IF($C$5=0,0,INDEX(Symboles!$G$6:$G$101,D310))</f>
        <v/>
      </c>
      <c r="F310" s="26">
        <f>IF($C$5=0,0,INDEX(Symboles!$H$6:$H$101,D310))</f>
        <v/>
      </c>
      <c r="G310" s="26">
        <f>COS(2*PI()*$C$3*B310)</f>
        <v/>
      </c>
      <c r="H310" s="26">
        <f>SIN(2*PI()*$C$3*B310)</f>
        <v/>
      </c>
      <c r="I310" s="26">
        <f>E310*G310+F310*H310</f>
        <v/>
      </c>
    </row>
    <row r="311">
      <c r="A311" s="7" t="n">
        <v>304</v>
      </c>
      <c r="B311" s="26">
        <f>(A311-1)/2000*$C$2</f>
        <v/>
      </c>
      <c r="C311" s="7">
        <f>INDEX(Bits!$E$25:$E$124,INT(B311)+1)</f>
        <v/>
      </c>
      <c r="D311" s="7">
        <f>MAX(1,MIN(INT(B311/$C$4)+1,$C$5))</f>
        <v/>
      </c>
      <c r="E311" s="26">
        <f>IF($C$5=0,0,INDEX(Symboles!$G$6:$G$101,D311))</f>
        <v/>
      </c>
      <c r="F311" s="26">
        <f>IF($C$5=0,0,INDEX(Symboles!$H$6:$H$101,D311))</f>
        <v/>
      </c>
      <c r="G311" s="26">
        <f>COS(2*PI()*$C$3*B311)</f>
        <v/>
      </c>
      <c r="H311" s="26">
        <f>SIN(2*PI()*$C$3*B311)</f>
        <v/>
      </c>
      <c r="I311" s="26">
        <f>E311*G311+F311*H311</f>
        <v/>
      </c>
    </row>
    <row r="312">
      <c r="A312" s="7" t="n">
        <v>305</v>
      </c>
      <c r="B312" s="26">
        <f>(A312-1)/2000*$C$2</f>
        <v/>
      </c>
      <c r="C312" s="7">
        <f>INDEX(Bits!$E$25:$E$124,INT(B312)+1)</f>
        <v/>
      </c>
      <c r="D312" s="7">
        <f>MAX(1,MIN(INT(B312/$C$4)+1,$C$5))</f>
        <v/>
      </c>
      <c r="E312" s="26">
        <f>IF($C$5=0,0,INDEX(Symboles!$G$6:$G$101,D312))</f>
        <v/>
      </c>
      <c r="F312" s="26">
        <f>IF($C$5=0,0,INDEX(Symboles!$H$6:$H$101,D312))</f>
        <v/>
      </c>
      <c r="G312" s="26">
        <f>COS(2*PI()*$C$3*B312)</f>
        <v/>
      </c>
      <c r="H312" s="26">
        <f>SIN(2*PI()*$C$3*B312)</f>
        <v/>
      </c>
      <c r="I312" s="26">
        <f>E312*G312+F312*H312</f>
        <v/>
      </c>
    </row>
    <row r="313">
      <c r="A313" s="7" t="n">
        <v>306</v>
      </c>
      <c r="B313" s="26">
        <f>(A313-1)/2000*$C$2</f>
        <v/>
      </c>
      <c r="C313" s="7">
        <f>INDEX(Bits!$E$25:$E$124,INT(B313)+1)</f>
        <v/>
      </c>
      <c r="D313" s="7">
        <f>MAX(1,MIN(INT(B313/$C$4)+1,$C$5))</f>
        <v/>
      </c>
      <c r="E313" s="26">
        <f>IF($C$5=0,0,INDEX(Symboles!$G$6:$G$101,D313))</f>
        <v/>
      </c>
      <c r="F313" s="26">
        <f>IF($C$5=0,0,INDEX(Symboles!$H$6:$H$101,D313))</f>
        <v/>
      </c>
      <c r="G313" s="26">
        <f>COS(2*PI()*$C$3*B313)</f>
        <v/>
      </c>
      <c r="H313" s="26">
        <f>SIN(2*PI()*$C$3*B313)</f>
        <v/>
      </c>
      <c r="I313" s="26">
        <f>E313*G313+F313*H313</f>
        <v/>
      </c>
    </row>
    <row r="314">
      <c r="A314" s="7" t="n">
        <v>307</v>
      </c>
      <c r="B314" s="26">
        <f>(A314-1)/2000*$C$2</f>
        <v/>
      </c>
      <c r="C314" s="7">
        <f>INDEX(Bits!$E$25:$E$124,INT(B314)+1)</f>
        <v/>
      </c>
      <c r="D314" s="7">
        <f>MAX(1,MIN(INT(B314/$C$4)+1,$C$5))</f>
        <v/>
      </c>
      <c r="E314" s="26">
        <f>IF($C$5=0,0,INDEX(Symboles!$G$6:$G$101,D314))</f>
        <v/>
      </c>
      <c r="F314" s="26">
        <f>IF($C$5=0,0,INDEX(Symboles!$H$6:$H$101,D314))</f>
        <v/>
      </c>
      <c r="G314" s="26">
        <f>COS(2*PI()*$C$3*B314)</f>
        <v/>
      </c>
      <c r="H314" s="26">
        <f>SIN(2*PI()*$C$3*B314)</f>
        <v/>
      </c>
      <c r="I314" s="26">
        <f>E314*G314+F314*H314</f>
        <v/>
      </c>
    </row>
    <row r="315">
      <c r="A315" s="7" t="n">
        <v>308</v>
      </c>
      <c r="B315" s="26">
        <f>(A315-1)/2000*$C$2</f>
        <v/>
      </c>
      <c r="C315" s="7">
        <f>INDEX(Bits!$E$25:$E$124,INT(B315)+1)</f>
        <v/>
      </c>
      <c r="D315" s="7">
        <f>MAX(1,MIN(INT(B315/$C$4)+1,$C$5))</f>
        <v/>
      </c>
      <c r="E315" s="26">
        <f>IF($C$5=0,0,INDEX(Symboles!$G$6:$G$101,D315))</f>
        <v/>
      </c>
      <c r="F315" s="26">
        <f>IF($C$5=0,0,INDEX(Symboles!$H$6:$H$101,D315))</f>
        <v/>
      </c>
      <c r="G315" s="26">
        <f>COS(2*PI()*$C$3*B315)</f>
        <v/>
      </c>
      <c r="H315" s="26">
        <f>SIN(2*PI()*$C$3*B315)</f>
        <v/>
      </c>
      <c r="I315" s="26">
        <f>E315*G315+F315*H315</f>
        <v/>
      </c>
    </row>
    <row r="316">
      <c r="A316" s="7" t="n">
        <v>309</v>
      </c>
      <c r="B316" s="26">
        <f>(A316-1)/2000*$C$2</f>
        <v/>
      </c>
      <c r="C316" s="7">
        <f>INDEX(Bits!$E$25:$E$124,INT(B316)+1)</f>
        <v/>
      </c>
      <c r="D316" s="7">
        <f>MAX(1,MIN(INT(B316/$C$4)+1,$C$5))</f>
        <v/>
      </c>
      <c r="E316" s="26">
        <f>IF($C$5=0,0,INDEX(Symboles!$G$6:$G$101,D316))</f>
        <v/>
      </c>
      <c r="F316" s="26">
        <f>IF($C$5=0,0,INDEX(Symboles!$H$6:$H$101,D316))</f>
        <v/>
      </c>
      <c r="G316" s="26">
        <f>COS(2*PI()*$C$3*B316)</f>
        <v/>
      </c>
      <c r="H316" s="26">
        <f>SIN(2*PI()*$C$3*B316)</f>
        <v/>
      </c>
      <c r="I316" s="26">
        <f>E316*G316+F316*H316</f>
        <v/>
      </c>
    </row>
    <row r="317">
      <c r="A317" s="7" t="n">
        <v>310</v>
      </c>
      <c r="B317" s="26">
        <f>(A317-1)/2000*$C$2</f>
        <v/>
      </c>
      <c r="C317" s="7">
        <f>INDEX(Bits!$E$25:$E$124,INT(B317)+1)</f>
        <v/>
      </c>
      <c r="D317" s="7">
        <f>MAX(1,MIN(INT(B317/$C$4)+1,$C$5))</f>
        <v/>
      </c>
      <c r="E317" s="26">
        <f>IF($C$5=0,0,INDEX(Symboles!$G$6:$G$101,D317))</f>
        <v/>
      </c>
      <c r="F317" s="26">
        <f>IF($C$5=0,0,INDEX(Symboles!$H$6:$H$101,D317))</f>
        <v/>
      </c>
      <c r="G317" s="26">
        <f>COS(2*PI()*$C$3*B317)</f>
        <v/>
      </c>
      <c r="H317" s="26">
        <f>SIN(2*PI()*$C$3*B317)</f>
        <v/>
      </c>
      <c r="I317" s="26">
        <f>E317*G317+F317*H317</f>
        <v/>
      </c>
    </row>
    <row r="318">
      <c r="A318" s="7" t="n">
        <v>311</v>
      </c>
      <c r="B318" s="26">
        <f>(A318-1)/2000*$C$2</f>
        <v/>
      </c>
      <c r="C318" s="7">
        <f>INDEX(Bits!$E$25:$E$124,INT(B318)+1)</f>
        <v/>
      </c>
      <c r="D318" s="7">
        <f>MAX(1,MIN(INT(B318/$C$4)+1,$C$5))</f>
        <v/>
      </c>
      <c r="E318" s="26">
        <f>IF($C$5=0,0,INDEX(Symboles!$G$6:$G$101,D318))</f>
        <v/>
      </c>
      <c r="F318" s="26">
        <f>IF($C$5=0,0,INDEX(Symboles!$H$6:$H$101,D318))</f>
        <v/>
      </c>
      <c r="G318" s="26">
        <f>COS(2*PI()*$C$3*B318)</f>
        <v/>
      </c>
      <c r="H318" s="26">
        <f>SIN(2*PI()*$C$3*B318)</f>
        <v/>
      </c>
      <c r="I318" s="26">
        <f>E318*G318+F318*H318</f>
        <v/>
      </c>
    </row>
    <row r="319">
      <c r="A319" s="7" t="n">
        <v>312</v>
      </c>
      <c r="B319" s="26">
        <f>(A319-1)/2000*$C$2</f>
        <v/>
      </c>
      <c r="C319" s="7">
        <f>INDEX(Bits!$E$25:$E$124,INT(B319)+1)</f>
        <v/>
      </c>
      <c r="D319" s="7">
        <f>MAX(1,MIN(INT(B319/$C$4)+1,$C$5))</f>
        <v/>
      </c>
      <c r="E319" s="26">
        <f>IF($C$5=0,0,INDEX(Symboles!$G$6:$G$101,D319))</f>
        <v/>
      </c>
      <c r="F319" s="26">
        <f>IF($C$5=0,0,INDEX(Symboles!$H$6:$H$101,D319))</f>
        <v/>
      </c>
      <c r="G319" s="26">
        <f>COS(2*PI()*$C$3*B319)</f>
        <v/>
      </c>
      <c r="H319" s="26">
        <f>SIN(2*PI()*$C$3*B319)</f>
        <v/>
      </c>
      <c r="I319" s="26">
        <f>E319*G319+F319*H319</f>
        <v/>
      </c>
    </row>
    <row r="320">
      <c r="A320" s="7" t="n">
        <v>313</v>
      </c>
      <c r="B320" s="26">
        <f>(A320-1)/2000*$C$2</f>
        <v/>
      </c>
      <c r="C320" s="7">
        <f>INDEX(Bits!$E$25:$E$124,INT(B320)+1)</f>
        <v/>
      </c>
      <c r="D320" s="7">
        <f>MAX(1,MIN(INT(B320/$C$4)+1,$C$5))</f>
        <v/>
      </c>
      <c r="E320" s="26">
        <f>IF($C$5=0,0,INDEX(Symboles!$G$6:$G$101,D320))</f>
        <v/>
      </c>
      <c r="F320" s="26">
        <f>IF($C$5=0,0,INDEX(Symboles!$H$6:$H$101,D320))</f>
        <v/>
      </c>
      <c r="G320" s="26">
        <f>COS(2*PI()*$C$3*B320)</f>
        <v/>
      </c>
      <c r="H320" s="26">
        <f>SIN(2*PI()*$C$3*B320)</f>
        <v/>
      </c>
      <c r="I320" s="26">
        <f>E320*G320+F320*H320</f>
        <v/>
      </c>
    </row>
    <row r="321">
      <c r="A321" s="7" t="n">
        <v>314</v>
      </c>
      <c r="B321" s="26">
        <f>(A321-1)/2000*$C$2</f>
        <v/>
      </c>
      <c r="C321" s="7">
        <f>INDEX(Bits!$E$25:$E$124,INT(B321)+1)</f>
        <v/>
      </c>
      <c r="D321" s="7">
        <f>MAX(1,MIN(INT(B321/$C$4)+1,$C$5))</f>
        <v/>
      </c>
      <c r="E321" s="26">
        <f>IF($C$5=0,0,INDEX(Symboles!$G$6:$G$101,D321))</f>
        <v/>
      </c>
      <c r="F321" s="26">
        <f>IF($C$5=0,0,INDEX(Symboles!$H$6:$H$101,D321))</f>
        <v/>
      </c>
      <c r="G321" s="26">
        <f>COS(2*PI()*$C$3*B321)</f>
        <v/>
      </c>
      <c r="H321" s="26">
        <f>SIN(2*PI()*$C$3*B321)</f>
        <v/>
      </c>
      <c r="I321" s="26">
        <f>E321*G321+F321*H321</f>
        <v/>
      </c>
    </row>
    <row r="322">
      <c r="A322" s="7" t="n">
        <v>315</v>
      </c>
      <c r="B322" s="26">
        <f>(A322-1)/2000*$C$2</f>
        <v/>
      </c>
      <c r="C322" s="7">
        <f>INDEX(Bits!$E$25:$E$124,INT(B322)+1)</f>
        <v/>
      </c>
      <c r="D322" s="7">
        <f>MAX(1,MIN(INT(B322/$C$4)+1,$C$5))</f>
        <v/>
      </c>
      <c r="E322" s="26">
        <f>IF($C$5=0,0,INDEX(Symboles!$G$6:$G$101,D322))</f>
        <v/>
      </c>
      <c r="F322" s="26">
        <f>IF($C$5=0,0,INDEX(Symboles!$H$6:$H$101,D322))</f>
        <v/>
      </c>
      <c r="G322" s="26">
        <f>COS(2*PI()*$C$3*B322)</f>
        <v/>
      </c>
      <c r="H322" s="26">
        <f>SIN(2*PI()*$C$3*B322)</f>
        <v/>
      </c>
      <c r="I322" s="26">
        <f>E322*G322+F322*H322</f>
        <v/>
      </c>
    </row>
    <row r="323">
      <c r="A323" s="7" t="n">
        <v>316</v>
      </c>
      <c r="B323" s="26">
        <f>(A323-1)/2000*$C$2</f>
        <v/>
      </c>
      <c r="C323" s="7">
        <f>INDEX(Bits!$E$25:$E$124,INT(B323)+1)</f>
        <v/>
      </c>
      <c r="D323" s="7">
        <f>MAX(1,MIN(INT(B323/$C$4)+1,$C$5))</f>
        <v/>
      </c>
      <c r="E323" s="26">
        <f>IF($C$5=0,0,INDEX(Symboles!$G$6:$G$101,D323))</f>
        <v/>
      </c>
      <c r="F323" s="26">
        <f>IF($C$5=0,0,INDEX(Symboles!$H$6:$H$101,D323))</f>
        <v/>
      </c>
      <c r="G323" s="26">
        <f>COS(2*PI()*$C$3*B323)</f>
        <v/>
      </c>
      <c r="H323" s="26">
        <f>SIN(2*PI()*$C$3*B323)</f>
        <v/>
      </c>
      <c r="I323" s="26">
        <f>E323*G323+F323*H323</f>
        <v/>
      </c>
    </row>
    <row r="324">
      <c r="A324" s="7" t="n">
        <v>317</v>
      </c>
      <c r="B324" s="26">
        <f>(A324-1)/2000*$C$2</f>
        <v/>
      </c>
      <c r="C324" s="7">
        <f>INDEX(Bits!$E$25:$E$124,INT(B324)+1)</f>
        <v/>
      </c>
      <c r="D324" s="7">
        <f>MAX(1,MIN(INT(B324/$C$4)+1,$C$5))</f>
        <v/>
      </c>
      <c r="E324" s="26">
        <f>IF($C$5=0,0,INDEX(Symboles!$G$6:$G$101,D324))</f>
        <v/>
      </c>
      <c r="F324" s="26">
        <f>IF($C$5=0,0,INDEX(Symboles!$H$6:$H$101,D324))</f>
        <v/>
      </c>
      <c r="G324" s="26">
        <f>COS(2*PI()*$C$3*B324)</f>
        <v/>
      </c>
      <c r="H324" s="26">
        <f>SIN(2*PI()*$C$3*B324)</f>
        <v/>
      </c>
      <c r="I324" s="26">
        <f>E324*G324+F324*H324</f>
        <v/>
      </c>
    </row>
    <row r="325">
      <c r="A325" s="7" t="n">
        <v>318</v>
      </c>
      <c r="B325" s="26">
        <f>(A325-1)/2000*$C$2</f>
        <v/>
      </c>
      <c r="C325" s="7">
        <f>INDEX(Bits!$E$25:$E$124,INT(B325)+1)</f>
        <v/>
      </c>
      <c r="D325" s="7">
        <f>MAX(1,MIN(INT(B325/$C$4)+1,$C$5))</f>
        <v/>
      </c>
      <c r="E325" s="26">
        <f>IF($C$5=0,0,INDEX(Symboles!$G$6:$G$101,D325))</f>
        <v/>
      </c>
      <c r="F325" s="26">
        <f>IF($C$5=0,0,INDEX(Symboles!$H$6:$H$101,D325))</f>
        <v/>
      </c>
      <c r="G325" s="26">
        <f>COS(2*PI()*$C$3*B325)</f>
        <v/>
      </c>
      <c r="H325" s="26">
        <f>SIN(2*PI()*$C$3*B325)</f>
        <v/>
      </c>
      <c r="I325" s="26">
        <f>E325*G325+F325*H325</f>
        <v/>
      </c>
    </row>
    <row r="326">
      <c r="A326" s="7" t="n">
        <v>319</v>
      </c>
      <c r="B326" s="26">
        <f>(A326-1)/2000*$C$2</f>
        <v/>
      </c>
      <c r="C326" s="7">
        <f>INDEX(Bits!$E$25:$E$124,INT(B326)+1)</f>
        <v/>
      </c>
      <c r="D326" s="7">
        <f>MAX(1,MIN(INT(B326/$C$4)+1,$C$5))</f>
        <v/>
      </c>
      <c r="E326" s="26">
        <f>IF($C$5=0,0,INDEX(Symboles!$G$6:$G$101,D326))</f>
        <v/>
      </c>
      <c r="F326" s="26">
        <f>IF($C$5=0,0,INDEX(Symboles!$H$6:$H$101,D326))</f>
        <v/>
      </c>
      <c r="G326" s="26">
        <f>COS(2*PI()*$C$3*B326)</f>
        <v/>
      </c>
      <c r="H326" s="26">
        <f>SIN(2*PI()*$C$3*B326)</f>
        <v/>
      </c>
      <c r="I326" s="26">
        <f>E326*G326+F326*H326</f>
        <v/>
      </c>
    </row>
    <row r="327">
      <c r="A327" s="7" t="n">
        <v>320</v>
      </c>
      <c r="B327" s="26">
        <f>(A327-1)/2000*$C$2</f>
        <v/>
      </c>
      <c r="C327" s="7">
        <f>INDEX(Bits!$E$25:$E$124,INT(B327)+1)</f>
        <v/>
      </c>
      <c r="D327" s="7">
        <f>MAX(1,MIN(INT(B327/$C$4)+1,$C$5))</f>
        <v/>
      </c>
      <c r="E327" s="26">
        <f>IF($C$5=0,0,INDEX(Symboles!$G$6:$G$101,D327))</f>
        <v/>
      </c>
      <c r="F327" s="26">
        <f>IF($C$5=0,0,INDEX(Symboles!$H$6:$H$101,D327))</f>
        <v/>
      </c>
      <c r="G327" s="26">
        <f>COS(2*PI()*$C$3*B327)</f>
        <v/>
      </c>
      <c r="H327" s="26">
        <f>SIN(2*PI()*$C$3*B327)</f>
        <v/>
      </c>
      <c r="I327" s="26">
        <f>E327*G327+F327*H327</f>
        <v/>
      </c>
    </row>
    <row r="328">
      <c r="A328" s="7" t="n">
        <v>321</v>
      </c>
      <c r="B328" s="26">
        <f>(A328-1)/2000*$C$2</f>
        <v/>
      </c>
      <c r="C328" s="7">
        <f>INDEX(Bits!$E$25:$E$124,INT(B328)+1)</f>
        <v/>
      </c>
      <c r="D328" s="7">
        <f>MAX(1,MIN(INT(B328/$C$4)+1,$C$5))</f>
        <v/>
      </c>
      <c r="E328" s="26">
        <f>IF($C$5=0,0,INDEX(Symboles!$G$6:$G$101,D328))</f>
        <v/>
      </c>
      <c r="F328" s="26">
        <f>IF($C$5=0,0,INDEX(Symboles!$H$6:$H$101,D328))</f>
        <v/>
      </c>
      <c r="G328" s="26">
        <f>COS(2*PI()*$C$3*B328)</f>
        <v/>
      </c>
      <c r="H328" s="26">
        <f>SIN(2*PI()*$C$3*B328)</f>
        <v/>
      </c>
      <c r="I328" s="26">
        <f>E328*G328+F328*H328</f>
        <v/>
      </c>
    </row>
    <row r="329">
      <c r="A329" s="7" t="n">
        <v>322</v>
      </c>
      <c r="B329" s="26">
        <f>(A329-1)/2000*$C$2</f>
        <v/>
      </c>
      <c r="C329" s="7">
        <f>INDEX(Bits!$E$25:$E$124,INT(B329)+1)</f>
        <v/>
      </c>
      <c r="D329" s="7">
        <f>MAX(1,MIN(INT(B329/$C$4)+1,$C$5))</f>
        <v/>
      </c>
      <c r="E329" s="26">
        <f>IF($C$5=0,0,INDEX(Symboles!$G$6:$G$101,D329))</f>
        <v/>
      </c>
      <c r="F329" s="26">
        <f>IF($C$5=0,0,INDEX(Symboles!$H$6:$H$101,D329))</f>
        <v/>
      </c>
      <c r="G329" s="26">
        <f>COS(2*PI()*$C$3*B329)</f>
        <v/>
      </c>
      <c r="H329" s="26">
        <f>SIN(2*PI()*$C$3*B329)</f>
        <v/>
      </c>
      <c r="I329" s="26">
        <f>E329*G329+F329*H329</f>
        <v/>
      </c>
    </row>
    <row r="330">
      <c r="A330" s="7" t="n">
        <v>323</v>
      </c>
      <c r="B330" s="26">
        <f>(A330-1)/2000*$C$2</f>
        <v/>
      </c>
      <c r="C330" s="7">
        <f>INDEX(Bits!$E$25:$E$124,INT(B330)+1)</f>
        <v/>
      </c>
      <c r="D330" s="7">
        <f>MAX(1,MIN(INT(B330/$C$4)+1,$C$5))</f>
        <v/>
      </c>
      <c r="E330" s="26">
        <f>IF($C$5=0,0,INDEX(Symboles!$G$6:$G$101,D330))</f>
        <v/>
      </c>
      <c r="F330" s="26">
        <f>IF($C$5=0,0,INDEX(Symboles!$H$6:$H$101,D330))</f>
        <v/>
      </c>
      <c r="G330" s="26">
        <f>COS(2*PI()*$C$3*B330)</f>
        <v/>
      </c>
      <c r="H330" s="26">
        <f>SIN(2*PI()*$C$3*B330)</f>
        <v/>
      </c>
      <c r="I330" s="26">
        <f>E330*G330+F330*H330</f>
        <v/>
      </c>
    </row>
    <row r="331">
      <c r="A331" s="7" t="n">
        <v>324</v>
      </c>
      <c r="B331" s="26">
        <f>(A331-1)/2000*$C$2</f>
        <v/>
      </c>
      <c r="C331" s="7">
        <f>INDEX(Bits!$E$25:$E$124,INT(B331)+1)</f>
        <v/>
      </c>
      <c r="D331" s="7">
        <f>MAX(1,MIN(INT(B331/$C$4)+1,$C$5))</f>
        <v/>
      </c>
      <c r="E331" s="26">
        <f>IF($C$5=0,0,INDEX(Symboles!$G$6:$G$101,D331))</f>
        <v/>
      </c>
      <c r="F331" s="26">
        <f>IF($C$5=0,0,INDEX(Symboles!$H$6:$H$101,D331))</f>
        <v/>
      </c>
      <c r="G331" s="26">
        <f>COS(2*PI()*$C$3*B331)</f>
        <v/>
      </c>
      <c r="H331" s="26">
        <f>SIN(2*PI()*$C$3*B331)</f>
        <v/>
      </c>
      <c r="I331" s="26">
        <f>E331*G331+F331*H331</f>
        <v/>
      </c>
    </row>
    <row r="332">
      <c r="A332" s="7" t="n">
        <v>325</v>
      </c>
      <c r="B332" s="26">
        <f>(A332-1)/2000*$C$2</f>
        <v/>
      </c>
      <c r="C332" s="7">
        <f>INDEX(Bits!$E$25:$E$124,INT(B332)+1)</f>
        <v/>
      </c>
      <c r="D332" s="7">
        <f>MAX(1,MIN(INT(B332/$C$4)+1,$C$5))</f>
        <v/>
      </c>
      <c r="E332" s="26">
        <f>IF($C$5=0,0,INDEX(Symboles!$G$6:$G$101,D332))</f>
        <v/>
      </c>
      <c r="F332" s="26">
        <f>IF($C$5=0,0,INDEX(Symboles!$H$6:$H$101,D332))</f>
        <v/>
      </c>
      <c r="G332" s="26">
        <f>COS(2*PI()*$C$3*B332)</f>
        <v/>
      </c>
      <c r="H332" s="26">
        <f>SIN(2*PI()*$C$3*B332)</f>
        <v/>
      </c>
      <c r="I332" s="26">
        <f>E332*G332+F332*H332</f>
        <v/>
      </c>
    </row>
    <row r="333">
      <c r="A333" s="7" t="n">
        <v>326</v>
      </c>
      <c r="B333" s="26">
        <f>(A333-1)/2000*$C$2</f>
        <v/>
      </c>
      <c r="C333" s="7">
        <f>INDEX(Bits!$E$25:$E$124,INT(B333)+1)</f>
        <v/>
      </c>
      <c r="D333" s="7">
        <f>MAX(1,MIN(INT(B333/$C$4)+1,$C$5))</f>
        <v/>
      </c>
      <c r="E333" s="26">
        <f>IF($C$5=0,0,INDEX(Symboles!$G$6:$G$101,D333))</f>
        <v/>
      </c>
      <c r="F333" s="26">
        <f>IF($C$5=0,0,INDEX(Symboles!$H$6:$H$101,D333))</f>
        <v/>
      </c>
      <c r="G333" s="26">
        <f>COS(2*PI()*$C$3*B333)</f>
        <v/>
      </c>
      <c r="H333" s="26">
        <f>SIN(2*PI()*$C$3*B333)</f>
        <v/>
      </c>
      <c r="I333" s="26">
        <f>E333*G333+F333*H333</f>
        <v/>
      </c>
    </row>
    <row r="334">
      <c r="A334" s="7" t="n">
        <v>327</v>
      </c>
      <c r="B334" s="26">
        <f>(A334-1)/2000*$C$2</f>
        <v/>
      </c>
      <c r="C334" s="7">
        <f>INDEX(Bits!$E$25:$E$124,INT(B334)+1)</f>
        <v/>
      </c>
      <c r="D334" s="7">
        <f>MAX(1,MIN(INT(B334/$C$4)+1,$C$5))</f>
        <v/>
      </c>
      <c r="E334" s="26">
        <f>IF($C$5=0,0,INDEX(Symboles!$G$6:$G$101,D334))</f>
        <v/>
      </c>
      <c r="F334" s="26">
        <f>IF($C$5=0,0,INDEX(Symboles!$H$6:$H$101,D334))</f>
        <v/>
      </c>
      <c r="G334" s="26">
        <f>COS(2*PI()*$C$3*B334)</f>
        <v/>
      </c>
      <c r="H334" s="26">
        <f>SIN(2*PI()*$C$3*B334)</f>
        <v/>
      </c>
      <c r="I334" s="26">
        <f>E334*G334+F334*H334</f>
        <v/>
      </c>
    </row>
    <row r="335">
      <c r="A335" s="7" t="n">
        <v>328</v>
      </c>
      <c r="B335" s="26">
        <f>(A335-1)/2000*$C$2</f>
        <v/>
      </c>
      <c r="C335" s="7">
        <f>INDEX(Bits!$E$25:$E$124,INT(B335)+1)</f>
        <v/>
      </c>
      <c r="D335" s="7">
        <f>MAX(1,MIN(INT(B335/$C$4)+1,$C$5))</f>
        <v/>
      </c>
      <c r="E335" s="26">
        <f>IF($C$5=0,0,INDEX(Symboles!$G$6:$G$101,D335))</f>
        <v/>
      </c>
      <c r="F335" s="26">
        <f>IF($C$5=0,0,INDEX(Symboles!$H$6:$H$101,D335))</f>
        <v/>
      </c>
      <c r="G335" s="26">
        <f>COS(2*PI()*$C$3*B335)</f>
        <v/>
      </c>
      <c r="H335" s="26">
        <f>SIN(2*PI()*$C$3*B335)</f>
        <v/>
      </c>
      <c r="I335" s="26">
        <f>E335*G335+F335*H335</f>
        <v/>
      </c>
    </row>
    <row r="336">
      <c r="A336" s="7" t="n">
        <v>329</v>
      </c>
      <c r="B336" s="26">
        <f>(A336-1)/2000*$C$2</f>
        <v/>
      </c>
      <c r="C336" s="7">
        <f>INDEX(Bits!$E$25:$E$124,INT(B336)+1)</f>
        <v/>
      </c>
      <c r="D336" s="7">
        <f>MAX(1,MIN(INT(B336/$C$4)+1,$C$5))</f>
        <v/>
      </c>
      <c r="E336" s="26">
        <f>IF($C$5=0,0,INDEX(Symboles!$G$6:$G$101,D336))</f>
        <v/>
      </c>
      <c r="F336" s="26">
        <f>IF($C$5=0,0,INDEX(Symboles!$H$6:$H$101,D336))</f>
        <v/>
      </c>
      <c r="G336" s="26">
        <f>COS(2*PI()*$C$3*B336)</f>
        <v/>
      </c>
      <c r="H336" s="26">
        <f>SIN(2*PI()*$C$3*B336)</f>
        <v/>
      </c>
      <c r="I336" s="26">
        <f>E336*G336+F336*H336</f>
        <v/>
      </c>
    </row>
    <row r="337">
      <c r="A337" s="7" t="n">
        <v>330</v>
      </c>
      <c r="B337" s="26">
        <f>(A337-1)/2000*$C$2</f>
        <v/>
      </c>
      <c r="C337" s="7">
        <f>INDEX(Bits!$E$25:$E$124,INT(B337)+1)</f>
        <v/>
      </c>
      <c r="D337" s="7">
        <f>MAX(1,MIN(INT(B337/$C$4)+1,$C$5))</f>
        <v/>
      </c>
      <c r="E337" s="26">
        <f>IF($C$5=0,0,INDEX(Symboles!$G$6:$G$101,D337))</f>
        <v/>
      </c>
      <c r="F337" s="26">
        <f>IF($C$5=0,0,INDEX(Symboles!$H$6:$H$101,D337))</f>
        <v/>
      </c>
      <c r="G337" s="26">
        <f>COS(2*PI()*$C$3*B337)</f>
        <v/>
      </c>
      <c r="H337" s="26">
        <f>SIN(2*PI()*$C$3*B337)</f>
        <v/>
      </c>
      <c r="I337" s="26">
        <f>E337*G337+F337*H337</f>
        <v/>
      </c>
    </row>
    <row r="338">
      <c r="A338" s="7" t="n">
        <v>331</v>
      </c>
      <c r="B338" s="26">
        <f>(A338-1)/2000*$C$2</f>
        <v/>
      </c>
      <c r="C338" s="7">
        <f>INDEX(Bits!$E$25:$E$124,INT(B338)+1)</f>
        <v/>
      </c>
      <c r="D338" s="7">
        <f>MAX(1,MIN(INT(B338/$C$4)+1,$C$5))</f>
        <v/>
      </c>
      <c r="E338" s="26">
        <f>IF($C$5=0,0,INDEX(Symboles!$G$6:$G$101,D338))</f>
        <v/>
      </c>
      <c r="F338" s="26">
        <f>IF($C$5=0,0,INDEX(Symboles!$H$6:$H$101,D338))</f>
        <v/>
      </c>
      <c r="G338" s="26">
        <f>COS(2*PI()*$C$3*B338)</f>
        <v/>
      </c>
      <c r="H338" s="26">
        <f>SIN(2*PI()*$C$3*B338)</f>
        <v/>
      </c>
      <c r="I338" s="26">
        <f>E338*G338+F338*H338</f>
        <v/>
      </c>
    </row>
    <row r="339">
      <c r="A339" s="7" t="n">
        <v>332</v>
      </c>
      <c r="B339" s="26">
        <f>(A339-1)/2000*$C$2</f>
        <v/>
      </c>
      <c r="C339" s="7">
        <f>INDEX(Bits!$E$25:$E$124,INT(B339)+1)</f>
        <v/>
      </c>
      <c r="D339" s="7">
        <f>MAX(1,MIN(INT(B339/$C$4)+1,$C$5))</f>
        <v/>
      </c>
      <c r="E339" s="26">
        <f>IF($C$5=0,0,INDEX(Symboles!$G$6:$G$101,D339))</f>
        <v/>
      </c>
      <c r="F339" s="26">
        <f>IF($C$5=0,0,INDEX(Symboles!$H$6:$H$101,D339))</f>
        <v/>
      </c>
      <c r="G339" s="26">
        <f>COS(2*PI()*$C$3*B339)</f>
        <v/>
      </c>
      <c r="H339" s="26">
        <f>SIN(2*PI()*$C$3*B339)</f>
        <v/>
      </c>
      <c r="I339" s="26">
        <f>E339*G339+F339*H339</f>
        <v/>
      </c>
    </row>
    <row r="340">
      <c r="A340" s="7" t="n">
        <v>333</v>
      </c>
      <c r="B340" s="26">
        <f>(A340-1)/2000*$C$2</f>
        <v/>
      </c>
      <c r="C340" s="7">
        <f>INDEX(Bits!$E$25:$E$124,INT(B340)+1)</f>
        <v/>
      </c>
      <c r="D340" s="7">
        <f>MAX(1,MIN(INT(B340/$C$4)+1,$C$5))</f>
        <v/>
      </c>
      <c r="E340" s="26">
        <f>IF($C$5=0,0,INDEX(Symboles!$G$6:$G$101,D340))</f>
        <v/>
      </c>
      <c r="F340" s="26">
        <f>IF($C$5=0,0,INDEX(Symboles!$H$6:$H$101,D340))</f>
        <v/>
      </c>
      <c r="G340" s="26">
        <f>COS(2*PI()*$C$3*B340)</f>
        <v/>
      </c>
      <c r="H340" s="26">
        <f>SIN(2*PI()*$C$3*B340)</f>
        <v/>
      </c>
      <c r="I340" s="26">
        <f>E340*G340+F340*H340</f>
        <v/>
      </c>
    </row>
    <row r="341">
      <c r="A341" s="7" t="n">
        <v>334</v>
      </c>
      <c r="B341" s="26">
        <f>(A341-1)/2000*$C$2</f>
        <v/>
      </c>
      <c r="C341" s="7">
        <f>INDEX(Bits!$E$25:$E$124,INT(B341)+1)</f>
        <v/>
      </c>
      <c r="D341" s="7">
        <f>MAX(1,MIN(INT(B341/$C$4)+1,$C$5))</f>
        <v/>
      </c>
      <c r="E341" s="26">
        <f>IF($C$5=0,0,INDEX(Symboles!$G$6:$G$101,D341))</f>
        <v/>
      </c>
      <c r="F341" s="26">
        <f>IF($C$5=0,0,INDEX(Symboles!$H$6:$H$101,D341))</f>
        <v/>
      </c>
      <c r="G341" s="26">
        <f>COS(2*PI()*$C$3*B341)</f>
        <v/>
      </c>
      <c r="H341" s="26">
        <f>SIN(2*PI()*$C$3*B341)</f>
        <v/>
      </c>
      <c r="I341" s="26">
        <f>E341*G341+F341*H341</f>
        <v/>
      </c>
    </row>
    <row r="342">
      <c r="A342" s="7" t="n">
        <v>335</v>
      </c>
      <c r="B342" s="26">
        <f>(A342-1)/2000*$C$2</f>
        <v/>
      </c>
      <c r="C342" s="7">
        <f>INDEX(Bits!$E$25:$E$124,INT(B342)+1)</f>
        <v/>
      </c>
      <c r="D342" s="7">
        <f>MAX(1,MIN(INT(B342/$C$4)+1,$C$5))</f>
        <v/>
      </c>
      <c r="E342" s="26">
        <f>IF($C$5=0,0,INDEX(Symboles!$G$6:$G$101,D342))</f>
        <v/>
      </c>
      <c r="F342" s="26">
        <f>IF($C$5=0,0,INDEX(Symboles!$H$6:$H$101,D342))</f>
        <v/>
      </c>
      <c r="G342" s="26">
        <f>COS(2*PI()*$C$3*B342)</f>
        <v/>
      </c>
      <c r="H342" s="26">
        <f>SIN(2*PI()*$C$3*B342)</f>
        <v/>
      </c>
      <c r="I342" s="26">
        <f>E342*G342+F342*H342</f>
        <v/>
      </c>
    </row>
    <row r="343">
      <c r="A343" s="7" t="n">
        <v>336</v>
      </c>
      <c r="B343" s="26">
        <f>(A343-1)/2000*$C$2</f>
        <v/>
      </c>
      <c r="C343" s="7">
        <f>INDEX(Bits!$E$25:$E$124,INT(B343)+1)</f>
        <v/>
      </c>
      <c r="D343" s="7">
        <f>MAX(1,MIN(INT(B343/$C$4)+1,$C$5))</f>
        <v/>
      </c>
      <c r="E343" s="26">
        <f>IF($C$5=0,0,INDEX(Symboles!$G$6:$G$101,D343))</f>
        <v/>
      </c>
      <c r="F343" s="26">
        <f>IF($C$5=0,0,INDEX(Symboles!$H$6:$H$101,D343))</f>
        <v/>
      </c>
      <c r="G343" s="26">
        <f>COS(2*PI()*$C$3*B343)</f>
        <v/>
      </c>
      <c r="H343" s="26">
        <f>SIN(2*PI()*$C$3*B343)</f>
        <v/>
      </c>
      <c r="I343" s="26">
        <f>E343*G343+F343*H343</f>
        <v/>
      </c>
    </row>
    <row r="344">
      <c r="A344" s="7" t="n">
        <v>337</v>
      </c>
      <c r="B344" s="26">
        <f>(A344-1)/2000*$C$2</f>
        <v/>
      </c>
      <c r="C344" s="7">
        <f>INDEX(Bits!$E$25:$E$124,INT(B344)+1)</f>
        <v/>
      </c>
      <c r="D344" s="7">
        <f>MAX(1,MIN(INT(B344/$C$4)+1,$C$5))</f>
        <v/>
      </c>
      <c r="E344" s="26">
        <f>IF($C$5=0,0,INDEX(Symboles!$G$6:$G$101,D344))</f>
        <v/>
      </c>
      <c r="F344" s="26">
        <f>IF($C$5=0,0,INDEX(Symboles!$H$6:$H$101,D344))</f>
        <v/>
      </c>
      <c r="G344" s="26">
        <f>COS(2*PI()*$C$3*B344)</f>
        <v/>
      </c>
      <c r="H344" s="26">
        <f>SIN(2*PI()*$C$3*B344)</f>
        <v/>
      </c>
      <c r="I344" s="26">
        <f>E344*G344+F344*H344</f>
        <v/>
      </c>
    </row>
    <row r="345">
      <c r="A345" s="7" t="n">
        <v>338</v>
      </c>
      <c r="B345" s="26">
        <f>(A345-1)/2000*$C$2</f>
        <v/>
      </c>
      <c r="C345" s="7">
        <f>INDEX(Bits!$E$25:$E$124,INT(B345)+1)</f>
        <v/>
      </c>
      <c r="D345" s="7">
        <f>MAX(1,MIN(INT(B345/$C$4)+1,$C$5))</f>
        <v/>
      </c>
      <c r="E345" s="26">
        <f>IF($C$5=0,0,INDEX(Symboles!$G$6:$G$101,D345))</f>
        <v/>
      </c>
      <c r="F345" s="26">
        <f>IF($C$5=0,0,INDEX(Symboles!$H$6:$H$101,D345))</f>
        <v/>
      </c>
      <c r="G345" s="26">
        <f>COS(2*PI()*$C$3*B345)</f>
        <v/>
      </c>
      <c r="H345" s="26">
        <f>SIN(2*PI()*$C$3*B345)</f>
        <v/>
      </c>
      <c r="I345" s="26">
        <f>E345*G345+F345*H345</f>
        <v/>
      </c>
    </row>
    <row r="346">
      <c r="A346" s="7" t="n">
        <v>339</v>
      </c>
      <c r="B346" s="26">
        <f>(A346-1)/2000*$C$2</f>
        <v/>
      </c>
      <c r="C346" s="7">
        <f>INDEX(Bits!$E$25:$E$124,INT(B346)+1)</f>
        <v/>
      </c>
      <c r="D346" s="7">
        <f>MAX(1,MIN(INT(B346/$C$4)+1,$C$5))</f>
        <v/>
      </c>
      <c r="E346" s="26">
        <f>IF($C$5=0,0,INDEX(Symboles!$G$6:$G$101,D346))</f>
        <v/>
      </c>
      <c r="F346" s="26">
        <f>IF($C$5=0,0,INDEX(Symboles!$H$6:$H$101,D346))</f>
        <v/>
      </c>
      <c r="G346" s="26">
        <f>COS(2*PI()*$C$3*B346)</f>
        <v/>
      </c>
      <c r="H346" s="26">
        <f>SIN(2*PI()*$C$3*B346)</f>
        <v/>
      </c>
      <c r="I346" s="26">
        <f>E346*G346+F346*H346</f>
        <v/>
      </c>
    </row>
    <row r="347">
      <c r="A347" s="7" t="n">
        <v>340</v>
      </c>
      <c r="B347" s="26">
        <f>(A347-1)/2000*$C$2</f>
        <v/>
      </c>
      <c r="C347" s="7">
        <f>INDEX(Bits!$E$25:$E$124,INT(B347)+1)</f>
        <v/>
      </c>
      <c r="D347" s="7">
        <f>MAX(1,MIN(INT(B347/$C$4)+1,$C$5))</f>
        <v/>
      </c>
      <c r="E347" s="26">
        <f>IF($C$5=0,0,INDEX(Symboles!$G$6:$G$101,D347))</f>
        <v/>
      </c>
      <c r="F347" s="26">
        <f>IF($C$5=0,0,INDEX(Symboles!$H$6:$H$101,D347))</f>
        <v/>
      </c>
      <c r="G347" s="26">
        <f>COS(2*PI()*$C$3*B347)</f>
        <v/>
      </c>
      <c r="H347" s="26">
        <f>SIN(2*PI()*$C$3*B347)</f>
        <v/>
      </c>
      <c r="I347" s="26">
        <f>E347*G347+F347*H347</f>
        <v/>
      </c>
    </row>
    <row r="348">
      <c r="A348" s="7" t="n">
        <v>341</v>
      </c>
      <c r="B348" s="26">
        <f>(A348-1)/2000*$C$2</f>
        <v/>
      </c>
      <c r="C348" s="7">
        <f>INDEX(Bits!$E$25:$E$124,INT(B348)+1)</f>
        <v/>
      </c>
      <c r="D348" s="7">
        <f>MAX(1,MIN(INT(B348/$C$4)+1,$C$5))</f>
        <v/>
      </c>
      <c r="E348" s="26">
        <f>IF($C$5=0,0,INDEX(Symboles!$G$6:$G$101,D348))</f>
        <v/>
      </c>
      <c r="F348" s="26">
        <f>IF($C$5=0,0,INDEX(Symboles!$H$6:$H$101,D348))</f>
        <v/>
      </c>
      <c r="G348" s="26">
        <f>COS(2*PI()*$C$3*B348)</f>
        <v/>
      </c>
      <c r="H348" s="26">
        <f>SIN(2*PI()*$C$3*B348)</f>
        <v/>
      </c>
      <c r="I348" s="26">
        <f>E348*G348+F348*H348</f>
        <v/>
      </c>
    </row>
    <row r="349">
      <c r="A349" s="7" t="n">
        <v>342</v>
      </c>
      <c r="B349" s="26">
        <f>(A349-1)/2000*$C$2</f>
        <v/>
      </c>
      <c r="C349" s="7">
        <f>INDEX(Bits!$E$25:$E$124,INT(B349)+1)</f>
        <v/>
      </c>
      <c r="D349" s="7">
        <f>MAX(1,MIN(INT(B349/$C$4)+1,$C$5))</f>
        <v/>
      </c>
      <c r="E349" s="26">
        <f>IF($C$5=0,0,INDEX(Symboles!$G$6:$G$101,D349))</f>
        <v/>
      </c>
      <c r="F349" s="26">
        <f>IF($C$5=0,0,INDEX(Symboles!$H$6:$H$101,D349))</f>
        <v/>
      </c>
      <c r="G349" s="26">
        <f>COS(2*PI()*$C$3*B349)</f>
        <v/>
      </c>
      <c r="H349" s="26">
        <f>SIN(2*PI()*$C$3*B349)</f>
        <v/>
      </c>
      <c r="I349" s="26">
        <f>E349*G349+F349*H349</f>
        <v/>
      </c>
    </row>
    <row r="350">
      <c r="A350" s="7" t="n">
        <v>343</v>
      </c>
      <c r="B350" s="26">
        <f>(A350-1)/2000*$C$2</f>
        <v/>
      </c>
      <c r="C350" s="7">
        <f>INDEX(Bits!$E$25:$E$124,INT(B350)+1)</f>
        <v/>
      </c>
      <c r="D350" s="7">
        <f>MAX(1,MIN(INT(B350/$C$4)+1,$C$5))</f>
        <v/>
      </c>
      <c r="E350" s="26">
        <f>IF($C$5=0,0,INDEX(Symboles!$G$6:$G$101,D350))</f>
        <v/>
      </c>
      <c r="F350" s="26">
        <f>IF($C$5=0,0,INDEX(Symboles!$H$6:$H$101,D350))</f>
        <v/>
      </c>
      <c r="G350" s="26">
        <f>COS(2*PI()*$C$3*B350)</f>
        <v/>
      </c>
      <c r="H350" s="26">
        <f>SIN(2*PI()*$C$3*B350)</f>
        <v/>
      </c>
      <c r="I350" s="26">
        <f>E350*G350+F350*H350</f>
        <v/>
      </c>
    </row>
    <row r="351">
      <c r="A351" s="7" t="n">
        <v>344</v>
      </c>
      <c r="B351" s="26">
        <f>(A351-1)/2000*$C$2</f>
        <v/>
      </c>
      <c r="C351" s="7">
        <f>INDEX(Bits!$E$25:$E$124,INT(B351)+1)</f>
        <v/>
      </c>
      <c r="D351" s="7">
        <f>MAX(1,MIN(INT(B351/$C$4)+1,$C$5))</f>
        <v/>
      </c>
      <c r="E351" s="26">
        <f>IF($C$5=0,0,INDEX(Symboles!$G$6:$G$101,D351))</f>
        <v/>
      </c>
      <c r="F351" s="26">
        <f>IF($C$5=0,0,INDEX(Symboles!$H$6:$H$101,D351))</f>
        <v/>
      </c>
      <c r="G351" s="26">
        <f>COS(2*PI()*$C$3*B351)</f>
        <v/>
      </c>
      <c r="H351" s="26">
        <f>SIN(2*PI()*$C$3*B351)</f>
        <v/>
      </c>
      <c r="I351" s="26">
        <f>E351*G351+F351*H351</f>
        <v/>
      </c>
    </row>
    <row r="352">
      <c r="A352" s="7" t="n">
        <v>345</v>
      </c>
      <c r="B352" s="26">
        <f>(A352-1)/2000*$C$2</f>
        <v/>
      </c>
      <c r="C352" s="7">
        <f>INDEX(Bits!$E$25:$E$124,INT(B352)+1)</f>
        <v/>
      </c>
      <c r="D352" s="7">
        <f>MAX(1,MIN(INT(B352/$C$4)+1,$C$5))</f>
        <v/>
      </c>
      <c r="E352" s="26">
        <f>IF($C$5=0,0,INDEX(Symboles!$G$6:$G$101,D352))</f>
        <v/>
      </c>
      <c r="F352" s="26">
        <f>IF($C$5=0,0,INDEX(Symboles!$H$6:$H$101,D352))</f>
        <v/>
      </c>
      <c r="G352" s="26">
        <f>COS(2*PI()*$C$3*B352)</f>
        <v/>
      </c>
      <c r="H352" s="26">
        <f>SIN(2*PI()*$C$3*B352)</f>
        <v/>
      </c>
      <c r="I352" s="26">
        <f>E352*G352+F352*H352</f>
        <v/>
      </c>
    </row>
    <row r="353">
      <c r="A353" s="7" t="n">
        <v>346</v>
      </c>
      <c r="B353" s="26">
        <f>(A353-1)/2000*$C$2</f>
        <v/>
      </c>
      <c r="C353" s="7">
        <f>INDEX(Bits!$E$25:$E$124,INT(B353)+1)</f>
        <v/>
      </c>
      <c r="D353" s="7">
        <f>MAX(1,MIN(INT(B353/$C$4)+1,$C$5))</f>
        <v/>
      </c>
      <c r="E353" s="26">
        <f>IF($C$5=0,0,INDEX(Symboles!$G$6:$G$101,D353))</f>
        <v/>
      </c>
      <c r="F353" s="26">
        <f>IF($C$5=0,0,INDEX(Symboles!$H$6:$H$101,D353))</f>
        <v/>
      </c>
      <c r="G353" s="26">
        <f>COS(2*PI()*$C$3*B353)</f>
        <v/>
      </c>
      <c r="H353" s="26">
        <f>SIN(2*PI()*$C$3*B353)</f>
        <v/>
      </c>
      <c r="I353" s="26">
        <f>E353*G353+F353*H353</f>
        <v/>
      </c>
    </row>
    <row r="354">
      <c r="A354" s="7" t="n">
        <v>347</v>
      </c>
      <c r="B354" s="26">
        <f>(A354-1)/2000*$C$2</f>
        <v/>
      </c>
      <c r="C354" s="7">
        <f>INDEX(Bits!$E$25:$E$124,INT(B354)+1)</f>
        <v/>
      </c>
      <c r="D354" s="7">
        <f>MAX(1,MIN(INT(B354/$C$4)+1,$C$5))</f>
        <v/>
      </c>
      <c r="E354" s="26">
        <f>IF($C$5=0,0,INDEX(Symboles!$G$6:$G$101,D354))</f>
        <v/>
      </c>
      <c r="F354" s="26">
        <f>IF($C$5=0,0,INDEX(Symboles!$H$6:$H$101,D354))</f>
        <v/>
      </c>
      <c r="G354" s="26">
        <f>COS(2*PI()*$C$3*B354)</f>
        <v/>
      </c>
      <c r="H354" s="26">
        <f>SIN(2*PI()*$C$3*B354)</f>
        <v/>
      </c>
      <c r="I354" s="26">
        <f>E354*G354+F354*H354</f>
        <v/>
      </c>
    </row>
    <row r="355">
      <c r="A355" s="7" t="n">
        <v>348</v>
      </c>
      <c r="B355" s="26">
        <f>(A355-1)/2000*$C$2</f>
        <v/>
      </c>
      <c r="C355" s="7">
        <f>INDEX(Bits!$E$25:$E$124,INT(B355)+1)</f>
        <v/>
      </c>
      <c r="D355" s="7">
        <f>MAX(1,MIN(INT(B355/$C$4)+1,$C$5))</f>
        <v/>
      </c>
      <c r="E355" s="26">
        <f>IF($C$5=0,0,INDEX(Symboles!$G$6:$G$101,D355))</f>
        <v/>
      </c>
      <c r="F355" s="26">
        <f>IF($C$5=0,0,INDEX(Symboles!$H$6:$H$101,D355))</f>
        <v/>
      </c>
      <c r="G355" s="26">
        <f>COS(2*PI()*$C$3*B355)</f>
        <v/>
      </c>
      <c r="H355" s="26">
        <f>SIN(2*PI()*$C$3*B355)</f>
        <v/>
      </c>
      <c r="I355" s="26">
        <f>E355*G355+F355*H355</f>
        <v/>
      </c>
    </row>
    <row r="356">
      <c r="A356" s="7" t="n">
        <v>349</v>
      </c>
      <c r="B356" s="26">
        <f>(A356-1)/2000*$C$2</f>
        <v/>
      </c>
      <c r="C356" s="7">
        <f>INDEX(Bits!$E$25:$E$124,INT(B356)+1)</f>
        <v/>
      </c>
      <c r="D356" s="7">
        <f>MAX(1,MIN(INT(B356/$C$4)+1,$C$5))</f>
        <v/>
      </c>
      <c r="E356" s="26">
        <f>IF($C$5=0,0,INDEX(Symboles!$G$6:$G$101,D356))</f>
        <v/>
      </c>
      <c r="F356" s="26">
        <f>IF($C$5=0,0,INDEX(Symboles!$H$6:$H$101,D356))</f>
        <v/>
      </c>
      <c r="G356" s="26">
        <f>COS(2*PI()*$C$3*B356)</f>
        <v/>
      </c>
      <c r="H356" s="26">
        <f>SIN(2*PI()*$C$3*B356)</f>
        <v/>
      </c>
      <c r="I356" s="26">
        <f>E356*G356+F356*H356</f>
        <v/>
      </c>
    </row>
    <row r="357">
      <c r="A357" s="7" t="n">
        <v>350</v>
      </c>
      <c r="B357" s="26">
        <f>(A357-1)/2000*$C$2</f>
        <v/>
      </c>
      <c r="C357" s="7">
        <f>INDEX(Bits!$E$25:$E$124,INT(B357)+1)</f>
        <v/>
      </c>
      <c r="D357" s="7">
        <f>MAX(1,MIN(INT(B357/$C$4)+1,$C$5))</f>
        <v/>
      </c>
      <c r="E357" s="26">
        <f>IF($C$5=0,0,INDEX(Symboles!$G$6:$G$101,D357))</f>
        <v/>
      </c>
      <c r="F357" s="26">
        <f>IF($C$5=0,0,INDEX(Symboles!$H$6:$H$101,D357))</f>
        <v/>
      </c>
      <c r="G357" s="26">
        <f>COS(2*PI()*$C$3*B357)</f>
        <v/>
      </c>
      <c r="H357" s="26">
        <f>SIN(2*PI()*$C$3*B357)</f>
        <v/>
      </c>
      <c r="I357" s="26">
        <f>E357*G357+F357*H357</f>
        <v/>
      </c>
    </row>
    <row r="358">
      <c r="A358" s="7" t="n">
        <v>351</v>
      </c>
      <c r="B358" s="26">
        <f>(A358-1)/2000*$C$2</f>
        <v/>
      </c>
      <c r="C358" s="7">
        <f>INDEX(Bits!$E$25:$E$124,INT(B358)+1)</f>
        <v/>
      </c>
      <c r="D358" s="7">
        <f>MAX(1,MIN(INT(B358/$C$4)+1,$C$5))</f>
        <v/>
      </c>
      <c r="E358" s="26">
        <f>IF($C$5=0,0,INDEX(Symboles!$G$6:$G$101,D358))</f>
        <v/>
      </c>
      <c r="F358" s="26">
        <f>IF($C$5=0,0,INDEX(Symboles!$H$6:$H$101,D358))</f>
        <v/>
      </c>
      <c r="G358" s="26">
        <f>COS(2*PI()*$C$3*B358)</f>
        <v/>
      </c>
      <c r="H358" s="26">
        <f>SIN(2*PI()*$C$3*B358)</f>
        <v/>
      </c>
      <c r="I358" s="26">
        <f>E358*G358+F358*H358</f>
        <v/>
      </c>
    </row>
    <row r="359">
      <c r="A359" s="7" t="n">
        <v>352</v>
      </c>
      <c r="B359" s="26">
        <f>(A359-1)/2000*$C$2</f>
        <v/>
      </c>
      <c r="C359" s="7">
        <f>INDEX(Bits!$E$25:$E$124,INT(B359)+1)</f>
        <v/>
      </c>
      <c r="D359" s="7">
        <f>MAX(1,MIN(INT(B359/$C$4)+1,$C$5))</f>
        <v/>
      </c>
      <c r="E359" s="26">
        <f>IF($C$5=0,0,INDEX(Symboles!$G$6:$G$101,D359))</f>
        <v/>
      </c>
      <c r="F359" s="26">
        <f>IF($C$5=0,0,INDEX(Symboles!$H$6:$H$101,D359))</f>
        <v/>
      </c>
      <c r="G359" s="26">
        <f>COS(2*PI()*$C$3*B359)</f>
        <v/>
      </c>
      <c r="H359" s="26">
        <f>SIN(2*PI()*$C$3*B359)</f>
        <v/>
      </c>
      <c r="I359" s="26">
        <f>E359*G359+F359*H359</f>
        <v/>
      </c>
    </row>
    <row r="360">
      <c r="A360" s="7" t="n">
        <v>353</v>
      </c>
      <c r="B360" s="26">
        <f>(A360-1)/2000*$C$2</f>
        <v/>
      </c>
      <c r="C360" s="7">
        <f>INDEX(Bits!$E$25:$E$124,INT(B360)+1)</f>
        <v/>
      </c>
      <c r="D360" s="7">
        <f>MAX(1,MIN(INT(B360/$C$4)+1,$C$5))</f>
        <v/>
      </c>
      <c r="E360" s="26">
        <f>IF($C$5=0,0,INDEX(Symboles!$G$6:$G$101,D360))</f>
        <v/>
      </c>
      <c r="F360" s="26">
        <f>IF($C$5=0,0,INDEX(Symboles!$H$6:$H$101,D360))</f>
        <v/>
      </c>
      <c r="G360" s="26">
        <f>COS(2*PI()*$C$3*B360)</f>
        <v/>
      </c>
      <c r="H360" s="26">
        <f>SIN(2*PI()*$C$3*B360)</f>
        <v/>
      </c>
      <c r="I360" s="26">
        <f>E360*G360+F360*H360</f>
        <v/>
      </c>
    </row>
    <row r="361">
      <c r="A361" s="7" t="n">
        <v>354</v>
      </c>
      <c r="B361" s="26">
        <f>(A361-1)/2000*$C$2</f>
        <v/>
      </c>
      <c r="C361" s="7">
        <f>INDEX(Bits!$E$25:$E$124,INT(B361)+1)</f>
        <v/>
      </c>
      <c r="D361" s="7">
        <f>MAX(1,MIN(INT(B361/$C$4)+1,$C$5))</f>
        <v/>
      </c>
      <c r="E361" s="26">
        <f>IF($C$5=0,0,INDEX(Symboles!$G$6:$G$101,D361))</f>
        <v/>
      </c>
      <c r="F361" s="26">
        <f>IF($C$5=0,0,INDEX(Symboles!$H$6:$H$101,D361))</f>
        <v/>
      </c>
      <c r="G361" s="26">
        <f>COS(2*PI()*$C$3*B361)</f>
        <v/>
      </c>
      <c r="H361" s="26">
        <f>SIN(2*PI()*$C$3*B361)</f>
        <v/>
      </c>
      <c r="I361" s="26">
        <f>E361*G361+F361*H361</f>
        <v/>
      </c>
    </row>
    <row r="362">
      <c r="A362" s="7" t="n">
        <v>355</v>
      </c>
      <c r="B362" s="26">
        <f>(A362-1)/2000*$C$2</f>
        <v/>
      </c>
      <c r="C362" s="7">
        <f>INDEX(Bits!$E$25:$E$124,INT(B362)+1)</f>
        <v/>
      </c>
      <c r="D362" s="7">
        <f>MAX(1,MIN(INT(B362/$C$4)+1,$C$5))</f>
        <v/>
      </c>
      <c r="E362" s="26">
        <f>IF($C$5=0,0,INDEX(Symboles!$G$6:$G$101,D362))</f>
        <v/>
      </c>
      <c r="F362" s="26">
        <f>IF($C$5=0,0,INDEX(Symboles!$H$6:$H$101,D362))</f>
        <v/>
      </c>
      <c r="G362" s="26">
        <f>COS(2*PI()*$C$3*B362)</f>
        <v/>
      </c>
      <c r="H362" s="26">
        <f>SIN(2*PI()*$C$3*B362)</f>
        <v/>
      </c>
      <c r="I362" s="26">
        <f>E362*G362+F362*H362</f>
        <v/>
      </c>
    </row>
    <row r="363">
      <c r="A363" s="7" t="n">
        <v>356</v>
      </c>
      <c r="B363" s="26">
        <f>(A363-1)/2000*$C$2</f>
        <v/>
      </c>
      <c r="C363" s="7">
        <f>INDEX(Bits!$E$25:$E$124,INT(B363)+1)</f>
        <v/>
      </c>
      <c r="D363" s="7">
        <f>MAX(1,MIN(INT(B363/$C$4)+1,$C$5))</f>
        <v/>
      </c>
      <c r="E363" s="26">
        <f>IF($C$5=0,0,INDEX(Symboles!$G$6:$G$101,D363))</f>
        <v/>
      </c>
      <c r="F363" s="26">
        <f>IF($C$5=0,0,INDEX(Symboles!$H$6:$H$101,D363))</f>
        <v/>
      </c>
      <c r="G363" s="26">
        <f>COS(2*PI()*$C$3*B363)</f>
        <v/>
      </c>
      <c r="H363" s="26">
        <f>SIN(2*PI()*$C$3*B363)</f>
        <v/>
      </c>
      <c r="I363" s="26">
        <f>E363*G363+F363*H363</f>
        <v/>
      </c>
    </row>
    <row r="364">
      <c r="A364" s="7" t="n">
        <v>357</v>
      </c>
      <c r="B364" s="26">
        <f>(A364-1)/2000*$C$2</f>
        <v/>
      </c>
      <c r="C364" s="7">
        <f>INDEX(Bits!$E$25:$E$124,INT(B364)+1)</f>
        <v/>
      </c>
      <c r="D364" s="7">
        <f>MAX(1,MIN(INT(B364/$C$4)+1,$C$5))</f>
        <v/>
      </c>
      <c r="E364" s="26">
        <f>IF($C$5=0,0,INDEX(Symboles!$G$6:$G$101,D364))</f>
        <v/>
      </c>
      <c r="F364" s="26">
        <f>IF($C$5=0,0,INDEX(Symboles!$H$6:$H$101,D364))</f>
        <v/>
      </c>
      <c r="G364" s="26">
        <f>COS(2*PI()*$C$3*B364)</f>
        <v/>
      </c>
      <c r="H364" s="26">
        <f>SIN(2*PI()*$C$3*B364)</f>
        <v/>
      </c>
      <c r="I364" s="26">
        <f>E364*G364+F364*H364</f>
        <v/>
      </c>
    </row>
    <row r="365">
      <c r="A365" s="7" t="n">
        <v>358</v>
      </c>
      <c r="B365" s="26">
        <f>(A365-1)/2000*$C$2</f>
        <v/>
      </c>
      <c r="C365" s="7">
        <f>INDEX(Bits!$E$25:$E$124,INT(B365)+1)</f>
        <v/>
      </c>
      <c r="D365" s="7">
        <f>MAX(1,MIN(INT(B365/$C$4)+1,$C$5))</f>
        <v/>
      </c>
      <c r="E365" s="26">
        <f>IF($C$5=0,0,INDEX(Symboles!$G$6:$G$101,D365))</f>
        <v/>
      </c>
      <c r="F365" s="26">
        <f>IF($C$5=0,0,INDEX(Symboles!$H$6:$H$101,D365))</f>
        <v/>
      </c>
      <c r="G365" s="26">
        <f>COS(2*PI()*$C$3*B365)</f>
        <v/>
      </c>
      <c r="H365" s="26">
        <f>SIN(2*PI()*$C$3*B365)</f>
        <v/>
      </c>
      <c r="I365" s="26">
        <f>E365*G365+F365*H365</f>
        <v/>
      </c>
    </row>
    <row r="366">
      <c r="A366" s="7" t="n">
        <v>359</v>
      </c>
      <c r="B366" s="26">
        <f>(A366-1)/2000*$C$2</f>
        <v/>
      </c>
      <c r="C366" s="7">
        <f>INDEX(Bits!$E$25:$E$124,INT(B366)+1)</f>
        <v/>
      </c>
      <c r="D366" s="7">
        <f>MAX(1,MIN(INT(B366/$C$4)+1,$C$5))</f>
        <v/>
      </c>
      <c r="E366" s="26">
        <f>IF($C$5=0,0,INDEX(Symboles!$G$6:$G$101,D366))</f>
        <v/>
      </c>
      <c r="F366" s="26">
        <f>IF($C$5=0,0,INDEX(Symboles!$H$6:$H$101,D366))</f>
        <v/>
      </c>
      <c r="G366" s="26">
        <f>COS(2*PI()*$C$3*B366)</f>
        <v/>
      </c>
      <c r="H366" s="26">
        <f>SIN(2*PI()*$C$3*B366)</f>
        <v/>
      </c>
      <c r="I366" s="26">
        <f>E366*G366+F366*H366</f>
        <v/>
      </c>
    </row>
    <row r="367">
      <c r="A367" s="7" t="n">
        <v>360</v>
      </c>
      <c r="B367" s="26">
        <f>(A367-1)/2000*$C$2</f>
        <v/>
      </c>
      <c r="C367" s="7">
        <f>INDEX(Bits!$E$25:$E$124,INT(B367)+1)</f>
        <v/>
      </c>
      <c r="D367" s="7">
        <f>MAX(1,MIN(INT(B367/$C$4)+1,$C$5))</f>
        <v/>
      </c>
      <c r="E367" s="26">
        <f>IF($C$5=0,0,INDEX(Symboles!$G$6:$G$101,D367))</f>
        <v/>
      </c>
      <c r="F367" s="26">
        <f>IF($C$5=0,0,INDEX(Symboles!$H$6:$H$101,D367))</f>
        <v/>
      </c>
      <c r="G367" s="26">
        <f>COS(2*PI()*$C$3*B367)</f>
        <v/>
      </c>
      <c r="H367" s="26">
        <f>SIN(2*PI()*$C$3*B367)</f>
        <v/>
      </c>
      <c r="I367" s="26">
        <f>E367*G367+F367*H367</f>
        <v/>
      </c>
    </row>
    <row r="368">
      <c r="A368" s="7" t="n">
        <v>361</v>
      </c>
      <c r="B368" s="26">
        <f>(A368-1)/2000*$C$2</f>
        <v/>
      </c>
      <c r="C368" s="7">
        <f>INDEX(Bits!$E$25:$E$124,INT(B368)+1)</f>
        <v/>
      </c>
      <c r="D368" s="7">
        <f>MAX(1,MIN(INT(B368/$C$4)+1,$C$5))</f>
        <v/>
      </c>
      <c r="E368" s="26">
        <f>IF($C$5=0,0,INDEX(Symboles!$G$6:$G$101,D368))</f>
        <v/>
      </c>
      <c r="F368" s="26">
        <f>IF($C$5=0,0,INDEX(Symboles!$H$6:$H$101,D368))</f>
        <v/>
      </c>
      <c r="G368" s="26">
        <f>COS(2*PI()*$C$3*B368)</f>
        <v/>
      </c>
      <c r="H368" s="26">
        <f>SIN(2*PI()*$C$3*B368)</f>
        <v/>
      </c>
      <c r="I368" s="26">
        <f>E368*G368+F368*H368</f>
        <v/>
      </c>
    </row>
    <row r="369">
      <c r="A369" s="7" t="n">
        <v>362</v>
      </c>
      <c r="B369" s="26">
        <f>(A369-1)/2000*$C$2</f>
        <v/>
      </c>
      <c r="C369" s="7">
        <f>INDEX(Bits!$E$25:$E$124,INT(B369)+1)</f>
        <v/>
      </c>
      <c r="D369" s="7">
        <f>MAX(1,MIN(INT(B369/$C$4)+1,$C$5))</f>
        <v/>
      </c>
      <c r="E369" s="26">
        <f>IF($C$5=0,0,INDEX(Symboles!$G$6:$G$101,D369))</f>
        <v/>
      </c>
      <c r="F369" s="26">
        <f>IF($C$5=0,0,INDEX(Symboles!$H$6:$H$101,D369))</f>
        <v/>
      </c>
      <c r="G369" s="26">
        <f>COS(2*PI()*$C$3*B369)</f>
        <v/>
      </c>
      <c r="H369" s="26">
        <f>SIN(2*PI()*$C$3*B369)</f>
        <v/>
      </c>
      <c r="I369" s="26">
        <f>E369*G369+F369*H369</f>
        <v/>
      </c>
    </row>
    <row r="370">
      <c r="A370" s="7" t="n">
        <v>363</v>
      </c>
      <c r="B370" s="26">
        <f>(A370-1)/2000*$C$2</f>
        <v/>
      </c>
      <c r="C370" s="7">
        <f>INDEX(Bits!$E$25:$E$124,INT(B370)+1)</f>
        <v/>
      </c>
      <c r="D370" s="7">
        <f>MAX(1,MIN(INT(B370/$C$4)+1,$C$5))</f>
        <v/>
      </c>
      <c r="E370" s="26">
        <f>IF($C$5=0,0,INDEX(Symboles!$G$6:$G$101,D370))</f>
        <v/>
      </c>
      <c r="F370" s="26">
        <f>IF($C$5=0,0,INDEX(Symboles!$H$6:$H$101,D370))</f>
        <v/>
      </c>
      <c r="G370" s="26">
        <f>COS(2*PI()*$C$3*B370)</f>
        <v/>
      </c>
      <c r="H370" s="26">
        <f>SIN(2*PI()*$C$3*B370)</f>
        <v/>
      </c>
      <c r="I370" s="26">
        <f>E370*G370+F370*H370</f>
        <v/>
      </c>
    </row>
    <row r="371">
      <c r="A371" s="7" t="n">
        <v>364</v>
      </c>
      <c r="B371" s="26">
        <f>(A371-1)/2000*$C$2</f>
        <v/>
      </c>
      <c r="C371" s="7">
        <f>INDEX(Bits!$E$25:$E$124,INT(B371)+1)</f>
        <v/>
      </c>
      <c r="D371" s="7">
        <f>MAX(1,MIN(INT(B371/$C$4)+1,$C$5))</f>
        <v/>
      </c>
      <c r="E371" s="26">
        <f>IF($C$5=0,0,INDEX(Symboles!$G$6:$G$101,D371))</f>
        <v/>
      </c>
      <c r="F371" s="26">
        <f>IF($C$5=0,0,INDEX(Symboles!$H$6:$H$101,D371))</f>
        <v/>
      </c>
      <c r="G371" s="26">
        <f>COS(2*PI()*$C$3*B371)</f>
        <v/>
      </c>
      <c r="H371" s="26">
        <f>SIN(2*PI()*$C$3*B371)</f>
        <v/>
      </c>
      <c r="I371" s="26">
        <f>E371*G371+F371*H371</f>
        <v/>
      </c>
    </row>
    <row r="372">
      <c r="A372" s="7" t="n">
        <v>365</v>
      </c>
      <c r="B372" s="26">
        <f>(A372-1)/2000*$C$2</f>
        <v/>
      </c>
      <c r="C372" s="7">
        <f>INDEX(Bits!$E$25:$E$124,INT(B372)+1)</f>
        <v/>
      </c>
      <c r="D372" s="7">
        <f>MAX(1,MIN(INT(B372/$C$4)+1,$C$5))</f>
        <v/>
      </c>
      <c r="E372" s="26">
        <f>IF($C$5=0,0,INDEX(Symboles!$G$6:$G$101,D372))</f>
        <v/>
      </c>
      <c r="F372" s="26">
        <f>IF($C$5=0,0,INDEX(Symboles!$H$6:$H$101,D372))</f>
        <v/>
      </c>
      <c r="G372" s="26">
        <f>COS(2*PI()*$C$3*B372)</f>
        <v/>
      </c>
      <c r="H372" s="26">
        <f>SIN(2*PI()*$C$3*B372)</f>
        <v/>
      </c>
      <c r="I372" s="26">
        <f>E372*G372+F372*H372</f>
        <v/>
      </c>
    </row>
    <row r="373">
      <c r="A373" s="7" t="n">
        <v>366</v>
      </c>
      <c r="B373" s="26">
        <f>(A373-1)/2000*$C$2</f>
        <v/>
      </c>
      <c r="C373" s="7">
        <f>INDEX(Bits!$E$25:$E$124,INT(B373)+1)</f>
        <v/>
      </c>
      <c r="D373" s="7">
        <f>MAX(1,MIN(INT(B373/$C$4)+1,$C$5))</f>
        <v/>
      </c>
      <c r="E373" s="26">
        <f>IF($C$5=0,0,INDEX(Symboles!$G$6:$G$101,D373))</f>
        <v/>
      </c>
      <c r="F373" s="26">
        <f>IF($C$5=0,0,INDEX(Symboles!$H$6:$H$101,D373))</f>
        <v/>
      </c>
      <c r="G373" s="26">
        <f>COS(2*PI()*$C$3*B373)</f>
        <v/>
      </c>
      <c r="H373" s="26">
        <f>SIN(2*PI()*$C$3*B373)</f>
        <v/>
      </c>
      <c r="I373" s="26">
        <f>E373*G373+F373*H373</f>
        <v/>
      </c>
    </row>
    <row r="374">
      <c r="A374" s="7" t="n">
        <v>367</v>
      </c>
      <c r="B374" s="26">
        <f>(A374-1)/2000*$C$2</f>
        <v/>
      </c>
      <c r="C374" s="7">
        <f>INDEX(Bits!$E$25:$E$124,INT(B374)+1)</f>
        <v/>
      </c>
      <c r="D374" s="7">
        <f>MAX(1,MIN(INT(B374/$C$4)+1,$C$5))</f>
        <v/>
      </c>
      <c r="E374" s="26">
        <f>IF($C$5=0,0,INDEX(Symboles!$G$6:$G$101,D374))</f>
        <v/>
      </c>
      <c r="F374" s="26">
        <f>IF($C$5=0,0,INDEX(Symboles!$H$6:$H$101,D374))</f>
        <v/>
      </c>
      <c r="G374" s="26">
        <f>COS(2*PI()*$C$3*B374)</f>
        <v/>
      </c>
      <c r="H374" s="26">
        <f>SIN(2*PI()*$C$3*B374)</f>
        <v/>
      </c>
      <c r="I374" s="26">
        <f>E374*G374+F374*H374</f>
        <v/>
      </c>
    </row>
    <row r="375">
      <c r="A375" s="7" t="n">
        <v>368</v>
      </c>
      <c r="B375" s="26">
        <f>(A375-1)/2000*$C$2</f>
        <v/>
      </c>
      <c r="C375" s="7">
        <f>INDEX(Bits!$E$25:$E$124,INT(B375)+1)</f>
        <v/>
      </c>
      <c r="D375" s="7">
        <f>MAX(1,MIN(INT(B375/$C$4)+1,$C$5))</f>
        <v/>
      </c>
      <c r="E375" s="26">
        <f>IF($C$5=0,0,INDEX(Symboles!$G$6:$G$101,D375))</f>
        <v/>
      </c>
      <c r="F375" s="26">
        <f>IF($C$5=0,0,INDEX(Symboles!$H$6:$H$101,D375))</f>
        <v/>
      </c>
      <c r="G375" s="26">
        <f>COS(2*PI()*$C$3*B375)</f>
        <v/>
      </c>
      <c r="H375" s="26">
        <f>SIN(2*PI()*$C$3*B375)</f>
        <v/>
      </c>
      <c r="I375" s="26">
        <f>E375*G375+F375*H375</f>
        <v/>
      </c>
    </row>
    <row r="376">
      <c r="A376" s="7" t="n">
        <v>369</v>
      </c>
      <c r="B376" s="26">
        <f>(A376-1)/2000*$C$2</f>
        <v/>
      </c>
      <c r="C376" s="7">
        <f>INDEX(Bits!$E$25:$E$124,INT(B376)+1)</f>
        <v/>
      </c>
      <c r="D376" s="7">
        <f>MAX(1,MIN(INT(B376/$C$4)+1,$C$5))</f>
        <v/>
      </c>
      <c r="E376" s="26">
        <f>IF($C$5=0,0,INDEX(Symboles!$G$6:$G$101,D376))</f>
        <v/>
      </c>
      <c r="F376" s="26">
        <f>IF($C$5=0,0,INDEX(Symboles!$H$6:$H$101,D376))</f>
        <v/>
      </c>
      <c r="G376" s="26">
        <f>COS(2*PI()*$C$3*B376)</f>
        <v/>
      </c>
      <c r="H376" s="26">
        <f>SIN(2*PI()*$C$3*B376)</f>
        <v/>
      </c>
      <c r="I376" s="26">
        <f>E376*G376+F376*H376</f>
        <v/>
      </c>
    </row>
    <row r="377">
      <c r="A377" s="7" t="n">
        <v>370</v>
      </c>
      <c r="B377" s="26">
        <f>(A377-1)/2000*$C$2</f>
        <v/>
      </c>
      <c r="C377" s="7">
        <f>INDEX(Bits!$E$25:$E$124,INT(B377)+1)</f>
        <v/>
      </c>
      <c r="D377" s="7">
        <f>MAX(1,MIN(INT(B377/$C$4)+1,$C$5))</f>
        <v/>
      </c>
      <c r="E377" s="26">
        <f>IF($C$5=0,0,INDEX(Symboles!$G$6:$G$101,D377))</f>
        <v/>
      </c>
      <c r="F377" s="26">
        <f>IF($C$5=0,0,INDEX(Symboles!$H$6:$H$101,D377))</f>
        <v/>
      </c>
      <c r="G377" s="26">
        <f>COS(2*PI()*$C$3*B377)</f>
        <v/>
      </c>
      <c r="H377" s="26">
        <f>SIN(2*PI()*$C$3*B377)</f>
        <v/>
      </c>
      <c r="I377" s="26">
        <f>E377*G377+F377*H377</f>
        <v/>
      </c>
    </row>
    <row r="378">
      <c r="A378" s="7" t="n">
        <v>371</v>
      </c>
      <c r="B378" s="26">
        <f>(A378-1)/2000*$C$2</f>
        <v/>
      </c>
      <c r="C378" s="7">
        <f>INDEX(Bits!$E$25:$E$124,INT(B378)+1)</f>
        <v/>
      </c>
      <c r="D378" s="7">
        <f>MAX(1,MIN(INT(B378/$C$4)+1,$C$5))</f>
        <v/>
      </c>
      <c r="E378" s="26">
        <f>IF($C$5=0,0,INDEX(Symboles!$G$6:$G$101,D378))</f>
        <v/>
      </c>
      <c r="F378" s="26">
        <f>IF($C$5=0,0,INDEX(Symboles!$H$6:$H$101,D378))</f>
        <v/>
      </c>
      <c r="G378" s="26">
        <f>COS(2*PI()*$C$3*B378)</f>
        <v/>
      </c>
      <c r="H378" s="26">
        <f>SIN(2*PI()*$C$3*B378)</f>
        <v/>
      </c>
      <c r="I378" s="26">
        <f>E378*G378+F378*H378</f>
        <v/>
      </c>
    </row>
    <row r="379">
      <c r="A379" s="7" t="n">
        <v>372</v>
      </c>
      <c r="B379" s="26">
        <f>(A379-1)/2000*$C$2</f>
        <v/>
      </c>
      <c r="C379" s="7">
        <f>INDEX(Bits!$E$25:$E$124,INT(B379)+1)</f>
        <v/>
      </c>
      <c r="D379" s="7">
        <f>MAX(1,MIN(INT(B379/$C$4)+1,$C$5))</f>
        <v/>
      </c>
      <c r="E379" s="26">
        <f>IF($C$5=0,0,INDEX(Symboles!$G$6:$G$101,D379))</f>
        <v/>
      </c>
      <c r="F379" s="26">
        <f>IF($C$5=0,0,INDEX(Symboles!$H$6:$H$101,D379))</f>
        <v/>
      </c>
      <c r="G379" s="26">
        <f>COS(2*PI()*$C$3*B379)</f>
        <v/>
      </c>
      <c r="H379" s="26">
        <f>SIN(2*PI()*$C$3*B379)</f>
        <v/>
      </c>
      <c r="I379" s="26">
        <f>E379*G379+F379*H379</f>
        <v/>
      </c>
    </row>
    <row r="380">
      <c r="A380" s="7" t="n">
        <v>373</v>
      </c>
      <c r="B380" s="26">
        <f>(A380-1)/2000*$C$2</f>
        <v/>
      </c>
      <c r="C380" s="7">
        <f>INDEX(Bits!$E$25:$E$124,INT(B380)+1)</f>
        <v/>
      </c>
      <c r="D380" s="7">
        <f>MAX(1,MIN(INT(B380/$C$4)+1,$C$5))</f>
        <v/>
      </c>
      <c r="E380" s="26">
        <f>IF($C$5=0,0,INDEX(Symboles!$G$6:$G$101,D380))</f>
        <v/>
      </c>
      <c r="F380" s="26">
        <f>IF($C$5=0,0,INDEX(Symboles!$H$6:$H$101,D380))</f>
        <v/>
      </c>
      <c r="G380" s="26">
        <f>COS(2*PI()*$C$3*B380)</f>
        <v/>
      </c>
      <c r="H380" s="26">
        <f>SIN(2*PI()*$C$3*B380)</f>
        <v/>
      </c>
      <c r="I380" s="26">
        <f>E380*G380+F380*H380</f>
        <v/>
      </c>
    </row>
    <row r="381">
      <c r="A381" s="7" t="n">
        <v>374</v>
      </c>
      <c r="B381" s="26">
        <f>(A381-1)/2000*$C$2</f>
        <v/>
      </c>
      <c r="C381" s="7">
        <f>INDEX(Bits!$E$25:$E$124,INT(B381)+1)</f>
        <v/>
      </c>
      <c r="D381" s="7">
        <f>MAX(1,MIN(INT(B381/$C$4)+1,$C$5))</f>
        <v/>
      </c>
      <c r="E381" s="26">
        <f>IF($C$5=0,0,INDEX(Symboles!$G$6:$G$101,D381))</f>
        <v/>
      </c>
      <c r="F381" s="26">
        <f>IF($C$5=0,0,INDEX(Symboles!$H$6:$H$101,D381))</f>
        <v/>
      </c>
      <c r="G381" s="26">
        <f>COS(2*PI()*$C$3*B381)</f>
        <v/>
      </c>
      <c r="H381" s="26">
        <f>SIN(2*PI()*$C$3*B381)</f>
        <v/>
      </c>
      <c r="I381" s="26">
        <f>E381*G381+F381*H381</f>
        <v/>
      </c>
    </row>
    <row r="382">
      <c r="A382" s="7" t="n">
        <v>375</v>
      </c>
      <c r="B382" s="26">
        <f>(A382-1)/2000*$C$2</f>
        <v/>
      </c>
      <c r="C382" s="7">
        <f>INDEX(Bits!$E$25:$E$124,INT(B382)+1)</f>
        <v/>
      </c>
      <c r="D382" s="7">
        <f>MAX(1,MIN(INT(B382/$C$4)+1,$C$5))</f>
        <v/>
      </c>
      <c r="E382" s="26">
        <f>IF($C$5=0,0,INDEX(Symboles!$G$6:$G$101,D382))</f>
        <v/>
      </c>
      <c r="F382" s="26">
        <f>IF($C$5=0,0,INDEX(Symboles!$H$6:$H$101,D382))</f>
        <v/>
      </c>
      <c r="G382" s="26">
        <f>COS(2*PI()*$C$3*B382)</f>
        <v/>
      </c>
      <c r="H382" s="26">
        <f>SIN(2*PI()*$C$3*B382)</f>
        <v/>
      </c>
      <c r="I382" s="26">
        <f>E382*G382+F382*H382</f>
        <v/>
      </c>
    </row>
    <row r="383">
      <c r="A383" s="7" t="n">
        <v>376</v>
      </c>
      <c r="B383" s="26">
        <f>(A383-1)/2000*$C$2</f>
        <v/>
      </c>
      <c r="C383" s="7">
        <f>INDEX(Bits!$E$25:$E$124,INT(B383)+1)</f>
        <v/>
      </c>
      <c r="D383" s="7">
        <f>MAX(1,MIN(INT(B383/$C$4)+1,$C$5))</f>
        <v/>
      </c>
      <c r="E383" s="26">
        <f>IF($C$5=0,0,INDEX(Symboles!$G$6:$G$101,D383))</f>
        <v/>
      </c>
      <c r="F383" s="26">
        <f>IF($C$5=0,0,INDEX(Symboles!$H$6:$H$101,D383))</f>
        <v/>
      </c>
      <c r="G383" s="26">
        <f>COS(2*PI()*$C$3*B383)</f>
        <v/>
      </c>
      <c r="H383" s="26">
        <f>SIN(2*PI()*$C$3*B383)</f>
        <v/>
      </c>
      <c r="I383" s="26">
        <f>E383*G383+F383*H383</f>
        <v/>
      </c>
    </row>
    <row r="384">
      <c r="A384" s="7" t="n">
        <v>377</v>
      </c>
      <c r="B384" s="26">
        <f>(A384-1)/2000*$C$2</f>
        <v/>
      </c>
      <c r="C384" s="7">
        <f>INDEX(Bits!$E$25:$E$124,INT(B384)+1)</f>
        <v/>
      </c>
      <c r="D384" s="7">
        <f>MAX(1,MIN(INT(B384/$C$4)+1,$C$5))</f>
        <v/>
      </c>
      <c r="E384" s="26">
        <f>IF($C$5=0,0,INDEX(Symboles!$G$6:$G$101,D384))</f>
        <v/>
      </c>
      <c r="F384" s="26">
        <f>IF($C$5=0,0,INDEX(Symboles!$H$6:$H$101,D384))</f>
        <v/>
      </c>
      <c r="G384" s="26">
        <f>COS(2*PI()*$C$3*B384)</f>
        <v/>
      </c>
      <c r="H384" s="26">
        <f>SIN(2*PI()*$C$3*B384)</f>
        <v/>
      </c>
      <c r="I384" s="26">
        <f>E384*G384+F384*H384</f>
        <v/>
      </c>
    </row>
    <row r="385">
      <c r="A385" s="7" t="n">
        <v>378</v>
      </c>
      <c r="B385" s="26">
        <f>(A385-1)/2000*$C$2</f>
        <v/>
      </c>
      <c r="C385" s="7">
        <f>INDEX(Bits!$E$25:$E$124,INT(B385)+1)</f>
        <v/>
      </c>
      <c r="D385" s="7">
        <f>MAX(1,MIN(INT(B385/$C$4)+1,$C$5))</f>
        <v/>
      </c>
      <c r="E385" s="26">
        <f>IF($C$5=0,0,INDEX(Symboles!$G$6:$G$101,D385))</f>
        <v/>
      </c>
      <c r="F385" s="26">
        <f>IF($C$5=0,0,INDEX(Symboles!$H$6:$H$101,D385))</f>
        <v/>
      </c>
      <c r="G385" s="26">
        <f>COS(2*PI()*$C$3*B385)</f>
        <v/>
      </c>
      <c r="H385" s="26">
        <f>SIN(2*PI()*$C$3*B385)</f>
        <v/>
      </c>
      <c r="I385" s="26">
        <f>E385*G385+F385*H385</f>
        <v/>
      </c>
    </row>
    <row r="386">
      <c r="A386" s="7" t="n">
        <v>379</v>
      </c>
      <c r="B386" s="26">
        <f>(A386-1)/2000*$C$2</f>
        <v/>
      </c>
      <c r="C386" s="7">
        <f>INDEX(Bits!$E$25:$E$124,INT(B386)+1)</f>
        <v/>
      </c>
      <c r="D386" s="7">
        <f>MAX(1,MIN(INT(B386/$C$4)+1,$C$5))</f>
        <v/>
      </c>
      <c r="E386" s="26">
        <f>IF($C$5=0,0,INDEX(Symboles!$G$6:$G$101,D386))</f>
        <v/>
      </c>
      <c r="F386" s="26">
        <f>IF($C$5=0,0,INDEX(Symboles!$H$6:$H$101,D386))</f>
        <v/>
      </c>
      <c r="G386" s="26">
        <f>COS(2*PI()*$C$3*B386)</f>
        <v/>
      </c>
      <c r="H386" s="26">
        <f>SIN(2*PI()*$C$3*B386)</f>
        <v/>
      </c>
      <c r="I386" s="26">
        <f>E386*G386+F386*H386</f>
        <v/>
      </c>
    </row>
    <row r="387">
      <c r="A387" s="7" t="n">
        <v>380</v>
      </c>
      <c r="B387" s="26">
        <f>(A387-1)/2000*$C$2</f>
        <v/>
      </c>
      <c r="C387" s="7">
        <f>INDEX(Bits!$E$25:$E$124,INT(B387)+1)</f>
        <v/>
      </c>
      <c r="D387" s="7">
        <f>MAX(1,MIN(INT(B387/$C$4)+1,$C$5))</f>
        <v/>
      </c>
      <c r="E387" s="26">
        <f>IF($C$5=0,0,INDEX(Symboles!$G$6:$G$101,D387))</f>
        <v/>
      </c>
      <c r="F387" s="26">
        <f>IF($C$5=0,0,INDEX(Symboles!$H$6:$H$101,D387))</f>
        <v/>
      </c>
      <c r="G387" s="26">
        <f>COS(2*PI()*$C$3*B387)</f>
        <v/>
      </c>
      <c r="H387" s="26">
        <f>SIN(2*PI()*$C$3*B387)</f>
        <v/>
      </c>
      <c r="I387" s="26">
        <f>E387*G387+F387*H387</f>
        <v/>
      </c>
    </row>
    <row r="388">
      <c r="A388" s="7" t="n">
        <v>381</v>
      </c>
      <c r="B388" s="26">
        <f>(A388-1)/2000*$C$2</f>
        <v/>
      </c>
      <c r="C388" s="7">
        <f>INDEX(Bits!$E$25:$E$124,INT(B388)+1)</f>
        <v/>
      </c>
      <c r="D388" s="7">
        <f>MAX(1,MIN(INT(B388/$C$4)+1,$C$5))</f>
        <v/>
      </c>
      <c r="E388" s="26">
        <f>IF($C$5=0,0,INDEX(Symboles!$G$6:$G$101,D388))</f>
        <v/>
      </c>
      <c r="F388" s="26">
        <f>IF($C$5=0,0,INDEX(Symboles!$H$6:$H$101,D388))</f>
        <v/>
      </c>
      <c r="G388" s="26">
        <f>COS(2*PI()*$C$3*B388)</f>
        <v/>
      </c>
      <c r="H388" s="26">
        <f>SIN(2*PI()*$C$3*B388)</f>
        <v/>
      </c>
      <c r="I388" s="26">
        <f>E388*G388+F388*H388</f>
        <v/>
      </c>
    </row>
    <row r="389">
      <c r="A389" s="7" t="n">
        <v>382</v>
      </c>
      <c r="B389" s="26">
        <f>(A389-1)/2000*$C$2</f>
        <v/>
      </c>
      <c r="C389" s="7">
        <f>INDEX(Bits!$E$25:$E$124,INT(B389)+1)</f>
        <v/>
      </c>
      <c r="D389" s="7">
        <f>MAX(1,MIN(INT(B389/$C$4)+1,$C$5))</f>
        <v/>
      </c>
      <c r="E389" s="26">
        <f>IF($C$5=0,0,INDEX(Symboles!$G$6:$G$101,D389))</f>
        <v/>
      </c>
      <c r="F389" s="26">
        <f>IF($C$5=0,0,INDEX(Symboles!$H$6:$H$101,D389))</f>
        <v/>
      </c>
      <c r="G389" s="26">
        <f>COS(2*PI()*$C$3*B389)</f>
        <v/>
      </c>
      <c r="H389" s="26">
        <f>SIN(2*PI()*$C$3*B389)</f>
        <v/>
      </c>
      <c r="I389" s="26">
        <f>E389*G389+F389*H389</f>
        <v/>
      </c>
    </row>
    <row r="390">
      <c r="A390" s="7" t="n">
        <v>383</v>
      </c>
      <c r="B390" s="26">
        <f>(A390-1)/2000*$C$2</f>
        <v/>
      </c>
      <c r="C390" s="7">
        <f>INDEX(Bits!$E$25:$E$124,INT(B390)+1)</f>
        <v/>
      </c>
      <c r="D390" s="7">
        <f>MAX(1,MIN(INT(B390/$C$4)+1,$C$5))</f>
        <v/>
      </c>
      <c r="E390" s="26">
        <f>IF($C$5=0,0,INDEX(Symboles!$G$6:$G$101,D390))</f>
        <v/>
      </c>
      <c r="F390" s="26">
        <f>IF($C$5=0,0,INDEX(Symboles!$H$6:$H$101,D390))</f>
        <v/>
      </c>
      <c r="G390" s="26">
        <f>COS(2*PI()*$C$3*B390)</f>
        <v/>
      </c>
      <c r="H390" s="26">
        <f>SIN(2*PI()*$C$3*B390)</f>
        <v/>
      </c>
      <c r="I390" s="26">
        <f>E390*G390+F390*H390</f>
        <v/>
      </c>
    </row>
    <row r="391">
      <c r="A391" s="7" t="n">
        <v>384</v>
      </c>
      <c r="B391" s="26">
        <f>(A391-1)/2000*$C$2</f>
        <v/>
      </c>
      <c r="C391" s="7">
        <f>INDEX(Bits!$E$25:$E$124,INT(B391)+1)</f>
        <v/>
      </c>
      <c r="D391" s="7">
        <f>MAX(1,MIN(INT(B391/$C$4)+1,$C$5))</f>
        <v/>
      </c>
      <c r="E391" s="26">
        <f>IF($C$5=0,0,INDEX(Symboles!$G$6:$G$101,D391))</f>
        <v/>
      </c>
      <c r="F391" s="26">
        <f>IF($C$5=0,0,INDEX(Symboles!$H$6:$H$101,D391))</f>
        <v/>
      </c>
      <c r="G391" s="26">
        <f>COS(2*PI()*$C$3*B391)</f>
        <v/>
      </c>
      <c r="H391" s="26">
        <f>SIN(2*PI()*$C$3*B391)</f>
        <v/>
      </c>
      <c r="I391" s="26">
        <f>E391*G391+F391*H391</f>
        <v/>
      </c>
    </row>
    <row r="392">
      <c r="A392" s="7" t="n">
        <v>385</v>
      </c>
      <c r="B392" s="26">
        <f>(A392-1)/2000*$C$2</f>
        <v/>
      </c>
      <c r="C392" s="7">
        <f>INDEX(Bits!$E$25:$E$124,INT(B392)+1)</f>
        <v/>
      </c>
      <c r="D392" s="7">
        <f>MAX(1,MIN(INT(B392/$C$4)+1,$C$5))</f>
        <v/>
      </c>
      <c r="E392" s="26">
        <f>IF($C$5=0,0,INDEX(Symboles!$G$6:$G$101,D392))</f>
        <v/>
      </c>
      <c r="F392" s="26">
        <f>IF($C$5=0,0,INDEX(Symboles!$H$6:$H$101,D392))</f>
        <v/>
      </c>
      <c r="G392" s="26">
        <f>COS(2*PI()*$C$3*B392)</f>
        <v/>
      </c>
      <c r="H392" s="26">
        <f>SIN(2*PI()*$C$3*B392)</f>
        <v/>
      </c>
      <c r="I392" s="26">
        <f>E392*G392+F392*H392</f>
        <v/>
      </c>
    </row>
    <row r="393">
      <c r="A393" s="7" t="n">
        <v>386</v>
      </c>
      <c r="B393" s="26">
        <f>(A393-1)/2000*$C$2</f>
        <v/>
      </c>
      <c r="C393" s="7">
        <f>INDEX(Bits!$E$25:$E$124,INT(B393)+1)</f>
        <v/>
      </c>
      <c r="D393" s="7">
        <f>MAX(1,MIN(INT(B393/$C$4)+1,$C$5))</f>
        <v/>
      </c>
      <c r="E393" s="26">
        <f>IF($C$5=0,0,INDEX(Symboles!$G$6:$G$101,D393))</f>
        <v/>
      </c>
      <c r="F393" s="26">
        <f>IF($C$5=0,0,INDEX(Symboles!$H$6:$H$101,D393))</f>
        <v/>
      </c>
      <c r="G393" s="26">
        <f>COS(2*PI()*$C$3*B393)</f>
        <v/>
      </c>
      <c r="H393" s="26">
        <f>SIN(2*PI()*$C$3*B393)</f>
        <v/>
      </c>
      <c r="I393" s="26">
        <f>E393*G393+F393*H393</f>
        <v/>
      </c>
    </row>
    <row r="394">
      <c r="A394" s="7" t="n">
        <v>387</v>
      </c>
      <c r="B394" s="26">
        <f>(A394-1)/2000*$C$2</f>
        <v/>
      </c>
      <c r="C394" s="7">
        <f>INDEX(Bits!$E$25:$E$124,INT(B394)+1)</f>
        <v/>
      </c>
      <c r="D394" s="7">
        <f>MAX(1,MIN(INT(B394/$C$4)+1,$C$5))</f>
        <v/>
      </c>
      <c r="E394" s="26">
        <f>IF($C$5=0,0,INDEX(Symboles!$G$6:$G$101,D394))</f>
        <v/>
      </c>
      <c r="F394" s="26">
        <f>IF($C$5=0,0,INDEX(Symboles!$H$6:$H$101,D394))</f>
        <v/>
      </c>
      <c r="G394" s="26">
        <f>COS(2*PI()*$C$3*B394)</f>
        <v/>
      </c>
      <c r="H394" s="26">
        <f>SIN(2*PI()*$C$3*B394)</f>
        <v/>
      </c>
      <c r="I394" s="26">
        <f>E394*G394+F394*H394</f>
        <v/>
      </c>
    </row>
    <row r="395">
      <c r="A395" s="7" t="n">
        <v>388</v>
      </c>
      <c r="B395" s="26">
        <f>(A395-1)/2000*$C$2</f>
        <v/>
      </c>
      <c r="C395" s="7">
        <f>INDEX(Bits!$E$25:$E$124,INT(B395)+1)</f>
        <v/>
      </c>
      <c r="D395" s="7">
        <f>MAX(1,MIN(INT(B395/$C$4)+1,$C$5))</f>
        <v/>
      </c>
      <c r="E395" s="26">
        <f>IF($C$5=0,0,INDEX(Symboles!$G$6:$G$101,D395))</f>
        <v/>
      </c>
      <c r="F395" s="26">
        <f>IF($C$5=0,0,INDEX(Symboles!$H$6:$H$101,D395))</f>
        <v/>
      </c>
      <c r="G395" s="26">
        <f>COS(2*PI()*$C$3*B395)</f>
        <v/>
      </c>
      <c r="H395" s="26">
        <f>SIN(2*PI()*$C$3*B395)</f>
        <v/>
      </c>
      <c r="I395" s="26">
        <f>E395*G395+F395*H395</f>
        <v/>
      </c>
    </row>
    <row r="396">
      <c r="A396" s="7" t="n">
        <v>389</v>
      </c>
      <c r="B396" s="26">
        <f>(A396-1)/2000*$C$2</f>
        <v/>
      </c>
      <c r="C396" s="7">
        <f>INDEX(Bits!$E$25:$E$124,INT(B396)+1)</f>
        <v/>
      </c>
      <c r="D396" s="7">
        <f>MAX(1,MIN(INT(B396/$C$4)+1,$C$5))</f>
        <v/>
      </c>
      <c r="E396" s="26">
        <f>IF($C$5=0,0,INDEX(Symboles!$G$6:$G$101,D396))</f>
        <v/>
      </c>
      <c r="F396" s="26">
        <f>IF($C$5=0,0,INDEX(Symboles!$H$6:$H$101,D396))</f>
        <v/>
      </c>
      <c r="G396" s="26">
        <f>COS(2*PI()*$C$3*B396)</f>
        <v/>
      </c>
      <c r="H396" s="26">
        <f>SIN(2*PI()*$C$3*B396)</f>
        <v/>
      </c>
      <c r="I396" s="26">
        <f>E396*G396+F396*H396</f>
        <v/>
      </c>
    </row>
    <row r="397">
      <c r="A397" s="7" t="n">
        <v>390</v>
      </c>
      <c r="B397" s="26">
        <f>(A397-1)/2000*$C$2</f>
        <v/>
      </c>
      <c r="C397" s="7">
        <f>INDEX(Bits!$E$25:$E$124,INT(B397)+1)</f>
        <v/>
      </c>
      <c r="D397" s="7">
        <f>MAX(1,MIN(INT(B397/$C$4)+1,$C$5))</f>
        <v/>
      </c>
      <c r="E397" s="26">
        <f>IF($C$5=0,0,INDEX(Symboles!$G$6:$G$101,D397))</f>
        <v/>
      </c>
      <c r="F397" s="26">
        <f>IF($C$5=0,0,INDEX(Symboles!$H$6:$H$101,D397))</f>
        <v/>
      </c>
      <c r="G397" s="26">
        <f>COS(2*PI()*$C$3*B397)</f>
        <v/>
      </c>
      <c r="H397" s="26">
        <f>SIN(2*PI()*$C$3*B397)</f>
        <v/>
      </c>
      <c r="I397" s="26">
        <f>E397*G397+F397*H397</f>
        <v/>
      </c>
    </row>
    <row r="398">
      <c r="A398" s="7" t="n">
        <v>391</v>
      </c>
      <c r="B398" s="26">
        <f>(A398-1)/2000*$C$2</f>
        <v/>
      </c>
      <c r="C398" s="7">
        <f>INDEX(Bits!$E$25:$E$124,INT(B398)+1)</f>
        <v/>
      </c>
      <c r="D398" s="7">
        <f>MAX(1,MIN(INT(B398/$C$4)+1,$C$5))</f>
        <v/>
      </c>
      <c r="E398" s="26">
        <f>IF($C$5=0,0,INDEX(Symboles!$G$6:$G$101,D398))</f>
        <v/>
      </c>
      <c r="F398" s="26">
        <f>IF($C$5=0,0,INDEX(Symboles!$H$6:$H$101,D398))</f>
        <v/>
      </c>
      <c r="G398" s="26">
        <f>COS(2*PI()*$C$3*B398)</f>
        <v/>
      </c>
      <c r="H398" s="26">
        <f>SIN(2*PI()*$C$3*B398)</f>
        <v/>
      </c>
      <c r="I398" s="26">
        <f>E398*G398+F398*H398</f>
        <v/>
      </c>
    </row>
    <row r="399">
      <c r="A399" s="7" t="n">
        <v>392</v>
      </c>
      <c r="B399" s="26">
        <f>(A399-1)/2000*$C$2</f>
        <v/>
      </c>
      <c r="C399" s="7">
        <f>INDEX(Bits!$E$25:$E$124,INT(B399)+1)</f>
        <v/>
      </c>
      <c r="D399" s="7">
        <f>MAX(1,MIN(INT(B399/$C$4)+1,$C$5))</f>
        <v/>
      </c>
      <c r="E399" s="26">
        <f>IF($C$5=0,0,INDEX(Symboles!$G$6:$G$101,D399))</f>
        <v/>
      </c>
      <c r="F399" s="26">
        <f>IF($C$5=0,0,INDEX(Symboles!$H$6:$H$101,D399))</f>
        <v/>
      </c>
      <c r="G399" s="26">
        <f>COS(2*PI()*$C$3*B399)</f>
        <v/>
      </c>
      <c r="H399" s="26">
        <f>SIN(2*PI()*$C$3*B399)</f>
        <v/>
      </c>
      <c r="I399" s="26">
        <f>E399*G399+F399*H399</f>
        <v/>
      </c>
    </row>
    <row r="400">
      <c r="A400" s="7" t="n">
        <v>393</v>
      </c>
      <c r="B400" s="26">
        <f>(A400-1)/2000*$C$2</f>
        <v/>
      </c>
      <c r="C400" s="7">
        <f>INDEX(Bits!$E$25:$E$124,INT(B400)+1)</f>
        <v/>
      </c>
      <c r="D400" s="7">
        <f>MAX(1,MIN(INT(B400/$C$4)+1,$C$5))</f>
        <v/>
      </c>
      <c r="E400" s="26">
        <f>IF($C$5=0,0,INDEX(Symboles!$G$6:$G$101,D400))</f>
        <v/>
      </c>
      <c r="F400" s="26">
        <f>IF($C$5=0,0,INDEX(Symboles!$H$6:$H$101,D400))</f>
        <v/>
      </c>
      <c r="G400" s="26">
        <f>COS(2*PI()*$C$3*B400)</f>
        <v/>
      </c>
      <c r="H400" s="26">
        <f>SIN(2*PI()*$C$3*B400)</f>
        <v/>
      </c>
      <c r="I400" s="26">
        <f>E400*G400+F400*H400</f>
        <v/>
      </c>
    </row>
    <row r="401">
      <c r="A401" s="7" t="n">
        <v>394</v>
      </c>
      <c r="B401" s="26">
        <f>(A401-1)/2000*$C$2</f>
        <v/>
      </c>
      <c r="C401" s="7">
        <f>INDEX(Bits!$E$25:$E$124,INT(B401)+1)</f>
        <v/>
      </c>
      <c r="D401" s="7">
        <f>MAX(1,MIN(INT(B401/$C$4)+1,$C$5))</f>
        <v/>
      </c>
      <c r="E401" s="26">
        <f>IF($C$5=0,0,INDEX(Symboles!$G$6:$G$101,D401))</f>
        <v/>
      </c>
      <c r="F401" s="26">
        <f>IF($C$5=0,0,INDEX(Symboles!$H$6:$H$101,D401))</f>
        <v/>
      </c>
      <c r="G401" s="26">
        <f>COS(2*PI()*$C$3*B401)</f>
        <v/>
      </c>
      <c r="H401" s="26">
        <f>SIN(2*PI()*$C$3*B401)</f>
        <v/>
      </c>
      <c r="I401" s="26">
        <f>E401*G401+F401*H401</f>
        <v/>
      </c>
    </row>
    <row r="402">
      <c r="A402" s="7" t="n">
        <v>395</v>
      </c>
      <c r="B402" s="26">
        <f>(A402-1)/2000*$C$2</f>
        <v/>
      </c>
      <c r="C402" s="7">
        <f>INDEX(Bits!$E$25:$E$124,INT(B402)+1)</f>
        <v/>
      </c>
      <c r="D402" s="7">
        <f>MAX(1,MIN(INT(B402/$C$4)+1,$C$5))</f>
        <v/>
      </c>
      <c r="E402" s="26">
        <f>IF($C$5=0,0,INDEX(Symboles!$G$6:$G$101,D402))</f>
        <v/>
      </c>
      <c r="F402" s="26">
        <f>IF($C$5=0,0,INDEX(Symboles!$H$6:$H$101,D402))</f>
        <v/>
      </c>
      <c r="G402" s="26">
        <f>COS(2*PI()*$C$3*B402)</f>
        <v/>
      </c>
      <c r="H402" s="26">
        <f>SIN(2*PI()*$C$3*B402)</f>
        <v/>
      </c>
      <c r="I402" s="26">
        <f>E402*G402+F402*H402</f>
        <v/>
      </c>
    </row>
    <row r="403">
      <c r="A403" s="7" t="n">
        <v>396</v>
      </c>
      <c r="B403" s="26">
        <f>(A403-1)/2000*$C$2</f>
        <v/>
      </c>
      <c r="C403" s="7">
        <f>INDEX(Bits!$E$25:$E$124,INT(B403)+1)</f>
        <v/>
      </c>
      <c r="D403" s="7">
        <f>MAX(1,MIN(INT(B403/$C$4)+1,$C$5))</f>
        <v/>
      </c>
      <c r="E403" s="26">
        <f>IF($C$5=0,0,INDEX(Symboles!$G$6:$G$101,D403))</f>
        <v/>
      </c>
      <c r="F403" s="26">
        <f>IF($C$5=0,0,INDEX(Symboles!$H$6:$H$101,D403))</f>
        <v/>
      </c>
      <c r="G403" s="26">
        <f>COS(2*PI()*$C$3*B403)</f>
        <v/>
      </c>
      <c r="H403" s="26">
        <f>SIN(2*PI()*$C$3*B403)</f>
        <v/>
      </c>
      <c r="I403" s="26">
        <f>E403*G403+F403*H403</f>
        <v/>
      </c>
    </row>
    <row r="404">
      <c r="A404" s="7" t="n">
        <v>397</v>
      </c>
      <c r="B404" s="26">
        <f>(A404-1)/2000*$C$2</f>
        <v/>
      </c>
      <c r="C404" s="7">
        <f>INDEX(Bits!$E$25:$E$124,INT(B404)+1)</f>
        <v/>
      </c>
      <c r="D404" s="7">
        <f>MAX(1,MIN(INT(B404/$C$4)+1,$C$5))</f>
        <v/>
      </c>
      <c r="E404" s="26">
        <f>IF($C$5=0,0,INDEX(Symboles!$G$6:$G$101,D404))</f>
        <v/>
      </c>
      <c r="F404" s="26">
        <f>IF($C$5=0,0,INDEX(Symboles!$H$6:$H$101,D404))</f>
        <v/>
      </c>
      <c r="G404" s="26">
        <f>COS(2*PI()*$C$3*B404)</f>
        <v/>
      </c>
      <c r="H404" s="26">
        <f>SIN(2*PI()*$C$3*B404)</f>
        <v/>
      </c>
      <c r="I404" s="26">
        <f>E404*G404+F404*H404</f>
        <v/>
      </c>
    </row>
    <row r="405">
      <c r="A405" s="7" t="n">
        <v>398</v>
      </c>
      <c r="B405" s="26">
        <f>(A405-1)/2000*$C$2</f>
        <v/>
      </c>
      <c r="C405" s="7">
        <f>INDEX(Bits!$E$25:$E$124,INT(B405)+1)</f>
        <v/>
      </c>
      <c r="D405" s="7">
        <f>MAX(1,MIN(INT(B405/$C$4)+1,$C$5))</f>
        <v/>
      </c>
      <c r="E405" s="26">
        <f>IF($C$5=0,0,INDEX(Symboles!$G$6:$G$101,D405))</f>
        <v/>
      </c>
      <c r="F405" s="26">
        <f>IF($C$5=0,0,INDEX(Symboles!$H$6:$H$101,D405))</f>
        <v/>
      </c>
      <c r="G405" s="26">
        <f>COS(2*PI()*$C$3*B405)</f>
        <v/>
      </c>
      <c r="H405" s="26">
        <f>SIN(2*PI()*$C$3*B405)</f>
        <v/>
      </c>
      <c r="I405" s="26">
        <f>E405*G405+F405*H405</f>
        <v/>
      </c>
    </row>
    <row r="406">
      <c r="A406" s="7" t="n">
        <v>399</v>
      </c>
      <c r="B406" s="26">
        <f>(A406-1)/2000*$C$2</f>
        <v/>
      </c>
      <c r="C406" s="7">
        <f>INDEX(Bits!$E$25:$E$124,INT(B406)+1)</f>
        <v/>
      </c>
      <c r="D406" s="7">
        <f>MAX(1,MIN(INT(B406/$C$4)+1,$C$5))</f>
        <v/>
      </c>
      <c r="E406" s="26">
        <f>IF($C$5=0,0,INDEX(Symboles!$G$6:$G$101,D406))</f>
        <v/>
      </c>
      <c r="F406" s="26">
        <f>IF($C$5=0,0,INDEX(Symboles!$H$6:$H$101,D406))</f>
        <v/>
      </c>
      <c r="G406" s="26">
        <f>COS(2*PI()*$C$3*B406)</f>
        <v/>
      </c>
      <c r="H406" s="26">
        <f>SIN(2*PI()*$C$3*B406)</f>
        <v/>
      </c>
      <c r="I406" s="26">
        <f>E406*G406+F406*H406</f>
        <v/>
      </c>
    </row>
    <row r="407">
      <c r="A407" s="7" t="n">
        <v>400</v>
      </c>
      <c r="B407" s="26">
        <f>(A407-1)/2000*$C$2</f>
        <v/>
      </c>
      <c r="C407" s="7">
        <f>INDEX(Bits!$E$25:$E$124,INT(B407)+1)</f>
        <v/>
      </c>
      <c r="D407" s="7">
        <f>MAX(1,MIN(INT(B407/$C$4)+1,$C$5))</f>
        <v/>
      </c>
      <c r="E407" s="26">
        <f>IF($C$5=0,0,INDEX(Symboles!$G$6:$G$101,D407))</f>
        <v/>
      </c>
      <c r="F407" s="26">
        <f>IF($C$5=0,0,INDEX(Symboles!$H$6:$H$101,D407))</f>
        <v/>
      </c>
      <c r="G407" s="26">
        <f>COS(2*PI()*$C$3*B407)</f>
        <v/>
      </c>
      <c r="H407" s="26">
        <f>SIN(2*PI()*$C$3*B407)</f>
        <v/>
      </c>
      <c r="I407" s="26">
        <f>E407*G407+F407*H407</f>
        <v/>
      </c>
    </row>
    <row r="408">
      <c r="A408" s="7" t="n">
        <v>401</v>
      </c>
      <c r="B408" s="26">
        <f>(A408-1)/2000*$C$2</f>
        <v/>
      </c>
      <c r="C408" s="7">
        <f>INDEX(Bits!$E$25:$E$124,INT(B408)+1)</f>
        <v/>
      </c>
      <c r="D408" s="7">
        <f>MAX(1,MIN(INT(B408/$C$4)+1,$C$5))</f>
        <v/>
      </c>
      <c r="E408" s="26">
        <f>IF($C$5=0,0,INDEX(Symboles!$G$6:$G$101,D408))</f>
        <v/>
      </c>
      <c r="F408" s="26">
        <f>IF($C$5=0,0,INDEX(Symboles!$H$6:$H$101,D408))</f>
        <v/>
      </c>
      <c r="G408" s="26">
        <f>COS(2*PI()*$C$3*B408)</f>
        <v/>
      </c>
      <c r="H408" s="26">
        <f>SIN(2*PI()*$C$3*B408)</f>
        <v/>
      </c>
      <c r="I408" s="26">
        <f>E408*G408+F408*H408</f>
        <v/>
      </c>
    </row>
    <row r="409">
      <c r="A409" s="7" t="n">
        <v>402</v>
      </c>
      <c r="B409" s="26">
        <f>(A409-1)/2000*$C$2</f>
        <v/>
      </c>
      <c r="C409" s="7">
        <f>INDEX(Bits!$E$25:$E$124,INT(B409)+1)</f>
        <v/>
      </c>
      <c r="D409" s="7">
        <f>MAX(1,MIN(INT(B409/$C$4)+1,$C$5))</f>
        <v/>
      </c>
      <c r="E409" s="26">
        <f>IF($C$5=0,0,INDEX(Symboles!$G$6:$G$101,D409))</f>
        <v/>
      </c>
      <c r="F409" s="26">
        <f>IF($C$5=0,0,INDEX(Symboles!$H$6:$H$101,D409))</f>
        <v/>
      </c>
      <c r="G409" s="26">
        <f>COS(2*PI()*$C$3*B409)</f>
        <v/>
      </c>
      <c r="H409" s="26">
        <f>SIN(2*PI()*$C$3*B409)</f>
        <v/>
      </c>
      <c r="I409" s="26">
        <f>E409*G409+F409*H409</f>
        <v/>
      </c>
    </row>
    <row r="410">
      <c r="A410" s="7" t="n">
        <v>403</v>
      </c>
      <c r="B410" s="26">
        <f>(A410-1)/2000*$C$2</f>
        <v/>
      </c>
      <c r="C410" s="7">
        <f>INDEX(Bits!$E$25:$E$124,INT(B410)+1)</f>
        <v/>
      </c>
      <c r="D410" s="7">
        <f>MAX(1,MIN(INT(B410/$C$4)+1,$C$5))</f>
        <v/>
      </c>
      <c r="E410" s="26">
        <f>IF($C$5=0,0,INDEX(Symboles!$G$6:$G$101,D410))</f>
        <v/>
      </c>
      <c r="F410" s="26">
        <f>IF($C$5=0,0,INDEX(Symboles!$H$6:$H$101,D410))</f>
        <v/>
      </c>
      <c r="G410" s="26">
        <f>COS(2*PI()*$C$3*B410)</f>
        <v/>
      </c>
      <c r="H410" s="26">
        <f>SIN(2*PI()*$C$3*B410)</f>
        <v/>
      </c>
      <c r="I410" s="26">
        <f>E410*G410+F410*H410</f>
        <v/>
      </c>
    </row>
    <row r="411">
      <c r="A411" s="7" t="n">
        <v>404</v>
      </c>
      <c r="B411" s="26">
        <f>(A411-1)/2000*$C$2</f>
        <v/>
      </c>
      <c r="C411" s="7">
        <f>INDEX(Bits!$E$25:$E$124,INT(B411)+1)</f>
        <v/>
      </c>
      <c r="D411" s="7">
        <f>MAX(1,MIN(INT(B411/$C$4)+1,$C$5))</f>
        <v/>
      </c>
      <c r="E411" s="26">
        <f>IF($C$5=0,0,INDEX(Symboles!$G$6:$G$101,D411))</f>
        <v/>
      </c>
      <c r="F411" s="26">
        <f>IF($C$5=0,0,INDEX(Symboles!$H$6:$H$101,D411))</f>
        <v/>
      </c>
      <c r="G411" s="26">
        <f>COS(2*PI()*$C$3*B411)</f>
        <v/>
      </c>
      <c r="H411" s="26">
        <f>SIN(2*PI()*$C$3*B411)</f>
        <v/>
      </c>
      <c r="I411" s="26">
        <f>E411*G411+F411*H411</f>
        <v/>
      </c>
    </row>
    <row r="412">
      <c r="A412" s="7" t="n">
        <v>405</v>
      </c>
      <c r="B412" s="26">
        <f>(A412-1)/2000*$C$2</f>
        <v/>
      </c>
      <c r="C412" s="7">
        <f>INDEX(Bits!$E$25:$E$124,INT(B412)+1)</f>
        <v/>
      </c>
      <c r="D412" s="7">
        <f>MAX(1,MIN(INT(B412/$C$4)+1,$C$5))</f>
        <v/>
      </c>
      <c r="E412" s="26">
        <f>IF($C$5=0,0,INDEX(Symboles!$G$6:$G$101,D412))</f>
        <v/>
      </c>
      <c r="F412" s="26">
        <f>IF($C$5=0,0,INDEX(Symboles!$H$6:$H$101,D412))</f>
        <v/>
      </c>
      <c r="G412" s="26">
        <f>COS(2*PI()*$C$3*B412)</f>
        <v/>
      </c>
      <c r="H412" s="26">
        <f>SIN(2*PI()*$C$3*B412)</f>
        <v/>
      </c>
      <c r="I412" s="26">
        <f>E412*G412+F412*H412</f>
        <v/>
      </c>
    </row>
    <row r="413">
      <c r="A413" s="7" t="n">
        <v>406</v>
      </c>
      <c r="B413" s="26">
        <f>(A413-1)/2000*$C$2</f>
        <v/>
      </c>
      <c r="C413" s="7">
        <f>INDEX(Bits!$E$25:$E$124,INT(B413)+1)</f>
        <v/>
      </c>
      <c r="D413" s="7">
        <f>MAX(1,MIN(INT(B413/$C$4)+1,$C$5))</f>
        <v/>
      </c>
      <c r="E413" s="26">
        <f>IF($C$5=0,0,INDEX(Symboles!$G$6:$G$101,D413))</f>
        <v/>
      </c>
      <c r="F413" s="26">
        <f>IF($C$5=0,0,INDEX(Symboles!$H$6:$H$101,D413))</f>
        <v/>
      </c>
      <c r="G413" s="26">
        <f>COS(2*PI()*$C$3*B413)</f>
        <v/>
      </c>
      <c r="H413" s="26">
        <f>SIN(2*PI()*$C$3*B413)</f>
        <v/>
      </c>
      <c r="I413" s="26">
        <f>E413*G413+F413*H413</f>
        <v/>
      </c>
    </row>
    <row r="414">
      <c r="A414" s="7" t="n">
        <v>407</v>
      </c>
      <c r="B414" s="26">
        <f>(A414-1)/2000*$C$2</f>
        <v/>
      </c>
      <c r="C414" s="7">
        <f>INDEX(Bits!$E$25:$E$124,INT(B414)+1)</f>
        <v/>
      </c>
      <c r="D414" s="7">
        <f>MAX(1,MIN(INT(B414/$C$4)+1,$C$5))</f>
        <v/>
      </c>
      <c r="E414" s="26">
        <f>IF($C$5=0,0,INDEX(Symboles!$G$6:$G$101,D414))</f>
        <v/>
      </c>
      <c r="F414" s="26">
        <f>IF($C$5=0,0,INDEX(Symboles!$H$6:$H$101,D414))</f>
        <v/>
      </c>
      <c r="G414" s="26">
        <f>COS(2*PI()*$C$3*B414)</f>
        <v/>
      </c>
      <c r="H414" s="26">
        <f>SIN(2*PI()*$C$3*B414)</f>
        <v/>
      </c>
      <c r="I414" s="26">
        <f>E414*G414+F414*H414</f>
        <v/>
      </c>
    </row>
    <row r="415">
      <c r="A415" s="7" t="n">
        <v>408</v>
      </c>
      <c r="B415" s="26">
        <f>(A415-1)/2000*$C$2</f>
        <v/>
      </c>
      <c r="C415" s="7">
        <f>INDEX(Bits!$E$25:$E$124,INT(B415)+1)</f>
        <v/>
      </c>
      <c r="D415" s="7">
        <f>MAX(1,MIN(INT(B415/$C$4)+1,$C$5))</f>
        <v/>
      </c>
      <c r="E415" s="26">
        <f>IF($C$5=0,0,INDEX(Symboles!$G$6:$G$101,D415))</f>
        <v/>
      </c>
      <c r="F415" s="26">
        <f>IF($C$5=0,0,INDEX(Symboles!$H$6:$H$101,D415))</f>
        <v/>
      </c>
      <c r="G415" s="26">
        <f>COS(2*PI()*$C$3*B415)</f>
        <v/>
      </c>
      <c r="H415" s="26">
        <f>SIN(2*PI()*$C$3*B415)</f>
        <v/>
      </c>
      <c r="I415" s="26">
        <f>E415*G415+F415*H415</f>
        <v/>
      </c>
    </row>
    <row r="416">
      <c r="A416" s="7" t="n">
        <v>409</v>
      </c>
      <c r="B416" s="26">
        <f>(A416-1)/2000*$C$2</f>
        <v/>
      </c>
      <c r="C416" s="7">
        <f>INDEX(Bits!$E$25:$E$124,INT(B416)+1)</f>
        <v/>
      </c>
      <c r="D416" s="7">
        <f>MAX(1,MIN(INT(B416/$C$4)+1,$C$5))</f>
        <v/>
      </c>
      <c r="E416" s="26">
        <f>IF($C$5=0,0,INDEX(Symboles!$G$6:$G$101,D416))</f>
        <v/>
      </c>
      <c r="F416" s="26">
        <f>IF($C$5=0,0,INDEX(Symboles!$H$6:$H$101,D416))</f>
        <v/>
      </c>
      <c r="G416" s="26">
        <f>COS(2*PI()*$C$3*B416)</f>
        <v/>
      </c>
      <c r="H416" s="26">
        <f>SIN(2*PI()*$C$3*B416)</f>
        <v/>
      </c>
      <c r="I416" s="26">
        <f>E416*G416+F416*H416</f>
        <v/>
      </c>
    </row>
    <row r="417">
      <c r="A417" s="7" t="n">
        <v>410</v>
      </c>
      <c r="B417" s="26">
        <f>(A417-1)/2000*$C$2</f>
        <v/>
      </c>
      <c r="C417" s="7">
        <f>INDEX(Bits!$E$25:$E$124,INT(B417)+1)</f>
        <v/>
      </c>
      <c r="D417" s="7">
        <f>MAX(1,MIN(INT(B417/$C$4)+1,$C$5))</f>
        <v/>
      </c>
      <c r="E417" s="26">
        <f>IF($C$5=0,0,INDEX(Symboles!$G$6:$G$101,D417))</f>
        <v/>
      </c>
      <c r="F417" s="26">
        <f>IF($C$5=0,0,INDEX(Symboles!$H$6:$H$101,D417))</f>
        <v/>
      </c>
      <c r="G417" s="26">
        <f>COS(2*PI()*$C$3*B417)</f>
        <v/>
      </c>
      <c r="H417" s="26">
        <f>SIN(2*PI()*$C$3*B417)</f>
        <v/>
      </c>
      <c r="I417" s="26">
        <f>E417*G417+F417*H417</f>
        <v/>
      </c>
    </row>
    <row r="418">
      <c r="A418" s="7" t="n">
        <v>411</v>
      </c>
      <c r="B418" s="26">
        <f>(A418-1)/2000*$C$2</f>
        <v/>
      </c>
      <c r="C418" s="7">
        <f>INDEX(Bits!$E$25:$E$124,INT(B418)+1)</f>
        <v/>
      </c>
      <c r="D418" s="7">
        <f>MAX(1,MIN(INT(B418/$C$4)+1,$C$5))</f>
        <v/>
      </c>
      <c r="E418" s="26">
        <f>IF($C$5=0,0,INDEX(Symboles!$G$6:$G$101,D418))</f>
        <v/>
      </c>
      <c r="F418" s="26">
        <f>IF($C$5=0,0,INDEX(Symboles!$H$6:$H$101,D418))</f>
        <v/>
      </c>
      <c r="G418" s="26">
        <f>COS(2*PI()*$C$3*B418)</f>
        <v/>
      </c>
      <c r="H418" s="26">
        <f>SIN(2*PI()*$C$3*B418)</f>
        <v/>
      </c>
      <c r="I418" s="26">
        <f>E418*G418+F418*H418</f>
        <v/>
      </c>
    </row>
    <row r="419">
      <c r="A419" s="7" t="n">
        <v>412</v>
      </c>
      <c r="B419" s="26">
        <f>(A419-1)/2000*$C$2</f>
        <v/>
      </c>
      <c r="C419" s="7">
        <f>INDEX(Bits!$E$25:$E$124,INT(B419)+1)</f>
        <v/>
      </c>
      <c r="D419" s="7">
        <f>MAX(1,MIN(INT(B419/$C$4)+1,$C$5))</f>
        <v/>
      </c>
      <c r="E419" s="26">
        <f>IF($C$5=0,0,INDEX(Symboles!$G$6:$G$101,D419))</f>
        <v/>
      </c>
      <c r="F419" s="26">
        <f>IF($C$5=0,0,INDEX(Symboles!$H$6:$H$101,D419))</f>
        <v/>
      </c>
      <c r="G419" s="26">
        <f>COS(2*PI()*$C$3*B419)</f>
        <v/>
      </c>
      <c r="H419" s="26">
        <f>SIN(2*PI()*$C$3*B419)</f>
        <v/>
      </c>
      <c r="I419" s="26">
        <f>E419*G419+F419*H419</f>
        <v/>
      </c>
    </row>
    <row r="420">
      <c r="A420" s="7" t="n">
        <v>413</v>
      </c>
      <c r="B420" s="26">
        <f>(A420-1)/2000*$C$2</f>
        <v/>
      </c>
      <c r="C420" s="7">
        <f>INDEX(Bits!$E$25:$E$124,INT(B420)+1)</f>
        <v/>
      </c>
      <c r="D420" s="7">
        <f>MAX(1,MIN(INT(B420/$C$4)+1,$C$5))</f>
        <v/>
      </c>
      <c r="E420" s="26">
        <f>IF($C$5=0,0,INDEX(Symboles!$G$6:$G$101,D420))</f>
        <v/>
      </c>
      <c r="F420" s="26">
        <f>IF($C$5=0,0,INDEX(Symboles!$H$6:$H$101,D420))</f>
        <v/>
      </c>
      <c r="G420" s="26">
        <f>COS(2*PI()*$C$3*B420)</f>
        <v/>
      </c>
      <c r="H420" s="26">
        <f>SIN(2*PI()*$C$3*B420)</f>
        <v/>
      </c>
      <c r="I420" s="26">
        <f>E420*G420+F420*H420</f>
        <v/>
      </c>
    </row>
    <row r="421">
      <c r="A421" s="7" t="n">
        <v>414</v>
      </c>
      <c r="B421" s="26">
        <f>(A421-1)/2000*$C$2</f>
        <v/>
      </c>
      <c r="C421" s="7">
        <f>INDEX(Bits!$E$25:$E$124,INT(B421)+1)</f>
        <v/>
      </c>
      <c r="D421" s="7">
        <f>MAX(1,MIN(INT(B421/$C$4)+1,$C$5))</f>
        <v/>
      </c>
      <c r="E421" s="26">
        <f>IF($C$5=0,0,INDEX(Symboles!$G$6:$G$101,D421))</f>
        <v/>
      </c>
      <c r="F421" s="26">
        <f>IF($C$5=0,0,INDEX(Symboles!$H$6:$H$101,D421))</f>
        <v/>
      </c>
      <c r="G421" s="26">
        <f>COS(2*PI()*$C$3*B421)</f>
        <v/>
      </c>
      <c r="H421" s="26">
        <f>SIN(2*PI()*$C$3*B421)</f>
        <v/>
      </c>
      <c r="I421" s="26">
        <f>E421*G421+F421*H421</f>
        <v/>
      </c>
    </row>
    <row r="422">
      <c r="A422" s="7" t="n">
        <v>415</v>
      </c>
      <c r="B422" s="26">
        <f>(A422-1)/2000*$C$2</f>
        <v/>
      </c>
      <c r="C422" s="7">
        <f>INDEX(Bits!$E$25:$E$124,INT(B422)+1)</f>
        <v/>
      </c>
      <c r="D422" s="7">
        <f>MAX(1,MIN(INT(B422/$C$4)+1,$C$5))</f>
        <v/>
      </c>
      <c r="E422" s="26">
        <f>IF($C$5=0,0,INDEX(Symboles!$G$6:$G$101,D422))</f>
        <v/>
      </c>
      <c r="F422" s="26">
        <f>IF($C$5=0,0,INDEX(Symboles!$H$6:$H$101,D422))</f>
        <v/>
      </c>
      <c r="G422" s="26">
        <f>COS(2*PI()*$C$3*B422)</f>
        <v/>
      </c>
      <c r="H422" s="26">
        <f>SIN(2*PI()*$C$3*B422)</f>
        <v/>
      </c>
      <c r="I422" s="26">
        <f>E422*G422+F422*H422</f>
        <v/>
      </c>
    </row>
    <row r="423">
      <c r="A423" s="7" t="n">
        <v>416</v>
      </c>
      <c r="B423" s="26">
        <f>(A423-1)/2000*$C$2</f>
        <v/>
      </c>
      <c r="C423" s="7">
        <f>INDEX(Bits!$E$25:$E$124,INT(B423)+1)</f>
        <v/>
      </c>
      <c r="D423" s="7">
        <f>MAX(1,MIN(INT(B423/$C$4)+1,$C$5))</f>
        <v/>
      </c>
      <c r="E423" s="26">
        <f>IF($C$5=0,0,INDEX(Symboles!$G$6:$G$101,D423))</f>
        <v/>
      </c>
      <c r="F423" s="26">
        <f>IF($C$5=0,0,INDEX(Symboles!$H$6:$H$101,D423))</f>
        <v/>
      </c>
      <c r="G423" s="26">
        <f>COS(2*PI()*$C$3*B423)</f>
        <v/>
      </c>
      <c r="H423" s="26">
        <f>SIN(2*PI()*$C$3*B423)</f>
        <v/>
      </c>
      <c r="I423" s="26">
        <f>E423*G423+F423*H423</f>
        <v/>
      </c>
    </row>
    <row r="424">
      <c r="A424" s="7" t="n">
        <v>417</v>
      </c>
      <c r="B424" s="26">
        <f>(A424-1)/2000*$C$2</f>
        <v/>
      </c>
      <c r="C424" s="7">
        <f>INDEX(Bits!$E$25:$E$124,INT(B424)+1)</f>
        <v/>
      </c>
      <c r="D424" s="7">
        <f>MAX(1,MIN(INT(B424/$C$4)+1,$C$5))</f>
        <v/>
      </c>
      <c r="E424" s="26">
        <f>IF($C$5=0,0,INDEX(Symboles!$G$6:$G$101,D424))</f>
        <v/>
      </c>
      <c r="F424" s="26">
        <f>IF($C$5=0,0,INDEX(Symboles!$H$6:$H$101,D424))</f>
        <v/>
      </c>
      <c r="G424" s="26">
        <f>COS(2*PI()*$C$3*B424)</f>
        <v/>
      </c>
      <c r="H424" s="26">
        <f>SIN(2*PI()*$C$3*B424)</f>
        <v/>
      </c>
      <c r="I424" s="26">
        <f>E424*G424+F424*H424</f>
        <v/>
      </c>
    </row>
    <row r="425">
      <c r="A425" s="7" t="n">
        <v>418</v>
      </c>
      <c r="B425" s="26">
        <f>(A425-1)/2000*$C$2</f>
        <v/>
      </c>
      <c r="C425" s="7">
        <f>INDEX(Bits!$E$25:$E$124,INT(B425)+1)</f>
        <v/>
      </c>
      <c r="D425" s="7">
        <f>MAX(1,MIN(INT(B425/$C$4)+1,$C$5))</f>
        <v/>
      </c>
      <c r="E425" s="26">
        <f>IF($C$5=0,0,INDEX(Symboles!$G$6:$G$101,D425))</f>
        <v/>
      </c>
      <c r="F425" s="26">
        <f>IF($C$5=0,0,INDEX(Symboles!$H$6:$H$101,D425))</f>
        <v/>
      </c>
      <c r="G425" s="26">
        <f>COS(2*PI()*$C$3*B425)</f>
        <v/>
      </c>
      <c r="H425" s="26">
        <f>SIN(2*PI()*$C$3*B425)</f>
        <v/>
      </c>
      <c r="I425" s="26">
        <f>E425*G425+F425*H425</f>
        <v/>
      </c>
    </row>
    <row r="426">
      <c r="A426" s="7" t="n">
        <v>419</v>
      </c>
      <c r="B426" s="26">
        <f>(A426-1)/2000*$C$2</f>
        <v/>
      </c>
      <c r="C426" s="7">
        <f>INDEX(Bits!$E$25:$E$124,INT(B426)+1)</f>
        <v/>
      </c>
      <c r="D426" s="7">
        <f>MAX(1,MIN(INT(B426/$C$4)+1,$C$5))</f>
        <v/>
      </c>
      <c r="E426" s="26">
        <f>IF($C$5=0,0,INDEX(Symboles!$G$6:$G$101,D426))</f>
        <v/>
      </c>
      <c r="F426" s="26">
        <f>IF($C$5=0,0,INDEX(Symboles!$H$6:$H$101,D426))</f>
        <v/>
      </c>
      <c r="G426" s="26">
        <f>COS(2*PI()*$C$3*B426)</f>
        <v/>
      </c>
      <c r="H426" s="26">
        <f>SIN(2*PI()*$C$3*B426)</f>
        <v/>
      </c>
      <c r="I426" s="26">
        <f>E426*G426+F426*H426</f>
        <v/>
      </c>
    </row>
    <row r="427">
      <c r="A427" s="7" t="n">
        <v>420</v>
      </c>
      <c r="B427" s="26">
        <f>(A427-1)/2000*$C$2</f>
        <v/>
      </c>
      <c r="C427" s="7">
        <f>INDEX(Bits!$E$25:$E$124,INT(B427)+1)</f>
        <v/>
      </c>
      <c r="D427" s="7">
        <f>MAX(1,MIN(INT(B427/$C$4)+1,$C$5))</f>
        <v/>
      </c>
      <c r="E427" s="26">
        <f>IF($C$5=0,0,INDEX(Symboles!$G$6:$G$101,D427))</f>
        <v/>
      </c>
      <c r="F427" s="26">
        <f>IF($C$5=0,0,INDEX(Symboles!$H$6:$H$101,D427))</f>
        <v/>
      </c>
      <c r="G427" s="26">
        <f>COS(2*PI()*$C$3*B427)</f>
        <v/>
      </c>
      <c r="H427" s="26">
        <f>SIN(2*PI()*$C$3*B427)</f>
        <v/>
      </c>
      <c r="I427" s="26">
        <f>E427*G427+F427*H427</f>
        <v/>
      </c>
    </row>
    <row r="428">
      <c r="A428" s="7" t="n">
        <v>421</v>
      </c>
      <c r="B428" s="26">
        <f>(A428-1)/2000*$C$2</f>
        <v/>
      </c>
      <c r="C428" s="7">
        <f>INDEX(Bits!$E$25:$E$124,INT(B428)+1)</f>
        <v/>
      </c>
      <c r="D428" s="7">
        <f>MAX(1,MIN(INT(B428/$C$4)+1,$C$5))</f>
        <v/>
      </c>
      <c r="E428" s="26">
        <f>IF($C$5=0,0,INDEX(Symboles!$G$6:$G$101,D428))</f>
        <v/>
      </c>
      <c r="F428" s="26">
        <f>IF($C$5=0,0,INDEX(Symboles!$H$6:$H$101,D428))</f>
        <v/>
      </c>
      <c r="G428" s="26">
        <f>COS(2*PI()*$C$3*B428)</f>
        <v/>
      </c>
      <c r="H428" s="26">
        <f>SIN(2*PI()*$C$3*B428)</f>
        <v/>
      </c>
      <c r="I428" s="26">
        <f>E428*G428+F428*H428</f>
        <v/>
      </c>
    </row>
    <row r="429">
      <c r="A429" s="7" t="n">
        <v>422</v>
      </c>
      <c r="B429" s="26">
        <f>(A429-1)/2000*$C$2</f>
        <v/>
      </c>
      <c r="C429" s="7">
        <f>INDEX(Bits!$E$25:$E$124,INT(B429)+1)</f>
        <v/>
      </c>
      <c r="D429" s="7">
        <f>MAX(1,MIN(INT(B429/$C$4)+1,$C$5))</f>
        <v/>
      </c>
      <c r="E429" s="26">
        <f>IF($C$5=0,0,INDEX(Symboles!$G$6:$G$101,D429))</f>
        <v/>
      </c>
      <c r="F429" s="26">
        <f>IF($C$5=0,0,INDEX(Symboles!$H$6:$H$101,D429))</f>
        <v/>
      </c>
      <c r="G429" s="26">
        <f>COS(2*PI()*$C$3*B429)</f>
        <v/>
      </c>
      <c r="H429" s="26">
        <f>SIN(2*PI()*$C$3*B429)</f>
        <v/>
      </c>
      <c r="I429" s="26">
        <f>E429*G429+F429*H429</f>
        <v/>
      </c>
    </row>
    <row r="430">
      <c r="A430" s="7" t="n">
        <v>423</v>
      </c>
      <c r="B430" s="26">
        <f>(A430-1)/2000*$C$2</f>
        <v/>
      </c>
      <c r="C430" s="7">
        <f>INDEX(Bits!$E$25:$E$124,INT(B430)+1)</f>
        <v/>
      </c>
      <c r="D430" s="7">
        <f>MAX(1,MIN(INT(B430/$C$4)+1,$C$5))</f>
        <v/>
      </c>
      <c r="E430" s="26">
        <f>IF($C$5=0,0,INDEX(Symboles!$G$6:$G$101,D430))</f>
        <v/>
      </c>
      <c r="F430" s="26">
        <f>IF($C$5=0,0,INDEX(Symboles!$H$6:$H$101,D430))</f>
        <v/>
      </c>
      <c r="G430" s="26">
        <f>COS(2*PI()*$C$3*B430)</f>
        <v/>
      </c>
      <c r="H430" s="26">
        <f>SIN(2*PI()*$C$3*B430)</f>
        <v/>
      </c>
      <c r="I430" s="26">
        <f>E430*G430+F430*H430</f>
        <v/>
      </c>
    </row>
    <row r="431">
      <c r="A431" s="7" t="n">
        <v>424</v>
      </c>
      <c r="B431" s="26">
        <f>(A431-1)/2000*$C$2</f>
        <v/>
      </c>
      <c r="C431" s="7">
        <f>INDEX(Bits!$E$25:$E$124,INT(B431)+1)</f>
        <v/>
      </c>
      <c r="D431" s="7">
        <f>MAX(1,MIN(INT(B431/$C$4)+1,$C$5))</f>
        <v/>
      </c>
      <c r="E431" s="26">
        <f>IF($C$5=0,0,INDEX(Symboles!$G$6:$G$101,D431))</f>
        <v/>
      </c>
      <c r="F431" s="26">
        <f>IF($C$5=0,0,INDEX(Symboles!$H$6:$H$101,D431))</f>
        <v/>
      </c>
      <c r="G431" s="26">
        <f>COS(2*PI()*$C$3*B431)</f>
        <v/>
      </c>
      <c r="H431" s="26">
        <f>SIN(2*PI()*$C$3*B431)</f>
        <v/>
      </c>
      <c r="I431" s="26">
        <f>E431*G431+F431*H431</f>
        <v/>
      </c>
    </row>
    <row r="432">
      <c r="A432" s="7" t="n">
        <v>425</v>
      </c>
      <c r="B432" s="26">
        <f>(A432-1)/2000*$C$2</f>
        <v/>
      </c>
      <c r="C432" s="7">
        <f>INDEX(Bits!$E$25:$E$124,INT(B432)+1)</f>
        <v/>
      </c>
      <c r="D432" s="7">
        <f>MAX(1,MIN(INT(B432/$C$4)+1,$C$5))</f>
        <v/>
      </c>
      <c r="E432" s="26">
        <f>IF($C$5=0,0,INDEX(Symboles!$G$6:$G$101,D432))</f>
        <v/>
      </c>
      <c r="F432" s="26">
        <f>IF($C$5=0,0,INDEX(Symboles!$H$6:$H$101,D432))</f>
        <v/>
      </c>
      <c r="G432" s="26">
        <f>COS(2*PI()*$C$3*B432)</f>
        <v/>
      </c>
      <c r="H432" s="26">
        <f>SIN(2*PI()*$C$3*B432)</f>
        <v/>
      </c>
      <c r="I432" s="26">
        <f>E432*G432+F432*H432</f>
        <v/>
      </c>
    </row>
    <row r="433">
      <c r="A433" s="7" t="n">
        <v>426</v>
      </c>
      <c r="B433" s="26">
        <f>(A433-1)/2000*$C$2</f>
        <v/>
      </c>
      <c r="C433" s="7">
        <f>INDEX(Bits!$E$25:$E$124,INT(B433)+1)</f>
        <v/>
      </c>
      <c r="D433" s="7">
        <f>MAX(1,MIN(INT(B433/$C$4)+1,$C$5))</f>
        <v/>
      </c>
      <c r="E433" s="26">
        <f>IF($C$5=0,0,INDEX(Symboles!$G$6:$G$101,D433))</f>
        <v/>
      </c>
      <c r="F433" s="26">
        <f>IF($C$5=0,0,INDEX(Symboles!$H$6:$H$101,D433))</f>
        <v/>
      </c>
      <c r="G433" s="26">
        <f>COS(2*PI()*$C$3*B433)</f>
        <v/>
      </c>
      <c r="H433" s="26">
        <f>SIN(2*PI()*$C$3*B433)</f>
        <v/>
      </c>
      <c r="I433" s="26">
        <f>E433*G433+F433*H433</f>
        <v/>
      </c>
    </row>
    <row r="434">
      <c r="A434" s="7" t="n">
        <v>427</v>
      </c>
      <c r="B434" s="26">
        <f>(A434-1)/2000*$C$2</f>
        <v/>
      </c>
      <c r="C434" s="7">
        <f>INDEX(Bits!$E$25:$E$124,INT(B434)+1)</f>
        <v/>
      </c>
      <c r="D434" s="7">
        <f>MAX(1,MIN(INT(B434/$C$4)+1,$C$5))</f>
        <v/>
      </c>
      <c r="E434" s="26">
        <f>IF($C$5=0,0,INDEX(Symboles!$G$6:$G$101,D434))</f>
        <v/>
      </c>
      <c r="F434" s="26">
        <f>IF($C$5=0,0,INDEX(Symboles!$H$6:$H$101,D434))</f>
        <v/>
      </c>
      <c r="G434" s="26">
        <f>COS(2*PI()*$C$3*B434)</f>
        <v/>
      </c>
      <c r="H434" s="26">
        <f>SIN(2*PI()*$C$3*B434)</f>
        <v/>
      </c>
      <c r="I434" s="26">
        <f>E434*G434+F434*H434</f>
        <v/>
      </c>
    </row>
    <row r="435">
      <c r="A435" s="7" t="n">
        <v>428</v>
      </c>
      <c r="B435" s="26">
        <f>(A435-1)/2000*$C$2</f>
        <v/>
      </c>
      <c r="C435" s="7">
        <f>INDEX(Bits!$E$25:$E$124,INT(B435)+1)</f>
        <v/>
      </c>
      <c r="D435" s="7">
        <f>MAX(1,MIN(INT(B435/$C$4)+1,$C$5))</f>
        <v/>
      </c>
      <c r="E435" s="26">
        <f>IF($C$5=0,0,INDEX(Symboles!$G$6:$G$101,D435))</f>
        <v/>
      </c>
      <c r="F435" s="26">
        <f>IF($C$5=0,0,INDEX(Symboles!$H$6:$H$101,D435))</f>
        <v/>
      </c>
      <c r="G435" s="26">
        <f>COS(2*PI()*$C$3*B435)</f>
        <v/>
      </c>
      <c r="H435" s="26">
        <f>SIN(2*PI()*$C$3*B435)</f>
        <v/>
      </c>
      <c r="I435" s="26">
        <f>E435*G435+F435*H435</f>
        <v/>
      </c>
    </row>
    <row r="436">
      <c r="A436" s="7" t="n">
        <v>429</v>
      </c>
      <c r="B436" s="26">
        <f>(A436-1)/2000*$C$2</f>
        <v/>
      </c>
      <c r="C436" s="7">
        <f>INDEX(Bits!$E$25:$E$124,INT(B436)+1)</f>
        <v/>
      </c>
      <c r="D436" s="7">
        <f>MAX(1,MIN(INT(B436/$C$4)+1,$C$5))</f>
        <v/>
      </c>
      <c r="E436" s="26">
        <f>IF($C$5=0,0,INDEX(Symboles!$G$6:$G$101,D436))</f>
        <v/>
      </c>
      <c r="F436" s="26">
        <f>IF($C$5=0,0,INDEX(Symboles!$H$6:$H$101,D436))</f>
        <v/>
      </c>
      <c r="G436" s="26">
        <f>COS(2*PI()*$C$3*B436)</f>
        <v/>
      </c>
      <c r="H436" s="26">
        <f>SIN(2*PI()*$C$3*B436)</f>
        <v/>
      </c>
      <c r="I436" s="26">
        <f>E436*G436+F436*H436</f>
        <v/>
      </c>
    </row>
    <row r="437">
      <c r="A437" s="7" t="n">
        <v>430</v>
      </c>
      <c r="B437" s="26">
        <f>(A437-1)/2000*$C$2</f>
        <v/>
      </c>
      <c r="C437" s="7">
        <f>INDEX(Bits!$E$25:$E$124,INT(B437)+1)</f>
        <v/>
      </c>
      <c r="D437" s="7">
        <f>MAX(1,MIN(INT(B437/$C$4)+1,$C$5))</f>
        <v/>
      </c>
      <c r="E437" s="26">
        <f>IF($C$5=0,0,INDEX(Symboles!$G$6:$G$101,D437))</f>
        <v/>
      </c>
      <c r="F437" s="26">
        <f>IF($C$5=0,0,INDEX(Symboles!$H$6:$H$101,D437))</f>
        <v/>
      </c>
      <c r="G437" s="26">
        <f>COS(2*PI()*$C$3*B437)</f>
        <v/>
      </c>
      <c r="H437" s="26">
        <f>SIN(2*PI()*$C$3*B437)</f>
        <v/>
      </c>
      <c r="I437" s="26">
        <f>E437*G437+F437*H437</f>
        <v/>
      </c>
    </row>
    <row r="438">
      <c r="A438" s="7" t="n">
        <v>431</v>
      </c>
      <c r="B438" s="26">
        <f>(A438-1)/2000*$C$2</f>
        <v/>
      </c>
      <c r="C438" s="7">
        <f>INDEX(Bits!$E$25:$E$124,INT(B438)+1)</f>
        <v/>
      </c>
      <c r="D438" s="7">
        <f>MAX(1,MIN(INT(B438/$C$4)+1,$C$5))</f>
        <v/>
      </c>
      <c r="E438" s="26">
        <f>IF($C$5=0,0,INDEX(Symboles!$G$6:$G$101,D438))</f>
        <v/>
      </c>
      <c r="F438" s="26">
        <f>IF($C$5=0,0,INDEX(Symboles!$H$6:$H$101,D438))</f>
        <v/>
      </c>
      <c r="G438" s="26">
        <f>COS(2*PI()*$C$3*B438)</f>
        <v/>
      </c>
      <c r="H438" s="26">
        <f>SIN(2*PI()*$C$3*B438)</f>
        <v/>
      </c>
      <c r="I438" s="26">
        <f>E438*G438+F438*H438</f>
        <v/>
      </c>
    </row>
    <row r="439">
      <c r="A439" s="7" t="n">
        <v>432</v>
      </c>
      <c r="B439" s="26">
        <f>(A439-1)/2000*$C$2</f>
        <v/>
      </c>
      <c r="C439" s="7">
        <f>INDEX(Bits!$E$25:$E$124,INT(B439)+1)</f>
        <v/>
      </c>
      <c r="D439" s="7">
        <f>MAX(1,MIN(INT(B439/$C$4)+1,$C$5))</f>
        <v/>
      </c>
      <c r="E439" s="26">
        <f>IF($C$5=0,0,INDEX(Symboles!$G$6:$G$101,D439))</f>
        <v/>
      </c>
      <c r="F439" s="26">
        <f>IF($C$5=0,0,INDEX(Symboles!$H$6:$H$101,D439))</f>
        <v/>
      </c>
      <c r="G439" s="26">
        <f>COS(2*PI()*$C$3*B439)</f>
        <v/>
      </c>
      <c r="H439" s="26">
        <f>SIN(2*PI()*$C$3*B439)</f>
        <v/>
      </c>
      <c r="I439" s="26">
        <f>E439*G439+F439*H439</f>
        <v/>
      </c>
    </row>
    <row r="440">
      <c r="A440" s="7" t="n">
        <v>433</v>
      </c>
      <c r="B440" s="26">
        <f>(A440-1)/2000*$C$2</f>
        <v/>
      </c>
      <c r="C440" s="7">
        <f>INDEX(Bits!$E$25:$E$124,INT(B440)+1)</f>
        <v/>
      </c>
      <c r="D440" s="7">
        <f>MAX(1,MIN(INT(B440/$C$4)+1,$C$5))</f>
        <v/>
      </c>
      <c r="E440" s="26">
        <f>IF($C$5=0,0,INDEX(Symboles!$G$6:$G$101,D440))</f>
        <v/>
      </c>
      <c r="F440" s="26">
        <f>IF($C$5=0,0,INDEX(Symboles!$H$6:$H$101,D440))</f>
        <v/>
      </c>
      <c r="G440" s="26">
        <f>COS(2*PI()*$C$3*B440)</f>
        <v/>
      </c>
      <c r="H440" s="26">
        <f>SIN(2*PI()*$C$3*B440)</f>
        <v/>
      </c>
      <c r="I440" s="26">
        <f>E440*G440+F440*H440</f>
        <v/>
      </c>
    </row>
    <row r="441">
      <c r="A441" s="7" t="n">
        <v>434</v>
      </c>
      <c r="B441" s="26">
        <f>(A441-1)/2000*$C$2</f>
        <v/>
      </c>
      <c r="C441" s="7">
        <f>INDEX(Bits!$E$25:$E$124,INT(B441)+1)</f>
        <v/>
      </c>
      <c r="D441" s="7">
        <f>MAX(1,MIN(INT(B441/$C$4)+1,$C$5))</f>
        <v/>
      </c>
      <c r="E441" s="26">
        <f>IF($C$5=0,0,INDEX(Symboles!$G$6:$G$101,D441))</f>
        <v/>
      </c>
      <c r="F441" s="26">
        <f>IF($C$5=0,0,INDEX(Symboles!$H$6:$H$101,D441))</f>
        <v/>
      </c>
      <c r="G441" s="26">
        <f>COS(2*PI()*$C$3*B441)</f>
        <v/>
      </c>
      <c r="H441" s="26">
        <f>SIN(2*PI()*$C$3*B441)</f>
        <v/>
      </c>
      <c r="I441" s="26">
        <f>E441*G441+F441*H441</f>
        <v/>
      </c>
    </row>
    <row r="442">
      <c r="A442" s="7" t="n">
        <v>435</v>
      </c>
      <c r="B442" s="26">
        <f>(A442-1)/2000*$C$2</f>
        <v/>
      </c>
      <c r="C442" s="7">
        <f>INDEX(Bits!$E$25:$E$124,INT(B442)+1)</f>
        <v/>
      </c>
      <c r="D442" s="7">
        <f>MAX(1,MIN(INT(B442/$C$4)+1,$C$5))</f>
        <v/>
      </c>
      <c r="E442" s="26">
        <f>IF($C$5=0,0,INDEX(Symboles!$G$6:$G$101,D442))</f>
        <v/>
      </c>
      <c r="F442" s="26">
        <f>IF($C$5=0,0,INDEX(Symboles!$H$6:$H$101,D442))</f>
        <v/>
      </c>
      <c r="G442" s="26">
        <f>COS(2*PI()*$C$3*B442)</f>
        <v/>
      </c>
      <c r="H442" s="26">
        <f>SIN(2*PI()*$C$3*B442)</f>
        <v/>
      </c>
      <c r="I442" s="26">
        <f>E442*G442+F442*H442</f>
        <v/>
      </c>
    </row>
    <row r="443">
      <c r="A443" s="7" t="n">
        <v>436</v>
      </c>
      <c r="B443" s="26">
        <f>(A443-1)/2000*$C$2</f>
        <v/>
      </c>
      <c r="C443" s="7">
        <f>INDEX(Bits!$E$25:$E$124,INT(B443)+1)</f>
        <v/>
      </c>
      <c r="D443" s="7">
        <f>MAX(1,MIN(INT(B443/$C$4)+1,$C$5))</f>
        <v/>
      </c>
      <c r="E443" s="26">
        <f>IF($C$5=0,0,INDEX(Symboles!$G$6:$G$101,D443))</f>
        <v/>
      </c>
      <c r="F443" s="26">
        <f>IF($C$5=0,0,INDEX(Symboles!$H$6:$H$101,D443))</f>
        <v/>
      </c>
      <c r="G443" s="26">
        <f>COS(2*PI()*$C$3*B443)</f>
        <v/>
      </c>
      <c r="H443" s="26">
        <f>SIN(2*PI()*$C$3*B443)</f>
        <v/>
      </c>
      <c r="I443" s="26">
        <f>E443*G443+F443*H443</f>
        <v/>
      </c>
    </row>
    <row r="444">
      <c r="A444" s="7" t="n">
        <v>437</v>
      </c>
      <c r="B444" s="26">
        <f>(A444-1)/2000*$C$2</f>
        <v/>
      </c>
      <c r="C444" s="7">
        <f>INDEX(Bits!$E$25:$E$124,INT(B444)+1)</f>
        <v/>
      </c>
      <c r="D444" s="7">
        <f>MAX(1,MIN(INT(B444/$C$4)+1,$C$5))</f>
        <v/>
      </c>
      <c r="E444" s="26">
        <f>IF($C$5=0,0,INDEX(Symboles!$G$6:$G$101,D444))</f>
        <v/>
      </c>
      <c r="F444" s="26">
        <f>IF($C$5=0,0,INDEX(Symboles!$H$6:$H$101,D444))</f>
        <v/>
      </c>
      <c r="G444" s="26">
        <f>COS(2*PI()*$C$3*B444)</f>
        <v/>
      </c>
      <c r="H444" s="26">
        <f>SIN(2*PI()*$C$3*B444)</f>
        <v/>
      </c>
      <c r="I444" s="26">
        <f>E444*G444+F444*H444</f>
        <v/>
      </c>
    </row>
    <row r="445">
      <c r="A445" s="7" t="n">
        <v>438</v>
      </c>
      <c r="B445" s="26">
        <f>(A445-1)/2000*$C$2</f>
        <v/>
      </c>
      <c r="C445" s="7">
        <f>INDEX(Bits!$E$25:$E$124,INT(B445)+1)</f>
        <v/>
      </c>
      <c r="D445" s="7">
        <f>MAX(1,MIN(INT(B445/$C$4)+1,$C$5))</f>
        <v/>
      </c>
      <c r="E445" s="26">
        <f>IF($C$5=0,0,INDEX(Symboles!$G$6:$G$101,D445))</f>
        <v/>
      </c>
      <c r="F445" s="26">
        <f>IF($C$5=0,0,INDEX(Symboles!$H$6:$H$101,D445))</f>
        <v/>
      </c>
      <c r="G445" s="26">
        <f>COS(2*PI()*$C$3*B445)</f>
        <v/>
      </c>
      <c r="H445" s="26">
        <f>SIN(2*PI()*$C$3*B445)</f>
        <v/>
      </c>
      <c r="I445" s="26">
        <f>E445*G445+F445*H445</f>
        <v/>
      </c>
    </row>
    <row r="446">
      <c r="A446" s="7" t="n">
        <v>439</v>
      </c>
      <c r="B446" s="26">
        <f>(A446-1)/2000*$C$2</f>
        <v/>
      </c>
      <c r="C446" s="7">
        <f>INDEX(Bits!$E$25:$E$124,INT(B446)+1)</f>
        <v/>
      </c>
      <c r="D446" s="7">
        <f>MAX(1,MIN(INT(B446/$C$4)+1,$C$5))</f>
        <v/>
      </c>
      <c r="E446" s="26">
        <f>IF($C$5=0,0,INDEX(Symboles!$G$6:$G$101,D446))</f>
        <v/>
      </c>
      <c r="F446" s="26">
        <f>IF($C$5=0,0,INDEX(Symboles!$H$6:$H$101,D446))</f>
        <v/>
      </c>
      <c r="G446" s="26">
        <f>COS(2*PI()*$C$3*B446)</f>
        <v/>
      </c>
      <c r="H446" s="26">
        <f>SIN(2*PI()*$C$3*B446)</f>
        <v/>
      </c>
      <c r="I446" s="26">
        <f>E446*G446+F446*H446</f>
        <v/>
      </c>
    </row>
    <row r="447">
      <c r="A447" s="7" t="n">
        <v>440</v>
      </c>
      <c r="B447" s="26">
        <f>(A447-1)/2000*$C$2</f>
        <v/>
      </c>
      <c r="C447" s="7">
        <f>INDEX(Bits!$E$25:$E$124,INT(B447)+1)</f>
        <v/>
      </c>
      <c r="D447" s="7">
        <f>MAX(1,MIN(INT(B447/$C$4)+1,$C$5))</f>
        <v/>
      </c>
      <c r="E447" s="26">
        <f>IF($C$5=0,0,INDEX(Symboles!$G$6:$G$101,D447))</f>
        <v/>
      </c>
      <c r="F447" s="26">
        <f>IF($C$5=0,0,INDEX(Symboles!$H$6:$H$101,D447))</f>
        <v/>
      </c>
      <c r="G447" s="26">
        <f>COS(2*PI()*$C$3*B447)</f>
        <v/>
      </c>
      <c r="H447" s="26">
        <f>SIN(2*PI()*$C$3*B447)</f>
        <v/>
      </c>
      <c r="I447" s="26">
        <f>E447*G447+F447*H447</f>
        <v/>
      </c>
    </row>
    <row r="448">
      <c r="A448" s="7" t="n">
        <v>441</v>
      </c>
      <c r="B448" s="26">
        <f>(A448-1)/2000*$C$2</f>
        <v/>
      </c>
      <c r="C448" s="7">
        <f>INDEX(Bits!$E$25:$E$124,INT(B448)+1)</f>
        <v/>
      </c>
      <c r="D448" s="7">
        <f>MAX(1,MIN(INT(B448/$C$4)+1,$C$5))</f>
        <v/>
      </c>
      <c r="E448" s="26">
        <f>IF($C$5=0,0,INDEX(Symboles!$G$6:$G$101,D448))</f>
        <v/>
      </c>
      <c r="F448" s="26">
        <f>IF($C$5=0,0,INDEX(Symboles!$H$6:$H$101,D448))</f>
        <v/>
      </c>
      <c r="G448" s="26">
        <f>COS(2*PI()*$C$3*B448)</f>
        <v/>
      </c>
      <c r="H448" s="26">
        <f>SIN(2*PI()*$C$3*B448)</f>
        <v/>
      </c>
      <c r="I448" s="26">
        <f>E448*G448+F448*H448</f>
        <v/>
      </c>
    </row>
    <row r="449">
      <c r="A449" s="7" t="n">
        <v>442</v>
      </c>
      <c r="B449" s="26">
        <f>(A449-1)/2000*$C$2</f>
        <v/>
      </c>
      <c r="C449" s="7">
        <f>INDEX(Bits!$E$25:$E$124,INT(B449)+1)</f>
        <v/>
      </c>
      <c r="D449" s="7">
        <f>MAX(1,MIN(INT(B449/$C$4)+1,$C$5))</f>
        <v/>
      </c>
      <c r="E449" s="26">
        <f>IF($C$5=0,0,INDEX(Symboles!$G$6:$G$101,D449))</f>
        <v/>
      </c>
      <c r="F449" s="26">
        <f>IF($C$5=0,0,INDEX(Symboles!$H$6:$H$101,D449))</f>
        <v/>
      </c>
      <c r="G449" s="26">
        <f>COS(2*PI()*$C$3*B449)</f>
        <v/>
      </c>
      <c r="H449" s="26">
        <f>SIN(2*PI()*$C$3*B449)</f>
        <v/>
      </c>
      <c r="I449" s="26">
        <f>E449*G449+F449*H449</f>
        <v/>
      </c>
    </row>
    <row r="450">
      <c r="A450" s="7" t="n">
        <v>443</v>
      </c>
      <c r="B450" s="26">
        <f>(A450-1)/2000*$C$2</f>
        <v/>
      </c>
      <c r="C450" s="7">
        <f>INDEX(Bits!$E$25:$E$124,INT(B450)+1)</f>
        <v/>
      </c>
      <c r="D450" s="7">
        <f>MAX(1,MIN(INT(B450/$C$4)+1,$C$5))</f>
        <v/>
      </c>
      <c r="E450" s="26">
        <f>IF($C$5=0,0,INDEX(Symboles!$G$6:$G$101,D450))</f>
        <v/>
      </c>
      <c r="F450" s="26">
        <f>IF($C$5=0,0,INDEX(Symboles!$H$6:$H$101,D450))</f>
        <v/>
      </c>
      <c r="G450" s="26">
        <f>COS(2*PI()*$C$3*B450)</f>
        <v/>
      </c>
      <c r="H450" s="26">
        <f>SIN(2*PI()*$C$3*B450)</f>
        <v/>
      </c>
      <c r="I450" s="26">
        <f>E450*G450+F450*H450</f>
        <v/>
      </c>
    </row>
    <row r="451">
      <c r="A451" s="7" t="n">
        <v>444</v>
      </c>
      <c r="B451" s="26">
        <f>(A451-1)/2000*$C$2</f>
        <v/>
      </c>
      <c r="C451" s="7">
        <f>INDEX(Bits!$E$25:$E$124,INT(B451)+1)</f>
        <v/>
      </c>
      <c r="D451" s="7">
        <f>MAX(1,MIN(INT(B451/$C$4)+1,$C$5))</f>
        <v/>
      </c>
      <c r="E451" s="26">
        <f>IF($C$5=0,0,INDEX(Symboles!$G$6:$G$101,D451))</f>
        <v/>
      </c>
      <c r="F451" s="26">
        <f>IF($C$5=0,0,INDEX(Symboles!$H$6:$H$101,D451))</f>
        <v/>
      </c>
      <c r="G451" s="26">
        <f>COS(2*PI()*$C$3*B451)</f>
        <v/>
      </c>
      <c r="H451" s="26">
        <f>SIN(2*PI()*$C$3*B451)</f>
        <v/>
      </c>
      <c r="I451" s="26">
        <f>E451*G451+F451*H451</f>
        <v/>
      </c>
    </row>
    <row r="452">
      <c r="A452" s="7" t="n">
        <v>445</v>
      </c>
      <c r="B452" s="26">
        <f>(A452-1)/2000*$C$2</f>
        <v/>
      </c>
      <c r="C452" s="7">
        <f>INDEX(Bits!$E$25:$E$124,INT(B452)+1)</f>
        <v/>
      </c>
      <c r="D452" s="7">
        <f>MAX(1,MIN(INT(B452/$C$4)+1,$C$5))</f>
        <v/>
      </c>
      <c r="E452" s="26">
        <f>IF($C$5=0,0,INDEX(Symboles!$G$6:$G$101,D452))</f>
        <v/>
      </c>
      <c r="F452" s="26">
        <f>IF($C$5=0,0,INDEX(Symboles!$H$6:$H$101,D452))</f>
        <v/>
      </c>
      <c r="G452" s="26">
        <f>COS(2*PI()*$C$3*B452)</f>
        <v/>
      </c>
      <c r="H452" s="26">
        <f>SIN(2*PI()*$C$3*B452)</f>
        <v/>
      </c>
      <c r="I452" s="26">
        <f>E452*G452+F452*H452</f>
        <v/>
      </c>
    </row>
    <row r="453">
      <c r="A453" s="7" t="n">
        <v>446</v>
      </c>
      <c r="B453" s="26">
        <f>(A453-1)/2000*$C$2</f>
        <v/>
      </c>
      <c r="C453" s="7">
        <f>INDEX(Bits!$E$25:$E$124,INT(B453)+1)</f>
        <v/>
      </c>
      <c r="D453" s="7">
        <f>MAX(1,MIN(INT(B453/$C$4)+1,$C$5))</f>
        <v/>
      </c>
      <c r="E453" s="26">
        <f>IF($C$5=0,0,INDEX(Symboles!$G$6:$G$101,D453))</f>
        <v/>
      </c>
      <c r="F453" s="26">
        <f>IF($C$5=0,0,INDEX(Symboles!$H$6:$H$101,D453))</f>
        <v/>
      </c>
      <c r="G453" s="26">
        <f>COS(2*PI()*$C$3*B453)</f>
        <v/>
      </c>
      <c r="H453" s="26">
        <f>SIN(2*PI()*$C$3*B453)</f>
        <v/>
      </c>
      <c r="I453" s="26">
        <f>E453*G453+F453*H453</f>
        <v/>
      </c>
    </row>
    <row r="454">
      <c r="A454" s="7" t="n">
        <v>447</v>
      </c>
      <c r="B454" s="26">
        <f>(A454-1)/2000*$C$2</f>
        <v/>
      </c>
      <c r="C454" s="7">
        <f>INDEX(Bits!$E$25:$E$124,INT(B454)+1)</f>
        <v/>
      </c>
      <c r="D454" s="7">
        <f>MAX(1,MIN(INT(B454/$C$4)+1,$C$5))</f>
        <v/>
      </c>
      <c r="E454" s="26">
        <f>IF($C$5=0,0,INDEX(Symboles!$G$6:$G$101,D454))</f>
        <v/>
      </c>
      <c r="F454" s="26">
        <f>IF($C$5=0,0,INDEX(Symboles!$H$6:$H$101,D454))</f>
        <v/>
      </c>
      <c r="G454" s="26">
        <f>COS(2*PI()*$C$3*B454)</f>
        <v/>
      </c>
      <c r="H454" s="26">
        <f>SIN(2*PI()*$C$3*B454)</f>
        <v/>
      </c>
      <c r="I454" s="26">
        <f>E454*G454+F454*H454</f>
        <v/>
      </c>
    </row>
    <row r="455">
      <c r="A455" s="7" t="n">
        <v>448</v>
      </c>
      <c r="B455" s="26">
        <f>(A455-1)/2000*$C$2</f>
        <v/>
      </c>
      <c r="C455" s="7">
        <f>INDEX(Bits!$E$25:$E$124,INT(B455)+1)</f>
        <v/>
      </c>
      <c r="D455" s="7">
        <f>MAX(1,MIN(INT(B455/$C$4)+1,$C$5))</f>
        <v/>
      </c>
      <c r="E455" s="26">
        <f>IF($C$5=0,0,INDEX(Symboles!$G$6:$G$101,D455))</f>
        <v/>
      </c>
      <c r="F455" s="26">
        <f>IF($C$5=0,0,INDEX(Symboles!$H$6:$H$101,D455))</f>
        <v/>
      </c>
      <c r="G455" s="26">
        <f>COS(2*PI()*$C$3*B455)</f>
        <v/>
      </c>
      <c r="H455" s="26">
        <f>SIN(2*PI()*$C$3*B455)</f>
        <v/>
      </c>
      <c r="I455" s="26">
        <f>E455*G455+F455*H455</f>
        <v/>
      </c>
    </row>
    <row r="456">
      <c r="A456" s="7" t="n">
        <v>449</v>
      </c>
      <c r="B456" s="26">
        <f>(A456-1)/2000*$C$2</f>
        <v/>
      </c>
      <c r="C456" s="7">
        <f>INDEX(Bits!$E$25:$E$124,INT(B456)+1)</f>
        <v/>
      </c>
      <c r="D456" s="7">
        <f>MAX(1,MIN(INT(B456/$C$4)+1,$C$5))</f>
        <v/>
      </c>
      <c r="E456" s="26">
        <f>IF($C$5=0,0,INDEX(Symboles!$G$6:$G$101,D456))</f>
        <v/>
      </c>
      <c r="F456" s="26">
        <f>IF($C$5=0,0,INDEX(Symboles!$H$6:$H$101,D456))</f>
        <v/>
      </c>
      <c r="G456" s="26">
        <f>COS(2*PI()*$C$3*B456)</f>
        <v/>
      </c>
      <c r="H456" s="26">
        <f>SIN(2*PI()*$C$3*B456)</f>
        <v/>
      </c>
      <c r="I456" s="26">
        <f>E456*G456+F456*H456</f>
        <v/>
      </c>
    </row>
    <row r="457">
      <c r="A457" s="7" t="n">
        <v>450</v>
      </c>
      <c r="B457" s="26">
        <f>(A457-1)/2000*$C$2</f>
        <v/>
      </c>
      <c r="C457" s="7">
        <f>INDEX(Bits!$E$25:$E$124,INT(B457)+1)</f>
        <v/>
      </c>
      <c r="D457" s="7">
        <f>MAX(1,MIN(INT(B457/$C$4)+1,$C$5))</f>
        <v/>
      </c>
      <c r="E457" s="26">
        <f>IF($C$5=0,0,INDEX(Symboles!$G$6:$G$101,D457))</f>
        <v/>
      </c>
      <c r="F457" s="26">
        <f>IF($C$5=0,0,INDEX(Symboles!$H$6:$H$101,D457))</f>
        <v/>
      </c>
      <c r="G457" s="26">
        <f>COS(2*PI()*$C$3*B457)</f>
        <v/>
      </c>
      <c r="H457" s="26">
        <f>SIN(2*PI()*$C$3*B457)</f>
        <v/>
      </c>
      <c r="I457" s="26">
        <f>E457*G457+F457*H457</f>
        <v/>
      </c>
    </row>
    <row r="458">
      <c r="A458" s="7" t="n">
        <v>451</v>
      </c>
      <c r="B458" s="26">
        <f>(A458-1)/2000*$C$2</f>
        <v/>
      </c>
      <c r="C458" s="7">
        <f>INDEX(Bits!$E$25:$E$124,INT(B458)+1)</f>
        <v/>
      </c>
      <c r="D458" s="7">
        <f>MAX(1,MIN(INT(B458/$C$4)+1,$C$5))</f>
        <v/>
      </c>
      <c r="E458" s="26">
        <f>IF($C$5=0,0,INDEX(Symboles!$G$6:$G$101,D458))</f>
        <v/>
      </c>
      <c r="F458" s="26">
        <f>IF($C$5=0,0,INDEX(Symboles!$H$6:$H$101,D458))</f>
        <v/>
      </c>
      <c r="G458" s="26">
        <f>COS(2*PI()*$C$3*B458)</f>
        <v/>
      </c>
      <c r="H458" s="26">
        <f>SIN(2*PI()*$C$3*B458)</f>
        <v/>
      </c>
      <c r="I458" s="26">
        <f>E458*G458+F458*H458</f>
        <v/>
      </c>
    </row>
    <row r="459">
      <c r="A459" s="7" t="n">
        <v>452</v>
      </c>
      <c r="B459" s="26">
        <f>(A459-1)/2000*$C$2</f>
        <v/>
      </c>
      <c r="C459" s="7">
        <f>INDEX(Bits!$E$25:$E$124,INT(B459)+1)</f>
        <v/>
      </c>
      <c r="D459" s="7">
        <f>MAX(1,MIN(INT(B459/$C$4)+1,$C$5))</f>
        <v/>
      </c>
      <c r="E459" s="26">
        <f>IF($C$5=0,0,INDEX(Symboles!$G$6:$G$101,D459))</f>
        <v/>
      </c>
      <c r="F459" s="26">
        <f>IF($C$5=0,0,INDEX(Symboles!$H$6:$H$101,D459))</f>
        <v/>
      </c>
      <c r="G459" s="26">
        <f>COS(2*PI()*$C$3*B459)</f>
        <v/>
      </c>
      <c r="H459" s="26">
        <f>SIN(2*PI()*$C$3*B459)</f>
        <v/>
      </c>
      <c r="I459" s="26">
        <f>E459*G459+F459*H459</f>
        <v/>
      </c>
    </row>
    <row r="460">
      <c r="A460" s="7" t="n">
        <v>453</v>
      </c>
      <c r="B460" s="26">
        <f>(A460-1)/2000*$C$2</f>
        <v/>
      </c>
      <c r="C460" s="7">
        <f>INDEX(Bits!$E$25:$E$124,INT(B460)+1)</f>
        <v/>
      </c>
      <c r="D460" s="7">
        <f>MAX(1,MIN(INT(B460/$C$4)+1,$C$5))</f>
        <v/>
      </c>
      <c r="E460" s="26">
        <f>IF($C$5=0,0,INDEX(Symboles!$G$6:$G$101,D460))</f>
        <v/>
      </c>
      <c r="F460" s="26">
        <f>IF($C$5=0,0,INDEX(Symboles!$H$6:$H$101,D460))</f>
        <v/>
      </c>
      <c r="G460" s="26">
        <f>COS(2*PI()*$C$3*B460)</f>
        <v/>
      </c>
      <c r="H460" s="26">
        <f>SIN(2*PI()*$C$3*B460)</f>
        <v/>
      </c>
      <c r="I460" s="26">
        <f>E460*G460+F460*H460</f>
        <v/>
      </c>
    </row>
    <row r="461">
      <c r="A461" s="7" t="n">
        <v>454</v>
      </c>
      <c r="B461" s="26">
        <f>(A461-1)/2000*$C$2</f>
        <v/>
      </c>
      <c r="C461" s="7">
        <f>INDEX(Bits!$E$25:$E$124,INT(B461)+1)</f>
        <v/>
      </c>
      <c r="D461" s="7">
        <f>MAX(1,MIN(INT(B461/$C$4)+1,$C$5))</f>
        <v/>
      </c>
      <c r="E461" s="26">
        <f>IF($C$5=0,0,INDEX(Symboles!$G$6:$G$101,D461))</f>
        <v/>
      </c>
      <c r="F461" s="26">
        <f>IF($C$5=0,0,INDEX(Symboles!$H$6:$H$101,D461))</f>
        <v/>
      </c>
      <c r="G461" s="26">
        <f>COS(2*PI()*$C$3*B461)</f>
        <v/>
      </c>
      <c r="H461" s="26">
        <f>SIN(2*PI()*$C$3*B461)</f>
        <v/>
      </c>
      <c r="I461" s="26">
        <f>E461*G461+F461*H461</f>
        <v/>
      </c>
    </row>
    <row r="462">
      <c r="A462" s="7" t="n">
        <v>455</v>
      </c>
      <c r="B462" s="26">
        <f>(A462-1)/2000*$C$2</f>
        <v/>
      </c>
      <c r="C462" s="7">
        <f>INDEX(Bits!$E$25:$E$124,INT(B462)+1)</f>
        <v/>
      </c>
      <c r="D462" s="7">
        <f>MAX(1,MIN(INT(B462/$C$4)+1,$C$5))</f>
        <v/>
      </c>
      <c r="E462" s="26">
        <f>IF($C$5=0,0,INDEX(Symboles!$G$6:$G$101,D462))</f>
        <v/>
      </c>
      <c r="F462" s="26">
        <f>IF($C$5=0,0,INDEX(Symboles!$H$6:$H$101,D462))</f>
        <v/>
      </c>
      <c r="G462" s="26">
        <f>COS(2*PI()*$C$3*B462)</f>
        <v/>
      </c>
      <c r="H462" s="26">
        <f>SIN(2*PI()*$C$3*B462)</f>
        <v/>
      </c>
      <c r="I462" s="26">
        <f>E462*G462+F462*H462</f>
        <v/>
      </c>
    </row>
    <row r="463">
      <c r="A463" s="7" t="n">
        <v>456</v>
      </c>
      <c r="B463" s="26">
        <f>(A463-1)/2000*$C$2</f>
        <v/>
      </c>
      <c r="C463" s="7">
        <f>INDEX(Bits!$E$25:$E$124,INT(B463)+1)</f>
        <v/>
      </c>
      <c r="D463" s="7">
        <f>MAX(1,MIN(INT(B463/$C$4)+1,$C$5))</f>
        <v/>
      </c>
      <c r="E463" s="26">
        <f>IF($C$5=0,0,INDEX(Symboles!$G$6:$G$101,D463))</f>
        <v/>
      </c>
      <c r="F463" s="26">
        <f>IF($C$5=0,0,INDEX(Symboles!$H$6:$H$101,D463))</f>
        <v/>
      </c>
      <c r="G463" s="26">
        <f>COS(2*PI()*$C$3*B463)</f>
        <v/>
      </c>
      <c r="H463" s="26">
        <f>SIN(2*PI()*$C$3*B463)</f>
        <v/>
      </c>
      <c r="I463" s="26">
        <f>E463*G463+F463*H463</f>
        <v/>
      </c>
    </row>
    <row r="464">
      <c r="A464" s="7" t="n">
        <v>457</v>
      </c>
      <c r="B464" s="26">
        <f>(A464-1)/2000*$C$2</f>
        <v/>
      </c>
      <c r="C464" s="7">
        <f>INDEX(Bits!$E$25:$E$124,INT(B464)+1)</f>
        <v/>
      </c>
      <c r="D464" s="7">
        <f>MAX(1,MIN(INT(B464/$C$4)+1,$C$5))</f>
        <v/>
      </c>
      <c r="E464" s="26">
        <f>IF($C$5=0,0,INDEX(Symboles!$G$6:$G$101,D464))</f>
        <v/>
      </c>
      <c r="F464" s="26">
        <f>IF($C$5=0,0,INDEX(Symboles!$H$6:$H$101,D464))</f>
        <v/>
      </c>
      <c r="G464" s="26">
        <f>COS(2*PI()*$C$3*B464)</f>
        <v/>
      </c>
      <c r="H464" s="26">
        <f>SIN(2*PI()*$C$3*B464)</f>
        <v/>
      </c>
      <c r="I464" s="26">
        <f>E464*G464+F464*H464</f>
        <v/>
      </c>
    </row>
    <row r="465">
      <c r="A465" s="7" t="n">
        <v>458</v>
      </c>
      <c r="B465" s="26">
        <f>(A465-1)/2000*$C$2</f>
        <v/>
      </c>
      <c r="C465" s="7">
        <f>INDEX(Bits!$E$25:$E$124,INT(B465)+1)</f>
        <v/>
      </c>
      <c r="D465" s="7">
        <f>MAX(1,MIN(INT(B465/$C$4)+1,$C$5))</f>
        <v/>
      </c>
      <c r="E465" s="26">
        <f>IF($C$5=0,0,INDEX(Symboles!$G$6:$G$101,D465))</f>
        <v/>
      </c>
      <c r="F465" s="26">
        <f>IF($C$5=0,0,INDEX(Symboles!$H$6:$H$101,D465))</f>
        <v/>
      </c>
      <c r="G465" s="26">
        <f>COS(2*PI()*$C$3*B465)</f>
        <v/>
      </c>
      <c r="H465" s="26">
        <f>SIN(2*PI()*$C$3*B465)</f>
        <v/>
      </c>
      <c r="I465" s="26">
        <f>E465*G465+F465*H465</f>
        <v/>
      </c>
    </row>
    <row r="466">
      <c r="A466" s="7" t="n">
        <v>459</v>
      </c>
      <c r="B466" s="26">
        <f>(A466-1)/2000*$C$2</f>
        <v/>
      </c>
      <c r="C466" s="7">
        <f>INDEX(Bits!$E$25:$E$124,INT(B466)+1)</f>
        <v/>
      </c>
      <c r="D466" s="7">
        <f>MAX(1,MIN(INT(B466/$C$4)+1,$C$5))</f>
        <v/>
      </c>
      <c r="E466" s="26">
        <f>IF($C$5=0,0,INDEX(Symboles!$G$6:$G$101,D466))</f>
        <v/>
      </c>
      <c r="F466" s="26">
        <f>IF($C$5=0,0,INDEX(Symboles!$H$6:$H$101,D466))</f>
        <v/>
      </c>
      <c r="G466" s="26">
        <f>COS(2*PI()*$C$3*B466)</f>
        <v/>
      </c>
      <c r="H466" s="26">
        <f>SIN(2*PI()*$C$3*B466)</f>
        <v/>
      </c>
      <c r="I466" s="26">
        <f>E466*G466+F466*H466</f>
        <v/>
      </c>
    </row>
    <row r="467">
      <c r="A467" s="7" t="n">
        <v>460</v>
      </c>
      <c r="B467" s="26">
        <f>(A467-1)/2000*$C$2</f>
        <v/>
      </c>
      <c r="C467" s="7">
        <f>INDEX(Bits!$E$25:$E$124,INT(B467)+1)</f>
        <v/>
      </c>
      <c r="D467" s="7">
        <f>MAX(1,MIN(INT(B467/$C$4)+1,$C$5))</f>
        <v/>
      </c>
      <c r="E467" s="26">
        <f>IF($C$5=0,0,INDEX(Symboles!$G$6:$G$101,D467))</f>
        <v/>
      </c>
      <c r="F467" s="26">
        <f>IF($C$5=0,0,INDEX(Symboles!$H$6:$H$101,D467))</f>
        <v/>
      </c>
      <c r="G467" s="26">
        <f>COS(2*PI()*$C$3*B467)</f>
        <v/>
      </c>
      <c r="H467" s="26">
        <f>SIN(2*PI()*$C$3*B467)</f>
        <v/>
      </c>
      <c r="I467" s="26">
        <f>E467*G467+F467*H467</f>
        <v/>
      </c>
    </row>
    <row r="468">
      <c r="A468" s="7" t="n">
        <v>461</v>
      </c>
      <c r="B468" s="26">
        <f>(A468-1)/2000*$C$2</f>
        <v/>
      </c>
      <c r="C468" s="7">
        <f>INDEX(Bits!$E$25:$E$124,INT(B468)+1)</f>
        <v/>
      </c>
      <c r="D468" s="7">
        <f>MAX(1,MIN(INT(B468/$C$4)+1,$C$5))</f>
        <v/>
      </c>
      <c r="E468" s="26">
        <f>IF($C$5=0,0,INDEX(Symboles!$G$6:$G$101,D468))</f>
        <v/>
      </c>
      <c r="F468" s="26">
        <f>IF($C$5=0,0,INDEX(Symboles!$H$6:$H$101,D468))</f>
        <v/>
      </c>
      <c r="G468" s="26">
        <f>COS(2*PI()*$C$3*B468)</f>
        <v/>
      </c>
      <c r="H468" s="26">
        <f>SIN(2*PI()*$C$3*B468)</f>
        <v/>
      </c>
      <c r="I468" s="26">
        <f>E468*G468+F468*H468</f>
        <v/>
      </c>
    </row>
    <row r="469">
      <c r="A469" s="7" t="n">
        <v>462</v>
      </c>
      <c r="B469" s="26">
        <f>(A469-1)/2000*$C$2</f>
        <v/>
      </c>
      <c r="C469" s="7">
        <f>INDEX(Bits!$E$25:$E$124,INT(B469)+1)</f>
        <v/>
      </c>
      <c r="D469" s="7">
        <f>MAX(1,MIN(INT(B469/$C$4)+1,$C$5))</f>
        <v/>
      </c>
      <c r="E469" s="26">
        <f>IF($C$5=0,0,INDEX(Symboles!$G$6:$G$101,D469))</f>
        <v/>
      </c>
      <c r="F469" s="26">
        <f>IF($C$5=0,0,INDEX(Symboles!$H$6:$H$101,D469))</f>
        <v/>
      </c>
      <c r="G469" s="26">
        <f>COS(2*PI()*$C$3*B469)</f>
        <v/>
      </c>
      <c r="H469" s="26">
        <f>SIN(2*PI()*$C$3*B469)</f>
        <v/>
      </c>
      <c r="I469" s="26">
        <f>E469*G469+F469*H469</f>
        <v/>
      </c>
    </row>
    <row r="470">
      <c r="A470" s="7" t="n">
        <v>463</v>
      </c>
      <c r="B470" s="26">
        <f>(A470-1)/2000*$C$2</f>
        <v/>
      </c>
      <c r="C470" s="7">
        <f>INDEX(Bits!$E$25:$E$124,INT(B470)+1)</f>
        <v/>
      </c>
      <c r="D470" s="7">
        <f>MAX(1,MIN(INT(B470/$C$4)+1,$C$5))</f>
        <v/>
      </c>
      <c r="E470" s="26">
        <f>IF($C$5=0,0,INDEX(Symboles!$G$6:$G$101,D470))</f>
        <v/>
      </c>
      <c r="F470" s="26">
        <f>IF($C$5=0,0,INDEX(Symboles!$H$6:$H$101,D470))</f>
        <v/>
      </c>
      <c r="G470" s="26">
        <f>COS(2*PI()*$C$3*B470)</f>
        <v/>
      </c>
      <c r="H470" s="26">
        <f>SIN(2*PI()*$C$3*B470)</f>
        <v/>
      </c>
      <c r="I470" s="26">
        <f>E470*G470+F470*H470</f>
        <v/>
      </c>
    </row>
    <row r="471">
      <c r="A471" s="7" t="n">
        <v>464</v>
      </c>
      <c r="B471" s="26">
        <f>(A471-1)/2000*$C$2</f>
        <v/>
      </c>
      <c r="C471" s="7">
        <f>INDEX(Bits!$E$25:$E$124,INT(B471)+1)</f>
        <v/>
      </c>
      <c r="D471" s="7">
        <f>MAX(1,MIN(INT(B471/$C$4)+1,$C$5))</f>
        <v/>
      </c>
      <c r="E471" s="26">
        <f>IF($C$5=0,0,INDEX(Symboles!$G$6:$G$101,D471))</f>
        <v/>
      </c>
      <c r="F471" s="26">
        <f>IF($C$5=0,0,INDEX(Symboles!$H$6:$H$101,D471))</f>
        <v/>
      </c>
      <c r="G471" s="26">
        <f>COS(2*PI()*$C$3*B471)</f>
        <v/>
      </c>
      <c r="H471" s="26">
        <f>SIN(2*PI()*$C$3*B471)</f>
        <v/>
      </c>
      <c r="I471" s="26">
        <f>E471*G471+F471*H471</f>
        <v/>
      </c>
    </row>
    <row r="472">
      <c r="A472" s="7" t="n">
        <v>465</v>
      </c>
      <c r="B472" s="26">
        <f>(A472-1)/2000*$C$2</f>
        <v/>
      </c>
      <c r="C472" s="7">
        <f>INDEX(Bits!$E$25:$E$124,INT(B472)+1)</f>
        <v/>
      </c>
      <c r="D472" s="7">
        <f>MAX(1,MIN(INT(B472/$C$4)+1,$C$5))</f>
        <v/>
      </c>
      <c r="E472" s="26">
        <f>IF($C$5=0,0,INDEX(Symboles!$G$6:$G$101,D472))</f>
        <v/>
      </c>
      <c r="F472" s="26">
        <f>IF($C$5=0,0,INDEX(Symboles!$H$6:$H$101,D472))</f>
        <v/>
      </c>
      <c r="G472" s="26">
        <f>COS(2*PI()*$C$3*B472)</f>
        <v/>
      </c>
      <c r="H472" s="26">
        <f>SIN(2*PI()*$C$3*B472)</f>
        <v/>
      </c>
      <c r="I472" s="26">
        <f>E472*G472+F472*H472</f>
        <v/>
      </c>
    </row>
    <row r="473">
      <c r="A473" s="7" t="n">
        <v>466</v>
      </c>
      <c r="B473" s="26">
        <f>(A473-1)/2000*$C$2</f>
        <v/>
      </c>
      <c r="C473" s="7">
        <f>INDEX(Bits!$E$25:$E$124,INT(B473)+1)</f>
        <v/>
      </c>
      <c r="D473" s="7">
        <f>MAX(1,MIN(INT(B473/$C$4)+1,$C$5))</f>
        <v/>
      </c>
      <c r="E473" s="26">
        <f>IF($C$5=0,0,INDEX(Symboles!$G$6:$G$101,D473))</f>
        <v/>
      </c>
      <c r="F473" s="26">
        <f>IF($C$5=0,0,INDEX(Symboles!$H$6:$H$101,D473))</f>
        <v/>
      </c>
      <c r="G473" s="26">
        <f>COS(2*PI()*$C$3*B473)</f>
        <v/>
      </c>
      <c r="H473" s="26">
        <f>SIN(2*PI()*$C$3*B473)</f>
        <v/>
      </c>
      <c r="I473" s="26">
        <f>E473*G473+F473*H473</f>
        <v/>
      </c>
    </row>
    <row r="474">
      <c r="A474" s="7" t="n">
        <v>467</v>
      </c>
      <c r="B474" s="26">
        <f>(A474-1)/2000*$C$2</f>
        <v/>
      </c>
      <c r="C474" s="7">
        <f>INDEX(Bits!$E$25:$E$124,INT(B474)+1)</f>
        <v/>
      </c>
      <c r="D474" s="7">
        <f>MAX(1,MIN(INT(B474/$C$4)+1,$C$5))</f>
        <v/>
      </c>
      <c r="E474" s="26">
        <f>IF($C$5=0,0,INDEX(Symboles!$G$6:$G$101,D474))</f>
        <v/>
      </c>
      <c r="F474" s="26">
        <f>IF($C$5=0,0,INDEX(Symboles!$H$6:$H$101,D474))</f>
        <v/>
      </c>
      <c r="G474" s="26">
        <f>COS(2*PI()*$C$3*B474)</f>
        <v/>
      </c>
      <c r="H474" s="26">
        <f>SIN(2*PI()*$C$3*B474)</f>
        <v/>
      </c>
      <c r="I474" s="26">
        <f>E474*G474+F474*H474</f>
        <v/>
      </c>
    </row>
    <row r="475">
      <c r="A475" s="7" t="n">
        <v>468</v>
      </c>
      <c r="B475" s="26">
        <f>(A475-1)/2000*$C$2</f>
        <v/>
      </c>
      <c r="C475" s="7">
        <f>INDEX(Bits!$E$25:$E$124,INT(B475)+1)</f>
        <v/>
      </c>
      <c r="D475" s="7">
        <f>MAX(1,MIN(INT(B475/$C$4)+1,$C$5))</f>
        <v/>
      </c>
      <c r="E475" s="26">
        <f>IF($C$5=0,0,INDEX(Symboles!$G$6:$G$101,D475))</f>
        <v/>
      </c>
      <c r="F475" s="26">
        <f>IF($C$5=0,0,INDEX(Symboles!$H$6:$H$101,D475))</f>
        <v/>
      </c>
      <c r="G475" s="26">
        <f>COS(2*PI()*$C$3*B475)</f>
        <v/>
      </c>
      <c r="H475" s="26">
        <f>SIN(2*PI()*$C$3*B475)</f>
        <v/>
      </c>
      <c r="I475" s="26">
        <f>E475*G475+F475*H475</f>
        <v/>
      </c>
    </row>
    <row r="476">
      <c r="A476" s="7" t="n">
        <v>469</v>
      </c>
      <c r="B476" s="26">
        <f>(A476-1)/2000*$C$2</f>
        <v/>
      </c>
      <c r="C476" s="7">
        <f>INDEX(Bits!$E$25:$E$124,INT(B476)+1)</f>
        <v/>
      </c>
      <c r="D476" s="7">
        <f>MAX(1,MIN(INT(B476/$C$4)+1,$C$5))</f>
        <v/>
      </c>
      <c r="E476" s="26">
        <f>IF($C$5=0,0,INDEX(Symboles!$G$6:$G$101,D476))</f>
        <v/>
      </c>
      <c r="F476" s="26">
        <f>IF($C$5=0,0,INDEX(Symboles!$H$6:$H$101,D476))</f>
        <v/>
      </c>
      <c r="G476" s="26">
        <f>COS(2*PI()*$C$3*B476)</f>
        <v/>
      </c>
      <c r="H476" s="26">
        <f>SIN(2*PI()*$C$3*B476)</f>
        <v/>
      </c>
      <c r="I476" s="26">
        <f>E476*G476+F476*H476</f>
        <v/>
      </c>
    </row>
    <row r="477">
      <c r="A477" s="7" t="n">
        <v>470</v>
      </c>
      <c r="B477" s="26">
        <f>(A477-1)/2000*$C$2</f>
        <v/>
      </c>
      <c r="C477" s="7">
        <f>INDEX(Bits!$E$25:$E$124,INT(B477)+1)</f>
        <v/>
      </c>
      <c r="D477" s="7">
        <f>MAX(1,MIN(INT(B477/$C$4)+1,$C$5))</f>
        <v/>
      </c>
      <c r="E477" s="26">
        <f>IF($C$5=0,0,INDEX(Symboles!$G$6:$G$101,D477))</f>
        <v/>
      </c>
      <c r="F477" s="26">
        <f>IF($C$5=0,0,INDEX(Symboles!$H$6:$H$101,D477))</f>
        <v/>
      </c>
      <c r="G477" s="26">
        <f>COS(2*PI()*$C$3*B477)</f>
        <v/>
      </c>
      <c r="H477" s="26">
        <f>SIN(2*PI()*$C$3*B477)</f>
        <v/>
      </c>
      <c r="I477" s="26">
        <f>E477*G477+F477*H477</f>
        <v/>
      </c>
    </row>
    <row r="478">
      <c r="A478" s="7" t="n">
        <v>471</v>
      </c>
      <c r="B478" s="26">
        <f>(A478-1)/2000*$C$2</f>
        <v/>
      </c>
      <c r="C478" s="7">
        <f>INDEX(Bits!$E$25:$E$124,INT(B478)+1)</f>
        <v/>
      </c>
      <c r="D478" s="7">
        <f>MAX(1,MIN(INT(B478/$C$4)+1,$C$5))</f>
        <v/>
      </c>
      <c r="E478" s="26">
        <f>IF($C$5=0,0,INDEX(Symboles!$G$6:$G$101,D478))</f>
        <v/>
      </c>
      <c r="F478" s="26">
        <f>IF($C$5=0,0,INDEX(Symboles!$H$6:$H$101,D478))</f>
        <v/>
      </c>
      <c r="G478" s="26">
        <f>COS(2*PI()*$C$3*B478)</f>
        <v/>
      </c>
      <c r="H478" s="26">
        <f>SIN(2*PI()*$C$3*B478)</f>
        <v/>
      </c>
      <c r="I478" s="26">
        <f>E478*G478+F478*H478</f>
        <v/>
      </c>
    </row>
    <row r="479">
      <c r="A479" s="7" t="n">
        <v>472</v>
      </c>
      <c r="B479" s="26">
        <f>(A479-1)/2000*$C$2</f>
        <v/>
      </c>
      <c r="C479" s="7">
        <f>INDEX(Bits!$E$25:$E$124,INT(B479)+1)</f>
        <v/>
      </c>
      <c r="D479" s="7">
        <f>MAX(1,MIN(INT(B479/$C$4)+1,$C$5))</f>
        <v/>
      </c>
      <c r="E479" s="26">
        <f>IF($C$5=0,0,INDEX(Symboles!$G$6:$G$101,D479))</f>
        <v/>
      </c>
      <c r="F479" s="26">
        <f>IF($C$5=0,0,INDEX(Symboles!$H$6:$H$101,D479))</f>
        <v/>
      </c>
      <c r="G479" s="26">
        <f>COS(2*PI()*$C$3*B479)</f>
        <v/>
      </c>
      <c r="H479" s="26">
        <f>SIN(2*PI()*$C$3*B479)</f>
        <v/>
      </c>
      <c r="I479" s="26">
        <f>E479*G479+F479*H479</f>
        <v/>
      </c>
    </row>
    <row r="480">
      <c r="A480" s="7" t="n">
        <v>473</v>
      </c>
      <c r="B480" s="26">
        <f>(A480-1)/2000*$C$2</f>
        <v/>
      </c>
      <c r="C480" s="7">
        <f>INDEX(Bits!$E$25:$E$124,INT(B480)+1)</f>
        <v/>
      </c>
      <c r="D480" s="7">
        <f>MAX(1,MIN(INT(B480/$C$4)+1,$C$5))</f>
        <v/>
      </c>
      <c r="E480" s="26">
        <f>IF($C$5=0,0,INDEX(Symboles!$G$6:$G$101,D480))</f>
        <v/>
      </c>
      <c r="F480" s="26">
        <f>IF($C$5=0,0,INDEX(Symboles!$H$6:$H$101,D480))</f>
        <v/>
      </c>
      <c r="G480" s="26">
        <f>COS(2*PI()*$C$3*B480)</f>
        <v/>
      </c>
      <c r="H480" s="26">
        <f>SIN(2*PI()*$C$3*B480)</f>
        <v/>
      </c>
      <c r="I480" s="26">
        <f>E480*G480+F480*H480</f>
        <v/>
      </c>
    </row>
    <row r="481">
      <c r="A481" s="7" t="n">
        <v>474</v>
      </c>
      <c r="B481" s="26">
        <f>(A481-1)/2000*$C$2</f>
        <v/>
      </c>
      <c r="C481" s="7">
        <f>INDEX(Bits!$E$25:$E$124,INT(B481)+1)</f>
        <v/>
      </c>
      <c r="D481" s="7">
        <f>MAX(1,MIN(INT(B481/$C$4)+1,$C$5))</f>
        <v/>
      </c>
      <c r="E481" s="26">
        <f>IF($C$5=0,0,INDEX(Symboles!$G$6:$G$101,D481))</f>
        <v/>
      </c>
      <c r="F481" s="26">
        <f>IF($C$5=0,0,INDEX(Symboles!$H$6:$H$101,D481))</f>
        <v/>
      </c>
      <c r="G481" s="26">
        <f>COS(2*PI()*$C$3*B481)</f>
        <v/>
      </c>
      <c r="H481" s="26">
        <f>SIN(2*PI()*$C$3*B481)</f>
        <v/>
      </c>
      <c r="I481" s="26">
        <f>E481*G481+F481*H481</f>
        <v/>
      </c>
    </row>
    <row r="482">
      <c r="A482" s="7" t="n">
        <v>475</v>
      </c>
      <c r="B482" s="26">
        <f>(A482-1)/2000*$C$2</f>
        <v/>
      </c>
      <c r="C482" s="7">
        <f>INDEX(Bits!$E$25:$E$124,INT(B482)+1)</f>
        <v/>
      </c>
      <c r="D482" s="7">
        <f>MAX(1,MIN(INT(B482/$C$4)+1,$C$5))</f>
        <v/>
      </c>
      <c r="E482" s="26">
        <f>IF($C$5=0,0,INDEX(Symboles!$G$6:$G$101,D482))</f>
        <v/>
      </c>
      <c r="F482" s="26">
        <f>IF($C$5=0,0,INDEX(Symboles!$H$6:$H$101,D482))</f>
        <v/>
      </c>
      <c r="G482" s="26">
        <f>COS(2*PI()*$C$3*B482)</f>
        <v/>
      </c>
      <c r="H482" s="26">
        <f>SIN(2*PI()*$C$3*B482)</f>
        <v/>
      </c>
      <c r="I482" s="26">
        <f>E482*G482+F482*H482</f>
        <v/>
      </c>
    </row>
    <row r="483">
      <c r="A483" s="7" t="n">
        <v>476</v>
      </c>
      <c r="B483" s="26">
        <f>(A483-1)/2000*$C$2</f>
        <v/>
      </c>
      <c r="C483" s="7">
        <f>INDEX(Bits!$E$25:$E$124,INT(B483)+1)</f>
        <v/>
      </c>
      <c r="D483" s="7">
        <f>MAX(1,MIN(INT(B483/$C$4)+1,$C$5))</f>
        <v/>
      </c>
      <c r="E483" s="26">
        <f>IF($C$5=0,0,INDEX(Symboles!$G$6:$G$101,D483))</f>
        <v/>
      </c>
      <c r="F483" s="26">
        <f>IF($C$5=0,0,INDEX(Symboles!$H$6:$H$101,D483))</f>
        <v/>
      </c>
      <c r="G483" s="26">
        <f>COS(2*PI()*$C$3*B483)</f>
        <v/>
      </c>
      <c r="H483" s="26">
        <f>SIN(2*PI()*$C$3*B483)</f>
        <v/>
      </c>
      <c r="I483" s="26">
        <f>E483*G483+F483*H483</f>
        <v/>
      </c>
    </row>
    <row r="484">
      <c r="A484" s="7" t="n">
        <v>477</v>
      </c>
      <c r="B484" s="26">
        <f>(A484-1)/2000*$C$2</f>
        <v/>
      </c>
      <c r="C484" s="7">
        <f>INDEX(Bits!$E$25:$E$124,INT(B484)+1)</f>
        <v/>
      </c>
      <c r="D484" s="7">
        <f>MAX(1,MIN(INT(B484/$C$4)+1,$C$5))</f>
        <v/>
      </c>
      <c r="E484" s="26">
        <f>IF($C$5=0,0,INDEX(Symboles!$G$6:$G$101,D484))</f>
        <v/>
      </c>
      <c r="F484" s="26">
        <f>IF($C$5=0,0,INDEX(Symboles!$H$6:$H$101,D484))</f>
        <v/>
      </c>
      <c r="G484" s="26">
        <f>COS(2*PI()*$C$3*B484)</f>
        <v/>
      </c>
      <c r="H484" s="26">
        <f>SIN(2*PI()*$C$3*B484)</f>
        <v/>
      </c>
      <c r="I484" s="26">
        <f>E484*G484+F484*H484</f>
        <v/>
      </c>
    </row>
    <row r="485">
      <c r="A485" s="7" t="n">
        <v>478</v>
      </c>
      <c r="B485" s="26">
        <f>(A485-1)/2000*$C$2</f>
        <v/>
      </c>
      <c r="C485" s="7">
        <f>INDEX(Bits!$E$25:$E$124,INT(B485)+1)</f>
        <v/>
      </c>
      <c r="D485" s="7">
        <f>MAX(1,MIN(INT(B485/$C$4)+1,$C$5))</f>
        <v/>
      </c>
      <c r="E485" s="26">
        <f>IF($C$5=0,0,INDEX(Symboles!$G$6:$G$101,D485))</f>
        <v/>
      </c>
      <c r="F485" s="26">
        <f>IF($C$5=0,0,INDEX(Symboles!$H$6:$H$101,D485))</f>
        <v/>
      </c>
      <c r="G485" s="26">
        <f>COS(2*PI()*$C$3*B485)</f>
        <v/>
      </c>
      <c r="H485" s="26">
        <f>SIN(2*PI()*$C$3*B485)</f>
        <v/>
      </c>
      <c r="I485" s="26">
        <f>E485*G485+F485*H485</f>
        <v/>
      </c>
    </row>
    <row r="486">
      <c r="A486" s="7" t="n">
        <v>479</v>
      </c>
      <c r="B486" s="26">
        <f>(A486-1)/2000*$C$2</f>
        <v/>
      </c>
      <c r="C486" s="7">
        <f>INDEX(Bits!$E$25:$E$124,INT(B486)+1)</f>
        <v/>
      </c>
      <c r="D486" s="7">
        <f>MAX(1,MIN(INT(B486/$C$4)+1,$C$5))</f>
        <v/>
      </c>
      <c r="E486" s="26">
        <f>IF($C$5=0,0,INDEX(Symboles!$G$6:$G$101,D486))</f>
        <v/>
      </c>
      <c r="F486" s="26">
        <f>IF($C$5=0,0,INDEX(Symboles!$H$6:$H$101,D486))</f>
        <v/>
      </c>
      <c r="G486" s="26">
        <f>COS(2*PI()*$C$3*B486)</f>
        <v/>
      </c>
      <c r="H486" s="26">
        <f>SIN(2*PI()*$C$3*B486)</f>
        <v/>
      </c>
      <c r="I486" s="26">
        <f>E486*G486+F486*H486</f>
        <v/>
      </c>
    </row>
    <row r="487">
      <c r="A487" s="7" t="n">
        <v>480</v>
      </c>
      <c r="B487" s="26">
        <f>(A487-1)/2000*$C$2</f>
        <v/>
      </c>
      <c r="C487" s="7">
        <f>INDEX(Bits!$E$25:$E$124,INT(B487)+1)</f>
        <v/>
      </c>
      <c r="D487" s="7">
        <f>MAX(1,MIN(INT(B487/$C$4)+1,$C$5))</f>
        <v/>
      </c>
      <c r="E487" s="26">
        <f>IF($C$5=0,0,INDEX(Symboles!$G$6:$G$101,D487))</f>
        <v/>
      </c>
      <c r="F487" s="26">
        <f>IF($C$5=0,0,INDEX(Symboles!$H$6:$H$101,D487))</f>
        <v/>
      </c>
      <c r="G487" s="26">
        <f>COS(2*PI()*$C$3*B487)</f>
        <v/>
      </c>
      <c r="H487" s="26">
        <f>SIN(2*PI()*$C$3*B487)</f>
        <v/>
      </c>
      <c r="I487" s="26">
        <f>E487*G487+F487*H487</f>
        <v/>
      </c>
    </row>
    <row r="488">
      <c r="A488" s="7" t="n">
        <v>481</v>
      </c>
      <c r="B488" s="26">
        <f>(A488-1)/2000*$C$2</f>
        <v/>
      </c>
      <c r="C488" s="7">
        <f>INDEX(Bits!$E$25:$E$124,INT(B488)+1)</f>
        <v/>
      </c>
      <c r="D488" s="7">
        <f>MAX(1,MIN(INT(B488/$C$4)+1,$C$5))</f>
        <v/>
      </c>
      <c r="E488" s="26">
        <f>IF($C$5=0,0,INDEX(Symboles!$G$6:$G$101,D488))</f>
        <v/>
      </c>
      <c r="F488" s="26">
        <f>IF($C$5=0,0,INDEX(Symboles!$H$6:$H$101,D488))</f>
        <v/>
      </c>
      <c r="G488" s="26">
        <f>COS(2*PI()*$C$3*B488)</f>
        <v/>
      </c>
      <c r="H488" s="26">
        <f>SIN(2*PI()*$C$3*B488)</f>
        <v/>
      </c>
      <c r="I488" s="26">
        <f>E488*G488+F488*H488</f>
        <v/>
      </c>
    </row>
    <row r="489">
      <c r="A489" s="7" t="n">
        <v>482</v>
      </c>
      <c r="B489" s="26">
        <f>(A489-1)/2000*$C$2</f>
        <v/>
      </c>
      <c r="C489" s="7">
        <f>INDEX(Bits!$E$25:$E$124,INT(B489)+1)</f>
        <v/>
      </c>
      <c r="D489" s="7">
        <f>MAX(1,MIN(INT(B489/$C$4)+1,$C$5))</f>
        <v/>
      </c>
      <c r="E489" s="26">
        <f>IF($C$5=0,0,INDEX(Symboles!$G$6:$G$101,D489))</f>
        <v/>
      </c>
      <c r="F489" s="26">
        <f>IF($C$5=0,0,INDEX(Symboles!$H$6:$H$101,D489))</f>
        <v/>
      </c>
      <c r="G489" s="26">
        <f>COS(2*PI()*$C$3*B489)</f>
        <v/>
      </c>
      <c r="H489" s="26">
        <f>SIN(2*PI()*$C$3*B489)</f>
        <v/>
      </c>
      <c r="I489" s="26">
        <f>E489*G489+F489*H489</f>
        <v/>
      </c>
    </row>
    <row r="490">
      <c r="A490" s="7" t="n">
        <v>483</v>
      </c>
      <c r="B490" s="26">
        <f>(A490-1)/2000*$C$2</f>
        <v/>
      </c>
      <c r="C490" s="7">
        <f>INDEX(Bits!$E$25:$E$124,INT(B490)+1)</f>
        <v/>
      </c>
      <c r="D490" s="7">
        <f>MAX(1,MIN(INT(B490/$C$4)+1,$C$5))</f>
        <v/>
      </c>
      <c r="E490" s="26">
        <f>IF($C$5=0,0,INDEX(Symboles!$G$6:$G$101,D490))</f>
        <v/>
      </c>
      <c r="F490" s="26">
        <f>IF($C$5=0,0,INDEX(Symboles!$H$6:$H$101,D490))</f>
        <v/>
      </c>
      <c r="G490" s="26">
        <f>COS(2*PI()*$C$3*B490)</f>
        <v/>
      </c>
      <c r="H490" s="26">
        <f>SIN(2*PI()*$C$3*B490)</f>
        <v/>
      </c>
      <c r="I490" s="26">
        <f>E490*G490+F490*H490</f>
        <v/>
      </c>
    </row>
    <row r="491">
      <c r="A491" s="7" t="n">
        <v>484</v>
      </c>
      <c r="B491" s="26">
        <f>(A491-1)/2000*$C$2</f>
        <v/>
      </c>
      <c r="C491" s="7">
        <f>INDEX(Bits!$E$25:$E$124,INT(B491)+1)</f>
        <v/>
      </c>
      <c r="D491" s="7">
        <f>MAX(1,MIN(INT(B491/$C$4)+1,$C$5))</f>
        <v/>
      </c>
      <c r="E491" s="26">
        <f>IF($C$5=0,0,INDEX(Symboles!$G$6:$G$101,D491))</f>
        <v/>
      </c>
      <c r="F491" s="26">
        <f>IF($C$5=0,0,INDEX(Symboles!$H$6:$H$101,D491))</f>
        <v/>
      </c>
      <c r="G491" s="26">
        <f>COS(2*PI()*$C$3*B491)</f>
        <v/>
      </c>
      <c r="H491" s="26">
        <f>SIN(2*PI()*$C$3*B491)</f>
        <v/>
      </c>
      <c r="I491" s="26">
        <f>E491*G491+F491*H491</f>
        <v/>
      </c>
    </row>
    <row r="492">
      <c r="A492" s="7" t="n">
        <v>485</v>
      </c>
      <c r="B492" s="26">
        <f>(A492-1)/2000*$C$2</f>
        <v/>
      </c>
      <c r="C492" s="7">
        <f>INDEX(Bits!$E$25:$E$124,INT(B492)+1)</f>
        <v/>
      </c>
      <c r="D492" s="7">
        <f>MAX(1,MIN(INT(B492/$C$4)+1,$C$5))</f>
        <v/>
      </c>
      <c r="E492" s="26">
        <f>IF($C$5=0,0,INDEX(Symboles!$G$6:$G$101,D492))</f>
        <v/>
      </c>
      <c r="F492" s="26">
        <f>IF($C$5=0,0,INDEX(Symboles!$H$6:$H$101,D492))</f>
        <v/>
      </c>
      <c r="G492" s="26">
        <f>COS(2*PI()*$C$3*B492)</f>
        <v/>
      </c>
      <c r="H492" s="26">
        <f>SIN(2*PI()*$C$3*B492)</f>
        <v/>
      </c>
      <c r="I492" s="26">
        <f>E492*G492+F492*H492</f>
        <v/>
      </c>
    </row>
    <row r="493">
      <c r="A493" s="7" t="n">
        <v>486</v>
      </c>
      <c r="B493" s="26">
        <f>(A493-1)/2000*$C$2</f>
        <v/>
      </c>
      <c r="C493" s="7">
        <f>INDEX(Bits!$E$25:$E$124,INT(B493)+1)</f>
        <v/>
      </c>
      <c r="D493" s="7">
        <f>MAX(1,MIN(INT(B493/$C$4)+1,$C$5))</f>
        <v/>
      </c>
      <c r="E493" s="26">
        <f>IF($C$5=0,0,INDEX(Symboles!$G$6:$G$101,D493))</f>
        <v/>
      </c>
      <c r="F493" s="26">
        <f>IF($C$5=0,0,INDEX(Symboles!$H$6:$H$101,D493))</f>
        <v/>
      </c>
      <c r="G493" s="26">
        <f>COS(2*PI()*$C$3*B493)</f>
        <v/>
      </c>
      <c r="H493" s="26">
        <f>SIN(2*PI()*$C$3*B493)</f>
        <v/>
      </c>
      <c r="I493" s="26">
        <f>E493*G493+F493*H493</f>
        <v/>
      </c>
    </row>
    <row r="494">
      <c r="A494" s="7" t="n">
        <v>487</v>
      </c>
      <c r="B494" s="26">
        <f>(A494-1)/2000*$C$2</f>
        <v/>
      </c>
      <c r="C494" s="7">
        <f>INDEX(Bits!$E$25:$E$124,INT(B494)+1)</f>
        <v/>
      </c>
      <c r="D494" s="7">
        <f>MAX(1,MIN(INT(B494/$C$4)+1,$C$5))</f>
        <v/>
      </c>
      <c r="E494" s="26">
        <f>IF($C$5=0,0,INDEX(Symboles!$G$6:$G$101,D494))</f>
        <v/>
      </c>
      <c r="F494" s="26">
        <f>IF($C$5=0,0,INDEX(Symboles!$H$6:$H$101,D494))</f>
        <v/>
      </c>
      <c r="G494" s="26">
        <f>COS(2*PI()*$C$3*B494)</f>
        <v/>
      </c>
      <c r="H494" s="26">
        <f>SIN(2*PI()*$C$3*B494)</f>
        <v/>
      </c>
      <c r="I494" s="26">
        <f>E494*G494+F494*H494</f>
        <v/>
      </c>
    </row>
    <row r="495">
      <c r="A495" s="7" t="n">
        <v>488</v>
      </c>
      <c r="B495" s="26">
        <f>(A495-1)/2000*$C$2</f>
        <v/>
      </c>
      <c r="C495" s="7">
        <f>INDEX(Bits!$E$25:$E$124,INT(B495)+1)</f>
        <v/>
      </c>
      <c r="D495" s="7">
        <f>MAX(1,MIN(INT(B495/$C$4)+1,$C$5))</f>
        <v/>
      </c>
      <c r="E495" s="26">
        <f>IF($C$5=0,0,INDEX(Symboles!$G$6:$G$101,D495))</f>
        <v/>
      </c>
      <c r="F495" s="26">
        <f>IF($C$5=0,0,INDEX(Symboles!$H$6:$H$101,D495))</f>
        <v/>
      </c>
      <c r="G495" s="26">
        <f>COS(2*PI()*$C$3*B495)</f>
        <v/>
      </c>
      <c r="H495" s="26">
        <f>SIN(2*PI()*$C$3*B495)</f>
        <v/>
      </c>
      <c r="I495" s="26">
        <f>E495*G495+F495*H495</f>
        <v/>
      </c>
    </row>
    <row r="496">
      <c r="A496" s="7" t="n">
        <v>489</v>
      </c>
      <c r="B496" s="26">
        <f>(A496-1)/2000*$C$2</f>
        <v/>
      </c>
      <c r="C496" s="7">
        <f>INDEX(Bits!$E$25:$E$124,INT(B496)+1)</f>
        <v/>
      </c>
      <c r="D496" s="7">
        <f>MAX(1,MIN(INT(B496/$C$4)+1,$C$5))</f>
        <v/>
      </c>
      <c r="E496" s="26">
        <f>IF($C$5=0,0,INDEX(Symboles!$G$6:$G$101,D496))</f>
        <v/>
      </c>
      <c r="F496" s="26">
        <f>IF($C$5=0,0,INDEX(Symboles!$H$6:$H$101,D496))</f>
        <v/>
      </c>
      <c r="G496" s="26">
        <f>COS(2*PI()*$C$3*B496)</f>
        <v/>
      </c>
      <c r="H496" s="26">
        <f>SIN(2*PI()*$C$3*B496)</f>
        <v/>
      </c>
      <c r="I496" s="26">
        <f>E496*G496+F496*H496</f>
        <v/>
      </c>
    </row>
    <row r="497">
      <c r="A497" s="7" t="n">
        <v>490</v>
      </c>
      <c r="B497" s="26">
        <f>(A497-1)/2000*$C$2</f>
        <v/>
      </c>
      <c r="C497" s="7">
        <f>INDEX(Bits!$E$25:$E$124,INT(B497)+1)</f>
        <v/>
      </c>
      <c r="D497" s="7">
        <f>MAX(1,MIN(INT(B497/$C$4)+1,$C$5))</f>
        <v/>
      </c>
      <c r="E497" s="26">
        <f>IF($C$5=0,0,INDEX(Symboles!$G$6:$G$101,D497))</f>
        <v/>
      </c>
      <c r="F497" s="26">
        <f>IF($C$5=0,0,INDEX(Symboles!$H$6:$H$101,D497))</f>
        <v/>
      </c>
      <c r="G497" s="26">
        <f>COS(2*PI()*$C$3*B497)</f>
        <v/>
      </c>
      <c r="H497" s="26">
        <f>SIN(2*PI()*$C$3*B497)</f>
        <v/>
      </c>
      <c r="I497" s="26">
        <f>E497*G497+F497*H497</f>
        <v/>
      </c>
    </row>
    <row r="498">
      <c r="A498" s="7" t="n">
        <v>491</v>
      </c>
      <c r="B498" s="26">
        <f>(A498-1)/2000*$C$2</f>
        <v/>
      </c>
      <c r="C498" s="7">
        <f>INDEX(Bits!$E$25:$E$124,INT(B498)+1)</f>
        <v/>
      </c>
      <c r="D498" s="7">
        <f>MAX(1,MIN(INT(B498/$C$4)+1,$C$5))</f>
        <v/>
      </c>
      <c r="E498" s="26">
        <f>IF($C$5=0,0,INDEX(Symboles!$G$6:$G$101,D498))</f>
        <v/>
      </c>
      <c r="F498" s="26">
        <f>IF($C$5=0,0,INDEX(Symboles!$H$6:$H$101,D498))</f>
        <v/>
      </c>
      <c r="G498" s="26">
        <f>COS(2*PI()*$C$3*B498)</f>
        <v/>
      </c>
      <c r="H498" s="26">
        <f>SIN(2*PI()*$C$3*B498)</f>
        <v/>
      </c>
      <c r="I498" s="26">
        <f>E498*G498+F498*H498</f>
        <v/>
      </c>
    </row>
    <row r="499">
      <c r="A499" s="7" t="n">
        <v>492</v>
      </c>
      <c r="B499" s="26">
        <f>(A499-1)/2000*$C$2</f>
        <v/>
      </c>
      <c r="C499" s="7">
        <f>INDEX(Bits!$E$25:$E$124,INT(B499)+1)</f>
        <v/>
      </c>
      <c r="D499" s="7">
        <f>MAX(1,MIN(INT(B499/$C$4)+1,$C$5))</f>
        <v/>
      </c>
      <c r="E499" s="26">
        <f>IF($C$5=0,0,INDEX(Symboles!$G$6:$G$101,D499))</f>
        <v/>
      </c>
      <c r="F499" s="26">
        <f>IF($C$5=0,0,INDEX(Symboles!$H$6:$H$101,D499))</f>
        <v/>
      </c>
      <c r="G499" s="26">
        <f>COS(2*PI()*$C$3*B499)</f>
        <v/>
      </c>
      <c r="H499" s="26">
        <f>SIN(2*PI()*$C$3*B499)</f>
        <v/>
      </c>
      <c r="I499" s="26">
        <f>E499*G499+F499*H499</f>
        <v/>
      </c>
    </row>
    <row r="500">
      <c r="A500" s="7" t="n">
        <v>493</v>
      </c>
      <c r="B500" s="26">
        <f>(A500-1)/2000*$C$2</f>
        <v/>
      </c>
      <c r="C500" s="7">
        <f>INDEX(Bits!$E$25:$E$124,INT(B500)+1)</f>
        <v/>
      </c>
      <c r="D500" s="7">
        <f>MAX(1,MIN(INT(B500/$C$4)+1,$C$5))</f>
        <v/>
      </c>
      <c r="E500" s="26">
        <f>IF($C$5=0,0,INDEX(Symboles!$G$6:$G$101,D500))</f>
        <v/>
      </c>
      <c r="F500" s="26">
        <f>IF($C$5=0,0,INDEX(Symboles!$H$6:$H$101,D500))</f>
        <v/>
      </c>
      <c r="G500" s="26">
        <f>COS(2*PI()*$C$3*B500)</f>
        <v/>
      </c>
      <c r="H500" s="26">
        <f>SIN(2*PI()*$C$3*B500)</f>
        <v/>
      </c>
      <c r="I500" s="26">
        <f>E500*G500+F500*H500</f>
        <v/>
      </c>
    </row>
    <row r="501">
      <c r="A501" s="7" t="n">
        <v>494</v>
      </c>
      <c r="B501" s="26">
        <f>(A501-1)/2000*$C$2</f>
        <v/>
      </c>
      <c r="C501" s="7">
        <f>INDEX(Bits!$E$25:$E$124,INT(B501)+1)</f>
        <v/>
      </c>
      <c r="D501" s="7">
        <f>MAX(1,MIN(INT(B501/$C$4)+1,$C$5))</f>
        <v/>
      </c>
      <c r="E501" s="26">
        <f>IF($C$5=0,0,INDEX(Symboles!$G$6:$G$101,D501))</f>
        <v/>
      </c>
      <c r="F501" s="26">
        <f>IF($C$5=0,0,INDEX(Symboles!$H$6:$H$101,D501))</f>
        <v/>
      </c>
      <c r="G501" s="26">
        <f>COS(2*PI()*$C$3*B501)</f>
        <v/>
      </c>
      <c r="H501" s="26">
        <f>SIN(2*PI()*$C$3*B501)</f>
        <v/>
      </c>
      <c r="I501" s="26">
        <f>E501*G501+F501*H501</f>
        <v/>
      </c>
    </row>
    <row r="502">
      <c r="A502" s="7" t="n">
        <v>495</v>
      </c>
      <c r="B502" s="26">
        <f>(A502-1)/2000*$C$2</f>
        <v/>
      </c>
      <c r="C502" s="7">
        <f>INDEX(Bits!$E$25:$E$124,INT(B502)+1)</f>
        <v/>
      </c>
      <c r="D502" s="7">
        <f>MAX(1,MIN(INT(B502/$C$4)+1,$C$5))</f>
        <v/>
      </c>
      <c r="E502" s="26">
        <f>IF($C$5=0,0,INDEX(Symboles!$G$6:$G$101,D502))</f>
        <v/>
      </c>
      <c r="F502" s="26">
        <f>IF($C$5=0,0,INDEX(Symboles!$H$6:$H$101,D502))</f>
        <v/>
      </c>
      <c r="G502" s="26">
        <f>COS(2*PI()*$C$3*B502)</f>
        <v/>
      </c>
      <c r="H502" s="26">
        <f>SIN(2*PI()*$C$3*B502)</f>
        <v/>
      </c>
      <c r="I502" s="26">
        <f>E502*G502+F502*H502</f>
        <v/>
      </c>
    </row>
    <row r="503">
      <c r="A503" s="7" t="n">
        <v>496</v>
      </c>
      <c r="B503" s="26">
        <f>(A503-1)/2000*$C$2</f>
        <v/>
      </c>
      <c r="C503" s="7">
        <f>INDEX(Bits!$E$25:$E$124,INT(B503)+1)</f>
        <v/>
      </c>
      <c r="D503" s="7">
        <f>MAX(1,MIN(INT(B503/$C$4)+1,$C$5))</f>
        <v/>
      </c>
      <c r="E503" s="26">
        <f>IF($C$5=0,0,INDEX(Symboles!$G$6:$G$101,D503))</f>
        <v/>
      </c>
      <c r="F503" s="26">
        <f>IF($C$5=0,0,INDEX(Symboles!$H$6:$H$101,D503))</f>
        <v/>
      </c>
      <c r="G503" s="26">
        <f>COS(2*PI()*$C$3*B503)</f>
        <v/>
      </c>
      <c r="H503" s="26">
        <f>SIN(2*PI()*$C$3*B503)</f>
        <v/>
      </c>
      <c r="I503" s="26">
        <f>E503*G503+F503*H503</f>
        <v/>
      </c>
    </row>
    <row r="504">
      <c r="A504" s="7" t="n">
        <v>497</v>
      </c>
      <c r="B504" s="26">
        <f>(A504-1)/2000*$C$2</f>
        <v/>
      </c>
      <c r="C504" s="7">
        <f>INDEX(Bits!$E$25:$E$124,INT(B504)+1)</f>
        <v/>
      </c>
      <c r="D504" s="7">
        <f>MAX(1,MIN(INT(B504/$C$4)+1,$C$5))</f>
        <v/>
      </c>
      <c r="E504" s="26">
        <f>IF($C$5=0,0,INDEX(Symboles!$G$6:$G$101,D504))</f>
        <v/>
      </c>
      <c r="F504" s="26">
        <f>IF($C$5=0,0,INDEX(Symboles!$H$6:$H$101,D504))</f>
        <v/>
      </c>
      <c r="G504" s="26">
        <f>COS(2*PI()*$C$3*B504)</f>
        <v/>
      </c>
      <c r="H504" s="26">
        <f>SIN(2*PI()*$C$3*B504)</f>
        <v/>
      </c>
      <c r="I504" s="26">
        <f>E504*G504+F504*H504</f>
        <v/>
      </c>
    </row>
    <row r="505">
      <c r="A505" s="7" t="n">
        <v>498</v>
      </c>
      <c r="B505" s="26">
        <f>(A505-1)/2000*$C$2</f>
        <v/>
      </c>
      <c r="C505" s="7">
        <f>INDEX(Bits!$E$25:$E$124,INT(B505)+1)</f>
        <v/>
      </c>
      <c r="D505" s="7">
        <f>MAX(1,MIN(INT(B505/$C$4)+1,$C$5))</f>
        <v/>
      </c>
      <c r="E505" s="26">
        <f>IF($C$5=0,0,INDEX(Symboles!$G$6:$G$101,D505))</f>
        <v/>
      </c>
      <c r="F505" s="26">
        <f>IF($C$5=0,0,INDEX(Symboles!$H$6:$H$101,D505))</f>
        <v/>
      </c>
      <c r="G505" s="26">
        <f>COS(2*PI()*$C$3*B505)</f>
        <v/>
      </c>
      <c r="H505" s="26">
        <f>SIN(2*PI()*$C$3*B505)</f>
        <v/>
      </c>
      <c r="I505" s="26">
        <f>E505*G505+F505*H505</f>
        <v/>
      </c>
    </row>
    <row r="506">
      <c r="A506" s="7" t="n">
        <v>499</v>
      </c>
      <c r="B506" s="26">
        <f>(A506-1)/2000*$C$2</f>
        <v/>
      </c>
      <c r="C506" s="7">
        <f>INDEX(Bits!$E$25:$E$124,INT(B506)+1)</f>
        <v/>
      </c>
      <c r="D506" s="7">
        <f>MAX(1,MIN(INT(B506/$C$4)+1,$C$5))</f>
        <v/>
      </c>
      <c r="E506" s="26">
        <f>IF($C$5=0,0,INDEX(Symboles!$G$6:$G$101,D506))</f>
        <v/>
      </c>
      <c r="F506" s="26">
        <f>IF($C$5=0,0,INDEX(Symboles!$H$6:$H$101,D506))</f>
        <v/>
      </c>
      <c r="G506" s="26">
        <f>COS(2*PI()*$C$3*B506)</f>
        <v/>
      </c>
      <c r="H506" s="26">
        <f>SIN(2*PI()*$C$3*B506)</f>
        <v/>
      </c>
      <c r="I506" s="26">
        <f>E506*G506+F506*H506</f>
        <v/>
      </c>
    </row>
    <row r="507">
      <c r="A507" s="7" t="n">
        <v>500</v>
      </c>
      <c r="B507" s="26">
        <f>(A507-1)/2000*$C$2</f>
        <v/>
      </c>
      <c r="C507" s="7">
        <f>INDEX(Bits!$E$25:$E$124,INT(B507)+1)</f>
        <v/>
      </c>
      <c r="D507" s="7">
        <f>MAX(1,MIN(INT(B507/$C$4)+1,$C$5))</f>
        <v/>
      </c>
      <c r="E507" s="26">
        <f>IF($C$5=0,0,INDEX(Symboles!$G$6:$G$101,D507))</f>
        <v/>
      </c>
      <c r="F507" s="26">
        <f>IF($C$5=0,0,INDEX(Symboles!$H$6:$H$101,D507))</f>
        <v/>
      </c>
      <c r="G507" s="26">
        <f>COS(2*PI()*$C$3*B507)</f>
        <v/>
      </c>
      <c r="H507" s="26">
        <f>SIN(2*PI()*$C$3*B507)</f>
        <v/>
      </c>
      <c r="I507" s="26">
        <f>E507*G507+F507*H507</f>
        <v/>
      </c>
    </row>
    <row r="508">
      <c r="A508" s="7" t="n">
        <v>501</v>
      </c>
      <c r="B508" s="26">
        <f>(A508-1)/2000*$C$2</f>
        <v/>
      </c>
      <c r="C508" s="7">
        <f>INDEX(Bits!$E$25:$E$124,INT(B508)+1)</f>
        <v/>
      </c>
      <c r="D508" s="7">
        <f>MAX(1,MIN(INT(B508/$C$4)+1,$C$5))</f>
        <v/>
      </c>
      <c r="E508" s="26">
        <f>IF($C$5=0,0,INDEX(Symboles!$G$6:$G$101,D508))</f>
        <v/>
      </c>
      <c r="F508" s="26">
        <f>IF($C$5=0,0,INDEX(Symboles!$H$6:$H$101,D508))</f>
        <v/>
      </c>
      <c r="G508" s="26">
        <f>COS(2*PI()*$C$3*B508)</f>
        <v/>
      </c>
      <c r="H508" s="26">
        <f>SIN(2*PI()*$C$3*B508)</f>
        <v/>
      </c>
      <c r="I508" s="26">
        <f>E508*G508+F508*H508</f>
        <v/>
      </c>
    </row>
    <row r="509">
      <c r="A509" s="7" t="n">
        <v>502</v>
      </c>
      <c r="B509" s="26">
        <f>(A509-1)/2000*$C$2</f>
        <v/>
      </c>
      <c r="C509" s="7">
        <f>INDEX(Bits!$E$25:$E$124,INT(B509)+1)</f>
        <v/>
      </c>
      <c r="D509" s="7">
        <f>MAX(1,MIN(INT(B509/$C$4)+1,$C$5))</f>
        <v/>
      </c>
      <c r="E509" s="26">
        <f>IF($C$5=0,0,INDEX(Symboles!$G$6:$G$101,D509))</f>
        <v/>
      </c>
      <c r="F509" s="26">
        <f>IF($C$5=0,0,INDEX(Symboles!$H$6:$H$101,D509))</f>
        <v/>
      </c>
      <c r="G509" s="26">
        <f>COS(2*PI()*$C$3*B509)</f>
        <v/>
      </c>
      <c r="H509" s="26">
        <f>SIN(2*PI()*$C$3*B509)</f>
        <v/>
      </c>
      <c r="I509" s="26">
        <f>E509*G509+F509*H509</f>
        <v/>
      </c>
    </row>
    <row r="510">
      <c r="A510" s="7" t="n">
        <v>503</v>
      </c>
      <c r="B510" s="26">
        <f>(A510-1)/2000*$C$2</f>
        <v/>
      </c>
      <c r="C510" s="7">
        <f>INDEX(Bits!$E$25:$E$124,INT(B510)+1)</f>
        <v/>
      </c>
      <c r="D510" s="7">
        <f>MAX(1,MIN(INT(B510/$C$4)+1,$C$5))</f>
        <v/>
      </c>
      <c r="E510" s="26">
        <f>IF($C$5=0,0,INDEX(Symboles!$G$6:$G$101,D510))</f>
        <v/>
      </c>
      <c r="F510" s="26">
        <f>IF($C$5=0,0,INDEX(Symboles!$H$6:$H$101,D510))</f>
        <v/>
      </c>
      <c r="G510" s="26">
        <f>COS(2*PI()*$C$3*B510)</f>
        <v/>
      </c>
      <c r="H510" s="26">
        <f>SIN(2*PI()*$C$3*B510)</f>
        <v/>
      </c>
      <c r="I510" s="26">
        <f>E510*G510+F510*H510</f>
        <v/>
      </c>
    </row>
    <row r="511">
      <c r="A511" s="7" t="n">
        <v>504</v>
      </c>
      <c r="B511" s="26">
        <f>(A511-1)/2000*$C$2</f>
        <v/>
      </c>
      <c r="C511" s="7">
        <f>INDEX(Bits!$E$25:$E$124,INT(B511)+1)</f>
        <v/>
      </c>
      <c r="D511" s="7">
        <f>MAX(1,MIN(INT(B511/$C$4)+1,$C$5))</f>
        <v/>
      </c>
      <c r="E511" s="26">
        <f>IF($C$5=0,0,INDEX(Symboles!$G$6:$G$101,D511))</f>
        <v/>
      </c>
      <c r="F511" s="26">
        <f>IF($C$5=0,0,INDEX(Symboles!$H$6:$H$101,D511))</f>
        <v/>
      </c>
      <c r="G511" s="26">
        <f>COS(2*PI()*$C$3*B511)</f>
        <v/>
      </c>
      <c r="H511" s="26">
        <f>SIN(2*PI()*$C$3*B511)</f>
        <v/>
      </c>
      <c r="I511" s="26">
        <f>E511*G511+F511*H511</f>
        <v/>
      </c>
    </row>
    <row r="512">
      <c r="A512" s="7" t="n">
        <v>505</v>
      </c>
      <c r="B512" s="26">
        <f>(A512-1)/2000*$C$2</f>
        <v/>
      </c>
      <c r="C512" s="7">
        <f>INDEX(Bits!$E$25:$E$124,INT(B512)+1)</f>
        <v/>
      </c>
      <c r="D512" s="7">
        <f>MAX(1,MIN(INT(B512/$C$4)+1,$C$5))</f>
        <v/>
      </c>
      <c r="E512" s="26">
        <f>IF($C$5=0,0,INDEX(Symboles!$G$6:$G$101,D512))</f>
        <v/>
      </c>
      <c r="F512" s="26">
        <f>IF($C$5=0,0,INDEX(Symboles!$H$6:$H$101,D512))</f>
        <v/>
      </c>
      <c r="G512" s="26">
        <f>COS(2*PI()*$C$3*B512)</f>
        <v/>
      </c>
      <c r="H512" s="26">
        <f>SIN(2*PI()*$C$3*B512)</f>
        <v/>
      </c>
      <c r="I512" s="26">
        <f>E512*G512+F512*H512</f>
        <v/>
      </c>
    </row>
    <row r="513">
      <c r="A513" s="7" t="n">
        <v>506</v>
      </c>
      <c r="B513" s="26">
        <f>(A513-1)/2000*$C$2</f>
        <v/>
      </c>
      <c r="C513" s="7">
        <f>INDEX(Bits!$E$25:$E$124,INT(B513)+1)</f>
        <v/>
      </c>
      <c r="D513" s="7">
        <f>MAX(1,MIN(INT(B513/$C$4)+1,$C$5))</f>
        <v/>
      </c>
      <c r="E513" s="26">
        <f>IF($C$5=0,0,INDEX(Symboles!$G$6:$G$101,D513))</f>
        <v/>
      </c>
      <c r="F513" s="26">
        <f>IF($C$5=0,0,INDEX(Symboles!$H$6:$H$101,D513))</f>
        <v/>
      </c>
      <c r="G513" s="26">
        <f>COS(2*PI()*$C$3*B513)</f>
        <v/>
      </c>
      <c r="H513" s="26">
        <f>SIN(2*PI()*$C$3*B513)</f>
        <v/>
      </c>
      <c r="I513" s="26">
        <f>E513*G513+F513*H513</f>
        <v/>
      </c>
    </row>
    <row r="514">
      <c r="A514" s="7" t="n">
        <v>507</v>
      </c>
      <c r="B514" s="26">
        <f>(A514-1)/2000*$C$2</f>
        <v/>
      </c>
      <c r="C514" s="7">
        <f>INDEX(Bits!$E$25:$E$124,INT(B514)+1)</f>
        <v/>
      </c>
      <c r="D514" s="7">
        <f>MAX(1,MIN(INT(B514/$C$4)+1,$C$5))</f>
        <v/>
      </c>
      <c r="E514" s="26">
        <f>IF($C$5=0,0,INDEX(Symboles!$G$6:$G$101,D514))</f>
        <v/>
      </c>
      <c r="F514" s="26">
        <f>IF($C$5=0,0,INDEX(Symboles!$H$6:$H$101,D514))</f>
        <v/>
      </c>
      <c r="G514" s="26">
        <f>COS(2*PI()*$C$3*B514)</f>
        <v/>
      </c>
      <c r="H514" s="26">
        <f>SIN(2*PI()*$C$3*B514)</f>
        <v/>
      </c>
      <c r="I514" s="26">
        <f>E514*G514+F514*H514</f>
        <v/>
      </c>
    </row>
    <row r="515">
      <c r="A515" s="7" t="n">
        <v>508</v>
      </c>
      <c r="B515" s="26">
        <f>(A515-1)/2000*$C$2</f>
        <v/>
      </c>
      <c r="C515" s="7">
        <f>INDEX(Bits!$E$25:$E$124,INT(B515)+1)</f>
        <v/>
      </c>
      <c r="D515" s="7">
        <f>MAX(1,MIN(INT(B515/$C$4)+1,$C$5))</f>
        <v/>
      </c>
      <c r="E515" s="26">
        <f>IF($C$5=0,0,INDEX(Symboles!$G$6:$G$101,D515))</f>
        <v/>
      </c>
      <c r="F515" s="26">
        <f>IF($C$5=0,0,INDEX(Symboles!$H$6:$H$101,D515))</f>
        <v/>
      </c>
      <c r="G515" s="26">
        <f>COS(2*PI()*$C$3*B515)</f>
        <v/>
      </c>
      <c r="H515" s="26">
        <f>SIN(2*PI()*$C$3*B515)</f>
        <v/>
      </c>
      <c r="I515" s="26">
        <f>E515*G515+F515*H515</f>
        <v/>
      </c>
    </row>
    <row r="516">
      <c r="A516" s="7" t="n">
        <v>509</v>
      </c>
      <c r="B516" s="26">
        <f>(A516-1)/2000*$C$2</f>
        <v/>
      </c>
      <c r="C516" s="7">
        <f>INDEX(Bits!$E$25:$E$124,INT(B516)+1)</f>
        <v/>
      </c>
      <c r="D516" s="7">
        <f>MAX(1,MIN(INT(B516/$C$4)+1,$C$5))</f>
        <v/>
      </c>
      <c r="E516" s="26">
        <f>IF($C$5=0,0,INDEX(Symboles!$G$6:$G$101,D516))</f>
        <v/>
      </c>
      <c r="F516" s="26">
        <f>IF($C$5=0,0,INDEX(Symboles!$H$6:$H$101,D516))</f>
        <v/>
      </c>
      <c r="G516" s="26">
        <f>COS(2*PI()*$C$3*B516)</f>
        <v/>
      </c>
      <c r="H516" s="26">
        <f>SIN(2*PI()*$C$3*B516)</f>
        <v/>
      </c>
      <c r="I516" s="26">
        <f>E516*G516+F516*H516</f>
        <v/>
      </c>
    </row>
    <row r="517">
      <c r="A517" s="7" t="n">
        <v>510</v>
      </c>
      <c r="B517" s="26">
        <f>(A517-1)/2000*$C$2</f>
        <v/>
      </c>
      <c r="C517" s="7">
        <f>INDEX(Bits!$E$25:$E$124,INT(B517)+1)</f>
        <v/>
      </c>
      <c r="D517" s="7">
        <f>MAX(1,MIN(INT(B517/$C$4)+1,$C$5))</f>
        <v/>
      </c>
      <c r="E517" s="26">
        <f>IF($C$5=0,0,INDEX(Symboles!$G$6:$G$101,D517))</f>
        <v/>
      </c>
      <c r="F517" s="26">
        <f>IF($C$5=0,0,INDEX(Symboles!$H$6:$H$101,D517))</f>
        <v/>
      </c>
      <c r="G517" s="26">
        <f>COS(2*PI()*$C$3*B517)</f>
        <v/>
      </c>
      <c r="H517" s="26">
        <f>SIN(2*PI()*$C$3*B517)</f>
        <v/>
      </c>
      <c r="I517" s="26">
        <f>E517*G517+F517*H517</f>
        <v/>
      </c>
    </row>
    <row r="518">
      <c r="A518" s="7" t="n">
        <v>511</v>
      </c>
      <c r="B518" s="26">
        <f>(A518-1)/2000*$C$2</f>
        <v/>
      </c>
      <c r="C518" s="7">
        <f>INDEX(Bits!$E$25:$E$124,INT(B518)+1)</f>
        <v/>
      </c>
      <c r="D518" s="7">
        <f>MAX(1,MIN(INT(B518/$C$4)+1,$C$5))</f>
        <v/>
      </c>
      <c r="E518" s="26">
        <f>IF($C$5=0,0,INDEX(Symboles!$G$6:$G$101,D518))</f>
        <v/>
      </c>
      <c r="F518" s="26">
        <f>IF($C$5=0,0,INDEX(Symboles!$H$6:$H$101,D518))</f>
        <v/>
      </c>
      <c r="G518" s="26">
        <f>COS(2*PI()*$C$3*B518)</f>
        <v/>
      </c>
      <c r="H518" s="26">
        <f>SIN(2*PI()*$C$3*B518)</f>
        <v/>
      </c>
      <c r="I518" s="26">
        <f>E518*G518+F518*H518</f>
        <v/>
      </c>
    </row>
    <row r="519">
      <c r="A519" s="7" t="n">
        <v>512</v>
      </c>
      <c r="B519" s="26">
        <f>(A519-1)/2000*$C$2</f>
        <v/>
      </c>
      <c r="C519" s="7">
        <f>INDEX(Bits!$E$25:$E$124,INT(B519)+1)</f>
        <v/>
      </c>
      <c r="D519" s="7">
        <f>MAX(1,MIN(INT(B519/$C$4)+1,$C$5))</f>
        <v/>
      </c>
      <c r="E519" s="26">
        <f>IF($C$5=0,0,INDEX(Symboles!$G$6:$G$101,D519))</f>
        <v/>
      </c>
      <c r="F519" s="26">
        <f>IF($C$5=0,0,INDEX(Symboles!$H$6:$H$101,D519))</f>
        <v/>
      </c>
      <c r="G519" s="26">
        <f>COS(2*PI()*$C$3*B519)</f>
        <v/>
      </c>
      <c r="H519" s="26">
        <f>SIN(2*PI()*$C$3*B519)</f>
        <v/>
      </c>
      <c r="I519" s="26">
        <f>E519*G519+F519*H519</f>
        <v/>
      </c>
    </row>
    <row r="520">
      <c r="A520" s="7" t="n">
        <v>513</v>
      </c>
      <c r="B520" s="26">
        <f>(A520-1)/2000*$C$2</f>
        <v/>
      </c>
      <c r="C520" s="7">
        <f>INDEX(Bits!$E$25:$E$124,INT(B520)+1)</f>
        <v/>
      </c>
      <c r="D520" s="7">
        <f>MAX(1,MIN(INT(B520/$C$4)+1,$C$5))</f>
        <v/>
      </c>
      <c r="E520" s="26">
        <f>IF($C$5=0,0,INDEX(Symboles!$G$6:$G$101,D520))</f>
        <v/>
      </c>
      <c r="F520" s="26">
        <f>IF($C$5=0,0,INDEX(Symboles!$H$6:$H$101,D520))</f>
        <v/>
      </c>
      <c r="G520" s="26">
        <f>COS(2*PI()*$C$3*B520)</f>
        <v/>
      </c>
      <c r="H520" s="26">
        <f>SIN(2*PI()*$C$3*B520)</f>
        <v/>
      </c>
      <c r="I520" s="26">
        <f>E520*G520+F520*H520</f>
        <v/>
      </c>
    </row>
    <row r="521">
      <c r="A521" s="7" t="n">
        <v>514</v>
      </c>
      <c r="B521" s="26">
        <f>(A521-1)/2000*$C$2</f>
        <v/>
      </c>
      <c r="C521" s="7">
        <f>INDEX(Bits!$E$25:$E$124,INT(B521)+1)</f>
        <v/>
      </c>
      <c r="D521" s="7">
        <f>MAX(1,MIN(INT(B521/$C$4)+1,$C$5))</f>
        <v/>
      </c>
      <c r="E521" s="26">
        <f>IF($C$5=0,0,INDEX(Symboles!$G$6:$G$101,D521))</f>
        <v/>
      </c>
      <c r="F521" s="26">
        <f>IF($C$5=0,0,INDEX(Symboles!$H$6:$H$101,D521))</f>
        <v/>
      </c>
      <c r="G521" s="26">
        <f>COS(2*PI()*$C$3*B521)</f>
        <v/>
      </c>
      <c r="H521" s="26">
        <f>SIN(2*PI()*$C$3*B521)</f>
        <v/>
      </c>
      <c r="I521" s="26">
        <f>E521*G521+F521*H521</f>
        <v/>
      </c>
    </row>
    <row r="522">
      <c r="A522" s="7" t="n">
        <v>515</v>
      </c>
      <c r="B522" s="26">
        <f>(A522-1)/2000*$C$2</f>
        <v/>
      </c>
      <c r="C522" s="7">
        <f>INDEX(Bits!$E$25:$E$124,INT(B522)+1)</f>
        <v/>
      </c>
      <c r="D522" s="7">
        <f>MAX(1,MIN(INT(B522/$C$4)+1,$C$5))</f>
        <v/>
      </c>
      <c r="E522" s="26">
        <f>IF($C$5=0,0,INDEX(Symboles!$G$6:$G$101,D522))</f>
        <v/>
      </c>
      <c r="F522" s="26">
        <f>IF($C$5=0,0,INDEX(Symboles!$H$6:$H$101,D522))</f>
        <v/>
      </c>
      <c r="G522" s="26">
        <f>COS(2*PI()*$C$3*B522)</f>
        <v/>
      </c>
      <c r="H522" s="26">
        <f>SIN(2*PI()*$C$3*B522)</f>
        <v/>
      </c>
      <c r="I522" s="26">
        <f>E522*G522+F522*H522</f>
        <v/>
      </c>
    </row>
    <row r="523">
      <c r="A523" s="7" t="n">
        <v>516</v>
      </c>
      <c r="B523" s="26">
        <f>(A523-1)/2000*$C$2</f>
        <v/>
      </c>
      <c r="C523" s="7">
        <f>INDEX(Bits!$E$25:$E$124,INT(B523)+1)</f>
        <v/>
      </c>
      <c r="D523" s="7">
        <f>MAX(1,MIN(INT(B523/$C$4)+1,$C$5))</f>
        <v/>
      </c>
      <c r="E523" s="26">
        <f>IF($C$5=0,0,INDEX(Symboles!$G$6:$G$101,D523))</f>
        <v/>
      </c>
      <c r="F523" s="26">
        <f>IF($C$5=0,0,INDEX(Symboles!$H$6:$H$101,D523))</f>
        <v/>
      </c>
      <c r="G523" s="26">
        <f>COS(2*PI()*$C$3*B523)</f>
        <v/>
      </c>
      <c r="H523" s="26">
        <f>SIN(2*PI()*$C$3*B523)</f>
        <v/>
      </c>
      <c r="I523" s="26">
        <f>E523*G523+F523*H523</f>
        <v/>
      </c>
    </row>
    <row r="524">
      <c r="A524" s="7" t="n">
        <v>517</v>
      </c>
      <c r="B524" s="26">
        <f>(A524-1)/2000*$C$2</f>
        <v/>
      </c>
      <c r="C524" s="7">
        <f>INDEX(Bits!$E$25:$E$124,INT(B524)+1)</f>
        <v/>
      </c>
      <c r="D524" s="7">
        <f>MAX(1,MIN(INT(B524/$C$4)+1,$C$5))</f>
        <v/>
      </c>
      <c r="E524" s="26">
        <f>IF($C$5=0,0,INDEX(Symboles!$G$6:$G$101,D524))</f>
        <v/>
      </c>
      <c r="F524" s="26">
        <f>IF($C$5=0,0,INDEX(Symboles!$H$6:$H$101,D524))</f>
        <v/>
      </c>
      <c r="G524" s="26">
        <f>COS(2*PI()*$C$3*B524)</f>
        <v/>
      </c>
      <c r="H524" s="26">
        <f>SIN(2*PI()*$C$3*B524)</f>
        <v/>
      </c>
      <c r="I524" s="26">
        <f>E524*G524+F524*H524</f>
        <v/>
      </c>
    </row>
    <row r="525">
      <c r="A525" s="7" t="n">
        <v>518</v>
      </c>
      <c r="B525" s="26">
        <f>(A525-1)/2000*$C$2</f>
        <v/>
      </c>
      <c r="C525" s="7">
        <f>INDEX(Bits!$E$25:$E$124,INT(B525)+1)</f>
        <v/>
      </c>
      <c r="D525" s="7">
        <f>MAX(1,MIN(INT(B525/$C$4)+1,$C$5))</f>
        <v/>
      </c>
      <c r="E525" s="26">
        <f>IF($C$5=0,0,INDEX(Symboles!$G$6:$G$101,D525))</f>
        <v/>
      </c>
      <c r="F525" s="26">
        <f>IF($C$5=0,0,INDEX(Symboles!$H$6:$H$101,D525))</f>
        <v/>
      </c>
      <c r="G525" s="26">
        <f>COS(2*PI()*$C$3*B525)</f>
        <v/>
      </c>
      <c r="H525" s="26">
        <f>SIN(2*PI()*$C$3*B525)</f>
        <v/>
      </c>
      <c r="I525" s="26">
        <f>E525*G525+F525*H525</f>
        <v/>
      </c>
    </row>
    <row r="526">
      <c r="A526" s="7" t="n">
        <v>519</v>
      </c>
      <c r="B526" s="26">
        <f>(A526-1)/2000*$C$2</f>
        <v/>
      </c>
      <c r="C526" s="7">
        <f>INDEX(Bits!$E$25:$E$124,INT(B526)+1)</f>
        <v/>
      </c>
      <c r="D526" s="7">
        <f>MAX(1,MIN(INT(B526/$C$4)+1,$C$5))</f>
        <v/>
      </c>
      <c r="E526" s="26">
        <f>IF($C$5=0,0,INDEX(Symboles!$G$6:$G$101,D526))</f>
        <v/>
      </c>
      <c r="F526" s="26">
        <f>IF($C$5=0,0,INDEX(Symboles!$H$6:$H$101,D526))</f>
        <v/>
      </c>
      <c r="G526" s="26">
        <f>COS(2*PI()*$C$3*B526)</f>
        <v/>
      </c>
      <c r="H526" s="26">
        <f>SIN(2*PI()*$C$3*B526)</f>
        <v/>
      </c>
      <c r="I526" s="26">
        <f>E526*G526+F526*H526</f>
        <v/>
      </c>
    </row>
    <row r="527">
      <c r="A527" s="7" t="n">
        <v>520</v>
      </c>
      <c r="B527" s="26">
        <f>(A527-1)/2000*$C$2</f>
        <v/>
      </c>
      <c r="C527" s="7">
        <f>INDEX(Bits!$E$25:$E$124,INT(B527)+1)</f>
        <v/>
      </c>
      <c r="D527" s="7">
        <f>MAX(1,MIN(INT(B527/$C$4)+1,$C$5))</f>
        <v/>
      </c>
      <c r="E527" s="26">
        <f>IF($C$5=0,0,INDEX(Symboles!$G$6:$G$101,D527))</f>
        <v/>
      </c>
      <c r="F527" s="26">
        <f>IF($C$5=0,0,INDEX(Symboles!$H$6:$H$101,D527))</f>
        <v/>
      </c>
      <c r="G527" s="26">
        <f>COS(2*PI()*$C$3*B527)</f>
        <v/>
      </c>
      <c r="H527" s="26">
        <f>SIN(2*PI()*$C$3*B527)</f>
        <v/>
      </c>
      <c r="I527" s="26">
        <f>E527*G527+F527*H527</f>
        <v/>
      </c>
    </row>
    <row r="528">
      <c r="A528" s="7" t="n">
        <v>521</v>
      </c>
      <c r="B528" s="26">
        <f>(A528-1)/2000*$C$2</f>
        <v/>
      </c>
      <c r="C528" s="7">
        <f>INDEX(Bits!$E$25:$E$124,INT(B528)+1)</f>
        <v/>
      </c>
      <c r="D528" s="7">
        <f>MAX(1,MIN(INT(B528/$C$4)+1,$C$5))</f>
        <v/>
      </c>
      <c r="E528" s="26">
        <f>IF($C$5=0,0,INDEX(Symboles!$G$6:$G$101,D528))</f>
        <v/>
      </c>
      <c r="F528" s="26">
        <f>IF($C$5=0,0,INDEX(Symboles!$H$6:$H$101,D528))</f>
        <v/>
      </c>
      <c r="G528" s="26">
        <f>COS(2*PI()*$C$3*B528)</f>
        <v/>
      </c>
      <c r="H528" s="26">
        <f>SIN(2*PI()*$C$3*B528)</f>
        <v/>
      </c>
      <c r="I528" s="26">
        <f>E528*G528+F528*H528</f>
        <v/>
      </c>
    </row>
    <row r="529">
      <c r="A529" s="7" t="n">
        <v>522</v>
      </c>
      <c r="B529" s="26">
        <f>(A529-1)/2000*$C$2</f>
        <v/>
      </c>
      <c r="C529" s="7">
        <f>INDEX(Bits!$E$25:$E$124,INT(B529)+1)</f>
        <v/>
      </c>
      <c r="D529" s="7">
        <f>MAX(1,MIN(INT(B529/$C$4)+1,$C$5))</f>
        <v/>
      </c>
      <c r="E529" s="26">
        <f>IF($C$5=0,0,INDEX(Symboles!$G$6:$G$101,D529))</f>
        <v/>
      </c>
      <c r="F529" s="26">
        <f>IF($C$5=0,0,INDEX(Symboles!$H$6:$H$101,D529))</f>
        <v/>
      </c>
      <c r="G529" s="26">
        <f>COS(2*PI()*$C$3*B529)</f>
        <v/>
      </c>
      <c r="H529" s="26">
        <f>SIN(2*PI()*$C$3*B529)</f>
        <v/>
      </c>
      <c r="I529" s="26">
        <f>E529*G529+F529*H529</f>
        <v/>
      </c>
    </row>
    <row r="530">
      <c r="A530" s="7" t="n">
        <v>523</v>
      </c>
      <c r="B530" s="26">
        <f>(A530-1)/2000*$C$2</f>
        <v/>
      </c>
      <c r="C530" s="7">
        <f>INDEX(Bits!$E$25:$E$124,INT(B530)+1)</f>
        <v/>
      </c>
      <c r="D530" s="7">
        <f>MAX(1,MIN(INT(B530/$C$4)+1,$C$5))</f>
        <v/>
      </c>
      <c r="E530" s="26">
        <f>IF($C$5=0,0,INDEX(Symboles!$G$6:$G$101,D530))</f>
        <v/>
      </c>
      <c r="F530" s="26">
        <f>IF($C$5=0,0,INDEX(Symboles!$H$6:$H$101,D530))</f>
        <v/>
      </c>
      <c r="G530" s="26">
        <f>COS(2*PI()*$C$3*B530)</f>
        <v/>
      </c>
      <c r="H530" s="26">
        <f>SIN(2*PI()*$C$3*B530)</f>
        <v/>
      </c>
      <c r="I530" s="26">
        <f>E530*G530+F530*H530</f>
        <v/>
      </c>
    </row>
    <row r="531">
      <c r="A531" s="7" t="n">
        <v>524</v>
      </c>
      <c r="B531" s="26">
        <f>(A531-1)/2000*$C$2</f>
        <v/>
      </c>
      <c r="C531" s="7">
        <f>INDEX(Bits!$E$25:$E$124,INT(B531)+1)</f>
        <v/>
      </c>
      <c r="D531" s="7">
        <f>MAX(1,MIN(INT(B531/$C$4)+1,$C$5))</f>
        <v/>
      </c>
      <c r="E531" s="26">
        <f>IF($C$5=0,0,INDEX(Symboles!$G$6:$G$101,D531))</f>
        <v/>
      </c>
      <c r="F531" s="26">
        <f>IF($C$5=0,0,INDEX(Symboles!$H$6:$H$101,D531))</f>
        <v/>
      </c>
      <c r="G531" s="26">
        <f>COS(2*PI()*$C$3*B531)</f>
        <v/>
      </c>
      <c r="H531" s="26">
        <f>SIN(2*PI()*$C$3*B531)</f>
        <v/>
      </c>
      <c r="I531" s="26">
        <f>E531*G531+F531*H531</f>
        <v/>
      </c>
    </row>
    <row r="532">
      <c r="A532" s="7" t="n">
        <v>525</v>
      </c>
      <c r="B532" s="26">
        <f>(A532-1)/2000*$C$2</f>
        <v/>
      </c>
      <c r="C532" s="7">
        <f>INDEX(Bits!$E$25:$E$124,INT(B532)+1)</f>
        <v/>
      </c>
      <c r="D532" s="7">
        <f>MAX(1,MIN(INT(B532/$C$4)+1,$C$5))</f>
        <v/>
      </c>
      <c r="E532" s="26">
        <f>IF($C$5=0,0,INDEX(Symboles!$G$6:$G$101,D532))</f>
        <v/>
      </c>
      <c r="F532" s="26">
        <f>IF($C$5=0,0,INDEX(Symboles!$H$6:$H$101,D532))</f>
        <v/>
      </c>
      <c r="G532" s="26">
        <f>COS(2*PI()*$C$3*B532)</f>
        <v/>
      </c>
      <c r="H532" s="26">
        <f>SIN(2*PI()*$C$3*B532)</f>
        <v/>
      </c>
      <c r="I532" s="26">
        <f>E532*G532+F532*H532</f>
        <v/>
      </c>
    </row>
    <row r="533">
      <c r="A533" s="7" t="n">
        <v>526</v>
      </c>
      <c r="B533" s="26">
        <f>(A533-1)/2000*$C$2</f>
        <v/>
      </c>
      <c r="C533" s="7">
        <f>INDEX(Bits!$E$25:$E$124,INT(B533)+1)</f>
        <v/>
      </c>
      <c r="D533" s="7">
        <f>MAX(1,MIN(INT(B533/$C$4)+1,$C$5))</f>
        <v/>
      </c>
      <c r="E533" s="26">
        <f>IF($C$5=0,0,INDEX(Symboles!$G$6:$G$101,D533))</f>
        <v/>
      </c>
      <c r="F533" s="26">
        <f>IF($C$5=0,0,INDEX(Symboles!$H$6:$H$101,D533))</f>
        <v/>
      </c>
      <c r="G533" s="26">
        <f>COS(2*PI()*$C$3*B533)</f>
        <v/>
      </c>
      <c r="H533" s="26">
        <f>SIN(2*PI()*$C$3*B533)</f>
        <v/>
      </c>
      <c r="I533" s="26">
        <f>E533*G533+F533*H533</f>
        <v/>
      </c>
    </row>
    <row r="534">
      <c r="A534" s="7" t="n">
        <v>527</v>
      </c>
      <c r="B534" s="26">
        <f>(A534-1)/2000*$C$2</f>
        <v/>
      </c>
      <c r="C534" s="7">
        <f>INDEX(Bits!$E$25:$E$124,INT(B534)+1)</f>
        <v/>
      </c>
      <c r="D534" s="7">
        <f>MAX(1,MIN(INT(B534/$C$4)+1,$C$5))</f>
        <v/>
      </c>
      <c r="E534" s="26">
        <f>IF($C$5=0,0,INDEX(Symboles!$G$6:$G$101,D534))</f>
        <v/>
      </c>
      <c r="F534" s="26">
        <f>IF($C$5=0,0,INDEX(Symboles!$H$6:$H$101,D534))</f>
        <v/>
      </c>
      <c r="G534" s="26">
        <f>COS(2*PI()*$C$3*B534)</f>
        <v/>
      </c>
      <c r="H534" s="26">
        <f>SIN(2*PI()*$C$3*B534)</f>
        <v/>
      </c>
      <c r="I534" s="26">
        <f>E534*G534+F534*H534</f>
        <v/>
      </c>
    </row>
    <row r="535">
      <c r="A535" s="7" t="n">
        <v>528</v>
      </c>
      <c r="B535" s="26">
        <f>(A535-1)/2000*$C$2</f>
        <v/>
      </c>
      <c r="C535" s="7">
        <f>INDEX(Bits!$E$25:$E$124,INT(B535)+1)</f>
        <v/>
      </c>
      <c r="D535" s="7">
        <f>MAX(1,MIN(INT(B535/$C$4)+1,$C$5))</f>
        <v/>
      </c>
      <c r="E535" s="26">
        <f>IF($C$5=0,0,INDEX(Symboles!$G$6:$G$101,D535))</f>
        <v/>
      </c>
      <c r="F535" s="26">
        <f>IF($C$5=0,0,INDEX(Symboles!$H$6:$H$101,D535))</f>
        <v/>
      </c>
      <c r="G535" s="26">
        <f>COS(2*PI()*$C$3*B535)</f>
        <v/>
      </c>
      <c r="H535" s="26">
        <f>SIN(2*PI()*$C$3*B535)</f>
        <v/>
      </c>
      <c r="I535" s="26">
        <f>E535*G535+F535*H535</f>
        <v/>
      </c>
    </row>
    <row r="536">
      <c r="A536" s="7" t="n">
        <v>529</v>
      </c>
      <c r="B536" s="26">
        <f>(A536-1)/2000*$C$2</f>
        <v/>
      </c>
      <c r="C536" s="7">
        <f>INDEX(Bits!$E$25:$E$124,INT(B536)+1)</f>
        <v/>
      </c>
      <c r="D536" s="7">
        <f>MAX(1,MIN(INT(B536/$C$4)+1,$C$5))</f>
        <v/>
      </c>
      <c r="E536" s="26">
        <f>IF($C$5=0,0,INDEX(Symboles!$G$6:$G$101,D536))</f>
        <v/>
      </c>
      <c r="F536" s="26">
        <f>IF($C$5=0,0,INDEX(Symboles!$H$6:$H$101,D536))</f>
        <v/>
      </c>
      <c r="G536" s="26">
        <f>COS(2*PI()*$C$3*B536)</f>
        <v/>
      </c>
      <c r="H536" s="26">
        <f>SIN(2*PI()*$C$3*B536)</f>
        <v/>
      </c>
      <c r="I536" s="26">
        <f>E536*G536+F536*H536</f>
        <v/>
      </c>
    </row>
    <row r="537">
      <c r="A537" s="7" t="n">
        <v>530</v>
      </c>
      <c r="B537" s="26">
        <f>(A537-1)/2000*$C$2</f>
        <v/>
      </c>
      <c r="C537" s="7">
        <f>INDEX(Bits!$E$25:$E$124,INT(B537)+1)</f>
        <v/>
      </c>
      <c r="D537" s="7">
        <f>MAX(1,MIN(INT(B537/$C$4)+1,$C$5))</f>
        <v/>
      </c>
      <c r="E537" s="26">
        <f>IF($C$5=0,0,INDEX(Symboles!$G$6:$G$101,D537))</f>
        <v/>
      </c>
      <c r="F537" s="26">
        <f>IF($C$5=0,0,INDEX(Symboles!$H$6:$H$101,D537))</f>
        <v/>
      </c>
      <c r="G537" s="26">
        <f>COS(2*PI()*$C$3*B537)</f>
        <v/>
      </c>
      <c r="H537" s="26">
        <f>SIN(2*PI()*$C$3*B537)</f>
        <v/>
      </c>
      <c r="I537" s="26">
        <f>E537*G537+F537*H537</f>
        <v/>
      </c>
    </row>
    <row r="538">
      <c r="A538" s="7" t="n">
        <v>531</v>
      </c>
      <c r="B538" s="26">
        <f>(A538-1)/2000*$C$2</f>
        <v/>
      </c>
      <c r="C538" s="7">
        <f>INDEX(Bits!$E$25:$E$124,INT(B538)+1)</f>
        <v/>
      </c>
      <c r="D538" s="7">
        <f>MAX(1,MIN(INT(B538/$C$4)+1,$C$5))</f>
        <v/>
      </c>
      <c r="E538" s="26">
        <f>IF($C$5=0,0,INDEX(Symboles!$G$6:$G$101,D538))</f>
        <v/>
      </c>
      <c r="F538" s="26">
        <f>IF($C$5=0,0,INDEX(Symboles!$H$6:$H$101,D538))</f>
        <v/>
      </c>
      <c r="G538" s="26">
        <f>COS(2*PI()*$C$3*B538)</f>
        <v/>
      </c>
      <c r="H538" s="26">
        <f>SIN(2*PI()*$C$3*B538)</f>
        <v/>
      </c>
      <c r="I538" s="26">
        <f>E538*G538+F538*H538</f>
        <v/>
      </c>
    </row>
    <row r="539">
      <c r="A539" s="7" t="n">
        <v>532</v>
      </c>
      <c r="B539" s="26">
        <f>(A539-1)/2000*$C$2</f>
        <v/>
      </c>
      <c r="C539" s="7">
        <f>INDEX(Bits!$E$25:$E$124,INT(B539)+1)</f>
        <v/>
      </c>
      <c r="D539" s="7">
        <f>MAX(1,MIN(INT(B539/$C$4)+1,$C$5))</f>
        <v/>
      </c>
      <c r="E539" s="26">
        <f>IF($C$5=0,0,INDEX(Symboles!$G$6:$G$101,D539))</f>
        <v/>
      </c>
      <c r="F539" s="26">
        <f>IF($C$5=0,0,INDEX(Symboles!$H$6:$H$101,D539))</f>
        <v/>
      </c>
      <c r="G539" s="26">
        <f>COS(2*PI()*$C$3*B539)</f>
        <v/>
      </c>
      <c r="H539" s="26">
        <f>SIN(2*PI()*$C$3*B539)</f>
        <v/>
      </c>
      <c r="I539" s="26">
        <f>E539*G539+F539*H539</f>
        <v/>
      </c>
    </row>
    <row r="540">
      <c r="A540" s="7" t="n">
        <v>533</v>
      </c>
      <c r="B540" s="26">
        <f>(A540-1)/2000*$C$2</f>
        <v/>
      </c>
      <c r="C540" s="7">
        <f>INDEX(Bits!$E$25:$E$124,INT(B540)+1)</f>
        <v/>
      </c>
      <c r="D540" s="7">
        <f>MAX(1,MIN(INT(B540/$C$4)+1,$C$5))</f>
        <v/>
      </c>
      <c r="E540" s="26">
        <f>IF($C$5=0,0,INDEX(Symboles!$G$6:$G$101,D540))</f>
        <v/>
      </c>
      <c r="F540" s="26">
        <f>IF($C$5=0,0,INDEX(Symboles!$H$6:$H$101,D540))</f>
        <v/>
      </c>
      <c r="G540" s="26">
        <f>COS(2*PI()*$C$3*B540)</f>
        <v/>
      </c>
      <c r="H540" s="26">
        <f>SIN(2*PI()*$C$3*B540)</f>
        <v/>
      </c>
      <c r="I540" s="26">
        <f>E540*G540+F540*H540</f>
        <v/>
      </c>
    </row>
    <row r="541">
      <c r="A541" s="7" t="n">
        <v>534</v>
      </c>
      <c r="B541" s="26">
        <f>(A541-1)/2000*$C$2</f>
        <v/>
      </c>
      <c r="C541" s="7">
        <f>INDEX(Bits!$E$25:$E$124,INT(B541)+1)</f>
        <v/>
      </c>
      <c r="D541" s="7">
        <f>MAX(1,MIN(INT(B541/$C$4)+1,$C$5))</f>
        <v/>
      </c>
      <c r="E541" s="26">
        <f>IF($C$5=0,0,INDEX(Symboles!$G$6:$G$101,D541))</f>
        <v/>
      </c>
      <c r="F541" s="26">
        <f>IF($C$5=0,0,INDEX(Symboles!$H$6:$H$101,D541))</f>
        <v/>
      </c>
      <c r="G541" s="26">
        <f>COS(2*PI()*$C$3*B541)</f>
        <v/>
      </c>
      <c r="H541" s="26">
        <f>SIN(2*PI()*$C$3*B541)</f>
        <v/>
      </c>
      <c r="I541" s="26">
        <f>E541*G541+F541*H541</f>
        <v/>
      </c>
    </row>
    <row r="542">
      <c r="A542" s="7" t="n">
        <v>535</v>
      </c>
      <c r="B542" s="26">
        <f>(A542-1)/2000*$C$2</f>
        <v/>
      </c>
      <c r="C542" s="7">
        <f>INDEX(Bits!$E$25:$E$124,INT(B542)+1)</f>
        <v/>
      </c>
      <c r="D542" s="7">
        <f>MAX(1,MIN(INT(B542/$C$4)+1,$C$5))</f>
        <v/>
      </c>
      <c r="E542" s="26">
        <f>IF($C$5=0,0,INDEX(Symboles!$G$6:$G$101,D542))</f>
        <v/>
      </c>
      <c r="F542" s="26">
        <f>IF($C$5=0,0,INDEX(Symboles!$H$6:$H$101,D542))</f>
        <v/>
      </c>
      <c r="G542" s="26">
        <f>COS(2*PI()*$C$3*B542)</f>
        <v/>
      </c>
      <c r="H542" s="26">
        <f>SIN(2*PI()*$C$3*B542)</f>
        <v/>
      </c>
      <c r="I542" s="26">
        <f>E542*G542+F542*H542</f>
        <v/>
      </c>
    </row>
    <row r="543">
      <c r="A543" s="7" t="n">
        <v>536</v>
      </c>
      <c r="B543" s="26">
        <f>(A543-1)/2000*$C$2</f>
        <v/>
      </c>
      <c r="C543" s="7">
        <f>INDEX(Bits!$E$25:$E$124,INT(B543)+1)</f>
        <v/>
      </c>
      <c r="D543" s="7">
        <f>MAX(1,MIN(INT(B543/$C$4)+1,$C$5))</f>
        <v/>
      </c>
      <c r="E543" s="26">
        <f>IF($C$5=0,0,INDEX(Symboles!$G$6:$G$101,D543))</f>
        <v/>
      </c>
      <c r="F543" s="26">
        <f>IF($C$5=0,0,INDEX(Symboles!$H$6:$H$101,D543))</f>
        <v/>
      </c>
      <c r="G543" s="26">
        <f>COS(2*PI()*$C$3*B543)</f>
        <v/>
      </c>
      <c r="H543" s="26">
        <f>SIN(2*PI()*$C$3*B543)</f>
        <v/>
      </c>
      <c r="I543" s="26">
        <f>E543*G543+F543*H543</f>
        <v/>
      </c>
    </row>
    <row r="544">
      <c r="A544" s="7" t="n">
        <v>537</v>
      </c>
      <c r="B544" s="26">
        <f>(A544-1)/2000*$C$2</f>
        <v/>
      </c>
      <c r="C544" s="7">
        <f>INDEX(Bits!$E$25:$E$124,INT(B544)+1)</f>
        <v/>
      </c>
      <c r="D544" s="7">
        <f>MAX(1,MIN(INT(B544/$C$4)+1,$C$5))</f>
        <v/>
      </c>
      <c r="E544" s="26">
        <f>IF($C$5=0,0,INDEX(Symboles!$G$6:$G$101,D544))</f>
        <v/>
      </c>
      <c r="F544" s="26">
        <f>IF($C$5=0,0,INDEX(Symboles!$H$6:$H$101,D544))</f>
        <v/>
      </c>
      <c r="G544" s="26">
        <f>COS(2*PI()*$C$3*B544)</f>
        <v/>
      </c>
      <c r="H544" s="26">
        <f>SIN(2*PI()*$C$3*B544)</f>
        <v/>
      </c>
      <c r="I544" s="26">
        <f>E544*G544+F544*H544</f>
        <v/>
      </c>
    </row>
    <row r="545">
      <c r="A545" s="7" t="n">
        <v>538</v>
      </c>
      <c r="B545" s="26">
        <f>(A545-1)/2000*$C$2</f>
        <v/>
      </c>
      <c r="C545" s="7">
        <f>INDEX(Bits!$E$25:$E$124,INT(B545)+1)</f>
        <v/>
      </c>
      <c r="D545" s="7">
        <f>MAX(1,MIN(INT(B545/$C$4)+1,$C$5))</f>
        <v/>
      </c>
      <c r="E545" s="26">
        <f>IF($C$5=0,0,INDEX(Symboles!$G$6:$G$101,D545))</f>
        <v/>
      </c>
      <c r="F545" s="26">
        <f>IF($C$5=0,0,INDEX(Symboles!$H$6:$H$101,D545))</f>
        <v/>
      </c>
      <c r="G545" s="26">
        <f>COS(2*PI()*$C$3*B545)</f>
        <v/>
      </c>
      <c r="H545" s="26">
        <f>SIN(2*PI()*$C$3*B545)</f>
        <v/>
      </c>
      <c r="I545" s="26">
        <f>E545*G545+F545*H545</f>
        <v/>
      </c>
    </row>
    <row r="546">
      <c r="A546" s="7" t="n">
        <v>539</v>
      </c>
      <c r="B546" s="26">
        <f>(A546-1)/2000*$C$2</f>
        <v/>
      </c>
      <c r="C546" s="7">
        <f>INDEX(Bits!$E$25:$E$124,INT(B546)+1)</f>
        <v/>
      </c>
      <c r="D546" s="7">
        <f>MAX(1,MIN(INT(B546/$C$4)+1,$C$5))</f>
        <v/>
      </c>
      <c r="E546" s="26">
        <f>IF($C$5=0,0,INDEX(Symboles!$G$6:$G$101,D546))</f>
        <v/>
      </c>
      <c r="F546" s="26">
        <f>IF($C$5=0,0,INDEX(Symboles!$H$6:$H$101,D546))</f>
        <v/>
      </c>
      <c r="G546" s="26">
        <f>COS(2*PI()*$C$3*B546)</f>
        <v/>
      </c>
      <c r="H546" s="26">
        <f>SIN(2*PI()*$C$3*B546)</f>
        <v/>
      </c>
      <c r="I546" s="26">
        <f>E546*G546+F546*H546</f>
        <v/>
      </c>
    </row>
    <row r="547">
      <c r="A547" s="7" t="n">
        <v>540</v>
      </c>
      <c r="B547" s="26">
        <f>(A547-1)/2000*$C$2</f>
        <v/>
      </c>
      <c r="C547" s="7">
        <f>INDEX(Bits!$E$25:$E$124,INT(B547)+1)</f>
        <v/>
      </c>
      <c r="D547" s="7">
        <f>MAX(1,MIN(INT(B547/$C$4)+1,$C$5))</f>
        <v/>
      </c>
      <c r="E547" s="26">
        <f>IF($C$5=0,0,INDEX(Symboles!$G$6:$G$101,D547))</f>
        <v/>
      </c>
      <c r="F547" s="26">
        <f>IF($C$5=0,0,INDEX(Symboles!$H$6:$H$101,D547))</f>
        <v/>
      </c>
      <c r="G547" s="26">
        <f>COS(2*PI()*$C$3*B547)</f>
        <v/>
      </c>
      <c r="H547" s="26">
        <f>SIN(2*PI()*$C$3*B547)</f>
        <v/>
      </c>
      <c r="I547" s="26">
        <f>E547*G547+F547*H547</f>
        <v/>
      </c>
    </row>
    <row r="548">
      <c r="A548" s="7" t="n">
        <v>541</v>
      </c>
      <c r="B548" s="26">
        <f>(A548-1)/2000*$C$2</f>
        <v/>
      </c>
      <c r="C548" s="7">
        <f>INDEX(Bits!$E$25:$E$124,INT(B548)+1)</f>
        <v/>
      </c>
      <c r="D548" s="7">
        <f>MAX(1,MIN(INT(B548/$C$4)+1,$C$5))</f>
        <v/>
      </c>
      <c r="E548" s="26">
        <f>IF($C$5=0,0,INDEX(Symboles!$G$6:$G$101,D548))</f>
        <v/>
      </c>
      <c r="F548" s="26">
        <f>IF($C$5=0,0,INDEX(Symboles!$H$6:$H$101,D548))</f>
        <v/>
      </c>
      <c r="G548" s="26">
        <f>COS(2*PI()*$C$3*B548)</f>
        <v/>
      </c>
      <c r="H548" s="26">
        <f>SIN(2*PI()*$C$3*B548)</f>
        <v/>
      </c>
      <c r="I548" s="26">
        <f>E548*G548+F548*H548</f>
        <v/>
      </c>
    </row>
    <row r="549">
      <c r="A549" s="7" t="n">
        <v>542</v>
      </c>
      <c r="B549" s="26">
        <f>(A549-1)/2000*$C$2</f>
        <v/>
      </c>
      <c r="C549" s="7">
        <f>INDEX(Bits!$E$25:$E$124,INT(B549)+1)</f>
        <v/>
      </c>
      <c r="D549" s="7">
        <f>MAX(1,MIN(INT(B549/$C$4)+1,$C$5))</f>
        <v/>
      </c>
      <c r="E549" s="26">
        <f>IF($C$5=0,0,INDEX(Symboles!$G$6:$G$101,D549))</f>
        <v/>
      </c>
      <c r="F549" s="26">
        <f>IF($C$5=0,0,INDEX(Symboles!$H$6:$H$101,D549))</f>
        <v/>
      </c>
      <c r="G549" s="26">
        <f>COS(2*PI()*$C$3*B549)</f>
        <v/>
      </c>
      <c r="H549" s="26">
        <f>SIN(2*PI()*$C$3*B549)</f>
        <v/>
      </c>
      <c r="I549" s="26">
        <f>E549*G549+F549*H549</f>
        <v/>
      </c>
    </row>
    <row r="550">
      <c r="A550" s="7" t="n">
        <v>543</v>
      </c>
      <c r="B550" s="26">
        <f>(A550-1)/2000*$C$2</f>
        <v/>
      </c>
      <c r="C550" s="7">
        <f>INDEX(Bits!$E$25:$E$124,INT(B550)+1)</f>
        <v/>
      </c>
      <c r="D550" s="7">
        <f>MAX(1,MIN(INT(B550/$C$4)+1,$C$5))</f>
        <v/>
      </c>
      <c r="E550" s="26">
        <f>IF($C$5=0,0,INDEX(Symboles!$G$6:$G$101,D550))</f>
        <v/>
      </c>
      <c r="F550" s="26">
        <f>IF($C$5=0,0,INDEX(Symboles!$H$6:$H$101,D550))</f>
        <v/>
      </c>
      <c r="G550" s="26">
        <f>COS(2*PI()*$C$3*B550)</f>
        <v/>
      </c>
      <c r="H550" s="26">
        <f>SIN(2*PI()*$C$3*B550)</f>
        <v/>
      </c>
      <c r="I550" s="26">
        <f>E550*G550+F550*H550</f>
        <v/>
      </c>
    </row>
    <row r="551">
      <c r="A551" s="7" t="n">
        <v>544</v>
      </c>
      <c r="B551" s="26">
        <f>(A551-1)/2000*$C$2</f>
        <v/>
      </c>
      <c r="C551" s="7">
        <f>INDEX(Bits!$E$25:$E$124,INT(B551)+1)</f>
        <v/>
      </c>
      <c r="D551" s="7">
        <f>MAX(1,MIN(INT(B551/$C$4)+1,$C$5))</f>
        <v/>
      </c>
      <c r="E551" s="26">
        <f>IF($C$5=0,0,INDEX(Symboles!$G$6:$G$101,D551))</f>
        <v/>
      </c>
      <c r="F551" s="26">
        <f>IF($C$5=0,0,INDEX(Symboles!$H$6:$H$101,D551))</f>
        <v/>
      </c>
      <c r="G551" s="26">
        <f>COS(2*PI()*$C$3*B551)</f>
        <v/>
      </c>
      <c r="H551" s="26">
        <f>SIN(2*PI()*$C$3*B551)</f>
        <v/>
      </c>
      <c r="I551" s="26">
        <f>E551*G551+F551*H551</f>
        <v/>
      </c>
    </row>
    <row r="552">
      <c r="A552" s="7" t="n">
        <v>545</v>
      </c>
      <c r="B552" s="26">
        <f>(A552-1)/2000*$C$2</f>
        <v/>
      </c>
      <c r="C552" s="7">
        <f>INDEX(Bits!$E$25:$E$124,INT(B552)+1)</f>
        <v/>
      </c>
      <c r="D552" s="7">
        <f>MAX(1,MIN(INT(B552/$C$4)+1,$C$5))</f>
        <v/>
      </c>
      <c r="E552" s="26">
        <f>IF($C$5=0,0,INDEX(Symboles!$G$6:$G$101,D552))</f>
        <v/>
      </c>
      <c r="F552" s="26">
        <f>IF($C$5=0,0,INDEX(Symboles!$H$6:$H$101,D552))</f>
        <v/>
      </c>
      <c r="G552" s="26">
        <f>COS(2*PI()*$C$3*B552)</f>
        <v/>
      </c>
      <c r="H552" s="26">
        <f>SIN(2*PI()*$C$3*B552)</f>
        <v/>
      </c>
      <c r="I552" s="26">
        <f>E552*G552+F552*H552</f>
        <v/>
      </c>
    </row>
    <row r="553">
      <c r="A553" s="7" t="n">
        <v>546</v>
      </c>
      <c r="B553" s="26">
        <f>(A553-1)/2000*$C$2</f>
        <v/>
      </c>
      <c r="C553" s="7">
        <f>INDEX(Bits!$E$25:$E$124,INT(B553)+1)</f>
        <v/>
      </c>
      <c r="D553" s="7">
        <f>MAX(1,MIN(INT(B553/$C$4)+1,$C$5))</f>
        <v/>
      </c>
      <c r="E553" s="26">
        <f>IF($C$5=0,0,INDEX(Symboles!$G$6:$G$101,D553))</f>
        <v/>
      </c>
      <c r="F553" s="26">
        <f>IF($C$5=0,0,INDEX(Symboles!$H$6:$H$101,D553))</f>
        <v/>
      </c>
      <c r="G553" s="26">
        <f>COS(2*PI()*$C$3*B553)</f>
        <v/>
      </c>
      <c r="H553" s="26">
        <f>SIN(2*PI()*$C$3*B553)</f>
        <v/>
      </c>
      <c r="I553" s="26">
        <f>E553*G553+F553*H553</f>
        <v/>
      </c>
    </row>
    <row r="554">
      <c r="A554" s="7" t="n">
        <v>547</v>
      </c>
      <c r="B554" s="26">
        <f>(A554-1)/2000*$C$2</f>
        <v/>
      </c>
      <c r="C554" s="7">
        <f>INDEX(Bits!$E$25:$E$124,INT(B554)+1)</f>
        <v/>
      </c>
      <c r="D554" s="7">
        <f>MAX(1,MIN(INT(B554/$C$4)+1,$C$5))</f>
        <v/>
      </c>
      <c r="E554" s="26">
        <f>IF($C$5=0,0,INDEX(Symboles!$G$6:$G$101,D554))</f>
        <v/>
      </c>
      <c r="F554" s="26">
        <f>IF($C$5=0,0,INDEX(Symboles!$H$6:$H$101,D554))</f>
        <v/>
      </c>
      <c r="G554" s="26">
        <f>COS(2*PI()*$C$3*B554)</f>
        <v/>
      </c>
      <c r="H554" s="26">
        <f>SIN(2*PI()*$C$3*B554)</f>
        <v/>
      </c>
      <c r="I554" s="26">
        <f>E554*G554+F554*H554</f>
        <v/>
      </c>
    </row>
    <row r="555">
      <c r="A555" s="7" t="n">
        <v>548</v>
      </c>
      <c r="B555" s="26">
        <f>(A555-1)/2000*$C$2</f>
        <v/>
      </c>
      <c r="C555" s="7">
        <f>INDEX(Bits!$E$25:$E$124,INT(B555)+1)</f>
        <v/>
      </c>
      <c r="D555" s="7">
        <f>MAX(1,MIN(INT(B555/$C$4)+1,$C$5))</f>
        <v/>
      </c>
      <c r="E555" s="26">
        <f>IF($C$5=0,0,INDEX(Symboles!$G$6:$G$101,D555))</f>
        <v/>
      </c>
      <c r="F555" s="26">
        <f>IF($C$5=0,0,INDEX(Symboles!$H$6:$H$101,D555))</f>
        <v/>
      </c>
      <c r="G555" s="26">
        <f>COS(2*PI()*$C$3*B555)</f>
        <v/>
      </c>
      <c r="H555" s="26">
        <f>SIN(2*PI()*$C$3*B555)</f>
        <v/>
      </c>
      <c r="I555" s="26">
        <f>E555*G555+F555*H555</f>
        <v/>
      </c>
    </row>
    <row r="556">
      <c r="A556" s="7" t="n">
        <v>549</v>
      </c>
      <c r="B556" s="26">
        <f>(A556-1)/2000*$C$2</f>
        <v/>
      </c>
      <c r="C556" s="7">
        <f>INDEX(Bits!$E$25:$E$124,INT(B556)+1)</f>
        <v/>
      </c>
      <c r="D556" s="7">
        <f>MAX(1,MIN(INT(B556/$C$4)+1,$C$5))</f>
        <v/>
      </c>
      <c r="E556" s="26">
        <f>IF($C$5=0,0,INDEX(Symboles!$G$6:$G$101,D556))</f>
        <v/>
      </c>
      <c r="F556" s="26">
        <f>IF($C$5=0,0,INDEX(Symboles!$H$6:$H$101,D556))</f>
        <v/>
      </c>
      <c r="G556" s="26">
        <f>COS(2*PI()*$C$3*B556)</f>
        <v/>
      </c>
      <c r="H556" s="26">
        <f>SIN(2*PI()*$C$3*B556)</f>
        <v/>
      </c>
      <c r="I556" s="26">
        <f>E556*G556+F556*H556</f>
        <v/>
      </c>
    </row>
    <row r="557">
      <c r="A557" s="7" t="n">
        <v>550</v>
      </c>
      <c r="B557" s="26">
        <f>(A557-1)/2000*$C$2</f>
        <v/>
      </c>
      <c r="C557" s="7">
        <f>INDEX(Bits!$E$25:$E$124,INT(B557)+1)</f>
        <v/>
      </c>
      <c r="D557" s="7">
        <f>MAX(1,MIN(INT(B557/$C$4)+1,$C$5))</f>
        <v/>
      </c>
      <c r="E557" s="26">
        <f>IF($C$5=0,0,INDEX(Symboles!$G$6:$G$101,D557))</f>
        <v/>
      </c>
      <c r="F557" s="26">
        <f>IF($C$5=0,0,INDEX(Symboles!$H$6:$H$101,D557))</f>
        <v/>
      </c>
      <c r="G557" s="26">
        <f>COS(2*PI()*$C$3*B557)</f>
        <v/>
      </c>
      <c r="H557" s="26">
        <f>SIN(2*PI()*$C$3*B557)</f>
        <v/>
      </c>
      <c r="I557" s="26">
        <f>E557*G557+F557*H557</f>
        <v/>
      </c>
    </row>
    <row r="558">
      <c r="A558" s="7" t="n">
        <v>551</v>
      </c>
      <c r="B558" s="26">
        <f>(A558-1)/2000*$C$2</f>
        <v/>
      </c>
      <c r="C558" s="7">
        <f>INDEX(Bits!$E$25:$E$124,INT(B558)+1)</f>
        <v/>
      </c>
      <c r="D558" s="7">
        <f>MAX(1,MIN(INT(B558/$C$4)+1,$C$5))</f>
        <v/>
      </c>
      <c r="E558" s="26">
        <f>IF($C$5=0,0,INDEX(Symboles!$G$6:$G$101,D558))</f>
        <v/>
      </c>
      <c r="F558" s="26">
        <f>IF($C$5=0,0,INDEX(Symboles!$H$6:$H$101,D558))</f>
        <v/>
      </c>
      <c r="G558" s="26">
        <f>COS(2*PI()*$C$3*B558)</f>
        <v/>
      </c>
      <c r="H558" s="26">
        <f>SIN(2*PI()*$C$3*B558)</f>
        <v/>
      </c>
      <c r="I558" s="26">
        <f>E558*G558+F558*H558</f>
        <v/>
      </c>
    </row>
    <row r="559">
      <c r="A559" s="7" t="n">
        <v>552</v>
      </c>
      <c r="B559" s="26">
        <f>(A559-1)/2000*$C$2</f>
        <v/>
      </c>
      <c r="C559" s="7">
        <f>INDEX(Bits!$E$25:$E$124,INT(B559)+1)</f>
        <v/>
      </c>
      <c r="D559" s="7">
        <f>MAX(1,MIN(INT(B559/$C$4)+1,$C$5))</f>
        <v/>
      </c>
      <c r="E559" s="26">
        <f>IF($C$5=0,0,INDEX(Symboles!$G$6:$G$101,D559))</f>
        <v/>
      </c>
      <c r="F559" s="26">
        <f>IF($C$5=0,0,INDEX(Symboles!$H$6:$H$101,D559))</f>
        <v/>
      </c>
      <c r="G559" s="26">
        <f>COS(2*PI()*$C$3*B559)</f>
        <v/>
      </c>
      <c r="H559" s="26">
        <f>SIN(2*PI()*$C$3*B559)</f>
        <v/>
      </c>
      <c r="I559" s="26">
        <f>E559*G559+F559*H559</f>
        <v/>
      </c>
    </row>
    <row r="560">
      <c r="A560" s="7" t="n">
        <v>553</v>
      </c>
      <c r="B560" s="26">
        <f>(A560-1)/2000*$C$2</f>
        <v/>
      </c>
      <c r="C560" s="7">
        <f>INDEX(Bits!$E$25:$E$124,INT(B560)+1)</f>
        <v/>
      </c>
      <c r="D560" s="7">
        <f>MAX(1,MIN(INT(B560/$C$4)+1,$C$5))</f>
        <v/>
      </c>
      <c r="E560" s="26">
        <f>IF($C$5=0,0,INDEX(Symboles!$G$6:$G$101,D560))</f>
        <v/>
      </c>
      <c r="F560" s="26">
        <f>IF($C$5=0,0,INDEX(Symboles!$H$6:$H$101,D560))</f>
        <v/>
      </c>
      <c r="G560" s="26">
        <f>COS(2*PI()*$C$3*B560)</f>
        <v/>
      </c>
      <c r="H560" s="26">
        <f>SIN(2*PI()*$C$3*B560)</f>
        <v/>
      </c>
      <c r="I560" s="26">
        <f>E560*G560+F560*H560</f>
        <v/>
      </c>
    </row>
    <row r="561">
      <c r="A561" s="7" t="n">
        <v>554</v>
      </c>
      <c r="B561" s="26">
        <f>(A561-1)/2000*$C$2</f>
        <v/>
      </c>
      <c r="C561" s="7">
        <f>INDEX(Bits!$E$25:$E$124,INT(B561)+1)</f>
        <v/>
      </c>
      <c r="D561" s="7">
        <f>MAX(1,MIN(INT(B561/$C$4)+1,$C$5))</f>
        <v/>
      </c>
      <c r="E561" s="26">
        <f>IF($C$5=0,0,INDEX(Symboles!$G$6:$G$101,D561))</f>
        <v/>
      </c>
      <c r="F561" s="26">
        <f>IF($C$5=0,0,INDEX(Symboles!$H$6:$H$101,D561))</f>
        <v/>
      </c>
      <c r="G561" s="26">
        <f>COS(2*PI()*$C$3*B561)</f>
        <v/>
      </c>
      <c r="H561" s="26">
        <f>SIN(2*PI()*$C$3*B561)</f>
        <v/>
      </c>
      <c r="I561" s="26">
        <f>E561*G561+F561*H561</f>
        <v/>
      </c>
    </row>
    <row r="562">
      <c r="A562" s="7" t="n">
        <v>555</v>
      </c>
      <c r="B562" s="26">
        <f>(A562-1)/2000*$C$2</f>
        <v/>
      </c>
      <c r="C562" s="7">
        <f>INDEX(Bits!$E$25:$E$124,INT(B562)+1)</f>
        <v/>
      </c>
      <c r="D562" s="7">
        <f>MAX(1,MIN(INT(B562/$C$4)+1,$C$5))</f>
        <v/>
      </c>
      <c r="E562" s="26">
        <f>IF($C$5=0,0,INDEX(Symboles!$G$6:$G$101,D562))</f>
        <v/>
      </c>
      <c r="F562" s="26">
        <f>IF($C$5=0,0,INDEX(Symboles!$H$6:$H$101,D562))</f>
        <v/>
      </c>
      <c r="G562" s="26">
        <f>COS(2*PI()*$C$3*B562)</f>
        <v/>
      </c>
      <c r="H562" s="26">
        <f>SIN(2*PI()*$C$3*B562)</f>
        <v/>
      </c>
      <c r="I562" s="26">
        <f>E562*G562+F562*H562</f>
        <v/>
      </c>
    </row>
    <row r="563">
      <c r="A563" s="7" t="n">
        <v>556</v>
      </c>
      <c r="B563" s="26">
        <f>(A563-1)/2000*$C$2</f>
        <v/>
      </c>
      <c r="C563" s="7">
        <f>INDEX(Bits!$E$25:$E$124,INT(B563)+1)</f>
        <v/>
      </c>
      <c r="D563" s="7">
        <f>MAX(1,MIN(INT(B563/$C$4)+1,$C$5))</f>
        <v/>
      </c>
      <c r="E563" s="26">
        <f>IF($C$5=0,0,INDEX(Symboles!$G$6:$G$101,D563))</f>
        <v/>
      </c>
      <c r="F563" s="26">
        <f>IF($C$5=0,0,INDEX(Symboles!$H$6:$H$101,D563))</f>
        <v/>
      </c>
      <c r="G563" s="26">
        <f>COS(2*PI()*$C$3*B563)</f>
        <v/>
      </c>
      <c r="H563" s="26">
        <f>SIN(2*PI()*$C$3*B563)</f>
        <v/>
      </c>
      <c r="I563" s="26">
        <f>E563*G563+F563*H563</f>
        <v/>
      </c>
    </row>
    <row r="564">
      <c r="A564" s="7" t="n">
        <v>557</v>
      </c>
      <c r="B564" s="26">
        <f>(A564-1)/2000*$C$2</f>
        <v/>
      </c>
      <c r="C564" s="7">
        <f>INDEX(Bits!$E$25:$E$124,INT(B564)+1)</f>
        <v/>
      </c>
      <c r="D564" s="7">
        <f>MAX(1,MIN(INT(B564/$C$4)+1,$C$5))</f>
        <v/>
      </c>
      <c r="E564" s="26">
        <f>IF($C$5=0,0,INDEX(Symboles!$G$6:$G$101,D564))</f>
        <v/>
      </c>
      <c r="F564" s="26">
        <f>IF($C$5=0,0,INDEX(Symboles!$H$6:$H$101,D564))</f>
        <v/>
      </c>
      <c r="G564" s="26">
        <f>COS(2*PI()*$C$3*B564)</f>
        <v/>
      </c>
      <c r="H564" s="26">
        <f>SIN(2*PI()*$C$3*B564)</f>
        <v/>
      </c>
      <c r="I564" s="26">
        <f>E564*G564+F564*H564</f>
        <v/>
      </c>
    </row>
    <row r="565">
      <c r="A565" s="7" t="n">
        <v>558</v>
      </c>
      <c r="B565" s="26">
        <f>(A565-1)/2000*$C$2</f>
        <v/>
      </c>
      <c r="C565" s="7">
        <f>INDEX(Bits!$E$25:$E$124,INT(B565)+1)</f>
        <v/>
      </c>
      <c r="D565" s="7">
        <f>MAX(1,MIN(INT(B565/$C$4)+1,$C$5))</f>
        <v/>
      </c>
      <c r="E565" s="26">
        <f>IF($C$5=0,0,INDEX(Symboles!$G$6:$G$101,D565))</f>
        <v/>
      </c>
      <c r="F565" s="26">
        <f>IF($C$5=0,0,INDEX(Symboles!$H$6:$H$101,D565))</f>
        <v/>
      </c>
      <c r="G565" s="26">
        <f>COS(2*PI()*$C$3*B565)</f>
        <v/>
      </c>
      <c r="H565" s="26">
        <f>SIN(2*PI()*$C$3*B565)</f>
        <v/>
      </c>
      <c r="I565" s="26">
        <f>E565*G565+F565*H565</f>
        <v/>
      </c>
    </row>
    <row r="566">
      <c r="A566" s="7" t="n">
        <v>559</v>
      </c>
      <c r="B566" s="26">
        <f>(A566-1)/2000*$C$2</f>
        <v/>
      </c>
      <c r="C566" s="7">
        <f>INDEX(Bits!$E$25:$E$124,INT(B566)+1)</f>
        <v/>
      </c>
      <c r="D566" s="7">
        <f>MAX(1,MIN(INT(B566/$C$4)+1,$C$5))</f>
        <v/>
      </c>
      <c r="E566" s="26">
        <f>IF($C$5=0,0,INDEX(Symboles!$G$6:$G$101,D566))</f>
        <v/>
      </c>
      <c r="F566" s="26">
        <f>IF($C$5=0,0,INDEX(Symboles!$H$6:$H$101,D566))</f>
        <v/>
      </c>
      <c r="G566" s="26">
        <f>COS(2*PI()*$C$3*B566)</f>
        <v/>
      </c>
      <c r="H566" s="26">
        <f>SIN(2*PI()*$C$3*B566)</f>
        <v/>
      </c>
      <c r="I566" s="26">
        <f>E566*G566+F566*H566</f>
        <v/>
      </c>
    </row>
    <row r="567">
      <c r="A567" s="7" t="n">
        <v>560</v>
      </c>
      <c r="B567" s="26">
        <f>(A567-1)/2000*$C$2</f>
        <v/>
      </c>
      <c r="C567" s="7">
        <f>INDEX(Bits!$E$25:$E$124,INT(B567)+1)</f>
        <v/>
      </c>
      <c r="D567" s="7">
        <f>MAX(1,MIN(INT(B567/$C$4)+1,$C$5))</f>
        <v/>
      </c>
      <c r="E567" s="26">
        <f>IF($C$5=0,0,INDEX(Symboles!$G$6:$G$101,D567))</f>
        <v/>
      </c>
      <c r="F567" s="26">
        <f>IF($C$5=0,0,INDEX(Symboles!$H$6:$H$101,D567))</f>
        <v/>
      </c>
      <c r="G567" s="26">
        <f>COS(2*PI()*$C$3*B567)</f>
        <v/>
      </c>
      <c r="H567" s="26">
        <f>SIN(2*PI()*$C$3*B567)</f>
        <v/>
      </c>
      <c r="I567" s="26">
        <f>E567*G567+F567*H567</f>
        <v/>
      </c>
    </row>
    <row r="568">
      <c r="A568" s="7" t="n">
        <v>561</v>
      </c>
      <c r="B568" s="26">
        <f>(A568-1)/2000*$C$2</f>
        <v/>
      </c>
      <c r="C568" s="7">
        <f>INDEX(Bits!$E$25:$E$124,INT(B568)+1)</f>
        <v/>
      </c>
      <c r="D568" s="7">
        <f>MAX(1,MIN(INT(B568/$C$4)+1,$C$5))</f>
        <v/>
      </c>
      <c r="E568" s="26">
        <f>IF($C$5=0,0,INDEX(Symboles!$G$6:$G$101,D568))</f>
        <v/>
      </c>
      <c r="F568" s="26">
        <f>IF($C$5=0,0,INDEX(Symboles!$H$6:$H$101,D568))</f>
        <v/>
      </c>
      <c r="G568" s="26">
        <f>COS(2*PI()*$C$3*B568)</f>
        <v/>
      </c>
      <c r="H568" s="26">
        <f>SIN(2*PI()*$C$3*B568)</f>
        <v/>
      </c>
      <c r="I568" s="26">
        <f>E568*G568+F568*H568</f>
        <v/>
      </c>
    </row>
    <row r="569">
      <c r="A569" s="7" t="n">
        <v>562</v>
      </c>
      <c r="B569" s="26">
        <f>(A569-1)/2000*$C$2</f>
        <v/>
      </c>
      <c r="C569" s="7">
        <f>INDEX(Bits!$E$25:$E$124,INT(B569)+1)</f>
        <v/>
      </c>
      <c r="D569" s="7">
        <f>MAX(1,MIN(INT(B569/$C$4)+1,$C$5))</f>
        <v/>
      </c>
      <c r="E569" s="26">
        <f>IF($C$5=0,0,INDEX(Symboles!$G$6:$G$101,D569))</f>
        <v/>
      </c>
      <c r="F569" s="26">
        <f>IF($C$5=0,0,INDEX(Symboles!$H$6:$H$101,D569))</f>
        <v/>
      </c>
      <c r="G569" s="26">
        <f>COS(2*PI()*$C$3*B569)</f>
        <v/>
      </c>
      <c r="H569" s="26">
        <f>SIN(2*PI()*$C$3*B569)</f>
        <v/>
      </c>
      <c r="I569" s="26">
        <f>E569*G569+F569*H569</f>
        <v/>
      </c>
    </row>
    <row r="570">
      <c r="A570" s="7" t="n">
        <v>563</v>
      </c>
      <c r="B570" s="26">
        <f>(A570-1)/2000*$C$2</f>
        <v/>
      </c>
      <c r="C570" s="7">
        <f>INDEX(Bits!$E$25:$E$124,INT(B570)+1)</f>
        <v/>
      </c>
      <c r="D570" s="7">
        <f>MAX(1,MIN(INT(B570/$C$4)+1,$C$5))</f>
        <v/>
      </c>
      <c r="E570" s="26">
        <f>IF($C$5=0,0,INDEX(Symboles!$G$6:$G$101,D570))</f>
        <v/>
      </c>
      <c r="F570" s="26">
        <f>IF($C$5=0,0,INDEX(Symboles!$H$6:$H$101,D570))</f>
        <v/>
      </c>
      <c r="G570" s="26">
        <f>COS(2*PI()*$C$3*B570)</f>
        <v/>
      </c>
      <c r="H570" s="26">
        <f>SIN(2*PI()*$C$3*B570)</f>
        <v/>
      </c>
      <c r="I570" s="26">
        <f>E570*G570+F570*H570</f>
        <v/>
      </c>
    </row>
    <row r="571">
      <c r="A571" s="7" t="n">
        <v>564</v>
      </c>
      <c r="B571" s="26">
        <f>(A571-1)/2000*$C$2</f>
        <v/>
      </c>
      <c r="C571" s="7">
        <f>INDEX(Bits!$E$25:$E$124,INT(B571)+1)</f>
        <v/>
      </c>
      <c r="D571" s="7">
        <f>MAX(1,MIN(INT(B571/$C$4)+1,$C$5))</f>
        <v/>
      </c>
      <c r="E571" s="26">
        <f>IF($C$5=0,0,INDEX(Symboles!$G$6:$G$101,D571))</f>
        <v/>
      </c>
      <c r="F571" s="26">
        <f>IF($C$5=0,0,INDEX(Symboles!$H$6:$H$101,D571))</f>
        <v/>
      </c>
      <c r="G571" s="26">
        <f>COS(2*PI()*$C$3*B571)</f>
        <v/>
      </c>
      <c r="H571" s="26">
        <f>SIN(2*PI()*$C$3*B571)</f>
        <v/>
      </c>
      <c r="I571" s="26">
        <f>E571*G571+F571*H571</f>
        <v/>
      </c>
    </row>
    <row r="572">
      <c r="A572" s="7" t="n">
        <v>565</v>
      </c>
      <c r="B572" s="26">
        <f>(A572-1)/2000*$C$2</f>
        <v/>
      </c>
      <c r="C572" s="7">
        <f>INDEX(Bits!$E$25:$E$124,INT(B572)+1)</f>
        <v/>
      </c>
      <c r="D572" s="7">
        <f>MAX(1,MIN(INT(B572/$C$4)+1,$C$5))</f>
        <v/>
      </c>
      <c r="E572" s="26">
        <f>IF($C$5=0,0,INDEX(Symboles!$G$6:$G$101,D572))</f>
        <v/>
      </c>
      <c r="F572" s="26">
        <f>IF($C$5=0,0,INDEX(Symboles!$H$6:$H$101,D572))</f>
        <v/>
      </c>
      <c r="G572" s="26">
        <f>COS(2*PI()*$C$3*B572)</f>
        <v/>
      </c>
      <c r="H572" s="26">
        <f>SIN(2*PI()*$C$3*B572)</f>
        <v/>
      </c>
      <c r="I572" s="26">
        <f>E572*G572+F572*H572</f>
        <v/>
      </c>
    </row>
    <row r="573">
      <c r="A573" s="7" t="n">
        <v>566</v>
      </c>
      <c r="B573" s="26">
        <f>(A573-1)/2000*$C$2</f>
        <v/>
      </c>
      <c r="C573" s="7">
        <f>INDEX(Bits!$E$25:$E$124,INT(B573)+1)</f>
        <v/>
      </c>
      <c r="D573" s="7">
        <f>MAX(1,MIN(INT(B573/$C$4)+1,$C$5))</f>
        <v/>
      </c>
      <c r="E573" s="26">
        <f>IF($C$5=0,0,INDEX(Symboles!$G$6:$G$101,D573))</f>
        <v/>
      </c>
      <c r="F573" s="26">
        <f>IF($C$5=0,0,INDEX(Symboles!$H$6:$H$101,D573))</f>
        <v/>
      </c>
      <c r="G573" s="26">
        <f>COS(2*PI()*$C$3*B573)</f>
        <v/>
      </c>
      <c r="H573" s="26">
        <f>SIN(2*PI()*$C$3*B573)</f>
        <v/>
      </c>
      <c r="I573" s="26">
        <f>E573*G573+F573*H573</f>
        <v/>
      </c>
    </row>
    <row r="574">
      <c r="A574" s="7" t="n">
        <v>567</v>
      </c>
      <c r="B574" s="26">
        <f>(A574-1)/2000*$C$2</f>
        <v/>
      </c>
      <c r="C574" s="7">
        <f>INDEX(Bits!$E$25:$E$124,INT(B574)+1)</f>
        <v/>
      </c>
      <c r="D574" s="7">
        <f>MAX(1,MIN(INT(B574/$C$4)+1,$C$5))</f>
        <v/>
      </c>
      <c r="E574" s="26">
        <f>IF($C$5=0,0,INDEX(Symboles!$G$6:$G$101,D574))</f>
        <v/>
      </c>
      <c r="F574" s="26">
        <f>IF($C$5=0,0,INDEX(Symboles!$H$6:$H$101,D574))</f>
        <v/>
      </c>
      <c r="G574" s="26">
        <f>COS(2*PI()*$C$3*B574)</f>
        <v/>
      </c>
      <c r="H574" s="26">
        <f>SIN(2*PI()*$C$3*B574)</f>
        <v/>
      </c>
      <c r="I574" s="26">
        <f>E574*G574+F574*H574</f>
        <v/>
      </c>
    </row>
    <row r="575">
      <c r="A575" s="7" t="n">
        <v>568</v>
      </c>
      <c r="B575" s="26">
        <f>(A575-1)/2000*$C$2</f>
        <v/>
      </c>
      <c r="C575" s="7">
        <f>INDEX(Bits!$E$25:$E$124,INT(B575)+1)</f>
        <v/>
      </c>
      <c r="D575" s="7">
        <f>MAX(1,MIN(INT(B575/$C$4)+1,$C$5))</f>
        <v/>
      </c>
      <c r="E575" s="26">
        <f>IF($C$5=0,0,INDEX(Symboles!$G$6:$G$101,D575))</f>
        <v/>
      </c>
      <c r="F575" s="26">
        <f>IF($C$5=0,0,INDEX(Symboles!$H$6:$H$101,D575))</f>
        <v/>
      </c>
      <c r="G575" s="26">
        <f>COS(2*PI()*$C$3*B575)</f>
        <v/>
      </c>
      <c r="H575" s="26">
        <f>SIN(2*PI()*$C$3*B575)</f>
        <v/>
      </c>
      <c r="I575" s="26">
        <f>E575*G575+F575*H575</f>
        <v/>
      </c>
    </row>
    <row r="576">
      <c r="A576" s="7" t="n">
        <v>569</v>
      </c>
      <c r="B576" s="26">
        <f>(A576-1)/2000*$C$2</f>
        <v/>
      </c>
      <c r="C576" s="7">
        <f>INDEX(Bits!$E$25:$E$124,INT(B576)+1)</f>
        <v/>
      </c>
      <c r="D576" s="7">
        <f>MAX(1,MIN(INT(B576/$C$4)+1,$C$5))</f>
        <v/>
      </c>
      <c r="E576" s="26">
        <f>IF($C$5=0,0,INDEX(Symboles!$G$6:$G$101,D576))</f>
        <v/>
      </c>
      <c r="F576" s="26">
        <f>IF($C$5=0,0,INDEX(Symboles!$H$6:$H$101,D576))</f>
        <v/>
      </c>
      <c r="G576" s="26">
        <f>COS(2*PI()*$C$3*B576)</f>
        <v/>
      </c>
      <c r="H576" s="26">
        <f>SIN(2*PI()*$C$3*B576)</f>
        <v/>
      </c>
      <c r="I576" s="26">
        <f>E576*G576+F576*H576</f>
        <v/>
      </c>
    </row>
    <row r="577">
      <c r="A577" s="7" t="n">
        <v>570</v>
      </c>
      <c r="B577" s="26">
        <f>(A577-1)/2000*$C$2</f>
        <v/>
      </c>
      <c r="C577" s="7">
        <f>INDEX(Bits!$E$25:$E$124,INT(B577)+1)</f>
        <v/>
      </c>
      <c r="D577" s="7">
        <f>MAX(1,MIN(INT(B577/$C$4)+1,$C$5))</f>
        <v/>
      </c>
      <c r="E577" s="26">
        <f>IF($C$5=0,0,INDEX(Symboles!$G$6:$G$101,D577))</f>
        <v/>
      </c>
      <c r="F577" s="26">
        <f>IF($C$5=0,0,INDEX(Symboles!$H$6:$H$101,D577))</f>
        <v/>
      </c>
      <c r="G577" s="26">
        <f>COS(2*PI()*$C$3*B577)</f>
        <v/>
      </c>
      <c r="H577" s="26">
        <f>SIN(2*PI()*$C$3*B577)</f>
        <v/>
      </c>
      <c r="I577" s="26">
        <f>E577*G577+F577*H577</f>
        <v/>
      </c>
    </row>
    <row r="578">
      <c r="A578" s="7" t="n">
        <v>571</v>
      </c>
      <c r="B578" s="26">
        <f>(A578-1)/2000*$C$2</f>
        <v/>
      </c>
      <c r="C578" s="7">
        <f>INDEX(Bits!$E$25:$E$124,INT(B578)+1)</f>
        <v/>
      </c>
      <c r="D578" s="7">
        <f>MAX(1,MIN(INT(B578/$C$4)+1,$C$5))</f>
        <v/>
      </c>
      <c r="E578" s="26">
        <f>IF($C$5=0,0,INDEX(Symboles!$G$6:$G$101,D578))</f>
        <v/>
      </c>
      <c r="F578" s="26">
        <f>IF($C$5=0,0,INDEX(Symboles!$H$6:$H$101,D578))</f>
        <v/>
      </c>
      <c r="G578" s="26">
        <f>COS(2*PI()*$C$3*B578)</f>
        <v/>
      </c>
      <c r="H578" s="26">
        <f>SIN(2*PI()*$C$3*B578)</f>
        <v/>
      </c>
      <c r="I578" s="26">
        <f>E578*G578+F578*H578</f>
        <v/>
      </c>
    </row>
    <row r="579">
      <c r="A579" s="7" t="n">
        <v>572</v>
      </c>
      <c r="B579" s="26">
        <f>(A579-1)/2000*$C$2</f>
        <v/>
      </c>
      <c r="C579" s="7">
        <f>INDEX(Bits!$E$25:$E$124,INT(B579)+1)</f>
        <v/>
      </c>
      <c r="D579" s="7">
        <f>MAX(1,MIN(INT(B579/$C$4)+1,$C$5))</f>
        <v/>
      </c>
      <c r="E579" s="26">
        <f>IF($C$5=0,0,INDEX(Symboles!$G$6:$G$101,D579))</f>
        <v/>
      </c>
      <c r="F579" s="26">
        <f>IF($C$5=0,0,INDEX(Symboles!$H$6:$H$101,D579))</f>
        <v/>
      </c>
      <c r="G579" s="26">
        <f>COS(2*PI()*$C$3*B579)</f>
        <v/>
      </c>
      <c r="H579" s="26">
        <f>SIN(2*PI()*$C$3*B579)</f>
        <v/>
      </c>
      <c r="I579" s="26">
        <f>E579*G579+F579*H579</f>
        <v/>
      </c>
    </row>
    <row r="580">
      <c r="A580" s="7" t="n">
        <v>573</v>
      </c>
      <c r="B580" s="26">
        <f>(A580-1)/2000*$C$2</f>
        <v/>
      </c>
      <c r="C580" s="7">
        <f>INDEX(Bits!$E$25:$E$124,INT(B580)+1)</f>
        <v/>
      </c>
      <c r="D580" s="7">
        <f>MAX(1,MIN(INT(B580/$C$4)+1,$C$5))</f>
        <v/>
      </c>
      <c r="E580" s="26">
        <f>IF($C$5=0,0,INDEX(Symboles!$G$6:$G$101,D580))</f>
        <v/>
      </c>
      <c r="F580" s="26">
        <f>IF($C$5=0,0,INDEX(Symboles!$H$6:$H$101,D580))</f>
        <v/>
      </c>
      <c r="G580" s="26">
        <f>COS(2*PI()*$C$3*B580)</f>
        <v/>
      </c>
      <c r="H580" s="26">
        <f>SIN(2*PI()*$C$3*B580)</f>
        <v/>
      </c>
      <c r="I580" s="26">
        <f>E580*G580+F580*H580</f>
        <v/>
      </c>
    </row>
    <row r="581">
      <c r="A581" s="7" t="n">
        <v>574</v>
      </c>
      <c r="B581" s="26">
        <f>(A581-1)/2000*$C$2</f>
        <v/>
      </c>
      <c r="C581" s="7">
        <f>INDEX(Bits!$E$25:$E$124,INT(B581)+1)</f>
        <v/>
      </c>
      <c r="D581" s="7">
        <f>MAX(1,MIN(INT(B581/$C$4)+1,$C$5))</f>
        <v/>
      </c>
      <c r="E581" s="26">
        <f>IF($C$5=0,0,INDEX(Symboles!$G$6:$G$101,D581))</f>
        <v/>
      </c>
      <c r="F581" s="26">
        <f>IF($C$5=0,0,INDEX(Symboles!$H$6:$H$101,D581))</f>
        <v/>
      </c>
      <c r="G581" s="26">
        <f>COS(2*PI()*$C$3*B581)</f>
        <v/>
      </c>
      <c r="H581" s="26">
        <f>SIN(2*PI()*$C$3*B581)</f>
        <v/>
      </c>
      <c r="I581" s="26">
        <f>E581*G581+F581*H581</f>
        <v/>
      </c>
    </row>
    <row r="582">
      <c r="A582" s="7" t="n">
        <v>575</v>
      </c>
      <c r="B582" s="26">
        <f>(A582-1)/2000*$C$2</f>
        <v/>
      </c>
      <c r="C582" s="7">
        <f>INDEX(Bits!$E$25:$E$124,INT(B582)+1)</f>
        <v/>
      </c>
      <c r="D582" s="7">
        <f>MAX(1,MIN(INT(B582/$C$4)+1,$C$5))</f>
        <v/>
      </c>
      <c r="E582" s="26">
        <f>IF($C$5=0,0,INDEX(Symboles!$G$6:$G$101,D582))</f>
        <v/>
      </c>
      <c r="F582" s="26">
        <f>IF($C$5=0,0,INDEX(Symboles!$H$6:$H$101,D582))</f>
        <v/>
      </c>
      <c r="G582" s="26">
        <f>COS(2*PI()*$C$3*B582)</f>
        <v/>
      </c>
      <c r="H582" s="26">
        <f>SIN(2*PI()*$C$3*B582)</f>
        <v/>
      </c>
      <c r="I582" s="26">
        <f>E582*G582+F582*H582</f>
        <v/>
      </c>
    </row>
    <row r="583">
      <c r="A583" s="7" t="n">
        <v>576</v>
      </c>
      <c r="B583" s="26">
        <f>(A583-1)/2000*$C$2</f>
        <v/>
      </c>
      <c r="C583" s="7">
        <f>INDEX(Bits!$E$25:$E$124,INT(B583)+1)</f>
        <v/>
      </c>
      <c r="D583" s="7">
        <f>MAX(1,MIN(INT(B583/$C$4)+1,$C$5))</f>
        <v/>
      </c>
      <c r="E583" s="26">
        <f>IF($C$5=0,0,INDEX(Symboles!$G$6:$G$101,D583))</f>
        <v/>
      </c>
      <c r="F583" s="26">
        <f>IF($C$5=0,0,INDEX(Symboles!$H$6:$H$101,D583))</f>
        <v/>
      </c>
      <c r="G583" s="26">
        <f>COS(2*PI()*$C$3*B583)</f>
        <v/>
      </c>
      <c r="H583" s="26">
        <f>SIN(2*PI()*$C$3*B583)</f>
        <v/>
      </c>
      <c r="I583" s="26">
        <f>E583*G583+F583*H583</f>
        <v/>
      </c>
    </row>
    <row r="584">
      <c r="A584" s="7" t="n">
        <v>577</v>
      </c>
      <c r="B584" s="26">
        <f>(A584-1)/2000*$C$2</f>
        <v/>
      </c>
      <c r="C584" s="7">
        <f>INDEX(Bits!$E$25:$E$124,INT(B584)+1)</f>
        <v/>
      </c>
      <c r="D584" s="7">
        <f>MAX(1,MIN(INT(B584/$C$4)+1,$C$5))</f>
        <v/>
      </c>
      <c r="E584" s="26">
        <f>IF($C$5=0,0,INDEX(Symboles!$G$6:$G$101,D584))</f>
        <v/>
      </c>
      <c r="F584" s="26">
        <f>IF($C$5=0,0,INDEX(Symboles!$H$6:$H$101,D584))</f>
        <v/>
      </c>
      <c r="G584" s="26">
        <f>COS(2*PI()*$C$3*B584)</f>
        <v/>
      </c>
      <c r="H584" s="26">
        <f>SIN(2*PI()*$C$3*B584)</f>
        <v/>
      </c>
      <c r="I584" s="26">
        <f>E584*G584+F584*H584</f>
        <v/>
      </c>
    </row>
    <row r="585">
      <c r="A585" s="7" t="n">
        <v>578</v>
      </c>
      <c r="B585" s="26">
        <f>(A585-1)/2000*$C$2</f>
        <v/>
      </c>
      <c r="C585" s="7">
        <f>INDEX(Bits!$E$25:$E$124,INT(B585)+1)</f>
        <v/>
      </c>
      <c r="D585" s="7">
        <f>MAX(1,MIN(INT(B585/$C$4)+1,$C$5))</f>
        <v/>
      </c>
      <c r="E585" s="26">
        <f>IF($C$5=0,0,INDEX(Symboles!$G$6:$G$101,D585))</f>
        <v/>
      </c>
      <c r="F585" s="26">
        <f>IF($C$5=0,0,INDEX(Symboles!$H$6:$H$101,D585))</f>
        <v/>
      </c>
      <c r="G585" s="26">
        <f>COS(2*PI()*$C$3*B585)</f>
        <v/>
      </c>
      <c r="H585" s="26">
        <f>SIN(2*PI()*$C$3*B585)</f>
        <v/>
      </c>
      <c r="I585" s="26">
        <f>E585*G585+F585*H585</f>
        <v/>
      </c>
    </row>
    <row r="586">
      <c r="A586" s="7" t="n">
        <v>579</v>
      </c>
      <c r="B586" s="26">
        <f>(A586-1)/2000*$C$2</f>
        <v/>
      </c>
      <c r="C586" s="7">
        <f>INDEX(Bits!$E$25:$E$124,INT(B586)+1)</f>
        <v/>
      </c>
      <c r="D586" s="7">
        <f>MAX(1,MIN(INT(B586/$C$4)+1,$C$5))</f>
        <v/>
      </c>
      <c r="E586" s="26">
        <f>IF($C$5=0,0,INDEX(Symboles!$G$6:$G$101,D586))</f>
        <v/>
      </c>
      <c r="F586" s="26">
        <f>IF($C$5=0,0,INDEX(Symboles!$H$6:$H$101,D586))</f>
        <v/>
      </c>
      <c r="G586" s="26">
        <f>COS(2*PI()*$C$3*B586)</f>
        <v/>
      </c>
      <c r="H586" s="26">
        <f>SIN(2*PI()*$C$3*B586)</f>
        <v/>
      </c>
      <c r="I586" s="26">
        <f>E586*G586+F586*H586</f>
        <v/>
      </c>
    </row>
    <row r="587">
      <c r="A587" s="7" t="n">
        <v>580</v>
      </c>
      <c r="B587" s="26">
        <f>(A587-1)/2000*$C$2</f>
        <v/>
      </c>
      <c r="C587" s="7">
        <f>INDEX(Bits!$E$25:$E$124,INT(B587)+1)</f>
        <v/>
      </c>
      <c r="D587" s="7">
        <f>MAX(1,MIN(INT(B587/$C$4)+1,$C$5))</f>
        <v/>
      </c>
      <c r="E587" s="26">
        <f>IF($C$5=0,0,INDEX(Symboles!$G$6:$G$101,D587))</f>
        <v/>
      </c>
      <c r="F587" s="26">
        <f>IF($C$5=0,0,INDEX(Symboles!$H$6:$H$101,D587))</f>
        <v/>
      </c>
      <c r="G587" s="26">
        <f>COS(2*PI()*$C$3*B587)</f>
        <v/>
      </c>
      <c r="H587" s="26">
        <f>SIN(2*PI()*$C$3*B587)</f>
        <v/>
      </c>
      <c r="I587" s="26">
        <f>E587*G587+F587*H587</f>
        <v/>
      </c>
    </row>
    <row r="588">
      <c r="A588" s="7" t="n">
        <v>581</v>
      </c>
      <c r="B588" s="26">
        <f>(A588-1)/2000*$C$2</f>
        <v/>
      </c>
      <c r="C588" s="7">
        <f>INDEX(Bits!$E$25:$E$124,INT(B588)+1)</f>
        <v/>
      </c>
      <c r="D588" s="7">
        <f>MAX(1,MIN(INT(B588/$C$4)+1,$C$5))</f>
        <v/>
      </c>
      <c r="E588" s="26">
        <f>IF($C$5=0,0,INDEX(Symboles!$G$6:$G$101,D588))</f>
        <v/>
      </c>
      <c r="F588" s="26">
        <f>IF($C$5=0,0,INDEX(Symboles!$H$6:$H$101,D588))</f>
        <v/>
      </c>
      <c r="G588" s="26">
        <f>COS(2*PI()*$C$3*B588)</f>
        <v/>
      </c>
      <c r="H588" s="26">
        <f>SIN(2*PI()*$C$3*B588)</f>
        <v/>
      </c>
      <c r="I588" s="26">
        <f>E588*G588+F588*H588</f>
        <v/>
      </c>
    </row>
    <row r="589">
      <c r="A589" s="7" t="n">
        <v>582</v>
      </c>
      <c r="B589" s="26">
        <f>(A589-1)/2000*$C$2</f>
        <v/>
      </c>
      <c r="C589" s="7">
        <f>INDEX(Bits!$E$25:$E$124,INT(B589)+1)</f>
        <v/>
      </c>
      <c r="D589" s="7">
        <f>MAX(1,MIN(INT(B589/$C$4)+1,$C$5))</f>
        <v/>
      </c>
      <c r="E589" s="26">
        <f>IF($C$5=0,0,INDEX(Symboles!$G$6:$G$101,D589))</f>
        <v/>
      </c>
      <c r="F589" s="26">
        <f>IF($C$5=0,0,INDEX(Symboles!$H$6:$H$101,D589))</f>
        <v/>
      </c>
      <c r="G589" s="26">
        <f>COS(2*PI()*$C$3*B589)</f>
        <v/>
      </c>
      <c r="H589" s="26">
        <f>SIN(2*PI()*$C$3*B589)</f>
        <v/>
      </c>
      <c r="I589" s="26">
        <f>E589*G589+F589*H589</f>
        <v/>
      </c>
    </row>
    <row r="590">
      <c r="A590" s="7" t="n">
        <v>583</v>
      </c>
      <c r="B590" s="26">
        <f>(A590-1)/2000*$C$2</f>
        <v/>
      </c>
      <c r="C590" s="7">
        <f>INDEX(Bits!$E$25:$E$124,INT(B590)+1)</f>
        <v/>
      </c>
      <c r="D590" s="7">
        <f>MAX(1,MIN(INT(B590/$C$4)+1,$C$5))</f>
        <v/>
      </c>
      <c r="E590" s="26">
        <f>IF($C$5=0,0,INDEX(Symboles!$G$6:$G$101,D590))</f>
        <v/>
      </c>
      <c r="F590" s="26">
        <f>IF($C$5=0,0,INDEX(Symboles!$H$6:$H$101,D590))</f>
        <v/>
      </c>
      <c r="G590" s="26">
        <f>COS(2*PI()*$C$3*B590)</f>
        <v/>
      </c>
      <c r="H590" s="26">
        <f>SIN(2*PI()*$C$3*B590)</f>
        <v/>
      </c>
      <c r="I590" s="26">
        <f>E590*G590+F590*H590</f>
        <v/>
      </c>
    </row>
    <row r="591">
      <c r="A591" s="7" t="n">
        <v>584</v>
      </c>
      <c r="B591" s="26">
        <f>(A591-1)/2000*$C$2</f>
        <v/>
      </c>
      <c r="C591" s="7">
        <f>INDEX(Bits!$E$25:$E$124,INT(B591)+1)</f>
        <v/>
      </c>
      <c r="D591" s="7">
        <f>MAX(1,MIN(INT(B591/$C$4)+1,$C$5))</f>
        <v/>
      </c>
      <c r="E591" s="26">
        <f>IF($C$5=0,0,INDEX(Symboles!$G$6:$G$101,D591))</f>
        <v/>
      </c>
      <c r="F591" s="26">
        <f>IF($C$5=0,0,INDEX(Symboles!$H$6:$H$101,D591))</f>
        <v/>
      </c>
      <c r="G591" s="26">
        <f>COS(2*PI()*$C$3*B591)</f>
        <v/>
      </c>
      <c r="H591" s="26">
        <f>SIN(2*PI()*$C$3*B591)</f>
        <v/>
      </c>
      <c r="I591" s="26">
        <f>E591*G591+F591*H591</f>
        <v/>
      </c>
    </row>
    <row r="592">
      <c r="A592" s="7" t="n">
        <v>585</v>
      </c>
      <c r="B592" s="26">
        <f>(A592-1)/2000*$C$2</f>
        <v/>
      </c>
      <c r="C592" s="7">
        <f>INDEX(Bits!$E$25:$E$124,INT(B592)+1)</f>
        <v/>
      </c>
      <c r="D592" s="7">
        <f>MAX(1,MIN(INT(B592/$C$4)+1,$C$5))</f>
        <v/>
      </c>
      <c r="E592" s="26">
        <f>IF($C$5=0,0,INDEX(Symboles!$G$6:$G$101,D592))</f>
        <v/>
      </c>
      <c r="F592" s="26">
        <f>IF($C$5=0,0,INDEX(Symboles!$H$6:$H$101,D592))</f>
        <v/>
      </c>
      <c r="G592" s="26">
        <f>COS(2*PI()*$C$3*B592)</f>
        <v/>
      </c>
      <c r="H592" s="26">
        <f>SIN(2*PI()*$C$3*B592)</f>
        <v/>
      </c>
      <c r="I592" s="26">
        <f>E592*G592+F592*H592</f>
        <v/>
      </c>
    </row>
    <row r="593">
      <c r="A593" s="7" t="n">
        <v>586</v>
      </c>
      <c r="B593" s="26">
        <f>(A593-1)/2000*$C$2</f>
        <v/>
      </c>
      <c r="C593" s="7">
        <f>INDEX(Bits!$E$25:$E$124,INT(B593)+1)</f>
        <v/>
      </c>
      <c r="D593" s="7">
        <f>MAX(1,MIN(INT(B593/$C$4)+1,$C$5))</f>
        <v/>
      </c>
      <c r="E593" s="26">
        <f>IF($C$5=0,0,INDEX(Symboles!$G$6:$G$101,D593))</f>
        <v/>
      </c>
      <c r="F593" s="26">
        <f>IF($C$5=0,0,INDEX(Symboles!$H$6:$H$101,D593))</f>
        <v/>
      </c>
      <c r="G593" s="26">
        <f>COS(2*PI()*$C$3*B593)</f>
        <v/>
      </c>
      <c r="H593" s="26">
        <f>SIN(2*PI()*$C$3*B593)</f>
        <v/>
      </c>
      <c r="I593" s="26">
        <f>E593*G593+F593*H593</f>
        <v/>
      </c>
    </row>
    <row r="594">
      <c r="A594" s="7" t="n">
        <v>587</v>
      </c>
      <c r="B594" s="26">
        <f>(A594-1)/2000*$C$2</f>
        <v/>
      </c>
      <c r="C594" s="7">
        <f>INDEX(Bits!$E$25:$E$124,INT(B594)+1)</f>
        <v/>
      </c>
      <c r="D594" s="7">
        <f>MAX(1,MIN(INT(B594/$C$4)+1,$C$5))</f>
        <v/>
      </c>
      <c r="E594" s="26">
        <f>IF($C$5=0,0,INDEX(Symboles!$G$6:$G$101,D594))</f>
        <v/>
      </c>
      <c r="F594" s="26">
        <f>IF($C$5=0,0,INDEX(Symboles!$H$6:$H$101,D594))</f>
        <v/>
      </c>
      <c r="G594" s="26">
        <f>COS(2*PI()*$C$3*B594)</f>
        <v/>
      </c>
      <c r="H594" s="26">
        <f>SIN(2*PI()*$C$3*B594)</f>
        <v/>
      </c>
      <c r="I594" s="26">
        <f>E594*G594+F594*H594</f>
        <v/>
      </c>
    </row>
    <row r="595">
      <c r="A595" s="7" t="n">
        <v>588</v>
      </c>
      <c r="B595" s="26">
        <f>(A595-1)/2000*$C$2</f>
        <v/>
      </c>
      <c r="C595" s="7">
        <f>INDEX(Bits!$E$25:$E$124,INT(B595)+1)</f>
        <v/>
      </c>
      <c r="D595" s="7">
        <f>MAX(1,MIN(INT(B595/$C$4)+1,$C$5))</f>
        <v/>
      </c>
      <c r="E595" s="26">
        <f>IF($C$5=0,0,INDEX(Symboles!$G$6:$G$101,D595))</f>
        <v/>
      </c>
      <c r="F595" s="26">
        <f>IF($C$5=0,0,INDEX(Symboles!$H$6:$H$101,D595))</f>
        <v/>
      </c>
      <c r="G595" s="26">
        <f>COS(2*PI()*$C$3*B595)</f>
        <v/>
      </c>
      <c r="H595" s="26">
        <f>SIN(2*PI()*$C$3*B595)</f>
        <v/>
      </c>
      <c r="I595" s="26">
        <f>E595*G595+F595*H595</f>
        <v/>
      </c>
    </row>
    <row r="596">
      <c r="A596" s="7" t="n">
        <v>589</v>
      </c>
      <c r="B596" s="26">
        <f>(A596-1)/2000*$C$2</f>
        <v/>
      </c>
      <c r="C596" s="7">
        <f>INDEX(Bits!$E$25:$E$124,INT(B596)+1)</f>
        <v/>
      </c>
      <c r="D596" s="7">
        <f>MAX(1,MIN(INT(B596/$C$4)+1,$C$5))</f>
        <v/>
      </c>
      <c r="E596" s="26">
        <f>IF($C$5=0,0,INDEX(Symboles!$G$6:$G$101,D596))</f>
        <v/>
      </c>
      <c r="F596" s="26">
        <f>IF($C$5=0,0,INDEX(Symboles!$H$6:$H$101,D596))</f>
        <v/>
      </c>
      <c r="G596" s="26">
        <f>COS(2*PI()*$C$3*B596)</f>
        <v/>
      </c>
      <c r="H596" s="26">
        <f>SIN(2*PI()*$C$3*B596)</f>
        <v/>
      </c>
      <c r="I596" s="26">
        <f>E596*G596+F596*H596</f>
        <v/>
      </c>
    </row>
    <row r="597">
      <c r="A597" s="7" t="n">
        <v>590</v>
      </c>
      <c r="B597" s="26">
        <f>(A597-1)/2000*$C$2</f>
        <v/>
      </c>
      <c r="C597" s="7">
        <f>INDEX(Bits!$E$25:$E$124,INT(B597)+1)</f>
        <v/>
      </c>
      <c r="D597" s="7">
        <f>MAX(1,MIN(INT(B597/$C$4)+1,$C$5))</f>
        <v/>
      </c>
      <c r="E597" s="26">
        <f>IF($C$5=0,0,INDEX(Symboles!$G$6:$G$101,D597))</f>
        <v/>
      </c>
      <c r="F597" s="26">
        <f>IF($C$5=0,0,INDEX(Symboles!$H$6:$H$101,D597))</f>
        <v/>
      </c>
      <c r="G597" s="26">
        <f>COS(2*PI()*$C$3*B597)</f>
        <v/>
      </c>
      <c r="H597" s="26">
        <f>SIN(2*PI()*$C$3*B597)</f>
        <v/>
      </c>
      <c r="I597" s="26">
        <f>E597*G597+F597*H597</f>
        <v/>
      </c>
    </row>
    <row r="598">
      <c r="A598" s="7" t="n">
        <v>591</v>
      </c>
      <c r="B598" s="26">
        <f>(A598-1)/2000*$C$2</f>
        <v/>
      </c>
      <c r="C598" s="7">
        <f>INDEX(Bits!$E$25:$E$124,INT(B598)+1)</f>
        <v/>
      </c>
      <c r="D598" s="7">
        <f>MAX(1,MIN(INT(B598/$C$4)+1,$C$5))</f>
        <v/>
      </c>
      <c r="E598" s="26">
        <f>IF($C$5=0,0,INDEX(Symboles!$G$6:$G$101,D598))</f>
        <v/>
      </c>
      <c r="F598" s="26">
        <f>IF($C$5=0,0,INDEX(Symboles!$H$6:$H$101,D598))</f>
        <v/>
      </c>
      <c r="G598" s="26">
        <f>COS(2*PI()*$C$3*B598)</f>
        <v/>
      </c>
      <c r="H598" s="26">
        <f>SIN(2*PI()*$C$3*B598)</f>
        <v/>
      </c>
      <c r="I598" s="26">
        <f>E598*G598+F598*H598</f>
        <v/>
      </c>
    </row>
    <row r="599">
      <c r="A599" s="7" t="n">
        <v>592</v>
      </c>
      <c r="B599" s="26">
        <f>(A599-1)/2000*$C$2</f>
        <v/>
      </c>
      <c r="C599" s="7">
        <f>INDEX(Bits!$E$25:$E$124,INT(B599)+1)</f>
        <v/>
      </c>
      <c r="D599" s="7">
        <f>MAX(1,MIN(INT(B599/$C$4)+1,$C$5))</f>
        <v/>
      </c>
      <c r="E599" s="26">
        <f>IF($C$5=0,0,INDEX(Symboles!$G$6:$G$101,D599))</f>
        <v/>
      </c>
      <c r="F599" s="26">
        <f>IF($C$5=0,0,INDEX(Symboles!$H$6:$H$101,D599))</f>
        <v/>
      </c>
      <c r="G599" s="26">
        <f>COS(2*PI()*$C$3*B599)</f>
        <v/>
      </c>
      <c r="H599" s="26">
        <f>SIN(2*PI()*$C$3*B599)</f>
        <v/>
      </c>
      <c r="I599" s="26">
        <f>E599*G599+F599*H599</f>
        <v/>
      </c>
    </row>
    <row r="600">
      <c r="A600" s="7" t="n">
        <v>593</v>
      </c>
      <c r="B600" s="26">
        <f>(A600-1)/2000*$C$2</f>
        <v/>
      </c>
      <c r="C600" s="7">
        <f>INDEX(Bits!$E$25:$E$124,INT(B600)+1)</f>
        <v/>
      </c>
      <c r="D600" s="7">
        <f>MAX(1,MIN(INT(B600/$C$4)+1,$C$5))</f>
        <v/>
      </c>
      <c r="E600" s="26">
        <f>IF($C$5=0,0,INDEX(Symboles!$G$6:$G$101,D600))</f>
        <v/>
      </c>
      <c r="F600" s="26">
        <f>IF($C$5=0,0,INDEX(Symboles!$H$6:$H$101,D600))</f>
        <v/>
      </c>
      <c r="G600" s="26">
        <f>COS(2*PI()*$C$3*B600)</f>
        <v/>
      </c>
      <c r="H600" s="26">
        <f>SIN(2*PI()*$C$3*B600)</f>
        <v/>
      </c>
      <c r="I600" s="26">
        <f>E600*G600+F600*H600</f>
        <v/>
      </c>
    </row>
    <row r="601">
      <c r="A601" s="7" t="n">
        <v>594</v>
      </c>
      <c r="B601" s="26">
        <f>(A601-1)/2000*$C$2</f>
        <v/>
      </c>
      <c r="C601" s="7">
        <f>INDEX(Bits!$E$25:$E$124,INT(B601)+1)</f>
        <v/>
      </c>
      <c r="D601" s="7">
        <f>MAX(1,MIN(INT(B601/$C$4)+1,$C$5))</f>
        <v/>
      </c>
      <c r="E601" s="26">
        <f>IF($C$5=0,0,INDEX(Symboles!$G$6:$G$101,D601))</f>
        <v/>
      </c>
      <c r="F601" s="26">
        <f>IF($C$5=0,0,INDEX(Symboles!$H$6:$H$101,D601))</f>
        <v/>
      </c>
      <c r="G601" s="26">
        <f>COS(2*PI()*$C$3*B601)</f>
        <v/>
      </c>
      <c r="H601" s="26">
        <f>SIN(2*PI()*$C$3*B601)</f>
        <v/>
      </c>
      <c r="I601" s="26">
        <f>E601*G601+F601*H601</f>
        <v/>
      </c>
    </row>
    <row r="602">
      <c r="A602" s="7" t="n">
        <v>595</v>
      </c>
      <c r="B602" s="26">
        <f>(A602-1)/2000*$C$2</f>
        <v/>
      </c>
      <c r="C602" s="7">
        <f>INDEX(Bits!$E$25:$E$124,INT(B602)+1)</f>
        <v/>
      </c>
      <c r="D602" s="7">
        <f>MAX(1,MIN(INT(B602/$C$4)+1,$C$5))</f>
        <v/>
      </c>
      <c r="E602" s="26">
        <f>IF($C$5=0,0,INDEX(Symboles!$G$6:$G$101,D602))</f>
        <v/>
      </c>
      <c r="F602" s="26">
        <f>IF($C$5=0,0,INDEX(Symboles!$H$6:$H$101,D602))</f>
        <v/>
      </c>
      <c r="G602" s="26">
        <f>COS(2*PI()*$C$3*B602)</f>
        <v/>
      </c>
      <c r="H602" s="26">
        <f>SIN(2*PI()*$C$3*B602)</f>
        <v/>
      </c>
      <c r="I602" s="26">
        <f>E602*G602+F602*H602</f>
        <v/>
      </c>
    </row>
    <row r="603">
      <c r="A603" s="7" t="n">
        <v>596</v>
      </c>
      <c r="B603" s="26">
        <f>(A603-1)/2000*$C$2</f>
        <v/>
      </c>
      <c r="C603" s="7">
        <f>INDEX(Bits!$E$25:$E$124,INT(B603)+1)</f>
        <v/>
      </c>
      <c r="D603" s="7">
        <f>MAX(1,MIN(INT(B603/$C$4)+1,$C$5))</f>
        <v/>
      </c>
      <c r="E603" s="26">
        <f>IF($C$5=0,0,INDEX(Symboles!$G$6:$G$101,D603))</f>
        <v/>
      </c>
      <c r="F603" s="26">
        <f>IF($C$5=0,0,INDEX(Symboles!$H$6:$H$101,D603))</f>
        <v/>
      </c>
      <c r="G603" s="26">
        <f>COS(2*PI()*$C$3*B603)</f>
        <v/>
      </c>
      <c r="H603" s="26">
        <f>SIN(2*PI()*$C$3*B603)</f>
        <v/>
      </c>
      <c r="I603" s="26">
        <f>E603*G603+F603*H603</f>
        <v/>
      </c>
    </row>
    <row r="604">
      <c r="A604" s="7" t="n">
        <v>597</v>
      </c>
      <c r="B604" s="26">
        <f>(A604-1)/2000*$C$2</f>
        <v/>
      </c>
      <c r="C604" s="7">
        <f>INDEX(Bits!$E$25:$E$124,INT(B604)+1)</f>
        <v/>
      </c>
      <c r="D604" s="7">
        <f>MAX(1,MIN(INT(B604/$C$4)+1,$C$5))</f>
        <v/>
      </c>
      <c r="E604" s="26">
        <f>IF($C$5=0,0,INDEX(Symboles!$G$6:$G$101,D604))</f>
        <v/>
      </c>
      <c r="F604" s="26">
        <f>IF($C$5=0,0,INDEX(Symboles!$H$6:$H$101,D604))</f>
        <v/>
      </c>
      <c r="G604" s="26">
        <f>COS(2*PI()*$C$3*B604)</f>
        <v/>
      </c>
      <c r="H604" s="26">
        <f>SIN(2*PI()*$C$3*B604)</f>
        <v/>
      </c>
      <c r="I604" s="26">
        <f>E604*G604+F604*H604</f>
        <v/>
      </c>
    </row>
    <row r="605">
      <c r="A605" s="7" t="n">
        <v>598</v>
      </c>
      <c r="B605" s="26">
        <f>(A605-1)/2000*$C$2</f>
        <v/>
      </c>
      <c r="C605" s="7">
        <f>INDEX(Bits!$E$25:$E$124,INT(B605)+1)</f>
        <v/>
      </c>
      <c r="D605" s="7">
        <f>MAX(1,MIN(INT(B605/$C$4)+1,$C$5))</f>
        <v/>
      </c>
      <c r="E605" s="26">
        <f>IF($C$5=0,0,INDEX(Symboles!$G$6:$G$101,D605))</f>
        <v/>
      </c>
      <c r="F605" s="26">
        <f>IF($C$5=0,0,INDEX(Symboles!$H$6:$H$101,D605))</f>
        <v/>
      </c>
      <c r="G605" s="26">
        <f>COS(2*PI()*$C$3*B605)</f>
        <v/>
      </c>
      <c r="H605" s="26">
        <f>SIN(2*PI()*$C$3*B605)</f>
        <v/>
      </c>
      <c r="I605" s="26">
        <f>E605*G605+F605*H605</f>
        <v/>
      </c>
    </row>
    <row r="606">
      <c r="A606" s="7" t="n">
        <v>599</v>
      </c>
      <c r="B606" s="26">
        <f>(A606-1)/2000*$C$2</f>
        <v/>
      </c>
      <c r="C606" s="7">
        <f>INDEX(Bits!$E$25:$E$124,INT(B606)+1)</f>
        <v/>
      </c>
      <c r="D606" s="7">
        <f>MAX(1,MIN(INT(B606/$C$4)+1,$C$5))</f>
        <v/>
      </c>
      <c r="E606" s="26">
        <f>IF($C$5=0,0,INDEX(Symboles!$G$6:$G$101,D606))</f>
        <v/>
      </c>
      <c r="F606" s="26">
        <f>IF($C$5=0,0,INDEX(Symboles!$H$6:$H$101,D606))</f>
        <v/>
      </c>
      <c r="G606" s="26">
        <f>COS(2*PI()*$C$3*B606)</f>
        <v/>
      </c>
      <c r="H606" s="26">
        <f>SIN(2*PI()*$C$3*B606)</f>
        <v/>
      </c>
      <c r="I606" s="26">
        <f>E606*G606+F606*H606</f>
        <v/>
      </c>
    </row>
    <row r="607">
      <c r="A607" s="7" t="n">
        <v>600</v>
      </c>
      <c r="B607" s="26">
        <f>(A607-1)/2000*$C$2</f>
        <v/>
      </c>
      <c r="C607" s="7">
        <f>INDEX(Bits!$E$25:$E$124,INT(B607)+1)</f>
        <v/>
      </c>
      <c r="D607" s="7">
        <f>MAX(1,MIN(INT(B607/$C$4)+1,$C$5))</f>
        <v/>
      </c>
      <c r="E607" s="26">
        <f>IF($C$5=0,0,INDEX(Symboles!$G$6:$G$101,D607))</f>
        <v/>
      </c>
      <c r="F607" s="26">
        <f>IF($C$5=0,0,INDEX(Symboles!$H$6:$H$101,D607))</f>
        <v/>
      </c>
      <c r="G607" s="26">
        <f>COS(2*PI()*$C$3*B607)</f>
        <v/>
      </c>
      <c r="H607" s="26">
        <f>SIN(2*PI()*$C$3*B607)</f>
        <v/>
      </c>
      <c r="I607" s="26">
        <f>E607*G607+F607*H607</f>
        <v/>
      </c>
    </row>
    <row r="608">
      <c r="A608" s="7" t="n">
        <v>601</v>
      </c>
      <c r="B608" s="26">
        <f>(A608-1)/2000*$C$2</f>
        <v/>
      </c>
      <c r="C608" s="7">
        <f>INDEX(Bits!$E$25:$E$124,INT(B608)+1)</f>
        <v/>
      </c>
      <c r="D608" s="7">
        <f>MAX(1,MIN(INT(B608/$C$4)+1,$C$5))</f>
        <v/>
      </c>
      <c r="E608" s="26">
        <f>IF($C$5=0,0,INDEX(Symboles!$G$6:$G$101,D608))</f>
        <v/>
      </c>
      <c r="F608" s="26">
        <f>IF($C$5=0,0,INDEX(Symboles!$H$6:$H$101,D608))</f>
        <v/>
      </c>
      <c r="G608" s="26">
        <f>COS(2*PI()*$C$3*B608)</f>
        <v/>
      </c>
      <c r="H608" s="26">
        <f>SIN(2*PI()*$C$3*B608)</f>
        <v/>
      </c>
      <c r="I608" s="26">
        <f>E608*G608+F608*H608</f>
        <v/>
      </c>
    </row>
    <row r="609">
      <c r="A609" s="7" t="n">
        <v>602</v>
      </c>
      <c r="B609" s="26">
        <f>(A609-1)/2000*$C$2</f>
        <v/>
      </c>
      <c r="C609" s="7">
        <f>INDEX(Bits!$E$25:$E$124,INT(B609)+1)</f>
        <v/>
      </c>
      <c r="D609" s="7">
        <f>MAX(1,MIN(INT(B609/$C$4)+1,$C$5))</f>
        <v/>
      </c>
      <c r="E609" s="26">
        <f>IF($C$5=0,0,INDEX(Symboles!$G$6:$G$101,D609))</f>
        <v/>
      </c>
      <c r="F609" s="26">
        <f>IF($C$5=0,0,INDEX(Symboles!$H$6:$H$101,D609))</f>
        <v/>
      </c>
      <c r="G609" s="26">
        <f>COS(2*PI()*$C$3*B609)</f>
        <v/>
      </c>
      <c r="H609" s="26">
        <f>SIN(2*PI()*$C$3*B609)</f>
        <v/>
      </c>
      <c r="I609" s="26">
        <f>E609*G609+F609*H609</f>
        <v/>
      </c>
    </row>
    <row r="610">
      <c r="A610" s="7" t="n">
        <v>603</v>
      </c>
      <c r="B610" s="26">
        <f>(A610-1)/2000*$C$2</f>
        <v/>
      </c>
      <c r="C610" s="7">
        <f>INDEX(Bits!$E$25:$E$124,INT(B610)+1)</f>
        <v/>
      </c>
      <c r="D610" s="7">
        <f>MAX(1,MIN(INT(B610/$C$4)+1,$C$5))</f>
        <v/>
      </c>
      <c r="E610" s="26">
        <f>IF($C$5=0,0,INDEX(Symboles!$G$6:$G$101,D610))</f>
        <v/>
      </c>
      <c r="F610" s="26">
        <f>IF($C$5=0,0,INDEX(Symboles!$H$6:$H$101,D610))</f>
        <v/>
      </c>
      <c r="G610" s="26">
        <f>COS(2*PI()*$C$3*B610)</f>
        <v/>
      </c>
      <c r="H610" s="26">
        <f>SIN(2*PI()*$C$3*B610)</f>
        <v/>
      </c>
      <c r="I610" s="26">
        <f>E610*G610+F610*H610</f>
        <v/>
      </c>
    </row>
    <row r="611">
      <c r="A611" s="7" t="n">
        <v>604</v>
      </c>
      <c r="B611" s="26">
        <f>(A611-1)/2000*$C$2</f>
        <v/>
      </c>
      <c r="C611" s="7">
        <f>INDEX(Bits!$E$25:$E$124,INT(B611)+1)</f>
        <v/>
      </c>
      <c r="D611" s="7">
        <f>MAX(1,MIN(INT(B611/$C$4)+1,$C$5))</f>
        <v/>
      </c>
      <c r="E611" s="26">
        <f>IF($C$5=0,0,INDEX(Symboles!$G$6:$G$101,D611))</f>
        <v/>
      </c>
      <c r="F611" s="26">
        <f>IF($C$5=0,0,INDEX(Symboles!$H$6:$H$101,D611))</f>
        <v/>
      </c>
      <c r="G611" s="26">
        <f>COS(2*PI()*$C$3*B611)</f>
        <v/>
      </c>
      <c r="H611" s="26">
        <f>SIN(2*PI()*$C$3*B611)</f>
        <v/>
      </c>
      <c r="I611" s="26">
        <f>E611*G611+F611*H611</f>
        <v/>
      </c>
    </row>
    <row r="612">
      <c r="A612" s="7" t="n">
        <v>605</v>
      </c>
      <c r="B612" s="26">
        <f>(A612-1)/2000*$C$2</f>
        <v/>
      </c>
      <c r="C612" s="7">
        <f>INDEX(Bits!$E$25:$E$124,INT(B612)+1)</f>
        <v/>
      </c>
      <c r="D612" s="7">
        <f>MAX(1,MIN(INT(B612/$C$4)+1,$C$5))</f>
        <v/>
      </c>
      <c r="E612" s="26">
        <f>IF($C$5=0,0,INDEX(Symboles!$G$6:$G$101,D612))</f>
        <v/>
      </c>
      <c r="F612" s="26">
        <f>IF($C$5=0,0,INDEX(Symboles!$H$6:$H$101,D612))</f>
        <v/>
      </c>
      <c r="G612" s="26">
        <f>COS(2*PI()*$C$3*B612)</f>
        <v/>
      </c>
      <c r="H612" s="26">
        <f>SIN(2*PI()*$C$3*B612)</f>
        <v/>
      </c>
      <c r="I612" s="26">
        <f>E612*G612+F612*H612</f>
        <v/>
      </c>
    </row>
    <row r="613">
      <c r="A613" s="7" t="n">
        <v>606</v>
      </c>
      <c r="B613" s="26">
        <f>(A613-1)/2000*$C$2</f>
        <v/>
      </c>
      <c r="C613" s="7">
        <f>INDEX(Bits!$E$25:$E$124,INT(B613)+1)</f>
        <v/>
      </c>
      <c r="D613" s="7">
        <f>MAX(1,MIN(INT(B613/$C$4)+1,$C$5))</f>
        <v/>
      </c>
      <c r="E613" s="26">
        <f>IF($C$5=0,0,INDEX(Symboles!$G$6:$G$101,D613))</f>
        <v/>
      </c>
      <c r="F613" s="26">
        <f>IF($C$5=0,0,INDEX(Symboles!$H$6:$H$101,D613))</f>
        <v/>
      </c>
      <c r="G613" s="26">
        <f>COS(2*PI()*$C$3*B613)</f>
        <v/>
      </c>
      <c r="H613" s="26">
        <f>SIN(2*PI()*$C$3*B613)</f>
        <v/>
      </c>
      <c r="I613" s="26">
        <f>E613*G613+F613*H613</f>
        <v/>
      </c>
    </row>
    <row r="614">
      <c r="A614" s="7" t="n">
        <v>607</v>
      </c>
      <c r="B614" s="26">
        <f>(A614-1)/2000*$C$2</f>
        <v/>
      </c>
      <c r="C614" s="7">
        <f>INDEX(Bits!$E$25:$E$124,INT(B614)+1)</f>
        <v/>
      </c>
      <c r="D614" s="7">
        <f>MAX(1,MIN(INT(B614/$C$4)+1,$C$5))</f>
        <v/>
      </c>
      <c r="E614" s="26">
        <f>IF($C$5=0,0,INDEX(Symboles!$G$6:$G$101,D614))</f>
        <v/>
      </c>
      <c r="F614" s="26">
        <f>IF($C$5=0,0,INDEX(Symboles!$H$6:$H$101,D614))</f>
        <v/>
      </c>
      <c r="G614" s="26">
        <f>COS(2*PI()*$C$3*B614)</f>
        <v/>
      </c>
      <c r="H614" s="26">
        <f>SIN(2*PI()*$C$3*B614)</f>
        <v/>
      </c>
      <c r="I614" s="26">
        <f>E614*G614+F614*H614</f>
        <v/>
      </c>
    </row>
    <row r="615">
      <c r="A615" s="7" t="n">
        <v>608</v>
      </c>
      <c r="B615" s="26">
        <f>(A615-1)/2000*$C$2</f>
        <v/>
      </c>
      <c r="C615" s="7">
        <f>INDEX(Bits!$E$25:$E$124,INT(B615)+1)</f>
        <v/>
      </c>
      <c r="D615" s="7">
        <f>MAX(1,MIN(INT(B615/$C$4)+1,$C$5))</f>
        <v/>
      </c>
      <c r="E615" s="26">
        <f>IF($C$5=0,0,INDEX(Symboles!$G$6:$G$101,D615))</f>
        <v/>
      </c>
      <c r="F615" s="26">
        <f>IF($C$5=0,0,INDEX(Symboles!$H$6:$H$101,D615))</f>
        <v/>
      </c>
      <c r="G615" s="26">
        <f>COS(2*PI()*$C$3*B615)</f>
        <v/>
      </c>
      <c r="H615" s="26">
        <f>SIN(2*PI()*$C$3*B615)</f>
        <v/>
      </c>
      <c r="I615" s="26">
        <f>E615*G615+F615*H615</f>
        <v/>
      </c>
    </row>
    <row r="616">
      <c r="A616" s="7" t="n">
        <v>609</v>
      </c>
      <c r="B616" s="26">
        <f>(A616-1)/2000*$C$2</f>
        <v/>
      </c>
      <c r="C616" s="7">
        <f>INDEX(Bits!$E$25:$E$124,INT(B616)+1)</f>
        <v/>
      </c>
      <c r="D616" s="7">
        <f>MAX(1,MIN(INT(B616/$C$4)+1,$C$5))</f>
        <v/>
      </c>
      <c r="E616" s="26">
        <f>IF($C$5=0,0,INDEX(Symboles!$G$6:$G$101,D616))</f>
        <v/>
      </c>
      <c r="F616" s="26">
        <f>IF($C$5=0,0,INDEX(Symboles!$H$6:$H$101,D616))</f>
        <v/>
      </c>
      <c r="G616" s="26">
        <f>COS(2*PI()*$C$3*B616)</f>
        <v/>
      </c>
      <c r="H616" s="26">
        <f>SIN(2*PI()*$C$3*B616)</f>
        <v/>
      </c>
      <c r="I616" s="26">
        <f>E616*G616+F616*H616</f>
        <v/>
      </c>
    </row>
    <row r="617">
      <c r="A617" s="7" t="n">
        <v>610</v>
      </c>
      <c r="B617" s="26">
        <f>(A617-1)/2000*$C$2</f>
        <v/>
      </c>
      <c r="C617" s="7">
        <f>INDEX(Bits!$E$25:$E$124,INT(B617)+1)</f>
        <v/>
      </c>
      <c r="D617" s="7">
        <f>MAX(1,MIN(INT(B617/$C$4)+1,$C$5))</f>
        <v/>
      </c>
      <c r="E617" s="26">
        <f>IF($C$5=0,0,INDEX(Symboles!$G$6:$G$101,D617))</f>
        <v/>
      </c>
      <c r="F617" s="26">
        <f>IF($C$5=0,0,INDEX(Symboles!$H$6:$H$101,D617))</f>
        <v/>
      </c>
      <c r="G617" s="26">
        <f>COS(2*PI()*$C$3*B617)</f>
        <v/>
      </c>
      <c r="H617" s="26">
        <f>SIN(2*PI()*$C$3*B617)</f>
        <v/>
      </c>
      <c r="I617" s="26">
        <f>E617*G617+F617*H617</f>
        <v/>
      </c>
    </row>
    <row r="618">
      <c r="A618" s="7" t="n">
        <v>611</v>
      </c>
      <c r="B618" s="26">
        <f>(A618-1)/2000*$C$2</f>
        <v/>
      </c>
      <c r="C618" s="7">
        <f>INDEX(Bits!$E$25:$E$124,INT(B618)+1)</f>
        <v/>
      </c>
      <c r="D618" s="7">
        <f>MAX(1,MIN(INT(B618/$C$4)+1,$C$5))</f>
        <v/>
      </c>
      <c r="E618" s="26">
        <f>IF($C$5=0,0,INDEX(Symboles!$G$6:$G$101,D618))</f>
        <v/>
      </c>
      <c r="F618" s="26">
        <f>IF($C$5=0,0,INDEX(Symboles!$H$6:$H$101,D618))</f>
        <v/>
      </c>
      <c r="G618" s="26">
        <f>COS(2*PI()*$C$3*B618)</f>
        <v/>
      </c>
      <c r="H618" s="26">
        <f>SIN(2*PI()*$C$3*B618)</f>
        <v/>
      </c>
      <c r="I618" s="26">
        <f>E618*G618+F618*H618</f>
        <v/>
      </c>
    </row>
    <row r="619">
      <c r="A619" s="7" t="n">
        <v>612</v>
      </c>
      <c r="B619" s="26">
        <f>(A619-1)/2000*$C$2</f>
        <v/>
      </c>
      <c r="C619" s="7">
        <f>INDEX(Bits!$E$25:$E$124,INT(B619)+1)</f>
        <v/>
      </c>
      <c r="D619" s="7">
        <f>MAX(1,MIN(INT(B619/$C$4)+1,$C$5))</f>
        <v/>
      </c>
      <c r="E619" s="26">
        <f>IF($C$5=0,0,INDEX(Symboles!$G$6:$G$101,D619))</f>
        <v/>
      </c>
      <c r="F619" s="26">
        <f>IF($C$5=0,0,INDEX(Symboles!$H$6:$H$101,D619))</f>
        <v/>
      </c>
      <c r="G619" s="26">
        <f>COS(2*PI()*$C$3*B619)</f>
        <v/>
      </c>
      <c r="H619" s="26">
        <f>SIN(2*PI()*$C$3*B619)</f>
        <v/>
      </c>
      <c r="I619" s="26">
        <f>E619*G619+F619*H619</f>
        <v/>
      </c>
    </row>
    <row r="620">
      <c r="A620" s="7" t="n">
        <v>613</v>
      </c>
      <c r="B620" s="26">
        <f>(A620-1)/2000*$C$2</f>
        <v/>
      </c>
      <c r="C620" s="7">
        <f>INDEX(Bits!$E$25:$E$124,INT(B620)+1)</f>
        <v/>
      </c>
      <c r="D620" s="7">
        <f>MAX(1,MIN(INT(B620/$C$4)+1,$C$5))</f>
        <v/>
      </c>
      <c r="E620" s="26">
        <f>IF($C$5=0,0,INDEX(Symboles!$G$6:$G$101,D620))</f>
        <v/>
      </c>
      <c r="F620" s="26">
        <f>IF($C$5=0,0,INDEX(Symboles!$H$6:$H$101,D620))</f>
        <v/>
      </c>
      <c r="G620" s="26">
        <f>COS(2*PI()*$C$3*B620)</f>
        <v/>
      </c>
      <c r="H620" s="26">
        <f>SIN(2*PI()*$C$3*B620)</f>
        <v/>
      </c>
      <c r="I620" s="26">
        <f>E620*G620+F620*H620</f>
        <v/>
      </c>
    </row>
    <row r="621">
      <c r="A621" s="7" t="n">
        <v>614</v>
      </c>
      <c r="B621" s="26">
        <f>(A621-1)/2000*$C$2</f>
        <v/>
      </c>
      <c r="C621" s="7">
        <f>INDEX(Bits!$E$25:$E$124,INT(B621)+1)</f>
        <v/>
      </c>
      <c r="D621" s="7">
        <f>MAX(1,MIN(INT(B621/$C$4)+1,$C$5))</f>
        <v/>
      </c>
      <c r="E621" s="26">
        <f>IF($C$5=0,0,INDEX(Symboles!$G$6:$G$101,D621))</f>
        <v/>
      </c>
      <c r="F621" s="26">
        <f>IF($C$5=0,0,INDEX(Symboles!$H$6:$H$101,D621))</f>
        <v/>
      </c>
      <c r="G621" s="26">
        <f>COS(2*PI()*$C$3*B621)</f>
        <v/>
      </c>
      <c r="H621" s="26">
        <f>SIN(2*PI()*$C$3*B621)</f>
        <v/>
      </c>
      <c r="I621" s="26">
        <f>E621*G621+F621*H621</f>
        <v/>
      </c>
    </row>
    <row r="622">
      <c r="A622" s="7" t="n">
        <v>615</v>
      </c>
      <c r="B622" s="26">
        <f>(A622-1)/2000*$C$2</f>
        <v/>
      </c>
      <c r="C622" s="7">
        <f>INDEX(Bits!$E$25:$E$124,INT(B622)+1)</f>
        <v/>
      </c>
      <c r="D622" s="7">
        <f>MAX(1,MIN(INT(B622/$C$4)+1,$C$5))</f>
        <v/>
      </c>
      <c r="E622" s="26">
        <f>IF($C$5=0,0,INDEX(Symboles!$G$6:$G$101,D622))</f>
        <v/>
      </c>
      <c r="F622" s="26">
        <f>IF($C$5=0,0,INDEX(Symboles!$H$6:$H$101,D622))</f>
        <v/>
      </c>
      <c r="G622" s="26">
        <f>COS(2*PI()*$C$3*B622)</f>
        <v/>
      </c>
      <c r="H622" s="26">
        <f>SIN(2*PI()*$C$3*B622)</f>
        <v/>
      </c>
      <c r="I622" s="26">
        <f>E622*G622+F622*H622</f>
        <v/>
      </c>
    </row>
    <row r="623">
      <c r="A623" s="7" t="n">
        <v>616</v>
      </c>
      <c r="B623" s="26">
        <f>(A623-1)/2000*$C$2</f>
        <v/>
      </c>
      <c r="C623" s="7">
        <f>INDEX(Bits!$E$25:$E$124,INT(B623)+1)</f>
        <v/>
      </c>
      <c r="D623" s="7">
        <f>MAX(1,MIN(INT(B623/$C$4)+1,$C$5))</f>
        <v/>
      </c>
      <c r="E623" s="26">
        <f>IF($C$5=0,0,INDEX(Symboles!$G$6:$G$101,D623))</f>
        <v/>
      </c>
      <c r="F623" s="26">
        <f>IF($C$5=0,0,INDEX(Symboles!$H$6:$H$101,D623))</f>
        <v/>
      </c>
      <c r="G623" s="26">
        <f>COS(2*PI()*$C$3*B623)</f>
        <v/>
      </c>
      <c r="H623" s="26">
        <f>SIN(2*PI()*$C$3*B623)</f>
        <v/>
      </c>
      <c r="I623" s="26">
        <f>E623*G623+F623*H623</f>
        <v/>
      </c>
    </row>
    <row r="624">
      <c r="A624" s="7" t="n">
        <v>617</v>
      </c>
      <c r="B624" s="26">
        <f>(A624-1)/2000*$C$2</f>
        <v/>
      </c>
      <c r="C624" s="7">
        <f>INDEX(Bits!$E$25:$E$124,INT(B624)+1)</f>
        <v/>
      </c>
      <c r="D624" s="7">
        <f>MAX(1,MIN(INT(B624/$C$4)+1,$C$5))</f>
        <v/>
      </c>
      <c r="E624" s="26">
        <f>IF($C$5=0,0,INDEX(Symboles!$G$6:$G$101,D624))</f>
        <v/>
      </c>
      <c r="F624" s="26">
        <f>IF($C$5=0,0,INDEX(Symboles!$H$6:$H$101,D624))</f>
        <v/>
      </c>
      <c r="G624" s="26">
        <f>COS(2*PI()*$C$3*B624)</f>
        <v/>
      </c>
      <c r="H624" s="26">
        <f>SIN(2*PI()*$C$3*B624)</f>
        <v/>
      </c>
      <c r="I624" s="26">
        <f>E624*G624+F624*H624</f>
        <v/>
      </c>
    </row>
    <row r="625">
      <c r="A625" s="7" t="n">
        <v>618</v>
      </c>
      <c r="B625" s="26">
        <f>(A625-1)/2000*$C$2</f>
        <v/>
      </c>
      <c r="C625" s="7">
        <f>INDEX(Bits!$E$25:$E$124,INT(B625)+1)</f>
        <v/>
      </c>
      <c r="D625" s="7">
        <f>MAX(1,MIN(INT(B625/$C$4)+1,$C$5))</f>
        <v/>
      </c>
      <c r="E625" s="26">
        <f>IF($C$5=0,0,INDEX(Symboles!$G$6:$G$101,D625))</f>
        <v/>
      </c>
      <c r="F625" s="26">
        <f>IF($C$5=0,0,INDEX(Symboles!$H$6:$H$101,D625))</f>
        <v/>
      </c>
      <c r="G625" s="26">
        <f>COS(2*PI()*$C$3*B625)</f>
        <v/>
      </c>
      <c r="H625" s="26">
        <f>SIN(2*PI()*$C$3*B625)</f>
        <v/>
      </c>
      <c r="I625" s="26">
        <f>E625*G625+F625*H625</f>
        <v/>
      </c>
    </row>
    <row r="626">
      <c r="A626" s="7" t="n">
        <v>619</v>
      </c>
      <c r="B626" s="26">
        <f>(A626-1)/2000*$C$2</f>
        <v/>
      </c>
      <c r="C626" s="7">
        <f>INDEX(Bits!$E$25:$E$124,INT(B626)+1)</f>
        <v/>
      </c>
      <c r="D626" s="7">
        <f>MAX(1,MIN(INT(B626/$C$4)+1,$C$5))</f>
        <v/>
      </c>
      <c r="E626" s="26">
        <f>IF($C$5=0,0,INDEX(Symboles!$G$6:$G$101,D626))</f>
        <v/>
      </c>
      <c r="F626" s="26">
        <f>IF($C$5=0,0,INDEX(Symboles!$H$6:$H$101,D626))</f>
        <v/>
      </c>
      <c r="G626" s="26">
        <f>COS(2*PI()*$C$3*B626)</f>
        <v/>
      </c>
      <c r="H626" s="26">
        <f>SIN(2*PI()*$C$3*B626)</f>
        <v/>
      </c>
      <c r="I626" s="26">
        <f>E626*G626+F626*H626</f>
        <v/>
      </c>
    </row>
    <row r="627">
      <c r="A627" s="7" t="n">
        <v>620</v>
      </c>
      <c r="B627" s="26">
        <f>(A627-1)/2000*$C$2</f>
        <v/>
      </c>
      <c r="C627" s="7">
        <f>INDEX(Bits!$E$25:$E$124,INT(B627)+1)</f>
        <v/>
      </c>
      <c r="D627" s="7">
        <f>MAX(1,MIN(INT(B627/$C$4)+1,$C$5))</f>
        <v/>
      </c>
      <c r="E627" s="26">
        <f>IF($C$5=0,0,INDEX(Symboles!$G$6:$G$101,D627))</f>
        <v/>
      </c>
      <c r="F627" s="26">
        <f>IF($C$5=0,0,INDEX(Symboles!$H$6:$H$101,D627))</f>
        <v/>
      </c>
      <c r="G627" s="26">
        <f>COS(2*PI()*$C$3*B627)</f>
        <v/>
      </c>
      <c r="H627" s="26">
        <f>SIN(2*PI()*$C$3*B627)</f>
        <v/>
      </c>
      <c r="I627" s="26">
        <f>E627*G627+F627*H627</f>
        <v/>
      </c>
    </row>
    <row r="628">
      <c r="A628" s="7" t="n">
        <v>621</v>
      </c>
      <c r="B628" s="26">
        <f>(A628-1)/2000*$C$2</f>
        <v/>
      </c>
      <c r="C628" s="7">
        <f>INDEX(Bits!$E$25:$E$124,INT(B628)+1)</f>
        <v/>
      </c>
      <c r="D628" s="7">
        <f>MAX(1,MIN(INT(B628/$C$4)+1,$C$5))</f>
        <v/>
      </c>
      <c r="E628" s="26">
        <f>IF($C$5=0,0,INDEX(Symboles!$G$6:$G$101,D628))</f>
        <v/>
      </c>
      <c r="F628" s="26">
        <f>IF($C$5=0,0,INDEX(Symboles!$H$6:$H$101,D628))</f>
        <v/>
      </c>
      <c r="G628" s="26">
        <f>COS(2*PI()*$C$3*B628)</f>
        <v/>
      </c>
      <c r="H628" s="26">
        <f>SIN(2*PI()*$C$3*B628)</f>
        <v/>
      </c>
      <c r="I628" s="26">
        <f>E628*G628+F628*H628</f>
        <v/>
      </c>
    </row>
    <row r="629">
      <c r="A629" s="7" t="n">
        <v>622</v>
      </c>
      <c r="B629" s="26">
        <f>(A629-1)/2000*$C$2</f>
        <v/>
      </c>
      <c r="C629" s="7">
        <f>INDEX(Bits!$E$25:$E$124,INT(B629)+1)</f>
        <v/>
      </c>
      <c r="D629" s="7">
        <f>MAX(1,MIN(INT(B629/$C$4)+1,$C$5))</f>
        <v/>
      </c>
      <c r="E629" s="26">
        <f>IF($C$5=0,0,INDEX(Symboles!$G$6:$G$101,D629))</f>
        <v/>
      </c>
      <c r="F629" s="26">
        <f>IF($C$5=0,0,INDEX(Symboles!$H$6:$H$101,D629))</f>
        <v/>
      </c>
      <c r="G629" s="26">
        <f>COS(2*PI()*$C$3*B629)</f>
        <v/>
      </c>
      <c r="H629" s="26">
        <f>SIN(2*PI()*$C$3*B629)</f>
        <v/>
      </c>
      <c r="I629" s="26">
        <f>E629*G629+F629*H629</f>
        <v/>
      </c>
    </row>
    <row r="630">
      <c r="A630" s="7" t="n">
        <v>623</v>
      </c>
      <c r="B630" s="26">
        <f>(A630-1)/2000*$C$2</f>
        <v/>
      </c>
      <c r="C630" s="7">
        <f>INDEX(Bits!$E$25:$E$124,INT(B630)+1)</f>
        <v/>
      </c>
      <c r="D630" s="7">
        <f>MAX(1,MIN(INT(B630/$C$4)+1,$C$5))</f>
        <v/>
      </c>
      <c r="E630" s="26">
        <f>IF($C$5=0,0,INDEX(Symboles!$G$6:$G$101,D630))</f>
        <v/>
      </c>
      <c r="F630" s="26">
        <f>IF($C$5=0,0,INDEX(Symboles!$H$6:$H$101,D630))</f>
        <v/>
      </c>
      <c r="G630" s="26">
        <f>COS(2*PI()*$C$3*B630)</f>
        <v/>
      </c>
      <c r="H630" s="26">
        <f>SIN(2*PI()*$C$3*B630)</f>
        <v/>
      </c>
      <c r="I630" s="26">
        <f>E630*G630+F630*H630</f>
        <v/>
      </c>
    </row>
    <row r="631">
      <c r="A631" s="7" t="n">
        <v>624</v>
      </c>
      <c r="B631" s="26">
        <f>(A631-1)/2000*$C$2</f>
        <v/>
      </c>
      <c r="C631" s="7">
        <f>INDEX(Bits!$E$25:$E$124,INT(B631)+1)</f>
        <v/>
      </c>
      <c r="D631" s="7">
        <f>MAX(1,MIN(INT(B631/$C$4)+1,$C$5))</f>
        <v/>
      </c>
      <c r="E631" s="26">
        <f>IF($C$5=0,0,INDEX(Symboles!$G$6:$G$101,D631))</f>
        <v/>
      </c>
      <c r="F631" s="26">
        <f>IF($C$5=0,0,INDEX(Symboles!$H$6:$H$101,D631))</f>
        <v/>
      </c>
      <c r="G631" s="26">
        <f>COS(2*PI()*$C$3*B631)</f>
        <v/>
      </c>
      <c r="H631" s="26">
        <f>SIN(2*PI()*$C$3*B631)</f>
        <v/>
      </c>
      <c r="I631" s="26">
        <f>E631*G631+F631*H631</f>
        <v/>
      </c>
    </row>
    <row r="632">
      <c r="A632" s="7" t="n">
        <v>625</v>
      </c>
      <c r="B632" s="26">
        <f>(A632-1)/2000*$C$2</f>
        <v/>
      </c>
      <c r="C632" s="7">
        <f>INDEX(Bits!$E$25:$E$124,INT(B632)+1)</f>
        <v/>
      </c>
      <c r="D632" s="7">
        <f>MAX(1,MIN(INT(B632/$C$4)+1,$C$5))</f>
        <v/>
      </c>
      <c r="E632" s="26">
        <f>IF($C$5=0,0,INDEX(Symboles!$G$6:$G$101,D632))</f>
        <v/>
      </c>
      <c r="F632" s="26">
        <f>IF($C$5=0,0,INDEX(Symboles!$H$6:$H$101,D632))</f>
        <v/>
      </c>
      <c r="G632" s="26">
        <f>COS(2*PI()*$C$3*B632)</f>
        <v/>
      </c>
      <c r="H632" s="26">
        <f>SIN(2*PI()*$C$3*B632)</f>
        <v/>
      </c>
      <c r="I632" s="26">
        <f>E632*G632+F632*H632</f>
        <v/>
      </c>
    </row>
    <row r="633">
      <c r="A633" s="7" t="n">
        <v>626</v>
      </c>
      <c r="B633" s="26">
        <f>(A633-1)/2000*$C$2</f>
        <v/>
      </c>
      <c r="C633" s="7">
        <f>INDEX(Bits!$E$25:$E$124,INT(B633)+1)</f>
        <v/>
      </c>
      <c r="D633" s="7">
        <f>MAX(1,MIN(INT(B633/$C$4)+1,$C$5))</f>
        <v/>
      </c>
      <c r="E633" s="26">
        <f>IF($C$5=0,0,INDEX(Symboles!$G$6:$G$101,D633))</f>
        <v/>
      </c>
      <c r="F633" s="26">
        <f>IF($C$5=0,0,INDEX(Symboles!$H$6:$H$101,D633))</f>
        <v/>
      </c>
      <c r="G633" s="26">
        <f>COS(2*PI()*$C$3*B633)</f>
        <v/>
      </c>
      <c r="H633" s="26">
        <f>SIN(2*PI()*$C$3*B633)</f>
        <v/>
      </c>
      <c r="I633" s="26">
        <f>E633*G633+F633*H633</f>
        <v/>
      </c>
    </row>
    <row r="634">
      <c r="A634" s="7" t="n">
        <v>627</v>
      </c>
      <c r="B634" s="26">
        <f>(A634-1)/2000*$C$2</f>
        <v/>
      </c>
      <c r="C634" s="7">
        <f>INDEX(Bits!$E$25:$E$124,INT(B634)+1)</f>
        <v/>
      </c>
      <c r="D634" s="7">
        <f>MAX(1,MIN(INT(B634/$C$4)+1,$C$5))</f>
        <v/>
      </c>
      <c r="E634" s="26">
        <f>IF($C$5=0,0,INDEX(Symboles!$G$6:$G$101,D634))</f>
        <v/>
      </c>
      <c r="F634" s="26">
        <f>IF($C$5=0,0,INDEX(Symboles!$H$6:$H$101,D634))</f>
        <v/>
      </c>
      <c r="G634" s="26">
        <f>COS(2*PI()*$C$3*B634)</f>
        <v/>
      </c>
      <c r="H634" s="26">
        <f>SIN(2*PI()*$C$3*B634)</f>
        <v/>
      </c>
      <c r="I634" s="26">
        <f>E634*G634+F634*H634</f>
        <v/>
      </c>
    </row>
    <row r="635">
      <c r="A635" s="7" t="n">
        <v>628</v>
      </c>
      <c r="B635" s="26">
        <f>(A635-1)/2000*$C$2</f>
        <v/>
      </c>
      <c r="C635" s="7">
        <f>INDEX(Bits!$E$25:$E$124,INT(B635)+1)</f>
        <v/>
      </c>
      <c r="D635" s="7">
        <f>MAX(1,MIN(INT(B635/$C$4)+1,$C$5))</f>
        <v/>
      </c>
      <c r="E635" s="26">
        <f>IF($C$5=0,0,INDEX(Symboles!$G$6:$G$101,D635))</f>
        <v/>
      </c>
      <c r="F635" s="26">
        <f>IF($C$5=0,0,INDEX(Symboles!$H$6:$H$101,D635))</f>
        <v/>
      </c>
      <c r="G635" s="26">
        <f>COS(2*PI()*$C$3*B635)</f>
        <v/>
      </c>
      <c r="H635" s="26">
        <f>SIN(2*PI()*$C$3*B635)</f>
        <v/>
      </c>
      <c r="I635" s="26">
        <f>E635*G635+F635*H635</f>
        <v/>
      </c>
    </row>
    <row r="636">
      <c r="A636" s="7" t="n">
        <v>629</v>
      </c>
      <c r="B636" s="26">
        <f>(A636-1)/2000*$C$2</f>
        <v/>
      </c>
      <c r="C636" s="7">
        <f>INDEX(Bits!$E$25:$E$124,INT(B636)+1)</f>
        <v/>
      </c>
      <c r="D636" s="7">
        <f>MAX(1,MIN(INT(B636/$C$4)+1,$C$5))</f>
        <v/>
      </c>
      <c r="E636" s="26">
        <f>IF($C$5=0,0,INDEX(Symboles!$G$6:$G$101,D636))</f>
        <v/>
      </c>
      <c r="F636" s="26">
        <f>IF($C$5=0,0,INDEX(Symboles!$H$6:$H$101,D636))</f>
        <v/>
      </c>
      <c r="G636" s="26">
        <f>COS(2*PI()*$C$3*B636)</f>
        <v/>
      </c>
      <c r="H636" s="26">
        <f>SIN(2*PI()*$C$3*B636)</f>
        <v/>
      </c>
      <c r="I636" s="26">
        <f>E636*G636+F636*H636</f>
        <v/>
      </c>
    </row>
    <row r="637">
      <c r="A637" s="7" t="n">
        <v>630</v>
      </c>
      <c r="B637" s="26">
        <f>(A637-1)/2000*$C$2</f>
        <v/>
      </c>
      <c r="C637" s="7">
        <f>INDEX(Bits!$E$25:$E$124,INT(B637)+1)</f>
        <v/>
      </c>
      <c r="D637" s="7">
        <f>MAX(1,MIN(INT(B637/$C$4)+1,$C$5))</f>
        <v/>
      </c>
      <c r="E637" s="26">
        <f>IF($C$5=0,0,INDEX(Symboles!$G$6:$G$101,D637))</f>
        <v/>
      </c>
      <c r="F637" s="26">
        <f>IF($C$5=0,0,INDEX(Symboles!$H$6:$H$101,D637))</f>
        <v/>
      </c>
      <c r="G637" s="26">
        <f>COS(2*PI()*$C$3*B637)</f>
        <v/>
      </c>
      <c r="H637" s="26">
        <f>SIN(2*PI()*$C$3*B637)</f>
        <v/>
      </c>
      <c r="I637" s="26">
        <f>E637*G637+F637*H637</f>
        <v/>
      </c>
    </row>
    <row r="638">
      <c r="A638" s="7" t="n">
        <v>631</v>
      </c>
      <c r="B638" s="26">
        <f>(A638-1)/2000*$C$2</f>
        <v/>
      </c>
      <c r="C638" s="7">
        <f>INDEX(Bits!$E$25:$E$124,INT(B638)+1)</f>
        <v/>
      </c>
      <c r="D638" s="7">
        <f>MAX(1,MIN(INT(B638/$C$4)+1,$C$5))</f>
        <v/>
      </c>
      <c r="E638" s="26">
        <f>IF($C$5=0,0,INDEX(Symboles!$G$6:$G$101,D638))</f>
        <v/>
      </c>
      <c r="F638" s="26">
        <f>IF($C$5=0,0,INDEX(Symboles!$H$6:$H$101,D638))</f>
        <v/>
      </c>
      <c r="G638" s="26">
        <f>COS(2*PI()*$C$3*B638)</f>
        <v/>
      </c>
      <c r="H638" s="26">
        <f>SIN(2*PI()*$C$3*B638)</f>
        <v/>
      </c>
      <c r="I638" s="26">
        <f>E638*G638+F638*H638</f>
        <v/>
      </c>
    </row>
    <row r="639">
      <c r="A639" s="7" t="n">
        <v>632</v>
      </c>
      <c r="B639" s="26">
        <f>(A639-1)/2000*$C$2</f>
        <v/>
      </c>
      <c r="C639" s="7">
        <f>INDEX(Bits!$E$25:$E$124,INT(B639)+1)</f>
        <v/>
      </c>
      <c r="D639" s="7">
        <f>MAX(1,MIN(INT(B639/$C$4)+1,$C$5))</f>
        <v/>
      </c>
      <c r="E639" s="26">
        <f>IF($C$5=0,0,INDEX(Symboles!$G$6:$G$101,D639))</f>
        <v/>
      </c>
      <c r="F639" s="26">
        <f>IF($C$5=0,0,INDEX(Symboles!$H$6:$H$101,D639))</f>
        <v/>
      </c>
      <c r="G639" s="26">
        <f>COS(2*PI()*$C$3*B639)</f>
        <v/>
      </c>
      <c r="H639" s="26">
        <f>SIN(2*PI()*$C$3*B639)</f>
        <v/>
      </c>
      <c r="I639" s="26">
        <f>E639*G639+F639*H639</f>
        <v/>
      </c>
    </row>
    <row r="640">
      <c r="A640" s="7" t="n">
        <v>633</v>
      </c>
      <c r="B640" s="26">
        <f>(A640-1)/2000*$C$2</f>
        <v/>
      </c>
      <c r="C640" s="7">
        <f>INDEX(Bits!$E$25:$E$124,INT(B640)+1)</f>
        <v/>
      </c>
      <c r="D640" s="7">
        <f>MAX(1,MIN(INT(B640/$C$4)+1,$C$5))</f>
        <v/>
      </c>
      <c r="E640" s="26">
        <f>IF($C$5=0,0,INDEX(Symboles!$G$6:$G$101,D640))</f>
        <v/>
      </c>
      <c r="F640" s="26">
        <f>IF($C$5=0,0,INDEX(Symboles!$H$6:$H$101,D640))</f>
        <v/>
      </c>
      <c r="G640" s="26">
        <f>COS(2*PI()*$C$3*B640)</f>
        <v/>
      </c>
      <c r="H640" s="26">
        <f>SIN(2*PI()*$C$3*B640)</f>
        <v/>
      </c>
      <c r="I640" s="26">
        <f>E640*G640+F640*H640</f>
        <v/>
      </c>
    </row>
    <row r="641">
      <c r="A641" s="7" t="n">
        <v>634</v>
      </c>
      <c r="B641" s="26">
        <f>(A641-1)/2000*$C$2</f>
        <v/>
      </c>
      <c r="C641" s="7">
        <f>INDEX(Bits!$E$25:$E$124,INT(B641)+1)</f>
        <v/>
      </c>
      <c r="D641" s="7">
        <f>MAX(1,MIN(INT(B641/$C$4)+1,$C$5))</f>
        <v/>
      </c>
      <c r="E641" s="26">
        <f>IF($C$5=0,0,INDEX(Symboles!$G$6:$G$101,D641))</f>
        <v/>
      </c>
      <c r="F641" s="26">
        <f>IF($C$5=0,0,INDEX(Symboles!$H$6:$H$101,D641))</f>
        <v/>
      </c>
      <c r="G641" s="26">
        <f>COS(2*PI()*$C$3*B641)</f>
        <v/>
      </c>
      <c r="H641" s="26">
        <f>SIN(2*PI()*$C$3*B641)</f>
        <v/>
      </c>
      <c r="I641" s="26">
        <f>E641*G641+F641*H641</f>
        <v/>
      </c>
    </row>
    <row r="642">
      <c r="A642" s="7" t="n">
        <v>635</v>
      </c>
      <c r="B642" s="26">
        <f>(A642-1)/2000*$C$2</f>
        <v/>
      </c>
      <c r="C642" s="7">
        <f>INDEX(Bits!$E$25:$E$124,INT(B642)+1)</f>
        <v/>
      </c>
      <c r="D642" s="7">
        <f>MAX(1,MIN(INT(B642/$C$4)+1,$C$5))</f>
        <v/>
      </c>
      <c r="E642" s="26">
        <f>IF($C$5=0,0,INDEX(Symboles!$G$6:$G$101,D642))</f>
        <v/>
      </c>
      <c r="F642" s="26">
        <f>IF($C$5=0,0,INDEX(Symboles!$H$6:$H$101,D642))</f>
        <v/>
      </c>
      <c r="G642" s="26">
        <f>COS(2*PI()*$C$3*B642)</f>
        <v/>
      </c>
      <c r="H642" s="26">
        <f>SIN(2*PI()*$C$3*B642)</f>
        <v/>
      </c>
      <c r="I642" s="26">
        <f>E642*G642+F642*H642</f>
        <v/>
      </c>
    </row>
    <row r="643">
      <c r="A643" s="7" t="n">
        <v>636</v>
      </c>
      <c r="B643" s="26">
        <f>(A643-1)/2000*$C$2</f>
        <v/>
      </c>
      <c r="C643" s="7">
        <f>INDEX(Bits!$E$25:$E$124,INT(B643)+1)</f>
        <v/>
      </c>
      <c r="D643" s="7">
        <f>MAX(1,MIN(INT(B643/$C$4)+1,$C$5))</f>
        <v/>
      </c>
      <c r="E643" s="26">
        <f>IF($C$5=0,0,INDEX(Symboles!$G$6:$G$101,D643))</f>
        <v/>
      </c>
      <c r="F643" s="26">
        <f>IF($C$5=0,0,INDEX(Symboles!$H$6:$H$101,D643))</f>
        <v/>
      </c>
      <c r="G643" s="26">
        <f>COS(2*PI()*$C$3*B643)</f>
        <v/>
      </c>
      <c r="H643" s="26">
        <f>SIN(2*PI()*$C$3*B643)</f>
        <v/>
      </c>
      <c r="I643" s="26">
        <f>E643*G643+F643*H643</f>
        <v/>
      </c>
    </row>
    <row r="644">
      <c r="A644" s="7" t="n">
        <v>637</v>
      </c>
      <c r="B644" s="26">
        <f>(A644-1)/2000*$C$2</f>
        <v/>
      </c>
      <c r="C644" s="7">
        <f>INDEX(Bits!$E$25:$E$124,INT(B644)+1)</f>
        <v/>
      </c>
      <c r="D644" s="7">
        <f>MAX(1,MIN(INT(B644/$C$4)+1,$C$5))</f>
        <v/>
      </c>
      <c r="E644" s="26">
        <f>IF($C$5=0,0,INDEX(Symboles!$G$6:$G$101,D644))</f>
        <v/>
      </c>
      <c r="F644" s="26">
        <f>IF($C$5=0,0,INDEX(Symboles!$H$6:$H$101,D644))</f>
        <v/>
      </c>
      <c r="G644" s="26">
        <f>COS(2*PI()*$C$3*B644)</f>
        <v/>
      </c>
      <c r="H644" s="26">
        <f>SIN(2*PI()*$C$3*B644)</f>
        <v/>
      </c>
      <c r="I644" s="26">
        <f>E644*G644+F644*H644</f>
        <v/>
      </c>
    </row>
    <row r="645">
      <c r="A645" s="7" t="n">
        <v>638</v>
      </c>
      <c r="B645" s="26">
        <f>(A645-1)/2000*$C$2</f>
        <v/>
      </c>
      <c r="C645" s="7">
        <f>INDEX(Bits!$E$25:$E$124,INT(B645)+1)</f>
        <v/>
      </c>
      <c r="D645" s="7">
        <f>MAX(1,MIN(INT(B645/$C$4)+1,$C$5))</f>
        <v/>
      </c>
      <c r="E645" s="26">
        <f>IF($C$5=0,0,INDEX(Symboles!$G$6:$G$101,D645))</f>
        <v/>
      </c>
      <c r="F645" s="26">
        <f>IF($C$5=0,0,INDEX(Symboles!$H$6:$H$101,D645))</f>
        <v/>
      </c>
      <c r="G645" s="26">
        <f>COS(2*PI()*$C$3*B645)</f>
        <v/>
      </c>
      <c r="H645" s="26">
        <f>SIN(2*PI()*$C$3*B645)</f>
        <v/>
      </c>
      <c r="I645" s="26">
        <f>E645*G645+F645*H645</f>
        <v/>
      </c>
    </row>
    <row r="646">
      <c r="A646" s="7" t="n">
        <v>639</v>
      </c>
      <c r="B646" s="26">
        <f>(A646-1)/2000*$C$2</f>
        <v/>
      </c>
      <c r="C646" s="7">
        <f>INDEX(Bits!$E$25:$E$124,INT(B646)+1)</f>
        <v/>
      </c>
      <c r="D646" s="7">
        <f>MAX(1,MIN(INT(B646/$C$4)+1,$C$5))</f>
        <v/>
      </c>
      <c r="E646" s="26">
        <f>IF($C$5=0,0,INDEX(Symboles!$G$6:$G$101,D646))</f>
        <v/>
      </c>
      <c r="F646" s="26">
        <f>IF($C$5=0,0,INDEX(Symboles!$H$6:$H$101,D646))</f>
        <v/>
      </c>
      <c r="G646" s="26">
        <f>COS(2*PI()*$C$3*B646)</f>
        <v/>
      </c>
      <c r="H646" s="26">
        <f>SIN(2*PI()*$C$3*B646)</f>
        <v/>
      </c>
      <c r="I646" s="26">
        <f>E646*G646+F646*H646</f>
        <v/>
      </c>
    </row>
    <row r="647">
      <c r="A647" s="7" t="n">
        <v>640</v>
      </c>
      <c r="B647" s="26">
        <f>(A647-1)/2000*$C$2</f>
        <v/>
      </c>
      <c r="C647" s="7">
        <f>INDEX(Bits!$E$25:$E$124,INT(B647)+1)</f>
        <v/>
      </c>
      <c r="D647" s="7">
        <f>MAX(1,MIN(INT(B647/$C$4)+1,$C$5))</f>
        <v/>
      </c>
      <c r="E647" s="26">
        <f>IF($C$5=0,0,INDEX(Symboles!$G$6:$G$101,D647))</f>
        <v/>
      </c>
      <c r="F647" s="26">
        <f>IF($C$5=0,0,INDEX(Symboles!$H$6:$H$101,D647))</f>
        <v/>
      </c>
      <c r="G647" s="26">
        <f>COS(2*PI()*$C$3*B647)</f>
        <v/>
      </c>
      <c r="H647" s="26">
        <f>SIN(2*PI()*$C$3*B647)</f>
        <v/>
      </c>
      <c r="I647" s="26">
        <f>E647*G647+F647*H647</f>
        <v/>
      </c>
    </row>
    <row r="648">
      <c r="A648" s="7" t="n">
        <v>641</v>
      </c>
      <c r="B648" s="26">
        <f>(A648-1)/2000*$C$2</f>
        <v/>
      </c>
      <c r="C648" s="7">
        <f>INDEX(Bits!$E$25:$E$124,INT(B648)+1)</f>
        <v/>
      </c>
      <c r="D648" s="7">
        <f>MAX(1,MIN(INT(B648/$C$4)+1,$C$5))</f>
        <v/>
      </c>
      <c r="E648" s="26">
        <f>IF($C$5=0,0,INDEX(Symboles!$G$6:$G$101,D648))</f>
        <v/>
      </c>
      <c r="F648" s="26">
        <f>IF($C$5=0,0,INDEX(Symboles!$H$6:$H$101,D648))</f>
        <v/>
      </c>
      <c r="G648" s="26">
        <f>COS(2*PI()*$C$3*B648)</f>
        <v/>
      </c>
      <c r="H648" s="26">
        <f>SIN(2*PI()*$C$3*B648)</f>
        <v/>
      </c>
      <c r="I648" s="26">
        <f>E648*G648+F648*H648</f>
        <v/>
      </c>
    </row>
    <row r="649">
      <c r="A649" s="7" t="n">
        <v>642</v>
      </c>
      <c r="B649" s="26">
        <f>(A649-1)/2000*$C$2</f>
        <v/>
      </c>
      <c r="C649" s="7">
        <f>INDEX(Bits!$E$25:$E$124,INT(B649)+1)</f>
        <v/>
      </c>
      <c r="D649" s="7">
        <f>MAX(1,MIN(INT(B649/$C$4)+1,$C$5))</f>
        <v/>
      </c>
      <c r="E649" s="26">
        <f>IF($C$5=0,0,INDEX(Symboles!$G$6:$G$101,D649))</f>
        <v/>
      </c>
      <c r="F649" s="26">
        <f>IF($C$5=0,0,INDEX(Symboles!$H$6:$H$101,D649))</f>
        <v/>
      </c>
      <c r="G649" s="26">
        <f>COS(2*PI()*$C$3*B649)</f>
        <v/>
      </c>
      <c r="H649" s="26">
        <f>SIN(2*PI()*$C$3*B649)</f>
        <v/>
      </c>
      <c r="I649" s="26">
        <f>E649*G649+F649*H649</f>
        <v/>
      </c>
    </row>
    <row r="650">
      <c r="A650" s="7" t="n">
        <v>643</v>
      </c>
      <c r="B650" s="26">
        <f>(A650-1)/2000*$C$2</f>
        <v/>
      </c>
      <c r="C650" s="7">
        <f>INDEX(Bits!$E$25:$E$124,INT(B650)+1)</f>
        <v/>
      </c>
      <c r="D650" s="7">
        <f>MAX(1,MIN(INT(B650/$C$4)+1,$C$5))</f>
        <v/>
      </c>
      <c r="E650" s="26">
        <f>IF($C$5=0,0,INDEX(Symboles!$G$6:$G$101,D650))</f>
        <v/>
      </c>
      <c r="F650" s="26">
        <f>IF($C$5=0,0,INDEX(Symboles!$H$6:$H$101,D650))</f>
        <v/>
      </c>
      <c r="G650" s="26">
        <f>COS(2*PI()*$C$3*B650)</f>
        <v/>
      </c>
      <c r="H650" s="26">
        <f>SIN(2*PI()*$C$3*B650)</f>
        <v/>
      </c>
      <c r="I650" s="26">
        <f>E650*G650+F650*H650</f>
        <v/>
      </c>
    </row>
    <row r="651">
      <c r="A651" s="7" t="n">
        <v>644</v>
      </c>
      <c r="B651" s="26">
        <f>(A651-1)/2000*$C$2</f>
        <v/>
      </c>
      <c r="C651" s="7">
        <f>INDEX(Bits!$E$25:$E$124,INT(B651)+1)</f>
        <v/>
      </c>
      <c r="D651" s="7">
        <f>MAX(1,MIN(INT(B651/$C$4)+1,$C$5))</f>
        <v/>
      </c>
      <c r="E651" s="26">
        <f>IF($C$5=0,0,INDEX(Symboles!$G$6:$G$101,D651))</f>
        <v/>
      </c>
      <c r="F651" s="26">
        <f>IF($C$5=0,0,INDEX(Symboles!$H$6:$H$101,D651))</f>
        <v/>
      </c>
      <c r="G651" s="26">
        <f>COS(2*PI()*$C$3*B651)</f>
        <v/>
      </c>
      <c r="H651" s="26">
        <f>SIN(2*PI()*$C$3*B651)</f>
        <v/>
      </c>
      <c r="I651" s="26">
        <f>E651*G651+F651*H651</f>
        <v/>
      </c>
    </row>
    <row r="652">
      <c r="A652" s="7" t="n">
        <v>645</v>
      </c>
      <c r="B652" s="26">
        <f>(A652-1)/2000*$C$2</f>
        <v/>
      </c>
      <c r="C652" s="7">
        <f>INDEX(Bits!$E$25:$E$124,INT(B652)+1)</f>
        <v/>
      </c>
      <c r="D652" s="7">
        <f>MAX(1,MIN(INT(B652/$C$4)+1,$C$5))</f>
        <v/>
      </c>
      <c r="E652" s="26">
        <f>IF($C$5=0,0,INDEX(Symboles!$G$6:$G$101,D652))</f>
        <v/>
      </c>
      <c r="F652" s="26">
        <f>IF($C$5=0,0,INDEX(Symboles!$H$6:$H$101,D652))</f>
        <v/>
      </c>
      <c r="G652" s="26">
        <f>COS(2*PI()*$C$3*B652)</f>
        <v/>
      </c>
      <c r="H652" s="26">
        <f>SIN(2*PI()*$C$3*B652)</f>
        <v/>
      </c>
      <c r="I652" s="26">
        <f>E652*G652+F652*H652</f>
        <v/>
      </c>
    </row>
    <row r="653">
      <c r="A653" s="7" t="n">
        <v>646</v>
      </c>
      <c r="B653" s="26">
        <f>(A653-1)/2000*$C$2</f>
        <v/>
      </c>
      <c r="C653" s="7">
        <f>INDEX(Bits!$E$25:$E$124,INT(B653)+1)</f>
        <v/>
      </c>
      <c r="D653" s="7">
        <f>MAX(1,MIN(INT(B653/$C$4)+1,$C$5))</f>
        <v/>
      </c>
      <c r="E653" s="26">
        <f>IF($C$5=0,0,INDEX(Symboles!$G$6:$G$101,D653))</f>
        <v/>
      </c>
      <c r="F653" s="26">
        <f>IF($C$5=0,0,INDEX(Symboles!$H$6:$H$101,D653))</f>
        <v/>
      </c>
      <c r="G653" s="26">
        <f>COS(2*PI()*$C$3*B653)</f>
        <v/>
      </c>
      <c r="H653" s="26">
        <f>SIN(2*PI()*$C$3*B653)</f>
        <v/>
      </c>
      <c r="I653" s="26">
        <f>E653*G653+F653*H653</f>
        <v/>
      </c>
    </row>
    <row r="654">
      <c r="A654" s="7" t="n">
        <v>647</v>
      </c>
      <c r="B654" s="26">
        <f>(A654-1)/2000*$C$2</f>
        <v/>
      </c>
      <c r="C654" s="7">
        <f>INDEX(Bits!$E$25:$E$124,INT(B654)+1)</f>
        <v/>
      </c>
      <c r="D654" s="7">
        <f>MAX(1,MIN(INT(B654/$C$4)+1,$C$5))</f>
        <v/>
      </c>
      <c r="E654" s="26">
        <f>IF($C$5=0,0,INDEX(Symboles!$G$6:$G$101,D654))</f>
        <v/>
      </c>
      <c r="F654" s="26">
        <f>IF($C$5=0,0,INDEX(Symboles!$H$6:$H$101,D654))</f>
        <v/>
      </c>
      <c r="G654" s="26">
        <f>COS(2*PI()*$C$3*B654)</f>
        <v/>
      </c>
      <c r="H654" s="26">
        <f>SIN(2*PI()*$C$3*B654)</f>
        <v/>
      </c>
      <c r="I654" s="26">
        <f>E654*G654+F654*H654</f>
        <v/>
      </c>
    </row>
    <row r="655">
      <c r="A655" s="7" t="n">
        <v>648</v>
      </c>
      <c r="B655" s="26">
        <f>(A655-1)/2000*$C$2</f>
        <v/>
      </c>
      <c r="C655" s="7">
        <f>INDEX(Bits!$E$25:$E$124,INT(B655)+1)</f>
        <v/>
      </c>
      <c r="D655" s="7">
        <f>MAX(1,MIN(INT(B655/$C$4)+1,$C$5))</f>
        <v/>
      </c>
      <c r="E655" s="26">
        <f>IF($C$5=0,0,INDEX(Symboles!$G$6:$G$101,D655))</f>
        <v/>
      </c>
      <c r="F655" s="26">
        <f>IF($C$5=0,0,INDEX(Symboles!$H$6:$H$101,D655))</f>
        <v/>
      </c>
      <c r="G655" s="26">
        <f>COS(2*PI()*$C$3*B655)</f>
        <v/>
      </c>
      <c r="H655" s="26">
        <f>SIN(2*PI()*$C$3*B655)</f>
        <v/>
      </c>
      <c r="I655" s="26">
        <f>E655*G655+F655*H655</f>
        <v/>
      </c>
    </row>
    <row r="656">
      <c r="A656" s="7" t="n">
        <v>649</v>
      </c>
      <c r="B656" s="26">
        <f>(A656-1)/2000*$C$2</f>
        <v/>
      </c>
      <c r="C656" s="7">
        <f>INDEX(Bits!$E$25:$E$124,INT(B656)+1)</f>
        <v/>
      </c>
      <c r="D656" s="7">
        <f>MAX(1,MIN(INT(B656/$C$4)+1,$C$5))</f>
        <v/>
      </c>
      <c r="E656" s="26">
        <f>IF($C$5=0,0,INDEX(Symboles!$G$6:$G$101,D656))</f>
        <v/>
      </c>
      <c r="F656" s="26">
        <f>IF($C$5=0,0,INDEX(Symboles!$H$6:$H$101,D656))</f>
        <v/>
      </c>
      <c r="G656" s="26">
        <f>COS(2*PI()*$C$3*B656)</f>
        <v/>
      </c>
      <c r="H656" s="26">
        <f>SIN(2*PI()*$C$3*B656)</f>
        <v/>
      </c>
      <c r="I656" s="26">
        <f>E656*G656+F656*H656</f>
        <v/>
      </c>
    </row>
    <row r="657">
      <c r="A657" s="7" t="n">
        <v>650</v>
      </c>
      <c r="B657" s="26">
        <f>(A657-1)/2000*$C$2</f>
        <v/>
      </c>
      <c r="C657" s="7">
        <f>INDEX(Bits!$E$25:$E$124,INT(B657)+1)</f>
        <v/>
      </c>
      <c r="D657" s="7">
        <f>MAX(1,MIN(INT(B657/$C$4)+1,$C$5))</f>
        <v/>
      </c>
      <c r="E657" s="26">
        <f>IF($C$5=0,0,INDEX(Symboles!$G$6:$G$101,D657))</f>
        <v/>
      </c>
      <c r="F657" s="26">
        <f>IF($C$5=0,0,INDEX(Symboles!$H$6:$H$101,D657))</f>
        <v/>
      </c>
      <c r="G657" s="26">
        <f>COS(2*PI()*$C$3*B657)</f>
        <v/>
      </c>
      <c r="H657" s="26">
        <f>SIN(2*PI()*$C$3*B657)</f>
        <v/>
      </c>
      <c r="I657" s="26">
        <f>E657*G657+F657*H657</f>
        <v/>
      </c>
    </row>
    <row r="658">
      <c r="A658" s="7" t="n">
        <v>651</v>
      </c>
      <c r="B658" s="26">
        <f>(A658-1)/2000*$C$2</f>
        <v/>
      </c>
      <c r="C658" s="7">
        <f>INDEX(Bits!$E$25:$E$124,INT(B658)+1)</f>
        <v/>
      </c>
      <c r="D658" s="7">
        <f>MAX(1,MIN(INT(B658/$C$4)+1,$C$5))</f>
        <v/>
      </c>
      <c r="E658" s="26">
        <f>IF($C$5=0,0,INDEX(Symboles!$G$6:$G$101,D658))</f>
        <v/>
      </c>
      <c r="F658" s="26">
        <f>IF($C$5=0,0,INDEX(Symboles!$H$6:$H$101,D658))</f>
        <v/>
      </c>
      <c r="G658" s="26">
        <f>COS(2*PI()*$C$3*B658)</f>
        <v/>
      </c>
      <c r="H658" s="26">
        <f>SIN(2*PI()*$C$3*B658)</f>
        <v/>
      </c>
      <c r="I658" s="26">
        <f>E658*G658+F658*H658</f>
        <v/>
      </c>
    </row>
    <row r="659">
      <c r="A659" s="7" t="n">
        <v>652</v>
      </c>
      <c r="B659" s="26">
        <f>(A659-1)/2000*$C$2</f>
        <v/>
      </c>
      <c r="C659" s="7">
        <f>INDEX(Bits!$E$25:$E$124,INT(B659)+1)</f>
        <v/>
      </c>
      <c r="D659" s="7">
        <f>MAX(1,MIN(INT(B659/$C$4)+1,$C$5))</f>
        <v/>
      </c>
      <c r="E659" s="26">
        <f>IF($C$5=0,0,INDEX(Symboles!$G$6:$G$101,D659))</f>
        <v/>
      </c>
      <c r="F659" s="26">
        <f>IF($C$5=0,0,INDEX(Symboles!$H$6:$H$101,D659))</f>
        <v/>
      </c>
      <c r="G659" s="26">
        <f>COS(2*PI()*$C$3*B659)</f>
        <v/>
      </c>
      <c r="H659" s="26">
        <f>SIN(2*PI()*$C$3*B659)</f>
        <v/>
      </c>
      <c r="I659" s="26">
        <f>E659*G659+F659*H659</f>
        <v/>
      </c>
    </row>
    <row r="660">
      <c r="A660" s="7" t="n">
        <v>653</v>
      </c>
      <c r="B660" s="26">
        <f>(A660-1)/2000*$C$2</f>
        <v/>
      </c>
      <c r="C660" s="7">
        <f>INDEX(Bits!$E$25:$E$124,INT(B660)+1)</f>
        <v/>
      </c>
      <c r="D660" s="7">
        <f>MAX(1,MIN(INT(B660/$C$4)+1,$C$5))</f>
        <v/>
      </c>
      <c r="E660" s="26">
        <f>IF($C$5=0,0,INDEX(Symboles!$G$6:$G$101,D660))</f>
        <v/>
      </c>
      <c r="F660" s="26">
        <f>IF($C$5=0,0,INDEX(Symboles!$H$6:$H$101,D660))</f>
        <v/>
      </c>
      <c r="G660" s="26">
        <f>COS(2*PI()*$C$3*B660)</f>
        <v/>
      </c>
      <c r="H660" s="26">
        <f>SIN(2*PI()*$C$3*B660)</f>
        <v/>
      </c>
      <c r="I660" s="26">
        <f>E660*G660+F660*H660</f>
        <v/>
      </c>
    </row>
    <row r="661">
      <c r="A661" s="7" t="n">
        <v>654</v>
      </c>
      <c r="B661" s="26">
        <f>(A661-1)/2000*$C$2</f>
        <v/>
      </c>
      <c r="C661" s="7">
        <f>INDEX(Bits!$E$25:$E$124,INT(B661)+1)</f>
        <v/>
      </c>
      <c r="D661" s="7">
        <f>MAX(1,MIN(INT(B661/$C$4)+1,$C$5))</f>
        <v/>
      </c>
      <c r="E661" s="26">
        <f>IF($C$5=0,0,INDEX(Symboles!$G$6:$G$101,D661))</f>
        <v/>
      </c>
      <c r="F661" s="26">
        <f>IF($C$5=0,0,INDEX(Symboles!$H$6:$H$101,D661))</f>
        <v/>
      </c>
      <c r="G661" s="26">
        <f>COS(2*PI()*$C$3*B661)</f>
        <v/>
      </c>
      <c r="H661" s="26">
        <f>SIN(2*PI()*$C$3*B661)</f>
        <v/>
      </c>
      <c r="I661" s="26">
        <f>E661*G661+F661*H661</f>
        <v/>
      </c>
    </row>
    <row r="662">
      <c r="A662" s="7" t="n">
        <v>655</v>
      </c>
      <c r="B662" s="26">
        <f>(A662-1)/2000*$C$2</f>
        <v/>
      </c>
      <c r="C662" s="7">
        <f>INDEX(Bits!$E$25:$E$124,INT(B662)+1)</f>
        <v/>
      </c>
      <c r="D662" s="7">
        <f>MAX(1,MIN(INT(B662/$C$4)+1,$C$5))</f>
        <v/>
      </c>
      <c r="E662" s="26">
        <f>IF($C$5=0,0,INDEX(Symboles!$G$6:$G$101,D662))</f>
        <v/>
      </c>
      <c r="F662" s="26">
        <f>IF($C$5=0,0,INDEX(Symboles!$H$6:$H$101,D662))</f>
        <v/>
      </c>
      <c r="G662" s="26">
        <f>COS(2*PI()*$C$3*B662)</f>
        <v/>
      </c>
      <c r="H662" s="26">
        <f>SIN(2*PI()*$C$3*B662)</f>
        <v/>
      </c>
      <c r="I662" s="26">
        <f>E662*G662+F662*H662</f>
        <v/>
      </c>
    </row>
    <row r="663">
      <c r="A663" s="7" t="n">
        <v>656</v>
      </c>
      <c r="B663" s="26">
        <f>(A663-1)/2000*$C$2</f>
        <v/>
      </c>
      <c r="C663" s="7">
        <f>INDEX(Bits!$E$25:$E$124,INT(B663)+1)</f>
        <v/>
      </c>
      <c r="D663" s="7">
        <f>MAX(1,MIN(INT(B663/$C$4)+1,$C$5))</f>
        <v/>
      </c>
      <c r="E663" s="26">
        <f>IF($C$5=0,0,INDEX(Symboles!$G$6:$G$101,D663))</f>
        <v/>
      </c>
      <c r="F663" s="26">
        <f>IF($C$5=0,0,INDEX(Symboles!$H$6:$H$101,D663))</f>
        <v/>
      </c>
      <c r="G663" s="26">
        <f>COS(2*PI()*$C$3*B663)</f>
        <v/>
      </c>
      <c r="H663" s="26">
        <f>SIN(2*PI()*$C$3*B663)</f>
        <v/>
      </c>
      <c r="I663" s="26">
        <f>E663*G663+F663*H663</f>
        <v/>
      </c>
    </row>
    <row r="664">
      <c r="A664" s="7" t="n">
        <v>657</v>
      </c>
      <c r="B664" s="26">
        <f>(A664-1)/2000*$C$2</f>
        <v/>
      </c>
      <c r="C664" s="7">
        <f>INDEX(Bits!$E$25:$E$124,INT(B664)+1)</f>
        <v/>
      </c>
      <c r="D664" s="7">
        <f>MAX(1,MIN(INT(B664/$C$4)+1,$C$5))</f>
        <v/>
      </c>
      <c r="E664" s="26">
        <f>IF($C$5=0,0,INDEX(Symboles!$G$6:$G$101,D664))</f>
        <v/>
      </c>
      <c r="F664" s="26">
        <f>IF($C$5=0,0,INDEX(Symboles!$H$6:$H$101,D664))</f>
        <v/>
      </c>
      <c r="G664" s="26">
        <f>COS(2*PI()*$C$3*B664)</f>
        <v/>
      </c>
      <c r="H664" s="26">
        <f>SIN(2*PI()*$C$3*B664)</f>
        <v/>
      </c>
      <c r="I664" s="26">
        <f>E664*G664+F664*H664</f>
        <v/>
      </c>
    </row>
    <row r="665">
      <c r="A665" s="7" t="n">
        <v>658</v>
      </c>
      <c r="B665" s="26">
        <f>(A665-1)/2000*$C$2</f>
        <v/>
      </c>
      <c r="C665" s="7">
        <f>INDEX(Bits!$E$25:$E$124,INT(B665)+1)</f>
        <v/>
      </c>
      <c r="D665" s="7">
        <f>MAX(1,MIN(INT(B665/$C$4)+1,$C$5))</f>
        <v/>
      </c>
      <c r="E665" s="26">
        <f>IF($C$5=0,0,INDEX(Symboles!$G$6:$G$101,D665))</f>
        <v/>
      </c>
      <c r="F665" s="26">
        <f>IF($C$5=0,0,INDEX(Symboles!$H$6:$H$101,D665))</f>
        <v/>
      </c>
      <c r="G665" s="26">
        <f>COS(2*PI()*$C$3*B665)</f>
        <v/>
      </c>
      <c r="H665" s="26">
        <f>SIN(2*PI()*$C$3*B665)</f>
        <v/>
      </c>
      <c r="I665" s="26">
        <f>E665*G665+F665*H665</f>
        <v/>
      </c>
    </row>
    <row r="666">
      <c r="A666" s="7" t="n">
        <v>659</v>
      </c>
      <c r="B666" s="26">
        <f>(A666-1)/2000*$C$2</f>
        <v/>
      </c>
      <c r="C666" s="7">
        <f>INDEX(Bits!$E$25:$E$124,INT(B666)+1)</f>
        <v/>
      </c>
      <c r="D666" s="7">
        <f>MAX(1,MIN(INT(B666/$C$4)+1,$C$5))</f>
        <v/>
      </c>
      <c r="E666" s="26">
        <f>IF($C$5=0,0,INDEX(Symboles!$G$6:$G$101,D666))</f>
        <v/>
      </c>
      <c r="F666" s="26">
        <f>IF($C$5=0,0,INDEX(Symboles!$H$6:$H$101,D666))</f>
        <v/>
      </c>
      <c r="G666" s="26">
        <f>COS(2*PI()*$C$3*B666)</f>
        <v/>
      </c>
      <c r="H666" s="26">
        <f>SIN(2*PI()*$C$3*B666)</f>
        <v/>
      </c>
      <c r="I666" s="26">
        <f>E666*G666+F666*H666</f>
        <v/>
      </c>
    </row>
    <row r="667">
      <c r="A667" s="7" t="n">
        <v>660</v>
      </c>
      <c r="B667" s="26">
        <f>(A667-1)/2000*$C$2</f>
        <v/>
      </c>
      <c r="C667" s="7">
        <f>INDEX(Bits!$E$25:$E$124,INT(B667)+1)</f>
        <v/>
      </c>
      <c r="D667" s="7">
        <f>MAX(1,MIN(INT(B667/$C$4)+1,$C$5))</f>
        <v/>
      </c>
      <c r="E667" s="26">
        <f>IF($C$5=0,0,INDEX(Symboles!$G$6:$G$101,D667))</f>
        <v/>
      </c>
      <c r="F667" s="26">
        <f>IF($C$5=0,0,INDEX(Symboles!$H$6:$H$101,D667))</f>
        <v/>
      </c>
      <c r="G667" s="26">
        <f>COS(2*PI()*$C$3*B667)</f>
        <v/>
      </c>
      <c r="H667" s="26">
        <f>SIN(2*PI()*$C$3*B667)</f>
        <v/>
      </c>
      <c r="I667" s="26">
        <f>E667*G667+F667*H667</f>
        <v/>
      </c>
    </row>
    <row r="668">
      <c r="A668" s="7" t="n">
        <v>661</v>
      </c>
      <c r="B668" s="26">
        <f>(A668-1)/2000*$C$2</f>
        <v/>
      </c>
      <c r="C668" s="7">
        <f>INDEX(Bits!$E$25:$E$124,INT(B668)+1)</f>
        <v/>
      </c>
      <c r="D668" s="7">
        <f>MAX(1,MIN(INT(B668/$C$4)+1,$C$5))</f>
        <v/>
      </c>
      <c r="E668" s="26">
        <f>IF($C$5=0,0,INDEX(Symboles!$G$6:$G$101,D668))</f>
        <v/>
      </c>
      <c r="F668" s="26">
        <f>IF($C$5=0,0,INDEX(Symboles!$H$6:$H$101,D668))</f>
        <v/>
      </c>
      <c r="G668" s="26">
        <f>COS(2*PI()*$C$3*B668)</f>
        <v/>
      </c>
      <c r="H668" s="26">
        <f>SIN(2*PI()*$C$3*B668)</f>
        <v/>
      </c>
      <c r="I668" s="26">
        <f>E668*G668+F668*H668</f>
        <v/>
      </c>
    </row>
    <row r="669">
      <c r="A669" s="7" t="n">
        <v>662</v>
      </c>
      <c r="B669" s="26">
        <f>(A669-1)/2000*$C$2</f>
        <v/>
      </c>
      <c r="C669" s="7">
        <f>INDEX(Bits!$E$25:$E$124,INT(B669)+1)</f>
        <v/>
      </c>
      <c r="D669" s="7">
        <f>MAX(1,MIN(INT(B669/$C$4)+1,$C$5))</f>
        <v/>
      </c>
      <c r="E669" s="26">
        <f>IF($C$5=0,0,INDEX(Symboles!$G$6:$G$101,D669))</f>
        <v/>
      </c>
      <c r="F669" s="26">
        <f>IF($C$5=0,0,INDEX(Symboles!$H$6:$H$101,D669))</f>
        <v/>
      </c>
      <c r="G669" s="26">
        <f>COS(2*PI()*$C$3*B669)</f>
        <v/>
      </c>
      <c r="H669" s="26">
        <f>SIN(2*PI()*$C$3*B669)</f>
        <v/>
      </c>
      <c r="I669" s="26">
        <f>E669*G669+F669*H669</f>
        <v/>
      </c>
    </row>
    <row r="670">
      <c r="A670" s="7" t="n">
        <v>663</v>
      </c>
      <c r="B670" s="26">
        <f>(A670-1)/2000*$C$2</f>
        <v/>
      </c>
      <c r="C670" s="7">
        <f>INDEX(Bits!$E$25:$E$124,INT(B670)+1)</f>
        <v/>
      </c>
      <c r="D670" s="7">
        <f>MAX(1,MIN(INT(B670/$C$4)+1,$C$5))</f>
        <v/>
      </c>
      <c r="E670" s="26">
        <f>IF($C$5=0,0,INDEX(Symboles!$G$6:$G$101,D670))</f>
        <v/>
      </c>
      <c r="F670" s="26">
        <f>IF($C$5=0,0,INDEX(Symboles!$H$6:$H$101,D670))</f>
        <v/>
      </c>
      <c r="G670" s="26">
        <f>COS(2*PI()*$C$3*B670)</f>
        <v/>
      </c>
      <c r="H670" s="26">
        <f>SIN(2*PI()*$C$3*B670)</f>
        <v/>
      </c>
      <c r="I670" s="26">
        <f>E670*G670+F670*H670</f>
        <v/>
      </c>
    </row>
    <row r="671">
      <c r="A671" s="7" t="n">
        <v>664</v>
      </c>
      <c r="B671" s="26">
        <f>(A671-1)/2000*$C$2</f>
        <v/>
      </c>
      <c r="C671" s="7">
        <f>INDEX(Bits!$E$25:$E$124,INT(B671)+1)</f>
        <v/>
      </c>
      <c r="D671" s="7">
        <f>MAX(1,MIN(INT(B671/$C$4)+1,$C$5))</f>
        <v/>
      </c>
      <c r="E671" s="26">
        <f>IF($C$5=0,0,INDEX(Symboles!$G$6:$G$101,D671))</f>
        <v/>
      </c>
      <c r="F671" s="26">
        <f>IF($C$5=0,0,INDEX(Symboles!$H$6:$H$101,D671))</f>
        <v/>
      </c>
      <c r="G671" s="26">
        <f>COS(2*PI()*$C$3*B671)</f>
        <v/>
      </c>
      <c r="H671" s="26">
        <f>SIN(2*PI()*$C$3*B671)</f>
        <v/>
      </c>
      <c r="I671" s="26">
        <f>E671*G671+F671*H671</f>
        <v/>
      </c>
    </row>
    <row r="672">
      <c r="A672" s="7" t="n">
        <v>665</v>
      </c>
      <c r="B672" s="26">
        <f>(A672-1)/2000*$C$2</f>
        <v/>
      </c>
      <c r="C672" s="7">
        <f>INDEX(Bits!$E$25:$E$124,INT(B672)+1)</f>
        <v/>
      </c>
      <c r="D672" s="7">
        <f>MAX(1,MIN(INT(B672/$C$4)+1,$C$5))</f>
        <v/>
      </c>
      <c r="E672" s="26">
        <f>IF($C$5=0,0,INDEX(Symboles!$G$6:$G$101,D672))</f>
        <v/>
      </c>
      <c r="F672" s="26">
        <f>IF($C$5=0,0,INDEX(Symboles!$H$6:$H$101,D672))</f>
        <v/>
      </c>
      <c r="G672" s="26">
        <f>COS(2*PI()*$C$3*B672)</f>
        <v/>
      </c>
      <c r="H672" s="26">
        <f>SIN(2*PI()*$C$3*B672)</f>
        <v/>
      </c>
      <c r="I672" s="26">
        <f>E672*G672+F672*H672</f>
        <v/>
      </c>
    </row>
    <row r="673">
      <c r="A673" s="7" t="n">
        <v>666</v>
      </c>
      <c r="B673" s="26">
        <f>(A673-1)/2000*$C$2</f>
        <v/>
      </c>
      <c r="C673" s="7">
        <f>INDEX(Bits!$E$25:$E$124,INT(B673)+1)</f>
        <v/>
      </c>
      <c r="D673" s="7">
        <f>MAX(1,MIN(INT(B673/$C$4)+1,$C$5))</f>
        <v/>
      </c>
      <c r="E673" s="26">
        <f>IF($C$5=0,0,INDEX(Symboles!$G$6:$G$101,D673))</f>
        <v/>
      </c>
      <c r="F673" s="26">
        <f>IF($C$5=0,0,INDEX(Symboles!$H$6:$H$101,D673))</f>
        <v/>
      </c>
      <c r="G673" s="26">
        <f>COS(2*PI()*$C$3*B673)</f>
        <v/>
      </c>
      <c r="H673" s="26">
        <f>SIN(2*PI()*$C$3*B673)</f>
        <v/>
      </c>
      <c r="I673" s="26">
        <f>E673*G673+F673*H673</f>
        <v/>
      </c>
    </row>
    <row r="674">
      <c r="A674" s="7" t="n">
        <v>667</v>
      </c>
      <c r="B674" s="26">
        <f>(A674-1)/2000*$C$2</f>
        <v/>
      </c>
      <c r="C674" s="7">
        <f>INDEX(Bits!$E$25:$E$124,INT(B674)+1)</f>
        <v/>
      </c>
      <c r="D674" s="7">
        <f>MAX(1,MIN(INT(B674/$C$4)+1,$C$5))</f>
        <v/>
      </c>
      <c r="E674" s="26">
        <f>IF($C$5=0,0,INDEX(Symboles!$G$6:$G$101,D674))</f>
        <v/>
      </c>
      <c r="F674" s="26">
        <f>IF($C$5=0,0,INDEX(Symboles!$H$6:$H$101,D674))</f>
        <v/>
      </c>
      <c r="G674" s="26">
        <f>COS(2*PI()*$C$3*B674)</f>
        <v/>
      </c>
      <c r="H674" s="26">
        <f>SIN(2*PI()*$C$3*B674)</f>
        <v/>
      </c>
      <c r="I674" s="26">
        <f>E674*G674+F674*H674</f>
        <v/>
      </c>
    </row>
    <row r="675">
      <c r="A675" s="7" t="n">
        <v>668</v>
      </c>
      <c r="B675" s="26">
        <f>(A675-1)/2000*$C$2</f>
        <v/>
      </c>
      <c r="C675" s="7">
        <f>INDEX(Bits!$E$25:$E$124,INT(B675)+1)</f>
        <v/>
      </c>
      <c r="D675" s="7">
        <f>MAX(1,MIN(INT(B675/$C$4)+1,$C$5))</f>
        <v/>
      </c>
      <c r="E675" s="26">
        <f>IF($C$5=0,0,INDEX(Symboles!$G$6:$G$101,D675))</f>
        <v/>
      </c>
      <c r="F675" s="26">
        <f>IF($C$5=0,0,INDEX(Symboles!$H$6:$H$101,D675))</f>
        <v/>
      </c>
      <c r="G675" s="26">
        <f>COS(2*PI()*$C$3*B675)</f>
        <v/>
      </c>
      <c r="H675" s="26">
        <f>SIN(2*PI()*$C$3*B675)</f>
        <v/>
      </c>
      <c r="I675" s="26">
        <f>E675*G675+F675*H675</f>
        <v/>
      </c>
    </row>
    <row r="676">
      <c r="A676" s="7" t="n">
        <v>669</v>
      </c>
      <c r="B676" s="26">
        <f>(A676-1)/2000*$C$2</f>
        <v/>
      </c>
      <c r="C676" s="7">
        <f>INDEX(Bits!$E$25:$E$124,INT(B676)+1)</f>
        <v/>
      </c>
      <c r="D676" s="7">
        <f>MAX(1,MIN(INT(B676/$C$4)+1,$C$5))</f>
        <v/>
      </c>
      <c r="E676" s="26">
        <f>IF($C$5=0,0,INDEX(Symboles!$G$6:$G$101,D676))</f>
        <v/>
      </c>
      <c r="F676" s="26">
        <f>IF($C$5=0,0,INDEX(Symboles!$H$6:$H$101,D676))</f>
        <v/>
      </c>
      <c r="G676" s="26">
        <f>COS(2*PI()*$C$3*B676)</f>
        <v/>
      </c>
      <c r="H676" s="26">
        <f>SIN(2*PI()*$C$3*B676)</f>
        <v/>
      </c>
      <c r="I676" s="26">
        <f>E676*G676+F676*H676</f>
        <v/>
      </c>
    </row>
    <row r="677">
      <c r="A677" s="7" t="n">
        <v>670</v>
      </c>
      <c r="B677" s="26">
        <f>(A677-1)/2000*$C$2</f>
        <v/>
      </c>
      <c r="C677" s="7">
        <f>INDEX(Bits!$E$25:$E$124,INT(B677)+1)</f>
        <v/>
      </c>
      <c r="D677" s="7">
        <f>MAX(1,MIN(INT(B677/$C$4)+1,$C$5))</f>
        <v/>
      </c>
      <c r="E677" s="26">
        <f>IF($C$5=0,0,INDEX(Symboles!$G$6:$G$101,D677))</f>
        <v/>
      </c>
      <c r="F677" s="26">
        <f>IF($C$5=0,0,INDEX(Symboles!$H$6:$H$101,D677))</f>
        <v/>
      </c>
      <c r="G677" s="26">
        <f>COS(2*PI()*$C$3*B677)</f>
        <v/>
      </c>
      <c r="H677" s="26">
        <f>SIN(2*PI()*$C$3*B677)</f>
        <v/>
      </c>
      <c r="I677" s="26">
        <f>E677*G677+F677*H677</f>
        <v/>
      </c>
    </row>
    <row r="678">
      <c r="A678" s="7" t="n">
        <v>671</v>
      </c>
      <c r="B678" s="26">
        <f>(A678-1)/2000*$C$2</f>
        <v/>
      </c>
      <c r="C678" s="7">
        <f>INDEX(Bits!$E$25:$E$124,INT(B678)+1)</f>
        <v/>
      </c>
      <c r="D678" s="7">
        <f>MAX(1,MIN(INT(B678/$C$4)+1,$C$5))</f>
        <v/>
      </c>
      <c r="E678" s="26">
        <f>IF($C$5=0,0,INDEX(Symboles!$G$6:$G$101,D678))</f>
        <v/>
      </c>
      <c r="F678" s="26">
        <f>IF($C$5=0,0,INDEX(Symboles!$H$6:$H$101,D678))</f>
        <v/>
      </c>
      <c r="G678" s="26">
        <f>COS(2*PI()*$C$3*B678)</f>
        <v/>
      </c>
      <c r="H678" s="26">
        <f>SIN(2*PI()*$C$3*B678)</f>
        <v/>
      </c>
      <c r="I678" s="26">
        <f>E678*G678+F678*H678</f>
        <v/>
      </c>
    </row>
    <row r="679">
      <c r="A679" s="7" t="n">
        <v>672</v>
      </c>
      <c r="B679" s="26">
        <f>(A679-1)/2000*$C$2</f>
        <v/>
      </c>
      <c r="C679" s="7">
        <f>INDEX(Bits!$E$25:$E$124,INT(B679)+1)</f>
        <v/>
      </c>
      <c r="D679" s="7">
        <f>MAX(1,MIN(INT(B679/$C$4)+1,$C$5))</f>
        <v/>
      </c>
      <c r="E679" s="26">
        <f>IF($C$5=0,0,INDEX(Symboles!$G$6:$G$101,D679))</f>
        <v/>
      </c>
      <c r="F679" s="26">
        <f>IF($C$5=0,0,INDEX(Symboles!$H$6:$H$101,D679))</f>
        <v/>
      </c>
      <c r="G679" s="26">
        <f>COS(2*PI()*$C$3*B679)</f>
        <v/>
      </c>
      <c r="H679" s="26">
        <f>SIN(2*PI()*$C$3*B679)</f>
        <v/>
      </c>
      <c r="I679" s="26">
        <f>E679*G679+F679*H679</f>
        <v/>
      </c>
    </row>
    <row r="680">
      <c r="A680" s="7" t="n">
        <v>673</v>
      </c>
      <c r="B680" s="26">
        <f>(A680-1)/2000*$C$2</f>
        <v/>
      </c>
      <c r="C680" s="7">
        <f>INDEX(Bits!$E$25:$E$124,INT(B680)+1)</f>
        <v/>
      </c>
      <c r="D680" s="7">
        <f>MAX(1,MIN(INT(B680/$C$4)+1,$C$5))</f>
        <v/>
      </c>
      <c r="E680" s="26">
        <f>IF($C$5=0,0,INDEX(Symboles!$G$6:$G$101,D680))</f>
        <v/>
      </c>
      <c r="F680" s="26">
        <f>IF($C$5=0,0,INDEX(Symboles!$H$6:$H$101,D680))</f>
        <v/>
      </c>
      <c r="G680" s="26">
        <f>COS(2*PI()*$C$3*B680)</f>
        <v/>
      </c>
      <c r="H680" s="26">
        <f>SIN(2*PI()*$C$3*B680)</f>
        <v/>
      </c>
      <c r="I680" s="26">
        <f>E680*G680+F680*H680</f>
        <v/>
      </c>
    </row>
    <row r="681">
      <c r="A681" s="7" t="n">
        <v>674</v>
      </c>
      <c r="B681" s="26">
        <f>(A681-1)/2000*$C$2</f>
        <v/>
      </c>
      <c r="C681" s="7">
        <f>INDEX(Bits!$E$25:$E$124,INT(B681)+1)</f>
        <v/>
      </c>
      <c r="D681" s="7">
        <f>MAX(1,MIN(INT(B681/$C$4)+1,$C$5))</f>
        <v/>
      </c>
      <c r="E681" s="26">
        <f>IF($C$5=0,0,INDEX(Symboles!$G$6:$G$101,D681))</f>
        <v/>
      </c>
      <c r="F681" s="26">
        <f>IF($C$5=0,0,INDEX(Symboles!$H$6:$H$101,D681))</f>
        <v/>
      </c>
      <c r="G681" s="26">
        <f>COS(2*PI()*$C$3*B681)</f>
        <v/>
      </c>
      <c r="H681" s="26">
        <f>SIN(2*PI()*$C$3*B681)</f>
        <v/>
      </c>
      <c r="I681" s="26">
        <f>E681*G681+F681*H681</f>
        <v/>
      </c>
    </row>
    <row r="682">
      <c r="A682" s="7" t="n">
        <v>675</v>
      </c>
      <c r="B682" s="26">
        <f>(A682-1)/2000*$C$2</f>
        <v/>
      </c>
      <c r="C682" s="7">
        <f>INDEX(Bits!$E$25:$E$124,INT(B682)+1)</f>
        <v/>
      </c>
      <c r="D682" s="7">
        <f>MAX(1,MIN(INT(B682/$C$4)+1,$C$5))</f>
        <v/>
      </c>
      <c r="E682" s="26">
        <f>IF($C$5=0,0,INDEX(Symboles!$G$6:$G$101,D682))</f>
        <v/>
      </c>
      <c r="F682" s="26">
        <f>IF($C$5=0,0,INDEX(Symboles!$H$6:$H$101,D682))</f>
        <v/>
      </c>
      <c r="G682" s="26">
        <f>COS(2*PI()*$C$3*B682)</f>
        <v/>
      </c>
      <c r="H682" s="26">
        <f>SIN(2*PI()*$C$3*B682)</f>
        <v/>
      </c>
      <c r="I682" s="26">
        <f>E682*G682+F682*H682</f>
        <v/>
      </c>
    </row>
    <row r="683">
      <c r="A683" s="7" t="n">
        <v>676</v>
      </c>
      <c r="B683" s="26">
        <f>(A683-1)/2000*$C$2</f>
        <v/>
      </c>
      <c r="C683" s="7">
        <f>INDEX(Bits!$E$25:$E$124,INT(B683)+1)</f>
        <v/>
      </c>
      <c r="D683" s="7">
        <f>MAX(1,MIN(INT(B683/$C$4)+1,$C$5))</f>
        <v/>
      </c>
      <c r="E683" s="26">
        <f>IF($C$5=0,0,INDEX(Symboles!$G$6:$G$101,D683))</f>
        <v/>
      </c>
      <c r="F683" s="26">
        <f>IF($C$5=0,0,INDEX(Symboles!$H$6:$H$101,D683))</f>
        <v/>
      </c>
      <c r="G683" s="26">
        <f>COS(2*PI()*$C$3*B683)</f>
        <v/>
      </c>
      <c r="H683" s="26">
        <f>SIN(2*PI()*$C$3*B683)</f>
        <v/>
      </c>
      <c r="I683" s="26">
        <f>E683*G683+F683*H683</f>
        <v/>
      </c>
    </row>
    <row r="684">
      <c r="A684" s="7" t="n">
        <v>677</v>
      </c>
      <c r="B684" s="26">
        <f>(A684-1)/2000*$C$2</f>
        <v/>
      </c>
      <c r="C684" s="7">
        <f>INDEX(Bits!$E$25:$E$124,INT(B684)+1)</f>
        <v/>
      </c>
      <c r="D684" s="7">
        <f>MAX(1,MIN(INT(B684/$C$4)+1,$C$5))</f>
        <v/>
      </c>
      <c r="E684" s="26">
        <f>IF($C$5=0,0,INDEX(Symboles!$G$6:$G$101,D684))</f>
        <v/>
      </c>
      <c r="F684" s="26">
        <f>IF($C$5=0,0,INDEX(Symboles!$H$6:$H$101,D684))</f>
        <v/>
      </c>
      <c r="G684" s="26">
        <f>COS(2*PI()*$C$3*B684)</f>
        <v/>
      </c>
      <c r="H684" s="26">
        <f>SIN(2*PI()*$C$3*B684)</f>
        <v/>
      </c>
      <c r="I684" s="26">
        <f>E684*G684+F684*H684</f>
        <v/>
      </c>
    </row>
    <row r="685">
      <c r="A685" s="7" t="n">
        <v>678</v>
      </c>
      <c r="B685" s="26">
        <f>(A685-1)/2000*$C$2</f>
        <v/>
      </c>
      <c r="C685" s="7">
        <f>INDEX(Bits!$E$25:$E$124,INT(B685)+1)</f>
        <v/>
      </c>
      <c r="D685" s="7">
        <f>MAX(1,MIN(INT(B685/$C$4)+1,$C$5))</f>
        <v/>
      </c>
      <c r="E685" s="26">
        <f>IF($C$5=0,0,INDEX(Symboles!$G$6:$G$101,D685))</f>
        <v/>
      </c>
      <c r="F685" s="26">
        <f>IF($C$5=0,0,INDEX(Symboles!$H$6:$H$101,D685))</f>
        <v/>
      </c>
      <c r="G685" s="26">
        <f>COS(2*PI()*$C$3*B685)</f>
        <v/>
      </c>
      <c r="H685" s="26">
        <f>SIN(2*PI()*$C$3*B685)</f>
        <v/>
      </c>
      <c r="I685" s="26">
        <f>E685*G685+F685*H685</f>
        <v/>
      </c>
    </row>
    <row r="686">
      <c r="A686" s="7" t="n">
        <v>679</v>
      </c>
      <c r="B686" s="26">
        <f>(A686-1)/2000*$C$2</f>
        <v/>
      </c>
      <c r="C686" s="7">
        <f>INDEX(Bits!$E$25:$E$124,INT(B686)+1)</f>
        <v/>
      </c>
      <c r="D686" s="7">
        <f>MAX(1,MIN(INT(B686/$C$4)+1,$C$5))</f>
        <v/>
      </c>
      <c r="E686" s="26">
        <f>IF($C$5=0,0,INDEX(Symboles!$G$6:$G$101,D686))</f>
        <v/>
      </c>
      <c r="F686" s="26">
        <f>IF($C$5=0,0,INDEX(Symboles!$H$6:$H$101,D686))</f>
        <v/>
      </c>
      <c r="G686" s="26">
        <f>COS(2*PI()*$C$3*B686)</f>
        <v/>
      </c>
      <c r="H686" s="26">
        <f>SIN(2*PI()*$C$3*B686)</f>
        <v/>
      </c>
      <c r="I686" s="26">
        <f>E686*G686+F686*H686</f>
        <v/>
      </c>
    </row>
    <row r="687">
      <c r="A687" s="7" t="n">
        <v>680</v>
      </c>
      <c r="B687" s="26">
        <f>(A687-1)/2000*$C$2</f>
        <v/>
      </c>
      <c r="C687" s="7">
        <f>INDEX(Bits!$E$25:$E$124,INT(B687)+1)</f>
        <v/>
      </c>
      <c r="D687" s="7">
        <f>MAX(1,MIN(INT(B687/$C$4)+1,$C$5))</f>
        <v/>
      </c>
      <c r="E687" s="26">
        <f>IF($C$5=0,0,INDEX(Symboles!$G$6:$G$101,D687))</f>
        <v/>
      </c>
      <c r="F687" s="26">
        <f>IF($C$5=0,0,INDEX(Symboles!$H$6:$H$101,D687))</f>
        <v/>
      </c>
      <c r="G687" s="26">
        <f>COS(2*PI()*$C$3*B687)</f>
        <v/>
      </c>
      <c r="H687" s="26">
        <f>SIN(2*PI()*$C$3*B687)</f>
        <v/>
      </c>
      <c r="I687" s="26">
        <f>E687*G687+F687*H687</f>
        <v/>
      </c>
    </row>
    <row r="688">
      <c r="A688" s="7" t="n">
        <v>681</v>
      </c>
      <c r="B688" s="26">
        <f>(A688-1)/2000*$C$2</f>
        <v/>
      </c>
      <c r="C688" s="7">
        <f>INDEX(Bits!$E$25:$E$124,INT(B688)+1)</f>
        <v/>
      </c>
      <c r="D688" s="7">
        <f>MAX(1,MIN(INT(B688/$C$4)+1,$C$5))</f>
        <v/>
      </c>
      <c r="E688" s="26">
        <f>IF($C$5=0,0,INDEX(Symboles!$G$6:$G$101,D688))</f>
        <v/>
      </c>
      <c r="F688" s="26">
        <f>IF($C$5=0,0,INDEX(Symboles!$H$6:$H$101,D688))</f>
        <v/>
      </c>
      <c r="G688" s="26">
        <f>COS(2*PI()*$C$3*B688)</f>
        <v/>
      </c>
      <c r="H688" s="26">
        <f>SIN(2*PI()*$C$3*B688)</f>
        <v/>
      </c>
      <c r="I688" s="26">
        <f>E688*G688+F688*H688</f>
        <v/>
      </c>
    </row>
    <row r="689">
      <c r="A689" s="7" t="n">
        <v>682</v>
      </c>
      <c r="B689" s="26">
        <f>(A689-1)/2000*$C$2</f>
        <v/>
      </c>
      <c r="C689" s="7">
        <f>INDEX(Bits!$E$25:$E$124,INT(B689)+1)</f>
        <v/>
      </c>
      <c r="D689" s="7">
        <f>MAX(1,MIN(INT(B689/$C$4)+1,$C$5))</f>
        <v/>
      </c>
      <c r="E689" s="26">
        <f>IF($C$5=0,0,INDEX(Symboles!$G$6:$G$101,D689))</f>
        <v/>
      </c>
      <c r="F689" s="26">
        <f>IF($C$5=0,0,INDEX(Symboles!$H$6:$H$101,D689))</f>
        <v/>
      </c>
      <c r="G689" s="26">
        <f>COS(2*PI()*$C$3*B689)</f>
        <v/>
      </c>
      <c r="H689" s="26">
        <f>SIN(2*PI()*$C$3*B689)</f>
        <v/>
      </c>
      <c r="I689" s="26">
        <f>E689*G689+F689*H689</f>
        <v/>
      </c>
    </row>
    <row r="690">
      <c r="A690" s="7" t="n">
        <v>683</v>
      </c>
      <c r="B690" s="26">
        <f>(A690-1)/2000*$C$2</f>
        <v/>
      </c>
      <c r="C690" s="7">
        <f>INDEX(Bits!$E$25:$E$124,INT(B690)+1)</f>
        <v/>
      </c>
      <c r="D690" s="7">
        <f>MAX(1,MIN(INT(B690/$C$4)+1,$C$5))</f>
        <v/>
      </c>
      <c r="E690" s="26">
        <f>IF($C$5=0,0,INDEX(Symboles!$G$6:$G$101,D690))</f>
        <v/>
      </c>
      <c r="F690" s="26">
        <f>IF($C$5=0,0,INDEX(Symboles!$H$6:$H$101,D690))</f>
        <v/>
      </c>
      <c r="G690" s="26">
        <f>COS(2*PI()*$C$3*B690)</f>
        <v/>
      </c>
      <c r="H690" s="26">
        <f>SIN(2*PI()*$C$3*B690)</f>
        <v/>
      </c>
      <c r="I690" s="26">
        <f>E690*G690+F690*H690</f>
        <v/>
      </c>
    </row>
    <row r="691">
      <c r="A691" s="7" t="n">
        <v>684</v>
      </c>
      <c r="B691" s="26">
        <f>(A691-1)/2000*$C$2</f>
        <v/>
      </c>
      <c r="C691" s="7">
        <f>INDEX(Bits!$E$25:$E$124,INT(B691)+1)</f>
        <v/>
      </c>
      <c r="D691" s="7">
        <f>MAX(1,MIN(INT(B691/$C$4)+1,$C$5))</f>
        <v/>
      </c>
      <c r="E691" s="26">
        <f>IF($C$5=0,0,INDEX(Symboles!$G$6:$G$101,D691))</f>
        <v/>
      </c>
      <c r="F691" s="26">
        <f>IF($C$5=0,0,INDEX(Symboles!$H$6:$H$101,D691))</f>
        <v/>
      </c>
      <c r="G691" s="26">
        <f>COS(2*PI()*$C$3*B691)</f>
        <v/>
      </c>
      <c r="H691" s="26">
        <f>SIN(2*PI()*$C$3*B691)</f>
        <v/>
      </c>
      <c r="I691" s="26">
        <f>E691*G691+F691*H691</f>
        <v/>
      </c>
    </row>
    <row r="692">
      <c r="A692" s="7" t="n">
        <v>685</v>
      </c>
      <c r="B692" s="26">
        <f>(A692-1)/2000*$C$2</f>
        <v/>
      </c>
      <c r="C692" s="7">
        <f>INDEX(Bits!$E$25:$E$124,INT(B692)+1)</f>
        <v/>
      </c>
      <c r="D692" s="7">
        <f>MAX(1,MIN(INT(B692/$C$4)+1,$C$5))</f>
        <v/>
      </c>
      <c r="E692" s="26">
        <f>IF($C$5=0,0,INDEX(Symboles!$G$6:$G$101,D692))</f>
        <v/>
      </c>
      <c r="F692" s="26">
        <f>IF($C$5=0,0,INDEX(Symboles!$H$6:$H$101,D692))</f>
        <v/>
      </c>
      <c r="G692" s="26">
        <f>COS(2*PI()*$C$3*B692)</f>
        <v/>
      </c>
      <c r="H692" s="26">
        <f>SIN(2*PI()*$C$3*B692)</f>
        <v/>
      </c>
      <c r="I692" s="26">
        <f>E692*G692+F692*H692</f>
        <v/>
      </c>
    </row>
    <row r="693">
      <c r="A693" s="7" t="n">
        <v>686</v>
      </c>
      <c r="B693" s="26">
        <f>(A693-1)/2000*$C$2</f>
        <v/>
      </c>
      <c r="C693" s="7">
        <f>INDEX(Bits!$E$25:$E$124,INT(B693)+1)</f>
        <v/>
      </c>
      <c r="D693" s="7">
        <f>MAX(1,MIN(INT(B693/$C$4)+1,$C$5))</f>
        <v/>
      </c>
      <c r="E693" s="26">
        <f>IF($C$5=0,0,INDEX(Symboles!$G$6:$G$101,D693))</f>
        <v/>
      </c>
      <c r="F693" s="26">
        <f>IF($C$5=0,0,INDEX(Symboles!$H$6:$H$101,D693))</f>
        <v/>
      </c>
      <c r="G693" s="26">
        <f>COS(2*PI()*$C$3*B693)</f>
        <v/>
      </c>
      <c r="H693" s="26">
        <f>SIN(2*PI()*$C$3*B693)</f>
        <v/>
      </c>
      <c r="I693" s="26">
        <f>E693*G693+F693*H693</f>
        <v/>
      </c>
    </row>
    <row r="694">
      <c r="A694" s="7" t="n">
        <v>687</v>
      </c>
      <c r="B694" s="26">
        <f>(A694-1)/2000*$C$2</f>
        <v/>
      </c>
      <c r="C694" s="7">
        <f>INDEX(Bits!$E$25:$E$124,INT(B694)+1)</f>
        <v/>
      </c>
      <c r="D694" s="7">
        <f>MAX(1,MIN(INT(B694/$C$4)+1,$C$5))</f>
        <v/>
      </c>
      <c r="E694" s="26">
        <f>IF($C$5=0,0,INDEX(Symboles!$G$6:$G$101,D694))</f>
        <v/>
      </c>
      <c r="F694" s="26">
        <f>IF($C$5=0,0,INDEX(Symboles!$H$6:$H$101,D694))</f>
        <v/>
      </c>
      <c r="G694" s="26">
        <f>COS(2*PI()*$C$3*B694)</f>
        <v/>
      </c>
      <c r="H694" s="26">
        <f>SIN(2*PI()*$C$3*B694)</f>
        <v/>
      </c>
      <c r="I694" s="26">
        <f>E694*G694+F694*H694</f>
        <v/>
      </c>
    </row>
    <row r="695">
      <c r="A695" s="7" t="n">
        <v>688</v>
      </c>
      <c r="B695" s="26">
        <f>(A695-1)/2000*$C$2</f>
        <v/>
      </c>
      <c r="C695" s="7">
        <f>INDEX(Bits!$E$25:$E$124,INT(B695)+1)</f>
        <v/>
      </c>
      <c r="D695" s="7">
        <f>MAX(1,MIN(INT(B695/$C$4)+1,$C$5))</f>
        <v/>
      </c>
      <c r="E695" s="26">
        <f>IF($C$5=0,0,INDEX(Symboles!$G$6:$G$101,D695))</f>
        <v/>
      </c>
      <c r="F695" s="26">
        <f>IF($C$5=0,0,INDEX(Symboles!$H$6:$H$101,D695))</f>
        <v/>
      </c>
      <c r="G695" s="26">
        <f>COS(2*PI()*$C$3*B695)</f>
        <v/>
      </c>
      <c r="H695" s="26">
        <f>SIN(2*PI()*$C$3*B695)</f>
        <v/>
      </c>
      <c r="I695" s="26">
        <f>E695*G695+F695*H695</f>
        <v/>
      </c>
    </row>
    <row r="696">
      <c r="A696" s="7" t="n">
        <v>689</v>
      </c>
      <c r="B696" s="26">
        <f>(A696-1)/2000*$C$2</f>
        <v/>
      </c>
      <c r="C696" s="7">
        <f>INDEX(Bits!$E$25:$E$124,INT(B696)+1)</f>
        <v/>
      </c>
      <c r="D696" s="7">
        <f>MAX(1,MIN(INT(B696/$C$4)+1,$C$5))</f>
        <v/>
      </c>
      <c r="E696" s="26">
        <f>IF($C$5=0,0,INDEX(Symboles!$G$6:$G$101,D696))</f>
        <v/>
      </c>
      <c r="F696" s="26">
        <f>IF($C$5=0,0,INDEX(Symboles!$H$6:$H$101,D696))</f>
        <v/>
      </c>
      <c r="G696" s="26">
        <f>COS(2*PI()*$C$3*B696)</f>
        <v/>
      </c>
      <c r="H696" s="26">
        <f>SIN(2*PI()*$C$3*B696)</f>
        <v/>
      </c>
      <c r="I696" s="26">
        <f>E696*G696+F696*H696</f>
        <v/>
      </c>
    </row>
    <row r="697">
      <c r="A697" s="7" t="n">
        <v>690</v>
      </c>
      <c r="B697" s="26">
        <f>(A697-1)/2000*$C$2</f>
        <v/>
      </c>
      <c r="C697" s="7">
        <f>INDEX(Bits!$E$25:$E$124,INT(B697)+1)</f>
        <v/>
      </c>
      <c r="D697" s="7">
        <f>MAX(1,MIN(INT(B697/$C$4)+1,$C$5))</f>
        <v/>
      </c>
      <c r="E697" s="26">
        <f>IF($C$5=0,0,INDEX(Symboles!$G$6:$G$101,D697))</f>
        <v/>
      </c>
      <c r="F697" s="26">
        <f>IF($C$5=0,0,INDEX(Symboles!$H$6:$H$101,D697))</f>
        <v/>
      </c>
      <c r="G697" s="26">
        <f>COS(2*PI()*$C$3*B697)</f>
        <v/>
      </c>
      <c r="H697" s="26">
        <f>SIN(2*PI()*$C$3*B697)</f>
        <v/>
      </c>
      <c r="I697" s="26">
        <f>E697*G697+F697*H697</f>
        <v/>
      </c>
    </row>
    <row r="698">
      <c r="A698" s="7" t="n">
        <v>691</v>
      </c>
      <c r="B698" s="26">
        <f>(A698-1)/2000*$C$2</f>
        <v/>
      </c>
      <c r="C698" s="7">
        <f>INDEX(Bits!$E$25:$E$124,INT(B698)+1)</f>
        <v/>
      </c>
      <c r="D698" s="7">
        <f>MAX(1,MIN(INT(B698/$C$4)+1,$C$5))</f>
        <v/>
      </c>
      <c r="E698" s="26">
        <f>IF($C$5=0,0,INDEX(Symboles!$G$6:$G$101,D698))</f>
        <v/>
      </c>
      <c r="F698" s="26">
        <f>IF($C$5=0,0,INDEX(Symboles!$H$6:$H$101,D698))</f>
        <v/>
      </c>
      <c r="G698" s="26">
        <f>COS(2*PI()*$C$3*B698)</f>
        <v/>
      </c>
      <c r="H698" s="26">
        <f>SIN(2*PI()*$C$3*B698)</f>
        <v/>
      </c>
      <c r="I698" s="26">
        <f>E698*G698+F698*H698</f>
        <v/>
      </c>
    </row>
    <row r="699">
      <c r="A699" s="7" t="n">
        <v>692</v>
      </c>
      <c r="B699" s="26">
        <f>(A699-1)/2000*$C$2</f>
        <v/>
      </c>
      <c r="C699" s="7">
        <f>INDEX(Bits!$E$25:$E$124,INT(B699)+1)</f>
        <v/>
      </c>
      <c r="D699" s="7">
        <f>MAX(1,MIN(INT(B699/$C$4)+1,$C$5))</f>
        <v/>
      </c>
      <c r="E699" s="26">
        <f>IF($C$5=0,0,INDEX(Symboles!$G$6:$G$101,D699))</f>
        <v/>
      </c>
      <c r="F699" s="26">
        <f>IF($C$5=0,0,INDEX(Symboles!$H$6:$H$101,D699))</f>
        <v/>
      </c>
      <c r="G699" s="26">
        <f>COS(2*PI()*$C$3*B699)</f>
        <v/>
      </c>
      <c r="H699" s="26">
        <f>SIN(2*PI()*$C$3*B699)</f>
        <v/>
      </c>
      <c r="I699" s="26">
        <f>E699*G699+F699*H699</f>
        <v/>
      </c>
    </row>
    <row r="700">
      <c r="A700" s="7" t="n">
        <v>693</v>
      </c>
      <c r="B700" s="26">
        <f>(A700-1)/2000*$C$2</f>
        <v/>
      </c>
      <c r="C700" s="7">
        <f>INDEX(Bits!$E$25:$E$124,INT(B700)+1)</f>
        <v/>
      </c>
      <c r="D700" s="7">
        <f>MAX(1,MIN(INT(B700/$C$4)+1,$C$5))</f>
        <v/>
      </c>
      <c r="E700" s="26">
        <f>IF($C$5=0,0,INDEX(Symboles!$G$6:$G$101,D700))</f>
        <v/>
      </c>
      <c r="F700" s="26">
        <f>IF($C$5=0,0,INDEX(Symboles!$H$6:$H$101,D700))</f>
        <v/>
      </c>
      <c r="G700" s="26">
        <f>COS(2*PI()*$C$3*B700)</f>
        <v/>
      </c>
      <c r="H700" s="26">
        <f>SIN(2*PI()*$C$3*B700)</f>
        <v/>
      </c>
      <c r="I700" s="26">
        <f>E700*G700+F700*H700</f>
        <v/>
      </c>
    </row>
    <row r="701">
      <c r="A701" s="7" t="n">
        <v>694</v>
      </c>
      <c r="B701" s="26">
        <f>(A701-1)/2000*$C$2</f>
        <v/>
      </c>
      <c r="C701" s="7">
        <f>INDEX(Bits!$E$25:$E$124,INT(B701)+1)</f>
        <v/>
      </c>
      <c r="D701" s="7">
        <f>MAX(1,MIN(INT(B701/$C$4)+1,$C$5))</f>
        <v/>
      </c>
      <c r="E701" s="26">
        <f>IF($C$5=0,0,INDEX(Symboles!$G$6:$G$101,D701))</f>
        <v/>
      </c>
      <c r="F701" s="26">
        <f>IF($C$5=0,0,INDEX(Symboles!$H$6:$H$101,D701))</f>
        <v/>
      </c>
      <c r="G701" s="26">
        <f>COS(2*PI()*$C$3*B701)</f>
        <v/>
      </c>
      <c r="H701" s="26">
        <f>SIN(2*PI()*$C$3*B701)</f>
        <v/>
      </c>
      <c r="I701" s="26">
        <f>E701*G701+F701*H701</f>
        <v/>
      </c>
    </row>
    <row r="702">
      <c r="A702" s="7" t="n">
        <v>695</v>
      </c>
      <c r="B702" s="26">
        <f>(A702-1)/2000*$C$2</f>
        <v/>
      </c>
      <c r="C702" s="7">
        <f>INDEX(Bits!$E$25:$E$124,INT(B702)+1)</f>
        <v/>
      </c>
      <c r="D702" s="7">
        <f>MAX(1,MIN(INT(B702/$C$4)+1,$C$5))</f>
        <v/>
      </c>
      <c r="E702" s="26">
        <f>IF($C$5=0,0,INDEX(Symboles!$G$6:$G$101,D702))</f>
        <v/>
      </c>
      <c r="F702" s="26">
        <f>IF($C$5=0,0,INDEX(Symboles!$H$6:$H$101,D702))</f>
        <v/>
      </c>
      <c r="G702" s="26">
        <f>COS(2*PI()*$C$3*B702)</f>
        <v/>
      </c>
      <c r="H702" s="26">
        <f>SIN(2*PI()*$C$3*B702)</f>
        <v/>
      </c>
      <c r="I702" s="26">
        <f>E702*G702+F702*H702</f>
        <v/>
      </c>
    </row>
    <row r="703">
      <c r="A703" s="7" t="n">
        <v>696</v>
      </c>
      <c r="B703" s="26">
        <f>(A703-1)/2000*$C$2</f>
        <v/>
      </c>
      <c r="C703" s="7">
        <f>INDEX(Bits!$E$25:$E$124,INT(B703)+1)</f>
        <v/>
      </c>
      <c r="D703" s="7">
        <f>MAX(1,MIN(INT(B703/$C$4)+1,$C$5))</f>
        <v/>
      </c>
      <c r="E703" s="26">
        <f>IF($C$5=0,0,INDEX(Symboles!$G$6:$G$101,D703))</f>
        <v/>
      </c>
      <c r="F703" s="26">
        <f>IF($C$5=0,0,INDEX(Symboles!$H$6:$H$101,D703))</f>
        <v/>
      </c>
      <c r="G703" s="26">
        <f>COS(2*PI()*$C$3*B703)</f>
        <v/>
      </c>
      <c r="H703" s="26">
        <f>SIN(2*PI()*$C$3*B703)</f>
        <v/>
      </c>
      <c r="I703" s="26">
        <f>E703*G703+F703*H703</f>
        <v/>
      </c>
    </row>
    <row r="704">
      <c r="A704" s="7" t="n">
        <v>697</v>
      </c>
      <c r="B704" s="26">
        <f>(A704-1)/2000*$C$2</f>
        <v/>
      </c>
      <c r="C704" s="7">
        <f>INDEX(Bits!$E$25:$E$124,INT(B704)+1)</f>
        <v/>
      </c>
      <c r="D704" s="7">
        <f>MAX(1,MIN(INT(B704/$C$4)+1,$C$5))</f>
        <v/>
      </c>
      <c r="E704" s="26">
        <f>IF($C$5=0,0,INDEX(Symboles!$G$6:$G$101,D704))</f>
        <v/>
      </c>
      <c r="F704" s="26">
        <f>IF($C$5=0,0,INDEX(Symboles!$H$6:$H$101,D704))</f>
        <v/>
      </c>
      <c r="G704" s="26">
        <f>COS(2*PI()*$C$3*B704)</f>
        <v/>
      </c>
      <c r="H704" s="26">
        <f>SIN(2*PI()*$C$3*B704)</f>
        <v/>
      </c>
      <c r="I704" s="26">
        <f>E704*G704+F704*H704</f>
        <v/>
      </c>
    </row>
    <row r="705">
      <c r="A705" s="7" t="n">
        <v>698</v>
      </c>
      <c r="B705" s="26">
        <f>(A705-1)/2000*$C$2</f>
        <v/>
      </c>
      <c r="C705" s="7">
        <f>INDEX(Bits!$E$25:$E$124,INT(B705)+1)</f>
        <v/>
      </c>
      <c r="D705" s="7">
        <f>MAX(1,MIN(INT(B705/$C$4)+1,$C$5))</f>
        <v/>
      </c>
      <c r="E705" s="26">
        <f>IF($C$5=0,0,INDEX(Symboles!$G$6:$G$101,D705))</f>
        <v/>
      </c>
      <c r="F705" s="26">
        <f>IF($C$5=0,0,INDEX(Symboles!$H$6:$H$101,D705))</f>
        <v/>
      </c>
      <c r="G705" s="26">
        <f>COS(2*PI()*$C$3*B705)</f>
        <v/>
      </c>
      <c r="H705" s="26">
        <f>SIN(2*PI()*$C$3*B705)</f>
        <v/>
      </c>
      <c r="I705" s="26">
        <f>E705*G705+F705*H705</f>
        <v/>
      </c>
    </row>
    <row r="706">
      <c r="A706" s="7" t="n">
        <v>699</v>
      </c>
      <c r="B706" s="26">
        <f>(A706-1)/2000*$C$2</f>
        <v/>
      </c>
      <c r="C706" s="7">
        <f>INDEX(Bits!$E$25:$E$124,INT(B706)+1)</f>
        <v/>
      </c>
      <c r="D706" s="7">
        <f>MAX(1,MIN(INT(B706/$C$4)+1,$C$5))</f>
        <v/>
      </c>
      <c r="E706" s="26">
        <f>IF($C$5=0,0,INDEX(Symboles!$G$6:$G$101,D706))</f>
        <v/>
      </c>
      <c r="F706" s="26">
        <f>IF($C$5=0,0,INDEX(Symboles!$H$6:$H$101,D706))</f>
        <v/>
      </c>
      <c r="G706" s="26">
        <f>COS(2*PI()*$C$3*B706)</f>
        <v/>
      </c>
      <c r="H706" s="26">
        <f>SIN(2*PI()*$C$3*B706)</f>
        <v/>
      </c>
      <c r="I706" s="26">
        <f>E706*G706+F706*H706</f>
        <v/>
      </c>
    </row>
    <row r="707">
      <c r="A707" s="7" t="n">
        <v>700</v>
      </c>
      <c r="B707" s="26">
        <f>(A707-1)/2000*$C$2</f>
        <v/>
      </c>
      <c r="C707" s="7">
        <f>INDEX(Bits!$E$25:$E$124,INT(B707)+1)</f>
        <v/>
      </c>
      <c r="D707" s="7">
        <f>MAX(1,MIN(INT(B707/$C$4)+1,$C$5))</f>
        <v/>
      </c>
      <c r="E707" s="26">
        <f>IF($C$5=0,0,INDEX(Symboles!$G$6:$G$101,D707))</f>
        <v/>
      </c>
      <c r="F707" s="26">
        <f>IF($C$5=0,0,INDEX(Symboles!$H$6:$H$101,D707))</f>
        <v/>
      </c>
      <c r="G707" s="26">
        <f>COS(2*PI()*$C$3*B707)</f>
        <v/>
      </c>
      <c r="H707" s="26">
        <f>SIN(2*PI()*$C$3*B707)</f>
        <v/>
      </c>
      <c r="I707" s="26">
        <f>E707*G707+F707*H707</f>
        <v/>
      </c>
    </row>
    <row r="708">
      <c r="A708" s="7" t="n">
        <v>701</v>
      </c>
      <c r="B708" s="26">
        <f>(A708-1)/2000*$C$2</f>
        <v/>
      </c>
      <c r="C708" s="7">
        <f>INDEX(Bits!$E$25:$E$124,INT(B708)+1)</f>
        <v/>
      </c>
      <c r="D708" s="7">
        <f>MAX(1,MIN(INT(B708/$C$4)+1,$C$5))</f>
        <v/>
      </c>
      <c r="E708" s="26">
        <f>IF($C$5=0,0,INDEX(Symboles!$G$6:$G$101,D708))</f>
        <v/>
      </c>
      <c r="F708" s="26">
        <f>IF($C$5=0,0,INDEX(Symboles!$H$6:$H$101,D708))</f>
        <v/>
      </c>
      <c r="G708" s="26">
        <f>COS(2*PI()*$C$3*B708)</f>
        <v/>
      </c>
      <c r="H708" s="26">
        <f>SIN(2*PI()*$C$3*B708)</f>
        <v/>
      </c>
      <c r="I708" s="26">
        <f>E708*G708+F708*H708</f>
        <v/>
      </c>
    </row>
    <row r="709">
      <c r="A709" s="7" t="n">
        <v>702</v>
      </c>
      <c r="B709" s="26">
        <f>(A709-1)/2000*$C$2</f>
        <v/>
      </c>
      <c r="C709" s="7">
        <f>INDEX(Bits!$E$25:$E$124,INT(B709)+1)</f>
        <v/>
      </c>
      <c r="D709" s="7">
        <f>MAX(1,MIN(INT(B709/$C$4)+1,$C$5))</f>
        <v/>
      </c>
      <c r="E709" s="26">
        <f>IF($C$5=0,0,INDEX(Symboles!$G$6:$G$101,D709))</f>
        <v/>
      </c>
      <c r="F709" s="26">
        <f>IF($C$5=0,0,INDEX(Symboles!$H$6:$H$101,D709))</f>
        <v/>
      </c>
      <c r="G709" s="26">
        <f>COS(2*PI()*$C$3*B709)</f>
        <v/>
      </c>
      <c r="H709" s="26">
        <f>SIN(2*PI()*$C$3*B709)</f>
        <v/>
      </c>
      <c r="I709" s="26">
        <f>E709*G709+F709*H709</f>
        <v/>
      </c>
    </row>
    <row r="710">
      <c r="A710" s="7" t="n">
        <v>703</v>
      </c>
      <c r="B710" s="26">
        <f>(A710-1)/2000*$C$2</f>
        <v/>
      </c>
      <c r="C710" s="7">
        <f>INDEX(Bits!$E$25:$E$124,INT(B710)+1)</f>
        <v/>
      </c>
      <c r="D710" s="7">
        <f>MAX(1,MIN(INT(B710/$C$4)+1,$C$5))</f>
        <v/>
      </c>
      <c r="E710" s="26">
        <f>IF($C$5=0,0,INDEX(Symboles!$G$6:$G$101,D710))</f>
        <v/>
      </c>
      <c r="F710" s="26">
        <f>IF($C$5=0,0,INDEX(Symboles!$H$6:$H$101,D710))</f>
        <v/>
      </c>
      <c r="G710" s="26">
        <f>COS(2*PI()*$C$3*B710)</f>
        <v/>
      </c>
      <c r="H710" s="26">
        <f>SIN(2*PI()*$C$3*B710)</f>
        <v/>
      </c>
      <c r="I710" s="26">
        <f>E710*G710+F710*H710</f>
        <v/>
      </c>
    </row>
    <row r="711">
      <c r="A711" s="7" t="n">
        <v>704</v>
      </c>
      <c r="B711" s="26">
        <f>(A711-1)/2000*$C$2</f>
        <v/>
      </c>
      <c r="C711" s="7">
        <f>INDEX(Bits!$E$25:$E$124,INT(B711)+1)</f>
        <v/>
      </c>
      <c r="D711" s="7">
        <f>MAX(1,MIN(INT(B711/$C$4)+1,$C$5))</f>
        <v/>
      </c>
      <c r="E711" s="26">
        <f>IF($C$5=0,0,INDEX(Symboles!$G$6:$G$101,D711))</f>
        <v/>
      </c>
      <c r="F711" s="26">
        <f>IF($C$5=0,0,INDEX(Symboles!$H$6:$H$101,D711))</f>
        <v/>
      </c>
      <c r="G711" s="26">
        <f>COS(2*PI()*$C$3*B711)</f>
        <v/>
      </c>
      <c r="H711" s="26">
        <f>SIN(2*PI()*$C$3*B711)</f>
        <v/>
      </c>
      <c r="I711" s="26">
        <f>E711*G711+F711*H711</f>
        <v/>
      </c>
    </row>
    <row r="712">
      <c r="A712" s="7" t="n">
        <v>705</v>
      </c>
      <c r="B712" s="26">
        <f>(A712-1)/2000*$C$2</f>
        <v/>
      </c>
      <c r="C712" s="7">
        <f>INDEX(Bits!$E$25:$E$124,INT(B712)+1)</f>
        <v/>
      </c>
      <c r="D712" s="7">
        <f>MAX(1,MIN(INT(B712/$C$4)+1,$C$5))</f>
        <v/>
      </c>
      <c r="E712" s="26">
        <f>IF($C$5=0,0,INDEX(Symboles!$G$6:$G$101,D712))</f>
        <v/>
      </c>
      <c r="F712" s="26">
        <f>IF($C$5=0,0,INDEX(Symboles!$H$6:$H$101,D712))</f>
        <v/>
      </c>
      <c r="G712" s="26">
        <f>COS(2*PI()*$C$3*B712)</f>
        <v/>
      </c>
      <c r="H712" s="26">
        <f>SIN(2*PI()*$C$3*B712)</f>
        <v/>
      </c>
      <c r="I712" s="26">
        <f>E712*G712+F712*H712</f>
        <v/>
      </c>
    </row>
    <row r="713">
      <c r="A713" s="7" t="n">
        <v>706</v>
      </c>
      <c r="B713" s="26">
        <f>(A713-1)/2000*$C$2</f>
        <v/>
      </c>
      <c r="C713" s="7">
        <f>INDEX(Bits!$E$25:$E$124,INT(B713)+1)</f>
        <v/>
      </c>
      <c r="D713" s="7">
        <f>MAX(1,MIN(INT(B713/$C$4)+1,$C$5))</f>
        <v/>
      </c>
      <c r="E713" s="26">
        <f>IF($C$5=0,0,INDEX(Symboles!$G$6:$G$101,D713))</f>
        <v/>
      </c>
      <c r="F713" s="26">
        <f>IF($C$5=0,0,INDEX(Symboles!$H$6:$H$101,D713))</f>
        <v/>
      </c>
      <c r="G713" s="26">
        <f>COS(2*PI()*$C$3*B713)</f>
        <v/>
      </c>
      <c r="H713" s="26">
        <f>SIN(2*PI()*$C$3*B713)</f>
        <v/>
      </c>
      <c r="I713" s="26">
        <f>E713*G713+F713*H713</f>
        <v/>
      </c>
    </row>
    <row r="714">
      <c r="A714" s="7" t="n">
        <v>707</v>
      </c>
      <c r="B714" s="26">
        <f>(A714-1)/2000*$C$2</f>
        <v/>
      </c>
      <c r="C714" s="7">
        <f>INDEX(Bits!$E$25:$E$124,INT(B714)+1)</f>
        <v/>
      </c>
      <c r="D714" s="7">
        <f>MAX(1,MIN(INT(B714/$C$4)+1,$C$5))</f>
        <v/>
      </c>
      <c r="E714" s="26">
        <f>IF($C$5=0,0,INDEX(Symboles!$G$6:$G$101,D714))</f>
        <v/>
      </c>
      <c r="F714" s="26">
        <f>IF($C$5=0,0,INDEX(Symboles!$H$6:$H$101,D714))</f>
        <v/>
      </c>
      <c r="G714" s="26">
        <f>COS(2*PI()*$C$3*B714)</f>
        <v/>
      </c>
      <c r="H714" s="26">
        <f>SIN(2*PI()*$C$3*B714)</f>
        <v/>
      </c>
      <c r="I714" s="26">
        <f>E714*G714+F714*H714</f>
        <v/>
      </c>
    </row>
    <row r="715">
      <c r="A715" s="7" t="n">
        <v>708</v>
      </c>
      <c r="B715" s="26">
        <f>(A715-1)/2000*$C$2</f>
        <v/>
      </c>
      <c r="C715" s="7">
        <f>INDEX(Bits!$E$25:$E$124,INT(B715)+1)</f>
        <v/>
      </c>
      <c r="D715" s="7">
        <f>MAX(1,MIN(INT(B715/$C$4)+1,$C$5))</f>
        <v/>
      </c>
      <c r="E715" s="26">
        <f>IF($C$5=0,0,INDEX(Symboles!$G$6:$G$101,D715))</f>
        <v/>
      </c>
      <c r="F715" s="26">
        <f>IF($C$5=0,0,INDEX(Symboles!$H$6:$H$101,D715))</f>
        <v/>
      </c>
      <c r="G715" s="26">
        <f>COS(2*PI()*$C$3*B715)</f>
        <v/>
      </c>
      <c r="H715" s="26">
        <f>SIN(2*PI()*$C$3*B715)</f>
        <v/>
      </c>
      <c r="I715" s="26">
        <f>E715*G715+F715*H715</f>
        <v/>
      </c>
    </row>
    <row r="716">
      <c r="A716" s="7" t="n">
        <v>709</v>
      </c>
      <c r="B716" s="26">
        <f>(A716-1)/2000*$C$2</f>
        <v/>
      </c>
      <c r="C716" s="7">
        <f>INDEX(Bits!$E$25:$E$124,INT(B716)+1)</f>
        <v/>
      </c>
      <c r="D716" s="7">
        <f>MAX(1,MIN(INT(B716/$C$4)+1,$C$5))</f>
        <v/>
      </c>
      <c r="E716" s="26">
        <f>IF($C$5=0,0,INDEX(Symboles!$G$6:$G$101,D716))</f>
        <v/>
      </c>
      <c r="F716" s="26">
        <f>IF($C$5=0,0,INDEX(Symboles!$H$6:$H$101,D716))</f>
        <v/>
      </c>
      <c r="G716" s="26">
        <f>COS(2*PI()*$C$3*B716)</f>
        <v/>
      </c>
      <c r="H716" s="26">
        <f>SIN(2*PI()*$C$3*B716)</f>
        <v/>
      </c>
      <c r="I716" s="26">
        <f>E716*G716+F716*H716</f>
        <v/>
      </c>
    </row>
    <row r="717">
      <c r="A717" s="7" t="n">
        <v>710</v>
      </c>
      <c r="B717" s="26">
        <f>(A717-1)/2000*$C$2</f>
        <v/>
      </c>
      <c r="C717" s="7">
        <f>INDEX(Bits!$E$25:$E$124,INT(B717)+1)</f>
        <v/>
      </c>
      <c r="D717" s="7">
        <f>MAX(1,MIN(INT(B717/$C$4)+1,$C$5))</f>
        <v/>
      </c>
      <c r="E717" s="26">
        <f>IF($C$5=0,0,INDEX(Symboles!$G$6:$G$101,D717))</f>
        <v/>
      </c>
      <c r="F717" s="26">
        <f>IF($C$5=0,0,INDEX(Symboles!$H$6:$H$101,D717))</f>
        <v/>
      </c>
      <c r="G717" s="26">
        <f>COS(2*PI()*$C$3*B717)</f>
        <v/>
      </c>
      <c r="H717" s="26">
        <f>SIN(2*PI()*$C$3*B717)</f>
        <v/>
      </c>
      <c r="I717" s="26">
        <f>E717*G717+F717*H717</f>
        <v/>
      </c>
    </row>
    <row r="718">
      <c r="A718" s="7" t="n">
        <v>711</v>
      </c>
      <c r="B718" s="26">
        <f>(A718-1)/2000*$C$2</f>
        <v/>
      </c>
      <c r="C718" s="7">
        <f>INDEX(Bits!$E$25:$E$124,INT(B718)+1)</f>
        <v/>
      </c>
      <c r="D718" s="7">
        <f>MAX(1,MIN(INT(B718/$C$4)+1,$C$5))</f>
        <v/>
      </c>
      <c r="E718" s="26">
        <f>IF($C$5=0,0,INDEX(Symboles!$G$6:$G$101,D718))</f>
        <v/>
      </c>
      <c r="F718" s="26">
        <f>IF($C$5=0,0,INDEX(Symboles!$H$6:$H$101,D718))</f>
        <v/>
      </c>
      <c r="G718" s="26">
        <f>COS(2*PI()*$C$3*B718)</f>
        <v/>
      </c>
      <c r="H718" s="26">
        <f>SIN(2*PI()*$C$3*B718)</f>
        <v/>
      </c>
      <c r="I718" s="26">
        <f>E718*G718+F718*H718</f>
        <v/>
      </c>
    </row>
    <row r="719">
      <c r="A719" s="7" t="n">
        <v>712</v>
      </c>
      <c r="B719" s="26">
        <f>(A719-1)/2000*$C$2</f>
        <v/>
      </c>
      <c r="C719" s="7">
        <f>INDEX(Bits!$E$25:$E$124,INT(B719)+1)</f>
        <v/>
      </c>
      <c r="D719" s="7">
        <f>MAX(1,MIN(INT(B719/$C$4)+1,$C$5))</f>
        <v/>
      </c>
      <c r="E719" s="26">
        <f>IF($C$5=0,0,INDEX(Symboles!$G$6:$G$101,D719))</f>
        <v/>
      </c>
      <c r="F719" s="26">
        <f>IF($C$5=0,0,INDEX(Symboles!$H$6:$H$101,D719))</f>
        <v/>
      </c>
      <c r="G719" s="26">
        <f>COS(2*PI()*$C$3*B719)</f>
        <v/>
      </c>
      <c r="H719" s="26">
        <f>SIN(2*PI()*$C$3*B719)</f>
        <v/>
      </c>
      <c r="I719" s="26">
        <f>E719*G719+F719*H719</f>
        <v/>
      </c>
    </row>
    <row r="720">
      <c r="A720" s="7" t="n">
        <v>713</v>
      </c>
      <c r="B720" s="26">
        <f>(A720-1)/2000*$C$2</f>
        <v/>
      </c>
      <c r="C720" s="7">
        <f>INDEX(Bits!$E$25:$E$124,INT(B720)+1)</f>
        <v/>
      </c>
      <c r="D720" s="7">
        <f>MAX(1,MIN(INT(B720/$C$4)+1,$C$5))</f>
        <v/>
      </c>
      <c r="E720" s="26">
        <f>IF($C$5=0,0,INDEX(Symboles!$G$6:$G$101,D720))</f>
        <v/>
      </c>
      <c r="F720" s="26">
        <f>IF($C$5=0,0,INDEX(Symboles!$H$6:$H$101,D720))</f>
        <v/>
      </c>
      <c r="G720" s="26">
        <f>COS(2*PI()*$C$3*B720)</f>
        <v/>
      </c>
      <c r="H720" s="26">
        <f>SIN(2*PI()*$C$3*B720)</f>
        <v/>
      </c>
      <c r="I720" s="26">
        <f>E720*G720+F720*H720</f>
        <v/>
      </c>
    </row>
    <row r="721">
      <c r="A721" s="7" t="n">
        <v>714</v>
      </c>
      <c r="B721" s="26">
        <f>(A721-1)/2000*$C$2</f>
        <v/>
      </c>
      <c r="C721" s="7">
        <f>INDEX(Bits!$E$25:$E$124,INT(B721)+1)</f>
        <v/>
      </c>
      <c r="D721" s="7">
        <f>MAX(1,MIN(INT(B721/$C$4)+1,$C$5))</f>
        <v/>
      </c>
      <c r="E721" s="26">
        <f>IF($C$5=0,0,INDEX(Symboles!$G$6:$G$101,D721))</f>
        <v/>
      </c>
      <c r="F721" s="26">
        <f>IF($C$5=0,0,INDEX(Symboles!$H$6:$H$101,D721))</f>
        <v/>
      </c>
      <c r="G721" s="26">
        <f>COS(2*PI()*$C$3*B721)</f>
        <v/>
      </c>
      <c r="H721" s="26">
        <f>SIN(2*PI()*$C$3*B721)</f>
        <v/>
      </c>
      <c r="I721" s="26">
        <f>E721*G721+F721*H721</f>
        <v/>
      </c>
    </row>
    <row r="722">
      <c r="A722" s="7" t="n">
        <v>715</v>
      </c>
      <c r="B722" s="26">
        <f>(A722-1)/2000*$C$2</f>
        <v/>
      </c>
      <c r="C722" s="7">
        <f>INDEX(Bits!$E$25:$E$124,INT(B722)+1)</f>
        <v/>
      </c>
      <c r="D722" s="7">
        <f>MAX(1,MIN(INT(B722/$C$4)+1,$C$5))</f>
        <v/>
      </c>
      <c r="E722" s="26">
        <f>IF($C$5=0,0,INDEX(Symboles!$G$6:$G$101,D722))</f>
        <v/>
      </c>
      <c r="F722" s="26">
        <f>IF($C$5=0,0,INDEX(Symboles!$H$6:$H$101,D722))</f>
        <v/>
      </c>
      <c r="G722" s="26">
        <f>COS(2*PI()*$C$3*B722)</f>
        <v/>
      </c>
      <c r="H722" s="26">
        <f>SIN(2*PI()*$C$3*B722)</f>
        <v/>
      </c>
      <c r="I722" s="26">
        <f>E722*G722+F722*H722</f>
        <v/>
      </c>
    </row>
    <row r="723">
      <c r="A723" s="7" t="n">
        <v>716</v>
      </c>
      <c r="B723" s="26">
        <f>(A723-1)/2000*$C$2</f>
        <v/>
      </c>
      <c r="C723" s="7">
        <f>INDEX(Bits!$E$25:$E$124,INT(B723)+1)</f>
        <v/>
      </c>
      <c r="D723" s="7">
        <f>MAX(1,MIN(INT(B723/$C$4)+1,$C$5))</f>
        <v/>
      </c>
      <c r="E723" s="26">
        <f>IF($C$5=0,0,INDEX(Symboles!$G$6:$G$101,D723))</f>
        <v/>
      </c>
      <c r="F723" s="26">
        <f>IF($C$5=0,0,INDEX(Symboles!$H$6:$H$101,D723))</f>
        <v/>
      </c>
      <c r="G723" s="26">
        <f>COS(2*PI()*$C$3*B723)</f>
        <v/>
      </c>
      <c r="H723" s="26">
        <f>SIN(2*PI()*$C$3*B723)</f>
        <v/>
      </c>
      <c r="I723" s="26">
        <f>E723*G723+F723*H723</f>
        <v/>
      </c>
    </row>
    <row r="724">
      <c r="A724" s="7" t="n">
        <v>717</v>
      </c>
      <c r="B724" s="26">
        <f>(A724-1)/2000*$C$2</f>
        <v/>
      </c>
      <c r="C724" s="7">
        <f>INDEX(Bits!$E$25:$E$124,INT(B724)+1)</f>
        <v/>
      </c>
      <c r="D724" s="7">
        <f>MAX(1,MIN(INT(B724/$C$4)+1,$C$5))</f>
        <v/>
      </c>
      <c r="E724" s="26">
        <f>IF($C$5=0,0,INDEX(Symboles!$G$6:$G$101,D724))</f>
        <v/>
      </c>
      <c r="F724" s="26">
        <f>IF($C$5=0,0,INDEX(Symboles!$H$6:$H$101,D724))</f>
        <v/>
      </c>
      <c r="G724" s="26">
        <f>COS(2*PI()*$C$3*B724)</f>
        <v/>
      </c>
      <c r="H724" s="26">
        <f>SIN(2*PI()*$C$3*B724)</f>
        <v/>
      </c>
      <c r="I724" s="26">
        <f>E724*G724+F724*H724</f>
        <v/>
      </c>
    </row>
    <row r="725">
      <c r="A725" s="7" t="n">
        <v>718</v>
      </c>
      <c r="B725" s="26">
        <f>(A725-1)/2000*$C$2</f>
        <v/>
      </c>
      <c r="C725" s="7">
        <f>INDEX(Bits!$E$25:$E$124,INT(B725)+1)</f>
        <v/>
      </c>
      <c r="D725" s="7">
        <f>MAX(1,MIN(INT(B725/$C$4)+1,$C$5))</f>
        <v/>
      </c>
      <c r="E725" s="26">
        <f>IF($C$5=0,0,INDEX(Symboles!$G$6:$G$101,D725))</f>
        <v/>
      </c>
      <c r="F725" s="26">
        <f>IF($C$5=0,0,INDEX(Symboles!$H$6:$H$101,D725))</f>
        <v/>
      </c>
      <c r="G725" s="26">
        <f>COS(2*PI()*$C$3*B725)</f>
        <v/>
      </c>
      <c r="H725" s="26">
        <f>SIN(2*PI()*$C$3*B725)</f>
        <v/>
      </c>
      <c r="I725" s="26">
        <f>E725*G725+F725*H725</f>
        <v/>
      </c>
    </row>
    <row r="726">
      <c r="A726" s="7" t="n">
        <v>719</v>
      </c>
      <c r="B726" s="26">
        <f>(A726-1)/2000*$C$2</f>
        <v/>
      </c>
      <c r="C726" s="7">
        <f>INDEX(Bits!$E$25:$E$124,INT(B726)+1)</f>
        <v/>
      </c>
      <c r="D726" s="7">
        <f>MAX(1,MIN(INT(B726/$C$4)+1,$C$5))</f>
        <v/>
      </c>
      <c r="E726" s="26">
        <f>IF($C$5=0,0,INDEX(Symboles!$G$6:$G$101,D726))</f>
        <v/>
      </c>
      <c r="F726" s="26">
        <f>IF($C$5=0,0,INDEX(Symboles!$H$6:$H$101,D726))</f>
        <v/>
      </c>
      <c r="G726" s="26">
        <f>COS(2*PI()*$C$3*B726)</f>
        <v/>
      </c>
      <c r="H726" s="26">
        <f>SIN(2*PI()*$C$3*B726)</f>
        <v/>
      </c>
      <c r="I726" s="26">
        <f>E726*G726+F726*H726</f>
        <v/>
      </c>
    </row>
    <row r="727">
      <c r="A727" s="7" t="n">
        <v>720</v>
      </c>
      <c r="B727" s="26">
        <f>(A727-1)/2000*$C$2</f>
        <v/>
      </c>
      <c r="C727" s="7">
        <f>INDEX(Bits!$E$25:$E$124,INT(B727)+1)</f>
        <v/>
      </c>
      <c r="D727" s="7">
        <f>MAX(1,MIN(INT(B727/$C$4)+1,$C$5))</f>
        <v/>
      </c>
      <c r="E727" s="26">
        <f>IF($C$5=0,0,INDEX(Symboles!$G$6:$G$101,D727))</f>
        <v/>
      </c>
      <c r="F727" s="26">
        <f>IF($C$5=0,0,INDEX(Symboles!$H$6:$H$101,D727))</f>
        <v/>
      </c>
      <c r="G727" s="26">
        <f>COS(2*PI()*$C$3*B727)</f>
        <v/>
      </c>
      <c r="H727" s="26">
        <f>SIN(2*PI()*$C$3*B727)</f>
        <v/>
      </c>
      <c r="I727" s="26">
        <f>E727*G727+F727*H727</f>
        <v/>
      </c>
    </row>
    <row r="728">
      <c r="A728" s="7" t="n">
        <v>721</v>
      </c>
      <c r="B728" s="26">
        <f>(A728-1)/2000*$C$2</f>
        <v/>
      </c>
      <c r="C728" s="7">
        <f>INDEX(Bits!$E$25:$E$124,INT(B728)+1)</f>
        <v/>
      </c>
      <c r="D728" s="7">
        <f>MAX(1,MIN(INT(B728/$C$4)+1,$C$5))</f>
        <v/>
      </c>
      <c r="E728" s="26">
        <f>IF($C$5=0,0,INDEX(Symboles!$G$6:$G$101,D728))</f>
        <v/>
      </c>
      <c r="F728" s="26">
        <f>IF($C$5=0,0,INDEX(Symboles!$H$6:$H$101,D728))</f>
        <v/>
      </c>
      <c r="G728" s="26">
        <f>COS(2*PI()*$C$3*B728)</f>
        <v/>
      </c>
      <c r="H728" s="26">
        <f>SIN(2*PI()*$C$3*B728)</f>
        <v/>
      </c>
      <c r="I728" s="26">
        <f>E728*G728+F728*H728</f>
        <v/>
      </c>
    </row>
    <row r="729">
      <c r="A729" s="7" t="n">
        <v>722</v>
      </c>
      <c r="B729" s="26">
        <f>(A729-1)/2000*$C$2</f>
        <v/>
      </c>
      <c r="C729" s="7">
        <f>INDEX(Bits!$E$25:$E$124,INT(B729)+1)</f>
        <v/>
      </c>
      <c r="D729" s="7">
        <f>MAX(1,MIN(INT(B729/$C$4)+1,$C$5))</f>
        <v/>
      </c>
      <c r="E729" s="26">
        <f>IF($C$5=0,0,INDEX(Symboles!$G$6:$G$101,D729))</f>
        <v/>
      </c>
      <c r="F729" s="26">
        <f>IF($C$5=0,0,INDEX(Symboles!$H$6:$H$101,D729))</f>
        <v/>
      </c>
      <c r="G729" s="26">
        <f>COS(2*PI()*$C$3*B729)</f>
        <v/>
      </c>
      <c r="H729" s="26">
        <f>SIN(2*PI()*$C$3*B729)</f>
        <v/>
      </c>
      <c r="I729" s="26">
        <f>E729*G729+F729*H729</f>
        <v/>
      </c>
    </row>
    <row r="730">
      <c r="A730" s="7" t="n">
        <v>723</v>
      </c>
      <c r="B730" s="26">
        <f>(A730-1)/2000*$C$2</f>
        <v/>
      </c>
      <c r="C730" s="7">
        <f>INDEX(Bits!$E$25:$E$124,INT(B730)+1)</f>
        <v/>
      </c>
      <c r="D730" s="7">
        <f>MAX(1,MIN(INT(B730/$C$4)+1,$C$5))</f>
        <v/>
      </c>
      <c r="E730" s="26">
        <f>IF($C$5=0,0,INDEX(Symboles!$G$6:$G$101,D730))</f>
        <v/>
      </c>
      <c r="F730" s="26">
        <f>IF($C$5=0,0,INDEX(Symboles!$H$6:$H$101,D730))</f>
        <v/>
      </c>
      <c r="G730" s="26">
        <f>COS(2*PI()*$C$3*B730)</f>
        <v/>
      </c>
      <c r="H730" s="26">
        <f>SIN(2*PI()*$C$3*B730)</f>
        <v/>
      </c>
      <c r="I730" s="26">
        <f>E730*G730+F730*H730</f>
        <v/>
      </c>
    </row>
    <row r="731">
      <c r="A731" s="7" t="n">
        <v>724</v>
      </c>
      <c r="B731" s="26">
        <f>(A731-1)/2000*$C$2</f>
        <v/>
      </c>
      <c r="C731" s="7">
        <f>INDEX(Bits!$E$25:$E$124,INT(B731)+1)</f>
        <v/>
      </c>
      <c r="D731" s="7">
        <f>MAX(1,MIN(INT(B731/$C$4)+1,$C$5))</f>
        <v/>
      </c>
      <c r="E731" s="26">
        <f>IF($C$5=0,0,INDEX(Symboles!$G$6:$G$101,D731))</f>
        <v/>
      </c>
      <c r="F731" s="26">
        <f>IF($C$5=0,0,INDEX(Symboles!$H$6:$H$101,D731))</f>
        <v/>
      </c>
      <c r="G731" s="26">
        <f>COS(2*PI()*$C$3*B731)</f>
        <v/>
      </c>
      <c r="H731" s="26">
        <f>SIN(2*PI()*$C$3*B731)</f>
        <v/>
      </c>
      <c r="I731" s="26">
        <f>E731*G731+F731*H731</f>
        <v/>
      </c>
    </row>
    <row r="732">
      <c r="A732" s="7" t="n">
        <v>725</v>
      </c>
      <c r="B732" s="26">
        <f>(A732-1)/2000*$C$2</f>
        <v/>
      </c>
      <c r="C732" s="7">
        <f>INDEX(Bits!$E$25:$E$124,INT(B732)+1)</f>
        <v/>
      </c>
      <c r="D732" s="7">
        <f>MAX(1,MIN(INT(B732/$C$4)+1,$C$5))</f>
        <v/>
      </c>
      <c r="E732" s="26">
        <f>IF($C$5=0,0,INDEX(Symboles!$G$6:$G$101,D732))</f>
        <v/>
      </c>
      <c r="F732" s="26">
        <f>IF($C$5=0,0,INDEX(Symboles!$H$6:$H$101,D732))</f>
        <v/>
      </c>
      <c r="G732" s="26">
        <f>COS(2*PI()*$C$3*B732)</f>
        <v/>
      </c>
      <c r="H732" s="26">
        <f>SIN(2*PI()*$C$3*B732)</f>
        <v/>
      </c>
      <c r="I732" s="26">
        <f>E732*G732+F732*H732</f>
        <v/>
      </c>
    </row>
    <row r="733">
      <c r="A733" s="7" t="n">
        <v>726</v>
      </c>
      <c r="B733" s="26">
        <f>(A733-1)/2000*$C$2</f>
        <v/>
      </c>
      <c r="C733" s="7">
        <f>INDEX(Bits!$E$25:$E$124,INT(B733)+1)</f>
        <v/>
      </c>
      <c r="D733" s="7">
        <f>MAX(1,MIN(INT(B733/$C$4)+1,$C$5))</f>
        <v/>
      </c>
      <c r="E733" s="26">
        <f>IF($C$5=0,0,INDEX(Symboles!$G$6:$G$101,D733))</f>
        <v/>
      </c>
      <c r="F733" s="26">
        <f>IF($C$5=0,0,INDEX(Symboles!$H$6:$H$101,D733))</f>
        <v/>
      </c>
      <c r="G733" s="26">
        <f>COS(2*PI()*$C$3*B733)</f>
        <v/>
      </c>
      <c r="H733" s="26">
        <f>SIN(2*PI()*$C$3*B733)</f>
        <v/>
      </c>
      <c r="I733" s="26">
        <f>E733*G733+F733*H733</f>
        <v/>
      </c>
    </row>
    <row r="734">
      <c r="A734" s="7" t="n">
        <v>727</v>
      </c>
      <c r="B734" s="26">
        <f>(A734-1)/2000*$C$2</f>
        <v/>
      </c>
      <c r="C734" s="7">
        <f>INDEX(Bits!$E$25:$E$124,INT(B734)+1)</f>
        <v/>
      </c>
      <c r="D734" s="7">
        <f>MAX(1,MIN(INT(B734/$C$4)+1,$C$5))</f>
        <v/>
      </c>
      <c r="E734" s="26">
        <f>IF($C$5=0,0,INDEX(Symboles!$G$6:$G$101,D734))</f>
        <v/>
      </c>
      <c r="F734" s="26">
        <f>IF($C$5=0,0,INDEX(Symboles!$H$6:$H$101,D734))</f>
        <v/>
      </c>
      <c r="G734" s="26">
        <f>COS(2*PI()*$C$3*B734)</f>
        <v/>
      </c>
      <c r="H734" s="26">
        <f>SIN(2*PI()*$C$3*B734)</f>
        <v/>
      </c>
      <c r="I734" s="26">
        <f>E734*G734+F734*H734</f>
        <v/>
      </c>
    </row>
    <row r="735">
      <c r="A735" s="7" t="n">
        <v>728</v>
      </c>
      <c r="B735" s="26">
        <f>(A735-1)/2000*$C$2</f>
        <v/>
      </c>
      <c r="C735" s="7">
        <f>INDEX(Bits!$E$25:$E$124,INT(B735)+1)</f>
        <v/>
      </c>
      <c r="D735" s="7">
        <f>MAX(1,MIN(INT(B735/$C$4)+1,$C$5))</f>
        <v/>
      </c>
      <c r="E735" s="26">
        <f>IF($C$5=0,0,INDEX(Symboles!$G$6:$G$101,D735))</f>
        <v/>
      </c>
      <c r="F735" s="26">
        <f>IF($C$5=0,0,INDEX(Symboles!$H$6:$H$101,D735))</f>
        <v/>
      </c>
      <c r="G735" s="26">
        <f>COS(2*PI()*$C$3*B735)</f>
        <v/>
      </c>
      <c r="H735" s="26">
        <f>SIN(2*PI()*$C$3*B735)</f>
        <v/>
      </c>
      <c r="I735" s="26">
        <f>E735*G735+F735*H735</f>
        <v/>
      </c>
    </row>
    <row r="736">
      <c r="A736" s="7" t="n">
        <v>729</v>
      </c>
      <c r="B736" s="26">
        <f>(A736-1)/2000*$C$2</f>
        <v/>
      </c>
      <c r="C736" s="7">
        <f>INDEX(Bits!$E$25:$E$124,INT(B736)+1)</f>
        <v/>
      </c>
      <c r="D736" s="7">
        <f>MAX(1,MIN(INT(B736/$C$4)+1,$C$5))</f>
        <v/>
      </c>
      <c r="E736" s="26">
        <f>IF($C$5=0,0,INDEX(Symboles!$G$6:$G$101,D736))</f>
        <v/>
      </c>
      <c r="F736" s="26">
        <f>IF($C$5=0,0,INDEX(Symboles!$H$6:$H$101,D736))</f>
        <v/>
      </c>
      <c r="G736" s="26">
        <f>COS(2*PI()*$C$3*B736)</f>
        <v/>
      </c>
      <c r="H736" s="26">
        <f>SIN(2*PI()*$C$3*B736)</f>
        <v/>
      </c>
      <c r="I736" s="26">
        <f>E736*G736+F736*H736</f>
        <v/>
      </c>
    </row>
    <row r="737">
      <c r="A737" s="7" t="n">
        <v>730</v>
      </c>
      <c r="B737" s="26">
        <f>(A737-1)/2000*$C$2</f>
        <v/>
      </c>
      <c r="C737" s="7">
        <f>INDEX(Bits!$E$25:$E$124,INT(B737)+1)</f>
        <v/>
      </c>
      <c r="D737" s="7">
        <f>MAX(1,MIN(INT(B737/$C$4)+1,$C$5))</f>
        <v/>
      </c>
      <c r="E737" s="26">
        <f>IF($C$5=0,0,INDEX(Symboles!$G$6:$G$101,D737))</f>
        <v/>
      </c>
      <c r="F737" s="26">
        <f>IF($C$5=0,0,INDEX(Symboles!$H$6:$H$101,D737))</f>
        <v/>
      </c>
      <c r="G737" s="26">
        <f>COS(2*PI()*$C$3*B737)</f>
        <v/>
      </c>
      <c r="H737" s="26">
        <f>SIN(2*PI()*$C$3*B737)</f>
        <v/>
      </c>
      <c r="I737" s="26">
        <f>E737*G737+F737*H737</f>
        <v/>
      </c>
    </row>
    <row r="738">
      <c r="A738" s="7" t="n">
        <v>731</v>
      </c>
      <c r="B738" s="26">
        <f>(A738-1)/2000*$C$2</f>
        <v/>
      </c>
      <c r="C738" s="7">
        <f>INDEX(Bits!$E$25:$E$124,INT(B738)+1)</f>
        <v/>
      </c>
      <c r="D738" s="7">
        <f>MAX(1,MIN(INT(B738/$C$4)+1,$C$5))</f>
        <v/>
      </c>
      <c r="E738" s="26">
        <f>IF($C$5=0,0,INDEX(Symboles!$G$6:$G$101,D738))</f>
        <v/>
      </c>
      <c r="F738" s="26">
        <f>IF($C$5=0,0,INDEX(Symboles!$H$6:$H$101,D738))</f>
        <v/>
      </c>
      <c r="G738" s="26">
        <f>COS(2*PI()*$C$3*B738)</f>
        <v/>
      </c>
      <c r="H738" s="26">
        <f>SIN(2*PI()*$C$3*B738)</f>
        <v/>
      </c>
      <c r="I738" s="26">
        <f>E738*G738+F738*H738</f>
        <v/>
      </c>
    </row>
    <row r="739">
      <c r="A739" s="7" t="n">
        <v>732</v>
      </c>
      <c r="B739" s="26">
        <f>(A739-1)/2000*$C$2</f>
        <v/>
      </c>
      <c r="C739" s="7">
        <f>INDEX(Bits!$E$25:$E$124,INT(B739)+1)</f>
        <v/>
      </c>
      <c r="D739" s="7">
        <f>MAX(1,MIN(INT(B739/$C$4)+1,$C$5))</f>
        <v/>
      </c>
      <c r="E739" s="26">
        <f>IF($C$5=0,0,INDEX(Symboles!$G$6:$G$101,D739))</f>
        <v/>
      </c>
      <c r="F739" s="26">
        <f>IF($C$5=0,0,INDEX(Symboles!$H$6:$H$101,D739))</f>
        <v/>
      </c>
      <c r="G739" s="26">
        <f>COS(2*PI()*$C$3*B739)</f>
        <v/>
      </c>
      <c r="H739" s="26">
        <f>SIN(2*PI()*$C$3*B739)</f>
        <v/>
      </c>
      <c r="I739" s="26">
        <f>E739*G739+F739*H739</f>
        <v/>
      </c>
    </row>
    <row r="740">
      <c r="A740" s="7" t="n">
        <v>733</v>
      </c>
      <c r="B740" s="26">
        <f>(A740-1)/2000*$C$2</f>
        <v/>
      </c>
      <c r="C740" s="7">
        <f>INDEX(Bits!$E$25:$E$124,INT(B740)+1)</f>
        <v/>
      </c>
      <c r="D740" s="7">
        <f>MAX(1,MIN(INT(B740/$C$4)+1,$C$5))</f>
        <v/>
      </c>
      <c r="E740" s="26">
        <f>IF($C$5=0,0,INDEX(Symboles!$G$6:$G$101,D740))</f>
        <v/>
      </c>
      <c r="F740" s="26">
        <f>IF($C$5=0,0,INDEX(Symboles!$H$6:$H$101,D740))</f>
        <v/>
      </c>
      <c r="G740" s="26">
        <f>COS(2*PI()*$C$3*B740)</f>
        <v/>
      </c>
      <c r="H740" s="26">
        <f>SIN(2*PI()*$C$3*B740)</f>
        <v/>
      </c>
      <c r="I740" s="26">
        <f>E740*G740+F740*H740</f>
        <v/>
      </c>
    </row>
    <row r="741">
      <c r="A741" s="7" t="n">
        <v>734</v>
      </c>
      <c r="B741" s="26">
        <f>(A741-1)/2000*$C$2</f>
        <v/>
      </c>
      <c r="C741" s="7">
        <f>INDEX(Bits!$E$25:$E$124,INT(B741)+1)</f>
        <v/>
      </c>
      <c r="D741" s="7">
        <f>MAX(1,MIN(INT(B741/$C$4)+1,$C$5))</f>
        <v/>
      </c>
      <c r="E741" s="26">
        <f>IF($C$5=0,0,INDEX(Symboles!$G$6:$G$101,D741))</f>
        <v/>
      </c>
      <c r="F741" s="26">
        <f>IF($C$5=0,0,INDEX(Symboles!$H$6:$H$101,D741))</f>
        <v/>
      </c>
      <c r="G741" s="26">
        <f>COS(2*PI()*$C$3*B741)</f>
        <v/>
      </c>
      <c r="H741" s="26">
        <f>SIN(2*PI()*$C$3*B741)</f>
        <v/>
      </c>
      <c r="I741" s="26">
        <f>E741*G741+F741*H741</f>
        <v/>
      </c>
    </row>
    <row r="742">
      <c r="A742" s="7" t="n">
        <v>735</v>
      </c>
      <c r="B742" s="26">
        <f>(A742-1)/2000*$C$2</f>
        <v/>
      </c>
      <c r="C742" s="7">
        <f>INDEX(Bits!$E$25:$E$124,INT(B742)+1)</f>
        <v/>
      </c>
      <c r="D742" s="7">
        <f>MAX(1,MIN(INT(B742/$C$4)+1,$C$5))</f>
        <v/>
      </c>
      <c r="E742" s="26">
        <f>IF($C$5=0,0,INDEX(Symboles!$G$6:$G$101,D742))</f>
        <v/>
      </c>
      <c r="F742" s="26">
        <f>IF($C$5=0,0,INDEX(Symboles!$H$6:$H$101,D742))</f>
        <v/>
      </c>
      <c r="G742" s="26">
        <f>COS(2*PI()*$C$3*B742)</f>
        <v/>
      </c>
      <c r="H742" s="26">
        <f>SIN(2*PI()*$C$3*B742)</f>
        <v/>
      </c>
      <c r="I742" s="26">
        <f>E742*G742+F742*H742</f>
        <v/>
      </c>
    </row>
    <row r="743">
      <c r="A743" s="7" t="n">
        <v>736</v>
      </c>
      <c r="B743" s="26">
        <f>(A743-1)/2000*$C$2</f>
        <v/>
      </c>
      <c r="C743" s="7">
        <f>INDEX(Bits!$E$25:$E$124,INT(B743)+1)</f>
        <v/>
      </c>
      <c r="D743" s="7">
        <f>MAX(1,MIN(INT(B743/$C$4)+1,$C$5))</f>
        <v/>
      </c>
      <c r="E743" s="26">
        <f>IF($C$5=0,0,INDEX(Symboles!$G$6:$G$101,D743))</f>
        <v/>
      </c>
      <c r="F743" s="26">
        <f>IF($C$5=0,0,INDEX(Symboles!$H$6:$H$101,D743))</f>
        <v/>
      </c>
      <c r="G743" s="26">
        <f>COS(2*PI()*$C$3*B743)</f>
        <v/>
      </c>
      <c r="H743" s="26">
        <f>SIN(2*PI()*$C$3*B743)</f>
        <v/>
      </c>
      <c r="I743" s="26">
        <f>E743*G743+F743*H743</f>
        <v/>
      </c>
    </row>
    <row r="744">
      <c r="A744" s="7" t="n">
        <v>737</v>
      </c>
      <c r="B744" s="26">
        <f>(A744-1)/2000*$C$2</f>
        <v/>
      </c>
      <c r="C744" s="7">
        <f>INDEX(Bits!$E$25:$E$124,INT(B744)+1)</f>
        <v/>
      </c>
      <c r="D744" s="7">
        <f>MAX(1,MIN(INT(B744/$C$4)+1,$C$5))</f>
        <v/>
      </c>
      <c r="E744" s="26">
        <f>IF($C$5=0,0,INDEX(Symboles!$G$6:$G$101,D744))</f>
        <v/>
      </c>
      <c r="F744" s="26">
        <f>IF($C$5=0,0,INDEX(Symboles!$H$6:$H$101,D744))</f>
        <v/>
      </c>
      <c r="G744" s="26">
        <f>COS(2*PI()*$C$3*B744)</f>
        <v/>
      </c>
      <c r="H744" s="26">
        <f>SIN(2*PI()*$C$3*B744)</f>
        <v/>
      </c>
      <c r="I744" s="26">
        <f>E744*G744+F744*H744</f>
        <v/>
      </c>
    </row>
    <row r="745">
      <c r="A745" s="7" t="n">
        <v>738</v>
      </c>
      <c r="B745" s="26">
        <f>(A745-1)/2000*$C$2</f>
        <v/>
      </c>
      <c r="C745" s="7">
        <f>INDEX(Bits!$E$25:$E$124,INT(B745)+1)</f>
        <v/>
      </c>
      <c r="D745" s="7">
        <f>MAX(1,MIN(INT(B745/$C$4)+1,$C$5))</f>
        <v/>
      </c>
      <c r="E745" s="26">
        <f>IF($C$5=0,0,INDEX(Symboles!$G$6:$G$101,D745))</f>
        <v/>
      </c>
      <c r="F745" s="26">
        <f>IF($C$5=0,0,INDEX(Symboles!$H$6:$H$101,D745))</f>
        <v/>
      </c>
      <c r="G745" s="26">
        <f>COS(2*PI()*$C$3*B745)</f>
        <v/>
      </c>
      <c r="H745" s="26">
        <f>SIN(2*PI()*$C$3*B745)</f>
        <v/>
      </c>
      <c r="I745" s="26">
        <f>E745*G745+F745*H745</f>
        <v/>
      </c>
    </row>
    <row r="746">
      <c r="A746" s="7" t="n">
        <v>739</v>
      </c>
      <c r="B746" s="26">
        <f>(A746-1)/2000*$C$2</f>
        <v/>
      </c>
      <c r="C746" s="7">
        <f>INDEX(Bits!$E$25:$E$124,INT(B746)+1)</f>
        <v/>
      </c>
      <c r="D746" s="7">
        <f>MAX(1,MIN(INT(B746/$C$4)+1,$C$5))</f>
        <v/>
      </c>
      <c r="E746" s="26">
        <f>IF($C$5=0,0,INDEX(Symboles!$G$6:$G$101,D746))</f>
        <v/>
      </c>
      <c r="F746" s="26">
        <f>IF($C$5=0,0,INDEX(Symboles!$H$6:$H$101,D746))</f>
        <v/>
      </c>
      <c r="G746" s="26">
        <f>COS(2*PI()*$C$3*B746)</f>
        <v/>
      </c>
      <c r="H746" s="26">
        <f>SIN(2*PI()*$C$3*B746)</f>
        <v/>
      </c>
      <c r="I746" s="26">
        <f>E746*G746+F746*H746</f>
        <v/>
      </c>
    </row>
    <row r="747">
      <c r="A747" s="7" t="n">
        <v>740</v>
      </c>
      <c r="B747" s="26">
        <f>(A747-1)/2000*$C$2</f>
        <v/>
      </c>
      <c r="C747" s="7">
        <f>INDEX(Bits!$E$25:$E$124,INT(B747)+1)</f>
        <v/>
      </c>
      <c r="D747" s="7">
        <f>MAX(1,MIN(INT(B747/$C$4)+1,$C$5))</f>
        <v/>
      </c>
      <c r="E747" s="26">
        <f>IF($C$5=0,0,INDEX(Symboles!$G$6:$G$101,D747))</f>
        <v/>
      </c>
      <c r="F747" s="26">
        <f>IF($C$5=0,0,INDEX(Symboles!$H$6:$H$101,D747))</f>
        <v/>
      </c>
      <c r="G747" s="26">
        <f>COS(2*PI()*$C$3*B747)</f>
        <v/>
      </c>
      <c r="H747" s="26">
        <f>SIN(2*PI()*$C$3*B747)</f>
        <v/>
      </c>
      <c r="I747" s="26">
        <f>E747*G747+F747*H747</f>
        <v/>
      </c>
    </row>
    <row r="748">
      <c r="A748" s="7" t="n">
        <v>741</v>
      </c>
      <c r="B748" s="26">
        <f>(A748-1)/2000*$C$2</f>
        <v/>
      </c>
      <c r="C748" s="7">
        <f>INDEX(Bits!$E$25:$E$124,INT(B748)+1)</f>
        <v/>
      </c>
      <c r="D748" s="7">
        <f>MAX(1,MIN(INT(B748/$C$4)+1,$C$5))</f>
        <v/>
      </c>
      <c r="E748" s="26">
        <f>IF($C$5=0,0,INDEX(Symboles!$G$6:$G$101,D748))</f>
        <v/>
      </c>
      <c r="F748" s="26">
        <f>IF($C$5=0,0,INDEX(Symboles!$H$6:$H$101,D748))</f>
        <v/>
      </c>
      <c r="G748" s="26">
        <f>COS(2*PI()*$C$3*B748)</f>
        <v/>
      </c>
      <c r="H748" s="26">
        <f>SIN(2*PI()*$C$3*B748)</f>
        <v/>
      </c>
      <c r="I748" s="26">
        <f>E748*G748+F748*H748</f>
        <v/>
      </c>
    </row>
    <row r="749">
      <c r="A749" s="7" t="n">
        <v>742</v>
      </c>
      <c r="B749" s="26">
        <f>(A749-1)/2000*$C$2</f>
        <v/>
      </c>
      <c r="C749" s="7">
        <f>INDEX(Bits!$E$25:$E$124,INT(B749)+1)</f>
        <v/>
      </c>
      <c r="D749" s="7">
        <f>MAX(1,MIN(INT(B749/$C$4)+1,$C$5))</f>
        <v/>
      </c>
      <c r="E749" s="26">
        <f>IF($C$5=0,0,INDEX(Symboles!$G$6:$G$101,D749))</f>
        <v/>
      </c>
      <c r="F749" s="26">
        <f>IF($C$5=0,0,INDEX(Symboles!$H$6:$H$101,D749))</f>
        <v/>
      </c>
      <c r="G749" s="26">
        <f>COS(2*PI()*$C$3*B749)</f>
        <v/>
      </c>
      <c r="H749" s="26">
        <f>SIN(2*PI()*$C$3*B749)</f>
        <v/>
      </c>
      <c r="I749" s="26">
        <f>E749*G749+F749*H749</f>
        <v/>
      </c>
    </row>
    <row r="750">
      <c r="A750" s="7" t="n">
        <v>743</v>
      </c>
      <c r="B750" s="26">
        <f>(A750-1)/2000*$C$2</f>
        <v/>
      </c>
      <c r="C750" s="7">
        <f>INDEX(Bits!$E$25:$E$124,INT(B750)+1)</f>
        <v/>
      </c>
      <c r="D750" s="7">
        <f>MAX(1,MIN(INT(B750/$C$4)+1,$C$5))</f>
        <v/>
      </c>
      <c r="E750" s="26">
        <f>IF($C$5=0,0,INDEX(Symboles!$G$6:$G$101,D750))</f>
        <v/>
      </c>
      <c r="F750" s="26">
        <f>IF($C$5=0,0,INDEX(Symboles!$H$6:$H$101,D750))</f>
        <v/>
      </c>
      <c r="G750" s="26">
        <f>COS(2*PI()*$C$3*B750)</f>
        <v/>
      </c>
      <c r="H750" s="26">
        <f>SIN(2*PI()*$C$3*B750)</f>
        <v/>
      </c>
      <c r="I750" s="26">
        <f>E750*G750+F750*H750</f>
        <v/>
      </c>
    </row>
    <row r="751">
      <c r="A751" s="7" t="n">
        <v>744</v>
      </c>
      <c r="B751" s="26">
        <f>(A751-1)/2000*$C$2</f>
        <v/>
      </c>
      <c r="C751" s="7">
        <f>INDEX(Bits!$E$25:$E$124,INT(B751)+1)</f>
        <v/>
      </c>
      <c r="D751" s="7">
        <f>MAX(1,MIN(INT(B751/$C$4)+1,$C$5))</f>
        <v/>
      </c>
      <c r="E751" s="26">
        <f>IF($C$5=0,0,INDEX(Symboles!$G$6:$G$101,D751))</f>
        <v/>
      </c>
      <c r="F751" s="26">
        <f>IF($C$5=0,0,INDEX(Symboles!$H$6:$H$101,D751))</f>
        <v/>
      </c>
      <c r="G751" s="26">
        <f>COS(2*PI()*$C$3*B751)</f>
        <v/>
      </c>
      <c r="H751" s="26">
        <f>SIN(2*PI()*$C$3*B751)</f>
        <v/>
      </c>
      <c r="I751" s="26">
        <f>E751*G751+F751*H751</f>
        <v/>
      </c>
    </row>
    <row r="752">
      <c r="A752" s="7" t="n">
        <v>745</v>
      </c>
      <c r="B752" s="26">
        <f>(A752-1)/2000*$C$2</f>
        <v/>
      </c>
      <c r="C752" s="7">
        <f>INDEX(Bits!$E$25:$E$124,INT(B752)+1)</f>
        <v/>
      </c>
      <c r="D752" s="7">
        <f>MAX(1,MIN(INT(B752/$C$4)+1,$C$5))</f>
        <v/>
      </c>
      <c r="E752" s="26">
        <f>IF($C$5=0,0,INDEX(Symboles!$G$6:$G$101,D752))</f>
        <v/>
      </c>
      <c r="F752" s="26">
        <f>IF($C$5=0,0,INDEX(Symboles!$H$6:$H$101,D752))</f>
        <v/>
      </c>
      <c r="G752" s="26">
        <f>COS(2*PI()*$C$3*B752)</f>
        <v/>
      </c>
      <c r="H752" s="26">
        <f>SIN(2*PI()*$C$3*B752)</f>
        <v/>
      </c>
      <c r="I752" s="26">
        <f>E752*G752+F752*H752</f>
        <v/>
      </c>
    </row>
    <row r="753">
      <c r="A753" s="7" t="n">
        <v>746</v>
      </c>
      <c r="B753" s="26">
        <f>(A753-1)/2000*$C$2</f>
        <v/>
      </c>
      <c r="C753" s="7">
        <f>INDEX(Bits!$E$25:$E$124,INT(B753)+1)</f>
        <v/>
      </c>
      <c r="D753" s="7">
        <f>MAX(1,MIN(INT(B753/$C$4)+1,$C$5))</f>
        <v/>
      </c>
      <c r="E753" s="26">
        <f>IF($C$5=0,0,INDEX(Symboles!$G$6:$G$101,D753))</f>
        <v/>
      </c>
      <c r="F753" s="26">
        <f>IF($C$5=0,0,INDEX(Symboles!$H$6:$H$101,D753))</f>
        <v/>
      </c>
      <c r="G753" s="26">
        <f>COS(2*PI()*$C$3*B753)</f>
        <v/>
      </c>
      <c r="H753" s="26">
        <f>SIN(2*PI()*$C$3*B753)</f>
        <v/>
      </c>
      <c r="I753" s="26">
        <f>E753*G753+F753*H753</f>
        <v/>
      </c>
    </row>
    <row r="754">
      <c r="A754" s="7" t="n">
        <v>747</v>
      </c>
      <c r="B754" s="26">
        <f>(A754-1)/2000*$C$2</f>
        <v/>
      </c>
      <c r="C754" s="7">
        <f>INDEX(Bits!$E$25:$E$124,INT(B754)+1)</f>
        <v/>
      </c>
      <c r="D754" s="7">
        <f>MAX(1,MIN(INT(B754/$C$4)+1,$C$5))</f>
        <v/>
      </c>
      <c r="E754" s="26">
        <f>IF($C$5=0,0,INDEX(Symboles!$G$6:$G$101,D754))</f>
        <v/>
      </c>
      <c r="F754" s="26">
        <f>IF($C$5=0,0,INDEX(Symboles!$H$6:$H$101,D754))</f>
        <v/>
      </c>
      <c r="G754" s="26">
        <f>COS(2*PI()*$C$3*B754)</f>
        <v/>
      </c>
      <c r="H754" s="26">
        <f>SIN(2*PI()*$C$3*B754)</f>
        <v/>
      </c>
      <c r="I754" s="26">
        <f>E754*G754+F754*H754</f>
        <v/>
      </c>
    </row>
    <row r="755">
      <c r="A755" s="7" t="n">
        <v>748</v>
      </c>
      <c r="B755" s="26">
        <f>(A755-1)/2000*$C$2</f>
        <v/>
      </c>
      <c r="C755" s="7">
        <f>INDEX(Bits!$E$25:$E$124,INT(B755)+1)</f>
        <v/>
      </c>
      <c r="D755" s="7">
        <f>MAX(1,MIN(INT(B755/$C$4)+1,$C$5))</f>
        <v/>
      </c>
      <c r="E755" s="26">
        <f>IF($C$5=0,0,INDEX(Symboles!$G$6:$G$101,D755))</f>
        <v/>
      </c>
      <c r="F755" s="26">
        <f>IF($C$5=0,0,INDEX(Symboles!$H$6:$H$101,D755))</f>
        <v/>
      </c>
      <c r="G755" s="26">
        <f>COS(2*PI()*$C$3*B755)</f>
        <v/>
      </c>
      <c r="H755" s="26">
        <f>SIN(2*PI()*$C$3*B755)</f>
        <v/>
      </c>
      <c r="I755" s="26">
        <f>E755*G755+F755*H755</f>
        <v/>
      </c>
    </row>
    <row r="756">
      <c r="A756" s="7" t="n">
        <v>749</v>
      </c>
      <c r="B756" s="26">
        <f>(A756-1)/2000*$C$2</f>
        <v/>
      </c>
      <c r="C756" s="7">
        <f>INDEX(Bits!$E$25:$E$124,INT(B756)+1)</f>
        <v/>
      </c>
      <c r="D756" s="7">
        <f>MAX(1,MIN(INT(B756/$C$4)+1,$C$5))</f>
        <v/>
      </c>
      <c r="E756" s="26">
        <f>IF($C$5=0,0,INDEX(Symboles!$G$6:$G$101,D756))</f>
        <v/>
      </c>
      <c r="F756" s="26">
        <f>IF($C$5=0,0,INDEX(Symboles!$H$6:$H$101,D756))</f>
        <v/>
      </c>
      <c r="G756" s="26">
        <f>COS(2*PI()*$C$3*B756)</f>
        <v/>
      </c>
      <c r="H756" s="26">
        <f>SIN(2*PI()*$C$3*B756)</f>
        <v/>
      </c>
      <c r="I756" s="26">
        <f>E756*G756+F756*H756</f>
        <v/>
      </c>
    </row>
    <row r="757">
      <c r="A757" s="7" t="n">
        <v>750</v>
      </c>
      <c r="B757" s="26">
        <f>(A757-1)/2000*$C$2</f>
        <v/>
      </c>
      <c r="C757" s="7">
        <f>INDEX(Bits!$E$25:$E$124,INT(B757)+1)</f>
        <v/>
      </c>
      <c r="D757" s="7">
        <f>MAX(1,MIN(INT(B757/$C$4)+1,$C$5))</f>
        <v/>
      </c>
      <c r="E757" s="26">
        <f>IF($C$5=0,0,INDEX(Symboles!$G$6:$G$101,D757))</f>
        <v/>
      </c>
      <c r="F757" s="26">
        <f>IF($C$5=0,0,INDEX(Symboles!$H$6:$H$101,D757))</f>
        <v/>
      </c>
      <c r="G757" s="26">
        <f>COS(2*PI()*$C$3*B757)</f>
        <v/>
      </c>
      <c r="H757" s="26">
        <f>SIN(2*PI()*$C$3*B757)</f>
        <v/>
      </c>
      <c r="I757" s="26">
        <f>E757*G757+F757*H757</f>
        <v/>
      </c>
    </row>
    <row r="758">
      <c r="A758" s="7" t="n">
        <v>751</v>
      </c>
      <c r="B758" s="26">
        <f>(A758-1)/2000*$C$2</f>
        <v/>
      </c>
      <c r="C758" s="7">
        <f>INDEX(Bits!$E$25:$E$124,INT(B758)+1)</f>
        <v/>
      </c>
      <c r="D758" s="7">
        <f>MAX(1,MIN(INT(B758/$C$4)+1,$C$5))</f>
        <v/>
      </c>
      <c r="E758" s="26">
        <f>IF($C$5=0,0,INDEX(Symboles!$G$6:$G$101,D758))</f>
        <v/>
      </c>
      <c r="F758" s="26">
        <f>IF($C$5=0,0,INDEX(Symboles!$H$6:$H$101,D758))</f>
        <v/>
      </c>
      <c r="G758" s="26">
        <f>COS(2*PI()*$C$3*B758)</f>
        <v/>
      </c>
      <c r="H758" s="26">
        <f>SIN(2*PI()*$C$3*B758)</f>
        <v/>
      </c>
      <c r="I758" s="26">
        <f>E758*G758+F758*H758</f>
        <v/>
      </c>
    </row>
    <row r="759">
      <c r="A759" s="7" t="n">
        <v>752</v>
      </c>
      <c r="B759" s="26">
        <f>(A759-1)/2000*$C$2</f>
        <v/>
      </c>
      <c r="C759" s="7">
        <f>INDEX(Bits!$E$25:$E$124,INT(B759)+1)</f>
        <v/>
      </c>
      <c r="D759" s="7">
        <f>MAX(1,MIN(INT(B759/$C$4)+1,$C$5))</f>
        <v/>
      </c>
      <c r="E759" s="26">
        <f>IF($C$5=0,0,INDEX(Symboles!$G$6:$G$101,D759))</f>
        <v/>
      </c>
      <c r="F759" s="26">
        <f>IF($C$5=0,0,INDEX(Symboles!$H$6:$H$101,D759))</f>
        <v/>
      </c>
      <c r="G759" s="26">
        <f>COS(2*PI()*$C$3*B759)</f>
        <v/>
      </c>
      <c r="H759" s="26">
        <f>SIN(2*PI()*$C$3*B759)</f>
        <v/>
      </c>
      <c r="I759" s="26">
        <f>E759*G759+F759*H759</f>
        <v/>
      </c>
    </row>
    <row r="760">
      <c r="A760" s="7" t="n">
        <v>753</v>
      </c>
      <c r="B760" s="26">
        <f>(A760-1)/2000*$C$2</f>
        <v/>
      </c>
      <c r="C760" s="7">
        <f>INDEX(Bits!$E$25:$E$124,INT(B760)+1)</f>
        <v/>
      </c>
      <c r="D760" s="7">
        <f>MAX(1,MIN(INT(B760/$C$4)+1,$C$5))</f>
        <v/>
      </c>
      <c r="E760" s="26">
        <f>IF($C$5=0,0,INDEX(Symboles!$G$6:$G$101,D760))</f>
        <v/>
      </c>
      <c r="F760" s="26">
        <f>IF($C$5=0,0,INDEX(Symboles!$H$6:$H$101,D760))</f>
        <v/>
      </c>
      <c r="G760" s="26">
        <f>COS(2*PI()*$C$3*B760)</f>
        <v/>
      </c>
      <c r="H760" s="26">
        <f>SIN(2*PI()*$C$3*B760)</f>
        <v/>
      </c>
      <c r="I760" s="26">
        <f>E760*G760+F760*H760</f>
        <v/>
      </c>
    </row>
    <row r="761">
      <c r="A761" s="7" t="n">
        <v>754</v>
      </c>
      <c r="B761" s="26">
        <f>(A761-1)/2000*$C$2</f>
        <v/>
      </c>
      <c r="C761" s="7">
        <f>INDEX(Bits!$E$25:$E$124,INT(B761)+1)</f>
        <v/>
      </c>
      <c r="D761" s="7">
        <f>MAX(1,MIN(INT(B761/$C$4)+1,$C$5))</f>
        <v/>
      </c>
      <c r="E761" s="26">
        <f>IF($C$5=0,0,INDEX(Symboles!$G$6:$G$101,D761))</f>
        <v/>
      </c>
      <c r="F761" s="26">
        <f>IF($C$5=0,0,INDEX(Symboles!$H$6:$H$101,D761))</f>
        <v/>
      </c>
      <c r="G761" s="26">
        <f>COS(2*PI()*$C$3*B761)</f>
        <v/>
      </c>
      <c r="H761" s="26">
        <f>SIN(2*PI()*$C$3*B761)</f>
        <v/>
      </c>
      <c r="I761" s="26">
        <f>E761*G761+F761*H761</f>
        <v/>
      </c>
    </row>
    <row r="762">
      <c r="A762" s="7" t="n">
        <v>755</v>
      </c>
      <c r="B762" s="26">
        <f>(A762-1)/2000*$C$2</f>
        <v/>
      </c>
      <c r="C762" s="7">
        <f>INDEX(Bits!$E$25:$E$124,INT(B762)+1)</f>
        <v/>
      </c>
      <c r="D762" s="7">
        <f>MAX(1,MIN(INT(B762/$C$4)+1,$C$5))</f>
        <v/>
      </c>
      <c r="E762" s="26">
        <f>IF($C$5=0,0,INDEX(Symboles!$G$6:$G$101,D762))</f>
        <v/>
      </c>
      <c r="F762" s="26">
        <f>IF($C$5=0,0,INDEX(Symboles!$H$6:$H$101,D762))</f>
        <v/>
      </c>
      <c r="G762" s="26">
        <f>COS(2*PI()*$C$3*B762)</f>
        <v/>
      </c>
      <c r="H762" s="26">
        <f>SIN(2*PI()*$C$3*B762)</f>
        <v/>
      </c>
      <c r="I762" s="26">
        <f>E762*G762+F762*H762</f>
        <v/>
      </c>
    </row>
    <row r="763">
      <c r="A763" s="7" t="n">
        <v>756</v>
      </c>
      <c r="B763" s="26">
        <f>(A763-1)/2000*$C$2</f>
        <v/>
      </c>
      <c r="C763" s="7">
        <f>INDEX(Bits!$E$25:$E$124,INT(B763)+1)</f>
        <v/>
      </c>
      <c r="D763" s="7">
        <f>MAX(1,MIN(INT(B763/$C$4)+1,$C$5))</f>
        <v/>
      </c>
      <c r="E763" s="26">
        <f>IF($C$5=0,0,INDEX(Symboles!$G$6:$G$101,D763))</f>
        <v/>
      </c>
      <c r="F763" s="26">
        <f>IF($C$5=0,0,INDEX(Symboles!$H$6:$H$101,D763))</f>
        <v/>
      </c>
      <c r="G763" s="26">
        <f>COS(2*PI()*$C$3*B763)</f>
        <v/>
      </c>
      <c r="H763" s="26">
        <f>SIN(2*PI()*$C$3*B763)</f>
        <v/>
      </c>
      <c r="I763" s="26">
        <f>E763*G763+F763*H763</f>
        <v/>
      </c>
    </row>
    <row r="764">
      <c r="A764" s="7" t="n">
        <v>757</v>
      </c>
      <c r="B764" s="26">
        <f>(A764-1)/2000*$C$2</f>
        <v/>
      </c>
      <c r="C764" s="7">
        <f>INDEX(Bits!$E$25:$E$124,INT(B764)+1)</f>
        <v/>
      </c>
      <c r="D764" s="7">
        <f>MAX(1,MIN(INT(B764/$C$4)+1,$C$5))</f>
        <v/>
      </c>
      <c r="E764" s="26">
        <f>IF($C$5=0,0,INDEX(Symboles!$G$6:$G$101,D764))</f>
        <v/>
      </c>
      <c r="F764" s="26">
        <f>IF($C$5=0,0,INDEX(Symboles!$H$6:$H$101,D764))</f>
        <v/>
      </c>
      <c r="G764" s="26">
        <f>COS(2*PI()*$C$3*B764)</f>
        <v/>
      </c>
      <c r="H764" s="26">
        <f>SIN(2*PI()*$C$3*B764)</f>
        <v/>
      </c>
      <c r="I764" s="26">
        <f>E764*G764+F764*H764</f>
        <v/>
      </c>
    </row>
    <row r="765">
      <c r="A765" s="7" t="n">
        <v>758</v>
      </c>
      <c r="B765" s="26">
        <f>(A765-1)/2000*$C$2</f>
        <v/>
      </c>
      <c r="C765" s="7">
        <f>INDEX(Bits!$E$25:$E$124,INT(B765)+1)</f>
        <v/>
      </c>
      <c r="D765" s="7">
        <f>MAX(1,MIN(INT(B765/$C$4)+1,$C$5))</f>
        <v/>
      </c>
      <c r="E765" s="26">
        <f>IF($C$5=0,0,INDEX(Symboles!$G$6:$G$101,D765))</f>
        <v/>
      </c>
      <c r="F765" s="26">
        <f>IF($C$5=0,0,INDEX(Symboles!$H$6:$H$101,D765))</f>
        <v/>
      </c>
      <c r="G765" s="26">
        <f>COS(2*PI()*$C$3*B765)</f>
        <v/>
      </c>
      <c r="H765" s="26">
        <f>SIN(2*PI()*$C$3*B765)</f>
        <v/>
      </c>
      <c r="I765" s="26">
        <f>E765*G765+F765*H765</f>
        <v/>
      </c>
    </row>
    <row r="766">
      <c r="A766" s="7" t="n">
        <v>759</v>
      </c>
      <c r="B766" s="26">
        <f>(A766-1)/2000*$C$2</f>
        <v/>
      </c>
      <c r="C766" s="7">
        <f>INDEX(Bits!$E$25:$E$124,INT(B766)+1)</f>
        <v/>
      </c>
      <c r="D766" s="7">
        <f>MAX(1,MIN(INT(B766/$C$4)+1,$C$5))</f>
        <v/>
      </c>
      <c r="E766" s="26">
        <f>IF($C$5=0,0,INDEX(Symboles!$G$6:$G$101,D766))</f>
        <v/>
      </c>
      <c r="F766" s="26">
        <f>IF($C$5=0,0,INDEX(Symboles!$H$6:$H$101,D766))</f>
        <v/>
      </c>
      <c r="G766" s="26">
        <f>COS(2*PI()*$C$3*B766)</f>
        <v/>
      </c>
      <c r="H766" s="26">
        <f>SIN(2*PI()*$C$3*B766)</f>
        <v/>
      </c>
      <c r="I766" s="26">
        <f>E766*G766+F766*H766</f>
        <v/>
      </c>
    </row>
    <row r="767">
      <c r="A767" s="7" t="n">
        <v>760</v>
      </c>
      <c r="B767" s="26">
        <f>(A767-1)/2000*$C$2</f>
        <v/>
      </c>
      <c r="C767" s="7">
        <f>INDEX(Bits!$E$25:$E$124,INT(B767)+1)</f>
        <v/>
      </c>
      <c r="D767" s="7">
        <f>MAX(1,MIN(INT(B767/$C$4)+1,$C$5))</f>
        <v/>
      </c>
      <c r="E767" s="26">
        <f>IF($C$5=0,0,INDEX(Symboles!$G$6:$G$101,D767))</f>
        <v/>
      </c>
      <c r="F767" s="26">
        <f>IF($C$5=0,0,INDEX(Symboles!$H$6:$H$101,D767))</f>
        <v/>
      </c>
      <c r="G767" s="26">
        <f>COS(2*PI()*$C$3*B767)</f>
        <v/>
      </c>
      <c r="H767" s="26">
        <f>SIN(2*PI()*$C$3*B767)</f>
        <v/>
      </c>
      <c r="I767" s="26">
        <f>E767*G767+F767*H767</f>
        <v/>
      </c>
    </row>
    <row r="768">
      <c r="A768" s="7" t="n">
        <v>761</v>
      </c>
      <c r="B768" s="26">
        <f>(A768-1)/2000*$C$2</f>
        <v/>
      </c>
      <c r="C768" s="7">
        <f>INDEX(Bits!$E$25:$E$124,INT(B768)+1)</f>
        <v/>
      </c>
      <c r="D768" s="7">
        <f>MAX(1,MIN(INT(B768/$C$4)+1,$C$5))</f>
        <v/>
      </c>
      <c r="E768" s="26">
        <f>IF($C$5=0,0,INDEX(Symboles!$G$6:$G$101,D768))</f>
        <v/>
      </c>
      <c r="F768" s="26">
        <f>IF($C$5=0,0,INDEX(Symboles!$H$6:$H$101,D768))</f>
        <v/>
      </c>
      <c r="G768" s="26">
        <f>COS(2*PI()*$C$3*B768)</f>
        <v/>
      </c>
      <c r="H768" s="26">
        <f>SIN(2*PI()*$C$3*B768)</f>
        <v/>
      </c>
      <c r="I768" s="26">
        <f>E768*G768+F768*H768</f>
        <v/>
      </c>
    </row>
    <row r="769">
      <c r="A769" s="7" t="n">
        <v>762</v>
      </c>
      <c r="B769" s="26">
        <f>(A769-1)/2000*$C$2</f>
        <v/>
      </c>
      <c r="C769" s="7">
        <f>INDEX(Bits!$E$25:$E$124,INT(B769)+1)</f>
        <v/>
      </c>
      <c r="D769" s="7">
        <f>MAX(1,MIN(INT(B769/$C$4)+1,$C$5))</f>
        <v/>
      </c>
      <c r="E769" s="26">
        <f>IF($C$5=0,0,INDEX(Symboles!$G$6:$G$101,D769))</f>
        <v/>
      </c>
      <c r="F769" s="26">
        <f>IF($C$5=0,0,INDEX(Symboles!$H$6:$H$101,D769))</f>
        <v/>
      </c>
      <c r="G769" s="26">
        <f>COS(2*PI()*$C$3*B769)</f>
        <v/>
      </c>
      <c r="H769" s="26">
        <f>SIN(2*PI()*$C$3*B769)</f>
        <v/>
      </c>
      <c r="I769" s="26">
        <f>E769*G769+F769*H769</f>
        <v/>
      </c>
    </row>
    <row r="770">
      <c r="A770" s="7" t="n">
        <v>763</v>
      </c>
      <c r="B770" s="26">
        <f>(A770-1)/2000*$C$2</f>
        <v/>
      </c>
      <c r="C770" s="7">
        <f>INDEX(Bits!$E$25:$E$124,INT(B770)+1)</f>
        <v/>
      </c>
      <c r="D770" s="7">
        <f>MAX(1,MIN(INT(B770/$C$4)+1,$C$5))</f>
        <v/>
      </c>
      <c r="E770" s="26">
        <f>IF($C$5=0,0,INDEX(Symboles!$G$6:$G$101,D770))</f>
        <v/>
      </c>
      <c r="F770" s="26">
        <f>IF($C$5=0,0,INDEX(Symboles!$H$6:$H$101,D770))</f>
        <v/>
      </c>
      <c r="G770" s="26">
        <f>COS(2*PI()*$C$3*B770)</f>
        <v/>
      </c>
      <c r="H770" s="26">
        <f>SIN(2*PI()*$C$3*B770)</f>
        <v/>
      </c>
      <c r="I770" s="26">
        <f>E770*G770+F770*H770</f>
        <v/>
      </c>
    </row>
    <row r="771">
      <c r="A771" s="7" t="n">
        <v>764</v>
      </c>
      <c r="B771" s="26">
        <f>(A771-1)/2000*$C$2</f>
        <v/>
      </c>
      <c r="C771" s="7">
        <f>INDEX(Bits!$E$25:$E$124,INT(B771)+1)</f>
        <v/>
      </c>
      <c r="D771" s="7">
        <f>MAX(1,MIN(INT(B771/$C$4)+1,$C$5))</f>
        <v/>
      </c>
      <c r="E771" s="26">
        <f>IF($C$5=0,0,INDEX(Symboles!$G$6:$G$101,D771))</f>
        <v/>
      </c>
      <c r="F771" s="26">
        <f>IF($C$5=0,0,INDEX(Symboles!$H$6:$H$101,D771))</f>
        <v/>
      </c>
      <c r="G771" s="26">
        <f>COS(2*PI()*$C$3*B771)</f>
        <v/>
      </c>
      <c r="H771" s="26">
        <f>SIN(2*PI()*$C$3*B771)</f>
        <v/>
      </c>
      <c r="I771" s="26">
        <f>E771*G771+F771*H771</f>
        <v/>
      </c>
    </row>
    <row r="772">
      <c r="A772" s="7" t="n">
        <v>765</v>
      </c>
      <c r="B772" s="26">
        <f>(A772-1)/2000*$C$2</f>
        <v/>
      </c>
      <c r="C772" s="7">
        <f>INDEX(Bits!$E$25:$E$124,INT(B772)+1)</f>
        <v/>
      </c>
      <c r="D772" s="7">
        <f>MAX(1,MIN(INT(B772/$C$4)+1,$C$5))</f>
        <v/>
      </c>
      <c r="E772" s="26">
        <f>IF($C$5=0,0,INDEX(Symboles!$G$6:$G$101,D772))</f>
        <v/>
      </c>
      <c r="F772" s="26">
        <f>IF($C$5=0,0,INDEX(Symboles!$H$6:$H$101,D772))</f>
        <v/>
      </c>
      <c r="G772" s="26">
        <f>COS(2*PI()*$C$3*B772)</f>
        <v/>
      </c>
      <c r="H772" s="26">
        <f>SIN(2*PI()*$C$3*B772)</f>
        <v/>
      </c>
      <c r="I772" s="26">
        <f>E772*G772+F772*H772</f>
        <v/>
      </c>
    </row>
    <row r="773">
      <c r="A773" s="7" t="n">
        <v>766</v>
      </c>
      <c r="B773" s="26">
        <f>(A773-1)/2000*$C$2</f>
        <v/>
      </c>
      <c r="C773" s="7">
        <f>INDEX(Bits!$E$25:$E$124,INT(B773)+1)</f>
        <v/>
      </c>
      <c r="D773" s="7">
        <f>MAX(1,MIN(INT(B773/$C$4)+1,$C$5))</f>
        <v/>
      </c>
      <c r="E773" s="26">
        <f>IF($C$5=0,0,INDEX(Symboles!$G$6:$G$101,D773))</f>
        <v/>
      </c>
      <c r="F773" s="26">
        <f>IF($C$5=0,0,INDEX(Symboles!$H$6:$H$101,D773))</f>
        <v/>
      </c>
      <c r="G773" s="26">
        <f>COS(2*PI()*$C$3*B773)</f>
        <v/>
      </c>
      <c r="H773" s="26">
        <f>SIN(2*PI()*$C$3*B773)</f>
        <v/>
      </c>
      <c r="I773" s="26">
        <f>E773*G773+F773*H773</f>
        <v/>
      </c>
    </row>
    <row r="774">
      <c r="A774" s="7" t="n">
        <v>767</v>
      </c>
      <c r="B774" s="26">
        <f>(A774-1)/2000*$C$2</f>
        <v/>
      </c>
      <c r="C774" s="7">
        <f>INDEX(Bits!$E$25:$E$124,INT(B774)+1)</f>
        <v/>
      </c>
      <c r="D774" s="7">
        <f>MAX(1,MIN(INT(B774/$C$4)+1,$C$5))</f>
        <v/>
      </c>
      <c r="E774" s="26">
        <f>IF($C$5=0,0,INDEX(Symboles!$G$6:$G$101,D774))</f>
        <v/>
      </c>
      <c r="F774" s="26">
        <f>IF($C$5=0,0,INDEX(Symboles!$H$6:$H$101,D774))</f>
        <v/>
      </c>
      <c r="G774" s="26">
        <f>COS(2*PI()*$C$3*B774)</f>
        <v/>
      </c>
      <c r="H774" s="26">
        <f>SIN(2*PI()*$C$3*B774)</f>
        <v/>
      </c>
      <c r="I774" s="26">
        <f>E774*G774+F774*H774</f>
        <v/>
      </c>
    </row>
    <row r="775">
      <c r="A775" s="7" t="n">
        <v>768</v>
      </c>
      <c r="B775" s="26">
        <f>(A775-1)/2000*$C$2</f>
        <v/>
      </c>
      <c r="C775" s="7">
        <f>INDEX(Bits!$E$25:$E$124,INT(B775)+1)</f>
        <v/>
      </c>
      <c r="D775" s="7">
        <f>MAX(1,MIN(INT(B775/$C$4)+1,$C$5))</f>
        <v/>
      </c>
      <c r="E775" s="26">
        <f>IF($C$5=0,0,INDEX(Symboles!$G$6:$G$101,D775))</f>
        <v/>
      </c>
      <c r="F775" s="26">
        <f>IF($C$5=0,0,INDEX(Symboles!$H$6:$H$101,D775))</f>
        <v/>
      </c>
      <c r="G775" s="26">
        <f>COS(2*PI()*$C$3*B775)</f>
        <v/>
      </c>
      <c r="H775" s="26">
        <f>SIN(2*PI()*$C$3*B775)</f>
        <v/>
      </c>
      <c r="I775" s="26">
        <f>E775*G775+F775*H775</f>
        <v/>
      </c>
    </row>
    <row r="776">
      <c r="A776" s="7" t="n">
        <v>769</v>
      </c>
      <c r="B776" s="26">
        <f>(A776-1)/2000*$C$2</f>
        <v/>
      </c>
      <c r="C776" s="7">
        <f>INDEX(Bits!$E$25:$E$124,INT(B776)+1)</f>
        <v/>
      </c>
      <c r="D776" s="7">
        <f>MAX(1,MIN(INT(B776/$C$4)+1,$C$5))</f>
        <v/>
      </c>
      <c r="E776" s="26">
        <f>IF($C$5=0,0,INDEX(Symboles!$G$6:$G$101,D776))</f>
        <v/>
      </c>
      <c r="F776" s="26">
        <f>IF($C$5=0,0,INDEX(Symboles!$H$6:$H$101,D776))</f>
        <v/>
      </c>
      <c r="G776" s="26">
        <f>COS(2*PI()*$C$3*B776)</f>
        <v/>
      </c>
      <c r="H776" s="26">
        <f>SIN(2*PI()*$C$3*B776)</f>
        <v/>
      </c>
      <c r="I776" s="26">
        <f>E776*G776+F776*H776</f>
        <v/>
      </c>
    </row>
    <row r="777">
      <c r="A777" s="7" t="n">
        <v>770</v>
      </c>
      <c r="B777" s="26">
        <f>(A777-1)/2000*$C$2</f>
        <v/>
      </c>
      <c r="C777" s="7">
        <f>INDEX(Bits!$E$25:$E$124,INT(B777)+1)</f>
        <v/>
      </c>
      <c r="D777" s="7">
        <f>MAX(1,MIN(INT(B777/$C$4)+1,$C$5))</f>
        <v/>
      </c>
      <c r="E777" s="26">
        <f>IF($C$5=0,0,INDEX(Symboles!$G$6:$G$101,D777))</f>
        <v/>
      </c>
      <c r="F777" s="26">
        <f>IF($C$5=0,0,INDEX(Symboles!$H$6:$H$101,D777))</f>
        <v/>
      </c>
      <c r="G777" s="26">
        <f>COS(2*PI()*$C$3*B777)</f>
        <v/>
      </c>
      <c r="H777" s="26">
        <f>SIN(2*PI()*$C$3*B777)</f>
        <v/>
      </c>
      <c r="I777" s="26">
        <f>E777*G777+F777*H777</f>
        <v/>
      </c>
    </row>
    <row r="778">
      <c r="A778" s="7" t="n">
        <v>771</v>
      </c>
      <c r="B778" s="26">
        <f>(A778-1)/2000*$C$2</f>
        <v/>
      </c>
      <c r="C778" s="7">
        <f>INDEX(Bits!$E$25:$E$124,INT(B778)+1)</f>
        <v/>
      </c>
      <c r="D778" s="7">
        <f>MAX(1,MIN(INT(B778/$C$4)+1,$C$5))</f>
        <v/>
      </c>
      <c r="E778" s="26">
        <f>IF($C$5=0,0,INDEX(Symboles!$G$6:$G$101,D778))</f>
        <v/>
      </c>
      <c r="F778" s="26">
        <f>IF($C$5=0,0,INDEX(Symboles!$H$6:$H$101,D778))</f>
        <v/>
      </c>
      <c r="G778" s="26">
        <f>COS(2*PI()*$C$3*B778)</f>
        <v/>
      </c>
      <c r="H778" s="26">
        <f>SIN(2*PI()*$C$3*B778)</f>
        <v/>
      </c>
      <c r="I778" s="26">
        <f>E778*G778+F778*H778</f>
        <v/>
      </c>
    </row>
    <row r="779">
      <c r="A779" s="7" t="n">
        <v>772</v>
      </c>
      <c r="B779" s="26">
        <f>(A779-1)/2000*$C$2</f>
        <v/>
      </c>
      <c r="C779" s="7">
        <f>INDEX(Bits!$E$25:$E$124,INT(B779)+1)</f>
        <v/>
      </c>
      <c r="D779" s="7">
        <f>MAX(1,MIN(INT(B779/$C$4)+1,$C$5))</f>
        <v/>
      </c>
      <c r="E779" s="26">
        <f>IF($C$5=0,0,INDEX(Symboles!$G$6:$G$101,D779))</f>
        <v/>
      </c>
      <c r="F779" s="26">
        <f>IF($C$5=0,0,INDEX(Symboles!$H$6:$H$101,D779))</f>
        <v/>
      </c>
      <c r="G779" s="26">
        <f>COS(2*PI()*$C$3*B779)</f>
        <v/>
      </c>
      <c r="H779" s="26">
        <f>SIN(2*PI()*$C$3*B779)</f>
        <v/>
      </c>
      <c r="I779" s="26">
        <f>E779*G779+F779*H779</f>
        <v/>
      </c>
    </row>
    <row r="780">
      <c r="A780" s="7" t="n">
        <v>773</v>
      </c>
      <c r="B780" s="26">
        <f>(A780-1)/2000*$C$2</f>
        <v/>
      </c>
      <c r="C780" s="7">
        <f>INDEX(Bits!$E$25:$E$124,INT(B780)+1)</f>
        <v/>
      </c>
      <c r="D780" s="7">
        <f>MAX(1,MIN(INT(B780/$C$4)+1,$C$5))</f>
        <v/>
      </c>
      <c r="E780" s="26">
        <f>IF($C$5=0,0,INDEX(Symboles!$G$6:$G$101,D780))</f>
        <v/>
      </c>
      <c r="F780" s="26">
        <f>IF($C$5=0,0,INDEX(Symboles!$H$6:$H$101,D780))</f>
        <v/>
      </c>
      <c r="G780" s="26">
        <f>COS(2*PI()*$C$3*B780)</f>
        <v/>
      </c>
      <c r="H780" s="26">
        <f>SIN(2*PI()*$C$3*B780)</f>
        <v/>
      </c>
      <c r="I780" s="26">
        <f>E780*G780+F780*H780</f>
        <v/>
      </c>
    </row>
    <row r="781">
      <c r="A781" s="7" t="n">
        <v>774</v>
      </c>
      <c r="B781" s="26">
        <f>(A781-1)/2000*$C$2</f>
        <v/>
      </c>
      <c r="C781" s="7">
        <f>INDEX(Bits!$E$25:$E$124,INT(B781)+1)</f>
        <v/>
      </c>
      <c r="D781" s="7">
        <f>MAX(1,MIN(INT(B781/$C$4)+1,$C$5))</f>
        <v/>
      </c>
      <c r="E781" s="26">
        <f>IF($C$5=0,0,INDEX(Symboles!$G$6:$G$101,D781))</f>
        <v/>
      </c>
      <c r="F781" s="26">
        <f>IF($C$5=0,0,INDEX(Symboles!$H$6:$H$101,D781))</f>
        <v/>
      </c>
      <c r="G781" s="26">
        <f>COS(2*PI()*$C$3*B781)</f>
        <v/>
      </c>
      <c r="H781" s="26">
        <f>SIN(2*PI()*$C$3*B781)</f>
        <v/>
      </c>
      <c r="I781" s="26">
        <f>E781*G781+F781*H781</f>
        <v/>
      </c>
    </row>
    <row r="782">
      <c r="A782" s="7" t="n">
        <v>775</v>
      </c>
      <c r="B782" s="26">
        <f>(A782-1)/2000*$C$2</f>
        <v/>
      </c>
      <c r="C782" s="7">
        <f>INDEX(Bits!$E$25:$E$124,INT(B782)+1)</f>
        <v/>
      </c>
      <c r="D782" s="7">
        <f>MAX(1,MIN(INT(B782/$C$4)+1,$C$5))</f>
        <v/>
      </c>
      <c r="E782" s="26">
        <f>IF($C$5=0,0,INDEX(Symboles!$G$6:$G$101,D782))</f>
        <v/>
      </c>
      <c r="F782" s="26">
        <f>IF($C$5=0,0,INDEX(Symboles!$H$6:$H$101,D782))</f>
        <v/>
      </c>
      <c r="G782" s="26">
        <f>COS(2*PI()*$C$3*B782)</f>
        <v/>
      </c>
      <c r="H782" s="26">
        <f>SIN(2*PI()*$C$3*B782)</f>
        <v/>
      </c>
      <c r="I782" s="26">
        <f>E782*G782+F782*H782</f>
        <v/>
      </c>
    </row>
    <row r="783">
      <c r="A783" s="7" t="n">
        <v>776</v>
      </c>
      <c r="B783" s="26">
        <f>(A783-1)/2000*$C$2</f>
        <v/>
      </c>
      <c r="C783" s="7">
        <f>INDEX(Bits!$E$25:$E$124,INT(B783)+1)</f>
        <v/>
      </c>
      <c r="D783" s="7">
        <f>MAX(1,MIN(INT(B783/$C$4)+1,$C$5))</f>
        <v/>
      </c>
      <c r="E783" s="26">
        <f>IF($C$5=0,0,INDEX(Symboles!$G$6:$G$101,D783))</f>
        <v/>
      </c>
      <c r="F783" s="26">
        <f>IF($C$5=0,0,INDEX(Symboles!$H$6:$H$101,D783))</f>
        <v/>
      </c>
      <c r="G783" s="26">
        <f>COS(2*PI()*$C$3*B783)</f>
        <v/>
      </c>
      <c r="H783" s="26">
        <f>SIN(2*PI()*$C$3*B783)</f>
        <v/>
      </c>
      <c r="I783" s="26">
        <f>E783*G783+F783*H783</f>
        <v/>
      </c>
    </row>
    <row r="784">
      <c r="A784" s="7" t="n">
        <v>777</v>
      </c>
      <c r="B784" s="26">
        <f>(A784-1)/2000*$C$2</f>
        <v/>
      </c>
      <c r="C784" s="7">
        <f>INDEX(Bits!$E$25:$E$124,INT(B784)+1)</f>
        <v/>
      </c>
      <c r="D784" s="7">
        <f>MAX(1,MIN(INT(B784/$C$4)+1,$C$5))</f>
        <v/>
      </c>
      <c r="E784" s="26">
        <f>IF($C$5=0,0,INDEX(Symboles!$G$6:$G$101,D784))</f>
        <v/>
      </c>
      <c r="F784" s="26">
        <f>IF($C$5=0,0,INDEX(Symboles!$H$6:$H$101,D784))</f>
        <v/>
      </c>
      <c r="G784" s="26">
        <f>COS(2*PI()*$C$3*B784)</f>
        <v/>
      </c>
      <c r="H784" s="26">
        <f>SIN(2*PI()*$C$3*B784)</f>
        <v/>
      </c>
      <c r="I784" s="26">
        <f>E784*G784+F784*H784</f>
        <v/>
      </c>
    </row>
    <row r="785">
      <c r="A785" s="7" t="n">
        <v>778</v>
      </c>
      <c r="B785" s="26">
        <f>(A785-1)/2000*$C$2</f>
        <v/>
      </c>
      <c r="C785" s="7">
        <f>INDEX(Bits!$E$25:$E$124,INT(B785)+1)</f>
        <v/>
      </c>
      <c r="D785" s="7">
        <f>MAX(1,MIN(INT(B785/$C$4)+1,$C$5))</f>
        <v/>
      </c>
      <c r="E785" s="26">
        <f>IF($C$5=0,0,INDEX(Symboles!$G$6:$G$101,D785))</f>
        <v/>
      </c>
      <c r="F785" s="26">
        <f>IF($C$5=0,0,INDEX(Symboles!$H$6:$H$101,D785))</f>
        <v/>
      </c>
      <c r="G785" s="26">
        <f>COS(2*PI()*$C$3*B785)</f>
        <v/>
      </c>
      <c r="H785" s="26">
        <f>SIN(2*PI()*$C$3*B785)</f>
        <v/>
      </c>
      <c r="I785" s="26">
        <f>E785*G785+F785*H785</f>
        <v/>
      </c>
    </row>
    <row r="786">
      <c r="A786" s="7" t="n">
        <v>779</v>
      </c>
      <c r="B786" s="26">
        <f>(A786-1)/2000*$C$2</f>
        <v/>
      </c>
      <c r="C786" s="7">
        <f>INDEX(Bits!$E$25:$E$124,INT(B786)+1)</f>
        <v/>
      </c>
      <c r="D786" s="7">
        <f>MAX(1,MIN(INT(B786/$C$4)+1,$C$5))</f>
        <v/>
      </c>
      <c r="E786" s="26">
        <f>IF($C$5=0,0,INDEX(Symboles!$G$6:$G$101,D786))</f>
        <v/>
      </c>
      <c r="F786" s="26">
        <f>IF($C$5=0,0,INDEX(Symboles!$H$6:$H$101,D786))</f>
        <v/>
      </c>
      <c r="G786" s="26">
        <f>COS(2*PI()*$C$3*B786)</f>
        <v/>
      </c>
      <c r="H786" s="26">
        <f>SIN(2*PI()*$C$3*B786)</f>
        <v/>
      </c>
      <c r="I786" s="26">
        <f>E786*G786+F786*H786</f>
        <v/>
      </c>
    </row>
    <row r="787">
      <c r="A787" s="7" t="n">
        <v>780</v>
      </c>
      <c r="B787" s="26">
        <f>(A787-1)/2000*$C$2</f>
        <v/>
      </c>
      <c r="C787" s="7">
        <f>INDEX(Bits!$E$25:$E$124,INT(B787)+1)</f>
        <v/>
      </c>
      <c r="D787" s="7">
        <f>MAX(1,MIN(INT(B787/$C$4)+1,$C$5))</f>
        <v/>
      </c>
      <c r="E787" s="26">
        <f>IF($C$5=0,0,INDEX(Symboles!$G$6:$G$101,D787))</f>
        <v/>
      </c>
      <c r="F787" s="26">
        <f>IF($C$5=0,0,INDEX(Symboles!$H$6:$H$101,D787))</f>
        <v/>
      </c>
      <c r="G787" s="26">
        <f>COS(2*PI()*$C$3*B787)</f>
        <v/>
      </c>
      <c r="H787" s="26">
        <f>SIN(2*PI()*$C$3*B787)</f>
        <v/>
      </c>
      <c r="I787" s="26">
        <f>E787*G787+F787*H787</f>
        <v/>
      </c>
    </row>
    <row r="788">
      <c r="A788" s="7" t="n">
        <v>781</v>
      </c>
      <c r="B788" s="26">
        <f>(A788-1)/2000*$C$2</f>
        <v/>
      </c>
      <c r="C788" s="7">
        <f>INDEX(Bits!$E$25:$E$124,INT(B788)+1)</f>
        <v/>
      </c>
      <c r="D788" s="7">
        <f>MAX(1,MIN(INT(B788/$C$4)+1,$C$5))</f>
        <v/>
      </c>
      <c r="E788" s="26">
        <f>IF($C$5=0,0,INDEX(Symboles!$G$6:$G$101,D788))</f>
        <v/>
      </c>
      <c r="F788" s="26">
        <f>IF($C$5=0,0,INDEX(Symboles!$H$6:$H$101,D788))</f>
        <v/>
      </c>
      <c r="G788" s="26">
        <f>COS(2*PI()*$C$3*B788)</f>
        <v/>
      </c>
      <c r="H788" s="26">
        <f>SIN(2*PI()*$C$3*B788)</f>
        <v/>
      </c>
      <c r="I788" s="26">
        <f>E788*G788+F788*H788</f>
        <v/>
      </c>
    </row>
    <row r="789">
      <c r="A789" s="7" t="n">
        <v>782</v>
      </c>
      <c r="B789" s="26">
        <f>(A789-1)/2000*$C$2</f>
        <v/>
      </c>
      <c r="C789" s="7">
        <f>INDEX(Bits!$E$25:$E$124,INT(B789)+1)</f>
        <v/>
      </c>
      <c r="D789" s="7">
        <f>MAX(1,MIN(INT(B789/$C$4)+1,$C$5))</f>
        <v/>
      </c>
      <c r="E789" s="26">
        <f>IF($C$5=0,0,INDEX(Symboles!$G$6:$G$101,D789))</f>
        <v/>
      </c>
      <c r="F789" s="26">
        <f>IF($C$5=0,0,INDEX(Symboles!$H$6:$H$101,D789))</f>
        <v/>
      </c>
      <c r="G789" s="26">
        <f>COS(2*PI()*$C$3*B789)</f>
        <v/>
      </c>
      <c r="H789" s="26">
        <f>SIN(2*PI()*$C$3*B789)</f>
        <v/>
      </c>
      <c r="I789" s="26">
        <f>E789*G789+F789*H789</f>
        <v/>
      </c>
    </row>
    <row r="790">
      <c r="A790" s="7" t="n">
        <v>783</v>
      </c>
      <c r="B790" s="26">
        <f>(A790-1)/2000*$C$2</f>
        <v/>
      </c>
      <c r="C790" s="7">
        <f>INDEX(Bits!$E$25:$E$124,INT(B790)+1)</f>
        <v/>
      </c>
      <c r="D790" s="7">
        <f>MAX(1,MIN(INT(B790/$C$4)+1,$C$5))</f>
        <v/>
      </c>
      <c r="E790" s="26">
        <f>IF($C$5=0,0,INDEX(Symboles!$G$6:$G$101,D790))</f>
        <v/>
      </c>
      <c r="F790" s="26">
        <f>IF($C$5=0,0,INDEX(Symboles!$H$6:$H$101,D790))</f>
        <v/>
      </c>
      <c r="G790" s="26">
        <f>COS(2*PI()*$C$3*B790)</f>
        <v/>
      </c>
      <c r="H790" s="26">
        <f>SIN(2*PI()*$C$3*B790)</f>
        <v/>
      </c>
      <c r="I790" s="26">
        <f>E790*G790+F790*H790</f>
        <v/>
      </c>
    </row>
    <row r="791">
      <c r="A791" s="7" t="n">
        <v>784</v>
      </c>
      <c r="B791" s="26">
        <f>(A791-1)/2000*$C$2</f>
        <v/>
      </c>
      <c r="C791" s="7">
        <f>INDEX(Bits!$E$25:$E$124,INT(B791)+1)</f>
        <v/>
      </c>
      <c r="D791" s="7">
        <f>MAX(1,MIN(INT(B791/$C$4)+1,$C$5))</f>
        <v/>
      </c>
      <c r="E791" s="26">
        <f>IF($C$5=0,0,INDEX(Symboles!$G$6:$G$101,D791))</f>
        <v/>
      </c>
      <c r="F791" s="26">
        <f>IF($C$5=0,0,INDEX(Symboles!$H$6:$H$101,D791))</f>
        <v/>
      </c>
      <c r="G791" s="26">
        <f>COS(2*PI()*$C$3*B791)</f>
        <v/>
      </c>
      <c r="H791" s="26">
        <f>SIN(2*PI()*$C$3*B791)</f>
        <v/>
      </c>
      <c r="I791" s="26">
        <f>E791*G791+F791*H791</f>
        <v/>
      </c>
    </row>
    <row r="792">
      <c r="A792" s="7" t="n">
        <v>785</v>
      </c>
      <c r="B792" s="26">
        <f>(A792-1)/2000*$C$2</f>
        <v/>
      </c>
      <c r="C792" s="7">
        <f>INDEX(Bits!$E$25:$E$124,INT(B792)+1)</f>
        <v/>
      </c>
      <c r="D792" s="7">
        <f>MAX(1,MIN(INT(B792/$C$4)+1,$C$5))</f>
        <v/>
      </c>
      <c r="E792" s="26">
        <f>IF($C$5=0,0,INDEX(Symboles!$G$6:$G$101,D792))</f>
        <v/>
      </c>
      <c r="F792" s="26">
        <f>IF($C$5=0,0,INDEX(Symboles!$H$6:$H$101,D792))</f>
        <v/>
      </c>
      <c r="G792" s="26">
        <f>COS(2*PI()*$C$3*B792)</f>
        <v/>
      </c>
      <c r="H792" s="26">
        <f>SIN(2*PI()*$C$3*B792)</f>
        <v/>
      </c>
      <c r="I792" s="26">
        <f>E792*G792+F792*H792</f>
        <v/>
      </c>
    </row>
    <row r="793">
      <c r="A793" s="7" t="n">
        <v>786</v>
      </c>
      <c r="B793" s="26">
        <f>(A793-1)/2000*$C$2</f>
        <v/>
      </c>
      <c r="C793" s="7">
        <f>INDEX(Bits!$E$25:$E$124,INT(B793)+1)</f>
        <v/>
      </c>
      <c r="D793" s="7">
        <f>MAX(1,MIN(INT(B793/$C$4)+1,$C$5))</f>
        <v/>
      </c>
      <c r="E793" s="26">
        <f>IF($C$5=0,0,INDEX(Symboles!$G$6:$G$101,D793))</f>
        <v/>
      </c>
      <c r="F793" s="26">
        <f>IF($C$5=0,0,INDEX(Symboles!$H$6:$H$101,D793))</f>
        <v/>
      </c>
      <c r="G793" s="26">
        <f>COS(2*PI()*$C$3*B793)</f>
        <v/>
      </c>
      <c r="H793" s="26">
        <f>SIN(2*PI()*$C$3*B793)</f>
        <v/>
      </c>
      <c r="I793" s="26">
        <f>E793*G793+F793*H793</f>
        <v/>
      </c>
    </row>
    <row r="794">
      <c r="A794" s="7" t="n">
        <v>787</v>
      </c>
      <c r="B794" s="26">
        <f>(A794-1)/2000*$C$2</f>
        <v/>
      </c>
      <c r="C794" s="7">
        <f>INDEX(Bits!$E$25:$E$124,INT(B794)+1)</f>
        <v/>
      </c>
      <c r="D794" s="7">
        <f>MAX(1,MIN(INT(B794/$C$4)+1,$C$5))</f>
        <v/>
      </c>
      <c r="E794" s="26">
        <f>IF($C$5=0,0,INDEX(Symboles!$G$6:$G$101,D794))</f>
        <v/>
      </c>
      <c r="F794" s="26">
        <f>IF($C$5=0,0,INDEX(Symboles!$H$6:$H$101,D794))</f>
        <v/>
      </c>
      <c r="G794" s="26">
        <f>COS(2*PI()*$C$3*B794)</f>
        <v/>
      </c>
      <c r="H794" s="26">
        <f>SIN(2*PI()*$C$3*B794)</f>
        <v/>
      </c>
      <c r="I794" s="26">
        <f>E794*G794+F794*H794</f>
        <v/>
      </c>
    </row>
    <row r="795">
      <c r="A795" s="7" t="n">
        <v>788</v>
      </c>
      <c r="B795" s="26">
        <f>(A795-1)/2000*$C$2</f>
        <v/>
      </c>
      <c r="C795" s="7">
        <f>INDEX(Bits!$E$25:$E$124,INT(B795)+1)</f>
        <v/>
      </c>
      <c r="D795" s="7">
        <f>MAX(1,MIN(INT(B795/$C$4)+1,$C$5))</f>
        <v/>
      </c>
      <c r="E795" s="26">
        <f>IF($C$5=0,0,INDEX(Symboles!$G$6:$G$101,D795))</f>
        <v/>
      </c>
      <c r="F795" s="26">
        <f>IF($C$5=0,0,INDEX(Symboles!$H$6:$H$101,D795))</f>
        <v/>
      </c>
      <c r="G795" s="26">
        <f>COS(2*PI()*$C$3*B795)</f>
        <v/>
      </c>
      <c r="H795" s="26">
        <f>SIN(2*PI()*$C$3*B795)</f>
        <v/>
      </c>
      <c r="I795" s="26">
        <f>E795*G795+F795*H795</f>
        <v/>
      </c>
    </row>
    <row r="796">
      <c r="A796" s="7" t="n">
        <v>789</v>
      </c>
      <c r="B796" s="26">
        <f>(A796-1)/2000*$C$2</f>
        <v/>
      </c>
      <c r="C796" s="7">
        <f>INDEX(Bits!$E$25:$E$124,INT(B796)+1)</f>
        <v/>
      </c>
      <c r="D796" s="7">
        <f>MAX(1,MIN(INT(B796/$C$4)+1,$C$5))</f>
        <v/>
      </c>
      <c r="E796" s="26">
        <f>IF($C$5=0,0,INDEX(Symboles!$G$6:$G$101,D796))</f>
        <v/>
      </c>
      <c r="F796" s="26">
        <f>IF($C$5=0,0,INDEX(Symboles!$H$6:$H$101,D796))</f>
        <v/>
      </c>
      <c r="G796" s="26">
        <f>COS(2*PI()*$C$3*B796)</f>
        <v/>
      </c>
      <c r="H796" s="26">
        <f>SIN(2*PI()*$C$3*B796)</f>
        <v/>
      </c>
      <c r="I796" s="26">
        <f>E796*G796+F796*H796</f>
        <v/>
      </c>
    </row>
    <row r="797">
      <c r="A797" s="7" t="n">
        <v>790</v>
      </c>
      <c r="B797" s="26">
        <f>(A797-1)/2000*$C$2</f>
        <v/>
      </c>
      <c r="C797" s="7">
        <f>INDEX(Bits!$E$25:$E$124,INT(B797)+1)</f>
        <v/>
      </c>
      <c r="D797" s="7">
        <f>MAX(1,MIN(INT(B797/$C$4)+1,$C$5))</f>
        <v/>
      </c>
      <c r="E797" s="26">
        <f>IF($C$5=0,0,INDEX(Symboles!$G$6:$G$101,D797))</f>
        <v/>
      </c>
      <c r="F797" s="26">
        <f>IF($C$5=0,0,INDEX(Symboles!$H$6:$H$101,D797))</f>
        <v/>
      </c>
      <c r="G797" s="26">
        <f>COS(2*PI()*$C$3*B797)</f>
        <v/>
      </c>
      <c r="H797" s="26">
        <f>SIN(2*PI()*$C$3*B797)</f>
        <v/>
      </c>
      <c r="I797" s="26">
        <f>E797*G797+F797*H797</f>
        <v/>
      </c>
    </row>
    <row r="798">
      <c r="A798" s="7" t="n">
        <v>791</v>
      </c>
      <c r="B798" s="26">
        <f>(A798-1)/2000*$C$2</f>
        <v/>
      </c>
      <c r="C798" s="7">
        <f>INDEX(Bits!$E$25:$E$124,INT(B798)+1)</f>
        <v/>
      </c>
      <c r="D798" s="7">
        <f>MAX(1,MIN(INT(B798/$C$4)+1,$C$5))</f>
        <v/>
      </c>
      <c r="E798" s="26">
        <f>IF($C$5=0,0,INDEX(Symboles!$G$6:$G$101,D798))</f>
        <v/>
      </c>
      <c r="F798" s="26">
        <f>IF($C$5=0,0,INDEX(Symboles!$H$6:$H$101,D798))</f>
        <v/>
      </c>
      <c r="G798" s="26">
        <f>COS(2*PI()*$C$3*B798)</f>
        <v/>
      </c>
      <c r="H798" s="26">
        <f>SIN(2*PI()*$C$3*B798)</f>
        <v/>
      </c>
      <c r="I798" s="26">
        <f>E798*G798+F798*H798</f>
        <v/>
      </c>
    </row>
    <row r="799">
      <c r="A799" s="7" t="n">
        <v>792</v>
      </c>
      <c r="B799" s="26">
        <f>(A799-1)/2000*$C$2</f>
        <v/>
      </c>
      <c r="C799" s="7">
        <f>INDEX(Bits!$E$25:$E$124,INT(B799)+1)</f>
        <v/>
      </c>
      <c r="D799" s="7">
        <f>MAX(1,MIN(INT(B799/$C$4)+1,$C$5))</f>
        <v/>
      </c>
      <c r="E799" s="26">
        <f>IF($C$5=0,0,INDEX(Symboles!$G$6:$G$101,D799))</f>
        <v/>
      </c>
      <c r="F799" s="26">
        <f>IF($C$5=0,0,INDEX(Symboles!$H$6:$H$101,D799))</f>
        <v/>
      </c>
      <c r="G799" s="26">
        <f>COS(2*PI()*$C$3*B799)</f>
        <v/>
      </c>
      <c r="H799" s="26">
        <f>SIN(2*PI()*$C$3*B799)</f>
        <v/>
      </c>
      <c r="I799" s="26">
        <f>E799*G799+F799*H799</f>
        <v/>
      </c>
    </row>
    <row r="800">
      <c r="A800" s="7" t="n">
        <v>793</v>
      </c>
      <c r="B800" s="26">
        <f>(A800-1)/2000*$C$2</f>
        <v/>
      </c>
      <c r="C800" s="7">
        <f>INDEX(Bits!$E$25:$E$124,INT(B800)+1)</f>
        <v/>
      </c>
      <c r="D800" s="7">
        <f>MAX(1,MIN(INT(B800/$C$4)+1,$C$5))</f>
        <v/>
      </c>
      <c r="E800" s="26">
        <f>IF($C$5=0,0,INDEX(Symboles!$G$6:$G$101,D800))</f>
        <v/>
      </c>
      <c r="F800" s="26">
        <f>IF($C$5=0,0,INDEX(Symboles!$H$6:$H$101,D800))</f>
        <v/>
      </c>
      <c r="G800" s="26">
        <f>COS(2*PI()*$C$3*B800)</f>
        <v/>
      </c>
      <c r="H800" s="26">
        <f>SIN(2*PI()*$C$3*B800)</f>
        <v/>
      </c>
      <c r="I800" s="26">
        <f>E800*G800+F800*H800</f>
        <v/>
      </c>
    </row>
    <row r="801">
      <c r="A801" s="7" t="n">
        <v>794</v>
      </c>
      <c r="B801" s="26">
        <f>(A801-1)/2000*$C$2</f>
        <v/>
      </c>
      <c r="C801" s="7">
        <f>INDEX(Bits!$E$25:$E$124,INT(B801)+1)</f>
        <v/>
      </c>
      <c r="D801" s="7">
        <f>MAX(1,MIN(INT(B801/$C$4)+1,$C$5))</f>
        <v/>
      </c>
      <c r="E801" s="26">
        <f>IF($C$5=0,0,INDEX(Symboles!$G$6:$G$101,D801))</f>
        <v/>
      </c>
      <c r="F801" s="26">
        <f>IF($C$5=0,0,INDEX(Symboles!$H$6:$H$101,D801))</f>
        <v/>
      </c>
      <c r="G801" s="26">
        <f>COS(2*PI()*$C$3*B801)</f>
        <v/>
      </c>
      <c r="H801" s="26">
        <f>SIN(2*PI()*$C$3*B801)</f>
        <v/>
      </c>
      <c r="I801" s="26">
        <f>E801*G801+F801*H801</f>
        <v/>
      </c>
    </row>
    <row r="802">
      <c r="A802" s="7" t="n">
        <v>795</v>
      </c>
      <c r="B802" s="26">
        <f>(A802-1)/2000*$C$2</f>
        <v/>
      </c>
      <c r="C802" s="7">
        <f>INDEX(Bits!$E$25:$E$124,INT(B802)+1)</f>
        <v/>
      </c>
      <c r="D802" s="7">
        <f>MAX(1,MIN(INT(B802/$C$4)+1,$C$5))</f>
        <v/>
      </c>
      <c r="E802" s="26">
        <f>IF($C$5=0,0,INDEX(Symboles!$G$6:$G$101,D802))</f>
        <v/>
      </c>
      <c r="F802" s="26">
        <f>IF($C$5=0,0,INDEX(Symboles!$H$6:$H$101,D802))</f>
        <v/>
      </c>
      <c r="G802" s="26">
        <f>COS(2*PI()*$C$3*B802)</f>
        <v/>
      </c>
      <c r="H802" s="26">
        <f>SIN(2*PI()*$C$3*B802)</f>
        <v/>
      </c>
      <c r="I802" s="26">
        <f>E802*G802+F802*H802</f>
        <v/>
      </c>
    </row>
    <row r="803">
      <c r="A803" s="7" t="n">
        <v>796</v>
      </c>
      <c r="B803" s="26">
        <f>(A803-1)/2000*$C$2</f>
        <v/>
      </c>
      <c r="C803" s="7">
        <f>INDEX(Bits!$E$25:$E$124,INT(B803)+1)</f>
        <v/>
      </c>
      <c r="D803" s="7">
        <f>MAX(1,MIN(INT(B803/$C$4)+1,$C$5))</f>
        <v/>
      </c>
      <c r="E803" s="26">
        <f>IF($C$5=0,0,INDEX(Symboles!$G$6:$G$101,D803))</f>
        <v/>
      </c>
      <c r="F803" s="26">
        <f>IF($C$5=0,0,INDEX(Symboles!$H$6:$H$101,D803))</f>
        <v/>
      </c>
      <c r="G803" s="26">
        <f>COS(2*PI()*$C$3*B803)</f>
        <v/>
      </c>
      <c r="H803" s="26">
        <f>SIN(2*PI()*$C$3*B803)</f>
        <v/>
      </c>
      <c r="I803" s="26">
        <f>E803*G803+F803*H803</f>
        <v/>
      </c>
    </row>
    <row r="804">
      <c r="A804" s="7" t="n">
        <v>797</v>
      </c>
      <c r="B804" s="26">
        <f>(A804-1)/2000*$C$2</f>
        <v/>
      </c>
      <c r="C804" s="7">
        <f>INDEX(Bits!$E$25:$E$124,INT(B804)+1)</f>
        <v/>
      </c>
      <c r="D804" s="7">
        <f>MAX(1,MIN(INT(B804/$C$4)+1,$C$5))</f>
        <v/>
      </c>
      <c r="E804" s="26">
        <f>IF($C$5=0,0,INDEX(Symboles!$G$6:$G$101,D804))</f>
        <v/>
      </c>
      <c r="F804" s="26">
        <f>IF($C$5=0,0,INDEX(Symboles!$H$6:$H$101,D804))</f>
        <v/>
      </c>
      <c r="G804" s="26">
        <f>COS(2*PI()*$C$3*B804)</f>
        <v/>
      </c>
      <c r="H804" s="26">
        <f>SIN(2*PI()*$C$3*B804)</f>
        <v/>
      </c>
      <c r="I804" s="26">
        <f>E804*G804+F804*H804</f>
        <v/>
      </c>
    </row>
    <row r="805">
      <c r="A805" s="7" t="n">
        <v>798</v>
      </c>
      <c r="B805" s="26">
        <f>(A805-1)/2000*$C$2</f>
        <v/>
      </c>
      <c r="C805" s="7">
        <f>INDEX(Bits!$E$25:$E$124,INT(B805)+1)</f>
        <v/>
      </c>
      <c r="D805" s="7">
        <f>MAX(1,MIN(INT(B805/$C$4)+1,$C$5))</f>
        <v/>
      </c>
      <c r="E805" s="26">
        <f>IF($C$5=0,0,INDEX(Symboles!$G$6:$G$101,D805))</f>
        <v/>
      </c>
      <c r="F805" s="26">
        <f>IF($C$5=0,0,INDEX(Symboles!$H$6:$H$101,D805))</f>
        <v/>
      </c>
      <c r="G805" s="26">
        <f>COS(2*PI()*$C$3*B805)</f>
        <v/>
      </c>
      <c r="H805" s="26">
        <f>SIN(2*PI()*$C$3*B805)</f>
        <v/>
      </c>
      <c r="I805" s="26">
        <f>E805*G805+F805*H805</f>
        <v/>
      </c>
    </row>
    <row r="806">
      <c r="A806" s="7" t="n">
        <v>799</v>
      </c>
      <c r="B806" s="26">
        <f>(A806-1)/2000*$C$2</f>
        <v/>
      </c>
      <c r="C806" s="7">
        <f>INDEX(Bits!$E$25:$E$124,INT(B806)+1)</f>
        <v/>
      </c>
      <c r="D806" s="7">
        <f>MAX(1,MIN(INT(B806/$C$4)+1,$C$5))</f>
        <v/>
      </c>
      <c r="E806" s="26">
        <f>IF($C$5=0,0,INDEX(Symboles!$G$6:$G$101,D806))</f>
        <v/>
      </c>
      <c r="F806" s="26">
        <f>IF($C$5=0,0,INDEX(Symboles!$H$6:$H$101,D806))</f>
        <v/>
      </c>
      <c r="G806" s="26">
        <f>COS(2*PI()*$C$3*B806)</f>
        <v/>
      </c>
      <c r="H806" s="26">
        <f>SIN(2*PI()*$C$3*B806)</f>
        <v/>
      </c>
      <c r="I806" s="26">
        <f>E806*G806+F806*H806</f>
        <v/>
      </c>
    </row>
    <row r="807">
      <c r="A807" s="7" t="n">
        <v>800</v>
      </c>
      <c r="B807" s="26">
        <f>(A807-1)/2000*$C$2</f>
        <v/>
      </c>
      <c r="C807" s="7">
        <f>INDEX(Bits!$E$25:$E$124,INT(B807)+1)</f>
        <v/>
      </c>
      <c r="D807" s="7">
        <f>MAX(1,MIN(INT(B807/$C$4)+1,$C$5))</f>
        <v/>
      </c>
      <c r="E807" s="26">
        <f>IF($C$5=0,0,INDEX(Symboles!$G$6:$G$101,D807))</f>
        <v/>
      </c>
      <c r="F807" s="26">
        <f>IF($C$5=0,0,INDEX(Symboles!$H$6:$H$101,D807))</f>
        <v/>
      </c>
      <c r="G807" s="26">
        <f>COS(2*PI()*$C$3*B807)</f>
        <v/>
      </c>
      <c r="H807" s="26">
        <f>SIN(2*PI()*$C$3*B807)</f>
        <v/>
      </c>
      <c r="I807" s="26">
        <f>E807*G807+F807*H807</f>
        <v/>
      </c>
    </row>
    <row r="808">
      <c r="A808" s="7" t="n">
        <v>801</v>
      </c>
      <c r="B808" s="26">
        <f>(A808-1)/2000*$C$2</f>
        <v/>
      </c>
      <c r="C808" s="7">
        <f>INDEX(Bits!$E$25:$E$124,INT(B808)+1)</f>
        <v/>
      </c>
      <c r="D808" s="7">
        <f>MAX(1,MIN(INT(B808/$C$4)+1,$C$5))</f>
        <v/>
      </c>
      <c r="E808" s="26">
        <f>IF($C$5=0,0,INDEX(Symboles!$G$6:$G$101,D808))</f>
        <v/>
      </c>
      <c r="F808" s="26">
        <f>IF($C$5=0,0,INDEX(Symboles!$H$6:$H$101,D808))</f>
        <v/>
      </c>
      <c r="G808" s="26">
        <f>COS(2*PI()*$C$3*B808)</f>
        <v/>
      </c>
      <c r="H808" s="26">
        <f>SIN(2*PI()*$C$3*B808)</f>
        <v/>
      </c>
      <c r="I808" s="26">
        <f>E808*G808+F808*H808</f>
        <v/>
      </c>
    </row>
    <row r="809">
      <c r="A809" s="7" t="n">
        <v>802</v>
      </c>
      <c r="B809" s="26">
        <f>(A809-1)/2000*$C$2</f>
        <v/>
      </c>
      <c r="C809" s="7">
        <f>INDEX(Bits!$E$25:$E$124,INT(B809)+1)</f>
        <v/>
      </c>
      <c r="D809" s="7">
        <f>MAX(1,MIN(INT(B809/$C$4)+1,$C$5))</f>
        <v/>
      </c>
      <c r="E809" s="26">
        <f>IF($C$5=0,0,INDEX(Symboles!$G$6:$G$101,D809))</f>
        <v/>
      </c>
      <c r="F809" s="26">
        <f>IF($C$5=0,0,INDEX(Symboles!$H$6:$H$101,D809))</f>
        <v/>
      </c>
      <c r="G809" s="26">
        <f>COS(2*PI()*$C$3*B809)</f>
        <v/>
      </c>
      <c r="H809" s="26">
        <f>SIN(2*PI()*$C$3*B809)</f>
        <v/>
      </c>
      <c r="I809" s="26">
        <f>E809*G809+F809*H809</f>
        <v/>
      </c>
    </row>
    <row r="810">
      <c r="A810" s="7" t="n">
        <v>803</v>
      </c>
      <c r="B810" s="26">
        <f>(A810-1)/2000*$C$2</f>
        <v/>
      </c>
      <c r="C810" s="7">
        <f>INDEX(Bits!$E$25:$E$124,INT(B810)+1)</f>
        <v/>
      </c>
      <c r="D810" s="7">
        <f>MAX(1,MIN(INT(B810/$C$4)+1,$C$5))</f>
        <v/>
      </c>
      <c r="E810" s="26">
        <f>IF($C$5=0,0,INDEX(Symboles!$G$6:$G$101,D810))</f>
        <v/>
      </c>
      <c r="F810" s="26">
        <f>IF($C$5=0,0,INDEX(Symboles!$H$6:$H$101,D810))</f>
        <v/>
      </c>
      <c r="G810" s="26">
        <f>COS(2*PI()*$C$3*B810)</f>
        <v/>
      </c>
      <c r="H810" s="26">
        <f>SIN(2*PI()*$C$3*B810)</f>
        <v/>
      </c>
      <c r="I810" s="26">
        <f>E810*G810+F810*H810</f>
        <v/>
      </c>
    </row>
    <row r="811">
      <c r="A811" s="7" t="n">
        <v>804</v>
      </c>
      <c r="B811" s="26">
        <f>(A811-1)/2000*$C$2</f>
        <v/>
      </c>
      <c r="C811" s="7">
        <f>INDEX(Bits!$E$25:$E$124,INT(B811)+1)</f>
        <v/>
      </c>
      <c r="D811" s="7">
        <f>MAX(1,MIN(INT(B811/$C$4)+1,$C$5))</f>
        <v/>
      </c>
      <c r="E811" s="26">
        <f>IF($C$5=0,0,INDEX(Symboles!$G$6:$G$101,D811))</f>
        <v/>
      </c>
      <c r="F811" s="26">
        <f>IF($C$5=0,0,INDEX(Symboles!$H$6:$H$101,D811))</f>
        <v/>
      </c>
      <c r="G811" s="26">
        <f>COS(2*PI()*$C$3*B811)</f>
        <v/>
      </c>
      <c r="H811" s="26">
        <f>SIN(2*PI()*$C$3*B811)</f>
        <v/>
      </c>
      <c r="I811" s="26">
        <f>E811*G811+F811*H811</f>
        <v/>
      </c>
    </row>
    <row r="812">
      <c r="A812" s="7" t="n">
        <v>805</v>
      </c>
      <c r="B812" s="26">
        <f>(A812-1)/2000*$C$2</f>
        <v/>
      </c>
      <c r="C812" s="7">
        <f>INDEX(Bits!$E$25:$E$124,INT(B812)+1)</f>
        <v/>
      </c>
      <c r="D812" s="7">
        <f>MAX(1,MIN(INT(B812/$C$4)+1,$C$5))</f>
        <v/>
      </c>
      <c r="E812" s="26">
        <f>IF($C$5=0,0,INDEX(Symboles!$G$6:$G$101,D812))</f>
        <v/>
      </c>
      <c r="F812" s="26">
        <f>IF($C$5=0,0,INDEX(Symboles!$H$6:$H$101,D812))</f>
        <v/>
      </c>
      <c r="G812" s="26">
        <f>COS(2*PI()*$C$3*B812)</f>
        <v/>
      </c>
      <c r="H812" s="26">
        <f>SIN(2*PI()*$C$3*B812)</f>
        <v/>
      </c>
      <c r="I812" s="26">
        <f>E812*G812+F812*H812</f>
        <v/>
      </c>
    </row>
    <row r="813">
      <c r="A813" s="7" t="n">
        <v>806</v>
      </c>
      <c r="B813" s="26">
        <f>(A813-1)/2000*$C$2</f>
        <v/>
      </c>
      <c r="C813" s="7">
        <f>INDEX(Bits!$E$25:$E$124,INT(B813)+1)</f>
        <v/>
      </c>
      <c r="D813" s="7">
        <f>MAX(1,MIN(INT(B813/$C$4)+1,$C$5))</f>
        <v/>
      </c>
      <c r="E813" s="26">
        <f>IF($C$5=0,0,INDEX(Symboles!$G$6:$G$101,D813))</f>
        <v/>
      </c>
      <c r="F813" s="26">
        <f>IF($C$5=0,0,INDEX(Symboles!$H$6:$H$101,D813))</f>
        <v/>
      </c>
      <c r="G813" s="26">
        <f>COS(2*PI()*$C$3*B813)</f>
        <v/>
      </c>
      <c r="H813" s="26">
        <f>SIN(2*PI()*$C$3*B813)</f>
        <v/>
      </c>
      <c r="I813" s="26">
        <f>E813*G813+F813*H813</f>
        <v/>
      </c>
    </row>
    <row r="814">
      <c r="A814" s="7" t="n">
        <v>807</v>
      </c>
      <c r="B814" s="26">
        <f>(A814-1)/2000*$C$2</f>
        <v/>
      </c>
      <c r="C814" s="7">
        <f>INDEX(Bits!$E$25:$E$124,INT(B814)+1)</f>
        <v/>
      </c>
      <c r="D814" s="7">
        <f>MAX(1,MIN(INT(B814/$C$4)+1,$C$5))</f>
        <v/>
      </c>
      <c r="E814" s="26">
        <f>IF($C$5=0,0,INDEX(Symboles!$G$6:$G$101,D814))</f>
        <v/>
      </c>
      <c r="F814" s="26">
        <f>IF($C$5=0,0,INDEX(Symboles!$H$6:$H$101,D814))</f>
        <v/>
      </c>
      <c r="G814" s="26">
        <f>COS(2*PI()*$C$3*B814)</f>
        <v/>
      </c>
      <c r="H814" s="26">
        <f>SIN(2*PI()*$C$3*B814)</f>
        <v/>
      </c>
      <c r="I814" s="26">
        <f>E814*G814+F814*H814</f>
        <v/>
      </c>
    </row>
    <row r="815">
      <c r="A815" s="7" t="n">
        <v>808</v>
      </c>
      <c r="B815" s="26">
        <f>(A815-1)/2000*$C$2</f>
        <v/>
      </c>
      <c r="C815" s="7">
        <f>INDEX(Bits!$E$25:$E$124,INT(B815)+1)</f>
        <v/>
      </c>
      <c r="D815" s="7">
        <f>MAX(1,MIN(INT(B815/$C$4)+1,$C$5))</f>
        <v/>
      </c>
      <c r="E815" s="26">
        <f>IF($C$5=0,0,INDEX(Symboles!$G$6:$G$101,D815))</f>
        <v/>
      </c>
      <c r="F815" s="26">
        <f>IF($C$5=0,0,INDEX(Symboles!$H$6:$H$101,D815))</f>
        <v/>
      </c>
      <c r="G815" s="26">
        <f>COS(2*PI()*$C$3*B815)</f>
        <v/>
      </c>
      <c r="H815" s="26">
        <f>SIN(2*PI()*$C$3*B815)</f>
        <v/>
      </c>
      <c r="I815" s="26">
        <f>E815*G815+F815*H815</f>
        <v/>
      </c>
    </row>
    <row r="816">
      <c r="A816" s="7" t="n">
        <v>809</v>
      </c>
      <c r="B816" s="26">
        <f>(A816-1)/2000*$C$2</f>
        <v/>
      </c>
      <c r="C816" s="7">
        <f>INDEX(Bits!$E$25:$E$124,INT(B816)+1)</f>
        <v/>
      </c>
      <c r="D816" s="7">
        <f>MAX(1,MIN(INT(B816/$C$4)+1,$C$5))</f>
        <v/>
      </c>
      <c r="E816" s="26">
        <f>IF($C$5=0,0,INDEX(Symboles!$G$6:$G$101,D816))</f>
        <v/>
      </c>
      <c r="F816" s="26">
        <f>IF($C$5=0,0,INDEX(Symboles!$H$6:$H$101,D816))</f>
        <v/>
      </c>
      <c r="G816" s="26">
        <f>COS(2*PI()*$C$3*B816)</f>
        <v/>
      </c>
      <c r="H816" s="26">
        <f>SIN(2*PI()*$C$3*B816)</f>
        <v/>
      </c>
      <c r="I816" s="26">
        <f>E816*G816+F816*H816</f>
        <v/>
      </c>
    </row>
    <row r="817">
      <c r="A817" s="7" t="n">
        <v>810</v>
      </c>
      <c r="B817" s="26">
        <f>(A817-1)/2000*$C$2</f>
        <v/>
      </c>
      <c r="C817" s="7">
        <f>INDEX(Bits!$E$25:$E$124,INT(B817)+1)</f>
        <v/>
      </c>
      <c r="D817" s="7">
        <f>MAX(1,MIN(INT(B817/$C$4)+1,$C$5))</f>
        <v/>
      </c>
      <c r="E817" s="26">
        <f>IF($C$5=0,0,INDEX(Symboles!$G$6:$G$101,D817))</f>
        <v/>
      </c>
      <c r="F817" s="26">
        <f>IF($C$5=0,0,INDEX(Symboles!$H$6:$H$101,D817))</f>
        <v/>
      </c>
      <c r="G817" s="26">
        <f>COS(2*PI()*$C$3*B817)</f>
        <v/>
      </c>
      <c r="H817" s="26">
        <f>SIN(2*PI()*$C$3*B817)</f>
        <v/>
      </c>
      <c r="I817" s="26">
        <f>E817*G817+F817*H817</f>
        <v/>
      </c>
    </row>
    <row r="818">
      <c r="A818" s="7" t="n">
        <v>811</v>
      </c>
      <c r="B818" s="26">
        <f>(A818-1)/2000*$C$2</f>
        <v/>
      </c>
      <c r="C818" s="7">
        <f>INDEX(Bits!$E$25:$E$124,INT(B818)+1)</f>
        <v/>
      </c>
      <c r="D818" s="7">
        <f>MAX(1,MIN(INT(B818/$C$4)+1,$C$5))</f>
        <v/>
      </c>
      <c r="E818" s="26">
        <f>IF($C$5=0,0,INDEX(Symboles!$G$6:$G$101,D818))</f>
        <v/>
      </c>
      <c r="F818" s="26">
        <f>IF($C$5=0,0,INDEX(Symboles!$H$6:$H$101,D818))</f>
        <v/>
      </c>
      <c r="G818" s="26">
        <f>COS(2*PI()*$C$3*B818)</f>
        <v/>
      </c>
      <c r="H818" s="26">
        <f>SIN(2*PI()*$C$3*B818)</f>
        <v/>
      </c>
      <c r="I818" s="26">
        <f>E818*G818+F818*H818</f>
        <v/>
      </c>
    </row>
    <row r="819">
      <c r="A819" s="7" t="n">
        <v>812</v>
      </c>
      <c r="B819" s="26">
        <f>(A819-1)/2000*$C$2</f>
        <v/>
      </c>
      <c r="C819" s="7">
        <f>INDEX(Bits!$E$25:$E$124,INT(B819)+1)</f>
        <v/>
      </c>
      <c r="D819" s="7">
        <f>MAX(1,MIN(INT(B819/$C$4)+1,$C$5))</f>
        <v/>
      </c>
      <c r="E819" s="26">
        <f>IF($C$5=0,0,INDEX(Symboles!$G$6:$G$101,D819))</f>
        <v/>
      </c>
      <c r="F819" s="26">
        <f>IF($C$5=0,0,INDEX(Symboles!$H$6:$H$101,D819))</f>
        <v/>
      </c>
      <c r="G819" s="26">
        <f>COS(2*PI()*$C$3*B819)</f>
        <v/>
      </c>
      <c r="H819" s="26">
        <f>SIN(2*PI()*$C$3*B819)</f>
        <v/>
      </c>
      <c r="I819" s="26">
        <f>E819*G819+F819*H819</f>
        <v/>
      </c>
    </row>
    <row r="820">
      <c r="A820" s="7" t="n">
        <v>813</v>
      </c>
      <c r="B820" s="26">
        <f>(A820-1)/2000*$C$2</f>
        <v/>
      </c>
      <c r="C820" s="7">
        <f>INDEX(Bits!$E$25:$E$124,INT(B820)+1)</f>
        <v/>
      </c>
      <c r="D820" s="7">
        <f>MAX(1,MIN(INT(B820/$C$4)+1,$C$5))</f>
        <v/>
      </c>
      <c r="E820" s="26">
        <f>IF($C$5=0,0,INDEX(Symboles!$G$6:$G$101,D820))</f>
        <v/>
      </c>
      <c r="F820" s="26">
        <f>IF($C$5=0,0,INDEX(Symboles!$H$6:$H$101,D820))</f>
        <v/>
      </c>
      <c r="G820" s="26">
        <f>COS(2*PI()*$C$3*B820)</f>
        <v/>
      </c>
      <c r="H820" s="26">
        <f>SIN(2*PI()*$C$3*B820)</f>
        <v/>
      </c>
      <c r="I820" s="26">
        <f>E820*G820+F820*H820</f>
        <v/>
      </c>
    </row>
    <row r="821">
      <c r="A821" s="7" t="n">
        <v>814</v>
      </c>
      <c r="B821" s="26">
        <f>(A821-1)/2000*$C$2</f>
        <v/>
      </c>
      <c r="C821" s="7">
        <f>INDEX(Bits!$E$25:$E$124,INT(B821)+1)</f>
        <v/>
      </c>
      <c r="D821" s="7">
        <f>MAX(1,MIN(INT(B821/$C$4)+1,$C$5))</f>
        <v/>
      </c>
      <c r="E821" s="26">
        <f>IF($C$5=0,0,INDEX(Symboles!$G$6:$G$101,D821))</f>
        <v/>
      </c>
      <c r="F821" s="26">
        <f>IF($C$5=0,0,INDEX(Symboles!$H$6:$H$101,D821))</f>
        <v/>
      </c>
      <c r="G821" s="26">
        <f>COS(2*PI()*$C$3*B821)</f>
        <v/>
      </c>
      <c r="H821" s="26">
        <f>SIN(2*PI()*$C$3*B821)</f>
        <v/>
      </c>
      <c r="I821" s="26">
        <f>E821*G821+F821*H821</f>
        <v/>
      </c>
    </row>
    <row r="822">
      <c r="A822" s="7" t="n">
        <v>815</v>
      </c>
      <c r="B822" s="26">
        <f>(A822-1)/2000*$C$2</f>
        <v/>
      </c>
      <c r="C822" s="7">
        <f>INDEX(Bits!$E$25:$E$124,INT(B822)+1)</f>
        <v/>
      </c>
      <c r="D822" s="7">
        <f>MAX(1,MIN(INT(B822/$C$4)+1,$C$5))</f>
        <v/>
      </c>
      <c r="E822" s="26">
        <f>IF($C$5=0,0,INDEX(Symboles!$G$6:$G$101,D822))</f>
        <v/>
      </c>
      <c r="F822" s="26">
        <f>IF($C$5=0,0,INDEX(Symboles!$H$6:$H$101,D822))</f>
        <v/>
      </c>
      <c r="G822" s="26">
        <f>COS(2*PI()*$C$3*B822)</f>
        <v/>
      </c>
      <c r="H822" s="26">
        <f>SIN(2*PI()*$C$3*B822)</f>
        <v/>
      </c>
      <c r="I822" s="26">
        <f>E822*G822+F822*H822</f>
        <v/>
      </c>
    </row>
    <row r="823">
      <c r="A823" s="7" t="n">
        <v>816</v>
      </c>
      <c r="B823" s="26">
        <f>(A823-1)/2000*$C$2</f>
        <v/>
      </c>
      <c r="C823" s="7">
        <f>INDEX(Bits!$E$25:$E$124,INT(B823)+1)</f>
        <v/>
      </c>
      <c r="D823" s="7">
        <f>MAX(1,MIN(INT(B823/$C$4)+1,$C$5))</f>
        <v/>
      </c>
      <c r="E823" s="26">
        <f>IF($C$5=0,0,INDEX(Symboles!$G$6:$G$101,D823))</f>
        <v/>
      </c>
      <c r="F823" s="26">
        <f>IF($C$5=0,0,INDEX(Symboles!$H$6:$H$101,D823))</f>
        <v/>
      </c>
      <c r="G823" s="26">
        <f>COS(2*PI()*$C$3*B823)</f>
        <v/>
      </c>
      <c r="H823" s="26">
        <f>SIN(2*PI()*$C$3*B823)</f>
        <v/>
      </c>
      <c r="I823" s="26">
        <f>E823*G823+F823*H823</f>
        <v/>
      </c>
    </row>
    <row r="824">
      <c r="A824" s="7" t="n">
        <v>817</v>
      </c>
      <c r="B824" s="26">
        <f>(A824-1)/2000*$C$2</f>
        <v/>
      </c>
      <c r="C824" s="7">
        <f>INDEX(Bits!$E$25:$E$124,INT(B824)+1)</f>
        <v/>
      </c>
      <c r="D824" s="7">
        <f>MAX(1,MIN(INT(B824/$C$4)+1,$C$5))</f>
        <v/>
      </c>
      <c r="E824" s="26">
        <f>IF($C$5=0,0,INDEX(Symboles!$G$6:$G$101,D824))</f>
        <v/>
      </c>
      <c r="F824" s="26">
        <f>IF($C$5=0,0,INDEX(Symboles!$H$6:$H$101,D824))</f>
        <v/>
      </c>
      <c r="G824" s="26">
        <f>COS(2*PI()*$C$3*B824)</f>
        <v/>
      </c>
      <c r="H824" s="26">
        <f>SIN(2*PI()*$C$3*B824)</f>
        <v/>
      </c>
      <c r="I824" s="26">
        <f>E824*G824+F824*H824</f>
        <v/>
      </c>
    </row>
    <row r="825">
      <c r="A825" s="7" t="n">
        <v>818</v>
      </c>
      <c r="B825" s="26">
        <f>(A825-1)/2000*$C$2</f>
        <v/>
      </c>
      <c r="C825" s="7">
        <f>INDEX(Bits!$E$25:$E$124,INT(B825)+1)</f>
        <v/>
      </c>
      <c r="D825" s="7">
        <f>MAX(1,MIN(INT(B825/$C$4)+1,$C$5))</f>
        <v/>
      </c>
      <c r="E825" s="26">
        <f>IF($C$5=0,0,INDEX(Symboles!$G$6:$G$101,D825))</f>
        <v/>
      </c>
      <c r="F825" s="26">
        <f>IF($C$5=0,0,INDEX(Symboles!$H$6:$H$101,D825))</f>
        <v/>
      </c>
      <c r="G825" s="26">
        <f>COS(2*PI()*$C$3*B825)</f>
        <v/>
      </c>
      <c r="H825" s="26">
        <f>SIN(2*PI()*$C$3*B825)</f>
        <v/>
      </c>
      <c r="I825" s="26">
        <f>E825*G825+F825*H825</f>
        <v/>
      </c>
    </row>
    <row r="826">
      <c r="A826" s="7" t="n">
        <v>819</v>
      </c>
      <c r="B826" s="26">
        <f>(A826-1)/2000*$C$2</f>
        <v/>
      </c>
      <c r="C826" s="7">
        <f>INDEX(Bits!$E$25:$E$124,INT(B826)+1)</f>
        <v/>
      </c>
      <c r="D826" s="7">
        <f>MAX(1,MIN(INT(B826/$C$4)+1,$C$5))</f>
        <v/>
      </c>
      <c r="E826" s="26">
        <f>IF($C$5=0,0,INDEX(Symboles!$G$6:$G$101,D826))</f>
        <v/>
      </c>
      <c r="F826" s="26">
        <f>IF($C$5=0,0,INDEX(Symboles!$H$6:$H$101,D826))</f>
        <v/>
      </c>
      <c r="G826" s="26">
        <f>COS(2*PI()*$C$3*B826)</f>
        <v/>
      </c>
      <c r="H826" s="26">
        <f>SIN(2*PI()*$C$3*B826)</f>
        <v/>
      </c>
      <c r="I826" s="26">
        <f>E826*G826+F826*H826</f>
        <v/>
      </c>
    </row>
    <row r="827">
      <c r="A827" s="7" t="n">
        <v>820</v>
      </c>
      <c r="B827" s="26">
        <f>(A827-1)/2000*$C$2</f>
        <v/>
      </c>
      <c r="C827" s="7">
        <f>INDEX(Bits!$E$25:$E$124,INT(B827)+1)</f>
        <v/>
      </c>
      <c r="D827" s="7">
        <f>MAX(1,MIN(INT(B827/$C$4)+1,$C$5))</f>
        <v/>
      </c>
      <c r="E827" s="26">
        <f>IF($C$5=0,0,INDEX(Symboles!$G$6:$G$101,D827))</f>
        <v/>
      </c>
      <c r="F827" s="26">
        <f>IF($C$5=0,0,INDEX(Symboles!$H$6:$H$101,D827))</f>
        <v/>
      </c>
      <c r="G827" s="26">
        <f>COS(2*PI()*$C$3*B827)</f>
        <v/>
      </c>
      <c r="H827" s="26">
        <f>SIN(2*PI()*$C$3*B827)</f>
        <v/>
      </c>
      <c r="I827" s="26">
        <f>E827*G827+F827*H827</f>
        <v/>
      </c>
    </row>
    <row r="828">
      <c r="A828" s="7" t="n">
        <v>821</v>
      </c>
      <c r="B828" s="26">
        <f>(A828-1)/2000*$C$2</f>
        <v/>
      </c>
      <c r="C828" s="7">
        <f>INDEX(Bits!$E$25:$E$124,INT(B828)+1)</f>
        <v/>
      </c>
      <c r="D828" s="7">
        <f>MAX(1,MIN(INT(B828/$C$4)+1,$C$5))</f>
        <v/>
      </c>
      <c r="E828" s="26">
        <f>IF($C$5=0,0,INDEX(Symboles!$G$6:$G$101,D828))</f>
        <v/>
      </c>
      <c r="F828" s="26">
        <f>IF($C$5=0,0,INDEX(Symboles!$H$6:$H$101,D828))</f>
        <v/>
      </c>
      <c r="G828" s="26">
        <f>COS(2*PI()*$C$3*B828)</f>
        <v/>
      </c>
      <c r="H828" s="26">
        <f>SIN(2*PI()*$C$3*B828)</f>
        <v/>
      </c>
      <c r="I828" s="26">
        <f>E828*G828+F828*H828</f>
        <v/>
      </c>
    </row>
    <row r="829">
      <c r="A829" s="7" t="n">
        <v>822</v>
      </c>
      <c r="B829" s="26">
        <f>(A829-1)/2000*$C$2</f>
        <v/>
      </c>
      <c r="C829" s="7">
        <f>INDEX(Bits!$E$25:$E$124,INT(B829)+1)</f>
        <v/>
      </c>
      <c r="D829" s="7">
        <f>MAX(1,MIN(INT(B829/$C$4)+1,$C$5))</f>
        <v/>
      </c>
      <c r="E829" s="26">
        <f>IF($C$5=0,0,INDEX(Symboles!$G$6:$G$101,D829))</f>
        <v/>
      </c>
      <c r="F829" s="26">
        <f>IF($C$5=0,0,INDEX(Symboles!$H$6:$H$101,D829))</f>
        <v/>
      </c>
      <c r="G829" s="26">
        <f>COS(2*PI()*$C$3*B829)</f>
        <v/>
      </c>
      <c r="H829" s="26">
        <f>SIN(2*PI()*$C$3*B829)</f>
        <v/>
      </c>
      <c r="I829" s="26">
        <f>E829*G829+F829*H829</f>
        <v/>
      </c>
    </row>
    <row r="830">
      <c r="A830" s="7" t="n">
        <v>823</v>
      </c>
      <c r="B830" s="26">
        <f>(A830-1)/2000*$C$2</f>
        <v/>
      </c>
      <c r="C830" s="7">
        <f>INDEX(Bits!$E$25:$E$124,INT(B830)+1)</f>
        <v/>
      </c>
      <c r="D830" s="7">
        <f>MAX(1,MIN(INT(B830/$C$4)+1,$C$5))</f>
        <v/>
      </c>
      <c r="E830" s="26">
        <f>IF($C$5=0,0,INDEX(Symboles!$G$6:$G$101,D830))</f>
        <v/>
      </c>
      <c r="F830" s="26">
        <f>IF($C$5=0,0,INDEX(Symboles!$H$6:$H$101,D830))</f>
        <v/>
      </c>
      <c r="G830" s="26">
        <f>COS(2*PI()*$C$3*B830)</f>
        <v/>
      </c>
      <c r="H830" s="26">
        <f>SIN(2*PI()*$C$3*B830)</f>
        <v/>
      </c>
      <c r="I830" s="26">
        <f>E830*G830+F830*H830</f>
        <v/>
      </c>
    </row>
    <row r="831">
      <c r="A831" s="7" t="n">
        <v>824</v>
      </c>
      <c r="B831" s="26">
        <f>(A831-1)/2000*$C$2</f>
        <v/>
      </c>
      <c r="C831" s="7">
        <f>INDEX(Bits!$E$25:$E$124,INT(B831)+1)</f>
        <v/>
      </c>
      <c r="D831" s="7">
        <f>MAX(1,MIN(INT(B831/$C$4)+1,$C$5))</f>
        <v/>
      </c>
      <c r="E831" s="26">
        <f>IF($C$5=0,0,INDEX(Symboles!$G$6:$G$101,D831))</f>
        <v/>
      </c>
      <c r="F831" s="26">
        <f>IF($C$5=0,0,INDEX(Symboles!$H$6:$H$101,D831))</f>
        <v/>
      </c>
      <c r="G831" s="26">
        <f>COS(2*PI()*$C$3*B831)</f>
        <v/>
      </c>
      <c r="H831" s="26">
        <f>SIN(2*PI()*$C$3*B831)</f>
        <v/>
      </c>
      <c r="I831" s="26">
        <f>E831*G831+F831*H831</f>
        <v/>
      </c>
    </row>
    <row r="832">
      <c r="A832" s="7" t="n">
        <v>825</v>
      </c>
      <c r="B832" s="26">
        <f>(A832-1)/2000*$C$2</f>
        <v/>
      </c>
      <c r="C832" s="7">
        <f>INDEX(Bits!$E$25:$E$124,INT(B832)+1)</f>
        <v/>
      </c>
      <c r="D832" s="7">
        <f>MAX(1,MIN(INT(B832/$C$4)+1,$C$5))</f>
        <v/>
      </c>
      <c r="E832" s="26">
        <f>IF($C$5=0,0,INDEX(Symboles!$G$6:$G$101,D832))</f>
        <v/>
      </c>
      <c r="F832" s="26">
        <f>IF($C$5=0,0,INDEX(Symboles!$H$6:$H$101,D832))</f>
        <v/>
      </c>
      <c r="G832" s="26">
        <f>COS(2*PI()*$C$3*B832)</f>
        <v/>
      </c>
      <c r="H832" s="26">
        <f>SIN(2*PI()*$C$3*B832)</f>
        <v/>
      </c>
      <c r="I832" s="26">
        <f>E832*G832+F832*H832</f>
        <v/>
      </c>
    </row>
    <row r="833">
      <c r="A833" s="7" t="n">
        <v>826</v>
      </c>
      <c r="B833" s="26">
        <f>(A833-1)/2000*$C$2</f>
        <v/>
      </c>
      <c r="C833" s="7">
        <f>INDEX(Bits!$E$25:$E$124,INT(B833)+1)</f>
        <v/>
      </c>
      <c r="D833" s="7">
        <f>MAX(1,MIN(INT(B833/$C$4)+1,$C$5))</f>
        <v/>
      </c>
      <c r="E833" s="26">
        <f>IF($C$5=0,0,INDEX(Symboles!$G$6:$G$101,D833))</f>
        <v/>
      </c>
      <c r="F833" s="26">
        <f>IF($C$5=0,0,INDEX(Symboles!$H$6:$H$101,D833))</f>
        <v/>
      </c>
      <c r="G833" s="26">
        <f>COS(2*PI()*$C$3*B833)</f>
        <v/>
      </c>
      <c r="H833" s="26">
        <f>SIN(2*PI()*$C$3*B833)</f>
        <v/>
      </c>
      <c r="I833" s="26">
        <f>E833*G833+F833*H833</f>
        <v/>
      </c>
    </row>
    <row r="834">
      <c r="A834" s="7" t="n">
        <v>827</v>
      </c>
      <c r="B834" s="26">
        <f>(A834-1)/2000*$C$2</f>
        <v/>
      </c>
      <c r="C834" s="7">
        <f>INDEX(Bits!$E$25:$E$124,INT(B834)+1)</f>
        <v/>
      </c>
      <c r="D834" s="7">
        <f>MAX(1,MIN(INT(B834/$C$4)+1,$C$5))</f>
        <v/>
      </c>
      <c r="E834" s="26">
        <f>IF($C$5=0,0,INDEX(Symboles!$G$6:$G$101,D834))</f>
        <v/>
      </c>
      <c r="F834" s="26">
        <f>IF($C$5=0,0,INDEX(Symboles!$H$6:$H$101,D834))</f>
        <v/>
      </c>
      <c r="G834" s="26">
        <f>COS(2*PI()*$C$3*B834)</f>
        <v/>
      </c>
      <c r="H834" s="26">
        <f>SIN(2*PI()*$C$3*B834)</f>
        <v/>
      </c>
      <c r="I834" s="26">
        <f>E834*G834+F834*H834</f>
        <v/>
      </c>
    </row>
    <row r="835">
      <c r="A835" s="7" t="n">
        <v>828</v>
      </c>
      <c r="B835" s="26">
        <f>(A835-1)/2000*$C$2</f>
        <v/>
      </c>
      <c r="C835" s="7">
        <f>INDEX(Bits!$E$25:$E$124,INT(B835)+1)</f>
        <v/>
      </c>
      <c r="D835" s="7">
        <f>MAX(1,MIN(INT(B835/$C$4)+1,$C$5))</f>
        <v/>
      </c>
      <c r="E835" s="26">
        <f>IF($C$5=0,0,INDEX(Symboles!$G$6:$G$101,D835))</f>
        <v/>
      </c>
      <c r="F835" s="26">
        <f>IF($C$5=0,0,INDEX(Symboles!$H$6:$H$101,D835))</f>
        <v/>
      </c>
      <c r="G835" s="26">
        <f>COS(2*PI()*$C$3*B835)</f>
        <v/>
      </c>
      <c r="H835" s="26">
        <f>SIN(2*PI()*$C$3*B835)</f>
        <v/>
      </c>
      <c r="I835" s="26">
        <f>E835*G835+F835*H835</f>
        <v/>
      </c>
    </row>
    <row r="836">
      <c r="A836" s="7" t="n">
        <v>829</v>
      </c>
      <c r="B836" s="26">
        <f>(A836-1)/2000*$C$2</f>
        <v/>
      </c>
      <c r="C836" s="7">
        <f>INDEX(Bits!$E$25:$E$124,INT(B836)+1)</f>
        <v/>
      </c>
      <c r="D836" s="7">
        <f>MAX(1,MIN(INT(B836/$C$4)+1,$C$5))</f>
        <v/>
      </c>
      <c r="E836" s="26">
        <f>IF($C$5=0,0,INDEX(Symboles!$G$6:$G$101,D836))</f>
        <v/>
      </c>
      <c r="F836" s="26">
        <f>IF($C$5=0,0,INDEX(Symboles!$H$6:$H$101,D836))</f>
        <v/>
      </c>
      <c r="G836" s="26">
        <f>COS(2*PI()*$C$3*B836)</f>
        <v/>
      </c>
      <c r="H836" s="26">
        <f>SIN(2*PI()*$C$3*B836)</f>
        <v/>
      </c>
      <c r="I836" s="26">
        <f>E836*G836+F836*H836</f>
        <v/>
      </c>
    </row>
    <row r="837">
      <c r="A837" s="7" t="n">
        <v>830</v>
      </c>
      <c r="B837" s="26">
        <f>(A837-1)/2000*$C$2</f>
        <v/>
      </c>
      <c r="C837" s="7">
        <f>INDEX(Bits!$E$25:$E$124,INT(B837)+1)</f>
        <v/>
      </c>
      <c r="D837" s="7">
        <f>MAX(1,MIN(INT(B837/$C$4)+1,$C$5))</f>
        <v/>
      </c>
      <c r="E837" s="26">
        <f>IF($C$5=0,0,INDEX(Symboles!$G$6:$G$101,D837))</f>
        <v/>
      </c>
      <c r="F837" s="26">
        <f>IF($C$5=0,0,INDEX(Symboles!$H$6:$H$101,D837))</f>
        <v/>
      </c>
      <c r="G837" s="26">
        <f>COS(2*PI()*$C$3*B837)</f>
        <v/>
      </c>
      <c r="H837" s="26">
        <f>SIN(2*PI()*$C$3*B837)</f>
        <v/>
      </c>
      <c r="I837" s="26">
        <f>E837*G837+F837*H837</f>
        <v/>
      </c>
    </row>
    <row r="838">
      <c r="A838" s="7" t="n">
        <v>831</v>
      </c>
      <c r="B838" s="26">
        <f>(A838-1)/2000*$C$2</f>
        <v/>
      </c>
      <c r="C838" s="7">
        <f>INDEX(Bits!$E$25:$E$124,INT(B838)+1)</f>
        <v/>
      </c>
      <c r="D838" s="7">
        <f>MAX(1,MIN(INT(B838/$C$4)+1,$C$5))</f>
        <v/>
      </c>
      <c r="E838" s="26">
        <f>IF($C$5=0,0,INDEX(Symboles!$G$6:$G$101,D838))</f>
        <v/>
      </c>
      <c r="F838" s="26">
        <f>IF($C$5=0,0,INDEX(Symboles!$H$6:$H$101,D838))</f>
        <v/>
      </c>
      <c r="G838" s="26">
        <f>COS(2*PI()*$C$3*B838)</f>
        <v/>
      </c>
      <c r="H838" s="26">
        <f>SIN(2*PI()*$C$3*B838)</f>
        <v/>
      </c>
      <c r="I838" s="26">
        <f>E838*G838+F838*H838</f>
        <v/>
      </c>
    </row>
    <row r="839">
      <c r="A839" s="7" t="n">
        <v>832</v>
      </c>
      <c r="B839" s="26">
        <f>(A839-1)/2000*$C$2</f>
        <v/>
      </c>
      <c r="C839" s="7">
        <f>INDEX(Bits!$E$25:$E$124,INT(B839)+1)</f>
        <v/>
      </c>
      <c r="D839" s="7">
        <f>MAX(1,MIN(INT(B839/$C$4)+1,$C$5))</f>
        <v/>
      </c>
      <c r="E839" s="26">
        <f>IF($C$5=0,0,INDEX(Symboles!$G$6:$G$101,D839))</f>
        <v/>
      </c>
      <c r="F839" s="26">
        <f>IF($C$5=0,0,INDEX(Symboles!$H$6:$H$101,D839))</f>
        <v/>
      </c>
      <c r="G839" s="26">
        <f>COS(2*PI()*$C$3*B839)</f>
        <v/>
      </c>
      <c r="H839" s="26">
        <f>SIN(2*PI()*$C$3*B839)</f>
        <v/>
      </c>
      <c r="I839" s="26">
        <f>E839*G839+F839*H839</f>
        <v/>
      </c>
    </row>
    <row r="840">
      <c r="A840" s="7" t="n">
        <v>833</v>
      </c>
      <c r="B840" s="26">
        <f>(A840-1)/2000*$C$2</f>
        <v/>
      </c>
      <c r="C840" s="7">
        <f>INDEX(Bits!$E$25:$E$124,INT(B840)+1)</f>
        <v/>
      </c>
      <c r="D840" s="7">
        <f>MAX(1,MIN(INT(B840/$C$4)+1,$C$5))</f>
        <v/>
      </c>
      <c r="E840" s="26">
        <f>IF($C$5=0,0,INDEX(Symboles!$G$6:$G$101,D840))</f>
        <v/>
      </c>
      <c r="F840" s="26">
        <f>IF($C$5=0,0,INDEX(Symboles!$H$6:$H$101,D840))</f>
        <v/>
      </c>
      <c r="G840" s="26">
        <f>COS(2*PI()*$C$3*B840)</f>
        <v/>
      </c>
      <c r="H840" s="26">
        <f>SIN(2*PI()*$C$3*B840)</f>
        <v/>
      </c>
      <c r="I840" s="26">
        <f>E840*G840+F840*H840</f>
        <v/>
      </c>
    </row>
    <row r="841">
      <c r="A841" s="7" t="n">
        <v>834</v>
      </c>
      <c r="B841" s="26">
        <f>(A841-1)/2000*$C$2</f>
        <v/>
      </c>
      <c r="C841" s="7">
        <f>INDEX(Bits!$E$25:$E$124,INT(B841)+1)</f>
        <v/>
      </c>
      <c r="D841" s="7">
        <f>MAX(1,MIN(INT(B841/$C$4)+1,$C$5))</f>
        <v/>
      </c>
      <c r="E841" s="26">
        <f>IF($C$5=0,0,INDEX(Symboles!$G$6:$G$101,D841))</f>
        <v/>
      </c>
      <c r="F841" s="26">
        <f>IF($C$5=0,0,INDEX(Symboles!$H$6:$H$101,D841))</f>
        <v/>
      </c>
      <c r="G841" s="26">
        <f>COS(2*PI()*$C$3*B841)</f>
        <v/>
      </c>
      <c r="H841" s="26">
        <f>SIN(2*PI()*$C$3*B841)</f>
        <v/>
      </c>
      <c r="I841" s="26">
        <f>E841*G841+F841*H841</f>
        <v/>
      </c>
    </row>
    <row r="842">
      <c r="A842" s="7" t="n">
        <v>835</v>
      </c>
      <c r="B842" s="26">
        <f>(A842-1)/2000*$C$2</f>
        <v/>
      </c>
      <c r="C842" s="7">
        <f>INDEX(Bits!$E$25:$E$124,INT(B842)+1)</f>
        <v/>
      </c>
      <c r="D842" s="7">
        <f>MAX(1,MIN(INT(B842/$C$4)+1,$C$5))</f>
        <v/>
      </c>
      <c r="E842" s="26">
        <f>IF($C$5=0,0,INDEX(Symboles!$G$6:$G$101,D842))</f>
        <v/>
      </c>
      <c r="F842" s="26">
        <f>IF($C$5=0,0,INDEX(Symboles!$H$6:$H$101,D842))</f>
        <v/>
      </c>
      <c r="G842" s="26">
        <f>COS(2*PI()*$C$3*B842)</f>
        <v/>
      </c>
      <c r="H842" s="26">
        <f>SIN(2*PI()*$C$3*B842)</f>
        <v/>
      </c>
      <c r="I842" s="26">
        <f>E842*G842+F842*H842</f>
        <v/>
      </c>
    </row>
    <row r="843">
      <c r="A843" s="7" t="n">
        <v>836</v>
      </c>
      <c r="B843" s="26">
        <f>(A843-1)/2000*$C$2</f>
        <v/>
      </c>
      <c r="C843" s="7">
        <f>INDEX(Bits!$E$25:$E$124,INT(B843)+1)</f>
        <v/>
      </c>
      <c r="D843" s="7">
        <f>MAX(1,MIN(INT(B843/$C$4)+1,$C$5))</f>
        <v/>
      </c>
      <c r="E843" s="26">
        <f>IF($C$5=0,0,INDEX(Symboles!$G$6:$G$101,D843))</f>
        <v/>
      </c>
      <c r="F843" s="26">
        <f>IF($C$5=0,0,INDEX(Symboles!$H$6:$H$101,D843))</f>
        <v/>
      </c>
      <c r="G843" s="26">
        <f>COS(2*PI()*$C$3*B843)</f>
        <v/>
      </c>
      <c r="H843" s="26">
        <f>SIN(2*PI()*$C$3*B843)</f>
        <v/>
      </c>
      <c r="I843" s="26">
        <f>E843*G843+F843*H843</f>
        <v/>
      </c>
    </row>
    <row r="844">
      <c r="A844" s="7" t="n">
        <v>837</v>
      </c>
      <c r="B844" s="26">
        <f>(A844-1)/2000*$C$2</f>
        <v/>
      </c>
      <c r="C844" s="7">
        <f>INDEX(Bits!$E$25:$E$124,INT(B844)+1)</f>
        <v/>
      </c>
      <c r="D844" s="7">
        <f>MAX(1,MIN(INT(B844/$C$4)+1,$C$5))</f>
        <v/>
      </c>
      <c r="E844" s="26">
        <f>IF($C$5=0,0,INDEX(Symboles!$G$6:$G$101,D844))</f>
        <v/>
      </c>
      <c r="F844" s="26">
        <f>IF($C$5=0,0,INDEX(Symboles!$H$6:$H$101,D844))</f>
        <v/>
      </c>
      <c r="G844" s="26">
        <f>COS(2*PI()*$C$3*B844)</f>
        <v/>
      </c>
      <c r="H844" s="26">
        <f>SIN(2*PI()*$C$3*B844)</f>
        <v/>
      </c>
      <c r="I844" s="26">
        <f>E844*G844+F844*H844</f>
        <v/>
      </c>
    </row>
    <row r="845">
      <c r="A845" s="7" t="n">
        <v>838</v>
      </c>
      <c r="B845" s="26">
        <f>(A845-1)/2000*$C$2</f>
        <v/>
      </c>
      <c r="C845" s="7">
        <f>INDEX(Bits!$E$25:$E$124,INT(B845)+1)</f>
        <v/>
      </c>
      <c r="D845" s="7">
        <f>MAX(1,MIN(INT(B845/$C$4)+1,$C$5))</f>
        <v/>
      </c>
      <c r="E845" s="26">
        <f>IF($C$5=0,0,INDEX(Symboles!$G$6:$G$101,D845))</f>
        <v/>
      </c>
      <c r="F845" s="26">
        <f>IF($C$5=0,0,INDEX(Symboles!$H$6:$H$101,D845))</f>
        <v/>
      </c>
      <c r="G845" s="26">
        <f>COS(2*PI()*$C$3*B845)</f>
        <v/>
      </c>
      <c r="H845" s="26">
        <f>SIN(2*PI()*$C$3*B845)</f>
        <v/>
      </c>
      <c r="I845" s="26">
        <f>E845*G845+F845*H845</f>
        <v/>
      </c>
    </row>
    <row r="846">
      <c r="A846" s="7" t="n">
        <v>839</v>
      </c>
      <c r="B846" s="26">
        <f>(A846-1)/2000*$C$2</f>
        <v/>
      </c>
      <c r="C846" s="7">
        <f>INDEX(Bits!$E$25:$E$124,INT(B846)+1)</f>
        <v/>
      </c>
      <c r="D846" s="7">
        <f>MAX(1,MIN(INT(B846/$C$4)+1,$C$5))</f>
        <v/>
      </c>
      <c r="E846" s="26">
        <f>IF($C$5=0,0,INDEX(Symboles!$G$6:$G$101,D846))</f>
        <v/>
      </c>
      <c r="F846" s="26">
        <f>IF($C$5=0,0,INDEX(Symboles!$H$6:$H$101,D846))</f>
        <v/>
      </c>
      <c r="G846" s="26">
        <f>COS(2*PI()*$C$3*B846)</f>
        <v/>
      </c>
      <c r="H846" s="26">
        <f>SIN(2*PI()*$C$3*B846)</f>
        <v/>
      </c>
      <c r="I846" s="26">
        <f>E846*G846+F846*H846</f>
        <v/>
      </c>
    </row>
    <row r="847">
      <c r="A847" s="7" t="n">
        <v>840</v>
      </c>
      <c r="B847" s="26">
        <f>(A847-1)/2000*$C$2</f>
        <v/>
      </c>
      <c r="C847" s="7">
        <f>INDEX(Bits!$E$25:$E$124,INT(B847)+1)</f>
        <v/>
      </c>
      <c r="D847" s="7">
        <f>MAX(1,MIN(INT(B847/$C$4)+1,$C$5))</f>
        <v/>
      </c>
      <c r="E847" s="26">
        <f>IF($C$5=0,0,INDEX(Symboles!$G$6:$G$101,D847))</f>
        <v/>
      </c>
      <c r="F847" s="26">
        <f>IF($C$5=0,0,INDEX(Symboles!$H$6:$H$101,D847))</f>
        <v/>
      </c>
      <c r="G847" s="26">
        <f>COS(2*PI()*$C$3*B847)</f>
        <v/>
      </c>
      <c r="H847" s="26">
        <f>SIN(2*PI()*$C$3*B847)</f>
        <v/>
      </c>
      <c r="I847" s="26">
        <f>E847*G847+F847*H847</f>
        <v/>
      </c>
    </row>
    <row r="848">
      <c r="A848" s="7" t="n">
        <v>841</v>
      </c>
      <c r="B848" s="26">
        <f>(A848-1)/2000*$C$2</f>
        <v/>
      </c>
      <c r="C848" s="7">
        <f>INDEX(Bits!$E$25:$E$124,INT(B848)+1)</f>
        <v/>
      </c>
      <c r="D848" s="7">
        <f>MAX(1,MIN(INT(B848/$C$4)+1,$C$5))</f>
        <v/>
      </c>
      <c r="E848" s="26">
        <f>IF($C$5=0,0,INDEX(Symboles!$G$6:$G$101,D848))</f>
        <v/>
      </c>
      <c r="F848" s="26">
        <f>IF($C$5=0,0,INDEX(Symboles!$H$6:$H$101,D848))</f>
        <v/>
      </c>
      <c r="G848" s="26">
        <f>COS(2*PI()*$C$3*B848)</f>
        <v/>
      </c>
      <c r="H848" s="26">
        <f>SIN(2*PI()*$C$3*B848)</f>
        <v/>
      </c>
      <c r="I848" s="26">
        <f>E848*G848+F848*H848</f>
        <v/>
      </c>
    </row>
    <row r="849">
      <c r="A849" s="7" t="n">
        <v>842</v>
      </c>
      <c r="B849" s="26">
        <f>(A849-1)/2000*$C$2</f>
        <v/>
      </c>
      <c r="C849" s="7">
        <f>INDEX(Bits!$E$25:$E$124,INT(B849)+1)</f>
        <v/>
      </c>
      <c r="D849" s="7">
        <f>MAX(1,MIN(INT(B849/$C$4)+1,$C$5))</f>
        <v/>
      </c>
      <c r="E849" s="26">
        <f>IF($C$5=0,0,INDEX(Symboles!$G$6:$G$101,D849))</f>
        <v/>
      </c>
      <c r="F849" s="26">
        <f>IF($C$5=0,0,INDEX(Symboles!$H$6:$H$101,D849))</f>
        <v/>
      </c>
      <c r="G849" s="26">
        <f>COS(2*PI()*$C$3*B849)</f>
        <v/>
      </c>
      <c r="H849" s="26">
        <f>SIN(2*PI()*$C$3*B849)</f>
        <v/>
      </c>
      <c r="I849" s="26">
        <f>E849*G849+F849*H849</f>
        <v/>
      </c>
    </row>
    <row r="850">
      <c r="A850" s="7" t="n">
        <v>843</v>
      </c>
      <c r="B850" s="26">
        <f>(A850-1)/2000*$C$2</f>
        <v/>
      </c>
      <c r="C850" s="7">
        <f>INDEX(Bits!$E$25:$E$124,INT(B850)+1)</f>
        <v/>
      </c>
      <c r="D850" s="7">
        <f>MAX(1,MIN(INT(B850/$C$4)+1,$C$5))</f>
        <v/>
      </c>
      <c r="E850" s="26">
        <f>IF($C$5=0,0,INDEX(Symboles!$G$6:$G$101,D850))</f>
        <v/>
      </c>
      <c r="F850" s="26">
        <f>IF($C$5=0,0,INDEX(Symboles!$H$6:$H$101,D850))</f>
        <v/>
      </c>
      <c r="G850" s="26">
        <f>COS(2*PI()*$C$3*B850)</f>
        <v/>
      </c>
      <c r="H850" s="26">
        <f>SIN(2*PI()*$C$3*B850)</f>
        <v/>
      </c>
      <c r="I850" s="26">
        <f>E850*G850+F850*H850</f>
        <v/>
      </c>
    </row>
    <row r="851">
      <c r="A851" s="7" t="n">
        <v>844</v>
      </c>
      <c r="B851" s="26">
        <f>(A851-1)/2000*$C$2</f>
        <v/>
      </c>
      <c r="C851" s="7">
        <f>INDEX(Bits!$E$25:$E$124,INT(B851)+1)</f>
        <v/>
      </c>
      <c r="D851" s="7">
        <f>MAX(1,MIN(INT(B851/$C$4)+1,$C$5))</f>
        <v/>
      </c>
      <c r="E851" s="26">
        <f>IF($C$5=0,0,INDEX(Symboles!$G$6:$G$101,D851))</f>
        <v/>
      </c>
      <c r="F851" s="26">
        <f>IF($C$5=0,0,INDEX(Symboles!$H$6:$H$101,D851))</f>
        <v/>
      </c>
      <c r="G851" s="26">
        <f>COS(2*PI()*$C$3*B851)</f>
        <v/>
      </c>
      <c r="H851" s="26">
        <f>SIN(2*PI()*$C$3*B851)</f>
        <v/>
      </c>
      <c r="I851" s="26">
        <f>E851*G851+F851*H851</f>
        <v/>
      </c>
    </row>
    <row r="852">
      <c r="A852" s="7" t="n">
        <v>845</v>
      </c>
      <c r="B852" s="26">
        <f>(A852-1)/2000*$C$2</f>
        <v/>
      </c>
      <c r="C852" s="7">
        <f>INDEX(Bits!$E$25:$E$124,INT(B852)+1)</f>
        <v/>
      </c>
      <c r="D852" s="7">
        <f>MAX(1,MIN(INT(B852/$C$4)+1,$C$5))</f>
        <v/>
      </c>
      <c r="E852" s="26">
        <f>IF($C$5=0,0,INDEX(Symboles!$G$6:$G$101,D852))</f>
        <v/>
      </c>
      <c r="F852" s="26">
        <f>IF($C$5=0,0,INDEX(Symboles!$H$6:$H$101,D852))</f>
        <v/>
      </c>
      <c r="G852" s="26">
        <f>COS(2*PI()*$C$3*B852)</f>
        <v/>
      </c>
      <c r="H852" s="26">
        <f>SIN(2*PI()*$C$3*B852)</f>
        <v/>
      </c>
      <c r="I852" s="26">
        <f>E852*G852+F852*H852</f>
        <v/>
      </c>
    </row>
    <row r="853">
      <c r="A853" s="7" t="n">
        <v>846</v>
      </c>
      <c r="B853" s="26">
        <f>(A853-1)/2000*$C$2</f>
        <v/>
      </c>
      <c r="C853" s="7">
        <f>INDEX(Bits!$E$25:$E$124,INT(B853)+1)</f>
        <v/>
      </c>
      <c r="D853" s="7">
        <f>MAX(1,MIN(INT(B853/$C$4)+1,$C$5))</f>
        <v/>
      </c>
      <c r="E853" s="26">
        <f>IF($C$5=0,0,INDEX(Symboles!$G$6:$G$101,D853))</f>
        <v/>
      </c>
      <c r="F853" s="26">
        <f>IF($C$5=0,0,INDEX(Symboles!$H$6:$H$101,D853))</f>
        <v/>
      </c>
      <c r="G853" s="26">
        <f>COS(2*PI()*$C$3*B853)</f>
        <v/>
      </c>
      <c r="H853" s="26">
        <f>SIN(2*PI()*$C$3*B853)</f>
        <v/>
      </c>
      <c r="I853" s="26">
        <f>E853*G853+F853*H853</f>
        <v/>
      </c>
    </row>
    <row r="854">
      <c r="A854" s="7" t="n">
        <v>847</v>
      </c>
      <c r="B854" s="26">
        <f>(A854-1)/2000*$C$2</f>
        <v/>
      </c>
      <c r="C854" s="7">
        <f>INDEX(Bits!$E$25:$E$124,INT(B854)+1)</f>
        <v/>
      </c>
      <c r="D854" s="7">
        <f>MAX(1,MIN(INT(B854/$C$4)+1,$C$5))</f>
        <v/>
      </c>
      <c r="E854" s="26">
        <f>IF($C$5=0,0,INDEX(Symboles!$G$6:$G$101,D854))</f>
        <v/>
      </c>
      <c r="F854" s="26">
        <f>IF($C$5=0,0,INDEX(Symboles!$H$6:$H$101,D854))</f>
        <v/>
      </c>
      <c r="G854" s="26">
        <f>COS(2*PI()*$C$3*B854)</f>
        <v/>
      </c>
      <c r="H854" s="26">
        <f>SIN(2*PI()*$C$3*B854)</f>
        <v/>
      </c>
      <c r="I854" s="26">
        <f>E854*G854+F854*H854</f>
        <v/>
      </c>
    </row>
    <row r="855">
      <c r="A855" s="7" t="n">
        <v>848</v>
      </c>
      <c r="B855" s="26">
        <f>(A855-1)/2000*$C$2</f>
        <v/>
      </c>
      <c r="C855" s="7">
        <f>INDEX(Bits!$E$25:$E$124,INT(B855)+1)</f>
        <v/>
      </c>
      <c r="D855" s="7">
        <f>MAX(1,MIN(INT(B855/$C$4)+1,$C$5))</f>
        <v/>
      </c>
      <c r="E855" s="26">
        <f>IF($C$5=0,0,INDEX(Symboles!$G$6:$G$101,D855))</f>
        <v/>
      </c>
      <c r="F855" s="26">
        <f>IF($C$5=0,0,INDEX(Symboles!$H$6:$H$101,D855))</f>
        <v/>
      </c>
      <c r="G855" s="26">
        <f>COS(2*PI()*$C$3*B855)</f>
        <v/>
      </c>
      <c r="H855" s="26">
        <f>SIN(2*PI()*$C$3*B855)</f>
        <v/>
      </c>
      <c r="I855" s="26">
        <f>E855*G855+F855*H855</f>
        <v/>
      </c>
    </row>
    <row r="856">
      <c r="A856" s="7" t="n">
        <v>849</v>
      </c>
      <c r="B856" s="26">
        <f>(A856-1)/2000*$C$2</f>
        <v/>
      </c>
      <c r="C856" s="7">
        <f>INDEX(Bits!$E$25:$E$124,INT(B856)+1)</f>
        <v/>
      </c>
      <c r="D856" s="7">
        <f>MAX(1,MIN(INT(B856/$C$4)+1,$C$5))</f>
        <v/>
      </c>
      <c r="E856" s="26">
        <f>IF($C$5=0,0,INDEX(Symboles!$G$6:$G$101,D856))</f>
        <v/>
      </c>
      <c r="F856" s="26">
        <f>IF($C$5=0,0,INDEX(Symboles!$H$6:$H$101,D856))</f>
        <v/>
      </c>
      <c r="G856" s="26">
        <f>COS(2*PI()*$C$3*B856)</f>
        <v/>
      </c>
      <c r="H856" s="26">
        <f>SIN(2*PI()*$C$3*B856)</f>
        <v/>
      </c>
      <c r="I856" s="26">
        <f>E856*G856+F856*H856</f>
        <v/>
      </c>
    </row>
    <row r="857">
      <c r="A857" s="7" t="n">
        <v>850</v>
      </c>
      <c r="B857" s="26">
        <f>(A857-1)/2000*$C$2</f>
        <v/>
      </c>
      <c r="C857" s="7">
        <f>INDEX(Bits!$E$25:$E$124,INT(B857)+1)</f>
        <v/>
      </c>
      <c r="D857" s="7">
        <f>MAX(1,MIN(INT(B857/$C$4)+1,$C$5))</f>
        <v/>
      </c>
      <c r="E857" s="26">
        <f>IF($C$5=0,0,INDEX(Symboles!$G$6:$G$101,D857))</f>
        <v/>
      </c>
      <c r="F857" s="26">
        <f>IF($C$5=0,0,INDEX(Symboles!$H$6:$H$101,D857))</f>
        <v/>
      </c>
      <c r="G857" s="26">
        <f>COS(2*PI()*$C$3*B857)</f>
        <v/>
      </c>
      <c r="H857" s="26">
        <f>SIN(2*PI()*$C$3*B857)</f>
        <v/>
      </c>
      <c r="I857" s="26">
        <f>E857*G857+F857*H857</f>
        <v/>
      </c>
    </row>
    <row r="858">
      <c r="A858" s="7" t="n">
        <v>851</v>
      </c>
      <c r="B858" s="26">
        <f>(A858-1)/2000*$C$2</f>
        <v/>
      </c>
      <c r="C858" s="7">
        <f>INDEX(Bits!$E$25:$E$124,INT(B858)+1)</f>
        <v/>
      </c>
      <c r="D858" s="7">
        <f>MAX(1,MIN(INT(B858/$C$4)+1,$C$5))</f>
        <v/>
      </c>
      <c r="E858" s="26">
        <f>IF($C$5=0,0,INDEX(Symboles!$G$6:$G$101,D858))</f>
        <v/>
      </c>
      <c r="F858" s="26">
        <f>IF($C$5=0,0,INDEX(Symboles!$H$6:$H$101,D858))</f>
        <v/>
      </c>
      <c r="G858" s="26">
        <f>COS(2*PI()*$C$3*B858)</f>
        <v/>
      </c>
      <c r="H858" s="26">
        <f>SIN(2*PI()*$C$3*B858)</f>
        <v/>
      </c>
      <c r="I858" s="26">
        <f>E858*G858+F858*H858</f>
        <v/>
      </c>
    </row>
    <row r="859">
      <c r="A859" s="7" t="n">
        <v>852</v>
      </c>
      <c r="B859" s="26">
        <f>(A859-1)/2000*$C$2</f>
        <v/>
      </c>
      <c r="C859" s="7">
        <f>INDEX(Bits!$E$25:$E$124,INT(B859)+1)</f>
        <v/>
      </c>
      <c r="D859" s="7">
        <f>MAX(1,MIN(INT(B859/$C$4)+1,$C$5))</f>
        <v/>
      </c>
      <c r="E859" s="26">
        <f>IF($C$5=0,0,INDEX(Symboles!$G$6:$G$101,D859))</f>
        <v/>
      </c>
      <c r="F859" s="26">
        <f>IF($C$5=0,0,INDEX(Symboles!$H$6:$H$101,D859))</f>
        <v/>
      </c>
      <c r="G859" s="26">
        <f>COS(2*PI()*$C$3*B859)</f>
        <v/>
      </c>
      <c r="H859" s="26">
        <f>SIN(2*PI()*$C$3*B859)</f>
        <v/>
      </c>
      <c r="I859" s="26">
        <f>E859*G859+F859*H859</f>
        <v/>
      </c>
    </row>
    <row r="860">
      <c r="A860" s="7" t="n">
        <v>853</v>
      </c>
      <c r="B860" s="26">
        <f>(A860-1)/2000*$C$2</f>
        <v/>
      </c>
      <c r="C860" s="7">
        <f>INDEX(Bits!$E$25:$E$124,INT(B860)+1)</f>
        <v/>
      </c>
      <c r="D860" s="7">
        <f>MAX(1,MIN(INT(B860/$C$4)+1,$C$5))</f>
        <v/>
      </c>
      <c r="E860" s="26">
        <f>IF($C$5=0,0,INDEX(Symboles!$G$6:$G$101,D860))</f>
        <v/>
      </c>
      <c r="F860" s="26">
        <f>IF($C$5=0,0,INDEX(Symboles!$H$6:$H$101,D860))</f>
        <v/>
      </c>
      <c r="G860" s="26">
        <f>COS(2*PI()*$C$3*B860)</f>
        <v/>
      </c>
      <c r="H860" s="26">
        <f>SIN(2*PI()*$C$3*B860)</f>
        <v/>
      </c>
      <c r="I860" s="26">
        <f>E860*G860+F860*H860</f>
        <v/>
      </c>
    </row>
    <row r="861">
      <c r="A861" s="7" t="n">
        <v>854</v>
      </c>
      <c r="B861" s="26">
        <f>(A861-1)/2000*$C$2</f>
        <v/>
      </c>
      <c r="C861" s="7">
        <f>INDEX(Bits!$E$25:$E$124,INT(B861)+1)</f>
        <v/>
      </c>
      <c r="D861" s="7">
        <f>MAX(1,MIN(INT(B861/$C$4)+1,$C$5))</f>
        <v/>
      </c>
      <c r="E861" s="26">
        <f>IF($C$5=0,0,INDEX(Symboles!$G$6:$G$101,D861))</f>
        <v/>
      </c>
      <c r="F861" s="26">
        <f>IF($C$5=0,0,INDEX(Symboles!$H$6:$H$101,D861))</f>
        <v/>
      </c>
      <c r="G861" s="26">
        <f>COS(2*PI()*$C$3*B861)</f>
        <v/>
      </c>
      <c r="H861" s="26">
        <f>SIN(2*PI()*$C$3*B861)</f>
        <v/>
      </c>
      <c r="I861" s="26">
        <f>E861*G861+F861*H861</f>
        <v/>
      </c>
    </row>
    <row r="862">
      <c r="A862" s="7" t="n">
        <v>855</v>
      </c>
      <c r="B862" s="26">
        <f>(A862-1)/2000*$C$2</f>
        <v/>
      </c>
      <c r="C862" s="7">
        <f>INDEX(Bits!$E$25:$E$124,INT(B862)+1)</f>
        <v/>
      </c>
      <c r="D862" s="7">
        <f>MAX(1,MIN(INT(B862/$C$4)+1,$C$5))</f>
        <v/>
      </c>
      <c r="E862" s="26">
        <f>IF($C$5=0,0,INDEX(Symboles!$G$6:$G$101,D862))</f>
        <v/>
      </c>
      <c r="F862" s="26">
        <f>IF($C$5=0,0,INDEX(Symboles!$H$6:$H$101,D862))</f>
        <v/>
      </c>
      <c r="G862" s="26">
        <f>COS(2*PI()*$C$3*B862)</f>
        <v/>
      </c>
      <c r="H862" s="26">
        <f>SIN(2*PI()*$C$3*B862)</f>
        <v/>
      </c>
      <c r="I862" s="26">
        <f>E862*G862+F862*H862</f>
        <v/>
      </c>
    </row>
    <row r="863">
      <c r="A863" s="7" t="n">
        <v>856</v>
      </c>
      <c r="B863" s="26">
        <f>(A863-1)/2000*$C$2</f>
        <v/>
      </c>
      <c r="C863" s="7">
        <f>INDEX(Bits!$E$25:$E$124,INT(B863)+1)</f>
        <v/>
      </c>
      <c r="D863" s="7">
        <f>MAX(1,MIN(INT(B863/$C$4)+1,$C$5))</f>
        <v/>
      </c>
      <c r="E863" s="26">
        <f>IF($C$5=0,0,INDEX(Symboles!$G$6:$G$101,D863))</f>
        <v/>
      </c>
      <c r="F863" s="26">
        <f>IF($C$5=0,0,INDEX(Symboles!$H$6:$H$101,D863))</f>
        <v/>
      </c>
      <c r="G863" s="26">
        <f>COS(2*PI()*$C$3*B863)</f>
        <v/>
      </c>
      <c r="H863" s="26">
        <f>SIN(2*PI()*$C$3*B863)</f>
        <v/>
      </c>
      <c r="I863" s="26">
        <f>E863*G863+F863*H863</f>
        <v/>
      </c>
    </row>
    <row r="864">
      <c r="A864" s="7" t="n">
        <v>857</v>
      </c>
      <c r="B864" s="26">
        <f>(A864-1)/2000*$C$2</f>
        <v/>
      </c>
      <c r="C864" s="7">
        <f>INDEX(Bits!$E$25:$E$124,INT(B864)+1)</f>
        <v/>
      </c>
      <c r="D864" s="7">
        <f>MAX(1,MIN(INT(B864/$C$4)+1,$C$5))</f>
        <v/>
      </c>
      <c r="E864" s="26">
        <f>IF($C$5=0,0,INDEX(Symboles!$G$6:$G$101,D864))</f>
        <v/>
      </c>
      <c r="F864" s="26">
        <f>IF($C$5=0,0,INDEX(Symboles!$H$6:$H$101,D864))</f>
        <v/>
      </c>
      <c r="G864" s="26">
        <f>COS(2*PI()*$C$3*B864)</f>
        <v/>
      </c>
      <c r="H864" s="26">
        <f>SIN(2*PI()*$C$3*B864)</f>
        <v/>
      </c>
      <c r="I864" s="26">
        <f>E864*G864+F864*H864</f>
        <v/>
      </c>
    </row>
    <row r="865">
      <c r="A865" s="7" t="n">
        <v>858</v>
      </c>
      <c r="B865" s="26">
        <f>(A865-1)/2000*$C$2</f>
        <v/>
      </c>
      <c r="C865" s="7">
        <f>INDEX(Bits!$E$25:$E$124,INT(B865)+1)</f>
        <v/>
      </c>
      <c r="D865" s="7">
        <f>MAX(1,MIN(INT(B865/$C$4)+1,$C$5))</f>
        <v/>
      </c>
      <c r="E865" s="26">
        <f>IF($C$5=0,0,INDEX(Symboles!$G$6:$G$101,D865))</f>
        <v/>
      </c>
      <c r="F865" s="26">
        <f>IF($C$5=0,0,INDEX(Symboles!$H$6:$H$101,D865))</f>
        <v/>
      </c>
      <c r="G865" s="26">
        <f>COS(2*PI()*$C$3*B865)</f>
        <v/>
      </c>
      <c r="H865" s="26">
        <f>SIN(2*PI()*$C$3*B865)</f>
        <v/>
      </c>
      <c r="I865" s="26">
        <f>E865*G865+F865*H865</f>
        <v/>
      </c>
    </row>
    <row r="866">
      <c r="A866" s="7" t="n">
        <v>859</v>
      </c>
      <c r="B866" s="26">
        <f>(A866-1)/2000*$C$2</f>
        <v/>
      </c>
      <c r="C866" s="7">
        <f>INDEX(Bits!$E$25:$E$124,INT(B866)+1)</f>
        <v/>
      </c>
      <c r="D866" s="7">
        <f>MAX(1,MIN(INT(B866/$C$4)+1,$C$5))</f>
        <v/>
      </c>
      <c r="E866" s="26">
        <f>IF($C$5=0,0,INDEX(Symboles!$G$6:$G$101,D866))</f>
        <v/>
      </c>
      <c r="F866" s="26">
        <f>IF($C$5=0,0,INDEX(Symboles!$H$6:$H$101,D866))</f>
        <v/>
      </c>
      <c r="G866" s="26">
        <f>COS(2*PI()*$C$3*B866)</f>
        <v/>
      </c>
      <c r="H866" s="26">
        <f>SIN(2*PI()*$C$3*B866)</f>
        <v/>
      </c>
      <c r="I866" s="26">
        <f>E866*G866+F866*H866</f>
        <v/>
      </c>
    </row>
    <row r="867">
      <c r="A867" s="7" t="n">
        <v>860</v>
      </c>
      <c r="B867" s="26">
        <f>(A867-1)/2000*$C$2</f>
        <v/>
      </c>
      <c r="C867" s="7">
        <f>INDEX(Bits!$E$25:$E$124,INT(B867)+1)</f>
        <v/>
      </c>
      <c r="D867" s="7">
        <f>MAX(1,MIN(INT(B867/$C$4)+1,$C$5))</f>
        <v/>
      </c>
      <c r="E867" s="26">
        <f>IF($C$5=0,0,INDEX(Symboles!$G$6:$G$101,D867))</f>
        <v/>
      </c>
      <c r="F867" s="26">
        <f>IF($C$5=0,0,INDEX(Symboles!$H$6:$H$101,D867))</f>
        <v/>
      </c>
      <c r="G867" s="26">
        <f>COS(2*PI()*$C$3*B867)</f>
        <v/>
      </c>
      <c r="H867" s="26">
        <f>SIN(2*PI()*$C$3*B867)</f>
        <v/>
      </c>
      <c r="I867" s="26">
        <f>E867*G867+F867*H867</f>
        <v/>
      </c>
    </row>
    <row r="868">
      <c r="A868" s="7" t="n">
        <v>861</v>
      </c>
      <c r="B868" s="26">
        <f>(A868-1)/2000*$C$2</f>
        <v/>
      </c>
      <c r="C868" s="7">
        <f>INDEX(Bits!$E$25:$E$124,INT(B868)+1)</f>
        <v/>
      </c>
      <c r="D868" s="7">
        <f>MAX(1,MIN(INT(B868/$C$4)+1,$C$5))</f>
        <v/>
      </c>
      <c r="E868" s="26">
        <f>IF($C$5=0,0,INDEX(Symboles!$G$6:$G$101,D868))</f>
        <v/>
      </c>
      <c r="F868" s="26">
        <f>IF($C$5=0,0,INDEX(Symboles!$H$6:$H$101,D868))</f>
        <v/>
      </c>
      <c r="G868" s="26">
        <f>COS(2*PI()*$C$3*B868)</f>
        <v/>
      </c>
      <c r="H868" s="26">
        <f>SIN(2*PI()*$C$3*B868)</f>
        <v/>
      </c>
      <c r="I868" s="26">
        <f>E868*G868+F868*H868</f>
        <v/>
      </c>
    </row>
    <row r="869">
      <c r="A869" s="7" t="n">
        <v>862</v>
      </c>
      <c r="B869" s="26">
        <f>(A869-1)/2000*$C$2</f>
        <v/>
      </c>
      <c r="C869" s="7">
        <f>INDEX(Bits!$E$25:$E$124,INT(B869)+1)</f>
        <v/>
      </c>
      <c r="D869" s="7">
        <f>MAX(1,MIN(INT(B869/$C$4)+1,$C$5))</f>
        <v/>
      </c>
      <c r="E869" s="26">
        <f>IF($C$5=0,0,INDEX(Symboles!$G$6:$G$101,D869))</f>
        <v/>
      </c>
      <c r="F869" s="26">
        <f>IF($C$5=0,0,INDEX(Symboles!$H$6:$H$101,D869))</f>
        <v/>
      </c>
      <c r="G869" s="26">
        <f>COS(2*PI()*$C$3*B869)</f>
        <v/>
      </c>
      <c r="H869" s="26">
        <f>SIN(2*PI()*$C$3*B869)</f>
        <v/>
      </c>
      <c r="I869" s="26">
        <f>E869*G869+F869*H869</f>
        <v/>
      </c>
    </row>
    <row r="870">
      <c r="A870" s="7" t="n">
        <v>863</v>
      </c>
      <c r="B870" s="26">
        <f>(A870-1)/2000*$C$2</f>
        <v/>
      </c>
      <c r="C870" s="7">
        <f>INDEX(Bits!$E$25:$E$124,INT(B870)+1)</f>
        <v/>
      </c>
      <c r="D870" s="7">
        <f>MAX(1,MIN(INT(B870/$C$4)+1,$C$5))</f>
        <v/>
      </c>
      <c r="E870" s="26">
        <f>IF($C$5=0,0,INDEX(Symboles!$G$6:$G$101,D870))</f>
        <v/>
      </c>
      <c r="F870" s="26">
        <f>IF($C$5=0,0,INDEX(Symboles!$H$6:$H$101,D870))</f>
        <v/>
      </c>
      <c r="G870" s="26">
        <f>COS(2*PI()*$C$3*B870)</f>
        <v/>
      </c>
      <c r="H870" s="26">
        <f>SIN(2*PI()*$C$3*B870)</f>
        <v/>
      </c>
      <c r="I870" s="26">
        <f>E870*G870+F870*H870</f>
        <v/>
      </c>
    </row>
    <row r="871">
      <c r="A871" s="7" t="n">
        <v>864</v>
      </c>
      <c r="B871" s="26">
        <f>(A871-1)/2000*$C$2</f>
        <v/>
      </c>
      <c r="C871" s="7">
        <f>INDEX(Bits!$E$25:$E$124,INT(B871)+1)</f>
        <v/>
      </c>
      <c r="D871" s="7">
        <f>MAX(1,MIN(INT(B871/$C$4)+1,$C$5))</f>
        <v/>
      </c>
      <c r="E871" s="26">
        <f>IF($C$5=0,0,INDEX(Symboles!$G$6:$G$101,D871))</f>
        <v/>
      </c>
      <c r="F871" s="26">
        <f>IF($C$5=0,0,INDEX(Symboles!$H$6:$H$101,D871))</f>
        <v/>
      </c>
      <c r="G871" s="26">
        <f>COS(2*PI()*$C$3*B871)</f>
        <v/>
      </c>
      <c r="H871" s="26">
        <f>SIN(2*PI()*$C$3*B871)</f>
        <v/>
      </c>
      <c r="I871" s="26">
        <f>E871*G871+F871*H871</f>
        <v/>
      </c>
    </row>
    <row r="872">
      <c r="A872" s="7" t="n">
        <v>865</v>
      </c>
      <c r="B872" s="26">
        <f>(A872-1)/2000*$C$2</f>
        <v/>
      </c>
      <c r="C872" s="7">
        <f>INDEX(Bits!$E$25:$E$124,INT(B872)+1)</f>
        <v/>
      </c>
      <c r="D872" s="7">
        <f>MAX(1,MIN(INT(B872/$C$4)+1,$C$5))</f>
        <v/>
      </c>
      <c r="E872" s="26">
        <f>IF($C$5=0,0,INDEX(Symboles!$G$6:$G$101,D872))</f>
        <v/>
      </c>
      <c r="F872" s="26">
        <f>IF($C$5=0,0,INDEX(Symboles!$H$6:$H$101,D872))</f>
        <v/>
      </c>
      <c r="G872" s="26">
        <f>COS(2*PI()*$C$3*B872)</f>
        <v/>
      </c>
      <c r="H872" s="26">
        <f>SIN(2*PI()*$C$3*B872)</f>
        <v/>
      </c>
      <c r="I872" s="26">
        <f>E872*G872+F872*H872</f>
        <v/>
      </c>
    </row>
    <row r="873">
      <c r="A873" s="7" t="n">
        <v>866</v>
      </c>
      <c r="B873" s="26">
        <f>(A873-1)/2000*$C$2</f>
        <v/>
      </c>
      <c r="C873" s="7">
        <f>INDEX(Bits!$E$25:$E$124,INT(B873)+1)</f>
        <v/>
      </c>
      <c r="D873" s="7">
        <f>MAX(1,MIN(INT(B873/$C$4)+1,$C$5))</f>
        <v/>
      </c>
      <c r="E873" s="26">
        <f>IF($C$5=0,0,INDEX(Symboles!$G$6:$G$101,D873))</f>
        <v/>
      </c>
      <c r="F873" s="26">
        <f>IF($C$5=0,0,INDEX(Symboles!$H$6:$H$101,D873))</f>
        <v/>
      </c>
      <c r="G873" s="26">
        <f>COS(2*PI()*$C$3*B873)</f>
        <v/>
      </c>
      <c r="H873" s="26">
        <f>SIN(2*PI()*$C$3*B873)</f>
        <v/>
      </c>
      <c r="I873" s="26">
        <f>E873*G873+F873*H873</f>
        <v/>
      </c>
    </row>
    <row r="874">
      <c r="A874" s="7" t="n">
        <v>867</v>
      </c>
      <c r="B874" s="26">
        <f>(A874-1)/2000*$C$2</f>
        <v/>
      </c>
      <c r="C874" s="7">
        <f>INDEX(Bits!$E$25:$E$124,INT(B874)+1)</f>
        <v/>
      </c>
      <c r="D874" s="7">
        <f>MAX(1,MIN(INT(B874/$C$4)+1,$C$5))</f>
        <v/>
      </c>
      <c r="E874" s="26">
        <f>IF($C$5=0,0,INDEX(Symboles!$G$6:$G$101,D874))</f>
        <v/>
      </c>
      <c r="F874" s="26">
        <f>IF($C$5=0,0,INDEX(Symboles!$H$6:$H$101,D874))</f>
        <v/>
      </c>
      <c r="G874" s="26">
        <f>COS(2*PI()*$C$3*B874)</f>
        <v/>
      </c>
      <c r="H874" s="26">
        <f>SIN(2*PI()*$C$3*B874)</f>
        <v/>
      </c>
      <c r="I874" s="26">
        <f>E874*G874+F874*H874</f>
        <v/>
      </c>
    </row>
    <row r="875">
      <c r="A875" s="7" t="n">
        <v>868</v>
      </c>
      <c r="B875" s="26">
        <f>(A875-1)/2000*$C$2</f>
        <v/>
      </c>
      <c r="C875" s="7">
        <f>INDEX(Bits!$E$25:$E$124,INT(B875)+1)</f>
        <v/>
      </c>
      <c r="D875" s="7">
        <f>MAX(1,MIN(INT(B875/$C$4)+1,$C$5))</f>
        <v/>
      </c>
      <c r="E875" s="26">
        <f>IF($C$5=0,0,INDEX(Symboles!$G$6:$G$101,D875))</f>
        <v/>
      </c>
      <c r="F875" s="26">
        <f>IF($C$5=0,0,INDEX(Symboles!$H$6:$H$101,D875))</f>
        <v/>
      </c>
      <c r="G875" s="26">
        <f>COS(2*PI()*$C$3*B875)</f>
        <v/>
      </c>
      <c r="H875" s="26">
        <f>SIN(2*PI()*$C$3*B875)</f>
        <v/>
      </c>
      <c r="I875" s="26">
        <f>E875*G875+F875*H875</f>
        <v/>
      </c>
    </row>
    <row r="876">
      <c r="A876" s="7" t="n">
        <v>869</v>
      </c>
      <c r="B876" s="26">
        <f>(A876-1)/2000*$C$2</f>
        <v/>
      </c>
      <c r="C876" s="7">
        <f>INDEX(Bits!$E$25:$E$124,INT(B876)+1)</f>
        <v/>
      </c>
      <c r="D876" s="7">
        <f>MAX(1,MIN(INT(B876/$C$4)+1,$C$5))</f>
        <v/>
      </c>
      <c r="E876" s="26">
        <f>IF($C$5=0,0,INDEX(Symboles!$G$6:$G$101,D876))</f>
        <v/>
      </c>
      <c r="F876" s="26">
        <f>IF($C$5=0,0,INDEX(Symboles!$H$6:$H$101,D876))</f>
        <v/>
      </c>
      <c r="G876" s="26">
        <f>COS(2*PI()*$C$3*B876)</f>
        <v/>
      </c>
      <c r="H876" s="26">
        <f>SIN(2*PI()*$C$3*B876)</f>
        <v/>
      </c>
      <c r="I876" s="26">
        <f>E876*G876+F876*H876</f>
        <v/>
      </c>
    </row>
    <row r="877">
      <c r="A877" s="7" t="n">
        <v>870</v>
      </c>
      <c r="B877" s="26">
        <f>(A877-1)/2000*$C$2</f>
        <v/>
      </c>
      <c r="C877" s="7">
        <f>INDEX(Bits!$E$25:$E$124,INT(B877)+1)</f>
        <v/>
      </c>
      <c r="D877" s="7">
        <f>MAX(1,MIN(INT(B877/$C$4)+1,$C$5))</f>
        <v/>
      </c>
      <c r="E877" s="26">
        <f>IF($C$5=0,0,INDEX(Symboles!$G$6:$G$101,D877))</f>
        <v/>
      </c>
      <c r="F877" s="26">
        <f>IF($C$5=0,0,INDEX(Symboles!$H$6:$H$101,D877))</f>
        <v/>
      </c>
      <c r="G877" s="26">
        <f>COS(2*PI()*$C$3*B877)</f>
        <v/>
      </c>
      <c r="H877" s="26">
        <f>SIN(2*PI()*$C$3*B877)</f>
        <v/>
      </c>
      <c r="I877" s="26">
        <f>E877*G877+F877*H877</f>
        <v/>
      </c>
    </row>
    <row r="878">
      <c r="A878" s="7" t="n">
        <v>871</v>
      </c>
      <c r="B878" s="26">
        <f>(A878-1)/2000*$C$2</f>
        <v/>
      </c>
      <c r="C878" s="7">
        <f>INDEX(Bits!$E$25:$E$124,INT(B878)+1)</f>
        <v/>
      </c>
      <c r="D878" s="7">
        <f>MAX(1,MIN(INT(B878/$C$4)+1,$C$5))</f>
        <v/>
      </c>
      <c r="E878" s="26">
        <f>IF($C$5=0,0,INDEX(Symboles!$G$6:$G$101,D878))</f>
        <v/>
      </c>
      <c r="F878" s="26">
        <f>IF($C$5=0,0,INDEX(Symboles!$H$6:$H$101,D878))</f>
        <v/>
      </c>
      <c r="G878" s="26">
        <f>COS(2*PI()*$C$3*B878)</f>
        <v/>
      </c>
      <c r="H878" s="26">
        <f>SIN(2*PI()*$C$3*B878)</f>
        <v/>
      </c>
      <c r="I878" s="26">
        <f>E878*G878+F878*H878</f>
        <v/>
      </c>
    </row>
    <row r="879">
      <c r="A879" s="7" t="n">
        <v>872</v>
      </c>
      <c r="B879" s="26">
        <f>(A879-1)/2000*$C$2</f>
        <v/>
      </c>
      <c r="C879" s="7">
        <f>INDEX(Bits!$E$25:$E$124,INT(B879)+1)</f>
        <v/>
      </c>
      <c r="D879" s="7">
        <f>MAX(1,MIN(INT(B879/$C$4)+1,$C$5))</f>
        <v/>
      </c>
      <c r="E879" s="26">
        <f>IF($C$5=0,0,INDEX(Symboles!$G$6:$G$101,D879))</f>
        <v/>
      </c>
      <c r="F879" s="26">
        <f>IF($C$5=0,0,INDEX(Symboles!$H$6:$H$101,D879))</f>
        <v/>
      </c>
      <c r="G879" s="26">
        <f>COS(2*PI()*$C$3*B879)</f>
        <v/>
      </c>
      <c r="H879" s="26">
        <f>SIN(2*PI()*$C$3*B879)</f>
        <v/>
      </c>
      <c r="I879" s="26">
        <f>E879*G879+F879*H879</f>
        <v/>
      </c>
    </row>
    <row r="880">
      <c r="A880" s="7" t="n">
        <v>873</v>
      </c>
      <c r="B880" s="26">
        <f>(A880-1)/2000*$C$2</f>
        <v/>
      </c>
      <c r="C880" s="7">
        <f>INDEX(Bits!$E$25:$E$124,INT(B880)+1)</f>
        <v/>
      </c>
      <c r="D880" s="7">
        <f>MAX(1,MIN(INT(B880/$C$4)+1,$C$5))</f>
        <v/>
      </c>
      <c r="E880" s="26">
        <f>IF($C$5=0,0,INDEX(Symboles!$G$6:$G$101,D880))</f>
        <v/>
      </c>
      <c r="F880" s="26">
        <f>IF($C$5=0,0,INDEX(Symboles!$H$6:$H$101,D880))</f>
        <v/>
      </c>
      <c r="G880" s="26">
        <f>COS(2*PI()*$C$3*B880)</f>
        <v/>
      </c>
      <c r="H880" s="26">
        <f>SIN(2*PI()*$C$3*B880)</f>
        <v/>
      </c>
      <c r="I880" s="26">
        <f>E880*G880+F880*H880</f>
        <v/>
      </c>
    </row>
    <row r="881">
      <c r="A881" s="7" t="n">
        <v>874</v>
      </c>
      <c r="B881" s="26">
        <f>(A881-1)/2000*$C$2</f>
        <v/>
      </c>
      <c r="C881" s="7">
        <f>INDEX(Bits!$E$25:$E$124,INT(B881)+1)</f>
        <v/>
      </c>
      <c r="D881" s="7">
        <f>MAX(1,MIN(INT(B881/$C$4)+1,$C$5))</f>
        <v/>
      </c>
      <c r="E881" s="26">
        <f>IF($C$5=0,0,INDEX(Symboles!$G$6:$G$101,D881))</f>
        <v/>
      </c>
      <c r="F881" s="26">
        <f>IF($C$5=0,0,INDEX(Symboles!$H$6:$H$101,D881))</f>
        <v/>
      </c>
      <c r="G881" s="26">
        <f>COS(2*PI()*$C$3*B881)</f>
        <v/>
      </c>
      <c r="H881" s="26">
        <f>SIN(2*PI()*$C$3*B881)</f>
        <v/>
      </c>
      <c r="I881" s="26">
        <f>E881*G881+F881*H881</f>
        <v/>
      </c>
    </row>
    <row r="882">
      <c r="A882" s="7" t="n">
        <v>875</v>
      </c>
      <c r="B882" s="26">
        <f>(A882-1)/2000*$C$2</f>
        <v/>
      </c>
      <c r="C882" s="7">
        <f>INDEX(Bits!$E$25:$E$124,INT(B882)+1)</f>
        <v/>
      </c>
      <c r="D882" s="7">
        <f>MAX(1,MIN(INT(B882/$C$4)+1,$C$5))</f>
        <v/>
      </c>
      <c r="E882" s="26">
        <f>IF($C$5=0,0,INDEX(Symboles!$G$6:$G$101,D882))</f>
        <v/>
      </c>
      <c r="F882" s="26">
        <f>IF($C$5=0,0,INDEX(Symboles!$H$6:$H$101,D882))</f>
        <v/>
      </c>
      <c r="G882" s="26">
        <f>COS(2*PI()*$C$3*B882)</f>
        <v/>
      </c>
      <c r="H882" s="26">
        <f>SIN(2*PI()*$C$3*B882)</f>
        <v/>
      </c>
      <c r="I882" s="26">
        <f>E882*G882+F882*H882</f>
        <v/>
      </c>
    </row>
    <row r="883">
      <c r="A883" s="7" t="n">
        <v>876</v>
      </c>
      <c r="B883" s="26">
        <f>(A883-1)/2000*$C$2</f>
        <v/>
      </c>
      <c r="C883" s="7">
        <f>INDEX(Bits!$E$25:$E$124,INT(B883)+1)</f>
        <v/>
      </c>
      <c r="D883" s="7">
        <f>MAX(1,MIN(INT(B883/$C$4)+1,$C$5))</f>
        <v/>
      </c>
      <c r="E883" s="26">
        <f>IF($C$5=0,0,INDEX(Symboles!$G$6:$G$101,D883))</f>
        <v/>
      </c>
      <c r="F883" s="26">
        <f>IF($C$5=0,0,INDEX(Symboles!$H$6:$H$101,D883))</f>
        <v/>
      </c>
      <c r="G883" s="26">
        <f>COS(2*PI()*$C$3*B883)</f>
        <v/>
      </c>
      <c r="H883" s="26">
        <f>SIN(2*PI()*$C$3*B883)</f>
        <v/>
      </c>
      <c r="I883" s="26">
        <f>E883*G883+F883*H883</f>
        <v/>
      </c>
    </row>
    <row r="884">
      <c r="A884" s="7" t="n">
        <v>877</v>
      </c>
      <c r="B884" s="26">
        <f>(A884-1)/2000*$C$2</f>
        <v/>
      </c>
      <c r="C884" s="7">
        <f>INDEX(Bits!$E$25:$E$124,INT(B884)+1)</f>
        <v/>
      </c>
      <c r="D884" s="7">
        <f>MAX(1,MIN(INT(B884/$C$4)+1,$C$5))</f>
        <v/>
      </c>
      <c r="E884" s="26">
        <f>IF($C$5=0,0,INDEX(Symboles!$G$6:$G$101,D884))</f>
        <v/>
      </c>
      <c r="F884" s="26">
        <f>IF($C$5=0,0,INDEX(Symboles!$H$6:$H$101,D884))</f>
        <v/>
      </c>
      <c r="G884" s="26">
        <f>COS(2*PI()*$C$3*B884)</f>
        <v/>
      </c>
      <c r="H884" s="26">
        <f>SIN(2*PI()*$C$3*B884)</f>
        <v/>
      </c>
      <c r="I884" s="26">
        <f>E884*G884+F884*H884</f>
        <v/>
      </c>
    </row>
    <row r="885">
      <c r="A885" s="7" t="n">
        <v>878</v>
      </c>
      <c r="B885" s="26">
        <f>(A885-1)/2000*$C$2</f>
        <v/>
      </c>
      <c r="C885" s="7">
        <f>INDEX(Bits!$E$25:$E$124,INT(B885)+1)</f>
        <v/>
      </c>
      <c r="D885" s="7">
        <f>MAX(1,MIN(INT(B885/$C$4)+1,$C$5))</f>
        <v/>
      </c>
      <c r="E885" s="26">
        <f>IF($C$5=0,0,INDEX(Symboles!$G$6:$G$101,D885))</f>
        <v/>
      </c>
      <c r="F885" s="26">
        <f>IF($C$5=0,0,INDEX(Symboles!$H$6:$H$101,D885))</f>
        <v/>
      </c>
      <c r="G885" s="26">
        <f>COS(2*PI()*$C$3*B885)</f>
        <v/>
      </c>
      <c r="H885" s="26">
        <f>SIN(2*PI()*$C$3*B885)</f>
        <v/>
      </c>
      <c r="I885" s="26">
        <f>E885*G885+F885*H885</f>
        <v/>
      </c>
    </row>
    <row r="886">
      <c r="A886" s="7" t="n">
        <v>879</v>
      </c>
      <c r="B886" s="26">
        <f>(A886-1)/2000*$C$2</f>
        <v/>
      </c>
      <c r="C886" s="7">
        <f>INDEX(Bits!$E$25:$E$124,INT(B886)+1)</f>
        <v/>
      </c>
      <c r="D886" s="7">
        <f>MAX(1,MIN(INT(B886/$C$4)+1,$C$5))</f>
        <v/>
      </c>
      <c r="E886" s="26">
        <f>IF($C$5=0,0,INDEX(Symboles!$G$6:$G$101,D886))</f>
        <v/>
      </c>
      <c r="F886" s="26">
        <f>IF($C$5=0,0,INDEX(Symboles!$H$6:$H$101,D886))</f>
        <v/>
      </c>
      <c r="G886" s="26">
        <f>COS(2*PI()*$C$3*B886)</f>
        <v/>
      </c>
      <c r="H886" s="26">
        <f>SIN(2*PI()*$C$3*B886)</f>
        <v/>
      </c>
      <c r="I886" s="26">
        <f>E886*G886+F886*H886</f>
        <v/>
      </c>
    </row>
    <row r="887">
      <c r="A887" s="7" t="n">
        <v>880</v>
      </c>
      <c r="B887" s="26">
        <f>(A887-1)/2000*$C$2</f>
        <v/>
      </c>
      <c r="C887" s="7">
        <f>INDEX(Bits!$E$25:$E$124,INT(B887)+1)</f>
        <v/>
      </c>
      <c r="D887" s="7">
        <f>MAX(1,MIN(INT(B887/$C$4)+1,$C$5))</f>
        <v/>
      </c>
      <c r="E887" s="26">
        <f>IF($C$5=0,0,INDEX(Symboles!$G$6:$G$101,D887))</f>
        <v/>
      </c>
      <c r="F887" s="26">
        <f>IF($C$5=0,0,INDEX(Symboles!$H$6:$H$101,D887))</f>
        <v/>
      </c>
      <c r="G887" s="26">
        <f>COS(2*PI()*$C$3*B887)</f>
        <v/>
      </c>
      <c r="H887" s="26">
        <f>SIN(2*PI()*$C$3*B887)</f>
        <v/>
      </c>
      <c r="I887" s="26">
        <f>E887*G887+F887*H887</f>
        <v/>
      </c>
    </row>
    <row r="888">
      <c r="A888" s="7" t="n">
        <v>881</v>
      </c>
      <c r="B888" s="26">
        <f>(A888-1)/2000*$C$2</f>
        <v/>
      </c>
      <c r="C888" s="7">
        <f>INDEX(Bits!$E$25:$E$124,INT(B888)+1)</f>
        <v/>
      </c>
      <c r="D888" s="7">
        <f>MAX(1,MIN(INT(B888/$C$4)+1,$C$5))</f>
        <v/>
      </c>
      <c r="E888" s="26">
        <f>IF($C$5=0,0,INDEX(Symboles!$G$6:$G$101,D888))</f>
        <v/>
      </c>
      <c r="F888" s="26">
        <f>IF($C$5=0,0,INDEX(Symboles!$H$6:$H$101,D888))</f>
        <v/>
      </c>
      <c r="G888" s="26">
        <f>COS(2*PI()*$C$3*B888)</f>
        <v/>
      </c>
      <c r="H888" s="26">
        <f>SIN(2*PI()*$C$3*B888)</f>
        <v/>
      </c>
      <c r="I888" s="26">
        <f>E888*G888+F888*H888</f>
        <v/>
      </c>
    </row>
    <row r="889">
      <c r="A889" s="7" t="n">
        <v>882</v>
      </c>
      <c r="B889" s="26">
        <f>(A889-1)/2000*$C$2</f>
        <v/>
      </c>
      <c r="C889" s="7">
        <f>INDEX(Bits!$E$25:$E$124,INT(B889)+1)</f>
        <v/>
      </c>
      <c r="D889" s="7">
        <f>MAX(1,MIN(INT(B889/$C$4)+1,$C$5))</f>
        <v/>
      </c>
      <c r="E889" s="26">
        <f>IF($C$5=0,0,INDEX(Symboles!$G$6:$G$101,D889))</f>
        <v/>
      </c>
      <c r="F889" s="26">
        <f>IF($C$5=0,0,INDEX(Symboles!$H$6:$H$101,D889))</f>
        <v/>
      </c>
      <c r="G889" s="26">
        <f>COS(2*PI()*$C$3*B889)</f>
        <v/>
      </c>
      <c r="H889" s="26">
        <f>SIN(2*PI()*$C$3*B889)</f>
        <v/>
      </c>
      <c r="I889" s="26">
        <f>E889*G889+F889*H889</f>
        <v/>
      </c>
    </row>
    <row r="890">
      <c r="A890" s="7" t="n">
        <v>883</v>
      </c>
      <c r="B890" s="26">
        <f>(A890-1)/2000*$C$2</f>
        <v/>
      </c>
      <c r="C890" s="7">
        <f>INDEX(Bits!$E$25:$E$124,INT(B890)+1)</f>
        <v/>
      </c>
      <c r="D890" s="7">
        <f>MAX(1,MIN(INT(B890/$C$4)+1,$C$5))</f>
        <v/>
      </c>
      <c r="E890" s="26">
        <f>IF($C$5=0,0,INDEX(Symboles!$G$6:$G$101,D890))</f>
        <v/>
      </c>
      <c r="F890" s="26">
        <f>IF($C$5=0,0,INDEX(Symboles!$H$6:$H$101,D890))</f>
        <v/>
      </c>
      <c r="G890" s="26">
        <f>COS(2*PI()*$C$3*B890)</f>
        <v/>
      </c>
      <c r="H890" s="26">
        <f>SIN(2*PI()*$C$3*B890)</f>
        <v/>
      </c>
      <c r="I890" s="26">
        <f>E890*G890+F890*H890</f>
        <v/>
      </c>
    </row>
    <row r="891">
      <c r="A891" s="7" t="n">
        <v>884</v>
      </c>
      <c r="B891" s="26">
        <f>(A891-1)/2000*$C$2</f>
        <v/>
      </c>
      <c r="C891" s="7">
        <f>INDEX(Bits!$E$25:$E$124,INT(B891)+1)</f>
        <v/>
      </c>
      <c r="D891" s="7">
        <f>MAX(1,MIN(INT(B891/$C$4)+1,$C$5))</f>
        <v/>
      </c>
      <c r="E891" s="26">
        <f>IF($C$5=0,0,INDEX(Symboles!$G$6:$G$101,D891))</f>
        <v/>
      </c>
      <c r="F891" s="26">
        <f>IF($C$5=0,0,INDEX(Symboles!$H$6:$H$101,D891))</f>
        <v/>
      </c>
      <c r="G891" s="26">
        <f>COS(2*PI()*$C$3*B891)</f>
        <v/>
      </c>
      <c r="H891" s="26">
        <f>SIN(2*PI()*$C$3*B891)</f>
        <v/>
      </c>
      <c r="I891" s="26">
        <f>E891*G891+F891*H891</f>
        <v/>
      </c>
    </row>
    <row r="892">
      <c r="A892" s="7" t="n">
        <v>885</v>
      </c>
      <c r="B892" s="26">
        <f>(A892-1)/2000*$C$2</f>
        <v/>
      </c>
      <c r="C892" s="7">
        <f>INDEX(Bits!$E$25:$E$124,INT(B892)+1)</f>
        <v/>
      </c>
      <c r="D892" s="7">
        <f>MAX(1,MIN(INT(B892/$C$4)+1,$C$5))</f>
        <v/>
      </c>
      <c r="E892" s="26">
        <f>IF($C$5=0,0,INDEX(Symboles!$G$6:$G$101,D892))</f>
        <v/>
      </c>
      <c r="F892" s="26">
        <f>IF($C$5=0,0,INDEX(Symboles!$H$6:$H$101,D892))</f>
        <v/>
      </c>
      <c r="G892" s="26">
        <f>COS(2*PI()*$C$3*B892)</f>
        <v/>
      </c>
      <c r="H892" s="26">
        <f>SIN(2*PI()*$C$3*B892)</f>
        <v/>
      </c>
      <c r="I892" s="26">
        <f>E892*G892+F892*H892</f>
        <v/>
      </c>
    </row>
    <row r="893">
      <c r="A893" s="7" t="n">
        <v>886</v>
      </c>
      <c r="B893" s="26">
        <f>(A893-1)/2000*$C$2</f>
        <v/>
      </c>
      <c r="C893" s="7">
        <f>INDEX(Bits!$E$25:$E$124,INT(B893)+1)</f>
        <v/>
      </c>
      <c r="D893" s="7">
        <f>MAX(1,MIN(INT(B893/$C$4)+1,$C$5))</f>
        <v/>
      </c>
      <c r="E893" s="26">
        <f>IF($C$5=0,0,INDEX(Symboles!$G$6:$G$101,D893))</f>
        <v/>
      </c>
      <c r="F893" s="26">
        <f>IF($C$5=0,0,INDEX(Symboles!$H$6:$H$101,D893))</f>
        <v/>
      </c>
      <c r="G893" s="26">
        <f>COS(2*PI()*$C$3*B893)</f>
        <v/>
      </c>
      <c r="H893" s="26">
        <f>SIN(2*PI()*$C$3*B893)</f>
        <v/>
      </c>
      <c r="I893" s="26">
        <f>E893*G893+F893*H893</f>
        <v/>
      </c>
    </row>
    <row r="894">
      <c r="A894" s="7" t="n">
        <v>887</v>
      </c>
      <c r="B894" s="26">
        <f>(A894-1)/2000*$C$2</f>
        <v/>
      </c>
      <c r="C894" s="7">
        <f>INDEX(Bits!$E$25:$E$124,INT(B894)+1)</f>
        <v/>
      </c>
      <c r="D894" s="7">
        <f>MAX(1,MIN(INT(B894/$C$4)+1,$C$5))</f>
        <v/>
      </c>
      <c r="E894" s="26">
        <f>IF($C$5=0,0,INDEX(Symboles!$G$6:$G$101,D894))</f>
        <v/>
      </c>
      <c r="F894" s="26">
        <f>IF($C$5=0,0,INDEX(Symboles!$H$6:$H$101,D894))</f>
        <v/>
      </c>
      <c r="G894" s="26">
        <f>COS(2*PI()*$C$3*B894)</f>
        <v/>
      </c>
      <c r="H894" s="26">
        <f>SIN(2*PI()*$C$3*B894)</f>
        <v/>
      </c>
      <c r="I894" s="26">
        <f>E894*G894+F894*H894</f>
        <v/>
      </c>
    </row>
    <row r="895">
      <c r="A895" s="7" t="n">
        <v>888</v>
      </c>
      <c r="B895" s="26">
        <f>(A895-1)/2000*$C$2</f>
        <v/>
      </c>
      <c r="C895" s="7">
        <f>INDEX(Bits!$E$25:$E$124,INT(B895)+1)</f>
        <v/>
      </c>
      <c r="D895" s="7">
        <f>MAX(1,MIN(INT(B895/$C$4)+1,$C$5))</f>
        <v/>
      </c>
      <c r="E895" s="26">
        <f>IF($C$5=0,0,INDEX(Symboles!$G$6:$G$101,D895))</f>
        <v/>
      </c>
      <c r="F895" s="26">
        <f>IF($C$5=0,0,INDEX(Symboles!$H$6:$H$101,D895))</f>
        <v/>
      </c>
      <c r="G895" s="26">
        <f>COS(2*PI()*$C$3*B895)</f>
        <v/>
      </c>
      <c r="H895" s="26">
        <f>SIN(2*PI()*$C$3*B895)</f>
        <v/>
      </c>
      <c r="I895" s="26">
        <f>E895*G895+F895*H895</f>
        <v/>
      </c>
    </row>
    <row r="896">
      <c r="A896" s="7" t="n">
        <v>889</v>
      </c>
      <c r="B896" s="26">
        <f>(A896-1)/2000*$C$2</f>
        <v/>
      </c>
      <c r="C896" s="7">
        <f>INDEX(Bits!$E$25:$E$124,INT(B896)+1)</f>
        <v/>
      </c>
      <c r="D896" s="7">
        <f>MAX(1,MIN(INT(B896/$C$4)+1,$C$5))</f>
        <v/>
      </c>
      <c r="E896" s="26">
        <f>IF($C$5=0,0,INDEX(Symboles!$G$6:$G$101,D896))</f>
        <v/>
      </c>
      <c r="F896" s="26">
        <f>IF($C$5=0,0,INDEX(Symboles!$H$6:$H$101,D896))</f>
        <v/>
      </c>
      <c r="G896" s="26">
        <f>COS(2*PI()*$C$3*B896)</f>
        <v/>
      </c>
      <c r="H896" s="26">
        <f>SIN(2*PI()*$C$3*B896)</f>
        <v/>
      </c>
      <c r="I896" s="26">
        <f>E896*G896+F896*H896</f>
        <v/>
      </c>
    </row>
    <row r="897">
      <c r="A897" s="7" t="n">
        <v>890</v>
      </c>
      <c r="B897" s="26">
        <f>(A897-1)/2000*$C$2</f>
        <v/>
      </c>
      <c r="C897" s="7">
        <f>INDEX(Bits!$E$25:$E$124,INT(B897)+1)</f>
        <v/>
      </c>
      <c r="D897" s="7">
        <f>MAX(1,MIN(INT(B897/$C$4)+1,$C$5))</f>
        <v/>
      </c>
      <c r="E897" s="26">
        <f>IF($C$5=0,0,INDEX(Symboles!$G$6:$G$101,D897))</f>
        <v/>
      </c>
      <c r="F897" s="26">
        <f>IF($C$5=0,0,INDEX(Symboles!$H$6:$H$101,D897))</f>
        <v/>
      </c>
      <c r="G897" s="26">
        <f>COS(2*PI()*$C$3*B897)</f>
        <v/>
      </c>
      <c r="H897" s="26">
        <f>SIN(2*PI()*$C$3*B897)</f>
        <v/>
      </c>
      <c r="I897" s="26">
        <f>E897*G897+F897*H897</f>
        <v/>
      </c>
    </row>
    <row r="898">
      <c r="A898" s="7" t="n">
        <v>891</v>
      </c>
      <c r="B898" s="26">
        <f>(A898-1)/2000*$C$2</f>
        <v/>
      </c>
      <c r="C898" s="7">
        <f>INDEX(Bits!$E$25:$E$124,INT(B898)+1)</f>
        <v/>
      </c>
      <c r="D898" s="7">
        <f>MAX(1,MIN(INT(B898/$C$4)+1,$C$5))</f>
        <v/>
      </c>
      <c r="E898" s="26">
        <f>IF($C$5=0,0,INDEX(Symboles!$G$6:$G$101,D898))</f>
        <v/>
      </c>
      <c r="F898" s="26">
        <f>IF($C$5=0,0,INDEX(Symboles!$H$6:$H$101,D898))</f>
        <v/>
      </c>
      <c r="G898" s="26">
        <f>COS(2*PI()*$C$3*B898)</f>
        <v/>
      </c>
      <c r="H898" s="26">
        <f>SIN(2*PI()*$C$3*B898)</f>
        <v/>
      </c>
      <c r="I898" s="26">
        <f>E898*G898+F898*H898</f>
        <v/>
      </c>
    </row>
    <row r="899">
      <c r="A899" s="7" t="n">
        <v>892</v>
      </c>
      <c r="B899" s="26">
        <f>(A899-1)/2000*$C$2</f>
        <v/>
      </c>
      <c r="C899" s="7">
        <f>INDEX(Bits!$E$25:$E$124,INT(B899)+1)</f>
        <v/>
      </c>
      <c r="D899" s="7">
        <f>MAX(1,MIN(INT(B899/$C$4)+1,$C$5))</f>
        <v/>
      </c>
      <c r="E899" s="26">
        <f>IF($C$5=0,0,INDEX(Symboles!$G$6:$G$101,D899))</f>
        <v/>
      </c>
      <c r="F899" s="26">
        <f>IF($C$5=0,0,INDEX(Symboles!$H$6:$H$101,D899))</f>
        <v/>
      </c>
      <c r="G899" s="26">
        <f>COS(2*PI()*$C$3*B899)</f>
        <v/>
      </c>
      <c r="H899" s="26">
        <f>SIN(2*PI()*$C$3*B899)</f>
        <v/>
      </c>
      <c r="I899" s="26">
        <f>E899*G899+F899*H899</f>
        <v/>
      </c>
    </row>
    <row r="900">
      <c r="A900" s="7" t="n">
        <v>893</v>
      </c>
      <c r="B900" s="26">
        <f>(A900-1)/2000*$C$2</f>
        <v/>
      </c>
      <c r="C900" s="7">
        <f>INDEX(Bits!$E$25:$E$124,INT(B900)+1)</f>
        <v/>
      </c>
      <c r="D900" s="7">
        <f>MAX(1,MIN(INT(B900/$C$4)+1,$C$5))</f>
        <v/>
      </c>
      <c r="E900" s="26">
        <f>IF($C$5=0,0,INDEX(Symboles!$G$6:$G$101,D900))</f>
        <v/>
      </c>
      <c r="F900" s="26">
        <f>IF($C$5=0,0,INDEX(Symboles!$H$6:$H$101,D900))</f>
        <v/>
      </c>
      <c r="G900" s="26">
        <f>COS(2*PI()*$C$3*B900)</f>
        <v/>
      </c>
      <c r="H900" s="26">
        <f>SIN(2*PI()*$C$3*B900)</f>
        <v/>
      </c>
      <c r="I900" s="26">
        <f>E900*G900+F900*H900</f>
        <v/>
      </c>
    </row>
    <row r="901">
      <c r="A901" s="7" t="n">
        <v>894</v>
      </c>
      <c r="B901" s="26">
        <f>(A901-1)/2000*$C$2</f>
        <v/>
      </c>
      <c r="C901" s="7">
        <f>INDEX(Bits!$E$25:$E$124,INT(B901)+1)</f>
        <v/>
      </c>
      <c r="D901" s="7">
        <f>MAX(1,MIN(INT(B901/$C$4)+1,$C$5))</f>
        <v/>
      </c>
      <c r="E901" s="26">
        <f>IF($C$5=0,0,INDEX(Symboles!$G$6:$G$101,D901))</f>
        <v/>
      </c>
      <c r="F901" s="26">
        <f>IF($C$5=0,0,INDEX(Symboles!$H$6:$H$101,D901))</f>
        <v/>
      </c>
      <c r="G901" s="26">
        <f>COS(2*PI()*$C$3*B901)</f>
        <v/>
      </c>
      <c r="H901" s="26">
        <f>SIN(2*PI()*$C$3*B901)</f>
        <v/>
      </c>
      <c r="I901" s="26">
        <f>E901*G901+F901*H901</f>
        <v/>
      </c>
    </row>
    <row r="902">
      <c r="A902" s="7" t="n">
        <v>895</v>
      </c>
      <c r="B902" s="26">
        <f>(A902-1)/2000*$C$2</f>
        <v/>
      </c>
      <c r="C902" s="7">
        <f>INDEX(Bits!$E$25:$E$124,INT(B902)+1)</f>
        <v/>
      </c>
      <c r="D902" s="7">
        <f>MAX(1,MIN(INT(B902/$C$4)+1,$C$5))</f>
        <v/>
      </c>
      <c r="E902" s="26">
        <f>IF($C$5=0,0,INDEX(Symboles!$G$6:$G$101,D902))</f>
        <v/>
      </c>
      <c r="F902" s="26">
        <f>IF($C$5=0,0,INDEX(Symboles!$H$6:$H$101,D902))</f>
        <v/>
      </c>
      <c r="G902" s="26">
        <f>COS(2*PI()*$C$3*B902)</f>
        <v/>
      </c>
      <c r="H902" s="26">
        <f>SIN(2*PI()*$C$3*B902)</f>
        <v/>
      </c>
      <c r="I902" s="26">
        <f>E902*G902+F902*H902</f>
        <v/>
      </c>
    </row>
    <row r="903">
      <c r="A903" s="7" t="n">
        <v>896</v>
      </c>
      <c r="B903" s="26">
        <f>(A903-1)/2000*$C$2</f>
        <v/>
      </c>
      <c r="C903" s="7">
        <f>INDEX(Bits!$E$25:$E$124,INT(B903)+1)</f>
        <v/>
      </c>
      <c r="D903" s="7">
        <f>MAX(1,MIN(INT(B903/$C$4)+1,$C$5))</f>
        <v/>
      </c>
      <c r="E903" s="26">
        <f>IF($C$5=0,0,INDEX(Symboles!$G$6:$G$101,D903))</f>
        <v/>
      </c>
      <c r="F903" s="26">
        <f>IF($C$5=0,0,INDEX(Symboles!$H$6:$H$101,D903))</f>
        <v/>
      </c>
      <c r="G903" s="26">
        <f>COS(2*PI()*$C$3*B903)</f>
        <v/>
      </c>
      <c r="H903" s="26">
        <f>SIN(2*PI()*$C$3*B903)</f>
        <v/>
      </c>
      <c r="I903" s="26">
        <f>E903*G903+F903*H903</f>
        <v/>
      </c>
    </row>
    <row r="904">
      <c r="A904" s="7" t="n">
        <v>897</v>
      </c>
      <c r="B904" s="26">
        <f>(A904-1)/2000*$C$2</f>
        <v/>
      </c>
      <c r="C904" s="7">
        <f>INDEX(Bits!$E$25:$E$124,INT(B904)+1)</f>
        <v/>
      </c>
      <c r="D904" s="7">
        <f>MAX(1,MIN(INT(B904/$C$4)+1,$C$5))</f>
        <v/>
      </c>
      <c r="E904" s="26">
        <f>IF($C$5=0,0,INDEX(Symboles!$G$6:$G$101,D904))</f>
        <v/>
      </c>
      <c r="F904" s="26">
        <f>IF($C$5=0,0,INDEX(Symboles!$H$6:$H$101,D904))</f>
        <v/>
      </c>
      <c r="G904" s="26">
        <f>COS(2*PI()*$C$3*B904)</f>
        <v/>
      </c>
      <c r="H904" s="26">
        <f>SIN(2*PI()*$C$3*B904)</f>
        <v/>
      </c>
      <c r="I904" s="26">
        <f>E904*G904+F904*H904</f>
        <v/>
      </c>
    </row>
    <row r="905">
      <c r="A905" s="7" t="n">
        <v>898</v>
      </c>
      <c r="B905" s="26">
        <f>(A905-1)/2000*$C$2</f>
        <v/>
      </c>
      <c r="C905" s="7">
        <f>INDEX(Bits!$E$25:$E$124,INT(B905)+1)</f>
        <v/>
      </c>
      <c r="D905" s="7">
        <f>MAX(1,MIN(INT(B905/$C$4)+1,$C$5))</f>
        <v/>
      </c>
      <c r="E905" s="26">
        <f>IF($C$5=0,0,INDEX(Symboles!$G$6:$G$101,D905))</f>
        <v/>
      </c>
      <c r="F905" s="26">
        <f>IF($C$5=0,0,INDEX(Symboles!$H$6:$H$101,D905))</f>
        <v/>
      </c>
      <c r="G905" s="26">
        <f>COS(2*PI()*$C$3*B905)</f>
        <v/>
      </c>
      <c r="H905" s="26">
        <f>SIN(2*PI()*$C$3*B905)</f>
        <v/>
      </c>
      <c r="I905" s="26">
        <f>E905*G905+F905*H905</f>
        <v/>
      </c>
    </row>
    <row r="906">
      <c r="A906" s="7" t="n">
        <v>899</v>
      </c>
      <c r="B906" s="26">
        <f>(A906-1)/2000*$C$2</f>
        <v/>
      </c>
      <c r="C906" s="7">
        <f>INDEX(Bits!$E$25:$E$124,INT(B906)+1)</f>
        <v/>
      </c>
      <c r="D906" s="7">
        <f>MAX(1,MIN(INT(B906/$C$4)+1,$C$5))</f>
        <v/>
      </c>
      <c r="E906" s="26">
        <f>IF($C$5=0,0,INDEX(Symboles!$G$6:$G$101,D906))</f>
        <v/>
      </c>
      <c r="F906" s="26">
        <f>IF($C$5=0,0,INDEX(Symboles!$H$6:$H$101,D906))</f>
        <v/>
      </c>
      <c r="G906" s="26">
        <f>COS(2*PI()*$C$3*B906)</f>
        <v/>
      </c>
      <c r="H906" s="26">
        <f>SIN(2*PI()*$C$3*B906)</f>
        <v/>
      </c>
      <c r="I906" s="26">
        <f>E906*G906+F906*H906</f>
        <v/>
      </c>
    </row>
    <row r="907">
      <c r="A907" s="7" t="n">
        <v>900</v>
      </c>
      <c r="B907" s="26">
        <f>(A907-1)/2000*$C$2</f>
        <v/>
      </c>
      <c r="C907" s="7">
        <f>INDEX(Bits!$E$25:$E$124,INT(B907)+1)</f>
        <v/>
      </c>
      <c r="D907" s="7">
        <f>MAX(1,MIN(INT(B907/$C$4)+1,$C$5))</f>
        <v/>
      </c>
      <c r="E907" s="26">
        <f>IF($C$5=0,0,INDEX(Symboles!$G$6:$G$101,D907))</f>
        <v/>
      </c>
      <c r="F907" s="26">
        <f>IF($C$5=0,0,INDEX(Symboles!$H$6:$H$101,D907))</f>
        <v/>
      </c>
      <c r="G907" s="26">
        <f>COS(2*PI()*$C$3*B907)</f>
        <v/>
      </c>
      <c r="H907" s="26">
        <f>SIN(2*PI()*$C$3*B907)</f>
        <v/>
      </c>
      <c r="I907" s="26">
        <f>E907*G907+F907*H907</f>
        <v/>
      </c>
    </row>
    <row r="908">
      <c r="A908" s="7" t="n">
        <v>901</v>
      </c>
      <c r="B908" s="26">
        <f>(A908-1)/2000*$C$2</f>
        <v/>
      </c>
      <c r="C908" s="7">
        <f>INDEX(Bits!$E$25:$E$124,INT(B908)+1)</f>
        <v/>
      </c>
      <c r="D908" s="7">
        <f>MAX(1,MIN(INT(B908/$C$4)+1,$C$5))</f>
        <v/>
      </c>
      <c r="E908" s="26">
        <f>IF($C$5=0,0,INDEX(Symboles!$G$6:$G$101,D908))</f>
        <v/>
      </c>
      <c r="F908" s="26">
        <f>IF($C$5=0,0,INDEX(Symboles!$H$6:$H$101,D908))</f>
        <v/>
      </c>
      <c r="G908" s="26">
        <f>COS(2*PI()*$C$3*B908)</f>
        <v/>
      </c>
      <c r="H908" s="26">
        <f>SIN(2*PI()*$C$3*B908)</f>
        <v/>
      </c>
      <c r="I908" s="26">
        <f>E908*G908+F908*H908</f>
        <v/>
      </c>
    </row>
    <row r="909">
      <c r="A909" s="7" t="n">
        <v>902</v>
      </c>
      <c r="B909" s="26">
        <f>(A909-1)/2000*$C$2</f>
        <v/>
      </c>
      <c r="C909" s="7">
        <f>INDEX(Bits!$E$25:$E$124,INT(B909)+1)</f>
        <v/>
      </c>
      <c r="D909" s="7">
        <f>MAX(1,MIN(INT(B909/$C$4)+1,$C$5))</f>
        <v/>
      </c>
      <c r="E909" s="26">
        <f>IF($C$5=0,0,INDEX(Symboles!$G$6:$G$101,D909))</f>
        <v/>
      </c>
      <c r="F909" s="26">
        <f>IF($C$5=0,0,INDEX(Symboles!$H$6:$H$101,D909))</f>
        <v/>
      </c>
      <c r="G909" s="26">
        <f>COS(2*PI()*$C$3*B909)</f>
        <v/>
      </c>
      <c r="H909" s="26">
        <f>SIN(2*PI()*$C$3*B909)</f>
        <v/>
      </c>
      <c r="I909" s="26">
        <f>E909*G909+F909*H909</f>
        <v/>
      </c>
    </row>
    <row r="910">
      <c r="A910" s="7" t="n">
        <v>903</v>
      </c>
      <c r="B910" s="26">
        <f>(A910-1)/2000*$C$2</f>
        <v/>
      </c>
      <c r="C910" s="7">
        <f>INDEX(Bits!$E$25:$E$124,INT(B910)+1)</f>
        <v/>
      </c>
      <c r="D910" s="7">
        <f>MAX(1,MIN(INT(B910/$C$4)+1,$C$5))</f>
        <v/>
      </c>
      <c r="E910" s="26">
        <f>IF($C$5=0,0,INDEX(Symboles!$G$6:$G$101,D910))</f>
        <v/>
      </c>
      <c r="F910" s="26">
        <f>IF($C$5=0,0,INDEX(Symboles!$H$6:$H$101,D910))</f>
        <v/>
      </c>
      <c r="G910" s="26">
        <f>COS(2*PI()*$C$3*B910)</f>
        <v/>
      </c>
      <c r="H910" s="26">
        <f>SIN(2*PI()*$C$3*B910)</f>
        <v/>
      </c>
      <c r="I910" s="26">
        <f>E910*G910+F910*H910</f>
        <v/>
      </c>
    </row>
    <row r="911">
      <c r="A911" s="7" t="n">
        <v>904</v>
      </c>
      <c r="B911" s="26">
        <f>(A911-1)/2000*$C$2</f>
        <v/>
      </c>
      <c r="C911" s="7">
        <f>INDEX(Bits!$E$25:$E$124,INT(B911)+1)</f>
        <v/>
      </c>
      <c r="D911" s="7">
        <f>MAX(1,MIN(INT(B911/$C$4)+1,$C$5))</f>
        <v/>
      </c>
      <c r="E911" s="26">
        <f>IF($C$5=0,0,INDEX(Symboles!$G$6:$G$101,D911))</f>
        <v/>
      </c>
      <c r="F911" s="26">
        <f>IF($C$5=0,0,INDEX(Symboles!$H$6:$H$101,D911))</f>
        <v/>
      </c>
      <c r="G911" s="26">
        <f>COS(2*PI()*$C$3*B911)</f>
        <v/>
      </c>
      <c r="H911" s="26">
        <f>SIN(2*PI()*$C$3*B911)</f>
        <v/>
      </c>
      <c r="I911" s="26">
        <f>E911*G911+F911*H911</f>
        <v/>
      </c>
    </row>
    <row r="912">
      <c r="A912" s="7" t="n">
        <v>905</v>
      </c>
      <c r="B912" s="26">
        <f>(A912-1)/2000*$C$2</f>
        <v/>
      </c>
      <c r="C912" s="7">
        <f>INDEX(Bits!$E$25:$E$124,INT(B912)+1)</f>
        <v/>
      </c>
      <c r="D912" s="7">
        <f>MAX(1,MIN(INT(B912/$C$4)+1,$C$5))</f>
        <v/>
      </c>
      <c r="E912" s="26">
        <f>IF($C$5=0,0,INDEX(Symboles!$G$6:$G$101,D912))</f>
        <v/>
      </c>
      <c r="F912" s="26">
        <f>IF($C$5=0,0,INDEX(Symboles!$H$6:$H$101,D912))</f>
        <v/>
      </c>
      <c r="G912" s="26">
        <f>COS(2*PI()*$C$3*B912)</f>
        <v/>
      </c>
      <c r="H912" s="26">
        <f>SIN(2*PI()*$C$3*B912)</f>
        <v/>
      </c>
      <c r="I912" s="26">
        <f>E912*G912+F912*H912</f>
        <v/>
      </c>
    </row>
    <row r="913">
      <c r="A913" s="7" t="n">
        <v>906</v>
      </c>
      <c r="B913" s="26">
        <f>(A913-1)/2000*$C$2</f>
        <v/>
      </c>
      <c r="C913" s="7">
        <f>INDEX(Bits!$E$25:$E$124,INT(B913)+1)</f>
        <v/>
      </c>
      <c r="D913" s="7">
        <f>MAX(1,MIN(INT(B913/$C$4)+1,$C$5))</f>
        <v/>
      </c>
      <c r="E913" s="26">
        <f>IF($C$5=0,0,INDEX(Symboles!$G$6:$G$101,D913))</f>
        <v/>
      </c>
      <c r="F913" s="26">
        <f>IF($C$5=0,0,INDEX(Symboles!$H$6:$H$101,D913))</f>
        <v/>
      </c>
      <c r="G913" s="26">
        <f>COS(2*PI()*$C$3*B913)</f>
        <v/>
      </c>
      <c r="H913" s="26">
        <f>SIN(2*PI()*$C$3*B913)</f>
        <v/>
      </c>
      <c r="I913" s="26">
        <f>E913*G913+F913*H913</f>
        <v/>
      </c>
    </row>
    <row r="914">
      <c r="A914" s="7" t="n">
        <v>907</v>
      </c>
      <c r="B914" s="26">
        <f>(A914-1)/2000*$C$2</f>
        <v/>
      </c>
      <c r="C914" s="7">
        <f>INDEX(Bits!$E$25:$E$124,INT(B914)+1)</f>
        <v/>
      </c>
      <c r="D914" s="7">
        <f>MAX(1,MIN(INT(B914/$C$4)+1,$C$5))</f>
        <v/>
      </c>
      <c r="E914" s="26">
        <f>IF($C$5=0,0,INDEX(Symboles!$G$6:$G$101,D914))</f>
        <v/>
      </c>
      <c r="F914" s="26">
        <f>IF($C$5=0,0,INDEX(Symboles!$H$6:$H$101,D914))</f>
        <v/>
      </c>
      <c r="G914" s="26">
        <f>COS(2*PI()*$C$3*B914)</f>
        <v/>
      </c>
      <c r="H914" s="26">
        <f>SIN(2*PI()*$C$3*B914)</f>
        <v/>
      </c>
      <c r="I914" s="26">
        <f>E914*G914+F914*H914</f>
        <v/>
      </c>
    </row>
    <row r="915">
      <c r="A915" s="7" t="n">
        <v>908</v>
      </c>
      <c r="B915" s="26">
        <f>(A915-1)/2000*$C$2</f>
        <v/>
      </c>
      <c r="C915" s="7">
        <f>INDEX(Bits!$E$25:$E$124,INT(B915)+1)</f>
        <v/>
      </c>
      <c r="D915" s="7">
        <f>MAX(1,MIN(INT(B915/$C$4)+1,$C$5))</f>
        <v/>
      </c>
      <c r="E915" s="26">
        <f>IF($C$5=0,0,INDEX(Symboles!$G$6:$G$101,D915))</f>
        <v/>
      </c>
      <c r="F915" s="26">
        <f>IF($C$5=0,0,INDEX(Symboles!$H$6:$H$101,D915))</f>
        <v/>
      </c>
      <c r="G915" s="26">
        <f>COS(2*PI()*$C$3*B915)</f>
        <v/>
      </c>
      <c r="H915" s="26">
        <f>SIN(2*PI()*$C$3*B915)</f>
        <v/>
      </c>
      <c r="I915" s="26">
        <f>E915*G915+F915*H915</f>
        <v/>
      </c>
    </row>
    <row r="916">
      <c r="A916" s="7" t="n">
        <v>909</v>
      </c>
      <c r="B916" s="26">
        <f>(A916-1)/2000*$C$2</f>
        <v/>
      </c>
      <c r="C916" s="7">
        <f>INDEX(Bits!$E$25:$E$124,INT(B916)+1)</f>
        <v/>
      </c>
      <c r="D916" s="7">
        <f>MAX(1,MIN(INT(B916/$C$4)+1,$C$5))</f>
        <v/>
      </c>
      <c r="E916" s="26">
        <f>IF($C$5=0,0,INDEX(Symboles!$G$6:$G$101,D916))</f>
        <v/>
      </c>
      <c r="F916" s="26">
        <f>IF($C$5=0,0,INDEX(Symboles!$H$6:$H$101,D916))</f>
        <v/>
      </c>
      <c r="G916" s="26">
        <f>COS(2*PI()*$C$3*B916)</f>
        <v/>
      </c>
      <c r="H916" s="26">
        <f>SIN(2*PI()*$C$3*B916)</f>
        <v/>
      </c>
      <c r="I916" s="26">
        <f>E916*G916+F916*H916</f>
        <v/>
      </c>
    </row>
    <row r="917">
      <c r="A917" s="7" t="n">
        <v>910</v>
      </c>
      <c r="B917" s="26">
        <f>(A917-1)/2000*$C$2</f>
        <v/>
      </c>
      <c r="C917" s="7">
        <f>INDEX(Bits!$E$25:$E$124,INT(B917)+1)</f>
        <v/>
      </c>
      <c r="D917" s="7">
        <f>MAX(1,MIN(INT(B917/$C$4)+1,$C$5))</f>
        <v/>
      </c>
      <c r="E917" s="26">
        <f>IF($C$5=0,0,INDEX(Symboles!$G$6:$G$101,D917))</f>
        <v/>
      </c>
      <c r="F917" s="26">
        <f>IF($C$5=0,0,INDEX(Symboles!$H$6:$H$101,D917))</f>
        <v/>
      </c>
      <c r="G917" s="26">
        <f>COS(2*PI()*$C$3*B917)</f>
        <v/>
      </c>
      <c r="H917" s="26">
        <f>SIN(2*PI()*$C$3*B917)</f>
        <v/>
      </c>
      <c r="I917" s="26">
        <f>E917*G917+F917*H917</f>
        <v/>
      </c>
    </row>
    <row r="918">
      <c r="A918" s="7" t="n">
        <v>911</v>
      </c>
      <c r="B918" s="26">
        <f>(A918-1)/2000*$C$2</f>
        <v/>
      </c>
      <c r="C918" s="7">
        <f>INDEX(Bits!$E$25:$E$124,INT(B918)+1)</f>
        <v/>
      </c>
      <c r="D918" s="7">
        <f>MAX(1,MIN(INT(B918/$C$4)+1,$C$5))</f>
        <v/>
      </c>
      <c r="E918" s="26">
        <f>IF($C$5=0,0,INDEX(Symboles!$G$6:$G$101,D918))</f>
        <v/>
      </c>
      <c r="F918" s="26">
        <f>IF($C$5=0,0,INDEX(Symboles!$H$6:$H$101,D918))</f>
        <v/>
      </c>
      <c r="G918" s="26">
        <f>COS(2*PI()*$C$3*B918)</f>
        <v/>
      </c>
      <c r="H918" s="26">
        <f>SIN(2*PI()*$C$3*B918)</f>
        <v/>
      </c>
      <c r="I918" s="26">
        <f>E918*G918+F918*H918</f>
        <v/>
      </c>
    </row>
    <row r="919">
      <c r="A919" s="7" t="n">
        <v>912</v>
      </c>
      <c r="B919" s="26">
        <f>(A919-1)/2000*$C$2</f>
        <v/>
      </c>
      <c r="C919" s="7">
        <f>INDEX(Bits!$E$25:$E$124,INT(B919)+1)</f>
        <v/>
      </c>
      <c r="D919" s="7">
        <f>MAX(1,MIN(INT(B919/$C$4)+1,$C$5))</f>
        <v/>
      </c>
      <c r="E919" s="26">
        <f>IF($C$5=0,0,INDEX(Symboles!$G$6:$G$101,D919))</f>
        <v/>
      </c>
      <c r="F919" s="26">
        <f>IF($C$5=0,0,INDEX(Symboles!$H$6:$H$101,D919))</f>
        <v/>
      </c>
      <c r="G919" s="26">
        <f>COS(2*PI()*$C$3*B919)</f>
        <v/>
      </c>
      <c r="H919" s="26">
        <f>SIN(2*PI()*$C$3*B919)</f>
        <v/>
      </c>
      <c r="I919" s="26">
        <f>E919*G919+F919*H919</f>
        <v/>
      </c>
    </row>
    <row r="920">
      <c r="A920" s="7" t="n">
        <v>913</v>
      </c>
      <c r="B920" s="26">
        <f>(A920-1)/2000*$C$2</f>
        <v/>
      </c>
      <c r="C920" s="7">
        <f>INDEX(Bits!$E$25:$E$124,INT(B920)+1)</f>
        <v/>
      </c>
      <c r="D920" s="7">
        <f>MAX(1,MIN(INT(B920/$C$4)+1,$C$5))</f>
        <v/>
      </c>
      <c r="E920" s="26">
        <f>IF($C$5=0,0,INDEX(Symboles!$G$6:$G$101,D920))</f>
        <v/>
      </c>
      <c r="F920" s="26">
        <f>IF($C$5=0,0,INDEX(Symboles!$H$6:$H$101,D920))</f>
        <v/>
      </c>
      <c r="G920" s="26">
        <f>COS(2*PI()*$C$3*B920)</f>
        <v/>
      </c>
      <c r="H920" s="26">
        <f>SIN(2*PI()*$C$3*B920)</f>
        <v/>
      </c>
      <c r="I920" s="26">
        <f>E920*G920+F920*H920</f>
        <v/>
      </c>
    </row>
    <row r="921">
      <c r="A921" s="7" t="n">
        <v>914</v>
      </c>
      <c r="B921" s="26">
        <f>(A921-1)/2000*$C$2</f>
        <v/>
      </c>
      <c r="C921" s="7">
        <f>INDEX(Bits!$E$25:$E$124,INT(B921)+1)</f>
        <v/>
      </c>
      <c r="D921" s="7">
        <f>MAX(1,MIN(INT(B921/$C$4)+1,$C$5))</f>
        <v/>
      </c>
      <c r="E921" s="26">
        <f>IF($C$5=0,0,INDEX(Symboles!$G$6:$G$101,D921))</f>
        <v/>
      </c>
      <c r="F921" s="26">
        <f>IF($C$5=0,0,INDEX(Symboles!$H$6:$H$101,D921))</f>
        <v/>
      </c>
      <c r="G921" s="26">
        <f>COS(2*PI()*$C$3*B921)</f>
        <v/>
      </c>
      <c r="H921" s="26">
        <f>SIN(2*PI()*$C$3*B921)</f>
        <v/>
      </c>
      <c r="I921" s="26">
        <f>E921*G921+F921*H921</f>
        <v/>
      </c>
    </row>
    <row r="922">
      <c r="A922" s="7" t="n">
        <v>915</v>
      </c>
      <c r="B922" s="26">
        <f>(A922-1)/2000*$C$2</f>
        <v/>
      </c>
      <c r="C922" s="7">
        <f>INDEX(Bits!$E$25:$E$124,INT(B922)+1)</f>
        <v/>
      </c>
      <c r="D922" s="7">
        <f>MAX(1,MIN(INT(B922/$C$4)+1,$C$5))</f>
        <v/>
      </c>
      <c r="E922" s="26">
        <f>IF($C$5=0,0,INDEX(Symboles!$G$6:$G$101,D922))</f>
        <v/>
      </c>
      <c r="F922" s="26">
        <f>IF($C$5=0,0,INDEX(Symboles!$H$6:$H$101,D922))</f>
        <v/>
      </c>
      <c r="G922" s="26">
        <f>COS(2*PI()*$C$3*B922)</f>
        <v/>
      </c>
      <c r="H922" s="26">
        <f>SIN(2*PI()*$C$3*B922)</f>
        <v/>
      </c>
      <c r="I922" s="26">
        <f>E922*G922+F922*H922</f>
        <v/>
      </c>
    </row>
    <row r="923">
      <c r="A923" s="7" t="n">
        <v>916</v>
      </c>
      <c r="B923" s="26">
        <f>(A923-1)/2000*$C$2</f>
        <v/>
      </c>
      <c r="C923" s="7">
        <f>INDEX(Bits!$E$25:$E$124,INT(B923)+1)</f>
        <v/>
      </c>
      <c r="D923" s="7">
        <f>MAX(1,MIN(INT(B923/$C$4)+1,$C$5))</f>
        <v/>
      </c>
      <c r="E923" s="26">
        <f>IF($C$5=0,0,INDEX(Symboles!$G$6:$G$101,D923))</f>
        <v/>
      </c>
      <c r="F923" s="26">
        <f>IF($C$5=0,0,INDEX(Symboles!$H$6:$H$101,D923))</f>
        <v/>
      </c>
      <c r="G923" s="26">
        <f>COS(2*PI()*$C$3*B923)</f>
        <v/>
      </c>
      <c r="H923" s="26">
        <f>SIN(2*PI()*$C$3*B923)</f>
        <v/>
      </c>
      <c r="I923" s="26">
        <f>E923*G923+F923*H923</f>
        <v/>
      </c>
    </row>
    <row r="924">
      <c r="A924" s="7" t="n">
        <v>917</v>
      </c>
      <c r="B924" s="26">
        <f>(A924-1)/2000*$C$2</f>
        <v/>
      </c>
      <c r="C924" s="7">
        <f>INDEX(Bits!$E$25:$E$124,INT(B924)+1)</f>
        <v/>
      </c>
      <c r="D924" s="7">
        <f>MAX(1,MIN(INT(B924/$C$4)+1,$C$5))</f>
        <v/>
      </c>
      <c r="E924" s="26">
        <f>IF($C$5=0,0,INDEX(Symboles!$G$6:$G$101,D924))</f>
        <v/>
      </c>
      <c r="F924" s="26">
        <f>IF($C$5=0,0,INDEX(Symboles!$H$6:$H$101,D924))</f>
        <v/>
      </c>
      <c r="G924" s="26">
        <f>COS(2*PI()*$C$3*B924)</f>
        <v/>
      </c>
      <c r="H924" s="26">
        <f>SIN(2*PI()*$C$3*B924)</f>
        <v/>
      </c>
      <c r="I924" s="26">
        <f>E924*G924+F924*H924</f>
        <v/>
      </c>
    </row>
    <row r="925">
      <c r="A925" s="7" t="n">
        <v>918</v>
      </c>
      <c r="B925" s="26">
        <f>(A925-1)/2000*$C$2</f>
        <v/>
      </c>
      <c r="C925" s="7">
        <f>INDEX(Bits!$E$25:$E$124,INT(B925)+1)</f>
        <v/>
      </c>
      <c r="D925" s="7">
        <f>MAX(1,MIN(INT(B925/$C$4)+1,$C$5))</f>
        <v/>
      </c>
      <c r="E925" s="26">
        <f>IF($C$5=0,0,INDEX(Symboles!$G$6:$G$101,D925))</f>
        <v/>
      </c>
      <c r="F925" s="26">
        <f>IF($C$5=0,0,INDEX(Symboles!$H$6:$H$101,D925))</f>
        <v/>
      </c>
      <c r="G925" s="26">
        <f>COS(2*PI()*$C$3*B925)</f>
        <v/>
      </c>
      <c r="H925" s="26">
        <f>SIN(2*PI()*$C$3*B925)</f>
        <v/>
      </c>
      <c r="I925" s="26">
        <f>E925*G925+F925*H925</f>
        <v/>
      </c>
    </row>
    <row r="926">
      <c r="A926" s="7" t="n">
        <v>919</v>
      </c>
      <c r="B926" s="26">
        <f>(A926-1)/2000*$C$2</f>
        <v/>
      </c>
      <c r="C926" s="7">
        <f>INDEX(Bits!$E$25:$E$124,INT(B926)+1)</f>
        <v/>
      </c>
      <c r="D926" s="7">
        <f>MAX(1,MIN(INT(B926/$C$4)+1,$C$5))</f>
        <v/>
      </c>
      <c r="E926" s="26">
        <f>IF($C$5=0,0,INDEX(Symboles!$G$6:$G$101,D926))</f>
        <v/>
      </c>
      <c r="F926" s="26">
        <f>IF($C$5=0,0,INDEX(Symboles!$H$6:$H$101,D926))</f>
        <v/>
      </c>
      <c r="G926" s="26">
        <f>COS(2*PI()*$C$3*B926)</f>
        <v/>
      </c>
      <c r="H926" s="26">
        <f>SIN(2*PI()*$C$3*B926)</f>
        <v/>
      </c>
      <c r="I926" s="26">
        <f>E926*G926+F926*H926</f>
        <v/>
      </c>
    </row>
    <row r="927">
      <c r="A927" s="7" t="n">
        <v>920</v>
      </c>
      <c r="B927" s="26">
        <f>(A927-1)/2000*$C$2</f>
        <v/>
      </c>
      <c r="C927" s="7">
        <f>INDEX(Bits!$E$25:$E$124,INT(B927)+1)</f>
        <v/>
      </c>
      <c r="D927" s="7">
        <f>MAX(1,MIN(INT(B927/$C$4)+1,$C$5))</f>
        <v/>
      </c>
      <c r="E927" s="26">
        <f>IF($C$5=0,0,INDEX(Symboles!$G$6:$G$101,D927))</f>
        <v/>
      </c>
      <c r="F927" s="26">
        <f>IF($C$5=0,0,INDEX(Symboles!$H$6:$H$101,D927))</f>
        <v/>
      </c>
      <c r="G927" s="26">
        <f>COS(2*PI()*$C$3*B927)</f>
        <v/>
      </c>
      <c r="H927" s="26">
        <f>SIN(2*PI()*$C$3*B927)</f>
        <v/>
      </c>
      <c r="I927" s="26">
        <f>E927*G927+F927*H927</f>
        <v/>
      </c>
    </row>
    <row r="928">
      <c r="A928" s="7" t="n">
        <v>921</v>
      </c>
      <c r="B928" s="26">
        <f>(A928-1)/2000*$C$2</f>
        <v/>
      </c>
      <c r="C928" s="7">
        <f>INDEX(Bits!$E$25:$E$124,INT(B928)+1)</f>
        <v/>
      </c>
      <c r="D928" s="7">
        <f>MAX(1,MIN(INT(B928/$C$4)+1,$C$5))</f>
        <v/>
      </c>
      <c r="E928" s="26">
        <f>IF($C$5=0,0,INDEX(Symboles!$G$6:$G$101,D928))</f>
        <v/>
      </c>
      <c r="F928" s="26">
        <f>IF($C$5=0,0,INDEX(Symboles!$H$6:$H$101,D928))</f>
        <v/>
      </c>
      <c r="G928" s="26">
        <f>COS(2*PI()*$C$3*B928)</f>
        <v/>
      </c>
      <c r="H928" s="26">
        <f>SIN(2*PI()*$C$3*B928)</f>
        <v/>
      </c>
      <c r="I928" s="26">
        <f>E928*G928+F928*H928</f>
        <v/>
      </c>
    </row>
    <row r="929">
      <c r="A929" s="7" t="n">
        <v>922</v>
      </c>
      <c r="B929" s="26">
        <f>(A929-1)/2000*$C$2</f>
        <v/>
      </c>
      <c r="C929" s="7">
        <f>INDEX(Bits!$E$25:$E$124,INT(B929)+1)</f>
        <v/>
      </c>
      <c r="D929" s="7">
        <f>MAX(1,MIN(INT(B929/$C$4)+1,$C$5))</f>
        <v/>
      </c>
      <c r="E929" s="26">
        <f>IF($C$5=0,0,INDEX(Symboles!$G$6:$G$101,D929))</f>
        <v/>
      </c>
      <c r="F929" s="26">
        <f>IF($C$5=0,0,INDEX(Symboles!$H$6:$H$101,D929))</f>
        <v/>
      </c>
      <c r="G929" s="26">
        <f>COS(2*PI()*$C$3*B929)</f>
        <v/>
      </c>
      <c r="H929" s="26">
        <f>SIN(2*PI()*$C$3*B929)</f>
        <v/>
      </c>
      <c r="I929" s="26">
        <f>E929*G929+F929*H929</f>
        <v/>
      </c>
    </row>
    <row r="930">
      <c r="A930" s="7" t="n">
        <v>923</v>
      </c>
      <c r="B930" s="26">
        <f>(A930-1)/2000*$C$2</f>
        <v/>
      </c>
      <c r="C930" s="7">
        <f>INDEX(Bits!$E$25:$E$124,INT(B930)+1)</f>
        <v/>
      </c>
      <c r="D930" s="7">
        <f>MAX(1,MIN(INT(B930/$C$4)+1,$C$5))</f>
        <v/>
      </c>
      <c r="E930" s="26">
        <f>IF($C$5=0,0,INDEX(Symboles!$G$6:$G$101,D930))</f>
        <v/>
      </c>
      <c r="F930" s="26">
        <f>IF($C$5=0,0,INDEX(Symboles!$H$6:$H$101,D930))</f>
        <v/>
      </c>
      <c r="G930" s="26">
        <f>COS(2*PI()*$C$3*B930)</f>
        <v/>
      </c>
      <c r="H930" s="26">
        <f>SIN(2*PI()*$C$3*B930)</f>
        <v/>
      </c>
      <c r="I930" s="26">
        <f>E930*G930+F930*H930</f>
        <v/>
      </c>
    </row>
    <row r="931">
      <c r="A931" s="7" t="n">
        <v>924</v>
      </c>
      <c r="B931" s="26">
        <f>(A931-1)/2000*$C$2</f>
        <v/>
      </c>
      <c r="C931" s="7">
        <f>INDEX(Bits!$E$25:$E$124,INT(B931)+1)</f>
        <v/>
      </c>
      <c r="D931" s="7">
        <f>MAX(1,MIN(INT(B931/$C$4)+1,$C$5))</f>
        <v/>
      </c>
      <c r="E931" s="26">
        <f>IF($C$5=0,0,INDEX(Symboles!$G$6:$G$101,D931))</f>
        <v/>
      </c>
      <c r="F931" s="26">
        <f>IF($C$5=0,0,INDEX(Symboles!$H$6:$H$101,D931))</f>
        <v/>
      </c>
      <c r="G931" s="26">
        <f>COS(2*PI()*$C$3*B931)</f>
        <v/>
      </c>
      <c r="H931" s="26">
        <f>SIN(2*PI()*$C$3*B931)</f>
        <v/>
      </c>
      <c r="I931" s="26">
        <f>E931*G931+F931*H931</f>
        <v/>
      </c>
    </row>
    <row r="932">
      <c r="A932" s="7" t="n">
        <v>925</v>
      </c>
      <c r="B932" s="26">
        <f>(A932-1)/2000*$C$2</f>
        <v/>
      </c>
      <c r="C932" s="7">
        <f>INDEX(Bits!$E$25:$E$124,INT(B932)+1)</f>
        <v/>
      </c>
      <c r="D932" s="7">
        <f>MAX(1,MIN(INT(B932/$C$4)+1,$C$5))</f>
        <v/>
      </c>
      <c r="E932" s="26">
        <f>IF($C$5=0,0,INDEX(Symboles!$G$6:$G$101,D932))</f>
        <v/>
      </c>
      <c r="F932" s="26">
        <f>IF($C$5=0,0,INDEX(Symboles!$H$6:$H$101,D932))</f>
        <v/>
      </c>
      <c r="G932" s="26">
        <f>COS(2*PI()*$C$3*B932)</f>
        <v/>
      </c>
      <c r="H932" s="26">
        <f>SIN(2*PI()*$C$3*B932)</f>
        <v/>
      </c>
      <c r="I932" s="26">
        <f>E932*G932+F932*H932</f>
        <v/>
      </c>
    </row>
    <row r="933">
      <c r="A933" s="7" t="n">
        <v>926</v>
      </c>
      <c r="B933" s="26">
        <f>(A933-1)/2000*$C$2</f>
        <v/>
      </c>
      <c r="C933" s="7">
        <f>INDEX(Bits!$E$25:$E$124,INT(B933)+1)</f>
        <v/>
      </c>
      <c r="D933" s="7">
        <f>MAX(1,MIN(INT(B933/$C$4)+1,$C$5))</f>
        <v/>
      </c>
      <c r="E933" s="26">
        <f>IF($C$5=0,0,INDEX(Symboles!$G$6:$G$101,D933))</f>
        <v/>
      </c>
      <c r="F933" s="26">
        <f>IF($C$5=0,0,INDEX(Symboles!$H$6:$H$101,D933))</f>
        <v/>
      </c>
      <c r="G933" s="26">
        <f>COS(2*PI()*$C$3*B933)</f>
        <v/>
      </c>
      <c r="H933" s="26">
        <f>SIN(2*PI()*$C$3*B933)</f>
        <v/>
      </c>
      <c r="I933" s="26">
        <f>E933*G933+F933*H933</f>
        <v/>
      </c>
    </row>
    <row r="934">
      <c r="A934" s="7" t="n">
        <v>927</v>
      </c>
      <c r="B934" s="26">
        <f>(A934-1)/2000*$C$2</f>
        <v/>
      </c>
      <c r="C934" s="7">
        <f>INDEX(Bits!$E$25:$E$124,INT(B934)+1)</f>
        <v/>
      </c>
      <c r="D934" s="7">
        <f>MAX(1,MIN(INT(B934/$C$4)+1,$C$5))</f>
        <v/>
      </c>
      <c r="E934" s="26">
        <f>IF($C$5=0,0,INDEX(Symboles!$G$6:$G$101,D934))</f>
        <v/>
      </c>
      <c r="F934" s="26">
        <f>IF($C$5=0,0,INDEX(Symboles!$H$6:$H$101,D934))</f>
        <v/>
      </c>
      <c r="G934" s="26">
        <f>COS(2*PI()*$C$3*B934)</f>
        <v/>
      </c>
      <c r="H934" s="26">
        <f>SIN(2*PI()*$C$3*B934)</f>
        <v/>
      </c>
      <c r="I934" s="26">
        <f>E934*G934+F934*H934</f>
        <v/>
      </c>
    </row>
    <row r="935">
      <c r="A935" s="7" t="n">
        <v>928</v>
      </c>
      <c r="B935" s="26">
        <f>(A935-1)/2000*$C$2</f>
        <v/>
      </c>
      <c r="C935" s="7">
        <f>INDEX(Bits!$E$25:$E$124,INT(B935)+1)</f>
        <v/>
      </c>
      <c r="D935" s="7">
        <f>MAX(1,MIN(INT(B935/$C$4)+1,$C$5))</f>
        <v/>
      </c>
      <c r="E935" s="26">
        <f>IF($C$5=0,0,INDEX(Symboles!$G$6:$G$101,D935))</f>
        <v/>
      </c>
      <c r="F935" s="26">
        <f>IF($C$5=0,0,INDEX(Symboles!$H$6:$H$101,D935))</f>
        <v/>
      </c>
      <c r="G935" s="26">
        <f>COS(2*PI()*$C$3*B935)</f>
        <v/>
      </c>
      <c r="H935" s="26">
        <f>SIN(2*PI()*$C$3*B935)</f>
        <v/>
      </c>
      <c r="I935" s="26">
        <f>E935*G935+F935*H935</f>
        <v/>
      </c>
    </row>
    <row r="936">
      <c r="A936" s="7" t="n">
        <v>929</v>
      </c>
      <c r="B936" s="26">
        <f>(A936-1)/2000*$C$2</f>
        <v/>
      </c>
      <c r="C936" s="7">
        <f>INDEX(Bits!$E$25:$E$124,INT(B936)+1)</f>
        <v/>
      </c>
      <c r="D936" s="7">
        <f>MAX(1,MIN(INT(B936/$C$4)+1,$C$5))</f>
        <v/>
      </c>
      <c r="E936" s="26">
        <f>IF($C$5=0,0,INDEX(Symboles!$G$6:$G$101,D936))</f>
        <v/>
      </c>
      <c r="F936" s="26">
        <f>IF($C$5=0,0,INDEX(Symboles!$H$6:$H$101,D936))</f>
        <v/>
      </c>
      <c r="G936" s="26">
        <f>COS(2*PI()*$C$3*B936)</f>
        <v/>
      </c>
      <c r="H936" s="26">
        <f>SIN(2*PI()*$C$3*B936)</f>
        <v/>
      </c>
      <c r="I936" s="26">
        <f>E936*G936+F936*H936</f>
        <v/>
      </c>
    </row>
    <row r="937">
      <c r="A937" s="7" t="n">
        <v>930</v>
      </c>
      <c r="B937" s="26">
        <f>(A937-1)/2000*$C$2</f>
        <v/>
      </c>
      <c r="C937" s="7">
        <f>INDEX(Bits!$E$25:$E$124,INT(B937)+1)</f>
        <v/>
      </c>
      <c r="D937" s="7">
        <f>MAX(1,MIN(INT(B937/$C$4)+1,$C$5))</f>
        <v/>
      </c>
      <c r="E937" s="26">
        <f>IF($C$5=0,0,INDEX(Symboles!$G$6:$G$101,D937))</f>
        <v/>
      </c>
      <c r="F937" s="26">
        <f>IF($C$5=0,0,INDEX(Symboles!$H$6:$H$101,D937))</f>
        <v/>
      </c>
      <c r="G937" s="26">
        <f>COS(2*PI()*$C$3*B937)</f>
        <v/>
      </c>
      <c r="H937" s="26">
        <f>SIN(2*PI()*$C$3*B937)</f>
        <v/>
      </c>
      <c r="I937" s="26">
        <f>E937*G937+F937*H937</f>
        <v/>
      </c>
    </row>
    <row r="938">
      <c r="A938" s="7" t="n">
        <v>931</v>
      </c>
      <c r="B938" s="26">
        <f>(A938-1)/2000*$C$2</f>
        <v/>
      </c>
      <c r="C938" s="7">
        <f>INDEX(Bits!$E$25:$E$124,INT(B938)+1)</f>
        <v/>
      </c>
      <c r="D938" s="7">
        <f>MAX(1,MIN(INT(B938/$C$4)+1,$C$5))</f>
        <v/>
      </c>
      <c r="E938" s="26">
        <f>IF($C$5=0,0,INDEX(Symboles!$G$6:$G$101,D938))</f>
        <v/>
      </c>
      <c r="F938" s="26">
        <f>IF($C$5=0,0,INDEX(Symboles!$H$6:$H$101,D938))</f>
        <v/>
      </c>
      <c r="G938" s="26">
        <f>COS(2*PI()*$C$3*B938)</f>
        <v/>
      </c>
      <c r="H938" s="26">
        <f>SIN(2*PI()*$C$3*B938)</f>
        <v/>
      </c>
      <c r="I938" s="26">
        <f>E938*G938+F938*H938</f>
        <v/>
      </c>
    </row>
    <row r="939">
      <c r="A939" s="7" t="n">
        <v>932</v>
      </c>
      <c r="B939" s="26">
        <f>(A939-1)/2000*$C$2</f>
        <v/>
      </c>
      <c r="C939" s="7">
        <f>INDEX(Bits!$E$25:$E$124,INT(B939)+1)</f>
        <v/>
      </c>
      <c r="D939" s="7">
        <f>MAX(1,MIN(INT(B939/$C$4)+1,$C$5))</f>
        <v/>
      </c>
      <c r="E939" s="26">
        <f>IF($C$5=0,0,INDEX(Symboles!$G$6:$G$101,D939))</f>
        <v/>
      </c>
      <c r="F939" s="26">
        <f>IF($C$5=0,0,INDEX(Symboles!$H$6:$H$101,D939))</f>
        <v/>
      </c>
      <c r="G939" s="26">
        <f>COS(2*PI()*$C$3*B939)</f>
        <v/>
      </c>
      <c r="H939" s="26">
        <f>SIN(2*PI()*$C$3*B939)</f>
        <v/>
      </c>
      <c r="I939" s="26">
        <f>E939*G939+F939*H939</f>
        <v/>
      </c>
    </row>
    <row r="940">
      <c r="A940" s="7" t="n">
        <v>933</v>
      </c>
      <c r="B940" s="26">
        <f>(A940-1)/2000*$C$2</f>
        <v/>
      </c>
      <c r="C940" s="7">
        <f>INDEX(Bits!$E$25:$E$124,INT(B940)+1)</f>
        <v/>
      </c>
      <c r="D940" s="7">
        <f>MAX(1,MIN(INT(B940/$C$4)+1,$C$5))</f>
        <v/>
      </c>
      <c r="E940" s="26">
        <f>IF($C$5=0,0,INDEX(Symboles!$G$6:$G$101,D940))</f>
        <v/>
      </c>
      <c r="F940" s="26">
        <f>IF($C$5=0,0,INDEX(Symboles!$H$6:$H$101,D940))</f>
        <v/>
      </c>
      <c r="G940" s="26">
        <f>COS(2*PI()*$C$3*B940)</f>
        <v/>
      </c>
      <c r="H940" s="26">
        <f>SIN(2*PI()*$C$3*B940)</f>
        <v/>
      </c>
      <c r="I940" s="26">
        <f>E940*G940+F940*H940</f>
        <v/>
      </c>
    </row>
    <row r="941">
      <c r="A941" s="7" t="n">
        <v>934</v>
      </c>
      <c r="B941" s="26">
        <f>(A941-1)/2000*$C$2</f>
        <v/>
      </c>
      <c r="C941" s="7">
        <f>INDEX(Bits!$E$25:$E$124,INT(B941)+1)</f>
        <v/>
      </c>
      <c r="D941" s="7">
        <f>MAX(1,MIN(INT(B941/$C$4)+1,$C$5))</f>
        <v/>
      </c>
      <c r="E941" s="26">
        <f>IF($C$5=0,0,INDEX(Symboles!$G$6:$G$101,D941))</f>
        <v/>
      </c>
      <c r="F941" s="26">
        <f>IF($C$5=0,0,INDEX(Symboles!$H$6:$H$101,D941))</f>
        <v/>
      </c>
      <c r="G941" s="26">
        <f>COS(2*PI()*$C$3*B941)</f>
        <v/>
      </c>
      <c r="H941" s="26">
        <f>SIN(2*PI()*$C$3*B941)</f>
        <v/>
      </c>
      <c r="I941" s="26">
        <f>E941*G941+F941*H941</f>
        <v/>
      </c>
    </row>
    <row r="942">
      <c r="A942" s="7" t="n">
        <v>935</v>
      </c>
      <c r="B942" s="26">
        <f>(A942-1)/2000*$C$2</f>
        <v/>
      </c>
      <c r="C942" s="7">
        <f>INDEX(Bits!$E$25:$E$124,INT(B942)+1)</f>
        <v/>
      </c>
      <c r="D942" s="7">
        <f>MAX(1,MIN(INT(B942/$C$4)+1,$C$5))</f>
        <v/>
      </c>
      <c r="E942" s="26">
        <f>IF($C$5=0,0,INDEX(Symboles!$G$6:$G$101,D942))</f>
        <v/>
      </c>
      <c r="F942" s="26">
        <f>IF($C$5=0,0,INDEX(Symboles!$H$6:$H$101,D942))</f>
        <v/>
      </c>
      <c r="G942" s="26">
        <f>COS(2*PI()*$C$3*B942)</f>
        <v/>
      </c>
      <c r="H942" s="26">
        <f>SIN(2*PI()*$C$3*B942)</f>
        <v/>
      </c>
      <c r="I942" s="26">
        <f>E942*G942+F942*H942</f>
        <v/>
      </c>
    </row>
    <row r="943">
      <c r="A943" s="7" t="n">
        <v>936</v>
      </c>
      <c r="B943" s="26">
        <f>(A943-1)/2000*$C$2</f>
        <v/>
      </c>
      <c r="C943" s="7">
        <f>INDEX(Bits!$E$25:$E$124,INT(B943)+1)</f>
        <v/>
      </c>
      <c r="D943" s="7">
        <f>MAX(1,MIN(INT(B943/$C$4)+1,$C$5))</f>
        <v/>
      </c>
      <c r="E943" s="26">
        <f>IF($C$5=0,0,INDEX(Symboles!$G$6:$G$101,D943))</f>
        <v/>
      </c>
      <c r="F943" s="26">
        <f>IF($C$5=0,0,INDEX(Symboles!$H$6:$H$101,D943))</f>
        <v/>
      </c>
      <c r="G943" s="26">
        <f>COS(2*PI()*$C$3*B943)</f>
        <v/>
      </c>
      <c r="H943" s="26">
        <f>SIN(2*PI()*$C$3*B943)</f>
        <v/>
      </c>
      <c r="I943" s="26">
        <f>E943*G943+F943*H943</f>
        <v/>
      </c>
    </row>
    <row r="944">
      <c r="A944" s="7" t="n">
        <v>937</v>
      </c>
      <c r="B944" s="26">
        <f>(A944-1)/2000*$C$2</f>
        <v/>
      </c>
      <c r="C944" s="7">
        <f>INDEX(Bits!$E$25:$E$124,INT(B944)+1)</f>
        <v/>
      </c>
      <c r="D944" s="7">
        <f>MAX(1,MIN(INT(B944/$C$4)+1,$C$5))</f>
        <v/>
      </c>
      <c r="E944" s="26">
        <f>IF($C$5=0,0,INDEX(Symboles!$G$6:$G$101,D944))</f>
        <v/>
      </c>
      <c r="F944" s="26">
        <f>IF($C$5=0,0,INDEX(Symboles!$H$6:$H$101,D944))</f>
        <v/>
      </c>
      <c r="G944" s="26">
        <f>COS(2*PI()*$C$3*B944)</f>
        <v/>
      </c>
      <c r="H944" s="26">
        <f>SIN(2*PI()*$C$3*B944)</f>
        <v/>
      </c>
      <c r="I944" s="26">
        <f>E944*G944+F944*H944</f>
        <v/>
      </c>
    </row>
    <row r="945">
      <c r="A945" s="7" t="n">
        <v>938</v>
      </c>
      <c r="B945" s="26">
        <f>(A945-1)/2000*$C$2</f>
        <v/>
      </c>
      <c r="C945" s="7">
        <f>INDEX(Bits!$E$25:$E$124,INT(B945)+1)</f>
        <v/>
      </c>
      <c r="D945" s="7">
        <f>MAX(1,MIN(INT(B945/$C$4)+1,$C$5))</f>
        <v/>
      </c>
      <c r="E945" s="26">
        <f>IF($C$5=0,0,INDEX(Symboles!$G$6:$G$101,D945))</f>
        <v/>
      </c>
      <c r="F945" s="26">
        <f>IF($C$5=0,0,INDEX(Symboles!$H$6:$H$101,D945))</f>
        <v/>
      </c>
      <c r="G945" s="26">
        <f>COS(2*PI()*$C$3*B945)</f>
        <v/>
      </c>
      <c r="H945" s="26">
        <f>SIN(2*PI()*$C$3*B945)</f>
        <v/>
      </c>
      <c r="I945" s="26">
        <f>E945*G945+F945*H945</f>
        <v/>
      </c>
    </row>
    <row r="946">
      <c r="A946" s="7" t="n">
        <v>939</v>
      </c>
      <c r="B946" s="26">
        <f>(A946-1)/2000*$C$2</f>
        <v/>
      </c>
      <c r="C946" s="7">
        <f>INDEX(Bits!$E$25:$E$124,INT(B946)+1)</f>
        <v/>
      </c>
      <c r="D946" s="7">
        <f>MAX(1,MIN(INT(B946/$C$4)+1,$C$5))</f>
        <v/>
      </c>
      <c r="E946" s="26">
        <f>IF($C$5=0,0,INDEX(Symboles!$G$6:$G$101,D946))</f>
        <v/>
      </c>
      <c r="F946" s="26">
        <f>IF($C$5=0,0,INDEX(Symboles!$H$6:$H$101,D946))</f>
        <v/>
      </c>
      <c r="G946" s="26">
        <f>COS(2*PI()*$C$3*B946)</f>
        <v/>
      </c>
      <c r="H946" s="26">
        <f>SIN(2*PI()*$C$3*B946)</f>
        <v/>
      </c>
      <c r="I946" s="26">
        <f>E946*G946+F946*H946</f>
        <v/>
      </c>
    </row>
    <row r="947">
      <c r="A947" s="7" t="n">
        <v>940</v>
      </c>
      <c r="B947" s="26">
        <f>(A947-1)/2000*$C$2</f>
        <v/>
      </c>
      <c r="C947" s="7">
        <f>INDEX(Bits!$E$25:$E$124,INT(B947)+1)</f>
        <v/>
      </c>
      <c r="D947" s="7">
        <f>MAX(1,MIN(INT(B947/$C$4)+1,$C$5))</f>
        <v/>
      </c>
      <c r="E947" s="26">
        <f>IF($C$5=0,0,INDEX(Symboles!$G$6:$G$101,D947))</f>
        <v/>
      </c>
      <c r="F947" s="26">
        <f>IF($C$5=0,0,INDEX(Symboles!$H$6:$H$101,D947))</f>
        <v/>
      </c>
      <c r="G947" s="26">
        <f>COS(2*PI()*$C$3*B947)</f>
        <v/>
      </c>
      <c r="H947" s="26">
        <f>SIN(2*PI()*$C$3*B947)</f>
        <v/>
      </c>
      <c r="I947" s="26">
        <f>E947*G947+F947*H947</f>
        <v/>
      </c>
    </row>
    <row r="948">
      <c r="A948" s="7" t="n">
        <v>941</v>
      </c>
      <c r="B948" s="26">
        <f>(A948-1)/2000*$C$2</f>
        <v/>
      </c>
      <c r="C948" s="7">
        <f>INDEX(Bits!$E$25:$E$124,INT(B948)+1)</f>
        <v/>
      </c>
      <c r="D948" s="7">
        <f>MAX(1,MIN(INT(B948/$C$4)+1,$C$5))</f>
        <v/>
      </c>
      <c r="E948" s="26">
        <f>IF($C$5=0,0,INDEX(Symboles!$G$6:$G$101,D948))</f>
        <v/>
      </c>
      <c r="F948" s="26">
        <f>IF($C$5=0,0,INDEX(Symboles!$H$6:$H$101,D948))</f>
        <v/>
      </c>
      <c r="G948" s="26">
        <f>COS(2*PI()*$C$3*B948)</f>
        <v/>
      </c>
      <c r="H948" s="26">
        <f>SIN(2*PI()*$C$3*B948)</f>
        <v/>
      </c>
      <c r="I948" s="26">
        <f>E948*G948+F948*H948</f>
        <v/>
      </c>
    </row>
    <row r="949">
      <c r="A949" s="7" t="n">
        <v>942</v>
      </c>
      <c r="B949" s="26">
        <f>(A949-1)/2000*$C$2</f>
        <v/>
      </c>
      <c r="C949" s="7">
        <f>INDEX(Bits!$E$25:$E$124,INT(B949)+1)</f>
        <v/>
      </c>
      <c r="D949" s="7">
        <f>MAX(1,MIN(INT(B949/$C$4)+1,$C$5))</f>
        <v/>
      </c>
      <c r="E949" s="26">
        <f>IF($C$5=0,0,INDEX(Symboles!$G$6:$G$101,D949))</f>
        <v/>
      </c>
      <c r="F949" s="26">
        <f>IF($C$5=0,0,INDEX(Symboles!$H$6:$H$101,D949))</f>
        <v/>
      </c>
      <c r="G949" s="26">
        <f>COS(2*PI()*$C$3*B949)</f>
        <v/>
      </c>
      <c r="H949" s="26">
        <f>SIN(2*PI()*$C$3*B949)</f>
        <v/>
      </c>
      <c r="I949" s="26">
        <f>E949*G949+F949*H949</f>
        <v/>
      </c>
    </row>
    <row r="950">
      <c r="A950" s="7" t="n">
        <v>943</v>
      </c>
      <c r="B950" s="26">
        <f>(A950-1)/2000*$C$2</f>
        <v/>
      </c>
      <c r="C950" s="7">
        <f>INDEX(Bits!$E$25:$E$124,INT(B950)+1)</f>
        <v/>
      </c>
      <c r="D950" s="7">
        <f>MAX(1,MIN(INT(B950/$C$4)+1,$C$5))</f>
        <v/>
      </c>
      <c r="E950" s="26">
        <f>IF($C$5=0,0,INDEX(Symboles!$G$6:$G$101,D950))</f>
        <v/>
      </c>
      <c r="F950" s="26">
        <f>IF($C$5=0,0,INDEX(Symboles!$H$6:$H$101,D950))</f>
        <v/>
      </c>
      <c r="G950" s="26">
        <f>COS(2*PI()*$C$3*B950)</f>
        <v/>
      </c>
      <c r="H950" s="26">
        <f>SIN(2*PI()*$C$3*B950)</f>
        <v/>
      </c>
      <c r="I950" s="26">
        <f>E950*G950+F950*H950</f>
        <v/>
      </c>
    </row>
    <row r="951">
      <c r="A951" s="7" t="n">
        <v>944</v>
      </c>
      <c r="B951" s="26">
        <f>(A951-1)/2000*$C$2</f>
        <v/>
      </c>
      <c r="C951" s="7">
        <f>INDEX(Bits!$E$25:$E$124,INT(B951)+1)</f>
        <v/>
      </c>
      <c r="D951" s="7">
        <f>MAX(1,MIN(INT(B951/$C$4)+1,$C$5))</f>
        <v/>
      </c>
      <c r="E951" s="26">
        <f>IF($C$5=0,0,INDEX(Symboles!$G$6:$G$101,D951))</f>
        <v/>
      </c>
      <c r="F951" s="26">
        <f>IF($C$5=0,0,INDEX(Symboles!$H$6:$H$101,D951))</f>
        <v/>
      </c>
      <c r="G951" s="26">
        <f>COS(2*PI()*$C$3*B951)</f>
        <v/>
      </c>
      <c r="H951" s="26">
        <f>SIN(2*PI()*$C$3*B951)</f>
        <v/>
      </c>
      <c r="I951" s="26">
        <f>E951*G951+F951*H951</f>
        <v/>
      </c>
    </row>
    <row r="952">
      <c r="A952" s="7" t="n">
        <v>945</v>
      </c>
      <c r="B952" s="26">
        <f>(A952-1)/2000*$C$2</f>
        <v/>
      </c>
      <c r="C952" s="7">
        <f>INDEX(Bits!$E$25:$E$124,INT(B952)+1)</f>
        <v/>
      </c>
      <c r="D952" s="7">
        <f>MAX(1,MIN(INT(B952/$C$4)+1,$C$5))</f>
        <v/>
      </c>
      <c r="E952" s="26">
        <f>IF($C$5=0,0,INDEX(Symboles!$G$6:$G$101,D952))</f>
        <v/>
      </c>
      <c r="F952" s="26">
        <f>IF($C$5=0,0,INDEX(Symboles!$H$6:$H$101,D952))</f>
        <v/>
      </c>
      <c r="G952" s="26">
        <f>COS(2*PI()*$C$3*B952)</f>
        <v/>
      </c>
      <c r="H952" s="26">
        <f>SIN(2*PI()*$C$3*B952)</f>
        <v/>
      </c>
      <c r="I952" s="26">
        <f>E952*G952+F952*H952</f>
        <v/>
      </c>
    </row>
    <row r="953">
      <c r="A953" s="7" t="n">
        <v>946</v>
      </c>
      <c r="B953" s="26">
        <f>(A953-1)/2000*$C$2</f>
        <v/>
      </c>
      <c r="C953" s="7">
        <f>INDEX(Bits!$E$25:$E$124,INT(B953)+1)</f>
        <v/>
      </c>
      <c r="D953" s="7">
        <f>MAX(1,MIN(INT(B953/$C$4)+1,$C$5))</f>
        <v/>
      </c>
      <c r="E953" s="26">
        <f>IF($C$5=0,0,INDEX(Symboles!$G$6:$G$101,D953))</f>
        <v/>
      </c>
      <c r="F953" s="26">
        <f>IF($C$5=0,0,INDEX(Symboles!$H$6:$H$101,D953))</f>
        <v/>
      </c>
      <c r="G953" s="26">
        <f>COS(2*PI()*$C$3*B953)</f>
        <v/>
      </c>
      <c r="H953" s="26">
        <f>SIN(2*PI()*$C$3*B953)</f>
        <v/>
      </c>
      <c r="I953" s="26">
        <f>E953*G953+F953*H953</f>
        <v/>
      </c>
    </row>
    <row r="954">
      <c r="A954" s="7" t="n">
        <v>947</v>
      </c>
      <c r="B954" s="26">
        <f>(A954-1)/2000*$C$2</f>
        <v/>
      </c>
      <c r="C954" s="7">
        <f>INDEX(Bits!$E$25:$E$124,INT(B954)+1)</f>
        <v/>
      </c>
      <c r="D954" s="7">
        <f>MAX(1,MIN(INT(B954/$C$4)+1,$C$5))</f>
        <v/>
      </c>
      <c r="E954" s="26">
        <f>IF($C$5=0,0,INDEX(Symboles!$G$6:$G$101,D954))</f>
        <v/>
      </c>
      <c r="F954" s="26">
        <f>IF($C$5=0,0,INDEX(Symboles!$H$6:$H$101,D954))</f>
        <v/>
      </c>
      <c r="G954" s="26">
        <f>COS(2*PI()*$C$3*B954)</f>
        <v/>
      </c>
      <c r="H954" s="26">
        <f>SIN(2*PI()*$C$3*B954)</f>
        <v/>
      </c>
      <c r="I954" s="26">
        <f>E954*G954+F954*H954</f>
        <v/>
      </c>
    </row>
    <row r="955">
      <c r="A955" s="7" t="n">
        <v>948</v>
      </c>
      <c r="B955" s="26">
        <f>(A955-1)/2000*$C$2</f>
        <v/>
      </c>
      <c r="C955" s="7">
        <f>INDEX(Bits!$E$25:$E$124,INT(B955)+1)</f>
        <v/>
      </c>
      <c r="D955" s="7">
        <f>MAX(1,MIN(INT(B955/$C$4)+1,$C$5))</f>
        <v/>
      </c>
      <c r="E955" s="26">
        <f>IF($C$5=0,0,INDEX(Symboles!$G$6:$G$101,D955))</f>
        <v/>
      </c>
      <c r="F955" s="26">
        <f>IF($C$5=0,0,INDEX(Symboles!$H$6:$H$101,D955))</f>
        <v/>
      </c>
      <c r="G955" s="26">
        <f>COS(2*PI()*$C$3*B955)</f>
        <v/>
      </c>
      <c r="H955" s="26">
        <f>SIN(2*PI()*$C$3*B955)</f>
        <v/>
      </c>
      <c r="I955" s="26">
        <f>E955*G955+F955*H955</f>
        <v/>
      </c>
    </row>
    <row r="956">
      <c r="A956" s="7" t="n">
        <v>949</v>
      </c>
      <c r="B956" s="26">
        <f>(A956-1)/2000*$C$2</f>
        <v/>
      </c>
      <c r="C956" s="7">
        <f>INDEX(Bits!$E$25:$E$124,INT(B956)+1)</f>
        <v/>
      </c>
      <c r="D956" s="7">
        <f>MAX(1,MIN(INT(B956/$C$4)+1,$C$5))</f>
        <v/>
      </c>
      <c r="E956" s="26">
        <f>IF($C$5=0,0,INDEX(Symboles!$G$6:$G$101,D956))</f>
        <v/>
      </c>
      <c r="F956" s="26">
        <f>IF($C$5=0,0,INDEX(Symboles!$H$6:$H$101,D956))</f>
        <v/>
      </c>
      <c r="G956" s="26">
        <f>COS(2*PI()*$C$3*B956)</f>
        <v/>
      </c>
      <c r="H956" s="26">
        <f>SIN(2*PI()*$C$3*B956)</f>
        <v/>
      </c>
      <c r="I956" s="26">
        <f>E956*G956+F956*H956</f>
        <v/>
      </c>
    </row>
    <row r="957">
      <c r="A957" s="7" t="n">
        <v>950</v>
      </c>
      <c r="B957" s="26">
        <f>(A957-1)/2000*$C$2</f>
        <v/>
      </c>
      <c r="C957" s="7">
        <f>INDEX(Bits!$E$25:$E$124,INT(B957)+1)</f>
        <v/>
      </c>
      <c r="D957" s="7">
        <f>MAX(1,MIN(INT(B957/$C$4)+1,$C$5))</f>
        <v/>
      </c>
      <c r="E957" s="26">
        <f>IF($C$5=0,0,INDEX(Symboles!$G$6:$G$101,D957))</f>
        <v/>
      </c>
      <c r="F957" s="26">
        <f>IF($C$5=0,0,INDEX(Symboles!$H$6:$H$101,D957))</f>
        <v/>
      </c>
      <c r="G957" s="26">
        <f>COS(2*PI()*$C$3*B957)</f>
        <v/>
      </c>
      <c r="H957" s="26">
        <f>SIN(2*PI()*$C$3*B957)</f>
        <v/>
      </c>
      <c r="I957" s="26">
        <f>E957*G957+F957*H957</f>
        <v/>
      </c>
    </row>
    <row r="958">
      <c r="A958" s="7" t="n">
        <v>951</v>
      </c>
      <c r="B958" s="26">
        <f>(A958-1)/2000*$C$2</f>
        <v/>
      </c>
      <c r="C958" s="7">
        <f>INDEX(Bits!$E$25:$E$124,INT(B958)+1)</f>
        <v/>
      </c>
      <c r="D958" s="7">
        <f>MAX(1,MIN(INT(B958/$C$4)+1,$C$5))</f>
        <v/>
      </c>
      <c r="E958" s="26">
        <f>IF($C$5=0,0,INDEX(Symboles!$G$6:$G$101,D958))</f>
        <v/>
      </c>
      <c r="F958" s="26">
        <f>IF($C$5=0,0,INDEX(Symboles!$H$6:$H$101,D958))</f>
        <v/>
      </c>
      <c r="G958" s="26">
        <f>COS(2*PI()*$C$3*B958)</f>
        <v/>
      </c>
      <c r="H958" s="26">
        <f>SIN(2*PI()*$C$3*B958)</f>
        <v/>
      </c>
      <c r="I958" s="26">
        <f>E958*G958+F958*H958</f>
        <v/>
      </c>
    </row>
    <row r="959">
      <c r="A959" s="7" t="n">
        <v>952</v>
      </c>
      <c r="B959" s="26">
        <f>(A959-1)/2000*$C$2</f>
        <v/>
      </c>
      <c r="C959" s="7">
        <f>INDEX(Bits!$E$25:$E$124,INT(B959)+1)</f>
        <v/>
      </c>
      <c r="D959" s="7">
        <f>MAX(1,MIN(INT(B959/$C$4)+1,$C$5))</f>
        <v/>
      </c>
      <c r="E959" s="26">
        <f>IF($C$5=0,0,INDEX(Symboles!$G$6:$G$101,D959))</f>
        <v/>
      </c>
      <c r="F959" s="26">
        <f>IF($C$5=0,0,INDEX(Symboles!$H$6:$H$101,D959))</f>
        <v/>
      </c>
      <c r="G959" s="26">
        <f>COS(2*PI()*$C$3*B959)</f>
        <v/>
      </c>
      <c r="H959" s="26">
        <f>SIN(2*PI()*$C$3*B959)</f>
        <v/>
      </c>
      <c r="I959" s="26">
        <f>E959*G959+F959*H959</f>
        <v/>
      </c>
    </row>
    <row r="960">
      <c r="A960" s="7" t="n">
        <v>953</v>
      </c>
      <c r="B960" s="26">
        <f>(A960-1)/2000*$C$2</f>
        <v/>
      </c>
      <c r="C960" s="7">
        <f>INDEX(Bits!$E$25:$E$124,INT(B960)+1)</f>
        <v/>
      </c>
      <c r="D960" s="7">
        <f>MAX(1,MIN(INT(B960/$C$4)+1,$C$5))</f>
        <v/>
      </c>
      <c r="E960" s="26">
        <f>IF($C$5=0,0,INDEX(Symboles!$G$6:$G$101,D960))</f>
        <v/>
      </c>
      <c r="F960" s="26">
        <f>IF($C$5=0,0,INDEX(Symboles!$H$6:$H$101,D960))</f>
        <v/>
      </c>
      <c r="G960" s="26">
        <f>COS(2*PI()*$C$3*B960)</f>
        <v/>
      </c>
      <c r="H960" s="26">
        <f>SIN(2*PI()*$C$3*B960)</f>
        <v/>
      </c>
      <c r="I960" s="26">
        <f>E960*G960+F960*H960</f>
        <v/>
      </c>
    </row>
    <row r="961">
      <c r="A961" s="7" t="n">
        <v>954</v>
      </c>
      <c r="B961" s="26">
        <f>(A961-1)/2000*$C$2</f>
        <v/>
      </c>
      <c r="C961" s="7">
        <f>INDEX(Bits!$E$25:$E$124,INT(B961)+1)</f>
        <v/>
      </c>
      <c r="D961" s="7">
        <f>MAX(1,MIN(INT(B961/$C$4)+1,$C$5))</f>
        <v/>
      </c>
      <c r="E961" s="26">
        <f>IF($C$5=0,0,INDEX(Symboles!$G$6:$G$101,D961))</f>
        <v/>
      </c>
      <c r="F961" s="26">
        <f>IF($C$5=0,0,INDEX(Symboles!$H$6:$H$101,D961))</f>
        <v/>
      </c>
      <c r="G961" s="26">
        <f>COS(2*PI()*$C$3*B961)</f>
        <v/>
      </c>
      <c r="H961" s="26">
        <f>SIN(2*PI()*$C$3*B961)</f>
        <v/>
      </c>
      <c r="I961" s="26">
        <f>E961*G961+F961*H961</f>
        <v/>
      </c>
    </row>
    <row r="962">
      <c r="A962" s="7" t="n">
        <v>955</v>
      </c>
      <c r="B962" s="26">
        <f>(A962-1)/2000*$C$2</f>
        <v/>
      </c>
      <c r="C962" s="7">
        <f>INDEX(Bits!$E$25:$E$124,INT(B962)+1)</f>
        <v/>
      </c>
      <c r="D962" s="7">
        <f>MAX(1,MIN(INT(B962/$C$4)+1,$C$5))</f>
        <v/>
      </c>
      <c r="E962" s="26">
        <f>IF($C$5=0,0,INDEX(Symboles!$G$6:$G$101,D962))</f>
        <v/>
      </c>
      <c r="F962" s="26">
        <f>IF($C$5=0,0,INDEX(Symboles!$H$6:$H$101,D962))</f>
        <v/>
      </c>
      <c r="G962" s="26">
        <f>COS(2*PI()*$C$3*B962)</f>
        <v/>
      </c>
      <c r="H962" s="26">
        <f>SIN(2*PI()*$C$3*B962)</f>
        <v/>
      </c>
      <c r="I962" s="26">
        <f>E962*G962+F962*H962</f>
        <v/>
      </c>
    </row>
    <row r="963">
      <c r="A963" s="7" t="n">
        <v>956</v>
      </c>
      <c r="B963" s="26">
        <f>(A963-1)/2000*$C$2</f>
        <v/>
      </c>
      <c r="C963" s="7">
        <f>INDEX(Bits!$E$25:$E$124,INT(B963)+1)</f>
        <v/>
      </c>
      <c r="D963" s="7">
        <f>MAX(1,MIN(INT(B963/$C$4)+1,$C$5))</f>
        <v/>
      </c>
      <c r="E963" s="26">
        <f>IF($C$5=0,0,INDEX(Symboles!$G$6:$G$101,D963))</f>
        <v/>
      </c>
      <c r="F963" s="26">
        <f>IF($C$5=0,0,INDEX(Symboles!$H$6:$H$101,D963))</f>
        <v/>
      </c>
      <c r="G963" s="26">
        <f>COS(2*PI()*$C$3*B963)</f>
        <v/>
      </c>
      <c r="H963" s="26">
        <f>SIN(2*PI()*$C$3*B963)</f>
        <v/>
      </c>
      <c r="I963" s="26">
        <f>E963*G963+F963*H963</f>
        <v/>
      </c>
    </row>
    <row r="964">
      <c r="A964" s="7" t="n">
        <v>957</v>
      </c>
      <c r="B964" s="26">
        <f>(A964-1)/2000*$C$2</f>
        <v/>
      </c>
      <c r="C964" s="7">
        <f>INDEX(Bits!$E$25:$E$124,INT(B964)+1)</f>
        <v/>
      </c>
      <c r="D964" s="7">
        <f>MAX(1,MIN(INT(B964/$C$4)+1,$C$5))</f>
        <v/>
      </c>
      <c r="E964" s="26">
        <f>IF($C$5=0,0,INDEX(Symboles!$G$6:$G$101,D964))</f>
        <v/>
      </c>
      <c r="F964" s="26">
        <f>IF($C$5=0,0,INDEX(Symboles!$H$6:$H$101,D964))</f>
        <v/>
      </c>
      <c r="G964" s="26">
        <f>COS(2*PI()*$C$3*B964)</f>
        <v/>
      </c>
      <c r="H964" s="26">
        <f>SIN(2*PI()*$C$3*B964)</f>
        <v/>
      </c>
      <c r="I964" s="26">
        <f>E964*G964+F964*H964</f>
        <v/>
      </c>
    </row>
    <row r="965">
      <c r="A965" s="7" t="n">
        <v>958</v>
      </c>
      <c r="B965" s="26">
        <f>(A965-1)/2000*$C$2</f>
        <v/>
      </c>
      <c r="C965" s="7">
        <f>INDEX(Bits!$E$25:$E$124,INT(B965)+1)</f>
        <v/>
      </c>
      <c r="D965" s="7">
        <f>MAX(1,MIN(INT(B965/$C$4)+1,$C$5))</f>
        <v/>
      </c>
      <c r="E965" s="26">
        <f>IF($C$5=0,0,INDEX(Symboles!$G$6:$G$101,D965))</f>
        <v/>
      </c>
      <c r="F965" s="26">
        <f>IF($C$5=0,0,INDEX(Symboles!$H$6:$H$101,D965))</f>
        <v/>
      </c>
      <c r="G965" s="26">
        <f>COS(2*PI()*$C$3*B965)</f>
        <v/>
      </c>
      <c r="H965" s="26">
        <f>SIN(2*PI()*$C$3*B965)</f>
        <v/>
      </c>
      <c r="I965" s="26">
        <f>E965*G965+F965*H965</f>
        <v/>
      </c>
    </row>
    <row r="966">
      <c r="A966" s="7" t="n">
        <v>959</v>
      </c>
      <c r="B966" s="26">
        <f>(A966-1)/2000*$C$2</f>
        <v/>
      </c>
      <c r="C966" s="7">
        <f>INDEX(Bits!$E$25:$E$124,INT(B966)+1)</f>
        <v/>
      </c>
      <c r="D966" s="7">
        <f>MAX(1,MIN(INT(B966/$C$4)+1,$C$5))</f>
        <v/>
      </c>
      <c r="E966" s="26">
        <f>IF($C$5=0,0,INDEX(Symboles!$G$6:$G$101,D966))</f>
        <v/>
      </c>
      <c r="F966" s="26">
        <f>IF($C$5=0,0,INDEX(Symboles!$H$6:$H$101,D966))</f>
        <v/>
      </c>
      <c r="G966" s="26">
        <f>COS(2*PI()*$C$3*B966)</f>
        <v/>
      </c>
      <c r="H966" s="26">
        <f>SIN(2*PI()*$C$3*B966)</f>
        <v/>
      </c>
      <c r="I966" s="26">
        <f>E966*G966+F966*H966</f>
        <v/>
      </c>
    </row>
    <row r="967">
      <c r="A967" s="7" t="n">
        <v>960</v>
      </c>
      <c r="B967" s="26">
        <f>(A967-1)/2000*$C$2</f>
        <v/>
      </c>
      <c r="C967" s="7">
        <f>INDEX(Bits!$E$25:$E$124,INT(B967)+1)</f>
        <v/>
      </c>
      <c r="D967" s="7">
        <f>MAX(1,MIN(INT(B967/$C$4)+1,$C$5))</f>
        <v/>
      </c>
      <c r="E967" s="26">
        <f>IF($C$5=0,0,INDEX(Symboles!$G$6:$G$101,D967))</f>
        <v/>
      </c>
      <c r="F967" s="26">
        <f>IF($C$5=0,0,INDEX(Symboles!$H$6:$H$101,D967))</f>
        <v/>
      </c>
      <c r="G967" s="26">
        <f>COS(2*PI()*$C$3*B967)</f>
        <v/>
      </c>
      <c r="H967" s="26">
        <f>SIN(2*PI()*$C$3*B967)</f>
        <v/>
      </c>
      <c r="I967" s="26">
        <f>E967*G967+F967*H967</f>
        <v/>
      </c>
    </row>
    <row r="968">
      <c r="A968" s="7" t="n">
        <v>961</v>
      </c>
      <c r="B968" s="26">
        <f>(A968-1)/2000*$C$2</f>
        <v/>
      </c>
      <c r="C968" s="7">
        <f>INDEX(Bits!$E$25:$E$124,INT(B968)+1)</f>
        <v/>
      </c>
      <c r="D968" s="7">
        <f>MAX(1,MIN(INT(B968/$C$4)+1,$C$5))</f>
        <v/>
      </c>
      <c r="E968" s="26">
        <f>IF($C$5=0,0,INDEX(Symboles!$G$6:$G$101,D968))</f>
        <v/>
      </c>
      <c r="F968" s="26">
        <f>IF($C$5=0,0,INDEX(Symboles!$H$6:$H$101,D968))</f>
        <v/>
      </c>
      <c r="G968" s="26">
        <f>COS(2*PI()*$C$3*B968)</f>
        <v/>
      </c>
      <c r="H968" s="26">
        <f>SIN(2*PI()*$C$3*B968)</f>
        <v/>
      </c>
      <c r="I968" s="26">
        <f>E968*G968+F968*H968</f>
        <v/>
      </c>
    </row>
    <row r="969">
      <c r="A969" s="7" t="n">
        <v>962</v>
      </c>
      <c r="B969" s="26">
        <f>(A969-1)/2000*$C$2</f>
        <v/>
      </c>
      <c r="C969" s="7">
        <f>INDEX(Bits!$E$25:$E$124,INT(B969)+1)</f>
        <v/>
      </c>
      <c r="D969" s="7">
        <f>MAX(1,MIN(INT(B969/$C$4)+1,$C$5))</f>
        <v/>
      </c>
      <c r="E969" s="26">
        <f>IF($C$5=0,0,INDEX(Symboles!$G$6:$G$101,D969))</f>
        <v/>
      </c>
      <c r="F969" s="26">
        <f>IF($C$5=0,0,INDEX(Symboles!$H$6:$H$101,D969))</f>
        <v/>
      </c>
      <c r="G969" s="26">
        <f>COS(2*PI()*$C$3*B969)</f>
        <v/>
      </c>
      <c r="H969" s="26">
        <f>SIN(2*PI()*$C$3*B969)</f>
        <v/>
      </c>
      <c r="I969" s="26">
        <f>E969*G969+F969*H969</f>
        <v/>
      </c>
    </row>
    <row r="970">
      <c r="A970" s="7" t="n">
        <v>963</v>
      </c>
      <c r="B970" s="26">
        <f>(A970-1)/2000*$C$2</f>
        <v/>
      </c>
      <c r="C970" s="7">
        <f>INDEX(Bits!$E$25:$E$124,INT(B970)+1)</f>
        <v/>
      </c>
      <c r="D970" s="7">
        <f>MAX(1,MIN(INT(B970/$C$4)+1,$C$5))</f>
        <v/>
      </c>
      <c r="E970" s="26">
        <f>IF($C$5=0,0,INDEX(Symboles!$G$6:$G$101,D970))</f>
        <v/>
      </c>
      <c r="F970" s="26">
        <f>IF($C$5=0,0,INDEX(Symboles!$H$6:$H$101,D970))</f>
        <v/>
      </c>
      <c r="G970" s="26">
        <f>COS(2*PI()*$C$3*B970)</f>
        <v/>
      </c>
      <c r="H970" s="26">
        <f>SIN(2*PI()*$C$3*B970)</f>
        <v/>
      </c>
      <c r="I970" s="26">
        <f>E970*G970+F970*H970</f>
        <v/>
      </c>
    </row>
    <row r="971">
      <c r="A971" s="7" t="n">
        <v>964</v>
      </c>
      <c r="B971" s="26">
        <f>(A971-1)/2000*$C$2</f>
        <v/>
      </c>
      <c r="C971" s="7">
        <f>INDEX(Bits!$E$25:$E$124,INT(B971)+1)</f>
        <v/>
      </c>
      <c r="D971" s="7">
        <f>MAX(1,MIN(INT(B971/$C$4)+1,$C$5))</f>
        <v/>
      </c>
      <c r="E971" s="26">
        <f>IF($C$5=0,0,INDEX(Symboles!$G$6:$G$101,D971))</f>
        <v/>
      </c>
      <c r="F971" s="26">
        <f>IF($C$5=0,0,INDEX(Symboles!$H$6:$H$101,D971))</f>
        <v/>
      </c>
      <c r="G971" s="26">
        <f>COS(2*PI()*$C$3*B971)</f>
        <v/>
      </c>
      <c r="H971" s="26">
        <f>SIN(2*PI()*$C$3*B971)</f>
        <v/>
      </c>
      <c r="I971" s="26">
        <f>E971*G971+F971*H971</f>
        <v/>
      </c>
    </row>
    <row r="972">
      <c r="A972" s="7" t="n">
        <v>965</v>
      </c>
      <c r="B972" s="26">
        <f>(A972-1)/2000*$C$2</f>
        <v/>
      </c>
      <c r="C972" s="7">
        <f>INDEX(Bits!$E$25:$E$124,INT(B972)+1)</f>
        <v/>
      </c>
      <c r="D972" s="7">
        <f>MAX(1,MIN(INT(B972/$C$4)+1,$C$5))</f>
        <v/>
      </c>
      <c r="E972" s="26">
        <f>IF($C$5=0,0,INDEX(Symboles!$G$6:$G$101,D972))</f>
        <v/>
      </c>
      <c r="F972" s="26">
        <f>IF($C$5=0,0,INDEX(Symboles!$H$6:$H$101,D972))</f>
        <v/>
      </c>
      <c r="G972" s="26">
        <f>COS(2*PI()*$C$3*B972)</f>
        <v/>
      </c>
      <c r="H972" s="26">
        <f>SIN(2*PI()*$C$3*B972)</f>
        <v/>
      </c>
      <c r="I972" s="26">
        <f>E972*G972+F972*H972</f>
        <v/>
      </c>
    </row>
    <row r="973">
      <c r="A973" s="7" t="n">
        <v>966</v>
      </c>
      <c r="B973" s="26">
        <f>(A973-1)/2000*$C$2</f>
        <v/>
      </c>
      <c r="C973" s="7">
        <f>INDEX(Bits!$E$25:$E$124,INT(B973)+1)</f>
        <v/>
      </c>
      <c r="D973" s="7">
        <f>MAX(1,MIN(INT(B973/$C$4)+1,$C$5))</f>
        <v/>
      </c>
      <c r="E973" s="26">
        <f>IF($C$5=0,0,INDEX(Symboles!$G$6:$G$101,D973))</f>
        <v/>
      </c>
      <c r="F973" s="26">
        <f>IF($C$5=0,0,INDEX(Symboles!$H$6:$H$101,D973))</f>
        <v/>
      </c>
      <c r="G973" s="26">
        <f>COS(2*PI()*$C$3*B973)</f>
        <v/>
      </c>
      <c r="H973" s="26">
        <f>SIN(2*PI()*$C$3*B973)</f>
        <v/>
      </c>
      <c r="I973" s="26">
        <f>E973*G973+F973*H973</f>
        <v/>
      </c>
    </row>
    <row r="974">
      <c r="A974" s="7" t="n">
        <v>967</v>
      </c>
      <c r="B974" s="26">
        <f>(A974-1)/2000*$C$2</f>
        <v/>
      </c>
      <c r="C974" s="7">
        <f>INDEX(Bits!$E$25:$E$124,INT(B974)+1)</f>
        <v/>
      </c>
      <c r="D974" s="7">
        <f>MAX(1,MIN(INT(B974/$C$4)+1,$C$5))</f>
        <v/>
      </c>
      <c r="E974" s="26">
        <f>IF($C$5=0,0,INDEX(Symboles!$G$6:$G$101,D974))</f>
        <v/>
      </c>
      <c r="F974" s="26">
        <f>IF($C$5=0,0,INDEX(Symboles!$H$6:$H$101,D974))</f>
        <v/>
      </c>
      <c r="G974" s="26">
        <f>COS(2*PI()*$C$3*B974)</f>
        <v/>
      </c>
      <c r="H974" s="26">
        <f>SIN(2*PI()*$C$3*B974)</f>
        <v/>
      </c>
      <c r="I974" s="26">
        <f>E974*G974+F974*H974</f>
        <v/>
      </c>
    </row>
    <row r="975">
      <c r="A975" s="7" t="n">
        <v>968</v>
      </c>
      <c r="B975" s="26">
        <f>(A975-1)/2000*$C$2</f>
        <v/>
      </c>
      <c r="C975" s="7">
        <f>INDEX(Bits!$E$25:$E$124,INT(B975)+1)</f>
        <v/>
      </c>
      <c r="D975" s="7">
        <f>MAX(1,MIN(INT(B975/$C$4)+1,$C$5))</f>
        <v/>
      </c>
      <c r="E975" s="26">
        <f>IF($C$5=0,0,INDEX(Symboles!$G$6:$G$101,D975))</f>
        <v/>
      </c>
      <c r="F975" s="26">
        <f>IF($C$5=0,0,INDEX(Symboles!$H$6:$H$101,D975))</f>
        <v/>
      </c>
      <c r="G975" s="26">
        <f>COS(2*PI()*$C$3*B975)</f>
        <v/>
      </c>
      <c r="H975" s="26">
        <f>SIN(2*PI()*$C$3*B975)</f>
        <v/>
      </c>
      <c r="I975" s="26">
        <f>E975*G975+F975*H975</f>
        <v/>
      </c>
    </row>
    <row r="976">
      <c r="A976" s="7" t="n">
        <v>969</v>
      </c>
      <c r="B976" s="26">
        <f>(A976-1)/2000*$C$2</f>
        <v/>
      </c>
      <c r="C976" s="7">
        <f>INDEX(Bits!$E$25:$E$124,INT(B976)+1)</f>
        <v/>
      </c>
      <c r="D976" s="7">
        <f>MAX(1,MIN(INT(B976/$C$4)+1,$C$5))</f>
        <v/>
      </c>
      <c r="E976" s="26">
        <f>IF($C$5=0,0,INDEX(Symboles!$G$6:$G$101,D976))</f>
        <v/>
      </c>
      <c r="F976" s="26">
        <f>IF($C$5=0,0,INDEX(Symboles!$H$6:$H$101,D976))</f>
        <v/>
      </c>
      <c r="G976" s="26">
        <f>COS(2*PI()*$C$3*B976)</f>
        <v/>
      </c>
      <c r="H976" s="26">
        <f>SIN(2*PI()*$C$3*B976)</f>
        <v/>
      </c>
      <c r="I976" s="26">
        <f>E976*G976+F976*H976</f>
        <v/>
      </c>
    </row>
    <row r="977">
      <c r="A977" s="7" t="n">
        <v>970</v>
      </c>
      <c r="B977" s="26">
        <f>(A977-1)/2000*$C$2</f>
        <v/>
      </c>
      <c r="C977" s="7">
        <f>INDEX(Bits!$E$25:$E$124,INT(B977)+1)</f>
        <v/>
      </c>
      <c r="D977" s="7">
        <f>MAX(1,MIN(INT(B977/$C$4)+1,$C$5))</f>
        <v/>
      </c>
      <c r="E977" s="26">
        <f>IF($C$5=0,0,INDEX(Symboles!$G$6:$G$101,D977))</f>
        <v/>
      </c>
      <c r="F977" s="26">
        <f>IF($C$5=0,0,INDEX(Symboles!$H$6:$H$101,D977))</f>
        <v/>
      </c>
      <c r="G977" s="26">
        <f>COS(2*PI()*$C$3*B977)</f>
        <v/>
      </c>
      <c r="H977" s="26">
        <f>SIN(2*PI()*$C$3*B977)</f>
        <v/>
      </c>
      <c r="I977" s="26">
        <f>E977*G977+F977*H977</f>
        <v/>
      </c>
    </row>
    <row r="978">
      <c r="A978" s="7" t="n">
        <v>971</v>
      </c>
      <c r="B978" s="26">
        <f>(A978-1)/2000*$C$2</f>
        <v/>
      </c>
      <c r="C978" s="7">
        <f>INDEX(Bits!$E$25:$E$124,INT(B978)+1)</f>
        <v/>
      </c>
      <c r="D978" s="7">
        <f>MAX(1,MIN(INT(B978/$C$4)+1,$C$5))</f>
        <v/>
      </c>
      <c r="E978" s="26">
        <f>IF($C$5=0,0,INDEX(Symboles!$G$6:$G$101,D978))</f>
        <v/>
      </c>
      <c r="F978" s="26">
        <f>IF($C$5=0,0,INDEX(Symboles!$H$6:$H$101,D978))</f>
        <v/>
      </c>
      <c r="G978" s="26">
        <f>COS(2*PI()*$C$3*B978)</f>
        <v/>
      </c>
      <c r="H978" s="26">
        <f>SIN(2*PI()*$C$3*B978)</f>
        <v/>
      </c>
      <c r="I978" s="26">
        <f>E978*G978+F978*H978</f>
        <v/>
      </c>
    </row>
    <row r="979">
      <c r="A979" s="7" t="n">
        <v>972</v>
      </c>
      <c r="B979" s="26">
        <f>(A979-1)/2000*$C$2</f>
        <v/>
      </c>
      <c r="C979" s="7">
        <f>INDEX(Bits!$E$25:$E$124,INT(B979)+1)</f>
        <v/>
      </c>
      <c r="D979" s="7">
        <f>MAX(1,MIN(INT(B979/$C$4)+1,$C$5))</f>
        <v/>
      </c>
      <c r="E979" s="26">
        <f>IF($C$5=0,0,INDEX(Symboles!$G$6:$G$101,D979))</f>
        <v/>
      </c>
      <c r="F979" s="26">
        <f>IF($C$5=0,0,INDEX(Symboles!$H$6:$H$101,D979))</f>
        <v/>
      </c>
      <c r="G979" s="26">
        <f>COS(2*PI()*$C$3*B979)</f>
        <v/>
      </c>
      <c r="H979" s="26">
        <f>SIN(2*PI()*$C$3*B979)</f>
        <v/>
      </c>
      <c r="I979" s="26">
        <f>E979*G979+F979*H979</f>
        <v/>
      </c>
    </row>
    <row r="980">
      <c r="A980" s="7" t="n">
        <v>973</v>
      </c>
      <c r="B980" s="26">
        <f>(A980-1)/2000*$C$2</f>
        <v/>
      </c>
      <c r="C980" s="7">
        <f>INDEX(Bits!$E$25:$E$124,INT(B980)+1)</f>
        <v/>
      </c>
      <c r="D980" s="7">
        <f>MAX(1,MIN(INT(B980/$C$4)+1,$C$5))</f>
        <v/>
      </c>
      <c r="E980" s="26">
        <f>IF($C$5=0,0,INDEX(Symboles!$G$6:$G$101,D980))</f>
        <v/>
      </c>
      <c r="F980" s="26">
        <f>IF($C$5=0,0,INDEX(Symboles!$H$6:$H$101,D980))</f>
        <v/>
      </c>
      <c r="G980" s="26">
        <f>COS(2*PI()*$C$3*B980)</f>
        <v/>
      </c>
      <c r="H980" s="26">
        <f>SIN(2*PI()*$C$3*B980)</f>
        <v/>
      </c>
      <c r="I980" s="26">
        <f>E980*G980+F980*H980</f>
        <v/>
      </c>
    </row>
    <row r="981">
      <c r="A981" s="7" t="n">
        <v>974</v>
      </c>
      <c r="B981" s="26">
        <f>(A981-1)/2000*$C$2</f>
        <v/>
      </c>
      <c r="C981" s="7">
        <f>INDEX(Bits!$E$25:$E$124,INT(B981)+1)</f>
        <v/>
      </c>
      <c r="D981" s="7">
        <f>MAX(1,MIN(INT(B981/$C$4)+1,$C$5))</f>
        <v/>
      </c>
      <c r="E981" s="26">
        <f>IF($C$5=0,0,INDEX(Symboles!$G$6:$G$101,D981))</f>
        <v/>
      </c>
      <c r="F981" s="26">
        <f>IF($C$5=0,0,INDEX(Symboles!$H$6:$H$101,D981))</f>
        <v/>
      </c>
      <c r="G981" s="26">
        <f>COS(2*PI()*$C$3*B981)</f>
        <v/>
      </c>
      <c r="H981" s="26">
        <f>SIN(2*PI()*$C$3*B981)</f>
        <v/>
      </c>
      <c r="I981" s="26">
        <f>E981*G981+F981*H981</f>
        <v/>
      </c>
    </row>
    <row r="982">
      <c r="A982" s="7" t="n">
        <v>975</v>
      </c>
      <c r="B982" s="26">
        <f>(A982-1)/2000*$C$2</f>
        <v/>
      </c>
      <c r="C982" s="7">
        <f>INDEX(Bits!$E$25:$E$124,INT(B982)+1)</f>
        <v/>
      </c>
      <c r="D982" s="7">
        <f>MAX(1,MIN(INT(B982/$C$4)+1,$C$5))</f>
        <v/>
      </c>
      <c r="E982" s="26">
        <f>IF($C$5=0,0,INDEX(Symboles!$G$6:$G$101,D982))</f>
        <v/>
      </c>
      <c r="F982" s="26">
        <f>IF($C$5=0,0,INDEX(Symboles!$H$6:$H$101,D982))</f>
        <v/>
      </c>
      <c r="G982" s="26">
        <f>COS(2*PI()*$C$3*B982)</f>
        <v/>
      </c>
      <c r="H982" s="26">
        <f>SIN(2*PI()*$C$3*B982)</f>
        <v/>
      </c>
      <c r="I982" s="26">
        <f>E982*G982+F982*H982</f>
        <v/>
      </c>
    </row>
    <row r="983">
      <c r="A983" s="7" t="n">
        <v>976</v>
      </c>
      <c r="B983" s="26">
        <f>(A983-1)/2000*$C$2</f>
        <v/>
      </c>
      <c r="C983" s="7">
        <f>INDEX(Bits!$E$25:$E$124,INT(B983)+1)</f>
        <v/>
      </c>
      <c r="D983" s="7">
        <f>MAX(1,MIN(INT(B983/$C$4)+1,$C$5))</f>
        <v/>
      </c>
      <c r="E983" s="26">
        <f>IF($C$5=0,0,INDEX(Symboles!$G$6:$G$101,D983))</f>
        <v/>
      </c>
      <c r="F983" s="26">
        <f>IF($C$5=0,0,INDEX(Symboles!$H$6:$H$101,D983))</f>
        <v/>
      </c>
      <c r="G983" s="26">
        <f>COS(2*PI()*$C$3*B983)</f>
        <v/>
      </c>
      <c r="H983" s="26">
        <f>SIN(2*PI()*$C$3*B983)</f>
        <v/>
      </c>
      <c r="I983" s="26">
        <f>E983*G983+F983*H983</f>
        <v/>
      </c>
    </row>
    <row r="984">
      <c r="A984" s="7" t="n">
        <v>977</v>
      </c>
      <c r="B984" s="26">
        <f>(A984-1)/2000*$C$2</f>
        <v/>
      </c>
      <c r="C984" s="7">
        <f>INDEX(Bits!$E$25:$E$124,INT(B984)+1)</f>
        <v/>
      </c>
      <c r="D984" s="7">
        <f>MAX(1,MIN(INT(B984/$C$4)+1,$C$5))</f>
        <v/>
      </c>
      <c r="E984" s="26">
        <f>IF($C$5=0,0,INDEX(Symboles!$G$6:$G$101,D984))</f>
        <v/>
      </c>
      <c r="F984" s="26">
        <f>IF($C$5=0,0,INDEX(Symboles!$H$6:$H$101,D984))</f>
        <v/>
      </c>
      <c r="G984" s="26">
        <f>COS(2*PI()*$C$3*B984)</f>
        <v/>
      </c>
      <c r="H984" s="26">
        <f>SIN(2*PI()*$C$3*B984)</f>
        <v/>
      </c>
      <c r="I984" s="26">
        <f>E984*G984+F984*H984</f>
        <v/>
      </c>
    </row>
    <row r="985">
      <c r="A985" s="7" t="n">
        <v>978</v>
      </c>
      <c r="B985" s="26">
        <f>(A985-1)/2000*$C$2</f>
        <v/>
      </c>
      <c r="C985" s="7">
        <f>INDEX(Bits!$E$25:$E$124,INT(B985)+1)</f>
        <v/>
      </c>
      <c r="D985" s="7">
        <f>MAX(1,MIN(INT(B985/$C$4)+1,$C$5))</f>
        <v/>
      </c>
      <c r="E985" s="26">
        <f>IF($C$5=0,0,INDEX(Symboles!$G$6:$G$101,D985))</f>
        <v/>
      </c>
      <c r="F985" s="26">
        <f>IF($C$5=0,0,INDEX(Symboles!$H$6:$H$101,D985))</f>
        <v/>
      </c>
      <c r="G985" s="26">
        <f>COS(2*PI()*$C$3*B985)</f>
        <v/>
      </c>
      <c r="H985" s="26">
        <f>SIN(2*PI()*$C$3*B985)</f>
        <v/>
      </c>
      <c r="I985" s="26">
        <f>E985*G985+F985*H985</f>
        <v/>
      </c>
    </row>
    <row r="986">
      <c r="A986" s="7" t="n">
        <v>979</v>
      </c>
      <c r="B986" s="26">
        <f>(A986-1)/2000*$C$2</f>
        <v/>
      </c>
      <c r="C986" s="7">
        <f>INDEX(Bits!$E$25:$E$124,INT(B986)+1)</f>
        <v/>
      </c>
      <c r="D986" s="7">
        <f>MAX(1,MIN(INT(B986/$C$4)+1,$C$5))</f>
        <v/>
      </c>
      <c r="E986" s="26">
        <f>IF($C$5=0,0,INDEX(Symboles!$G$6:$G$101,D986))</f>
        <v/>
      </c>
      <c r="F986" s="26">
        <f>IF($C$5=0,0,INDEX(Symboles!$H$6:$H$101,D986))</f>
        <v/>
      </c>
      <c r="G986" s="26">
        <f>COS(2*PI()*$C$3*B986)</f>
        <v/>
      </c>
      <c r="H986" s="26">
        <f>SIN(2*PI()*$C$3*B986)</f>
        <v/>
      </c>
      <c r="I986" s="26">
        <f>E986*G986+F986*H986</f>
        <v/>
      </c>
    </row>
    <row r="987">
      <c r="A987" s="7" t="n">
        <v>980</v>
      </c>
      <c r="B987" s="26">
        <f>(A987-1)/2000*$C$2</f>
        <v/>
      </c>
      <c r="C987" s="7">
        <f>INDEX(Bits!$E$25:$E$124,INT(B987)+1)</f>
        <v/>
      </c>
      <c r="D987" s="7">
        <f>MAX(1,MIN(INT(B987/$C$4)+1,$C$5))</f>
        <v/>
      </c>
      <c r="E987" s="26">
        <f>IF($C$5=0,0,INDEX(Symboles!$G$6:$G$101,D987))</f>
        <v/>
      </c>
      <c r="F987" s="26">
        <f>IF($C$5=0,0,INDEX(Symboles!$H$6:$H$101,D987))</f>
        <v/>
      </c>
      <c r="G987" s="26">
        <f>COS(2*PI()*$C$3*B987)</f>
        <v/>
      </c>
      <c r="H987" s="26">
        <f>SIN(2*PI()*$C$3*B987)</f>
        <v/>
      </c>
      <c r="I987" s="26">
        <f>E987*G987+F987*H987</f>
        <v/>
      </c>
    </row>
    <row r="988">
      <c r="A988" s="7" t="n">
        <v>981</v>
      </c>
      <c r="B988" s="26">
        <f>(A988-1)/2000*$C$2</f>
        <v/>
      </c>
      <c r="C988" s="7">
        <f>INDEX(Bits!$E$25:$E$124,INT(B988)+1)</f>
        <v/>
      </c>
      <c r="D988" s="7">
        <f>MAX(1,MIN(INT(B988/$C$4)+1,$C$5))</f>
        <v/>
      </c>
      <c r="E988" s="26">
        <f>IF($C$5=0,0,INDEX(Symboles!$G$6:$G$101,D988))</f>
        <v/>
      </c>
      <c r="F988" s="26">
        <f>IF($C$5=0,0,INDEX(Symboles!$H$6:$H$101,D988))</f>
        <v/>
      </c>
      <c r="G988" s="26">
        <f>COS(2*PI()*$C$3*B988)</f>
        <v/>
      </c>
      <c r="H988" s="26">
        <f>SIN(2*PI()*$C$3*B988)</f>
        <v/>
      </c>
      <c r="I988" s="26">
        <f>E988*G988+F988*H988</f>
        <v/>
      </c>
    </row>
    <row r="989">
      <c r="A989" s="7" t="n">
        <v>982</v>
      </c>
      <c r="B989" s="26">
        <f>(A989-1)/2000*$C$2</f>
        <v/>
      </c>
      <c r="C989" s="7">
        <f>INDEX(Bits!$E$25:$E$124,INT(B989)+1)</f>
        <v/>
      </c>
      <c r="D989" s="7">
        <f>MAX(1,MIN(INT(B989/$C$4)+1,$C$5))</f>
        <v/>
      </c>
      <c r="E989" s="26">
        <f>IF($C$5=0,0,INDEX(Symboles!$G$6:$G$101,D989))</f>
        <v/>
      </c>
      <c r="F989" s="26">
        <f>IF($C$5=0,0,INDEX(Symboles!$H$6:$H$101,D989))</f>
        <v/>
      </c>
      <c r="G989" s="26">
        <f>COS(2*PI()*$C$3*B989)</f>
        <v/>
      </c>
      <c r="H989" s="26">
        <f>SIN(2*PI()*$C$3*B989)</f>
        <v/>
      </c>
      <c r="I989" s="26">
        <f>E989*G989+F989*H989</f>
        <v/>
      </c>
    </row>
    <row r="990">
      <c r="A990" s="7" t="n">
        <v>983</v>
      </c>
      <c r="B990" s="26">
        <f>(A990-1)/2000*$C$2</f>
        <v/>
      </c>
      <c r="C990" s="7">
        <f>INDEX(Bits!$E$25:$E$124,INT(B990)+1)</f>
        <v/>
      </c>
      <c r="D990" s="7">
        <f>MAX(1,MIN(INT(B990/$C$4)+1,$C$5))</f>
        <v/>
      </c>
      <c r="E990" s="26">
        <f>IF($C$5=0,0,INDEX(Symboles!$G$6:$G$101,D990))</f>
        <v/>
      </c>
      <c r="F990" s="26">
        <f>IF($C$5=0,0,INDEX(Symboles!$H$6:$H$101,D990))</f>
        <v/>
      </c>
      <c r="G990" s="26">
        <f>COS(2*PI()*$C$3*B990)</f>
        <v/>
      </c>
      <c r="H990" s="26">
        <f>SIN(2*PI()*$C$3*B990)</f>
        <v/>
      </c>
      <c r="I990" s="26">
        <f>E990*G990+F990*H990</f>
        <v/>
      </c>
    </row>
    <row r="991">
      <c r="A991" s="7" t="n">
        <v>984</v>
      </c>
      <c r="B991" s="26">
        <f>(A991-1)/2000*$C$2</f>
        <v/>
      </c>
      <c r="C991" s="7">
        <f>INDEX(Bits!$E$25:$E$124,INT(B991)+1)</f>
        <v/>
      </c>
      <c r="D991" s="7">
        <f>MAX(1,MIN(INT(B991/$C$4)+1,$C$5))</f>
        <v/>
      </c>
      <c r="E991" s="26">
        <f>IF($C$5=0,0,INDEX(Symboles!$G$6:$G$101,D991))</f>
        <v/>
      </c>
      <c r="F991" s="26">
        <f>IF($C$5=0,0,INDEX(Symboles!$H$6:$H$101,D991))</f>
        <v/>
      </c>
      <c r="G991" s="26">
        <f>COS(2*PI()*$C$3*B991)</f>
        <v/>
      </c>
      <c r="H991" s="26">
        <f>SIN(2*PI()*$C$3*B991)</f>
        <v/>
      </c>
      <c r="I991" s="26">
        <f>E991*G991+F991*H991</f>
        <v/>
      </c>
    </row>
    <row r="992">
      <c r="A992" s="7" t="n">
        <v>985</v>
      </c>
      <c r="B992" s="26">
        <f>(A992-1)/2000*$C$2</f>
        <v/>
      </c>
      <c r="C992" s="7">
        <f>INDEX(Bits!$E$25:$E$124,INT(B992)+1)</f>
        <v/>
      </c>
      <c r="D992" s="7">
        <f>MAX(1,MIN(INT(B992/$C$4)+1,$C$5))</f>
        <v/>
      </c>
      <c r="E992" s="26">
        <f>IF($C$5=0,0,INDEX(Symboles!$G$6:$G$101,D992))</f>
        <v/>
      </c>
      <c r="F992" s="26">
        <f>IF($C$5=0,0,INDEX(Symboles!$H$6:$H$101,D992))</f>
        <v/>
      </c>
      <c r="G992" s="26">
        <f>COS(2*PI()*$C$3*B992)</f>
        <v/>
      </c>
      <c r="H992" s="26">
        <f>SIN(2*PI()*$C$3*B992)</f>
        <v/>
      </c>
      <c r="I992" s="26">
        <f>E992*G992+F992*H992</f>
        <v/>
      </c>
    </row>
    <row r="993">
      <c r="A993" s="7" t="n">
        <v>986</v>
      </c>
      <c r="B993" s="26">
        <f>(A993-1)/2000*$C$2</f>
        <v/>
      </c>
      <c r="C993" s="7">
        <f>INDEX(Bits!$E$25:$E$124,INT(B993)+1)</f>
        <v/>
      </c>
      <c r="D993" s="7">
        <f>MAX(1,MIN(INT(B993/$C$4)+1,$C$5))</f>
        <v/>
      </c>
      <c r="E993" s="26">
        <f>IF($C$5=0,0,INDEX(Symboles!$G$6:$G$101,D993))</f>
        <v/>
      </c>
      <c r="F993" s="26">
        <f>IF($C$5=0,0,INDEX(Symboles!$H$6:$H$101,D993))</f>
        <v/>
      </c>
      <c r="G993" s="26">
        <f>COS(2*PI()*$C$3*B993)</f>
        <v/>
      </c>
      <c r="H993" s="26">
        <f>SIN(2*PI()*$C$3*B993)</f>
        <v/>
      </c>
      <c r="I993" s="26">
        <f>E993*G993+F993*H993</f>
        <v/>
      </c>
    </row>
    <row r="994">
      <c r="A994" s="7" t="n">
        <v>987</v>
      </c>
      <c r="B994" s="26">
        <f>(A994-1)/2000*$C$2</f>
        <v/>
      </c>
      <c r="C994" s="7">
        <f>INDEX(Bits!$E$25:$E$124,INT(B994)+1)</f>
        <v/>
      </c>
      <c r="D994" s="7">
        <f>MAX(1,MIN(INT(B994/$C$4)+1,$C$5))</f>
        <v/>
      </c>
      <c r="E994" s="26">
        <f>IF($C$5=0,0,INDEX(Symboles!$G$6:$G$101,D994))</f>
        <v/>
      </c>
      <c r="F994" s="26">
        <f>IF($C$5=0,0,INDEX(Symboles!$H$6:$H$101,D994))</f>
        <v/>
      </c>
      <c r="G994" s="26">
        <f>COS(2*PI()*$C$3*B994)</f>
        <v/>
      </c>
      <c r="H994" s="26">
        <f>SIN(2*PI()*$C$3*B994)</f>
        <v/>
      </c>
      <c r="I994" s="26">
        <f>E994*G994+F994*H994</f>
        <v/>
      </c>
    </row>
    <row r="995">
      <c r="A995" s="7" t="n">
        <v>988</v>
      </c>
      <c r="B995" s="26">
        <f>(A995-1)/2000*$C$2</f>
        <v/>
      </c>
      <c r="C995" s="7">
        <f>INDEX(Bits!$E$25:$E$124,INT(B995)+1)</f>
        <v/>
      </c>
      <c r="D995" s="7">
        <f>MAX(1,MIN(INT(B995/$C$4)+1,$C$5))</f>
        <v/>
      </c>
      <c r="E995" s="26">
        <f>IF($C$5=0,0,INDEX(Symboles!$G$6:$G$101,D995))</f>
        <v/>
      </c>
      <c r="F995" s="26">
        <f>IF($C$5=0,0,INDEX(Symboles!$H$6:$H$101,D995))</f>
        <v/>
      </c>
      <c r="G995" s="26">
        <f>COS(2*PI()*$C$3*B995)</f>
        <v/>
      </c>
      <c r="H995" s="26">
        <f>SIN(2*PI()*$C$3*B995)</f>
        <v/>
      </c>
      <c r="I995" s="26">
        <f>E995*G995+F995*H995</f>
        <v/>
      </c>
    </row>
    <row r="996">
      <c r="A996" s="7" t="n">
        <v>989</v>
      </c>
      <c r="B996" s="26">
        <f>(A996-1)/2000*$C$2</f>
        <v/>
      </c>
      <c r="C996" s="7">
        <f>INDEX(Bits!$E$25:$E$124,INT(B996)+1)</f>
        <v/>
      </c>
      <c r="D996" s="7">
        <f>MAX(1,MIN(INT(B996/$C$4)+1,$C$5))</f>
        <v/>
      </c>
      <c r="E996" s="26">
        <f>IF($C$5=0,0,INDEX(Symboles!$G$6:$G$101,D996))</f>
        <v/>
      </c>
      <c r="F996" s="26">
        <f>IF($C$5=0,0,INDEX(Symboles!$H$6:$H$101,D996))</f>
        <v/>
      </c>
      <c r="G996" s="26">
        <f>COS(2*PI()*$C$3*B996)</f>
        <v/>
      </c>
      <c r="H996" s="26">
        <f>SIN(2*PI()*$C$3*B996)</f>
        <v/>
      </c>
      <c r="I996" s="26">
        <f>E996*G996+F996*H996</f>
        <v/>
      </c>
    </row>
    <row r="997">
      <c r="A997" s="7" t="n">
        <v>990</v>
      </c>
      <c r="B997" s="26">
        <f>(A997-1)/2000*$C$2</f>
        <v/>
      </c>
      <c r="C997" s="7">
        <f>INDEX(Bits!$E$25:$E$124,INT(B997)+1)</f>
        <v/>
      </c>
      <c r="D997" s="7">
        <f>MAX(1,MIN(INT(B997/$C$4)+1,$C$5))</f>
        <v/>
      </c>
      <c r="E997" s="26">
        <f>IF($C$5=0,0,INDEX(Symboles!$G$6:$G$101,D997))</f>
        <v/>
      </c>
      <c r="F997" s="26">
        <f>IF($C$5=0,0,INDEX(Symboles!$H$6:$H$101,D997))</f>
        <v/>
      </c>
      <c r="G997" s="26">
        <f>COS(2*PI()*$C$3*B997)</f>
        <v/>
      </c>
      <c r="H997" s="26">
        <f>SIN(2*PI()*$C$3*B997)</f>
        <v/>
      </c>
      <c r="I997" s="26">
        <f>E997*G997+F997*H997</f>
        <v/>
      </c>
    </row>
    <row r="998">
      <c r="A998" s="7" t="n">
        <v>991</v>
      </c>
      <c r="B998" s="26">
        <f>(A998-1)/2000*$C$2</f>
        <v/>
      </c>
      <c r="C998" s="7">
        <f>INDEX(Bits!$E$25:$E$124,INT(B998)+1)</f>
        <v/>
      </c>
      <c r="D998" s="7">
        <f>MAX(1,MIN(INT(B998/$C$4)+1,$C$5))</f>
        <v/>
      </c>
      <c r="E998" s="26">
        <f>IF($C$5=0,0,INDEX(Symboles!$G$6:$G$101,D998))</f>
        <v/>
      </c>
      <c r="F998" s="26">
        <f>IF($C$5=0,0,INDEX(Symboles!$H$6:$H$101,D998))</f>
        <v/>
      </c>
      <c r="G998" s="26">
        <f>COS(2*PI()*$C$3*B998)</f>
        <v/>
      </c>
      <c r="H998" s="26">
        <f>SIN(2*PI()*$C$3*B998)</f>
        <v/>
      </c>
      <c r="I998" s="26">
        <f>E998*G998+F998*H998</f>
        <v/>
      </c>
    </row>
    <row r="999">
      <c r="A999" s="7" t="n">
        <v>992</v>
      </c>
      <c r="B999" s="26">
        <f>(A999-1)/2000*$C$2</f>
        <v/>
      </c>
      <c r="C999" s="7">
        <f>INDEX(Bits!$E$25:$E$124,INT(B999)+1)</f>
        <v/>
      </c>
      <c r="D999" s="7">
        <f>MAX(1,MIN(INT(B999/$C$4)+1,$C$5))</f>
        <v/>
      </c>
      <c r="E999" s="26">
        <f>IF($C$5=0,0,INDEX(Symboles!$G$6:$G$101,D999))</f>
        <v/>
      </c>
      <c r="F999" s="26">
        <f>IF($C$5=0,0,INDEX(Symboles!$H$6:$H$101,D999))</f>
        <v/>
      </c>
      <c r="G999" s="26">
        <f>COS(2*PI()*$C$3*B999)</f>
        <v/>
      </c>
      <c r="H999" s="26">
        <f>SIN(2*PI()*$C$3*B999)</f>
        <v/>
      </c>
      <c r="I999" s="26">
        <f>E999*G999+F999*H999</f>
        <v/>
      </c>
    </row>
    <row r="1000">
      <c r="A1000" s="7" t="n">
        <v>993</v>
      </c>
      <c r="B1000" s="26">
        <f>(A1000-1)/2000*$C$2</f>
        <v/>
      </c>
      <c r="C1000" s="7">
        <f>INDEX(Bits!$E$25:$E$124,INT(B1000)+1)</f>
        <v/>
      </c>
      <c r="D1000" s="7">
        <f>MAX(1,MIN(INT(B1000/$C$4)+1,$C$5))</f>
        <v/>
      </c>
      <c r="E1000" s="26">
        <f>IF($C$5=0,0,INDEX(Symboles!$G$6:$G$101,D1000))</f>
        <v/>
      </c>
      <c r="F1000" s="26">
        <f>IF($C$5=0,0,INDEX(Symboles!$H$6:$H$101,D1000))</f>
        <v/>
      </c>
      <c r="G1000" s="26">
        <f>COS(2*PI()*$C$3*B1000)</f>
        <v/>
      </c>
      <c r="H1000" s="26">
        <f>SIN(2*PI()*$C$3*B1000)</f>
        <v/>
      </c>
      <c r="I1000" s="26">
        <f>E1000*G1000+F1000*H1000</f>
        <v/>
      </c>
    </row>
    <row r="1001">
      <c r="A1001" s="7" t="n">
        <v>994</v>
      </c>
      <c r="B1001" s="26">
        <f>(A1001-1)/2000*$C$2</f>
        <v/>
      </c>
      <c r="C1001" s="7">
        <f>INDEX(Bits!$E$25:$E$124,INT(B1001)+1)</f>
        <v/>
      </c>
      <c r="D1001" s="7">
        <f>MAX(1,MIN(INT(B1001/$C$4)+1,$C$5))</f>
        <v/>
      </c>
      <c r="E1001" s="26">
        <f>IF($C$5=0,0,INDEX(Symboles!$G$6:$G$101,D1001))</f>
        <v/>
      </c>
      <c r="F1001" s="26">
        <f>IF($C$5=0,0,INDEX(Symboles!$H$6:$H$101,D1001))</f>
        <v/>
      </c>
      <c r="G1001" s="26">
        <f>COS(2*PI()*$C$3*B1001)</f>
        <v/>
      </c>
      <c r="H1001" s="26">
        <f>SIN(2*PI()*$C$3*B1001)</f>
        <v/>
      </c>
      <c r="I1001" s="26">
        <f>E1001*G1001+F1001*H1001</f>
        <v/>
      </c>
    </row>
    <row r="1002">
      <c r="A1002" s="7" t="n">
        <v>995</v>
      </c>
      <c r="B1002" s="26">
        <f>(A1002-1)/2000*$C$2</f>
        <v/>
      </c>
      <c r="C1002" s="7">
        <f>INDEX(Bits!$E$25:$E$124,INT(B1002)+1)</f>
        <v/>
      </c>
      <c r="D1002" s="7">
        <f>MAX(1,MIN(INT(B1002/$C$4)+1,$C$5))</f>
        <v/>
      </c>
      <c r="E1002" s="26">
        <f>IF($C$5=0,0,INDEX(Symboles!$G$6:$G$101,D1002))</f>
        <v/>
      </c>
      <c r="F1002" s="26">
        <f>IF($C$5=0,0,INDEX(Symboles!$H$6:$H$101,D1002))</f>
        <v/>
      </c>
      <c r="G1002" s="26">
        <f>COS(2*PI()*$C$3*B1002)</f>
        <v/>
      </c>
      <c r="H1002" s="26">
        <f>SIN(2*PI()*$C$3*B1002)</f>
        <v/>
      </c>
      <c r="I1002" s="26">
        <f>E1002*G1002+F1002*H1002</f>
        <v/>
      </c>
    </row>
    <row r="1003">
      <c r="A1003" s="7" t="n">
        <v>996</v>
      </c>
      <c r="B1003" s="26">
        <f>(A1003-1)/2000*$C$2</f>
        <v/>
      </c>
      <c r="C1003" s="7">
        <f>INDEX(Bits!$E$25:$E$124,INT(B1003)+1)</f>
        <v/>
      </c>
      <c r="D1003" s="7">
        <f>MAX(1,MIN(INT(B1003/$C$4)+1,$C$5))</f>
        <v/>
      </c>
      <c r="E1003" s="26">
        <f>IF($C$5=0,0,INDEX(Symboles!$G$6:$G$101,D1003))</f>
        <v/>
      </c>
      <c r="F1003" s="26">
        <f>IF($C$5=0,0,INDEX(Symboles!$H$6:$H$101,D1003))</f>
        <v/>
      </c>
      <c r="G1003" s="26">
        <f>COS(2*PI()*$C$3*B1003)</f>
        <v/>
      </c>
      <c r="H1003" s="26">
        <f>SIN(2*PI()*$C$3*B1003)</f>
        <v/>
      </c>
      <c r="I1003" s="26">
        <f>E1003*G1003+F1003*H1003</f>
        <v/>
      </c>
    </row>
    <row r="1004">
      <c r="A1004" s="7" t="n">
        <v>997</v>
      </c>
      <c r="B1004" s="26">
        <f>(A1004-1)/2000*$C$2</f>
        <v/>
      </c>
      <c r="C1004" s="7">
        <f>INDEX(Bits!$E$25:$E$124,INT(B1004)+1)</f>
        <v/>
      </c>
      <c r="D1004" s="7">
        <f>MAX(1,MIN(INT(B1004/$C$4)+1,$C$5))</f>
        <v/>
      </c>
      <c r="E1004" s="26">
        <f>IF($C$5=0,0,INDEX(Symboles!$G$6:$G$101,D1004))</f>
        <v/>
      </c>
      <c r="F1004" s="26">
        <f>IF($C$5=0,0,INDEX(Symboles!$H$6:$H$101,D1004))</f>
        <v/>
      </c>
      <c r="G1004" s="26">
        <f>COS(2*PI()*$C$3*B1004)</f>
        <v/>
      </c>
      <c r="H1004" s="26">
        <f>SIN(2*PI()*$C$3*B1004)</f>
        <v/>
      </c>
      <c r="I1004" s="26">
        <f>E1004*G1004+F1004*H1004</f>
        <v/>
      </c>
    </row>
    <row r="1005">
      <c r="A1005" s="7" t="n">
        <v>998</v>
      </c>
      <c r="B1005" s="26">
        <f>(A1005-1)/2000*$C$2</f>
        <v/>
      </c>
      <c r="C1005" s="7">
        <f>INDEX(Bits!$E$25:$E$124,INT(B1005)+1)</f>
        <v/>
      </c>
      <c r="D1005" s="7">
        <f>MAX(1,MIN(INT(B1005/$C$4)+1,$C$5))</f>
        <v/>
      </c>
      <c r="E1005" s="26">
        <f>IF($C$5=0,0,INDEX(Symboles!$G$6:$G$101,D1005))</f>
        <v/>
      </c>
      <c r="F1005" s="26">
        <f>IF($C$5=0,0,INDEX(Symboles!$H$6:$H$101,D1005))</f>
        <v/>
      </c>
      <c r="G1005" s="26">
        <f>COS(2*PI()*$C$3*B1005)</f>
        <v/>
      </c>
      <c r="H1005" s="26">
        <f>SIN(2*PI()*$C$3*B1005)</f>
        <v/>
      </c>
      <c r="I1005" s="26">
        <f>E1005*G1005+F1005*H1005</f>
        <v/>
      </c>
    </row>
    <row r="1006">
      <c r="A1006" s="7" t="n">
        <v>999</v>
      </c>
      <c r="B1006" s="26">
        <f>(A1006-1)/2000*$C$2</f>
        <v/>
      </c>
      <c r="C1006" s="7">
        <f>INDEX(Bits!$E$25:$E$124,INT(B1006)+1)</f>
        <v/>
      </c>
      <c r="D1006" s="7">
        <f>MAX(1,MIN(INT(B1006/$C$4)+1,$C$5))</f>
        <v/>
      </c>
      <c r="E1006" s="26">
        <f>IF($C$5=0,0,INDEX(Symboles!$G$6:$G$101,D1006))</f>
        <v/>
      </c>
      <c r="F1006" s="26">
        <f>IF($C$5=0,0,INDEX(Symboles!$H$6:$H$101,D1006))</f>
        <v/>
      </c>
      <c r="G1006" s="26">
        <f>COS(2*PI()*$C$3*B1006)</f>
        <v/>
      </c>
      <c r="H1006" s="26">
        <f>SIN(2*PI()*$C$3*B1006)</f>
        <v/>
      </c>
      <c r="I1006" s="26">
        <f>E1006*G1006+F1006*H1006</f>
        <v/>
      </c>
    </row>
    <row r="1007">
      <c r="A1007" s="7" t="n">
        <v>1000</v>
      </c>
      <c r="B1007" s="26">
        <f>(A1007-1)/2000*$C$2</f>
        <v/>
      </c>
      <c r="C1007" s="7">
        <f>INDEX(Bits!$E$25:$E$124,INT(B1007)+1)</f>
        <v/>
      </c>
      <c r="D1007" s="7">
        <f>MAX(1,MIN(INT(B1007/$C$4)+1,$C$5))</f>
        <v/>
      </c>
      <c r="E1007" s="26">
        <f>IF($C$5=0,0,INDEX(Symboles!$G$6:$G$101,D1007))</f>
        <v/>
      </c>
      <c r="F1007" s="26">
        <f>IF($C$5=0,0,INDEX(Symboles!$H$6:$H$101,D1007))</f>
        <v/>
      </c>
      <c r="G1007" s="26">
        <f>COS(2*PI()*$C$3*B1007)</f>
        <v/>
      </c>
      <c r="H1007" s="26">
        <f>SIN(2*PI()*$C$3*B1007)</f>
        <v/>
      </c>
      <c r="I1007" s="26">
        <f>E1007*G1007+F1007*H1007</f>
        <v/>
      </c>
    </row>
    <row r="1008">
      <c r="A1008" s="7" t="n">
        <v>1001</v>
      </c>
      <c r="B1008" s="26">
        <f>(A1008-1)/2000*$C$2</f>
        <v/>
      </c>
      <c r="C1008" s="7">
        <f>INDEX(Bits!$E$25:$E$124,INT(B1008)+1)</f>
        <v/>
      </c>
      <c r="D1008" s="7">
        <f>MAX(1,MIN(INT(B1008/$C$4)+1,$C$5))</f>
        <v/>
      </c>
      <c r="E1008" s="26">
        <f>IF($C$5=0,0,INDEX(Symboles!$G$6:$G$101,D1008))</f>
        <v/>
      </c>
      <c r="F1008" s="26">
        <f>IF($C$5=0,0,INDEX(Symboles!$H$6:$H$101,D1008))</f>
        <v/>
      </c>
      <c r="G1008" s="26">
        <f>COS(2*PI()*$C$3*B1008)</f>
        <v/>
      </c>
      <c r="H1008" s="26">
        <f>SIN(2*PI()*$C$3*B1008)</f>
        <v/>
      </c>
      <c r="I1008" s="26">
        <f>E1008*G1008+F1008*H1008</f>
        <v/>
      </c>
    </row>
    <row r="1009">
      <c r="A1009" s="7" t="n">
        <v>1002</v>
      </c>
      <c r="B1009" s="26">
        <f>(A1009-1)/2000*$C$2</f>
        <v/>
      </c>
      <c r="C1009" s="7">
        <f>INDEX(Bits!$E$25:$E$124,INT(B1009)+1)</f>
        <v/>
      </c>
      <c r="D1009" s="7">
        <f>MAX(1,MIN(INT(B1009/$C$4)+1,$C$5))</f>
        <v/>
      </c>
      <c r="E1009" s="26">
        <f>IF($C$5=0,0,INDEX(Symboles!$G$6:$G$101,D1009))</f>
        <v/>
      </c>
      <c r="F1009" s="26">
        <f>IF($C$5=0,0,INDEX(Symboles!$H$6:$H$101,D1009))</f>
        <v/>
      </c>
      <c r="G1009" s="26">
        <f>COS(2*PI()*$C$3*B1009)</f>
        <v/>
      </c>
      <c r="H1009" s="26">
        <f>SIN(2*PI()*$C$3*B1009)</f>
        <v/>
      </c>
      <c r="I1009" s="26">
        <f>E1009*G1009+F1009*H1009</f>
        <v/>
      </c>
    </row>
    <row r="1010">
      <c r="A1010" s="7" t="n">
        <v>1003</v>
      </c>
      <c r="B1010" s="26">
        <f>(A1010-1)/2000*$C$2</f>
        <v/>
      </c>
      <c r="C1010" s="7">
        <f>INDEX(Bits!$E$25:$E$124,INT(B1010)+1)</f>
        <v/>
      </c>
      <c r="D1010" s="7">
        <f>MAX(1,MIN(INT(B1010/$C$4)+1,$C$5))</f>
        <v/>
      </c>
      <c r="E1010" s="26">
        <f>IF($C$5=0,0,INDEX(Symboles!$G$6:$G$101,D1010))</f>
        <v/>
      </c>
      <c r="F1010" s="26">
        <f>IF($C$5=0,0,INDEX(Symboles!$H$6:$H$101,D1010))</f>
        <v/>
      </c>
      <c r="G1010" s="26">
        <f>COS(2*PI()*$C$3*B1010)</f>
        <v/>
      </c>
      <c r="H1010" s="26">
        <f>SIN(2*PI()*$C$3*B1010)</f>
        <v/>
      </c>
      <c r="I1010" s="26">
        <f>E1010*G1010+F1010*H1010</f>
        <v/>
      </c>
    </row>
    <row r="1011">
      <c r="A1011" s="7" t="n">
        <v>1004</v>
      </c>
      <c r="B1011" s="26">
        <f>(A1011-1)/2000*$C$2</f>
        <v/>
      </c>
      <c r="C1011" s="7">
        <f>INDEX(Bits!$E$25:$E$124,INT(B1011)+1)</f>
        <v/>
      </c>
      <c r="D1011" s="7">
        <f>MAX(1,MIN(INT(B1011/$C$4)+1,$C$5))</f>
        <v/>
      </c>
      <c r="E1011" s="26">
        <f>IF($C$5=0,0,INDEX(Symboles!$G$6:$G$101,D1011))</f>
        <v/>
      </c>
      <c r="F1011" s="26">
        <f>IF($C$5=0,0,INDEX(Symboles!$H$6:$H$101,D1011))</f>
        <v/>
      </c>
      <c r="G1011" s="26">
        <f>COS(2*PI()*$C$3*B1011)</f>
        <v/>
      </c>
      <c r="H1011" s="26">
        <f>SIN(2*PI()*$C$3*B1011)</f>
        <v/>
      </c>
      <c r="I1011" s="26">
        <f>E1011*G1011+F1011*H1011</f>
        <v/>
      </c>
    </row>
    <row r="1012">
      <c r="A1012" s="7" t="n">
        <v>1005</v>
      </c>
      <c r="B1012" s="26">
        <f>(A1012-1)/2000*$C$2</f>
        <v/>
      </c>
      <c r="C1012" s="7">
        <f>INDEX(Bits!$E$25:$E$124,INT(B1012)+1)</f>
        <v/>
      </c>
      <c r="D1012" s="7">
        <f>MAX(1,MIN(INT(B1012/$C$4)+1,$C$5))</f>
        <v/>
      </c>
      <c r="E1012" s="26">
        <f>IF($C$5=0,0,INDEX(Symboles!$G$6:$G$101,D1012))</f>
        <v/>
      </c>
      <c r="F1012" s="26">
        <f>IF($C$5=0,0,INDEX(Symboles!$H$6:$H$101,D1012))</f>
        <v/>
      </c>
      <c r="G1012" s="26">
        <f>COS(2*PI()*$C$3*B1012)</f>
        <v/>
      </c>
      <c r="H1012" s="26">
        <f>SIN(2*PI()*$C$3*B1012)</f>
        <v/>
      </c>
      <c r="I1012" s="26">
        <f>E1012*G1012+F1012*H1012</f>
        <v/>
      </c>
    </row>
    <row r="1013">
      <c r="A1013" s="7" t="n">
        <v>1006</v>
      </c>
      <c r="B1013" s="26">
        <f>(A1013-1)/2000*$C$2</f>
        <v/>
      </c>
      <c r="C1013" s="7">
        <f>INDEX(Bits!$E$25:$E$124,INT(B1013)+1)</f>
        <v/>
      </c>
      <c r="D1013" s="7">
        <f>MAX(1,MIN(INT(B1013/$C$4)+1,$C$5))</f>
        <v/>
      </c>
      <c r="E1013" s="26">
        <f>IF($C$5=0,0,INDEX(Symboles!$G$6:$G$101,D1013))</f>
        <v/>
      </c>
      <c r="F1013" s="26">
        <f>IF($C$5=0,0,INDEX(Symboles!$H$6:$H$101,D1013))</f>
        <v/>
      </c>
      <c r="G1013" s="26">
        <f>COS(2*PI()*$C$3*B1013)</f>
        <v/>
      </c>
      <c r="H1013" s="26">
        <f>SIN(2*PI()*$C$3*B1013)</f>
        <v/>
      </c>
      <c r="I1013" s="26">
        <f>E1013*G1013+F1013*H1013</f>
        <v/>
      </c>
    </row>
    <row r="1014">
      <c r="A1014" s="7" t="n">
        <v>1007</v>
      </c>
      <c r="B1014" s="26">
        <f>(A1014-1)/2000*$C$2</f>
        <v/>
      </c>
      <c r="C1014" s="7">
        <f>INDEX(Bits!$E$25:$E$124,INT(B1014)+1)</f>
        <v/>
      </c>
      <c r="D1014" s="7">
        <f>MAX(1,MIN(INT(B1014/$C$4)+1,$C$5))</f>
        <v/>
      </c>
      <c r="E1014" s="26">
        <f>IF($C$5=0,0,INDEX(Symboles!$G$6:$G$101,D1014))</f>
        <v/>
      </c>
      <c r="F1014" s="26">
        <f>IF($C$5=0,0,INDEX(Symboles!$H$6:$H$101,D1014))</f>
        <v/>
      </c>
      <c r="G1014" s="26">
        <f>COS(2*PI()*$C$3*B1014)</f>
        <v/>
      </c>
      <c r="H1014" s="26">
        <f>SIN(2*PI()*$C$3*B1014)</f>
        <v/>
      </c>
      <c r="I1014" s="26">
        <f>E1014*G1014+F1014*H1014</f>
        <v/>
      </c>
    </row>
    <row r="1015">
      <c r="A1015" s="7" t="n">
        <v>1008</v>
      </c>
      <c r="B1015" s="26">
        <f>(A1015-1)/2000*$C$2</f>
        <v/>
      </c>
      <c r="C1015" s="7">
        <f>INDEX(Bits!$E$25:$E$124,INT(B1015)+1)</f>
        <v/>
      </c>
      <c r="D1015" s="7">
        <f>MAX(1,MIN(INT(B1015/$C$4)+1,$C$5))</f>
        <v/>
      </c>
      <c r="E1015" s="26">
        <f>IF($C$5=0,0,INDEX(Symboles!$G$6:$G$101,D1015))</f>
        <v/>
      </c>
      <c r="F1015" s="26">
        <f>IF($C$5=0,0,INDEX(Symboles!$H$6:$H$101,D1015))</f>
        <v/>
      </c>
      <c r="G1015" s="26">
        <f>COS(2*PI()*$C$3*B1015)</f>
        <v/>
      </c>
      <c r="H1015" s="26">
        <f>SIN(2*PI()*$C$3*B1015)</f>
        <v/>
      </c>
      <c r="I1015" s="26">
        <f>E1015*G1015+F1015*H1015</f>
        <v/>
      </c>
    </row>
    <row r="1016">
      <c r="A1016" s="7" t="n">
        <v>1009</v>
      </c>
      <c r="B1016" s="26">
        <f>(A1016-1)/2000*$C$2</f>
        <v/>
      </c>
      <c r="C1016" s="7">
        <f>INDEX(Bits!$E$25:$E$124,INT(B1016)+1)</f>
        <v/>
      </c>
      <c r="D1016" s="7">
        <f>MAX(1,MIN(INT(B1016/$C$4)+1,$C$5))</f>
        <v/>
      </c>
      <c r="E1016" s="26">
        <f>IF($C$5=0,0,INDEX(Symboles!$G$6:$G$101,D1016))</f>
        <v/>
      </c>
      <c r="F1016" s="26">
        <f>IF($C$5=0,0,INDEX(Symboles!$H$6:$H$101,D1016))</f>
        <v/>
      </c>
      <c r="G1016" s="26">
        <f>COS(2*PI()*$C$3*B1016)</f>
        <v/>
      </c>
      <c r="H1016" s="26">
        <f>SIN(2*PI()*$C$3*B1016)</f>
        <v/>
      </c>
      <c r="I1016" s="26">
        <f>E1016*G1016+F1016*H1016</f>
        <v/>
      </c>
    </row>
    <row r="1017">
      <c r="A1017" s="7" t="n">
        <v>1010</v>
      </c>
      <c r="B1017" s="26">
        <f>(A1017-1)/2000*$C$2</f>
        <v/>
      </c>
      <c r="C1017" s="7">
        <f>INDEX(Bits!$E$25:$E$124,INT(B1017)+1)</f>
        <v/>
      </c>
      <c r="D1017" s="7">
        <f>MAX(1,MIN(INT(B1017/$C$4)+1,$C$5))</f>
        <v/>
      </c>
      <c r="E1017" s="26">
        <f>IF($C$5=0,0,INDEX(Symboles!$G$6:$G$101,D1017))</f>
        <v/>
      </c>
      <c r="F1017" s="26">
        <f>IF($C$5=0,0,INDEX(Symboles!$H$6:$H$101,D1017))</f>
        <v/>
      </c>
      <c r="G1017" s="26">
        <f>COS(2*PI()*$C$3*B1017)</f>
        <v/>
      </c>
      <c r="H1017" s="26">
        <f>SIN(2*PI()*$C$3*B1017)</f>
        <v/>
      </c>
      <c r="I1017" s="26">
        <f>E1017*G1017+F1017*H1017</f>
        <v/>
      </c>
    </row>
    <row r="1018">
      <c r="A1018" s="7" t="n">
        <v>1011</v>
      </c>
      <c r="B1018" s="26">
        <f>(A1018-1)/2000*$C$2</f>
        <v/>
      </c>
      <c r="C1018" s="7">
        <f>INDEX(Bits!$E$25:$E$124,INT(B1018)+1)</f>
        <v/>
      </c>
      <c r="D1018" s="7">
        <f>MAX(1,MIN(INT(B1018/$C$4)+1,$C$5))</f>
        <v/>
      </c>
      <c r="E1018" s="26">
        <f>IF($C$5=0,0,INDEX(Symboles!$G$6:$G$101,D1018))</f>
        <v/>
      </c>
      <c r="F1018" s="26">
        <f>IF($C$5=0,0,INDEX(Symboles!$H$6:$H$101,D1018))</f>
        <v/>
      </c>
      <c r="G1018" s="26">
        <f>COS(2*PI()*$C$3*B1018)</f>
        <v/>
      </c>
      <c r="H1018" s="26">
        <f>SIN(2*PI()*$C$3*B1018)</f>
        <v/>
      </c>
      <c r="I1018" s="26">
        <f>E1018*G1018+F1018*H1018</f>
        <v/>
      </c>
    </row>
    <row r="1019">
      <c r="A1019" s="7" t="n">
        <v>1012</v>
      </c>
      <c r="B1019" s="26">
        <f>(A1019-1)/2000*$C$2</f>
        <v/>
      </c>
      <c r="C1019" s="7">
        <f>INDEX(Bits!$E$25:$E$124,INT(B1019)+1)</f>
        <v/>
      </c>
      <c r="D1019" s="7">
        <f>MAX(1,MIN(INT(B1019/$C$4)+1,$C$5))</f>
        <v/>
      </c>
      <c r="E1019" s="26">
        <f>IF($C$5=0,0,INDEX(Symboles!$G$6:$G$101,D1019))</f>
        <v/>
      </c>
      <c r="F1019" s="26">
        <f>IF($C$5=0,0,INDEX(Symboles!$H$6:$H$101,D1019))</f>
        <v/>
      </c>
      <c r="G1019" s="26">
        <f>COS(2*PI()*$C$3*B1019)</f>
        <v/>
      </c>
      <c r="H1019" s="26">
        <f>SIN(2*PI()*$C$3*B1019)</f>
        <v/>
      </c>
      <c r="I1019" s="26">
        <f>E1019*G1019+F1019*H1019</f>
        <v/>
      </c>
    </row>
    <row r="1020">
      <c r="A1020" s="7" t="n">
        <v>1013</v>
      </c>
      <c r="B1020" s="26">
        <f>(A1020-1)/2000*$C$2</f>
        <v/>
      </c>
      <c r="C1020" s="7">
        <f>INDEX(Bits!$E$25:$E$124,INT(B1020)+1)</f>
        <v/>
      </c>
      <c r="D1020" s="7">
        <f>MAX(1,MIN(INT(B1020/$C$4)+1,$C$5))</f>
        <v/>
      </c>
      <c r="E1020" s="26">
        <f>IF($C$5=0,0,INDEX(Symboles!$G$6:$G$101,D1020))</f>
        <v/>
      </c>
      <c r="F1020" s="26">
        <f>IF($C$5=0,0,INDEX(Symboles!$H$6:$H$101,D1020))</f>
        <v/>
      </c>
      <c r="G1020" s="26">
        <f>COS(2*PI()*$C$3*B1020)</f>
        <v/>
      </c>
      <c r="H1020" s="26">
        <f>SIN(2*PI()*$C$3*B1020)</f>
        <v/>
      </c>
      <c r="I1020" s="26">
        <f>E1020*G1020+F1020*H1020</f>
        <v/>
      </c>
    </row>
    <row r="1021">
      <c r="A1021" s="7" t="n">
        <v>1014</v>
      </c>
      <c r="B1021" s="26">
        <f>(A1021-1)/2000*$C$2</f>
        <v/>
      </c>
      <c r="C1021" s="7">
        <f>INDEX(Bits!$E$25:$E$124,INT(B1021)+1)</f>
        <v/>
      </c>
      <c r="D1021" s="7">
        <f>MAX(1,MIN(INT(B1021/$C$4)+1,$C$5))</f>
        <v/>
      </c>
      <c r="E1021" s="26">
        <f>IF($C$5=0,0,INDEX(Symboles!$G$6:$G$101,D1021))</f>
        <v/>
      </c>
      <c r="F1021" s="26">
        <f>IF($C$5=0,0,INDEX(Symboles!$H$6:$H$101,D1021))</f>
        <v/>
      </c>
      <c r="G1021" s="26">
        <f>COS(2*PI()*$C$3*B1021)</f>
        <v/>
      </c>
      <c r="H1021" s="26">
        <f>SIN(2*PI()*$C$3*B1021)</f>
        <v/>
      </c>
      <c r="I1021" s="26">
        <f>E1021*G1021+F1021*H1021</f>
        <v/>
      </c>
    </row>
    <row r="1022">
      <c r="A1022" s="7" t="n">
        <v>1015</v>
      </c>
      <c r="B1022" s="26">
        <f>(A1022-1)/2000*$C$2</f>
        <v/>
      </c>
      <c r="C1022" s="7">
        <f>INDEX(Bits!$E$25:$E$124,INT(B1022)+1)</f>
        <v/>
      </c>
      <c r="D1022" s="7">
        <f>MAX(1,MIN(INT(B1022/$C$4)+1,$C$5))</f>
        <v/>
      </c>
      <c r="E1022" s="26">
        <f>IF($C$5=0,0,INDEX(Symboles!$G$6:$G$101,D1022))</f>
        <v/>
      </c>
      <c r="F1022" s="26">
        <f>IF($C$5=0,0,INDEX(Symboles!$H$6:$H$101,D1022))</f>
        <v/>
      </c>
      <c r="G1022" s="26">
        <f>COS(2*PI()*$C$3*B1022)</f>
        <v/>
      </c>
      <c r="H1022" s="26">
        <f>SIN(2*PI()*$C$3*B1022)</f>
        <v/>
      </c>
      <c r="I1022" s="26">
        <f>E1022*G1022+F1022*H1022</f>
        <v/>
      </c>
    </row>
    <row r="1023">
      <c r="A1023" s="7" t="n">
        <v>1016</v>
      </c>
      <c r="B1023" s="26">
        <f>(A1023-1)/2000*$C$2</f>
        <v/>
      </c>
      <c r="C1023" s="7">
        <f>INDEX(Bits!$E$25:$E$124,INT(B1023)+1)</f>
        <v/>
      </c>
      <c r="D1023" s="7">
        <f>MAX(1,MIN(INT(B1023/$C$4)+1,$C$5))</f>
        <v/>
      </c>
      <c r="E1023" s="26">
        <f>IF($C$5=0,0,INDEX(Symboles!$G$6:$G$101,D1023))</f>
        <v/>
      </c>
      <c r="F1023" s="26">
        <f>IF($C$5=0,0,INDEX(Symboles!$H$6:$H$101,D1023))</f>
        <v/>
      </c>
      <c r="G1023" s="26">
        <f>COS(2*PI()*$C$3*B1023)</f>
        <v/>
      </c>
      <c r="H1023" s="26">
        <f>SIN(2*PI()*$C$3*B1023)</f>
        <v/>
      </c>
      <c r="I1023" s="26">
        <f>E1023*G1023+F1023*H1023</f>
        <v/>
      </c>
    </row>
    <row r="1024">
      <c r="A1024" s="7" t="n">
        <v>1017</v>
      </c>
      <c r="B1024" s="26">
        <f>(A1024-1)/2000*$C$2</f>
        <v/>
      </c>
      <c r="C1024" s="7">
        <f>INDEX(Bits!$E$25:$E$124,INT(B1024)+1)</f>
        <v/>
      </c>
      <c r="D1024" s="7">
        <f>MAX(1,MIN(INT(B1024/$C$4)+1,$C$5))</f>
        <v/>
      </c>
      <c r="E1024" s="26">
        <f>IF($C$5=0,0,INDEX(Symboles!$G$6:$G$101,D1024))</f>
        <v/>
      </c>
      <c r="F1024" s="26">
        <f>IF($C$5=0,0,INDEX(Symboles!$H$6:$H$101,D1024))</f>
        <v/>
      </c>
      <c r="G1024" s="26">
        <f>COS(2*PI()*$C$3*B1024)</f>
        <v/>
      </c>
      <c r="H1024" s="26">
        <f>SIN(2*PI()*$C$3*B1024)</f>
        <v/>
      </c>
      <c r="I1024" s="26">
        <f>E1024*G1024+F1024*H1024</f>
        <v/>
      </c>
    </row>
    <row r="1025">
      <c r="A1025" s="7" t="n">
        <v>1018</v>
      </c>
      <c r="B1025" s="26">
        <f>(A1025-1)/2000*$C$2</f>
        <v/>
      </c>
      <c r="C1025" s="7">
        <f>INDEX(Bits!$E$25:$E$124,INT(B1025)+1)</f>
        <v/>
      </c>
      <c r="D1025" s="7">
        <f>MAX(1,MIN(INT(B1025/$C$4)+1,$C$5))</f>
        <v/>
      </c>
      <c r="E1025" s="26">
        <f>IF($C$5=0,0,INDEX(Symboles!$G$6:$G$101,D1025))</f>
        <v/>
      </c>
      <c r="F1025" s="26">
        <f>IF($C$5=0,0,INDEX(Symboles!$H$6:$H$101,D1025))</f>
        <v/>
      </c>
      <c r="G1025" s="26">
        <f>COS(2*PI()*$C$3*B1025)</f>
        <v/>
      </c>
      <c r="H1025" s="26">
        <f>SIN(2*PI()*$C$3*B1025)</f>
        <v/>
      </c>
      <c r="I1025" s="26">
        <f>E1025*G1025+F1025*H1025</f>
        <v/>
      </c>
    </row>
    <row r="1026">
      <c r="A1026" s="7" t="n">
        <v>1019</v>
      </c>
      <c r="B1026" s="26">
        <f>(A1026-1)/2000*$C$2</f>
        <v/>
      </c>
      <c r="C1026" s="7">
        <f>INDEX(Bits!$E$25:$E$124,INT(B1026)+1)</f>
        <v/>
      </c>
      <c r="D1026" s="7">
        <f>MAX(1,MIN(INT(B1026/$C$4)+1,$C$5))</f>
        <v/>
      </c>
      <c r="E1026" s="26">
        <f>IF($C$5=0,0,INDEX(Symboles!$G$6:$G$101,D1026))</f>
        <v/>
      </c>
      <c r="F1026" s="26">
        <f>IF($C$5=0,0,INDEX(Symboles!$H$6:$H$101,D1026))</f>
        <v/>
      </c>
      <c r="G1026" s="26">
        <f>COS(2*PI()*$C$3*B1026)</f>
        <v/>
      </c>
      <c r="H1026" s="26">
        <f>SIN(2*PI()*$C$3*B1026)</f>
        <v/>
      </c>
      <c r="I1026" s="26">
        <f>E1026*G1026+F1026*H1026</f>
        <v/>
      </c>
    </row>
    <row r="1027">
      <c r="A1027" s="7" t="n">
        <v>1020</v>
      </c>
      <c r="B1027" s="26">
        <f>(A1027-1)/2000*$C$2</f>
        <v/>
      </c>
      <c r="C1027" s="7">
        <f>INDEX(Bits!$E$25:$E$124,INT(B1027)+1)</f>
        <v/>
      </c>
      <c r="D1027" s="7">
        <f>MAX(1,MIN(INT(B1027/$C$4)+1,$C$5))</f>
        <v/>
      </c>
      <c r="E1027" s="26">
        <f>IF($C$5=0,0,INDEX(Symboles!$G$6:$G$101,D1027))</f>
        <v/>
      </c>
      <c r="F1027" s="26">
        <f>IF($C$5=0,0,INDEX(Symboles!$H$6:$H$101,D1027))</f>
        <v/>
      </c>
      <c r="G1027" s="26">
        <f>COS(2*PI()*$C$3*B1027)</f>
        <v/>
      </c>
      <c r="H1027" s="26">
        <f>SIN(2*PI()*$C$3*B1027)</f>
        <v/>
      </c>
      <c r="I1027" s="26">
        <f>E1027*G1027+F1027*H1027</f>
        <v/>
      </c>
    </row>
    <row r="1028">
      <c r="A1028" s="7" t="n">
        <v>1021</v>
      </c>
      <c r="B1028" s="26">
        <f>(A1028-1)/2000*$C$2</f>
        <v/>
      </c>
      <c r="C1028" s="7">
        <f>INDEX(Bits!$E$25:$E$124,INT(B1028)+1)</f>
        <v/>
      </c>
      <c r="D1028" s="7">
        <f>MAX(1,MIN(INT(B1028/$C$4)+1,$C$5))</f>
        <v/>
      </c>
      <c r="E1028" s="26">
        <f>IF($C$5=0,0,INDEX(Symboles!$G$6:$G$101,D1028))</f>
        <v/>
      </c>
      <c r="F1028" s="26">
        <f>IF($C$5=0,0,INDEX(Symboles!$H$6:$H$101,D1028))</f>
        <v/>
      </c>
      <c r="G1028" s="26">
        <f>COS(2*PI()*$C$3*B1028)</f>
        <v/>
      </c>
      <c r="H1028" s="26">
        <f>SIN(2*PI()*$C$3*B1028)</f>
        <v/>
      </c>
      <c r="I1028" s="26">
        <f>E1028*G1028+F1028*H1028</f>
        <v/>
      </c>
    </row>
    <row r="1029">
      <c r="A1029" s="7" t="n">
        <v>1022</v>
      </c>
      <c r="B1029" s="26">
        <f>(A1029-1)/2000*$C$2</f>
        <v/>
      </c>
      <c r="C1029" s="7">
        <f>INDEX(Bits!$E$25:$E$124,INT(B1029)+1)</f>
        <v/>
      </c>
      <c r="D1029" s="7">
        <f>MAX(1,MIN(INT(B1029/$C$4)+1,$C$5))</f>
        <v/>
      </c>
      <c r="E1029" s="26">
        <f>IF($C$5=0,0,INDEX(Symboles!$G$6:$G$101,D1029))</f>
        <v/>
      </c>
      <c r="F1029" s="26">
        <f>IF($C$5=0,0,INDEX(Symboles!$H$6:$H$101,D1029))</f>
        <v/>
      </c>
      <c r="G1029" s="26">
        <f>COS(2*PI()*$C$3*B1029)</f>
        <v/>
      </c>
      <c r="H1029" s="26">
        <f>SIN(2*PI()*$C$3*B1029)</f>
        <v/>
      </c>
      <c r="I1029" s="26">
        <f>E1029*G1029+F1029*H1029</f>
        <v/>
      </c>
    </row>
    <row r="1030">
      <c r="A1030" s="7" t="n">
        <v>1023</v>
      </c>
      <c r="B1030" s="26">
        <f>(A1030-1)/2000*$C$2</f>
        <v/>
      </c>
      <c r="C1030" s="7">
        <f>INDEX(Bits!$E$25:$E$124,INT(B1030)+1)</f>
        <v/>
      </c>
      <c r="D1030" s="7">
        <f>MAX(1,MIN(INT(B1030/$C$4)+1,$C$5))</f>
        <v/>
      </c>
      <c r="E1030" s="26">
        <f>IF($C$5=0,0,INDEX(Symboles!$G$6:$G$101,D1030))</f>
        <v/>
      </c>
      <c r="F1030" s="26">
        <f>IF($C$5=0,0,INDEX(Symboles!$H$6:$H$101,D1030))</f>
        <v/>
      </c>
      <c r="G1030" s="26">
        <f>COS(2*PI()*$C$3*B1030)</f>
        <v/>
      </c>
      <c r="H1030" s="26">
        <f>SIN(2*PI()*$C$3*B1030)</f>
        <v/>
      </c>
      <c r="I1030" s="26">
        <f>E1030*G1030+F1030*H1030</f>
        <v/>
      </c>
    </row>
    <row r="1031">
      <c r="A1031" s="7" t="n">
        <v>1024</v>
      </c>
      <c r="B1031" s="26">
        <f>(A1031-1)/2000*$C$2</f>
        <v/>
      </c>
      <c r="C1031" s="7">
        <f>INDEX(Bits!$E$25:$E$124,INT(B1031)+1)</f>
        <v/>
      </c>
      <c r="D1031" s="7">
        <f>MAX(1,MIN(INT(B1031/$C$4)+1,$C$5))</f>
        <v/>
      </c>
      <c r="E1031" s="26">
        <f>IF($C$5=0,0,INDEX(Symboles!$G$6:$G$101,D1031))</f>
        <v/>
      </c>
      <c r="F1031" s="26">
        <f>IF($C$5=0,0,INDEX(Symboles!$H$6:$H$101,D1031))</f>
        <v/>
      </c>
      <c r="G1031" s="26">
        <f>COS(2*PI()*$C$3*B1031)</f>
        <v/>
      </c>
      <c r="H1031" s="26">
        <f>SIN(2*PI()*$C$3*B1031)</f>
        <v/>
      </c>
      <c r="I1031" s="26">
        <f>E1031*G1031+F1031*H1031</f>
        <v/>
      </c>
    </row>
    <row r="1032">
      <c r="A1032" s="7" t="n">
        <v>1025</v>
      </c>
      <c r="B1032" s="26">
        <f>(A1032-1)/2000*$C$2</f>
        <v/>
      </c>
      <c r="C1032" s="7">
        <f>INDEX(Bits!$E$25:$E$124,INT(B1032)+1)</f>
        <v/>
      </c>
      <c r="D1032" s="7">
        <f>MAX(1,MIN(INT(B1032/$C$4)+1,$C$5))</f>
        <v/>
      </c>
      <c r="E1032" s="26">
        <f>IF($C$5=0,0,INDEX(Symboles!$G$6:$G$101,D1032))</f>
        <v/>
      </c>
      <c r="F1032" s="26">
        <f>IF($C$5=0,0,INDEX(Symboles!$H$6:$H$101,D1032))</f>
        <v/>
      </c>
      <c r="G1032" s="26">
        <f>COS(2*PI()*$C$3*B1032)</f>
        <v/>
      </c>
      <c r="H1032" s="26">
        <f>SIN(2*PI()*$C$3*B1032)</f>
        <v/>
      </c>
      <c r="I1032" s="26">
        <f>E1032*G1032+F1032*H1032</f>
        <v/>
      </c>
    </row>
    <row r="1033">
      <c r="A1033" s="7" t="n">
        <v>1026</v>
      </c>
      <c r="B1033" s="26">
        <f>(A1033-1)/2000*$C$2</f>
        <v/>
      </c>
      <c r="C1033" s="7">
        <f>INDEX(Bits!$E$25:$E$124,INT(B1033)+1)</f>
        <v/>
      </c>
      <c r="D1033" s="7">
        <f>MAX(1,MIN(INT(B1033/$C$4)+1,$C$5))</f>
        <v/>
      </c>
      <c r="E1033" s="26">
        <f>IF($C$5=0,0,INDEX(Symboles!$G$6:$G$101,D1033))</f>
        <v/>
      </c>
      <c r="F1033" s="26">
        <f>IF($C$5=0,0,INDEX(Symboles!$H$6:$H$101,D1033))</f>
        <v/>
      </c>
      <c r="G1033" s="26">
        <f>COS(2*PI()*$C$3*B1033)</f>
        <v/>
      </c>
      <c r="H1033" s="26">
        <f>SIN(2*PI()*$C$3*B1033)</f>
        <v/>
      </c>
      <c r="I1033" s="26">
        <f>E1033*G1033+F1033*H1033</f>
        <v/>
      </c>
    </row>
    <row r="1034">
      <c r="A1034" s="7" t="n">
        <v>1027</v>
      </c>
      <c r="B1034" s="26">
        <f>(A1034-1)/2000*$C$2</f>
        <v/>
      </c>
      <c r="C1034" s="7">
        <f>INDEX(Bits!$E$25:$E$124,INT(B1034)+1)</f>
        <v/>
      </c>
      <c r="D1034" s="7">
        <f>MAX(1,MIN(INT(B1034/$C$4)+1,$C$5))</f>
        <v/>
      </c>
      <c r="E1034" s="26">
        <f>IF($C$5=0,0,INDEX(Symboles!$G$6:$G$101,D1034))</f>
        <v/>
      </c>
      <c r="F1034" s="26">
        <f>IF($C$5=0,0,INDEX(Symboles!$H$6:$H$101,D1034))</f>
        <v/>
      </c>
      <c r="G1034" s="26">
        <f>COS(2*PI()*$C$3*B1034)</f>
        <v/>
      </c>
      <c r="H1034" s="26">
        <f>SIN(2*PI()*$C$3*B1034)</f>
        <v/>
      </c>
      <c r="I1034" s="26">
        <f>E1034*G1034+F1034*H1034</f>
        <v/>
      </c>
    </row>
    <row r="1035">
      <c r="A1035" s="7" t="n">
        <v>1028</v>
      </c>
      <c r="B1035" s="26">
        <f>(A1035-1)/2000*$C$2</f>
        <v/>
      </c>
      <c r="C1035" s="7">
        <f>INDEX(Bits!$E$25:$E$124,INT(B1035)+1)</f>
        <v/>
      </c>
      <c r="D1035" s="7">
        <f>MAX(1,MIN(INT(B1035/$C$4)+1,$C$5))</f>
        <v/>
      </c>
      <c r="E1035" s="26">
        <f>IF($C$5=0,0,INDEX(Symboles!$G$6:$G$101,D1035))</f>
        <v/>
      </c>
      <c r="F1035" s="26">
        <f>IF($C$5=0,0,INDEX(Symboles!$H$6:$H$101,D1035))</f>
        <v/>
      </c>
      <c r="G1035" s="26">
        <f>COS(2*PI()*$C$3*B1035)</f>
        <v/>
      </c>
      <c r="H1035" s="26">
        <f>SIN(2*PI()*$C$3*B1035)</f>
        <v/>
      </c>
      <c r="I1035" s="26">
        <f>E1035*G1035+F1035*H1035</f>
        <v/>
      </c>
    </row>
    <row r="1036">
      <c r="A1036" s="7" t="n">
        <v>1029</v>
      </c>
      <c r="B1036" s="26">
        <f>(A1036-1)/2000*$C$2</f>
        <v/>
      </c>
      <c r="C1036" s="7">
        <f>INDEX(Bits!$E$25:$E$124,INT(B1036)+1)</f>
        <v/>
      </c>
      <c r="D1036" s="7">
        <f>MAX(1,MIN(INT(B1036/$C$4)+1,$C$5))</f>
        <v/>
      </c>
      <c r="E1036" s="26">
        <f>IF($C$5=0,0,INDEX(Symboles!$G$6:$G$101,D1036))</f>
        <v/>
      </c>
      <c r="F1036" s="26">
        <f>IF($C$5=0,0,INDEX(Symboles!$H$6:$H$101,D1036))</f>
        <v/>
      </c>
      <c r="G1036" s="26">
        <f>COS(2*PI()*$C$3*B1036)</f>
        <v/>
      </c>
      <c r="H1036" s="26">
        <f>SIN(2*PI()*$C$3*B1036)</f>
        <v/>
      </c>
      <c r="I1036" s="26">
        <f>E1036*G1036+F1036*H1036</f>
        <v/>
      </c>
    </row>
    <row r="1037">
      <c r="A1037" s="7" t="n">
        <v>1030</v>
      </c>
      <c r="B1037" s="26">
        <f>(A1037-1)/2000*$C$2</f>
        <v/>
      </c>
      <c r="C1037" s="7">
        <f>INDEX(Bits!$E$25:$E$124,INT(B1037)+1)</f>
        <v/>
      </c>
      <c r="D1037" s="7">
        <f>MAX(1,MIN(INT(B1037/$C$4)+1,$C$5))</f>
        <v/>
      </c>
      <c r="E1037" s="26">
        <f>IF($C$5=0,0,INDEX(Symboles!$G$6:$G$101,D1037))</f>
        <v/>
      </c>
      <c r="F1037" s="26">
        <f>IF($C$5=0,0,INDEX(Symboles!$H$6:$H$101,D1037))</f>
        <v/>
      </c>
      <c r="G1037" s="26">
        <f>COS(2*PI()*$C$3*B1037)</f>
        <v/>
      </c>
      <c r="H1037" s="26">
        <f>SIN(2*PI()*$C$3*B1037)</f>
        <v/>
      </c>
      <c r="I1037" s="26">
        <f>E1037*G1037+F1037*H1037</f>
        <v/>
      </c>
    </row>
    <row r="1038">
      <c r="A1038" s="7" t="n">
        <v>1031</v>
      </c>
      <c r="B1038" s="26">
        <f>(A1038-1)/2000*$C$2</f>
        <v/>
      </c>
      <c r="C1038" s="7">
        <f>INDEX(Bits!$E$25:$E$124,INT(B1038)+1)</f>
        <v/>
      </c>
      <c r="D1038" s="7">
        <f>MAX(1,MIN(INT(B1038/$C$4)+1,$C$5))</f>
        <v/>
      </c>
      <c r="E1038" s="26">
        <f>IF($C$5=0,0,INDEX(Symboles!$G$6:$G$101,D1038))</f>
        <v/>
      </c>
      <c r="F1038" s="26">
        <f>IF($C$5=0,0,INDEX(Symboles!$H$6:$H$101,D1038))</f>
        <v/>
      </c>
      <c r="G1038" s="26">
        <f>COS(2*PI()*$C$3*B1038)</f>
        <v/>
      </c>
      <c r="H1038" s="26">
        <f>SIN(2*PI()*$C$3*B1038)</f>
        <v/>
      </c>
      <c r="I1038" s="26">
        <f>E1038*G1038+F1038*H1038</f>
        <v/>
      </c>
    </row>
    <row r="1039">
      <c r="A1039" s="7" t="n">
        <v>1032</v>
      </c>
      <c r="B1039" s="26">
        <f>(A1039-1)/2000*$C$2</f>
        <v/>
      </c>
      <c r="C1039" s="7">
        <f>INDEX(Bits!$E$25:$E$124,INT(B1039)+1)</f>
        <v/>
      </c>
      <c r="D1039" s="7">
        <f>MAX(1,MIN(INT(B1039/$C$4)+1,$C$5))</f>
        <v/>
      </c>
      <c r="E1039" s="26">
        <f>IF($C$5=0,0,INDEX(Symboles!$G$6:$G$101,D1039))</f>
        <v/>
      </c>
      <c r="F1039" s="26">
        <f>IF($C$5=0,0,INDEX(Symboles!$H$6:$H$101,D1039))</f>
        <v/>
      </c>
      <c r="G1039" s="26">
        <f>COS(2*PI()*$C$3*B1039)</f>
        <v/>
      </c>
      <c r="H1039" s="26">
        <f>SIN(2*PI()*$C$3*B1039)</f>
        <v/>
      </c>
      <c r="I1039" s="26">
        <f>E1039*G1039+F1039*H1039</f>
        <v/>
      </c>
    </row>
    <row r="1040">
      <c r="A1040" s="7" t="n">
        <v>1033</v>
      </c>
      <c r="B1040" s="26">
        <f>(A1040-1)/2000*$C$2</f>
        <v/>
      </c>
      <c r="C1040" s="7">
        <f>INDEX(Bits!$E$25:$E$124,INT(B1040)+1)</f>
        <v/>
      </c>
      <c r="D1040" s="7">
        <f>MAX(1,MIN(INT(B1040/$C$4)+1,$C$5))</f>
        <v/>
      </c>
      <c r="E1040" s="26">
        <f>IF($C$5=0,0,INDEX(Symboles!$G$6:$G$101,D1040))</f>
        <v/>
      </c>
      <c r="F1040" s="26">
        <f>IF($C$5=0,0,INDEX(Symboles!$H$6:$H$101,D1040))</f>
        <v/>
      </c>
      <c r="G1040" s="26">
        <f>COS(2*PI()*$C$3*B1040)</f>
        <v/>
      </c>
      <c r="H1040" s="26">
        <f>SIN(2*PI()*$C$3*B1040)</f>
        <v/>
      </c>
      <c r="I1040" s="26">
        <f>E1040*G1040+F1040*H1040</f>
        <v/>
      </c>
    </row>
    <row r="1041">
      <c r="A1041" s="7" t="n">
        <v>1034</v>
      </c>
      <c r="B1041" s="26">
        <f>(A1041-1)/2000*$C$2</f>
        <v/>
      </c>
      <c r="C1041" s="7">
        <f>INDEX(Bits!$E$25:$E$124,INT(B1041)+1)</f>
        <v/>
      </c>
      <c r="D1041" s="7">
        <f>MAX(1,MIN(INT(B1041/$C$4)+1,$C$5))</f>
        <v/>
      </c>
      <c r="E1041" s="26">
        <f>IF($C$5=0,0,INDEX(Symboles!$G$6:$G$101,D1041))</f>
        <v/>
      </c>
      <c r="F1041" s="26">
        <f>IF($C$5=0,0,INDEX(Symboles!$H$6:$H$101,D1041))</f>
        <v/>
      </c>
      <c r="G1041" s="26">
        <f>COS(2*PI()*$C$3*B1041)</f>
        <v/>
      </c>
      <c r="H1041" s="26">
        <f>SIN(2*PI()*$C$3*B1041)</f>
        <v/>
      </c>
      <c r="I1041" s="26">
        <f>E1041*G1041+F1041*H1041</f>
        <v/>
      </c>
    </row>
    <row r="1042">
      <c r="A1042" s="7" t="n">
        <v>1035</v>
      </c>
      <c r="B1042" s="26">
        <f>(A1042-1)/2000*$C$2</f>
        <v/>
      </c>
      <c r="C1042" s="7">
        <f>INDEX(Bits!$E$25:$E$124,INT(B1042)+1)</f>
        <v/>
      </c>
      <c r="D1042" s="7">
        <f>MAX(1,MIN(INT(B1042/$C$4)+1,$C$5))</f>
        <v/>
      </c>
      <c r="E1042" s="26">
        <f>IF($C$5=0,0,INDEX(Symboles!$G$6:$G$101,D1042))</f>
        <v/>
      </c>
      <c r="F1042" s="26">
        <f>IF($C$5=0,0,INDEX(Symboles!$H$6:$H$101,D1042))</f>
        <v/>
      </c>
      <c r="G1042" s="26">
        <f>COS(2*PI()*$C$3*B1042)</f>
        <v/>
      </c>
      <c r="H1042" s="26">
        <f>SIN(2*PI()*$C$3*B1042)</f>
        <v/>
      </c>
      <c r="I1042" s="26">
        <f>E1042*G1042+F1042*H1042</f>
        <v/>
      </c>
    </row>
    <row r="1043">
      <c r="A1043" s="7" t="n">
        <v>1036</v>
      </c>
      <c r="B1043" s="26">
        <f>(A1043-1)/2000*$C$2</f>
        <v/>
      </c>
      <c r="C1043" s="7">
        <f>INDEX(Bits!$E$25:$E$124,INT(B1043)+1)</f>
        <v/>
      </c>
      <c r="D1043" s="7">
        <f>MAX(1,MIN(INT(B1043/$C$4)+1,$C$5))</f>
        <v/>
      </c>
      <c r="E1043" s="26">
        <f>IF($C$5=0,0,INDEX(Symboles!$G$6:$G$101,D1043))</f>
        <v/>
      </c>
      <c r="F1043" s="26">
        <f>IF($C$5=0,0,INDEX(Symboles!$H$6:$H$101,D1043))</f>
        <v/>
      </c>
      <c r="G1043" s="26">
        <f>COS(2*PI()*$C$3*B1043)</f>
        <v/>
      </c>
      <c r="H1043" s="26">
        <f>SIN(2*PI()*$C$3*B1043)</f>
        <v/>
      </c>
      <c r="I1043" s="26">
        <f>E1043*G1043+F1043*H1043</f>
        <v/>
      </c>
    </row>
    <row r="1044">
      <c r="A1044" s="7" t="n">
        <v>1037</v>
      </c>
      <c r="B1044" s="26">
        <f>(A1044-1)/2000*$C$2</f>
        <v/>
      </c>
      <c r="C1044" s="7">
        <f>INDEX(Bits!$E$25:$E$124,INT(B1044)+1)</f>
        <v/>
      </c>
      <c r="D1044" s="7">
        <f>MAX(1,MIN(INT(B1044/$C$4)+1,$C$5))</f>
        <v/>
      </c>
      <c r="E1044" s="26">
        <f>IF($C$5=0,0,INDEX(Symboles!$G$6:$G$101,D1044))</f>
        <v/>
      </c>
      <c r="F1044" s="26">
        <f>IF($C$5=0,0,INDEX(Symboles!$H$6:$H$101,D1044))</f>
        <v/>
      </c>
      <c r="G1044" s="26">
        <f>COS(2*PI()*$C$3*B1044)</f>
        <v/>
      </c>
      <c r="H1044" s="26">
        <f>SIN(2*PI()*$C$3*B1044)</f>
        <v/>
      </c>
      <c r="I1044" s="26">
        <f>E1044*G1044+F1044*H1044</f>
        <v/>
      </c>
    </row>
    <row r="1045">
      <c r="A1045" s="7" t="n">
        <v>1038</v>
      </c>
      <c r="B1045" s="26">
        <f>(A1045-1)/2000*$C$2</f>
        <v/>
      </c>
      <c r="C1045" s="7">
        <f>INDEX(Bits!$E$25:$E$124,INT(B1045)+1)</f>
        <v/>
      </c>
      <c r="D1045" s="7">
        <f>MAX(1,MIN(INT(B1045/$C$4)+1,$C$5))</f>
        <v/>
      </c>
      <c r="E1045" s="26">
        <f>IF($C$5=0,0,INDEX(Symboles!$G$6:$G$101,D1045))</f>
        <v/>
      </c>
      <c r="F1045" s="26">
        <f>IF($C$5=0,0,INDEX(Symboles!$H$6:$H$101,D1045))</f>
        <v/>
      </c>
      <c r="G1045" s="26">
        <f>COS(2*PI()*$C$3*B1045)</f>
        <v/>
      </c>
      <c r="H1045" s="26">
        <f>SIN(2*PI()*$C$3*B1045)</f>
        <v/>
      </c>
      <c r="I1045" s="26">
        <f>E1045*G1045+F1045*H1045</f>
        <v/>
      </c>
    </row>
    <row r="1046">
      <c r="A1046" s="7" t="n">
        <v>1039</v>
      </c>
      <c r="B1046" s="26">
        <f>(A1046-1)/2000*$C$2</f>
        <v/>
      </c>
      <c r="C1046" s="7">
        <f>INDEX(Bits!$E$25:$E$124,INT(B1046)+1)</f>
        <v/>
      </c>
      <c r="D1046" s="7">
        <f>MAX(1,MIN(INT(B1046/$C$4)+1,$C$5))</f>
        <v/>
      </c>
      <c r="E1046" s="26">
        <f>IF($C$5=0,0,INDEX(Symboles!$G$6:$G$101,D1046))</f>
        <v/>
      </c>
      <c r="F1046" s="26">
        <f>IF($C$5=0,0,INDEX(Symboles!$H$6:$H$101,D1046))</f>
        <v/>
      </c>
      <c r="G1046" s="26">
        <f>COS(2*PI()*$C$3*B1046)</f>
        <v/>
      </c>
      <c r="H1046" s="26">
        <f>SIN(2*PI()*$C$3*B1046)</f>
        <v/>
      </c>
      <c r="I1046" s="26">
        <f>E1046*G1046+F1046*H1046</f>
        <v/>
      </c>
    </row>
    <row r="1047">
      <c r="A1047" s="7" t="n">
        <v>1040</v>
      </c>
      <c r="B1047" s="26">
        <f>(A1047-1)/2000*$C$2</f>
        <v/>
      </c>
      <c r="C1047" s="7">
        <f>INDEX(Bits!$E$25:$E$124,INT(B1047)+1)</f>
        <v/>
      </c>
      <c r="D1047" s="7">
        <f>MAX(1,MIN(INT(B1047/$C$4)+1,$C$5))</f>
        <v/>
      </c>
      <c r="E1047" s="26">
        <f>IF($C$5=0,0,INDEX(Symboles!$G$6:$G$101,D1047))</f>
        <v/>
      </c>
      <c r="F1047" s="26">
        <f>IF($C$5=0,0,INDEX(Symboles!$H$6:$H$101,D1047))</f>
        <v/>
      </c>
      <c r="G1047" s="26">
        <f>COS(2*PI()*$C$3*B1047)</f>
        <v/>
      </c>
      <c r="H1047" s="26">
        <f>SIN(2*PI()*$C$3*B1047)</f>
        <v/>
      </c>
      <c r="I1047" s="26">
        <f>E1047*G1047+F1047*H1047</f>
        <v/>
      </c>
    </row>
    <row r="1048">
      <c r="A1048" s="7" t="n">
        <v>1041</v>
      </c>
      <c r="B1048" s="26">
        <f>(A1048-1)/2000*$C$2</f>
        <v/>
      </c>
      <c r="C1048" s="7">
        <f>INDEX(Bits!$E$25:$E$124,INT(B1048)+1)</f>
        <v/>
      </c>
      <c r="D1048" s="7">
        <f>MAX(1,MIN(INT(B1048/$C$4)+1,$C$5))</f>
        <v/>
      </c>
      <c r="E1048" s="26">
        <f>IF($C$5=0,0,INDEX(Symboles!$G$6:$G$101,D1048))</f>
        <v/>
      </c>
      <c r="F1048" s="26">
        <f>IF($C$5=0,0,INDEX(Symboles!$H$6:$H$101,D1048))</f>
        <v/>
      </c>
      <c r="G1048" s="26">
        <f>COS(2*PI()*$C$3*B1048)</f>
        <v/>
      </c>
      <c r="H1048" s="26">
        <f>SIN(2*PI()*$C$3*B1048)</f>
        <v/>
      </c>
      <c r="I1048" s="26">
        <f>E1048*G1048+F1048*H1048</f>
        <v/>
      </c>
    </row>
    <row r="1049">
      <c r="A1049" s="7" t="n">
        <v>1042</v>
      </c>
      <c r="B1049" s="26">
        <f>(A1049-1)/2000*$C$2</f>
        <v/>
      </c>
      <c r="C1049" s="7">
        <f>INDEX(Bits!$E$25:$E$124,INT(B1049)+1)</f>
        <v/>
      </c>
      <c r="D1049" s="7">
        <f>MAX(1,MIN(INT(B1049/$C$4)+1,$C$5))</f>
        <v/>
      </c>
      <c r="E1049" s="26">
        <f>IF($C$5=0,0,INDEX(Symboles!$G$6:$G$101,D1049))</f>
        <v/>
      </c>
      <c r="F1049" s="26">
        <f>IF($C$5=0,0,INDEX(Symboles!$H$6:$H$101,D1049))</f>
        <v/>
      </c>
      <c r="G1049" s="26">
        <f>COS(2*PI()*$C$3*B1049)</f>
        <v/>
      </c>
      <c r="H1049" s="26">
        <f>SIN(2*PI()*$C$3*B1049)</f>
        <v/>
      </c>
      <c r="I1049" s="26">
        <f>E1049*G1049+F1049*H1049</f>
        <v/>
      </c>
    </row>
    <row r="1050">
      <c r="A1050" s="7" t="n">
        <v>1043</v>
      </c>
      <c r="B1050" s="26">
        <f>(A1050-1)/2000*$C$2</f>
        <v/>
      </c>
      <c r="C1050" s="7">
        <f>INDEX(Bits!$E$25:$E$124,INT(B1050)+1)</f>
        <v/>
      </c>
      <c r="D1050" s="7">
        <f>MAX(1,MIN(INT(B1050/$C$4)+1,$C$5))</f>
        <v/>
      </c>
      <c r="E1050" s="26">
        <f>IF($C$5=0,0,INDEX(Symboles!$G$6:$G$101,D1050))</f>
        <v/>
      </c>
      <c r="F1050" s="26">
        <f>IF($C$5=0,0,INDEX(Symboles!$H$6:$H$101,D1050))</f>
        <v/>
      </c>
      <c r="G1050" s="26">
        <f>COS(2*PI()*$C$3*B1050)</f>
        <v/>
      </c>
      <c r="H1050" s="26">
        <f>SIN(2*PI()*$C$3*B1050)</f>
        <v/>
      </c>
      <c r="I1050" s="26">
        <f>E1050*G1050+F1050*H1050</f>
        <v/>
      </c>
    </row>
    <row r="1051">
      <c r="A1051" s="7" t="n">
        <v>1044</v>
      </c>
      <c r="B1051" s="26">
        <f>(A1051-1)/2000*$C$2</f>
        <v/>
      </c>
      <c r="C1051" s="7">
        <f>INDEX(Bits!$E$25:$E$124,INT(B1051)+1)</f>
        <v/>
      </c>
      <c r="D1051" s="7">
        <f>MAX(1,MIN(INT(B1051/$C$4)+1,$C$5))</f>
        <v/>
      </c>
      <c r="E1051" s="26">
        <f>IF($C$5=0,0,INDEX(Symboles!$G$6:$G$101,D1051))</f>
        <v/>
      </c>
      <c r="F1051" s="26">
        <f>IF($C$5=0,0,INDEX(Symboles!$H$6:$H$101,D1051))</f>
        <v/>
      </c>
      <c r="G1051" s="26">
        <f>COS(2*PI()*$C$3*B1051)</f>
        <v/>
      </c>
      <c r="H1051" s="26">
        <f>SIN(2*PI()*$C$3*B1051)</f>
        <v/>
      </c>
      <c r="I1051" s="26">
        <f>E1051*G1051+F1051*H1051</f>
        <v/>
      </c>
    </row>
    <row r="1052">
      <c r="A1052" s="7" t="n">
        <v>1045</v>
      </c>
      <c r="B1052" s="26">
        <f>(A1052-1)/2000*$C$2</f>
        <v/>
      </c>
      <c r="C1052" s="7">
        <f>INDEX(Bits!$E$25:$E$124,INT(B1052)+1)</f>
        <v/>
      </c>
      <c r="D1052" s="7">
        <f>MAX(1,MIN(INT(B1052/$C$4)+1,$C$5))</f>
        <v/>
      </c>
      <c r="E1052" s="26">
        <f>IF($C$5=0,0,INDEX(Symboles!$G$6:$G$101,D1052))</f>
        <v/>
      </c>
      <c r="F1052" s="26">
        <f>IF($C$5=0,0,INDEX(Symboles!$H$6:$H$101,D1052))</f>
        <v/>
      </c>
      <c r="G1052" s="26">
        <f>COS(2*PI()*$C$3*B1052)</f>
        <v/>
      </c>
      <c r="H1052" s="26">
        <f>SIN(2*PI()*$C$3*B1052)</f>
        <v/>
      </c>
      <c r="I1052" s="26">
        <f>E1052*G1052+F1052*H1052</f>
        <v/>
      </c>
    </row>
    <row r="1053">
      <c r="A1053" s="7" t="n">
        <v>1046</v>
      </c>
      <c r="B1053" s="26">
        <f>(A1053-1)/2000*$C$2</f>
        <v/>
      </c>
      <c r="C1053" s="7">
        <f>INDEX(Bits!$E$25:$E$124,INT(B1053)+1)</f>
        <v/>
      </c>
      <c r="D1053" s="7">
        <f>MAX(1,MIN(INT(B1053/$C$4)+1,$C$5))</f>
        <v/>
      </c>
      <c r="E1053" s="26">
        <f>IF($C$5=0,0,INDEX(Symboles!$G$6:$G$101,D1053))</f>
        <v/>
      </c>
      <c r="F1053" s="26">
        <f>IF($C$5=0,0,INDEX(Symboles!$H$6:$H$101,D1053))</f>
        <v/>
      </c>
      <c r="G1053" s="26">
        <f>COS(2*PI()*$C$3*B1053)</f>
        <v/>
      </c>
      <c r="H1053" s="26">
        <f>SIN(2*PI()*$C$3*B1053)</f>
        <v/>
      </c>
      <c r="I1053" s="26">
        <f>E1053*G1053+F1053*H1053</f>
        <v/>
      </c>
    </row>
    <row r="1054">
      <c r="A1054" s="7" t="n">
        <v>1047</v>
      </c>
      <c r="B1054" s="26">
        <f>(A1054-1)/2000*$C$2</f>
        <v/>
      </c>
      <c r="C1054" s="7">
        <f>INDEX(Bits!$E$25:$E$124,INT(B1054)+1)</f>
        <v/>
      </c>
      <c r="D1054" s="7">
        <f>MAX(1,MIN(INT(B1054/$C$4)+1,$C$5))</f>
        <v/>
      </c>
      <c r="E1054" s="26">
        <f>IF($C$5=0,0,INDEX(Symboles!$G$6:$G$101,D1054))</f>
        <v/>
      </c>
      <c r="F1054" s="26">
        <f>IF($C$5=0,0,INDEX(Symboles!$H$6:$H$101,D1054))</f>
        <v/>
      </c>
      <c r="G1054" s="26">
        <f>COS(2*PI()*$C$3*B1054)</f>
        <v/>
      </c>
      <c r="H1054" s="26">
        <f>SIN(2*PI()*$C$3*B1054)</f>
        <v/>
      </c>
      <c r="I1054" s="26">
        <f>E1054*G1054+F1054*H1054</f>
        <v/>
      </c>
    </row>
    <row r="1055">
      <c r="A1055" s="7" t="n">
        <v>1048</v>
      </c>
      <c r="B1055" s="26">
        <f>(A1055-1)/2000*$C$2</f>
        <v/>
      </c>
      <c r="C1055" s="7">
        <f>INDEX(Bits!$E$25:$E$124,INT(B1055)+1)</f>
        <v/>
      </c>
      <c r="D1055" s="7">
        <f>MAX(1,MIN(INT(B1055/$C$4)+1,$C$5))</f>
        <v/>
      </c>
      <c r="E1055" s="26">
        <f>IF($C$5=0,0,INDEX(Symboles!$G$6:$G$101,D1055))</f>
        <v/>
      </c>
      <c r="F1055" s="26">
        <f>IF($C$5=0,0,INDEX(Symboles!$H$6:$H$101,D1055))</f>
        <v/>
      </c>
      <c r="G1055" s="26">
        <f>COS(2*PI()*$C$3*B1055)</f>
        <v/>
      </c>
      <c r="H1055" s="26">
        <f>SIN(2*PI()*$C$3*B1055)</f>
        <v/>
      </c>
      <c r="I1055" s="26">
        <f>E1055*G1055+F1055*H1055</f>
        <v/>
      </c>
    </row>
    <row r="1056">
      <c r="A1056" s="7" t="n">
        <v>1049</v>
      </c>
      <c r="B1056" s="26">
        <f>(A1056-1)/2000*$C$2</f>
        <v/>
      </c>
      <c r="C1056" s="7">
        <f>INDEX(Bits!$E$25:$E$124,INT(B1056)+1)</f>
        <v/>
      </c>
      <c r="D1056" s="7">
        <f>MAX(1,MIN(INT(B1056/$C$4)+1,$C$5))</f>
        <v/>
      </c>
      <c r="E1056" s="26">
        <f>IF($C$5=0,0,INDEX(Symboles!$G$6:$G$101,D1056))</f>
        <v/>
      </c>
      <c r="F1056" s="26">
        <f>IF($C$5=0,0,INDEX(Symboles!$H$6:$H$101,D1056))</f>
        <v/>
      </c>
      <c r="G1056" s="26">
        <f>COS(2*PI()*$C$3*B1056)</f>
        <v/>
      </c>
      <c r="H1056" s="26">
        <f>SIN(2*PI()*$C$3*B1056)</f>
        <v/>
      </c>
      <c r="I1056" s="26">
        <f>E1056*G1056+F1056*H1056</f>
        <v/>
      </c>
    </row>
    <row r="1057">
      <c r="A1057" s="7" t="n">
        <v>1050</v>
      </c>
      <c r="B1057" s="26">
        <f>(A1057-1)/2000*$C$2</f>
        <v/>
      </c>
      <c r="C1057" s="7">
        <f>INDEX(Bits!$E$25:$E$124,INT(B1057)+1)</f>
        <v/>
      </c>
      <c r="D1057" s="7">
        <f>MAX(1,MIN(INT(B1057/$C$4)+1,$C$5))</f>
        <v/>
      </c>
      <c r="E1057" s="26">
        <f>IF($C$5=0,0,INDEX(Symboles!$G$6:$G$101,D1057))</f>
        <v/>
      </c>
      <c r="F1057" s="26">
        <f>IF($C$5=0,0,INDEX(Symboles!$H$6:$H$101,D1057))</f>
        <v/>
      </c>
      <c r="G1057" s="26">
        <f>COS(2*PI()*$C$3*B1057)</f>
        <v/>
      </c>
      <c r="H1057" s="26">
        <f>SIN(2*PI()*$C$3*B1057)</f>
        <v/>
      </c>
      <c r="I1057" s="26">
        <f>E1057*G1057+F1057*H1057</f>
        <v/>
      </c>
    </row>
    <row r="1058">
      <c r="A1058" s="7" t="n">
        <v>1051</v>
      </c>
      <c r="B1058" s="26">
        <f>(A1058-1)/2000*$C$2</f>
        <v/>
      </c>
      <c r="C1058" s="7">
        <f>INDEX(Bits!$E$25:$E$124,INT(B1058)+1)</f>
        <v/>
      </c>
      <c r="D1058" s="7">
        <f>MAX(1,MIN(INT(B1058/$C$4)+1,$C$5))</f>
        <v/>
      </c>
      <c r="E1058" s="26">
        <f>IF($C$5=0,0,INDEX(Symboles!$G$6:$G$101,D1058))</f>
        <v/>
      </c>
      <c r="F1058" s="26">
        <f>IF($C$5=0,0,INDEX(Symboles!$H$6:$H$101,D1058))</f>
        <v/>
      </c>
      <c r="G1058" s="26">
        <f>COS(2*PI()*$C$3*B1058)</f>
        <v/>
      </c>
      <c r="H1058" s="26">
        <f>SIN(2*PI()*$C$3*B1058)</f>
        <v/>
      </c>
      <c r="I1058" s="26">
        <f>E1058*G1058+F1058*H1058</f>
        <v/>
      </c>
    </row>
    <row r="1059">
      <c r="A1059" s="7" t="n">
        <v>1052</v>
      </c>
      <c r="B1059" s="26">
        <f>(A1059-1)/2000*$C$2</f>
        <v/>
      </c>
      <c r="C1059" s="7">
        <f>INDEX(Bits!$E$25:$E$124,INT(B1059)+1)</f>
        <v/>
      </c>
      <c r="D1059" s="7">
        <f>MAX(1,MIN(INT(B1059/$C$4)+1,$C$5))</f>
        <v/>
      </c>
      <c r="E1059" s="26">
        <f>IF($C$5=0,0,INDEX(Symboles!$G$6:$G$101,D1059))</f>
        <v/>
      </c>
      <c r="F1059" s="26">
        <f>IF($C$5=0,0,INDEX(Symboles!$H$6:$H$101,D1059))</f>
        <v/>
      </c>
      <c r="G1059" s="26">
        <f>COS(2*PI()*$C$3*B1059)</f>
        <v/>
      </c>
      <c r="H1059" s="26">
        <f>SIN(2*PI()*$C$3*B1059)</f>
        <v/>
      </c>
      <c r="I1059" s="26">
        <f>E1059*G1059+F1059*H1059</f>
        <v/>
      </c>
    </row>
    <row r="1060">
      <c r="A1060" s="7" t="n">
        <v>1053</v>
      </c>
      <c r="B1060" s="26">
        <f>(A1060-1)/2000*$C$2</f>
        <v/>
      </c>
      <c r="C1060" s="7">
        <f>INDEX(Bits!$E$25:$E$124,INT(B1060)+1)</f>
        <v/>
      </c>
      <c r="D1060" s="7">
        <f>MAX(1,MIN(INT(B1060/$C$4)+1,$C$5))</f>
        <v/>
      </c>
      <c r="E1060" s="26">
        <f>IF($C$5=0,0,INDEX(Symboles!$G$6:$G$101,D1060))</f>
        <v/>
      </c>
      <c r="F1060" s="26">
        <f>IF($C$5=0,0,INDEX(Symboles!$H$6:$H$101,D1060))</f>
        <v/>
      </c>
      <c r="G1060" s="26">
        <f>COS(2*PI()*$C$3*B1060)</f>
        <v/>
      </c>
      <c r="H1060" s="26">
        <f>SIN(2*PI()*$C$3*B1060)</f>
        <v/>
      </c>
      <c r="I1060" s="26">
        <f>E1060*G1060+F1060*H1060</f>
        <v/>
      </c>
    </row>
    <row r="1061">
      <c r="A1061" s="7" t="n">
        <v>1054</v>
      </c>
      <c r="B1061" s="26">
        <f>(A1061-1)/2000*$C$2</f>
        <v/>
      </c>
      <c r="C1061" s="7">
        <f>INDEX(Bits!$E$25:$E$124,INT(B1061)+1)</f>
        <v/>
      </c>
      <c r="D1061" s="7">
        <f>MAX(1,MIN(INT(B1061/$C$4)+1,$C$5))</f>
        <v/>
      </c>
      <c r="E1061" s="26">
        <f>IF($C$5=0,0,INDEX(Symboles!$G$6:$G$101,D1061))</f>
        <v/>
      </c>
      <c r="F1061" s="26">
        <f>IF($C$5=0,0,INDEX(Symboles!$H$6:$H$101,D1061))</f>
        <v/>
      </c>
      <c r="G1061" s="26">
        <f>COS(2*PI()*$C$3*B1061)</f>
        <v/>
      </c>
      <c r="H1061" s="26">
        <f>SIN(2*PI()*$C$3*B1061)</f>
        <v/>
      </c>
      <c r="I1061" s="26">
        <f>E1061*G1061+F1061*H1061</f>
        <v/>
      </c>
    </row>
    <row r="1062">
      <c r="A1062" s="7" t="n">
        <v>1055</v>
      </c>
      <c r="B1062" s="26">
        <f>(A1062-1)/2000*$C$2</f>
        <v/>
      </c>
      <c r="C1062" s="7">
        <f>INDEX(Bits!$E$25:$E$124,INT(B1062)+1)</f>
        <v/>
      </c>
      <c r="D1062" s="7">
        <f>MAX(1,MIN(INT(B1062/$C$4)+1,$C$5))</f>
        <v/>
      </c>
      <c r="E1062" s="26">
        <f>IF($C$5=0,0,INDEX(Symboles!$G$6:$G$101,D1062))</f>
        <v/>
      </c>
      <c r="F1062" s="26">
        <f>IF($C$5=0,0,INDEX(Symboles!$H$6:$H$101,D1062))</f>
        <v/>
      </c>
      <c r="G1062" s="26">
        <f>COS(2*PI()*$C$3*B1062)</f>
        <v/>
      </c>
      <c r="H1062" s="26">
        <f>SIN(2*PI()*$C$3*B1062)</f>
        <v/>
      </c>
      <c r="I1062" s="26">
        <f>E1062*G1062+F1062*H1062</f>
        <v/>
      </c>
    </row>
    <row r="1063">
      <c r="A1063" s="7" t="n">
        <v>1056</v>
      </c>
      <c r="B1063" s="26">
        <f>(A1063-1)/2000*$C$2</f>
        <v/>
      </c>
      <c r="C1063" s="7">
        <f>INDEX(Bits!$E$25:$E$124,INT(B1063)+1)</f>
        <v/>
      </c>
      <c r="D1063" s="7">
        <f>MAX(1,MIN(INT(B1063/$C$4)+1,$C$5))</f>
        <v/>
      </c>
      <c r="E1063" s="26">
        <f>IF($C$5=0,0,INDEX(Symboles!$G$6:$G$101,D1063))</f>
        <v/>
      </c>
      <c r="F1063" s="26">
        <f>IF($C$5=0,0,INDEX(Symboles!$H$6:$H$101,D1063))</f>
        <v/>
      </c>
      <c r="G1063" s="26">
        <f>COS(2*PI()*$C$3*B1063)</f>
        <v/>
      </c>
      <c r="H1063" s="26">
        <f>SIN(2*PI()*$C$3*B1063)</f>
        <v/>
      </c>
      <c r="I1063" s="26">
        <f>E1063*G1063+F1063*H1063</f>
        <v/>
      </c>
    </row>
    <row r="1064">
      <c r="A1064" s="7" t="n">
        <v>1057</v>
      </c>
      <c r="B1064" s="26">
        <f>(A1064-1)/2000*$C$2</f>
        <v/>
      </c>
      <c r="C1064" s="7">
        <f>INDEX(Bits!$E$25:$E$124,INT(B1064)+1)</f>
        <v/>
      </c>
      <c r="D1064" s="7">
        <f>MAX(1,MIN(INT(B1064/$C$4)+1,$C$5))</f>
        <v/>
      </c>
      <c r="E1064" s="26">
        <f>IF($C$5=0,0,INDEX(Symboles!$G$6:$G$101,D1064))</f>
        <v/>
      </c>
      <c r="F1064" s="26">
        <f>IF($C$5=0,0,INDEX(Symboles!$H$6:$H$101,D1064))</f>
        <v/>
      </c>
      <c r="G1064" s="26">
        <f>COS(2*PI()*$C$3*B1064)</f>
        <v/>
      </c>
      <c r="H1064" s="26">
        <f>SIN(2*PI()*$C$3*B1064)</f>
        <v/>
      </c>
      <c r="I1064" s="26">
        <f>E1064*G1064+F1064*H1064</f>
        <v/>
      </c>
    </row>
    <row r="1065">
      <c r="A1065" s="7" t="n">
        <v>1058</v>
      </c>
      <c r="B1065" s="26">
        <f>(A1065-1)/2000*$C$2</f>
        <v/>
      </c>
      <c r="C1065" s="7">
        <f>INDEX(Bits!$E$25:$E$124,INT(B1065)+1)</f>
        <v/>
      </c>
      <c r="D1065" s="7">
        <f>MAX(1,MIN(INT(B1065/$C$4)+1,$C$5))</f>
        <v/>
      </c>
      <c r="E1065" s="26">
        <f>IF($C$5=0,0,INDEX(Symboles!$G$6:$G$101,D1065))</f>
        <v/>
      </c>
      <c r="F1065" s="26">
        <f>IF($C$5=0,0,INDEX(Symboles!$H$6:$H$101,D1065))</f>
        <v/>
      </c>
      <c r="G1065" s="26">
        <f>COS(2*PI()*$C$3*B1065)</f>
        <v/>
      </c>
      <c r="H1065" s="26">
        <f>SIN(2*PI()*$C$3*B1065)</f>
        <v/>
      </c>
      <c r="I1065" s="26">
        <f>E1065*G1065+F1065*H1065</f>
        <v/>
      </c>
    </row>
    <row r="1066">
      <c r="A1066" s="7" t="n">
        <v>1059</v>
      </c>
      <c r="B1066" s="26">
        <f>(A1066-1)/2000*$C$2</f>
        <v/>
      </c>
      <c r="C1066" s="7">
        <f>INDEX(Bits!$E$25:$E$124,INT(B1066)+1)</f>
        <v/>
      </c>
      <c r="D1066" s="7">
        <f>MAX(1,MIN(INT(B1066/$C$4)+1,$C$5))</f>
        <v/>
      </c>
      <c r="E1066" s="26">
        <f>IF($C$5=0,0,INDEX(Symboles!$G$6:$G$101,D1066))</f>
        <v/>
      </c>
      <c r="F1066" s="26">
        <f>IF($C$5=0,0,INDEX(Symboles!$H$6:$H$101,D1066))</f>
        <v/>
      </c>
      <c r="G1066" s="26">
        <f>COS(2*PI()*$C$3*B1066)</f>
        <v/>
      </c>
      <c r="H1066" s="26">
        <f>SIN(2*PI()*$C$3*B1066)</f>
        <v/>
      </c>
      <c r="I1066" s="26">
        <f>E1066*G1066+F1066*H1066</f>
        <v/>
      </c>
    </row>
    <row r="1067">
      <c r="A1067" s="7" t="n">
        <v>1060</v>
      </c>
      <c r="B1067" s="26">
        <f>(A1067-1)/2000*$C$2</f>
        <v/>
      </c>
      <c r="C1067" s="7">
        <f>INDEX(Bits!$E$25:$E$124,INT(B1067)+1)</f>
        <v/>
      </c>
      <c r="D1067" s="7">
        <f>MAX(1,MIN(INT(B1067/$C$4)+1,$C$5))</f>
        <v/>
      </c>
      <c r="E1067" s="26">
        <f>IF($C$5=0,0,INDEX(Symboles!$G$6:$G$101,D1067))</f>
        <v/>
      </c>
      <c r="F1067" s="26">
        <f>IF($C$5=0,0,INDEX(Symboles!$H$6:$H$101,D1067))</f>
        <v/>
      </c>
      <c r="G1067" s="26">
        <f>COS(2*PI()*$C$3*B1067)</f>
        <v/>
      </c>
      <c r="H1067" s="26">
        <f>SIN(2*PI()*$C$3*B1067)</f>
        <v/>
      </c>
      <c r="I1067" s="26">
        <f>E1067*G1067+F1067*H1067</f>
        <v/>
      </c>
    </row>
    <row r="1068">
      <c r="A1068" s="7" t="n">
        <v>1061</v>
      </c>
      <c r="B1068" s="26">
        <f>(A1068-1)/2000*$C$2</f>
        <v/>
      </c>
      <c r="C1068" s="7">
        <f>INDEX(Bits!$E$25:$E$124,INT(B1068)+1)</f>
        <v/>
      </c>
      <c r="D1068" s="7">
        <f>MAX(1,MIN(INT(B1068/$C$4)+1,$C$5))</f>
        <v/>
      </c>
      <c r="E1068" s="26">
        <f>IF($C$5=0,0,INDEX(Symboles!$G$6:$G$101,D1068))</f>
        <v/>
      </c>
      <c r="F1068" s="26">
        <f>IF($C$5=0,0,INDEX(Symboles!$H$6:$H$101,D1068))</f>
        <v/>
      </c>
      <c r="G1068" s="26">
        <f>COS(2*PI()*$C$3*B1068)</f>
        <v/>
      </c>
      <c r="H1068" s="26">
        <f>SIN(2*PI()*$C$3*B1068)</f>
        <v/>
      </c>
      <c r="I1068" s="26">
        <f>E1068*G1068+F1068*H1068</f>
        <v/>
      </c>
    </row>
    <row r="1069">
      <c r="A1069" s="7" t="n">
        <v>1062</v>
      </c>
      <c r="B1069" s="26">
        <f>(A1069-1)/2000*$C$2</f>
        <v/>
      </c>
      <c r="C1069" s="7">
        <f>INDEX(Bits!$E$25:$E$124,INT(B1069)+1)</f>
        <v/>
      </c>
      <c r="D1069" s="7">
        <f>MAX(1,MIN(INT(B1069/$C$4)+1,$C$5))</f>
        <v/>
      </c>
      <c r="E1069" s="26">
        <f>IF($C$5=0,0,INDEX(Symboles!$G$6:$G$101,D1069))</f>
        <v/>
      </c>
      <c r="F1069" s="26">
        <f>IF($C$5=0,0,INDEX(Symboles!$H$6:$H$101,D1069))</f>
        <v/>
      </c>
      <c r="G1069" s="26">
        <f>COS(2*PI()*$C$3*B1069)</f>
        <v/>
      </c>
      <c r="H1069" s="26">
        <f>SIN(2*PI()*$C$3*B1069)</f>
        <v/>
      </c>
      <c r="I1069" s="26">
        <f>E1069*G1069+F1069*H1069</f>
        <v/>
      </c>
    </row>
    <row r="1070">
      <c r="A1070" s="7" t="n">
        <v>1063</v>
      </c>
      <c r="B1070" s="26">
        <f>(A1070-1)/2000*$C$2</f>
        <v/>
      </c>
      <c r="C1070" s="7">
        <f>INDEX(Bits!$E$25:$E$124,INT(B1070)+1)</f>
        <v/>
      </c>
      <c r="D1070" s="7">
        <f>MAX(1,MIN(INT(B1070/$C$4)+1,$C$5))</f>
        <v/>
      </c>
      <c r="E1070" s="26">
        <f>IF($C$5=0,0,INDEX(Symboles!$G$6:$G$101,D1070))</f>
        <v/>
      </c>
      <c r="F1070" s="26">
        <f>IF($C$5=0,0,INDEX(Symboles!$H$6:$H$101,D1070))</f>
        <v/>
      </c>
      <c r="G1070" s="26">
        <f>COS(2*PI()*$C$3*B1070)</f>
        <v/>
      </c>
      <c r="H1070" s="26">
        <f>SIN(2*PI()*$C$3*B1070)</f>
        <v/>
      </c>
      <c r="I1070" s="26">
        <f>E1070*G1070+F1070*H1070</f>
        <v/>
      </c>
    </row>
    <row r="1071">
      <c r="A1071" s="7" t="n">
        <v>1064</v>
      </c>
      <c r="B1071" s="26">
        <f>(A1071-1)/2000*$C$2</f>
        <v/>
      </c>
      <c r="C1071" s="7">
        <f>INDEX(Bits!$E$25:$E$124,INT(B1071)+1)</f>
        <v/>
      </c>
      <c r="D1071" s="7">
        <f>MAX(1,MIN(INT(B1071/$C$4)+1,$C$5))</f>
        <v/>
      </c>
      <c r="E1071" s="26">
        <f>IF($C$5=0,0,INDEX(Symboles!$G$6:$G$101,D1071))</f>
        <v/>
      </c>
      <c r="F1071" s="26">
        <f>IF($C$5=0,0,INDEX(Symboles!$H$6:$H$101,D1071))</f>
        <v/>
      </c>
      <c r="G1071" s="26">
        <f>COS(2*PI()*$C$3*B1071)</f>
        <v/>
      </c>
      <c r="H1071" s="26">
        <f>SIN(2*PI()*$C$3*B1071)</f>
        <v/>
      </c>
      <c r="I1071" s="26">
        <f>E1071*G1071+F1071*H1071</f>
        <v/>
      </c>
    </row>
    <row r="1072">
      <c r="A1072" s="7" t="n">
        <v>1065</v>
      </c>
      <c r="B1072" s="26">
        <f>(A1072-1)/2000*$C$2</f>
        <v/>
      </c>
      <c r="C1072" s="7">
        <f>INDEX(Bits!$E$25:$E$124,INT(B1072)+1)</f>
        <v/>
      </c>
      <c r="D1072" s="7">
        <f>MAX(1,MIN(INT(B1072/$C$4)+1,$C$5))</f>
        <v/>
      </c>
      <c r="E1072" s="26">
        <f>IF($C$5=0,0,INDEX(Symboles!$G$6:$G$101,D1072))</f>
        <v/>
      </c>
      <c r="F1072" s="26">
        <f>IF($C$5=0,0,INDEX(Symboles!$H$6:$H$101,D1072))</f>
        <v/>
      </c>
      <c r="G1072" s="26">
        <f>COS(2*PI()*$C$3*B1072)</f>
        <v/>
      </c>
      <c r="H1072" s="26">
        <f>SIN(2*PI()*$C$3*B1072)</f>
        <v/>
      </c>
      <c r="I1072" s="26">
        <f>E1072*G1072+F1072*H1072</f>
        <v/>
      </c>
    </row>
    <row r="1073">
      <c r="A1073" s="7" t="n">
        <v>1066</v>
      </c>
      <c r="B1073" s="26">
        <f>(A1073-1)/2000*$C$2</f>
        <v/>
      </c>
      <c r="C1073" s="7">
        <f>INDEX(Bits!$E$25:$E$124,INT(B1073)+1)</f>
        <v/>
      </c>
      <c r="D1073" s="7">
        <f>MAX(1,MIN(INT(B1073/$C$4)+1,$C$5))</f>
        <v/>
      </c>
      <c r="E1073" s="26">
        <f>IF($C$5=0,0,INDEX(Symboles!$G$6:$G$101,D1073))</f>
        <v/>
      </c>
      <c r="F1073" s="26">
        <f>IF($C$5=0,0,INDEX(Symboles!$H$6:$H$101,D1073))</f>
        <v/>
      </c>
      <c r="G1073" s="26">
        <f>COS(2*PI()*$C$3*B1073)</f>
        <v/>
      </c>
      <c r="H1073" s="26">
        <f>SIN(2*PI()*$C$3*B1073)</f>
        <v/>
      </c>
      <c r="I1073" s="26">
        <f>E1073*G1073+F1073*H1073</f>
        <v/>
      </c>
    </row>
    <row r="1074">
      <c r="A1074" s="7" t="n">
        <v>1067</v>
      </c>
      <c r="B1074" s="26">
        <f>(A1074-1)/2000*$C$2</f>
        <v/>
      </c>
      <c r="C1074" s="7">
        <f>INDEX(Bits!$E$25:$E$124,INT(B1074)+1)</f>
        <v/>
      </c>
      <c r="D1074" s="7">
        <f>MAX(1,MIN(INT(B1074/$C$4)+1,$C$5))</f>
        <v/>
      </c>
      <c r="E1074" s="26">
        <f>IF($C$5=0,0,INDEX(Symboles!$G$6:$G$101,D1074))</f>
        <v/>
      </c>
      <c r="F1074" s="26">
        <f>IF($C$5=0,0,INDEX(Symboles!$H$6:$H$101,D1074))</f>
        <v/>
      </c>
      <c r="G1074" s="26">
        <f>COS(2*PI()*$C$3*B1074)</f>
        <v/>
      </c>
      <c r="H1074" s="26">
        <f>SIN(2*PI()*$C$3*B1074)</f>
        <v/>
      </c>
      <c r="I1074" s="26">
        <f>E1074*G1074+F1074*H1074</f>
        <v/>
      </c>
    </row>
    <row r="1075">
      <c r="A1075" s="7" t="n">
        <v>1068</v>
      </c>
      <c r="B1075" s="26">
        <f>(A1075-1)/2000*$C$2</f>
        <v/>
      </c>
      <c r="C1075" s="7">
        <f>INDEX(Bits!$E$25:$E$124,INT(B1075)+1)</f>
        <v/>
      </c>
      <c r="D1075" s="7">
        <f>MAX(1,MIN(INT(B1075/$C$4)+1,$C$5))</f>
        <v/>
      </c>
      <c r="E1075" s="26">
        <f>IF($C$5=0,0,INDEX(Symboles!$G$6:$G$101,D1075))</f>
        <v/>
      </c>
      <c r="F1075" s="26">
        <f>IF($C$5=0,0,INDEX(Symboles!$H$6:$H$101,D1075))</f>
        <v/>
      </c>
      <c r="G1075" s="26">
        <f>COS(2*PI()*$C$3*B1075)</f>
        <v/>
      </c>
      <c r="H1075" s="26">
        <f>SIN(2*PI()*$C$3*B1075)</f>
        <v/>
      </c>
      <c r="I1075" s="26">
        <f>E1075*G1075+F1075*H1075</f>
        <v/>
      </c>
    </row>
    <row r="1076">
      <c r="A1076" s="7" t="n">
        <v>1069</v>
      </c>
      <c r="B1076" s="26">
        <f>(A1076-1)/2000*$C$2</f>
        <v/>
      </c>
      <c r="C1076" s="7">
        <f>INDEX(Bits!$E$25:$E$124,INT(B1076)+1)</f>
        <v/>
      </c>
      <c r="D1076" s="7">
        <f>MAX(1,MIN(INT(B1076/$C$4)+1,$C$5))</f>
        <v/>
      </c>
      <c r="E1076" s="26">
        <f>IF($C$5=0,0,INDEX(Symboles!$G$6:$G$101,D1076))</f>
        <v/>
      </c>
      <c r="F1076" s="26">
        <f>IF($C$5=0,0,INDEX(Symboles!$H$6:$H$101,D1076))</f>
        <v/>
      </c>
      <c r="G1076" s="26">
        <f>COS(2*PI()*$C$3*B1076)</f>
        <v/>
      </c>
      <c r="H1076" s="26">
        <f>SIN(2*PI()*$C$3*B1076)</f>
        <v/>
      </c>
      <c r="I1076" s="26">
        <f>E1076*G1076+F1076*H1076</f>
        <v/>
      </c>
    </row>
    <row r="1077">
      <c r="A1077" s="7" t="n">
        <v>1070</v>
      </c>
      <c r="B1077" s="26">
        <f>(A1077-1)/2000*$C$2</f>
        <v/>
      </c>
      <c r="C1077" s="7">
        <f>INDEX(Bits!$E$25:$E$124,INT(B1077)+1)</f>
        <v/>
      </c>
      <c r="D1077" s="7">
        <f>MAX(1,MIN(INT(B1077/$C$4)+1,$C$5))</f>
        <v/>
      </c>
      <c r="E1077" s="26">
        <f>IF($C$5=0,0,INDEX(Symboles!$G$6:$G$101,D1077))</f>
        <v/>
      </c>
      <c r="F1077" s="26">
        <f>IF($C$5=0,0,INDEX(Symboles!$H$6:$H$101,D1077))</f>
        <v/>
      </c>
      <c r="G1077" s="26">
        <f>COS(2*PI()*$C$3*B1077)</f>
        <v/>
      </c>
      <c r="H1077" s="26">
        <f>SIN(2*PI()*$C$3*B1077)</f>
        <v/>
      </c>
      <c r="I1077" s="26">
        <f>E1077*G1077+F1077*H1077</f>
        <v/>
      </c>
    </row>
    <row r="1078">
      <c r="A1078" s="7" t="n">
        <v>1071</v>
      </c>
      <c r="B1078" s="26">
        <f>(A1078-1)/2000*$C$2</f>
        <v/>
      </c>
      <c r="C1078" s="7">
        <f>INDEX(Bits!$E$25:$E$124,INT(B1078)+1)</f>
        <v/>
      </c>
      <c r="D1078" s="7">
        <f>MAX(1,MIN(INT(B1078/$C$4)+1,$C$5))</f>
        <v/>
      </c>
      <c r="E1078" s="26">
        <f>IF($C$5=0,0,INDEX(Symboles!$G$6:$G$101,D1078))</f>
        <v/>
      </c>
      <c r="F1078" s="26">
        <f>IF($C$5=0,0,INDEX(Symboles!$H$6:$H$101,D1078))</f>
        <v/>
      </c>
      <c r="G1078" s="26">
        <f>COS(2*PI()*$C$3*B1078)</f>
        <v/>
      </c>
      <c r="H1078" s="26">
        <f>SIN(2*PI()*$C$3*B1078)</f>
        <v/>
      </c>
      <c r="I1078" s="26">
        <f>E1078*G1078+F1078*H1078</f>
        <v/>
      </c>
    </row>
    <row r="1079">
      <c r="A1079" s="7" t="n">
        <v>1072</v>
      </c>
      <c r="B1079" s="26">
        <f>(A1079-1)/2000*$C$2</f>
        <v/>
      </c>
      <c r="C1079" s="7">
        <f>INDEX(Bits!$E$25:$E$124,INT(B1079)+1)</f>
        <v/>
      </c>
      <c r="D1079" s="7">
        <f>MAX(1,MIN(INT(B1079/$C$4)+1,$C$5))</f>
        <v/>
      </c>
      <c r="E1079" s="26">
        <f>IF($C$5=0,0,INDEX(Symboles!$G$6:$G$101,D1079))</f>
        <v/>
      </c>
      <c r="F1079" s="26">
        <f>IF($C$5=0,0,INDEX(Symboles!$H$6:$H$101,D1079))</f>
        <v/>
      </c>
      <c r="G1079" s="26">
        <f>COS(2*PI()*$C$3*B1079)</f>
        <v/>
      </c>
      <c r="H1079" s="26">
        <f>SIN(2*PI()*$C$3*B1079)</f>
        <v/>
      </c>
      <c r="I1079" s="26">
        <f>E1079*G1079+F1079*H1079</f>
        <v/>
      </c>
    </row>
    <row r="1080">
      <c r="A1080" s="7" t="n">
        <v>1073</v>
      </c>
      <c r="B1080" s="26">
        <f>(A1080-1)/2000*$C$2</f>
        <v/>
      </c>
      <c r="C1080" s="7">
        <f>INDEX(Bits!$E$25:$E$124,INT(B1080)+1)</f>
        <v/>
      </c>
      <c r="D1080" s="7">
        <f>MAX(1,MIN(INT(B1080/$C$4)+1,$C$5))</f>
        <v/>
      </c>
      <c r="E1080" s="26">
        <f>IF($C$5=0,0,INDEX(Symboles!$G$6:$G$101,D1080))</f>
        <v/>
      </c>
      <c r="F1080" s="26">
        <f>IF($C$5=0,0,INDEX(Symboles!$H$6:$H$101,D1080))</f>
        <v/>
      </c>
      <c r="G1080" s="26">
        <f>COS(2*PI()*$C$3*B1080)</f>
        <v/>
      </c>
      <c r="H1080" s="26">
        <f>SIN(2*PI()*$C$3*B1080)</f>
        <v/>
      </c>
      <c r="I1080" s="26">
        <f>E1080*G1080+F1080*H1080</f>
        <v/>
      </c>
    </row>
    <row r="1081">
      <c r="A1081" s="7" t="n">
        <v>1074</v>
      </c>
      <c r="B1081" s="26">
        <f>(A1081-1)/2000*$C$2</f>
        <v/>
      </c>
      <c r="C1081" s="7">
        <f>INDEX(Bits!$E$25:$E$124,INT(B1081)+1)</f>
        <v/>
      </c>
      <c r="D1081" s="7">
        <f>MAX(1,MIN(INT(B1081/$C$4)+1,$C$5))</f>
        <v/>
      </c>
      <c r="E1081" s="26">
        <f>IF($C$5=0,0,INDEX(Symboles!$G$6:$G$101,D1081))</f>
        <v/>
      </c>
      <c r="F1081" s="26">
        <f>IF($C$5=0,0,INDEX(Symboles!$H$6:$H$101,D1081))</f>
        <v/>
      </c>
      <c r="G1081" s="26">
        <f>COS(2*PI()*$C$3*B1081)</f>
        <v/>
      </c>
      <c r="H1081" s="26">
        <f>SIN(2*PI()*$C$3*B1081)</f>
        <v/>
      </c>
      <c r="I1081" s="26">
        <f>E1081*G1081+F1081*H1081</f>
        <v/>
      </c>
    </row>
    <row r="1082">
      <c r="A1082" s="7" t="n">
        <v>1075</v>
      </c>
      <c r="B1082" s="26">
        <f>(A1082-1)/2000*$C$2</f>
        <v/>
      </c>
      <c r="C1082" s="7">
        <f>INDEX(Bits!$E$25:$E$124,INT(B1082)+1)</f>
        <v/>
      </c>
      <c r="D1082" s="7">
        <f>MAX(1,MIN(INT(B1082/$C$4)+1,$C$5))</f>
        <v/>
      </c>
      <c r="E1082" s="26">
        <f>IF($C$5=0,0,INDEX(Symboles!$G$6:$G$101,D1082))</f>
        <v/>
      </c>
      <c r="F1082" s="26">
        <f>IF($C$5=0,0,INDEX(Symboles!$H$6:$H$101,D1082))</f>
        <v/>
      </c>
      <c r="G1082" s="26">
        <f>COS(2*PI()*$C$3*B1082)</f>
        <v/>
      </c>
      <c r="H1082" s="26">
        <f>SIN(2*PI()*$C$3*B1082)</f>
        <v/>
      </c>
      <c r="I1082" s="26">
        <f>E1082*G1082+F1082*H1082</f>
        <v/>
      </c>
    </row>
    <row r="1083">
      <c r="A1083" s="7" t="n">
        <v>1076</v>
      </c>
      <c r="B1083" s="26">
        <f>(A1083-1)/2000*$C$2</f>
        <v/>
      </c>
      <c r="C1083" s="7">
        <f>INDEX(Bits!$E$25:$E$124,INT(B1083)+1)</f>
        <v/>
      </c>
      <c r="D1083" s="7">
        <f>MAX(1,MIN(INT(B1083/$C$4)+1,$C$5))</f>
        <v/>
      </c>
      <c r="E1083" s="26">
        <f>IF($C$5=0,0,INDEX(Symboles!$G$6:$G$101,D1083))</f>
        <v/>
      </c>
      <c r="F1083" s="26">
        <f>IF($C$5=0,0,INDEX(Symboles!$H$6:$H$101,D1083))</f>
        <v/>
      </c>
      <c r="G1083" s="26">
        <f>COS(2*PI()*$C$3*B1083)</f>
        <v/>
      </c>
      <c r="H1083" s="26">
        <f>SIN(2*PI()*$C$3*B1083)</f>
        <v/>
      </c>
      <c r="I1083" s="26">
        <f>E1083*G1083+F1083*H1083</f>
        <v/>
      </c>
    </row>
    <row r="1084">
      <c r="A1084" s="7" t="n">
        <v>1077</v>
      </c>
      <c r="B1084" s="26">
        <f>(A1084-1)/2000*$C$2</f>
        <v/>
      </c>
      <c r="C1084" s="7">
        <f>INDEX(Bits!$E$25:$E$124,INT(B1084)+1)</f>
        <v/>
      </c>
      <c r="D1084" s="7">
        <f>MAX(1,MIN(INT(B1084/$C$4)+1,$C$5))</f>
        <v/>
      </c>
      <c r="E1084" s="26">
        <f>IF($C$5=0,0,INDEX(Symboles!$G$6:$G$101,D1084))</f>
        <v/>
      </c>
      <c r="F1084" s="26">
        <f>IF($C$5=0,0,INDEX(Symboles!$H$6:$H$101,D1084))</f>
        <v/>
      </c>
      <c r="G1084" s="26">
        <f>COS(2*PI()*$C$3*B1084)</f>
        <v/>
      </c>
      <c r="H1084" s="26">
        <f>SIN(2*PI()*$C$3*B1084)</f>
        <v/>
      </c>
      <c r="I1084" s="26">
        <f>E1084*G1084+F1084*H1084</f>
        <v/>
      </c>
    </row>
    <row r="1085">
      <c r="A1085" s="7" t="n">
        <v>1078</v>
      </c>
      <c r="B1085" s="26">
        <f>(A1085-1)/2000*$C$2</f>
        <v/>
      </c>
      <c r="C1085" s="7">
        <f>INDEX(Bits!$E$25:$E$124,INT(B1085)+1)</f>
        <v/>
      </c>
      <c r="D1085" s="7">
        <f>MAX(1,MIN(INT(B1085/$C$4)+1,$C$5))</f>
        <v/>
      </c>
      <c r="E1085" s="26">
        <f>IF($C$5=0,0,INDEX(Symboles!$G$6:$G$101,D1085))</f>
        <v/>
      </c>
      <c r="F1085" s="26">
        <f>IF($C$5=0,0,INDEX(Symboles!$H$6:$H$101,D1085))</f>
        <v/>
      </c>
      <c r="G1085" s="26">
        <f>COS(2*PI()*$C$3*B1085)</f>
        <v/>
      </c>
      <c r="H1085" s="26">
        <f>SIN(2*PI()*$C$3*B1085)</f>
        <v/>
      </c>
      <c r="I1085" s="26">
        <f>E1085*G1085+F1085*H1085</f>
        <v/>
      </c>
    </row>
    <row r="1086">
      <c r="A1086" s="7" t="n">
        <v>1079</v>
      </c>
      <c r="B1086" s="26">
        <f>(A1086-1)/2000*$C$2</f>
        <v/>
      </c>
      <c r="C1086" s="7">
        <f>INDEX(Bits!$E$25:$E$124,INT(B1086)+1)</f>
        <v/>
      </c>
      <c r="D1086" s="7">
        <f>MAX(1,MIN(INT(B1086/$C$4)+1,$C$5))</f>
        <v/>
      </c>
      <c r="E1086" s="26">
        <f>IF($C$5=0,0,INDEX(Symboles!$G$6:$G$101,D1086))</f>
        <v/>
      </c>
      <c r="F1086" s="26">
        <f>IF($C$5=0,0,INDEX(Symboles!$H$6:$H$101,D1086))</f>
        <v/>
      </c>
      <c r="G1086" s="26">
        <f>COS(2*PI()*$C$3*B1086)</f>
        <v/>
      </c>
      <c r="H1086" s="26">
        <f>SIN(2*PI()*$C$3*B1086)</f>
        <v/>
      </c>
      <c r="I1086" s="26">
        <f>E1086*G1086+F1086*H1086</f>
        <v/>
      </c>
    </row>
    <row r="1087">
      <c r="A1087" s="7" t="n">
        <v>1080</v>
      </c>
      <c r="B1087" s="26">
        <f>(A1087-1)/2000*$C$2</f>
        <v/>
      </c>
      <c r="C1087" s="7">
        <f>INDEX(Bits!$E$25:$E$124,INT(B1087)+1)</f>
        <v/>
      </c>
      <c r="D1087" s="7">
        <f>MAX(1,MIN(INT(B1087/$C$4)+1,$C$5))</f>
        <v/>
      </c>
      <c r="E1087" s="26">
        <f>IF($C$5=0,0,INDEX(Symboles!$G$6:$G$101,D1087))</f>
        <v/>
      </c>
      <c r="F1087" s="26">
        <f>IF($C$5=0,0,INDEX(Symboles!$H$6:$H$101,D1087))</f>
        <v/>
      </c>
      <c r="G1087" s="26">
        <f>COS(2*PI()*$C$3*B1087)</f>
        <v/>
      </c>
      <c r="H1087" s="26">
        <f>SIN(2*PI()*$C$3*B1087)</f>
        <v/>
      </c>
      <c r="I1087" s="26">
        <f>E1087*G1087+F1087*H1087</f>
        <v/>
      </c>
    </row>
    <row r="1088">
      <c r="A1088" s="7" t="n">
        <v>1081</v>
      </c>
      <c r="B1088" s="26">
        <f>(A1088-1)/2000*$C$2</f>
        <v/>
      </c>
      <c r="C1088" s="7">
        <f>INDEX(Bits!$E$25:$E$124,INT(B1088)+1)</f>
        <v/>
      </c>
      <c r="D1088" s="7">
        <f>MAX(1,MIN(INT(B1088/$C$4)+1,$C$5))</f>
        <v/>
      </c>
      <c r="E1088" s="26">
        <f>IF($C$5=0,0,INDEX(Symboles!$G$6:$G$101,D1088))</f>
        <v/>
      </c>
      <c r="F1088" s="26">
        <f>IF($C$5=0,0,INDEX(Symboles!$H$6:$H$101,D1088))</f>
        <v/>
      </c>
      <c r="G1088" s="26">
        <f>COS(2*PI()*$C$3*B1088)</f>
        <v/>
      </c>
      <c r="H1088" s="26">
        <f>SIN(2*PI()*$C$3*B1088)</f>
        <v/>
      </c>
      <c r="I1088" s="26">
        <f>E1088*G1088+F1088*H1088</f>
        <v/>
      </c>
    </row>
    <row r="1089">
      <c r="A1089" s="7" t="n">
        <v>1082</v>
      </c>
      <c r="B1089" s="26">
        <f>(A1089-1)/2000*$C$2</f>
        <v/>
      </c>
      <c r="C1089" s="7">
        <f>INDEX(Bits!$E$25:$E$124,INT(B1089)+1)</f>
        <v/>
      </c>
      <c r="D1089" s="7">
        <f>MAX(1,MIN(INT(B1089/$C$4)+1,$C$5))</f>
        <v/>
      </c>
      <c r="E1089" s="26">
        <f>IF($C$5=0,0,INDEX(Symboles!$G$6:$G$101,D1089))</f>
        <v/>
      </c>
      <c r="F1089" s="26">
        <f>IF($C$5=0,0,INDEX(Symboles!$H$6:$H$101,D1089))</f>
        <v/>
      </c>
      <c r="G1089" s="26">
        <f>COS(2*PI()*$C$3*B1089)</f>
        <v/>
      </c>
      <c r="H1089" s="26">
        <f>SIN(2*PI()*$C$3*B1089)</f>
        <v/>
      </c>
      <c r="I1089" s="26">
        <f>E1089*G1089+F1089*H1089</f>
        <v/>
      </c>
    </row>
    <row r="1090">
      <c r="A1090" s="7" t="n">
        <v>1083</v>
      </c>
      <c r="B1090" s="26">
        <f>(A1090-1)/2000*$C$2</f>
        <v/>
      </c>
      <c r="C1090" s="7">
        <f>INDEX(Bits!$E$25:$E$124,INT(B1090)+1)</f>
        <v/>
      </c>
      <c r="D1090" s="7">
        <f>MAX(1,MIN(INT(B1090/$C$4)+1,$C$5))</f>
        <v/>
      </c>
      <c r="E1090" s="26">
        <f>IF($C$5=0,0,INDEX(Symboles!$G$6:$G$101,D1090))</f>
        <v/>
      </c>
      <c r="F1090" s="26">
        <f>IF($C$5=0,0,INDEX(Symboles!$H$6:$H$101,D1090))</f>
        <v/>
      </c>
      <c r="G1090" s="26">
        <f>COS(2*PI()*$C$3*B1090)</f>
        <v/>
      </c>
      <c r="H1090" s="26">
        <f>SIN(2*PI()*$C$3*B1090)</f>
        <v/>
      </c>
      <c r="I1090" s="26">
        <f>E1090*G1090+F1090*H1090</f>
        <v/>
      </c>
    </row>
    <row r="1091">
      <c r="A1091" s="7" t="n">
        <v>1084</v>
      </c>
      <c r="B1091" s="26">
        <f>(A1091-1)/2000*$C$2</f>
        <v/>
      </c>
      <c r="C1091" s="7">
        <f>INDEX(Bits!$E$25:$E$124,INT(B1091)+1)</f>
        <v/>
      </c>
      <c r="D1091" s="7">
        <f>MAX(1,MIN(INT(B1091/$C$4)+1,$C$5))</f>
        <v/>
      </c>
      <c r="E1091" s="26">
        <f>IF($C$5=0,0,INDEX(Symboles!$G$6:$G$101,D1091))</f>
        <v/>
      </c>
      <c r="F1091" s="26">
        <f>IF($C$5=0,0,INDEX(Symboles!$H$6:$H$101,D1091))</f>
        <v/>
      </c>
      <c r="G1091" s="26">
        <f>COS(2*PI()*$C$3*B1091)</f>
        <v/>
      </c>
      <c r="H1091" s="26">
        <f>SIN(2*PI()*$C$3*B1091)</f>
        <v/>
      </c>
      <c r="I1091" s="26">
        <f>E1091*G1091+F1091*H1091</f>
        <v/>
      </c>
    </row>
    <row r="1092">
      <c r="A1092" s="7" t="n">
        <v>1085</v>
      </c>
      <c r="B1092" s="26">
        <f>(A1092-1)/2000*$C$2</f>
        <v/>
      </c>
      <c r="C1092" s="7">
        <f>INDEX(Bits!$E$25:$E$124,INT(B1092)+1)</f>
        <v/>
      </c>
      <c r="D1092" s="7">
        <f>MAX(1,MIN(INT(B1092/$C$4)+1,$C$5))</f>
        <v/>
      </c>
      <c r="E1092" s="26">
        <f>IF($C$5=0,0,INDEX(Symboles!$G$6:$G$101,D1092))</f>
        <v/>
      </c>
      <c r="F1092" s="26">
        <f>IF($C$5=0,0,INDEX(Symboles!$H$6:$H$101,D1092))</f>
        <v/>
      </c>
      <c r="G1092" s="26">
        <f>COS(2*PI()*$C$3*B1092)</f>
        <v/>
      </c>
      <c r="H1092" s="26">
        <f>SIN(2*PI()*$C$3*B1092)</f>
        <v/>
      </c>
      <c r="I1092" s="26">
        <f>E1092*G1092+F1092*H1092</f>
        <v/>
      </c>
    </row>
    <row r="1093">
      <c r="A1093" s="7" t="n">
        <v>1086</v>
      </c>
      <c r="B1093" s="26">
        <f>(A1093-1)/2000*$C$2</f>
        <v/>
      </c>
      <c r="C1093" s="7">
        <f>INDEX(Bits!$E$25:$E$124,INT(B1093)+1)</f>
        <v/>
      </c>
      <c r="D1093" s="7">
        <f>MAX(1,MIN(INT(B1093/$C$4)+1,$C$5))</f>
        <v/>
      </c>
      <c r="E1093" s="26">
        <f>IF($C$5=0,0,INDEX(Symboles!$G$6:$G$101,D1093))</f>
        <v/>
      </c>
      <c r="F1093" s="26">
        <f>IF($C$5=0,0,INDEX(Symboles!$H$6:$H$101,D1093))</f>
        <v/>
      </c>
      <c r="G1093" s="26">
        <f>COS(2*PI()*$C$3*B1093)</f>
        <v/>
      </c>
      <c r="H1093" s="26">
        <f>SIN(2*PI()*$C$3*B1093)</f>
        <v/>
      </c>
      <c r="I1093" s="26">
        <f>E1093*G1093+F1093*H1093</f>
        <v/>
      </c>
    </row>
    <row r="1094">
      <c r="A1094" s="7" t="n">
        <v>1087</v>
      </c>
      <c r="B1094" s="26">
        <f>(A1094-1)/2000*$C$2</f>
        <v/>
      </c>
      <c r="C1094" s="7">
        <f>INDEX(Bits!$E$25:$E$124,INT(B1094)+1)</f>
        <v/>
      </c>
      <c r="D1094" s="7">
        <f>MAX(1,MIN(INT(B1094/$C$4)+1,$C$5))</f>
        <v/>
      </c>
      <c r="E1094" s="26">
        <f>IF($C$5=0,0,INDEX(Symboles!$G$6:$G$101,D1094))</f>
        <v/>
      </c>
      <c r="F1094" s="26">
        <f>IF($C$5=0,0,INDEX(Symboles!$H$6:$H$101,D1094))</f>
        <v/>
      </c>
      <c r="G1094" s="26">
        <f>COS(2*PI()*$C$3*B1094)</f>
        <v/>
      </c>
      <c r="H1094" s="26">
        <f>SIN(2*PI()*$C$3*B1094)</f>
        <v/>
      </c>
      <c r="I1094" s="26">
        <f>E1094*G1094+F1094*H1094</f>
        <v/>
      </c>
    </row>
    <row r="1095">
      <c r="A1095" s="7" t="n">
        <v>1088</v>
      </c>
      <c r="B1095" s="26">
        <f>(A1095-1)/2000*$C$2</f>
        <v/>
      </c>
      <c r="C1095" s="7">
        <f>INDEX(Bits!$E$25:$E$124,INT(B1095)+1)</f>
        <v/>
      </c>
      <c r="D1095" s="7">
        <f>MAX(1,MIN(INT(B1095/$C$4)+1,$C$5))</f>
        <v/>
      </c>
      <c r="E1095" s="26">
        <f>IF($C$5=0,0,INDEX(Symboles!$G$6:$G$101,D1095))</f>
        <v/>
      </c>
      <c r="F1095" s="26">
        <f>IF($C$5=0,0,INDEX(Symboles!$H$6:$H$101,D1095))</f>
        <v/>
      </c>
      <c r="G1095" s="26">
        <f>COS(2*PI()*$C$3*B1095)</f>
        <v/>
      </c>
      <c r="H1095" s="26">
        <f>SIN(2*PI()*$C$3*B1095)</f>
        <v/>
      </c>
      <c r="I1095" s="26">
        <f>E1095*G1095+F1095*H1095</f>
        <v/>
      </c>
    </row>
    <row r="1096">
      <c r="A1096" s="7" t="n">
        <v>1089</v>
      </c>
      <c r="B1096" s="26">
        <f>(A1096-1)/2000*$C$2</f>
        <v/>
      </c>
      <c r="C1096" s="7">
        <f>INDEX(Bits!$E$25:$E$124,INT(B1096)+1)</f>
        <v/>
      </c>
      <c r="D1096" s="7">
        <f>MAX(1,MIN(INT(B1096/$C$4)+1,$C$5))</f>
        <v/>
      </c>
      <c r="E1096" s="26">
        <f>IF($C$5=0,0,INDEX(Symboles!$G$6:$G$101,D1096))</f>
        <v/>
      </c>
      <c r="F1096" s="26">
        <f>IF($C$5=0,0,INDEX(Symboles!$H$6:$H$101,D1096))</f>
        <v/>
      </c>
      <c r="G1096" s="26">
        <f>COS(2*PI()*$C$3*B1096)</f>
        <v/>
      </c>
      <c r="H1096" s="26">
        <f>SIN(2*PI()*$C$3*B1096)</f>
        <v/>
      </c>
      <c r="I1096" s="26">
        <f>E1096*G1096+F1096*H1096</f>
        <v/>
      </c>
    </row>
    <row r="1097">
      <c r="A1097" s="7" t="n">
        <v>1090</v>
      </c>
      <c r="B1097" s="26">
        <f>(A1097-1)/2000*$C$2</f>
        <v/>
      </c>
      <c r="C1097" s="7">
        <f>INDEX(Bits!$E$25:$E$124,INT(B1097)+1)</f>
        <v/>
      </c>
      <c r="D1097" s="7">
        <f>MAX(1,MIN(INT(B1097/$C$4)+1,$C$5))</f>
        <v/>
      </c>
      <c r="E1097" s="26">
        <f>IF($C$5=0,0,INDEX(Symboles!$G$6:$G$101,D1097))</f>
        <v/>
      </c>
      <c r="F1097" s="26">
        <f>IF($C$5=0,0,INDEX(Symboles!$H$6:$H$101,D1097))</f>
        <v/>
      </c>
      <c r="G1097" s="26">
        <f>COS(2*PI()*$C$3*B1097)</f>
        <v/>
      </c>
      <c r="H1097" s="26">
        <f>SIN(2*PI()*$C$3*B1097)</f>
        <v/>
      </c>
      <c r="I1097" s="26">
        <f>E1097*G1097+F1097*H1097</f>
        <v/>
      </c>
    </row>
    <row r="1098">
      <c r="A1098" s="7" t="n">
        <v>1091</v>
      </c>
      <c r="B1098" s="26">
        <f>(A1098-1)/2000*$C$2</f>
        <v/>
      </c>
      <c r="C1098" s="7">
        <f>INDEX(Bits!$E$25:$E$124,INT(B1098)+1)</f>
        <v/>
      </c>
      <c r="D1098" s="7">
        <f>MAX(1,MIN(INT(B1098/$C$4)+1,$C$5))</f>
        <v/>
      </c>
      <c r="E1098" s="26">
        <f>IF($C$5=0,0,INDEX(Symboles!$G$6:$G$101,D1098))</f>
        <v/>
      </c>
      <c r="F1098" s="26">
        <f>IF($C$5=0,0,INDEX(Symboles!$H$6:$H$101,D1098))</f>
        <v/>
      </c>
      <c r="G1098" s="26">
        <f>COS(2*PI()*$C$3*B1098)</f>
        <v/>
      </c>
      <c r="H1098" s="26">
        <f>SIN(2*PI()*$C$3*B1098)</f>
        <v/>
      </c>
      <c r="I1098" s="26">
        <f>E1098*G1098+F1098*H1098</f>
        <v/>
      </c>
    </row>
    <row r="1099">
      <c r="A1099" s="7" t="n">
        <v>1092</v>
      </c>
      <c r="B1099" s="26">
        <f>(A1099-1)/2000*$C$2</f>
        <v/>
      </c>
      <c r="C1099" s="7">
        <f>INDEX(Bits!$E$25:$E$124,INT(B1099)+1)</f>
        <v/>
      </c>
      <c r="D1099" s="7">
        <f>MAX(1,MIN(INT(B1099/$C$4)+1,$C$5))</f>
        <v/>
      </c>
      <c r="E1099" s="26">
        <f>IF($C$5=0,0,INDEX(Symboles!$G$6:$G$101,D1099))</f>
        <v/>
      </c>
      <c r="F1099" s="26">
        <f>IF($C$5=0,0,INDEX(Symboles!$H$6:$H$101,D1099))</f>
        <v/>
      </c>
      <c r="G1099" s="26">
        <f>COS(2*PI()*$C$3*B1099)</f>
        <v/>
      </c>
      <c r="H1099" s="26">
        <f>SIN(2*PI()*$C$3*B1099)</f>
        <v/>
      </c>
      <c r="I1099" s="26">
        <f>E1099*G1099+F1099*H1099</f>
        <v/>
      </c>
    </row>
    <row r="1100">
      <c r="A1100" s="7" t="n">
        <v>1093</v>
      </c>
      <c r="B1100" s="26">
        <f>(A1100-1)/2000*$C$2</f>
        <v/>
      </c>
      <c r="C1100" s="7">
        <f>INDEX(Bits!$E$25:$E$124,INT(B1100)+1)</f>
        <v/>
      </c>
      <c r="D1100" s="7">
        <f>MAX(1,MIN(INT(B1100/$C$4)+1,$C$5))</f>
        <v/>
      </c>
      <c r="E1100" s="26">
        <f>IF($C$5=0,0,INDEX(Symboles!$G$6:$G$101,D1100))</f>
        <v/>
      </c>
      <c r="F1100" s="26">
        <f>IF($C$5=0,0,INDEX(Symboles!$H$6:$H$101,D1100))</f>
        <v/>
      </c>
      <c r="G1100" s="26">
        <f>COS(2*PI()*$C$3*B1100)</f>
        <v/>
      </c>
      <c r="H1100" s="26">
        <f>SIN(2*PI()*$C$3*B1100)</f>
        <v/>
      </c>
      <c r="I1100" s="26">
        <f>E1100*G1100+F1100*H1100</f>
        <v/>
      </c>
    </row>
    <row r="1101">
      <c r="A1101" s="7" t="n">
        <v>1094</v>
      </c>
      <c r="B1101" s="26">
        <f>(A1101-1)/2000*$C$2</f>
        <v/>
      </c>
      <c r="C1101" s="7">
        <f>INDEX(Bits!$E$25:$E$124,INT(B1101)+1)</f>
        <v/>
      </c>
      <c r="D1101" s="7">
        <f>MAX(1,MIN(INT(B1101/$C$4)+1,$C$5))</f>
        <v/>
      </c>
      <c r="E1101" s="26">
        <f>IF($C$5=0,0,INDEX(Symboles!$G$6:$G$101,D1101))</f>
        <v/>
      </c>
      <c r="F1101" s="26">
        <f>IF($C$5=0,0,INDEX(Symboles!$H$6:$H$101,D1101))</f>
        <v/>
      </c>
      <c r="G1101" s="26">
        <f>COS(2*PI()*$C$3*B1101)</f>
        <v/>
      </c>
      <c r="H1101" s="26">
        <f>SIN(2*PI()*$C$3*B1101)</f>
        <v/>
      </c>
      <c r="I1101" s="26">
        <f>E1101*G1101+F1101*H1101</f>
        <v/>
      </c>
    </row>
    <row r="1102">
      <c r="A1102" s="7" t="n">
        <v>1095</v>
      </c>
      <c r="B1102" s="26">
        <f>(A1102-1)/2000*$C$2</f>
        <v/>
      </c>
      <c r="C1102" s="7">
        <f>INDEX(Bits!$E$25:$E$124,INT(B1102)+1)</f>
        <v/>
      </c>
      <c r="D1102" s="7">
        <f>MAX(1,MIN(INT(B1102/$C$4)+1,$C$5))</f>
        <v/>
      </c>
      <c r="E1102" s="26">
        <f>IF($C$5=0,0,INDEX(Symboles!$G$6:$G$101,D1102))</f>
        <v/>
      </c>
      <c r="F1102" s="26">
        <f>IF($C$5=0,0,INDEX(Symboles!$H$6:$H$101,D1102))</f>
        <v/>
      </c>
      <c r="G1102" s="26">
        <f>COS(2*PI()*$C$3*B1102)</f>
        <v/>
      </c>
      <c r="H1102" s="26">
        <f>SIN(2*PI()*$C$3*B1102)</f>
        <v/>
      </c>
      <c r="I1102" s="26">
        <f>E1102*G1102+F1102*H1102</f>
        <v/>
      </c>
    </row>
    <row r="1103">
      <c r="A1103" s="7" t="n">
        <v>1096</v>
      </c>
      <c r="B1103" s="26">
        <f>(A1103-1)/2000*$C$2</f>
        <v/>
      </c>
      <c r="C1103" s="7">
        <f>INDEX(Bits!$E$25:$E$124,INT(B1103)+1)</f>
        <v/>
      </c>
      <c r="D1103" s="7">
        <f>MAX(1,MIN(INT(B1103/$C$4)+1,$C$5))</f>
        <v/>
      </c>
      <c r="E1103" s="26">
        <f>IF($C$5=0,0,INDEX(Symboles!$G$6:$G$101,D1103))</f>
        <v/>
      </c>
      <c r="F1103" s="26">
        <f>IF($C$5=0,0,INDEX(Symboles!$H$6:$H$101,D1103))</f>
        <v/>
      </c>
      <c r="G1103" s="26">
        <f>COS(2*PI()*$C$3*B1103)</f>
        <v/>
      </c>
      <c r="H1103" s="26">
        <f>SIN(2*PI()*$C$3*B1103)</f>
        <v/>
      </c>
      <c r="I1103" s="26">
        <f>E1103*G1103+F1103*H1103</f>
        <v/>
      </c>
    </row>
    <row r="1104">
      <c r="A1104" s="7" t="n">
        <v>1097</v>
      </c>
      <c r="B1104" s="26">
        <f>(A1104-1)/2000*$C$2</f>
        <v/>
      </c>
      <c r="C1104" s="7">
        <f>INDEX(Bits!$E$25:$E$124,INT(B1104)+1)</f>
        <v/>
      </c>
      <c r="D1104" s="7">
        <f>MAX(1,MIN(INT(B1104/$C$4)+1,$C$5))</f>
        <v/>
      </c>
      <c r="E1104" s="26">
        <f>IF($C$5=0,0,INDEX(Symboles!$G$6:$G$101,D1104))</f>
        <v/>
      </c>
      <c r="F1104" s="26">
        <f>IF($C$5=0,0,INDEX(Symboles!$H$6:$H$101,D1104))</f>
        <v/>
      </c>
      <c r="G1104" s="26">
        <f>COS(2*PI()*$C$3*B1104)</f>
        <v/>
      </c>
      <c r="H1104" s="26">
        <f>SIN(2*PI()*$C$3*B1104)</f>
        <v/>
      </c>
      <c r="I1104" s="26">
        <f>E1104*G1104+F1104*H1104</f>
        <v/>
      </c>
    </row>
    <row r="1105">
      <c r="A1105" s="7" t="n">
        <v>1098</v>
      </c>
      <c r="B1105" s="26">
        <f>(A1105-1)/2000*$C$2</f>
        <v/>
      </c>
      <c r="C1105" s="7">
        <f>INDEX(Bits!$E$25:$E$124,INT(B1105)+1)</f>
        <v/>
      </c>
      <c r="D1105" s="7">
        <f>MAX(1,MIN(INT(B1105/$C$4)+1,$C$5))</f>
        <v/>
      </c>
      <c r="E1105" s="26">
        <f>IF($C$5=0,0,INDEX(Symboles!$G$6:$G$101,D1105))</f>
        <v/>
      </c>
      <c r="F1105" s="26">
        <f>IF($C$5=0,0,INDEX(Symboles!$H$6:$H$101,D1105))</f>
        <v/>
      </c>
      <c r="G1105" s="26">
        <f>COS(2*PI()*$C$3*B1105)</f>
        <v/>
      </c>
      <c r="H1105" s="26">
        <f>SIN(2*PI()*$C$3*B1105)</f>
        <v/>
      </c>
      <c r="I1105" s="26">
        <f>E1105*G1105+F1105*H1105</f>
        <v/>
      </c>
    </row>
    <row r="1106">
      <c r="A1106" s="7" t="n">
        <v>1099</v>
      </c>
      <c r="B1106" s="26">
        <f>(A1106-1)/2000*$C$2</f>
        <v/>
      </c>
      <c r="C1106" s="7">
        <f>INDEX(Bits!$E$25:$E$124,INT(B1106)+1)</f>
        <v/>
      </c>
      <c r="D1106" s="7">
        <f>MAX(1,MIN(INT(B1106/$C$4)+1,$C$5))</f>
        <v/>
      </c>
      <c r="E1106" s="26">
        <f>IF($C$5=0,0,INDEX(Symboles!$G$6:$G$101,D1106))</f>
        <v/>
      </c>
      <c r="F1106" s="26">
        <f>IF($C$5=0,0,INDEX(Symboles!$H$6:$H$101,D1106))</f>
        <v/>
      </c>
      <c r="G1106" s="26">
        <f>COS(2*PI()*$C$3*B1106)</f>
        <v/>
      </c>
      <c r="H1106" s="26">
        <f>SIN(2*PI()*$C$3*B1106)</f>
        <v/>
      </c>
      <c r="I1106" s="26">
        <f>E1106*G1106+F1106*H1106</f>
        <v/>
      </c>
    </row>
    <row r="1107">
      <c r="A1107" s="7" t="n">
        <v>1100</v>
      </c>
      <c r="B1107" s="26">
        <f>(A1107-1)/2000*$C$2</f>
        <v/>
      </c>
      <c r="C1107" s="7">
        <f>INDEX(Bits!$E$25:$E$124,INT(B1107)+1)</f>
        <v/>
      </c>
      <c r="D1107" s="7">
        <f>MAX(1,MIN(INT(B1107/$C$4)+1,$C$5))</f>
        <v/>
      </c>
      <c r="E1107" s="26">
        <f>IF($C$5=0,0,INDEX(Symboles!$G$6:$G$101,D1107))</f>
        <v/>
      </c>
      <c r="F1107" s="26">
        <f>IF($C$5=0,0,INDEX(Symboles!$H$6:$H$101,D1107))</f>
        <v/>
      </c>
      <c r="G1107" s="26">
        <f>COS(2*PI()*$C$3*B1107)</f>
        <v/>
      </c>
      <c r="H1107" s="26">
        <f>SIN(2*PI()*$C$3*B1107)</f>
        <v/>
      </c>
      <c r="I1107" s="26">
        <f>E1107*G1107+F1107*H1107</f>
        <v/>
      </c>
    </row>
    <row r="1108">
      <c r="A1108" s="7" t="n">
        <v>1101</v>
      </c>
      <c r="B1108" s="26">
        <f>(A1108-1)/2000*$C$2</f>
        <v/>
      </c>
      <c r="C1108" s="7">
        <f>INDEX(Bits!$E$25:$E$124,INT(B1108)+1)</f>
        <v/>
      </c>
      <c r="D1108" s="7">
        <f>MAX(1,MIN(INT(B1108/$C$4)+1,$C$5))</f>
        <v/>
      </c>
      <c r="E1108" s="26">
        <f>IF($C$5=0,0,INDEX(Symboles!$G$6:$G$101,D1108))</f>
        <v/>
      </c>
      <c r="F1108" s="26">
        <f>IF($C$5=0,0,INDEX(Symboles!$H$6:$H$101,D1108))</f>
        <v/>
      </c>
      <c r="G1108" s="26">
        <f>COS(2*PI()*$C$3*B1108)</f>
        <v/>
      </c>
      <c r="H1108" s="26">
        <f>SIN(2*PI()*$C$3*B1108)</f>
        <v/>
      </c>
      <c r="I1108" s="26">
        <f>E1108*G1108+F1108*H1108</f>
        <v/>
      </c>
    </row>
    <row r="1109">
      <c r="A1109" s="7" t="n">
        <v>1102</v>
      </c>
      <c r="B1109" s="26">
        <f>(A1109-1)/2000*$C$2</f>
        <v/>
      </c>
      <c r="C1109" s="7">
        <f>INDEX(Bits!$E$25:$E$124,INT(B1109)+1)</f>
        <v/>
      </c>
      <c r="D1109" s="7">
        <f>MAX(1,MIN(INT(B1109/$C$4)+1,$C$5))</f>
        <v/>
      </c>
      <c r="E1109" s="26">
        <f>IF($C$5=0,0,INDEX(Symboles!$G$6:$G$101,D1109))</f>
        <v/>
      </c>
      <c r="F1109" s="26">
        <f>IF($C$5=0,0,INDEX(Symboles!$H$6:$H$101,D1109))</f>
        <v/>
      </c>
      <c r="G1109" s="26">
        <f>COS(2*PI()*$C$3*B1109)</f>
        <v/>
      </c>
      <c r="H1109" s="26">
        <f>SIN(2*PI()*$C$3*B1109)</f>
        <v/>
      </c>
      <c r="I1109" s="26">
        <f>E1109*G1109+F1109*H1109</f>
        <v/>
      </c>
    </row>
    <row r="1110">
      <c r="A1110" s="7" t="n">
        <v>1103</v>
      </c>
      <c r="B1110" s="26">
        <f>(A1110-1)/2000*$C$2</f>
        <v/>
      </c>
      <c r="C1110" s="7">
        <f>INDEX(Bits!$E$25:$E$124,INT(B1110)+1)</f>
        <v/>
      </c>
      <c r="D1110" s="7">
        <f>MAX(1,MIN(INT(B1110/$C$4)+1,$C$5))</f>
        <v/>
      </c>
      <c r="E1110" s="26">
        <f>IF($C$5=0,0,INDEX(Symboles!$G$6:$G$101,D1110))</f>
        <v/>
      </c>
      <c r="F1110" s="26">
        <f>IF($C$5=0,0,INDEX(Symboles!$H$6:$H$101,D1110))</f>
        <v/>
      </c>
      <c r="G1110" s="26">
        <f>COS(2*PI()*$C$3*B1110)</f>
        <v/>
      </c>
      <c r="H1110" s="26">
        <f>SIN(2*PI()*$C$3*B1110)</f>
        <v/>
      </c>
      <c r="I1110" s="26">
        <f>E1110*G1110+F1110*H1110</f>
        <v/>
      </c>
    </row>
    <row r="1111">
      <c r="A1111" s="7" t="n">
        <v>1104</v>
      </c>
      <c r="B1111" s="26">
        <f>(A1111-1)/2000*$C$2</f>
        <v/>
      </c>
      <c r="C1111" s="7">
        <f>INDEX(Bits!$E$25:$E$124,INT(B1111)+1)</f>
        <v/>
      </c>
      <c r="D1111" s="7">
        <f>MAX(1,MIN(INT(B1111/$C$4)+1,$C$5))</f>
        <v/>
      </c>
      <c r="E1111" s="26">
        <f>IF($C$5=0,0,INDEX(Symboles!$G$6:$G$101,D1111))</f>
        <v/>
      </c>
      <c r="F1111" s="26">
        <f>IF($C$5=0,0,INDEX(Symboles!$H$6:$H$101,D1111))</f>
        <v/>
      </c>
      <c r="G1111" s="26">
        <f>COS(2*PI()*$C$3*B1111)</f>
        <v/>
      </c>
      <c r="H1111" s="26">
        <f>SIN(2*PI()*$C$3*B1111)</f>
        <v/>
      </c>
      <c r="I1111" s="26">
        <f>E1111*G1111+F1111*H1111</f>
        <v/>
      </c>
    </row>
    <row r="1112">
      <c r="A1112" s="7" t="n">
        <v>1105</v>
      </c>
      <c r="B1112" s="26">
        <f>(A1112-1)/2000*$C$2</f>
        <v/>
      </c>
      <c r="C1112" s="7">
        <f>INDEX(Bits!$E$25:$E$124,INT(B1112)+1)</f>
        <v/>
      </c>
      <c r="D1112" s="7">
        <f>MAX(1,MIN(INT(B1112/$C$4)+1,$C$5))</f>
        <v/>
      </c>
      <c r="E1112" s="26">
        <f>IF($C$5=0,0,INDEX(Symboles!$G$6:$G$101,D1112))</f>
        <v/>
      </c>
      <c r="F1112" s="26">
        <f>IF($C$5=0,0,INDEX(Symboles!$H$6:$H$101,D1112))</f>
        <v/>
      </c>
      <c r="G1112" s="26">
        <f>COS(2*PI()*$C$3*B1112)</f>
        <v/>
      </c>
      <c r="H1112" s="26">
        <f>SIN(2*PI()*$C$3*B1112)</f>
        <v/>
      </c>
      <c r="I1112" s="26">
        <f>E1112*G1112+F1112*H1112</f>
        <v/>
      </c>
    </row>
    <row r="1113">
      <c r="A1113" s="7" t="n">
        <v>1106</v>
      </c>
      <c r="B1113" s="26">
        <f>(A1113-1)/2000*$C$2</f>
        <v/>
      </c>
      <c r="C1113" s="7">
        <f>INDEX(Bits!$E$25:$E$124,INT(B1113)+1)</f>
        <v/>
      </c>
      <c r="D1113" s="7">
        <f>MAX(1,MIN(INT(B1113/$C$4)+1,$C$5))</f>
        <v/>
      </c>
      <c r="E1113" s="26">
        <f>IF($C$5=0,0,INDEX(Symboles!$G$6:$G$101,D1113))</f>
        <v/>
      </c>
      <c r="F1113" s="26">
        <f>IF($C$5=0,0,INDEX(Symboles!$H$6:$H$101,D1113))</f>
        <v/>
      </c>
      <c r="G1113" s="26">
        <f>COS(2*PI()*$C$3*B1113)</f>
        <v/>
      </c>
      <c r="H1113" s="26">
        <f>SIN(2*PI()*$C$3*B1113)</f>
        <v/>
      </c>
      <c r="I1113" s="26">
        <f>E1113*G1113+F1113*H1113</f>
        <v/>
      </c>
    </row>
    <row r="1114">
      <c r="A1114" s="7" t="n">
        <v>1107</v>
      </c>
      <c r="B1114" s="26">
        <f>(A1114-1)/2000*$C$2</f>
        <v/>
      </c>
      <c r="C1114" s="7">
        <f>INDEX(Bits!$E$25:$E$124,INT(B1114)+1)</f>
        <v/>
      </c>
      <c r="D1114" s="7">
        <f>MAX(1,MIN(INT(B1114/$C$4)+1,$C$5))</f>
        <v/>
      </c>
      <c r="E1114" s="26">
        <f>IF($C$5=0,0,INDEX(Symboles!$G$6:$G$101,D1114))</f>
        <v/>
      </c>
      <c r="F1114" s="26">
        <f>IF($C$5=0,0,INDEX(Symboles!$H$6:$H$101,D1114))</f>
        <v/>
      </c>
      <c r="G1114" s="26">
        <f>COS(2*PI()*$C$3*B1114)</f>
        <v/>
      </c>
      <c r="H1114" s="26">
        <f>SIN(2*PI()*$C$3*B1114)</f>
        <v/>
      </c>
      <c r="I1114" s="26">
        <f>E1114*G1114+F1114*H1114</f>
        <v/>
      </c>
    </row>
    <row r="1115">
      <c r="A1115" s="7" t="n">
        <v>1108</v>
      </c>
      <c r="B1115" s="26">
        <f>(A1115-1)/2000*$C$2</f>
        <v/>
      </c>
      <c r="C1115" s="7">
        <f>INDEX(Bits!$E$25:$E$124,INT(B1115)+1)</f>
        <v/>
      </c>
      <c r="D1115" s="7">
        <f>MAX(1,MIN(INT(B1115/$C$4)+1,$C$5))</f>
        <v/>
      </c>
      <c r="E1115" s="26">
        <f>IF($C$5=0,0,INDEX(Symboles!$G$6:$G$101,D1115))</f>
        <v/>
      </c>
      <c r="F1115" s="26">
        <f>IF($C$5=0,0,INDEX(Symboles!$H$6:$H$101,D1115))</f>
        <v/>
      </c>
      <c r="G1115" s="26">
        <f>COS(2*PI()*$C$3*B1115)</f>
        <v/>
      </c>
      <c r="H1115" s="26">
        <f>SIN(2*PI()*$C$3*B1115)</f>
        <v/>
      </c>
      <c r="I1115" s="26">
        <f>E1115*G1115+F1115*H1115</f>
        <v/>
      </c>
    </row>
    <row r="1116">
      <c r="A1116" s="7" t="n">
        <v>1109</v>
      </c>
      <c r="B1116" s="26">
        <f>(A1116-1)/2000*$C$2</f>
        <v/>
      </c>
      <c r="C1116" s="7">
        <f>INDEX(Bits!$E$25:$E$124,INT(B1116)+1)</f>
        <v/>
      </c>
      <c r="D1116" s="7">
        <f>MAX(1,MIN(INT(B1116/$C$4)+1,$C$5))</f>
        <v/>
      </c>
      <c r="E1116" s="26">
        <f>IF($C$5=0,0,INDEX(Symboles!$G$6:$G$101,D1116))</f>
        <v/>
      </c>
      <c r="F1116" s="26">
        <f>IF($C$5=0,0,INDEX(Symboles!$H$6:$H$101,D1116))</f>
        <v/>
      </c>
      <c r="G1116" s="26">
        <f>COS(2*PI()*$C$3*B1116)</f>
        <v/>
      </c>
      <c r="H1116" s="26">
        <f>SIN(2*PI()*$C$3*B1116)</f>
        <v/>
      </c>
      <c r="I1116" s="26">
        <f>E1116*G1116+F1116*H1116</f>
        <v/>
      </c>
    </row>
    <row r="1117">
      <c r="A1117" s="7" t="n">
        <v>1110</v>
      </c>
      <c r="B1117" s="26">
        <f>(A1117-1)/2000*$C$2</f>
        <v/>
      </c>
      <c r="C1117" s="7">
        <f>INDEX(Bits!$E$25:$E$124,INT(B1117)+1)</f>
        <v/>
      </c>
      <c r="D1117" s="7">
        <f>MAX(1,MIN(INT(B1117/$C$4)+1,$C$5))</f>
        <v/>
      </c>
      <c r="E1117" s="26">
        <f>IF($C$5=0,0,INDEX(Symboles!$G$6:$G$101,D1117))</f>
        <v/>
      </c>
      <c r="F1117" s="26">
        <f>IF($C$5=0,0,INDEX(Symboles!$H$6:$H$101,D1117))</f>
        <v/>
      </c>
      <c r="G1117" s="26">
        <f>COS(2*PI()*$C$3*B1117)</f>
        <v/>
      </c>
      <c r="H1117" s="26">
        <f>SIN(2*PI()*$C$3*B1117)</f>
        <v/>
      </c>
      <c r="I1117" s="26">
        <f>E1117*G1117+F1117*H1117</f>
        <v/>
      </c>
    </row>
    <row r="1118">
      <c r="A1118" s="7" t="n">
        <v>1111</v>
      </c>
      <c r="B1118" s="26">
        <f>(A1118-1)/2000*$C$2</f>
        <v/>
      </c>
      <c r="C1118" s="7">
        <f>INDEX(Bits!$E$25:$E$124,INT(B1118)+1)</f>
        <v/>
      </c>
      <c r="D1118" s="7">
        <f>MAX(1,MIN(INT(B1118/$C$4)+1,$C$5))</f>
        <v/>
      </c>
      <c r="E1118" s="26">
        <f>IF($C$5=0,0,INDEX(Symboles!$G$6:$G$101,D1118))</f>
        <v/>
      </c>
      <c r="F1118" s="26">
        <f>IF($C$5=0,0,INDEX(Symboles!$H$6:$H$101,D1118))</f>
        <v/>
      </c>
      <c r="G1118" s="26">
        <f>COS(2*PI()*$C$3*B1118)</f>
        <v/>
      </c>
      <c r="H1118" s="26">
        <f>SIN(2*PI()*$C$3*B1118)</f>
        <v/>
      </c>
      <c r="I1118" s="26">
        <f>E1118*G1118+F1118*H1118</f>
        <v/>
      </c>
    </row>
    <row r="1119">
      <c r="A1119" s="7" t="n">
        <v>1112</v>
      </c>
      <c r="B1119" s="26">
        <f>(A1119-1)/2000*$C$2</f>
        <v/>
      </c>
      <c r="C1119" s="7">
        <f>INDEX(Bits!$E$25:$E$124,INT(B1119)+1)</f>
        <v/>
      </c>
      <c r="D1119" s="7">
        <f>MAX(1,MIN(INT(B1119/$C$4)+1,$C$5))</f>
        <v/>
      </c>
      <c r="E1119" s="26">
        <f>IF($C$5=0,0,INDEX(Symboles!$G$6:$G$101,D1119))</f>
        <v/>
      </c>
      <c r="F1119" s="26">
        <f>IF($C$5=0,0,INDEX(Symboles!$H$6:$H$101,D1119))</f>
        <v/>
      </c>
      <c r="G1119" s="26">
        <f>COS(2*PI()*$C$3*B1119)</f>
        <v/>
      </c>
      <c r="H1119" s="26">
        <f>SIN(2*PI()*$C$3*B1119)</f>
        <v/>
      </c>
      <c r="I1119" s="26">
        <f>E1119*G1119+F1119*H1119</f>
        <v/>
      </c>
    </row>
    <row r="1120">
      <c r="A1120" s="7" t="n">
        <v>1113</v>
      </c>
      <c r="B1120" s="26">
        <f>(A1120-1)/2000*$C$2</f>
        <v/>
      </c>
      <c r="C1120" s="7">
        <f>INDEX(Bits!$E$25:$E$124,INT(B1120)+1)</f>
        <v/>
      </c>
      <c r="D1120" s="7">
        <f>MAX(1,MIN(INT(B1120/$C$4)+1,$C$5))</f>
        <v/>
      </c>
      <c r="E1120" s="26">
        <f>IF($C$5=0,0,INDEX(Symboles!$G$6:$G$101,D1120))</f>
        <v/>
      </c>
      <c r="F1120" s="26">
        <f>IF($C$5=0,0,INDEX(Symboles!$H$6:$H$101,D1120))</f>
        <v/>
      </c>
      <c r="G1120" s="26">
        <f>COS(2*PI()*$C$3*B1120)</f>
        <v/>
      </c>
      <c r="H1120" s="26">
        <f>SIN(2*PI()*$C$3*B1120)</f>
        <v/>
      </c>
      <c r="I1120" s="26">
        <f>E1120*G1120+F1120*H1120</f>
        <v/>
      </c>
    </row>
    <row r="1121">
      <c r="A1121" s="7" t="n">
        <v>1114</v>
      </c>
      <c r="B1121" s="26">
        <f>(A1121-1)/2000*$C$2</f>
        <v/>
      </c>
      <c r="C1121" s="7">
        <f>INDEX(Bits!$E$25:$E$124,INT(B1121)+1)</f>
        <v/>
      </c>
      <c r="D1121" s="7">
        <f>MAX(1,MIN(INT(B1121/$C$4)+1,$C$5))</f>
        <v/>
      </c>
      <c r="E1121" s="26">
        <f>IF($C$5=0,0,INDEX(Symboles!$G$6:$G$101,D1121))</f>
        <v/>
      </c>
      <c r="F1121" s="26">
        <f>IF($C$5=0,0,INDEX(Symboles!$H$6:$H$101,D1121))</f>
        <v/>
      </c>
      <c r="G1121" s="26">
        <f>COS(2*PI()*$C$3*B1121)</f>
        <v/>
      </c>
      <c r="H1121" s="26">
        <f>SIN(2*PI()*$C$3*B1121)</f>
        <v/>
      </c>
      <c r="I1121" s="26">
        <f>E1121*G1121+F1121*H1121</f>
        <v/>
      </c>
    </row>
    <row r="1122">
      <c r="A1122" s="7" t="n">
        <v>1115</v>
      </c>
      <c r="B1122" s="26">
        <f>(A1122-1)/2000*$C$2</f>
        <v/>
      </c>
      <c r="C1122" s="7">
        <f>INDEX(Bits!$E$25:$E$124,INT(B1122)+1)</f>
        <v/>
      </c>
      <c r="D1122" s="7">
        <f>MAX(1,MIN(INT(B1122/$C$4)+1,$C$5))</f>
        <v/>
      </c>
      <c r="E1122" s="26">
        <f>IF($C$5=0,0,INDEX(Symboles!$G$6:$G$101,D1122))</f>
        <v/>
      </c>
      <c r="F1122" s="26">
        <f>IF($C$5=0,0,INDEX(Symboles!$H$6:$H$101,D1122))</f>
        <v/>
      </c>
      <c r="G1122" s="26">
        <f>COS(2*PI()*$C$3*B1122)</f>
        <v/>
      </c>
      <c r="H1122" s="26">
        <f>SIN(2*PI()*$C$3*B1122)</f>
        <v/>
      </c>
      <c r="I1122" s="26">
        <f>E1122*G1122+F1122*H1122</f>
        <v/>
      </c>
    </row>
    <row r="1123">
      <c r="A1123" s="7" t="n">
        <v>1116</v>
      </c>
      <c r="B1123" s="26">
        <f>(A1123-1)/2000*$C$2</f>
        <v/>
      </c>
      <c r="C1123" s="7">
        <f>INDEX(Bits!$E$25:$E$124,INT(B1123)+1)</f>
        <v/>
      </c>
      <c r="D1123" s="7">
        <f>MAX(1,MIN(INT(B1123/$C$4)+1,$C$5))</f>
        <v/>
      </c>
      <c r="E1123" s="26">
        <f>IF($C$5=0,0,INDEX(Symboles!$G$6:$G$101,D1123))</f>
        <v/>
      </c>
      <c r="F1123" s="26">
        <f>IF($C$5=0,0,INDEX(Symboles!$H$6:$H$101,D1123))</f>
        <v/>
      </c>
      <c r="G1123" s="26">
        <f>COS(2*PI()*$C$3*B1123)</f>
        <v/>
      </c>
      <c r="H1123" s="26">
        <f>SIN(2*PI()*$C$3*B1123)</f>
        <v/>
      </c>
      <c r="I1123" s="26">
        <f>E1123*G1123+F1123*H1123</f>
        <v/>
      </c>
    </row>
    <row r="1124">
      <c r="A1124" s="7" t="n">
        <v>1117</v>
      </c>
      <c r="B1124" s="26">
        <f>(A1124-1)/2000*$C$2</f>
        <v/>
      </c>
      <c r="C1124" s="7">
        <f>INDEX(Bits!$E$25:$E$124,INT(B1124)+1)</f>
        <v/>
      </c>
      <c r="D1124" s="7">
        <f>MAX(1,MIN(INT(B1124/$C$4)+1,$C$5))</f>
        <v/>
      </c>
      <c r="E1124" s="26">
        <f>IF($C$5=0,0,INDEX(Symboles!$G$6:$G$101,D1124))</f>
        <v/>
      </c>
      <c r="F1124" s="26">
        <f>IF($C$5=0,0,INDEX(Symboles!$H$6:$H$101,D1124))</f>
        <v/>
      </c>
      <c r="G1124" s="26">
        <f>COS(2*PI()*$C$3*B1124)</f>
        <v/>
      </c>
      <c r="H1124" s="26">
        <f>SIN(2*PI()*$C$3*B1124)</f>
        <v/>
      </c>
      <c r="I1124" s="26">
        <f>E1124*G1124+F1124*H1124</f>
        <v/>
      </c>
    </row>
    <row r="1125">
      <c r="A1125" s="7" t="n">
        <v>1118</v>
      </c>
      <c r="B1125" s="26">
        <f>(A1125-1)/2000*$C$2</f>
        <v/>
      </c>
      <c r="C1125" s="7">
        <f>INDEX(Bits!$E$25:$E$124,INT(B1125)+1)</f>
        <v/>
      </c>
      <c r="D1125" s="7">
        <f>MAX(1,MIN(INT(B1125/$C$4)+1,$C$5))</f>
        <v/>
      </c>
      <c r="E1125" s="26">
        <f>IF($C$5=0,0,INDEX(Symboles!$G$6:$G$101,D1125))</f>
        <v/>
      </c>
      <c r="F1125" s="26">
        <f>IF($C$5=0,0,INDEX(Symboles!$H$6:$H$101,D1125))</f>
        <v/>
      </c>
      <c r="G1125" s="26">
        <f>COS(2*PI()*$C$3*B1125)</f>
        <v/>
      </c>
      <c r="H1125" s="26">
        <f>SIN(2*PI()*$C$3*B1125)</f>
        <v/>
      </c>
      <c r="I1125" s="26">
        <f>E1125*G1125+F1125*H1125</f>
        <v/>
      </c>
    </row>
    <row r="1126">
      <c r="A1126" s="7" t="n">
        <v>1119</v>
      </c>
      <c r="B1126" s="26">
        <f>(A1126-1)/2000*$C$2</f>
        <v/>
      </c>
      <c r="C1126" s="7">
        <f>INDEX(Bits!$E$25:$E$124,INT(B1126)+1)</f>
        <v/>
      </c>
      <c r="D1126" s="7">
        <f>MAX(1,MIN(INT(B1126/$C$4)+1,$C$5))</f>
        <v/>
      </c>
      <c r="E1126" s="26">
        <f>IF($C$5=0,0,INDEX(Symboles!$G$6:$G$101,D1126))</f>
        <v/>
      </c>
      <c r="F1126" s="26">
        <f>IF($C$5=0,0,INDEX(Symboles!$H$6:$H$101,D1126))</f>
        <v/>
      </c>
      <c r="G1126" s="26">
        <f>COS(2*PI()*$C$3*B1126)</f>
        <v/>
      </c>
      <c r="H1126" s="26">
        <f>SIN(2*PI()*$C$3*B1126)</f>
        <v/>
      </c>
      <c r="I1126" s="26">
        <f>E1126*G1126+F1126*H1126</f>
        <v/>
      </c>
    </row>
    <row r="1127">
      <c r="A1127" s="7" t="n">
        <v>1120</v>
      </c>
      <c r="B1127" s="26">
        <f>(A1127-1)/2000*$C$2</f>
        <v/>
      </c>
      <c r="C1127" s="7">
        <f>INDEX(Bits!$E$25:$E$124,INT(B1127)+1)</f>
        <v/>
      </c>
      <c r="D1127" s="7">
        <f>MAX(1,MIN(INT(B1127/$C$4)+1,$C$5))</f>
        <v/>
      </c>
      <c r="E1127" s="26">
        <f>IF($C$5=0,0,INDEX(Symboles!$G$6:$G$101,D1127))</f>
        <v/>
      </c>
      <c r="F1127" s="26">
        <f>IF($C$5=0,0,INDEX(Symboles!$H$6:$H$101,D1127))</f>
        <v/>
      </c>
      <c r="G1127" s="26">
        <f>COS(2*PI()*$C$3*B1127)</f>
        <v/>
      </c>
      <c r="H1127" s="26">
        <f>SIN(2*PI()*$C$3*B1127)</f>
        <v/>
      </c>
      <c r="I1127" s="26">
        <f>E1127*G1127+F1127*H1127</f>
        <v/>
      </c>
    </row>
    <row r="1128">
      <c r="A1128" s="7" t="n">
        <v>1121</v>
      </c>
      <c r="B1128" s="26">
        <f>(A1128-1)/2000*$C$2</f>
        <v/>
      </c>
      <c r="C1128" s="7">
        <f>INDEX(Bits!$E$25:$E$124,INT(B1128)+1)</f>
        <v/>
      </c>
      <c r="D1128" s="7">
        <f>MAX(1,MIN(INT(B1128/$C$4)+1,$C$5))</f>
        <v/>
      </c>
      <c r="E1128" s="26">
        <f>IF($C$5=0,0,INDEX(Symboles!$G$6:$G$101,D1128))</f>
        <v/>
      </c>
      <c r="F1128" s="26">
        <f>IF($C$5=0,0,INDEX(Symboles!$H$6:$H$101,D1128))</f>
        <v/>
      </c>
      <c r="G1128" s="26">
        <f>COS(2*PI()*$C$3*B1128)</f>
        <v/>
      </c>
      <c r="H1128" s="26">
        <f>SIN(2*PI()*$C$3*B1128)</f>
        <v/>
      </c>
      <c r="I1128" s="26">
        <f>E1128*G1128+F1128*H1128</f>
        <v/>
      </c>
    </row>
    <row r="1129">
      <c r="A1129" s="7" t="n">
        <v>1122</v>
      </c>
      <c r="B1129" s="26">
        <f>(A1129-1)/2000*$C$2</f>
        <v/>
      </c>
      <c r="C1129" s="7">
        <f>INDEX(Bits!$E$25:$E$124,INT(B1129)+1)</f>
        <v/>
      </c>
      <c r="D1129" s="7">
        <f>MAX(1,MIN(INT(B1129/$C$4)+1,$C$5))</f>
        <v/>
      </c>
      <c r="E1129" s="26">
        <f>IF($C$5=0,0,INDEX(Symboles!$G$6:$G$101,D1129))</f>
        <v/>
      </c>
      <c r="F1129" s="26">
        <f>IF($C$5=0,0,INDEX(Symboles!$H$6:$H$101,D1129))</f>
        <v/>
      </c>
      <c r="G1129" s="26">
        <f>COS(2*PI()*$C$3*B1129)</f>
        <v/>
      </c>
      <c r="H1129" s="26">
        <f>SIN(2*PI()*$C$3*B1129)</f>
        <v/>
      </c>
      <c r="I1129" s="26">
        <f>E1129*G1129+F1129*H1129</f>
        <v/>
      </c>
    </row>
    <row r="1130">
      <c r="A1130" s="7" t="n">
        <v>1123</v>
      </c>
      <c r="B1130" s="26">
        <f>(A1130-1)/2000*$C$2</f>
        <v/>
      </c>
      <c r="C1130" s="7">
        <f>INDEX(Bits!$E$25:$E$124,INT(B1130)+1)</f>
        <v/>
      </c>
      <c r="D1130" s="7">
        <f>MAX(1,MIN(INT(B1130/$C$4)+1,$C$5))</f>
        <v/>
      </c>
      <c r="E1130" s="26">
        <f>IF($C$5=0,0,INDEX(Symboles!$G$6:$G$101,D1130))</f>
        <v/>
      </c>
      <c r="F1130" s="26">
        <f>IF($C$5=0,0,INDEX(Symboles!$H$6:$H$101,D1130))</f>
        <v/>
      </c>
      <c r="G1130" s="26">
        <f>COS(2*PI()*$C$3*B1130)</f>
        <v/>
      </c>
      <c r="H1130" s="26">
        <f>SIN(2*PI()*$C$3*B1130)</f>
        <v/>
      </c>
      <c r="I1130" s="26">
        <f>E1130*G1130+F1130*H1130</f>
        <v/>
      </c>
    </row>
    <row r="1131">
      <c r="A1131" s="7" t="n">
        <v>1124</v>
      </c>
      <c r="B1131" s="26">
        <f>(A1131-1)/2000*$C$2</f>
        <v/>
      </c>
      <c r="C1131" s="7">
        <f>INDEX(Bits!$E$25:$E$124,INT(B1131)+1)</f>
        <v/>
      </c>
      <c r="D1131" s="7">
        <f>MAX(1,MIN(INT(B1131/$C$4)+1,$C$5))</f>
        <v/>
      </c>
      <c r="E1131" s="26">
        <f>IF($C$5=0,0,INDEX(Symboles!$G$6:$G$101,D1131))</f>
        <v/>
      </c>
      <c r="F1131" s="26">
        <f>IF($C$5=0,0,INDEX(Symboles!$H$6:$H$101,D1131))</f>
        <v/>
      </c>
      <c r="G1131" s="26">
        <f>COS(2*PI()*$C$3*B1131)</f>
        <v/>
      </c>
      <c r="H1131" s="26">
        <f>SIN(2*PI()*$C$3*B1131)</f>
        <v/>
      </c>
      <c r="I1131" s="26">
        <f>E1131*G1131+F1131*H1131</f>
        <v/>
      </c>
    </row>
    <row r="1132">
      <c r="A1132" s="7" t="n">
        <v>1125</v>
      </c>
      <c r="B1132" s="26">
        <f>(A1132-1)/2000*$C$2</f>
        <v/>
      </c>
      <c r="C1132" s="7">
        <f>INDEX(Bits!$E$25:$E$124,INT(B1132)+1)</f>
        <v/>
      </c>
      <c r="D1132" s="7">
        <f>MAX(1,MIN(INT(B1132/$C$4)+1,$C$5))</f>
        <v/>
      </c>
      <c r="E1132" s="26">
        <f>IF($C$5=0,0,INDEX(Symboles!$G$6:$G$101,D1132))</f>
        <v/>
      </c>
      <c r="F1132" s="26">
        <f>IF($C$5=0,0,INDEX(Symboles!$H$6:$H$101,D1132))</f>
        <v/>
      </c>
      <c r="G1132" s="26">
        <f>COS(2*PI()*$C$3*B1132)</f>
        <v/>
      </c>
      <c r="H1132" s="26">
        <f>SIN(2*PI()*$C$3*B1132)</f>
        <v/>
      </c>
      <c r="I1132" s="26">
        <f>E1132*G1132+F1132*H1132</f>
        <v/>
      </c>
    </row>
    <row r="1133">
      <c r="A1133" s="7" t="n">
        <v>1126</v>
      </c>
      <c r="B1133" s="26">
        <f>(A1133-1)/2000*$C$2</f>
        <v/>
      </c>
      <c r="C1133" s="7">
        <f>INDEX(Bits!$E$25:$E$124,INT(B1133)+1)</f>
        <v/>
      </c>
      <c r="D1133" s="7">
        <f>MAX(1,MIN(INT(B1133/$C$4)+1,$C$5))</f>
        <v/>
      </c>
      <c r="E1133" s="26">
        <f>IF($C$5=0,0,INDEX(Symboles!$G$6:$G$101,D1133))</f>
        <v/>
      </c>
      <c r="F1133" s="26">
        <f>IF($C$5=0,0,INDEX(Symboles!$H$6:$H$101,D1133))</f>
        <v/>
      </c>
      <c r="G1133" s="26">
        <f>COS(2*PI()*$C$3*B1133)</f>
        <v/>
      </c>
      <c r="H1133" s="26">
        <f>SIN(2*PI()*$C$3*B1133)</f>
        <v/>
      </c>
      <c r="I1133" s="26">
        <f>E1133*G1133+F1133*H1133</f>
        <v/>
      </c>
    </row>
    <row r="1134">
      <c r="A1134" s="7" t="n">
        <v>1127</v>
      </c>
      <c r="B1134" s="26">
        <f>(A1134-1)/2000*$C$2</f>
        <v/>
      </c>
      <c r="C1134" s="7">
        <f>INDEX(Bits!$E$25:$E$124,INT(B1134)+1)</f>
        <v/>
      </c>
      <c r="D1134" s="7">
        <f>MAX(1,MIN(INT(B1134/$C$4)+1,$C$5))</f>
        <v/>
      </c>
      <c r="E1134" s="26">
        <f>IF($C$5=0,0,INDEX(Symboles!$G$6:$G$101,D1134))</f>
        <v/>
      </c>
      <c r="F1134" s="26">
        <f>IF($C$5=0,0,INDEX(Symboles!$H$6:$H$101,D1134))</f>
        <v/>
      </c>
      <c r="G1134" s="26">
        <f>COS(2*PI()*$C$3*B1134)</f>
        <v/>
      </c>
      <c r="H1134" s="26">
        <f>SIN(2*PI()*$C$3*B1134)</f>
        <v/>
      </c>
      <c r="I1134" s="26">
        <f>E1134*G1134+F1134*H1134</f>
        <v/>
      </c>
    </row>
    <row r="1135">
      <c r="A1135" s="7" t="n">
        <v>1128</v>
      </c>
      <c r="B1135" s="26">
        <f>(A1135-1)/2000*$C$2</f>
        <v/>
      </c>
      <c r="C1135" s="7">
        <f>INDEX(Bits!$E$25:$E$124,INT(B1135)+1)</f>
        <v/>
      </c>
      <c r="D1135" s="7">
        <f>MAX(1,MIN(INT(B1135/$C$4)+1,$C$5))</f>
        <v/>
      </c>
      <c r="E1135" s="26">
        <f>IF($C$5=0,0,INDEX(Symboles!$G$6:$G$101,D1135))</f>
        <v/>
      </c>
      <c r="F1135" s="26">
        <f>IF($C$5=0,0,INDEX(Symboles!$H$6:$H$101,D1135))</f>
        <v/>
      </c>
      <c r="G1135" s="26">
        <f>COS(2*PI()*$C$3*B1135)</f>
        <v/>
      </c>
      <c r="H1135" s="26">
        <f>SIN(2*PI()*$C$3*B1135)</f>
        <v/>
      </c>
      <c r="I1135" s="26">
        <f>E1135*G1135+F1135*H1135</f>
        <v/>
      </c>
    </row>
    <row r="1136">
      <c r="A1136" s="7" t="n">
        <v>1129</v>
      </c>
      <c r="B1136" s="26">
        <f>(A1136-1)/2000*$C$2</f>
        <v/>
      </c>
      <c r="C1136" s="7">
        <f>INDEX(Bits!$E$25:$E$124,INT(B1136)+1)</f>
        <v/>
      </c>
      <c r="D1136" s="7">
        <f>MAX(1,MIN(INT(B1136/$C$4)+1,$C$5))</f>
        <v/>
      </c>
      <c r="E1136" s="26">
        <f>IF($C$5=0,0,INDEX(Symboles!$G$6:$G$101,D1136))</f>
        <v/>
      </c>
      <c r="F1136" s="26">
        <f>IF($C$5=0,0,INDEX(Symboles!$H$6:$H$101,D1136))</f>
        <v/>
      </c>
      <c r="G1136" s="26">
        <f>COS(2*PI()*$C$3*B1136)</f>
        <v/>
      </c>
      <c r="H1136" s="26">
        <f>SIN(2*PI()*$C$3*B1136)</f>
        <v/>
      </c>
      <c r="I1136" s="26">
        <f>E1136*G1136+F1136*H1136</f>
        <v/>
      </c>
    </row>
    <row r="1137">
      <c r="A1137" s="7" t="n">
        <v>1130</v>
      </c>
      <c r="B1137" s="26">
        <f>(A1137-1)/2000*$C$2</f>
        <v/>
      </c>
      <c r="C1137" s="7">
        <f>INDEX(Bits!$E$25:$E$124,INT(B1137)+1)</f>
        <v/>
      </c>
      <c r="D1137" s="7">
        <f>MAX(1,MIN(INT(B1137/$C$4)+1,$C$5))</f>
        <v/>
      </c>
      <c r="E1137" s="26">
        <f>IF($C$5=0,0,INDEX(Symboles!$G$6:$G$101,D1137))</f>
        <v/>
      </c>
      <c r="F1137" s="26">
        <f>IF($C$5=0,0,INDEX(Symboles!$H$6:$H$101,D1137))</f>
        <v/>
      </c>
      <c r="G1137" s="26">
        <f>COS(2*PI()*$C$3*B1137)</f>
        <v/>
      </c>
      <c r="H1137" s="26">
        <f>SIN(2*PI()*$C$3*B1137)</f>
        <v/>
      </c>
      <c r="I1137" s="26">
        <f>E1137*G1137+F1137*H1137</f>
        <v/>
      </c>
    </row>
    <row r="1138">
      <c r="A1138" s="7" t="n">
        <v>1131</v>
      </c>
      <c r="B1138" s="26">
        <f>(A1138-1)/2000*$C$2</f>
        <v/>
      </c>
      <c r="C1138" s="7">
        <f>INDEX(Bits!$E$25:$E$124,INT(B1138)+1)</f>
        <v/>
      </c>
      <c r="D1138" s="7">
        <f>MAX(1,MIN(INT(B1138/$C$4)+1,$C$5))</f>
        <v/>
      </c>
      <c r="E1138" s="26">
        <f>IF($C$5=0,0,INDEX(Symboles!$G$6:$G$101,D1138))</f>
        <v/>
      </c>
      <c r="F1138" s="26">
        <f>IF($C$5=0,0,INDEX(Symboles!$H$6:$H$101,D1138))</f>
        <v/>
      </c>
      <c r="G1138" s="26">
        <f>COS(2*PI()*$C$3*B1138)</f>
        <v/>
      </c>
      <c r="H1138" s="26">
        <f>SIN(2*PI()*$C$3*B1138)</f>
        <v/>
      </c>
      <c r="I1138" s="26">
        <f>E1138*G1138+F1138*H1138</f>
        <v/>
      </c>
    </row>
    <row r="1139">
      <c r="A1139" s="7" t="n">
        <v>1132</v>
      </c>
      <c r="B1139" s="26">
        <f>(A1139-1)/2000*$C$2</f>
        <v/>
      </c>
      <c r="C1139" s="7">
        <f>INDEX(Bits!$E$25:$E$124,INT(B1139)+1)</f>
        <v/>
      </c>
      <c r="D1139" s="7">
        <f>MAX(1,MIN(INT(B1139/$C$4)+1,$C$5))</f>
        <v/>
      </c>
      <c r="E1139" s="26">
        <f>IF($C$5=0,0,INDEX(Symboles!$G$6:$G$101,D1139))</f>
        <v/>
      </c>
      <c r="F1139" s="26">
        <f>IF($C$5=0,0,INDEX(Symboles!$H$6:$H$101,D1139))</f>
        <v/>
      </c>
      <c r="G1139" s="26">
        <f>COS(2*PI()*$C$3*B1139)</f>
        <v/>
      </c>
      <c r="H1139" s="26">
        <f>SIN(2*PI()*$C$3*B1139)</f>
        <v/>
      </c>
      <c r="I1139" s="26">
        <f>E1139*G1139+F1139*H1139</f>
        <v/>
      </c>
    </row>
    <row r="1140">
      <c r="A1140" s="7" t="n">
        <v>1133</v>
      </c>
      <c r="B1140" s="26">
        <f>(A1140-1)/2000*$C$2</f>
        <v/>
      </c>
      <c r="C1140" s="7">
        <f>INDEX(Bits!$E$25:$E$124,INT(B1140)+1)</f>
        <v/>
      </c>
      <c r="D1140" s="7">
        <f>MAX(1,MIN(INT(B1140/$C$4)+1,$C$5))</f>
        <v/>
      </c>
      <c r="E1140" s="26">
        <f>IF($C$5=0,0,INDEX(Symboles!$G$6:$G$101,D1140))</f>
        <v/>
      </c>
      <c r="F1140" s="26">
        <f>IF($C$5=0,0,INDEX(Symboles!$H$6:$H$101,D1140))</f>
        <v/>
      </c>
      <c r="G1140" s="26">
        <f>COS(2*PI()*$C$3*B1140)</f>
        <v/>
      </c>
      <c r="H1140" s="26">
        <f>SIN(2*PI()*$C$3*B1140)</f>
        <v/>
      </c>
      <c r="I1140" s="26">
        <f>E1140*G1140+F1140*H1140</f>
        <v/>
      </c>
    </row>
    <row r="1141">
      <c r="A1141" s="7" t="n">
        <v>1134</v>
      </c>
      <c r="B1141" s="26">
        <f>(A1141-1)/2000*$C$2</f>
        <v/>
      </c>
      <c r="C1141" s="7">
        <f>INDEX(Bits!$E$25:$E$124,INT(B1141)+1)</f>
        <v/>
      </c>
      <c r="D1141" s="7">
        <f>MAX(1,MIN(INT(B1141/$C$4)+1,$C$5))</f>
        <v/>
      </c>
      <c r="E1141" s="26">
        <f>IF($C$5=0,0,INDEX(Symboles!$G$6:$G$101,D1141))</f>
        <v/>
      </c>
      <c r="F1141" s="26">
        <f>IF($C$5=0,0,INDEX(Symboles!$H$6:$H$101,D1141))</f>
        <v/>
      </c>
      <c r="G1141" s="26">
        <f>COS(2*PI()*$C$3*B1141)</f>
        <v/>
      </c>
      <c r="H1141" s="26">
        <f>SIN(2*PI()*$C$3*B1141)</f>
        <v/>
      </c>
      <c r="I1141" s="26">
        <f>E1141*G1141+F1141*H1141</f>
        <v/>
      </c>
    </row>
    <row r="1142">
      <c r="A1142" s="7" t="n">
        <v>1135</v>
      </c>
      <c r="B1142" s="26">
        <f>(A1142-1)/2000*$C$2</f>
        <v/>
      </c>
      <c r="C1142" s="7">
        <f>INDEX(Bits!$E$25:$E$124,INT(B1142)+1)</f>
        <v/>
      </c>
      <c r="D1142" s="7">
        <f>MAX(1,MIN(INT(B1142/$C$4)+1,$C$5))</f>
        <v/>
      </c>
      <c r="E1142" s="26">
        <f>IF($C$5=0,0,INDEX(Symboles!$G$6:$G$101,D1142))</f>
        <v/>
      </c>
      <c r="F1142" s="26">
        <f>IF($C$5=0,0,INDEX(Symboles!$H$6:$H$101,D1142))</f>
        <v/>
      </c>
      <c r="G1142" s="26">
        <f>COS(2*PI()*$C$3*B1142)</f>
        <v/>
      </c>
      <c r="H1142" s="26">
        <f>SIN(2*PI()*$C$3*B1142)</f>
        <v/>
      </c>
      <c r="I1142" s="26">
        <f>E1142*G1142+F1142*H1142</f>
        <v/>
      </c>
    </row>
    <row r="1143">
      <c r="A1143" s="7" t="n">
        <v>1136</v>
      </c>
      <c r="B1143" s="26">
        <f>(A1143-1)/2000*$C$2</f>
        <v/>
      </c>
      <c r="C1143" s="7">
        <f>INDEX(Bits!$E$25:$E$124,INT(B1143)+1)</f>
        <v/>
      </c>
      <c r="D1143" s="7">
        <f>MAX(1,MIN(INT(B1143/$C$4)+1,$C$5))</f>
        <v/>
      </c>
      <c r="E1143" s="26">
        <f>IF($C$5=0,0,INDEX(Symboles!$G$6:$G$101,D1143))</f>
        <v/>
      </c>
      <c r="F1143" s="26">
        <f>IF($C$5=0,0,INDEX(Symboles!$H$6:$H$101,D1143))</f>
        <v/>
      </c>
      <c r="G1143" s="26">
        <f>COS(2*PI()*$C$3*B1143)</f>
        <v/>
      </c>
      <c r="H1143" s="26">
        <f>SIN(2*PI()*$C$3*B1143)</f>
        <v/>
      </c>
      <c r="I1143" s="26">
        <f>E1143*G1143+F1143*H1143</f>
        <v/>
      </c>
    </row>
    <row r="1144">
      <c r="A1144" s="7" t="n">
        <v>1137</v>
      </c>
      <c r="B1144" s="26">
        <f>(A1144-1)/2000*$C$2</f>
        <v/>
      </c>
      <c r="C1144" s="7">
        <f>INDEX(Bits!$E$25:$E$124,INT(B1144)+1)</f>
        <v/>
      </c>
      <c r="D1144" s="7">
        <f>MAX(1,MIN(INT(B1144/$C$4)+1,$C$5))</f>
        <v/>
      </c>
      <c r="E1144" s="26">
        <f>IF($C$5=0,0,INDEX(Symboles!$G$6:$G$101,D1144))</f>
        <v/>
      </c>
      <c r="F1144" s="26">
        <f>IF($C$5=0,0,INDEX(Symboles!$H$6:$H$101,D1144))</f>
        <v/>
      </c>
      <c r="G1144" s="26">
        <f>COS(2*PI()*$C$3*B1144)</f>
        <v/>
      </c>
      <c r="H1144" s="26">
        <f>SIN(2*PI()*$C$3*B1144)</f>
        <v/>
      </c>
      <c r="I1144" s="26">
        <f>E1144*G1144+F1144*H1144</f>
        <v/>
      </c>
    </row>
    <row r="1145">
      <c r="A1145" s="7" t="n">
        <v>1138</v>
      </c>
      <c r="B1145" s="26">
        <f>(A1145-1)/2000*$C$2</f>
        <v/>
      </c>
      <c r="C1145" s="7">
        <f>INDEX(Bits!$E$25:$E$124,INT(B1145)+1)</f>
        <v/>
      </c>
      <c r="D1145" s="7">
        <f>MAX(1,MIN(INT(B1145/$C$4)+1,$C$5))</f>
        <v/>
      </c>
      <c r="E1145" s="26">
        <f>IF($C$5=0,0,INDEX(Symboles!$G$6:$G$101,D1145))</f>
        <v/>
      </c>
      <c r="F1145" s="26">
        <f>IF($C$5=0,0,INDEX(Symboles!$H$6:$H$101,D1145))</f>
        <v/>
      </c>
      <c r="G1145" s="26">
        <f>COS(2*PI()*$C$3*B1145)</f>
        <v/>
      </c>
      <c r="H1145" s="26">
        <f>SIN(2*PI()*$C$3*B1145)</f>
        <v/>
      </c>
      <c r="I1145" s="26">
        <f>E1145*G1145+F1145*H1145</f>
        <v/>
      </c>
    </row>
    <row r="1146">
      <c r="A1146" s="7" t="n">
        <v>1139</v>
      </c>
      <c r="B1146" s="26">
        <f>(A1146-1)/2000*$C$2</f>
        <v/>
      </c>
      <c r="C1146" s="7">
        <f>INDEX(Bits!$E$25:$E$124,INT(B1146)+1)</f>
        <v/>
      </c>
      <c r="D1146" s="7">
        <f>MAX(1,MIN(INT(B1146/$C$4)+1,$C$5))</f>
        <v/>
      </c>
      <c r="E1146" s="26">
        <f>IF($C$5=0,0,INDEX(Symboles!$G$6:$G$101,D1146))</f>
        <v/>
      </c>
      <c r="F1146" s="26">
        <f>IF($C$5=0,0,INDEX(Symboles!$H$6:$H$101,D1146))</f>
        <v/>
      </c>
      <c r="G1146" s="26">
        <f>COS(2*PI()*$C$3*B1146)</f>
        <v/>
      </c>
      <c r="H1146" s="26">
        <f>SIN(2*PI()*$C$3*B1146)</f>
        <v/>
      </c>
      <c r="I1146" s="26">
        <f>E1146*G1146+F1146*H1146</f>
        <v/>
      </c>
    </row>
    <row r="1147">
      <c r="A1147" s="7" t="n">
        <v>1140</v>
      </c>
      <c r="B1147" s="26">
        <f>(A1147-1)/2000*$C$2</f>
        <v/>
      </c>
      <c r="C1147" s="7">
        <f>INDEX(Bits!$E$25:$E$124,INT(B1147)+1)</f>
        <v/>
      </c>
      <c r="D1147" s="7">
        <f>MAX(1,MIN(INT(B1147/$C$4)+1,$C$5))</f>
        <v/>
      </c>
      <c r="E1147" s="26">
        <f>IF($C$5=0,0,INDEX(Symboles!$G$6:$G$101,D1147))</f>
        <v/>
      </c>
      <c r="F1147" s="26">
        <f>IF($C$5=0,0,INDEX(Symboles!$H$6:$H$101,D1147))</f>
        <v/>
      </c>
      <c r="G1147" s="26">
        <f>COS(2*PI()*$C$3*B1147)</f>
        <v/>
      </c>
      <c r="H1147" s="26">
        <f>SIN(2*PI()*$C$3*B1147)</f>
        <v/>
      </c>
      <c r="I1147" s="26">
        <f>E1147*G1147+F1147*H1147</f>
        <v/>
      </c>
    </row>
    <row r="1148">
      <c r="A1148" s="7" t="n">
        <v>1141</v>
      </c>
      <c r="B1148" s="26">
        <f>(A1148-1)/2000*$C$2</f>
        <v/>
      </c>
      <c r="C1148" s="7">
        <f>INDEX(Bits!$E$25:$E$124,INT(B1148)+1)</f>
        <v/>
      </c>
      <c r="D1148" s="7">
        <f>MAX(1,MIN(INT(B1148/$C$4)+1,$C$5))</f>
        <v/>
      </c>
      <c r="E1148" s="26">
        <f>IF($C$5=0,0,INDEX(Symboles!$G$6:$G$101,D1148))</f>
        <v/>
      </c>
      <c r="F1148" s="26">
        <f>IF($C$5=0,0,INDEX(Symboles!$H$6:$H$101,D1148))</f>
        <v/>
      </c>
      <c r="G1148" s="26">
        <f>COS(2*PI()*$C$3*B1148)</f>
        <v/>
      </c>
      <c r="H1148" s="26">
        <f>SIN(2*PI()*$C$3*B1148)</f>
        <v/>
      </c>
      <c r="I1148" s="26">
        <f>E1148*G1148+F1148*H1148</f>
        <v/>
      </c>
    </row>
    <row r="1149">
      <c r="A1149" s="7" t="n">
        <v>1142</v>
      </c>
      <c r="B1149" s="26">
        <f>(A1149-1)/2000*$C$2</f>
        <v/>
      </c>
      <c r="C1149" s="7">
        <f>INDEX(Bits!$E$25:$E$124,INT(B1149)+1)</f>
        <v/>
      </c>
      <c r="D1149" s="7">
        <f>MAX(1,MIN(INT(B1149/$C$4)+1,$C$5))</f>
        <v/>
      </c>
      <c r="E1149" s="26">
        <f>IF($C$5=0,0,INDEX(Symboles!$G$6:$G$101,D1149))</f>
        <v/>
      </c>
      <c r="F1149" s="26">
        <f>IF($C$5=0,0,INDEX(Symboles!$H$6:$H$101,D1149))</f>
        <v/>
      </c>
      <c r="G1149" s="26">
        <f>COS(2*PI()*$C$3*B1149)</f>
        <v/>
      </c>
      <c r="H1149" s="26">
        <f>SIN(2*PI()*$C$3*B1149)</f>
        <v/>
      </c>
      <c r="I1149" s="26">
        <f>E1149*G1149+F1149*H1149</f>
        <v/>
      </c>
    </row>
    <row r="1150">
      <c r="A1150" s="7" t="n">
        <v>1143</v>
      </c>
      <c r="B1150" s="26">
        <f>(A1150-1)/2000*$C$2</f>
        <v/>
      </c>
      <c r="C1150" s="7">
        <f>INDEX(Bits!$E$25:$E$124,INT(B1150)+1)</f>
        <v/>
      </c>
      <c r="D1150" s="7">
        <f>MAX(1,MIN(INT(B1150/$C$4)+1,$C$5))</f>
        <v/>
      </c>
      <c r="E1150" s="26">
        <f>IF($C$5=0,0,INDEX(Symboles!$G$6:$G$101,D1150))</f>
        <v/>
      </c>
      <c r="F1150" s="26">
        <f>IF($C$5=0,0,INDEX(Symboles!$H$6:$H$101,D1150))</f>
        <v/>
      </c>
      <c r="G1150" s="26">
        <f>COS(2*PI()*$C$3*B1150)</f>
        <v/>
      </c>
      <c r="H1150" s="26">
        <f>SIN(2*PI()*$C$3*B1150)</f>
        <v/>
      </c>
      <c r="I1150" s="26">
        <f>E1150*G1150+F1150*H1150</f>
        <v/>
      </c>
    </row>
    <row r="1151">
      <c r="A1151" s="7" t="n">
        <v>1144</v>
      </c>
      <c r="B1151" s="26">
        <f>(A1151-1)/2000*$C$2</f>
        <v/>
      </c>
      <c r="C1151" s="7">
        <f>INDEX(Bits!$E$25:$E$124,INT(B1151)+1)</f>
        <v/>
      </c>
      <c r="D1151" s="7">
        <f>MAX(1,MIN(INT(B1151/$C$4)+1,$C$5))</f>
        <v/>
      </c>
      <c r="E1151" s="26">
        <f>IF($C$5=0,0,INDEX(Symboles!$G$6:$G$101,D1151))</f>
        <v/>
      </c>
      <c r="F1151" s="26">
        <f>IF($C$5=0,0,INDEX(Symboles!$H$6:$H$101,D1151))</f>
        <v/>
      </c>
      <c r="G1151" s="26">
        <f>COS(2*PI()*$C$3*B1151)</f>
        <v/>
      </c>
      <c r="H1151" s="26">
        <f>SIN(2*PI()*$C$3*B1151)</f>
        <v/>
      </c>
      <c r="I1151" s="26">
        <f>E1151*G1151+F1151*H1151</f>
        <v/>
      </c>
    </row>
    <row r="1152">
      <c r="A1152" s="7" t="n">
        <v>1145</v>
      </c>
      <c r="B1152" s="26">
        <f>(A1152-1)/2000*$C$2</f>
        <v/>
      </c>
      <c r="C1152" s="7">
        <f>INDEX(Bits!$E$25:$E$124,INT(B1152)+1)</f>
        <v/>
      </c>
      <c r="D1152" s="7">
        <f>MAX(1,MIN(INT(B1152/$C$4)+1,$C$5))</f>
        <v/>
      </c>
      <c r="E1152" s="26">
        <f>IF($C$5=0,0,INDEX(Symboles!$G$6:$G$101,D1152))</f>
        <v/>
      </c>
      <c r="F1152" s="26">
        <f>IF($C$5=0,0,INDEX(Symboles!$H$6:$H$101,D1152))</f>
        <v/>
      </c>
      <c r="G1152" s="26">
        <f>COS(2*PI()*$C$3*B1152)</f>
        <v/>
      </c>
      <c r="H1152" s="26">
        <f>SIN(2*PI()*$C$3*B1152)</f>
        <v/>
      </c>
      <c r="I1152" s="26">
        <f>E1152*G1152+F1152*H1152</f>
        <v/>
      </c>
    </row>
    <row r="1153">
      <c r="A1153" s="7" t="n">
        <v>1146</v>
      </c>
      <c r="B1153" s="26">
        <f>(A1153-1)/2000*$C$2</f>
        <v/>
      </c>
      <c r="C1153" s="7">
        <f>INDEX(Bits!$E$25:$E$124,INT(B1153)+1)</f>
        <v/>
      </c>
      <c r="D1153" s="7">
        <f>MAX(1,MIN(INT(B1153/$C$4)+1,$C$5))</f>
        <v/>
      </c>
      <c r="E1153" s="26">
        <f>IF($C$5=0,0,INDEX(Symboles!$G$6:$G$101,D1153))</f>
        <v/>
      </c>
      <c r="F1153" s="26">
        <f>IF($C$5=0,0,INDEX(Symboles!$H$6:$H$101,D1153))</f>
        <v/>
      </c>
      <c r="G1153" s="26">
        <f>COS(2*PI()*$C$3*B1153)</f>
        <v/>
      </c>
      <c r="H1153" s="26">
        <f>SIN(2*PI()*$C$3*B1153)</f>
        <v/>
      </c>
      <c r="I1153" s="26">
        <f>E1153*G1153+F1153*H1153</f>
        <v/>
      </c>
    </row>
    <row r="1154">
      <c r="A1154" s="7" t="n">
        <v>1147</v>
      </c>
      <c r="B1154" s="26">
        <f>(A1154-1)/2000*$C$2</f>
        <v/>
      </c>
      <c r="C1154" s="7">
        <f>INDEX(Bits!$E$25:$E$124,INT(B1154)+1)</f>
        <v/>
      </c>
      <c r="D1154" s="7">
        <f>MAX(1,MIN(INT(B1154/$C$4)+1,$C$5))</f>
        <v/>
      </c>
      <c r="E1154" s="26">
        <f>IF($C$5=0,0,INDEX(Symboles!$G$6:$G$101,D1154))</f>
        <v/>
      </c>
      <c r="F1154" s="26">
        <f>IF($C$5=0,0,INDEX(Symboles!$H$6:$H$101,D1154))</f>
        <v/>
      </c>
      <c r="G1154" s="26">
        <f>COS(2*PI()*$C$3*B1154)</f>
        <v/>
      </c>
      <c r="H1154" s="26">
        <f>SIN(2*PI()*$C$3*B1154)</f>
        <v/>
      </c>
      <c r="I1154" s="26">
        <f>E1154*G1154+F1154*H1154</f>
        <v/>
      </c>
    </row>
    <row r="1155">
      <c r="A1155" s="7" t="n">
        <v>1148</v>
      </c>
      <c r="B1155" s="26">
        <f>(A1155-1)/2000*$C$2</f>
        <v/>
      </c>
      <c r="C1155" s="7">
        <f>INDEX(Bits!$E$25:$E$124,INT(B1155)+1)</f>
        <v/>
      </c>
      <c r="D1155" s="7">
        <f>MAX(1,MIN(INT(B1155/$C$4)+1,$C$5))</f>
        <v/>
      </c>
      <c r="E1155" s="26">
        <f>IF($C$5=0,0,INDEX(Symboles!$G$6:$G$101,D1155))</f>
        <v/>
      </c>
      <c r="F1155" s="26">
        <f>IF($C$5=0,0,INDEX(Symboles!$H$6:$H$101,D1155))</f>
        <v/>
      </c>
      <c r="G1155" s="26">
        <f>COS(2*PI()*$C$3*B1155)</f>
        <v/>
      </c>
      <c r="H1155" s="26">
        <f>SIN(2*PI()*$C$3*B1155)</f>
        <v/>
      </c>
      <c r="I1155" s="26">
        <f>E1155*G1155+F1155*H1155</f>
        <v/>
      </c>
    </row>
    <row r="1156">
      <c r="A1156" s="7" t="n">
        <v>1149</v>
      </c>
      <c r="B1156" s="26">
        <f>(A1156-1)/2000*$C$2</f>
        <v/>
      </c>
      <c r="C1156" s="7">
        <f>INDEX(Bits!$E$25:$E$124,INT(B1156)+1)</f>
        <v/>
      </c>
      <c r="D1156" s="7">
        <f>MAX(1,MIN(INT(B1156/$C$4)+1,$C$5))</f>
        <v/>
      </c>
      <c r="E1156" s="26">
        <f>IF($C$5=0,0,INDEX(Symboles!$G$6:$G$101,D1156))</f>
        <v/>
      </c>
      <c r="F1156" s="26">
        <f>IF($C$5=0,0,INDEX(Symboles!$H$6:$H$101,D1156))</f>
        <v/>
      </c>
      <c r="G1156" s="26">
        <f>COS(2*PI()*$C$3*B1156)</f>
        <v/>
      </c>
      <c r="H1156" s="26">
        <f>SIN(2*PI()*$C$3*B1156)</f>
        <v/>
      </c>
      <c r="I1156" s="26">
        <f>E1156*G1156+F1156*H1156</f>
        <v/>
      </c>
    </row>
    <row r="1157">
      <c r="A1157" s="7" t="n">
        <v>1150</v>
      </c>
      <c r="B1157" s="26">
        <f>(A1157-1)/2000*$C$2</f>
        <v/>
      </c>
      <c r="C1157" s="7">
        <f>INDEX(Bits!$E$25:$E$124,INT(B1157)+1)</f>
        <v/>
      </c>
      <c r="D1157" s="7">
        <f>MAX(1,MIN(INT(B1157/$C$4)+1,$C$5))</f>
        <v/>
      </c>
      <c r="E1157" s="26">
        <f>IF($C$5=0,0,INDEX(Symboles!$G$6:$G$101,D1157))</f>
        <v/>
      </c>
      <c r="F1157" s="26">
        <f>IF($C$5=0,0,INDEX(Symboles!$H$6:$H$101,D1157))</f>
        <v/>
      </c>
      <c r="G1157" s="26">
        <f>COS(2*PI()*$C$3*B1157)</f>
        <v/>
      </c>
      <c r="H1157" s="26">
        <f>SIN(2*PI()*$C$3*B1157)</f>
        <v/>
      </c>
      <c r="I1157" s="26">
        <f>E1157*G1157+F1157*H1157</f>
        <v/>
      </c>
    </row>
    <row r="1158">
      <c r="A1158" s="7" t="n">
        <v>1151</v>
      </c>
      <c r="B1158" s="26">
        <f>(A1158-1)/2000*$C$2</f>
        <v/>
      </c>
      <c r="C1158" s="7">
        <f>INDEX(Bits!$E$25:$E$124,INT(B1158)+1)</f>
        <v/>
      </c>
      <c r="D1158" s="7">
        <f>MAX(1,MIN(INT(B1158/$C$4)+1,$C$5))</f>
        <v/>
      </c>
      <c r="E1158" s="26">
        <f>IF($C$5=0,0,INDEX(Symboles!$G$6:$G$101,D1158))</f>
        <v/>
      </c>
      <c r="F1158" s="26">
        <f>IF($C$5=0,0,INDEX(Symboles!$H$6:$H$101,D1158))</f>
        <v/>
      </c>
      <c r="G1158" s="26">
        <f>COS(2*PI()*$C$3*B1158)</f>
        <v/>
      </c>
      <c r="H1158" s="26">
        <f>SIN(2*PI()*$C$3*B1158)</f>
        <v/>
      </c>
      <c r="I1158" s="26">
        <f>E1158*G1158+F1158*H1158</f>
        <v/>
      </c>
    </row>
    <row r="1159">
      <c r="A1159" s="7" t="n">
        <v>1152</v>
      </c>
      <c r="B1159" s="26">
        <f>(A1159-1)/2000*$C$2</f>
        <v/>
      </c>
      <c r="C1159" s="7">
        <f>INDEX(Bits!$E$25:$E$124,INT(B1159)+1)</f>
        <v/>
      </c>
      <c r="D1159" s="7">
        <f>MAX(1,MIN(INT(B1159/$C$4)+1,$C$5))</f>
        <v/>
      </c>
      <c r="E1159" s="26">
        <f>IF($C$5=0,0,INDEX(Symboles!$G$6:$G$101,D1159))</f>
        <v/>
      </c>
      <c r="F1159" s="26">
        <f>IF($C$5=0,0,INDEX(Symboles!$H$6:$H$101,D1159))</f>
        <v/>
      </c>
      <c r="G1159" s="26">
        <f>COS(2*PI()*$C$3*B1159)</f>
        <v/>
      </c>
      <c r="H1159" s="26">
        <f>SIN(2*PI()*$C$3*B1159)</f>
        <v/>
      </c>
      <c r="I1159" s="26">
        <f>E1159*G1159+F1159*H1159</f>
        <v/>
      </c>
    </row>
    <row r="1160">
      <c r="A1160" s="7" t="n">
        <v>1153</v>
      </c>
      <c r="B1160" s="26">
        <f>(A1160-1)/2000*$C$2</f>
        <v/>
      </c>
      <c r="C1160" s="7">
        <f>INDEX(Bits!$E$25:$E$124,INT(B1160)+1)</f>
        <v/>
      </c>
      <c r="D1160" s="7">
        <f>MAX(1,MIN(INT(B1160/$C$4)+1,$C$5))</f>
        <v/>
      </c>
      <c r="E1160" s="26">
        <f>IF($C$5=0,0,INDEX(Symboles!$G$6:$G$101,D1160))</f>
        <v/>
      </c>
      <c r="F1160" s="26">
        <f>IF($C$5=0,0,INDEX(Symboles!$H$6:$H$101,D1160))</f>
        <v/>
      </c>
      <c r="G1160" s="26">
        <f>COS(2*PI()*$C$3*B1160)</f>
        <v/>
      </c>
      <c r="H1160" s="26">
        <f>SIN(2*PI()*$C$3*B1160)</f>
        <v/>
      </c>
      <c r="I1160" s="26">
        <f>E1160*G1160+F1160*H1160</f>
        <v/>
      </c>
    </row>
    <row r="1161">
      <c r="A1161" s="7" t="n">
        <v>1154</v>
      </c>
      <c r="B1161" s="26">
        <f>(A1161-1)/2000*$C$2</f>
        <v/>
      </c>
      <c r="C1161" s="7">
        <f>INDEX(Bits!$E$25:$E$124,INT(B1161)+1)</f>
        <v/>
      </c>
      <c r="D1161" s="7">
        <f>MAX(1,MIN(INT(B1161/$C$4)+1,$C$5))</f>
        <v/>
      </c>
      <c r="E1161" s="26">
        <f>IF($C$5=0,0,INDEX(Symboles!$G$6:$G$101,D1161))</f>
        <v/>
      </c>
      <c r="F1161" s="26">
        <f>IF($C$5=0,0,INDEX(Symboles!$H$6:$H$101,D1161))</f>
        <v/>
      </c>
      <c r="G1161" s="26">
        <f>COS(2*PI()*$C$3*B1161)</f>
        <v/>
      </c>
      <c r="H1161" s="26">
        <f>SIN(2*PI()*$C$3*B1161)</f>
        <v/>
      </c>
      <c r="I1161" s="26">
        <f>E1161*G1161+F1161*H1161</f>
        <v/>
      </c>
    </row>
    <row r="1162">
      <c r="A1162" s="7" t="n">
        <v>1155</v>
      </c>
      <c r="B1162" s="26">
        <f>(A1162-1)/2000*$C$2</f>
        <v/>
      </c>
      <c r="C1162" s="7">
        <f>INDEX(Bits!$E$25:$E$124,INT(B1162)+1)</f>
        <v/>
      </c>
      <c r="D1162" s="7">
        <f>MAX(1,MIN(INT(B1162/$C$4)+1,$C$5))</f>
        <v/>
      </c>
      <c r="E1162" s="26">
        <f>IF($C$5=0,0,INDEX(Symboles!$G$6:$G$101,D1162))</f>
        <v/>
      </c>
      <c r="F1162" s="26">
        <f>IF($C$5=0,0,INDEX(Symboles!$H$6:$H$101,D1162))</f>
        <v/>
      </c>
      <c r="G1162" s="26">
        <f>COS(2*PI()*$C$3*B1162)</f>
        <v/>
      </c>
      <c r="H1162" s="26">
        <f>SIN(2*PI()*$C$3*B1162)</f>
        <v/>
      </c>
      <c r="I1162" s="26">
        <f>E1162*G1162+F1162*H1162</f>
        <v/>
      </c>
    </row>
    <row r="1163">
      <c r="A1163" s="7" t="n">
        <v>1156</v>
      </c>
      <c r="B1163" s="26">
        <f>(A1163-1)/2000*$C$2</f>
        <v/>
      </c>
      <c r="C1163" s="7">
        <f>INDEX(Bits!$E$25:$E$124,INT(B1163)+1)</f>
        <v/>
      </c>
      <c r="D1163" s="7">
        <f>MAX(1,MIN(INT(B1163/$C$4)+1,$C$5))</f>
        <v/>
      </c>
      <c r="E1163" s="26">
        <f>IF($C$5=0,0,INDEX(Symboles!$G$6:$G$101,D1163))</f>
        <v/>
      </c>
      <c r="F1163" s="26">
        <f>IF($C$5=0,0,INDEX(Symboles!$H$6:$H$101,D1163))</f>
        <v/>
      </c>
      <c r="G1163" s="26">
        <f>COS(2*PI()*$C$3*B1163)</f>
        <v/>
      </c>
      <c r="H1163" s="26">
        <f>SIN(2*PI()*$C$3*B1163)</f>
        <v/>
      </c>
      <c r="I1163" s="26">
        <f>E1163*G1163+F1163*H1163</f>
        <v/>
      </c>
    </row>
    <row r="1164">
      <c r="A1164" s="7" t="n">
        <v>1157</v>
      </c>
      <c r="B1164" s="26">
        <f>(A1164-1)/2000*$C$2</f>
        <v/>
      </c>
      <c r="C1164" s="7">
        <f>INDEX(Bits!$E$25:$E$124,INT(B1164)+1)</f>
        <v/>
      </c>
      <c r="D1164" s="7">
        <f>MAX(1,MIN(INT(B1164/$C$4)+1,$C$5))</f>
        <v/>
      </c>
      <c r="E1164" s="26">
        <f>IF($C$5=0,0,INDEX(Symboles!$G$6:$G$101,D1164))</f>
        <v/>
      </c>
      <c r="F1164" s="26">
        <f>IF($C$5=0,0,INDEX(Symboles!$H$6:$H$101,D1164))</f>
        <v/>
      </c>
      <c r="G1164" s="26">
        <f>COS(2*PI()*$C$3*B1164)</f>
        <v/>
      </c>
      <c r="H1164" s="26">
        <f>SIN(2*PI()*$C$3*B1164)</f>
        <v/>
      </c>
      <c r="I1164" s="26">
        <f>E1164*G1164+F1164*H1164</f>
        <v/>
      </c>
    </row>
    <row r="1165">
      <c r="A1165" s="7" t="n">
        <v>1158</v>
      </c>
      <c r="B1165" s="26">
        <f>(A1165-1)/2000*$C$2</f>
        <v/>
      </c>
      <c r="C1165" s="7">
        <f>INDEX(Bits!$E$25:$E$124,INT(B1165)+1)</f>
        <v/>
      </c>
      <c r="D1165" s="7">
        <f>MAX(1,MIN(INT(B1165/$C$4)+1,$C$5))</f>
        <v/>
      </c>
      <c r="E1165" s="26">
        <f>IF($C$5=0,0,INDEX(Symboles!$G$6:$G$101,D1165))</f>
        <v/>
      </c>
      <c r="F1165" s="26">
        <f>IF($C$5=0,0,INDEX(Symboles!$H$6:$H$101,D1165))</f>
        <v/>
      </c>
      <c r="G1165" s="26">
        <f>COS(2*PI()*$C$3*B1165)</f>
        <v/>
      </c>
      <c r="H1165" s="26">
        <f>SIN(2*PI()*$C$3*B1165)</f>
        <v/>
      </c>
      <c r="I1165" s="26">
        <f>E1165*G1165+F1165*H1165</f>
        <v/>
      </c>
    </row>
    <row r="1166">
      <c r="A1166" s="7" t="n">
        <v>1159</v>
      </c>
      <c r="B1166" s="26">
        <f>(A1166-1)/2000*$C$2</f>
        <v/>
      </c>
      <c r="C1166" s="7">
        <f>INDEX(Bits!$E$25:$E$124,INT(B1166)+1)</f>
        <v/>
      </c>
      <c r="D1166" s="7">
        <f>MAX(1,MIN(INT(B1166/$C$4)+1,$C$5))</f>
        <v/>
      </c>
      <c r="E1166" s="26">
        <f>IF($C$5=0,0,INDEX(Symboles!$G$6:$G$101,D1166))</f>
        <v/>
      </c>
      <c r="F1166" s="26">
        <f>IF($C$5=0,0,INDEX(Symboles!$H$6:$H$101,D1166))</f>
        <v/>
      </c>
      <c r="G1166" s="26">
        <f>COS(2*PI()*$C$3*B1166)</f>
        <v/>
      </c>
      <c r="H1166" s="26">
        <f>SIN(2*PI()*$C$3*B1166)</f>
        <v/>
      </c>
      <c r="I1166" s="26">
        <f>E1166*G1166+F1166*H1166</f>
        <v/>
      </c>
    </row>
    <row r="1167">
      <c r="A1167" s="7" t="n">
        <v>1160</v>
      </c>
      <c r="B1167" s="26">
        <f>(A1167-1)/2000*$C$2</f>
        <v/>
      </c>
      <c r="C1167" s="7">
        <f>INDEX(Bits!$E$25:$E$124,INT(B1167)+1)</f>
        <v/>
      </c>
      <c r="D1167" s="7">
        <f>MAX(1,MIN(INT(B1167/$C$4)+1,$C$5))</f>
        <v/>
      </c>
      <c r="E1167" s="26">
        <f>IF($C$5=0,0,INDEX(Symboles!$G$6:$G$101,D1167))</f>
        <v/>
      </c>
      <c r="F1167" s="26">
        <f>IF($C$5=0,0,INDEX(Symboles!$H$6:$H$101,D1167))</f>
        <v/>
      </c>
      <c r="G1167" s="26">
        <f>COS(2*PI()*$C$3*B1167)</f>
        <v/>
      </c>
      <c r="H1167" s="26">
        <f>SIN(2*PI()*$C$3*B1167)</f>
        <v/>
      </c>
      <c r="I1167" s="26">
        <f>E1167*G1167+F1167*H1167</f>
        <v/>
      </c>
    </row>
    <row r="1168">
      <c r="A1168" s="7" t="n">
        <v>1161</v>
      </c>
      <c r="B1168" s="26">
        <f>(A1168-1)/2000*$C$2</f>
        <v/>
      </c>
      <c r="C1168" s="7">
        <f>INDEX(Bits!$E$25:$E$124,INT(B1168)+1)</f>
        <v/>
      </c>
      <c r="D1168" s="7">
        <f>MAX(1,MIN(INT(B1168/$C$4)+1,$C$5))</f>
        <v/>
      </c>
      <c r="E1168" s="26">
        <f>IF($C$5=0,0,INDEX(Symboles!$G$6:$G$101,D1168))</f>
        <v/>
      </c>
      <c r="F1168" s="26">
        <f>IF($C$5=0,0,INDEX(Symboles!$H$6:$H$101,D1168))</f>
        <v/>
      </c>
      <c r="G1168" s="26">
        <f>COS(2*PI()*$C$3*B1168)</f>
        <v/>
      </c>
      <c r="H1168" s="26">
        <f>SIN(2*PI()*$C$3*B1168)</f>
        <v/>
      </c>
      <c r="I1168" s="26">
        <f>E1168*G1168+F1168*H1168</f>
        <v/>
      </c>
    </row>
    <row r="1169">
      <c r="A1169" s="7" t="n">
        <v>1162</v>
      </c>
      <c r="B1169" s="26">
        <f>(A1169-1)/2000*$C$2</f>
        <v/>
      </c>
      <c r="C1169" s="7">
        <f>INDEX(Bits!$E$25:$E$124,INT(B1169)+1)</f>
        <v/>
      </c>
      <c r="D1169" s="7">
        <f>MAX(1,MIN(INT(B1169/$C$4)+1,$C$5))</f>
        <v/>
      </c>
      <c r="E1169" s="26">
        <f>IF($C$5=0,0,INDEX(Symboles!$G$6:$G$101,D1169))</f>
        <v/>
      </c>
      <c r="F1169" s="26">
        <f>IF($C$5=0,0,INDEX(Symboles!$H$6:$H$101,D1169))</f>
        <v/>
      </c>
      <c r="G1169" s="26">
        <f>COS(2*PI()*$C$3*B1169)</f>
        <v/>
      </c>
      <c r="H1169" s="26">
        <f>SIN(2*PI()*$C$3*B1169)</f>
        <v/>
      </c>
      <c r="I1169" s="26">
        <f>E1169*G1169+F1169*H1169</f>
        <v/>
      </c>
    </row>
    <row r="1170">
      <c r="A1170" s="7" t="n">
        <v>1163</v>
      </c>
      <c r="B1170" s="26">
        <f>(A1170-1)/2000*$C$2</f>
        <v/>
      </c>
      <c r="C1170" s="7">
        <f>INDEX(Bits!$E$25:$E$124,INT(B1170)+1)</f>
        <v/>
      </c>
      <c r="D1170" s="7">
        <f>MAX(1,MIN(INT(B1170/$C$4)+1,$C$5))</f>
        <v/>
      </c>
      <c r="E1170" s="26">
        <f>IF($C$5=0,0,INDEX(Symboles!$G$6:$G$101,D1170))</f>
        <v/>
      </c>
      <c r="F1170" s="26">
        <f>IF($C$5=0,0,INDEX(Symboles!$H$6:$H$101,D1170))</f>
        <v/>
      </c>
      <c r="G1170" s="26">
        <f>COS(2*PI()*$C$3*B1170)</f>
        <v/>
      </c>
      <c r="H1170" s="26">
        <f>SIN(2*PI()*$C$3*B1170)</f>
        <v/>
      </c>
      <c r="I1170" s="26">
        <f>E1170*G1170+F1170*H1170</f>
        <v/>
      </c>
    </row>
    <row r="1171">
      <c r="A1171" s="7" t="n">
        <v>1164</v>
      </c>
      <c r="B1171" s="26">
        <f>(A1171-1)/2000*$C$2</f>
        <v/>
      </c>
      <c r="C1171" s="7">
        <f>INDEX(Bits!$E$25:$E$124,INT(B1171)+1)</f>
        <v/>
      </c>
      <c r="D1171" s="7">
        <f>MAX(1,MIN(INT(B1171/$C$4)+1,$C$5))</f>
        <v/>
      </c>
      <c r="E1171" s="26">
        <f>IF($C$5=0,0,INDEX(Symboles!$G$6:$G$101,D1171))</f>
        <v/>
      </c>
      <c r="F1171" s="26">
        <f>IF($C$5=0,0,INDEX(Symboles!$H$6:$H$101,D1171))</f>
        <v/>
      </c>
      <c r="G1171" s="26">
        <f>COS(2*PI()*$C$3*B1171)</f>
        <v/>
      </c>
      <c r="H1171" s="26">
        <f>SIN(2*PI()*$C$3*B1171)</f>
        <v/>
      </c>
      <c r="I1171" s="26">
        <f>E1171*G1171+F1171*H1171</f>
        <v/>
      </c>
    </row>
    <row r="1172">
      <c r="A1172" s="7" t="n">
        <v>1165</v>
      </c>
      <c r="B1172" s="26">
        <f>(A1172-1)/2000*$C$2</f>
        <v/>
      </c>
      <c r="C1172" s="7">
        <f>INDEX(Bits!$E$25:$E$124,INT(B1172)+1)</f>
        <v/>
      </c>
      <c r="D1172" s="7">
        <f>MAX(1,MIN(INT(B1172/$C$4)+1,$C$5))</f>
        <v/>
      </c>
      <c r="E1172" s="26">
        <f>IF($C$5=0,0,INDEX(Symboles!$G$6:$G$101,D1172))</f>
        <v/>
      </c>
      <c r="F1172" s="26">
        <f>IF($C$5=0,0,INDEX(Symboles!$H$6:$H$101,D1172))</f>
        <v/>
      </c>
      <c r="G1172" s="26">
        <f>COS(2*PI()*$C$3*B1172)</f>
        <v/>
      </c>
      <c r="H1172" s="26">
        <f>SIN(2*PI()*$C$3*B1172)</f>
        <v/>
      </c>
      <c r="I1172" s="26">
        <f>E1172*G1172+F1172*H1172</f>
        <v/>
      </c>
    </row>
    <row r="1173">
      <c r="A1173" s="7" t="n">
        <v>1166</v>
      </c>
      <c r="B1173" s="26">
        <f>(A1173-1)/2000*$C$2</f>
        <v/>
      </c>
      <c r="C1173" s="7">
        <f>INDEX(Bits!$E$25:$E$124,INT(B1173)+1)</f>
        <v/>
      </c>
      <c r="D1173" s="7">
        <f>MAX(1,MIN(INT(B1173/$C$4)+1,$C$5))</f>
        <v/>
      </c>
      <c r="E1173" s="26">
        <f>IF($C$5=0,0,INDEX(Symboles!$G$6:$G$101,D1173))</f>
        <v/>
      </c>
      <c r="F1173" s="26">
        <f>IF($C$5=0,0,INDEX(Symboles!$H$6:$H$101,D1173))</f>
        <v/>
      </c>
      <c r="G1173" s="26">
        <f>COS(2*PI()*$C$3*B1173)</f>
        <v/>
      </c>
      <c r="H1173" s="26">
        <f>SIN(2*PI()*$C$3*B1173)</f>
        <v/>
      </c>
      <c r="I1173" s="26">
        <f>E1173*G1173+F1173*H1173</f>
        <v/>
      </c>
    </row>
    <row r="1174">
      <c r="A1174" s="7" t="n">
        <v>1167</v>
      </c>
      <c r="B1174" s="26">
        <f>(A1174-1)/2000*$C$2</f>
        <v/>
      </c>
      <c r="C1174" s="7">
        <f>INDEX(Bits!$E$25:$E$124,INT(B1174)+1)</f>
        <v/>
      </c>
      <c r="D1174" s="7">
        <f>MAX(1,MIN(INT(B1174/$C$4)+1,$C$5))</f>
        <v/>
      </c>
      <c r="E1174" s="26">
        <f>IF($C$5=0,0,INDEX(Symboles!$G$6:$G$101,D1174))</f>
        <v/>
      </c>
      <c r="F1174" s="26">
        <f>IF($C$5=0,0,INDEX(Symboles!$H$6:$H$101,D1174))</f>
        <v/>
      </c>
      <c r="G1174" s="26">
        <f>COS(2*PI()*$C$3*B1174)</f>
        <v/>
      </c>
      <c r="H1174" s="26">
        <f>SIN(2*PI()*$C$3*B1174)</f>
        <v/>
      </c>
      <c r="I1174" s="26">
        <f>E1174*G1174+F1174*H1174</f>
        <v/>
      </c>
    </row>
    <row r="1175">
      <c r="A1175" s="7" t="n">
        <v>1168</v>
      </c>
      <c r="B1175" s="26">
        <f>(A1175-1)/2000*$C$2</f>
        <v/>
      </c>
      <c r="C1175" s="7">
        <f>INDEX(Bits!$E$25:$E$124,INT(B1175)+1)</f>
        <v/>
      </c>
      <c r="D1175" s="7">
        <f>MAX(1,MIN(INT(B1175/$C$4)+1,$C$5))</f>
        <v/>
      </c>
      <c r="E1175" s="26">
        <f>IF($C$5=0,0,INDEX(Symboles!$G$6:$G$101,D1175))</f>
        <v/>
      </c>
      <c r="F1175" s="26">
        <f>IF($C$5=0,0,INDEX(Symboles!$H$6:$H$101,D1175))</f>
        <v/>
      </c>
      <c r="G1175" s="26">
        <f>COS(2*PI()*$C$3*B1175)</f>
        <v/>
      </c>
      <c r="H1175" s="26">
        <f>SIN(2*PI()*$C$3*B1175)</f>
        <v/>
      </c>
      <c r="I1175" s="26">
        <f>E1175*G1175+F1175*H1175</f>
        <v/>
      </c>
    </row>
    <row r="1176">
      <c r="A1176" s="7" t="n">
        <v>1169</v>
      </c>
      <c r="B1176" s="26">
        <f>(A1176-1)/2000*$C$2</f>
        <v/>
      </c>
      <c r="C1176" s="7">
        <f>INDEX(Bits!$E$25:$E$124,INT(B1176)+1)</f>
        <v/>
      </c>
      <c r="D1176" s="7">
        <f>MAX(1,MIN(INT(B1176/$C$4)+1,$C$5))</f>
        <v/>
      </c>
      <c r="E1176" s="26">
        <f>IF($C$5=0,0,INDEX(Symboles!$G$6:$G$101,D1176))</f>
        <v/>
      </c>
      <c r="F1176" s="26">
        <f>IF($C$5=0,0,INDEX(Symboles!$H$6:$H$101,D1176))</f>
        <v/>
      </c>
      <c r="G1176" s="26">
        <f>COS(2*PI()*$C$3*B1176)</f>
        <v/>
      </c>
      <c r="H1176" s="26">
        <f>SIN(2*PI()*$C$3*B1176)</f>
        <v/>
      </c>
      <c r="I1176" s="26">
        <f>E1176*G1176+F1176*H1176</f>
        <v/>
      </c>
    </row>
    <row r="1177">
      <c r="A1177" s="7" t="n">
        <v>1170</v>
      </c>
      <c r="B1177" s="26">
        <f>(A1177-1)/2000*$C$2</f>
        <v/>
      </c>
      <c r="C1177" s="7">
        <f>INDEX(Bits!$E$25:$E$124,INT(B1177)+1)</f>
        <v/>
      </c>
      <c r="D1177" s="7">
        <f>MAX(1,MIN(INT(B1177/$C$4)+1,$C$5))</f>
        <v/>
      </c>
      <c r="E1177" s="26">
        <f>IF($C$5=0,0,INDEX(Symboles!$G$6:$G$101,D1177))</f>
        <v/>
      </c>
      <c r="F1177" s="26">
        <f>IF($C$5=0,0,INDEX(Symboles!$H$6:$H$101,D1177))</f>
        <v/>
      </c>
      <c r="G1177" s="26">
        <f>COS(2*PI()*$C$3*B1177)</f>
        <v/>
      </c>
      <c r="H1177" s="26">
        <f>SIN(2*PI()*$C$3*B1177)</f>
        <v/>
      </c>
      <c r="I1177" s="26">
        <f>E1177*G1177+F1177*H1177</f>
        <v/>
      </c>
    </row>
    <row r="1178">
      <c r="A1178" s="7" t="n">
        <v>1171</v>
      </c>
      <c r="B1178" s="26">
        <f>(A1178-1)/2000*$C$2</f>
        <v/>
      </c>
      <c r="C1178" s="7">
        <f>INDEX(Bits!$E$25:$E$124,INT(B1178)+1)</f>
        <v/>
      </c>
      <c r="D1178" s="7">
        <f>MAX(1,MIN(INT(B1178/$C$4)+1,$C$5))</f>
        <v/>
      </c>
      <c r="E1178" s="26">
        <f>IF($C$5=0,0,INDEX(Symboles!$G$6:$G$101,D1178))</f>
        <v/>
      </c>
      <c r="F1178" s="26">
        <f>IF($C$5=0,0,INDEX(Symboles!$H$6:$H$101,D1178))</f>
        <v/>
      </c>
      <c r="G1178" s="26">
        <f>COS(2*PI()*$C$3*B1178)</f>
        <v/>
      </c>
      <c r="H1178" s="26">
        <f>SIN(2*PI()*$C$3*B1178)</f>
        <v/>
      </c>
      <c r="I1178" s="26">
        <f>E1178*G1178+F1178*H1178</f>
        <v/>
      </c>
    </row>
    <row r="1179">
      <c r="A1179" s="7" t="n">
        <v>1172</v>
      </c>
      <c r="B1179" s="26">
        <f>(A1179-1)/2000*$C$2</f>
        <v/>
      </c>
      <c r="C1179" s="7">
        <f>INDEX(Bits!$E$25:$E$124,INT(B1179)+1)</f>
        <v/>
      </c>
      <c r="D1179" s="7">
        <f>MAX(1,MIN(INT(B1179/$C$4)+1,$C$5))</f>
        <v/>
      </c>
      <c r="E1179" s="26">
        <f>IF($C$5=0,0,INDEX(Symboles!$G$6:$G$101,D1179))</f>
        <v/>
      </c>
      <c r="F1179" s="26">
        <f>IF($C$5=0,0,INDEX(Symboles!$H$6:$H$101,D1179))</f>
        <v/>
      </c>
      <c r="G1179" s="26">
        <f>COS(2*PI()*$C$3*B1179)</f>
        <v/>
      </c>
      <c r="H1179" s="26">
        <f>SIN(2*PI()*$C$3*B1179)</f>
        <v/>
      </c>
      <c r="I1179" s="26">
        <f>E1179*G1179+F1179*H1179</f>
        <v/>
      </c>
    </row>
    <row r="1180">
      <c r="A1180" s="7" t="n">
        <v>1173</v>
      </c>
      <c r="B1180" s="26">
        <f>(A1180-1)/2000*$C$2</f>
        <v/>
      </c>
      <c r="C1180" s="7">
        <f>INDEX(Bits!$E$25:$E$124,INT(B1180)+1)</f>
        <v/>
      </c>
      <c r="D1180" s="7">
        <f>MAX(1,MIN(INT(B1180/$C$4)+1,$C$5))</f>
        <v/>
      </c>
      <c r="E1180" s="26">
        <f>IF($C$5=0,0,INDEX(Symboles!$G$6:$G$101,D1180))</f>
        <v/>
      </c>
      <c r="F1180" s="26">
        <f>IF($C$5=0,0,INDEX(Symboles!$H$6:$H$101,D1180))</f>
        <v/>
      </c>
      <c r="G1180" s="26">
        <f>COS(2*PI()*$C$3*B1180)</f>
        <v/>
      </c>
      <c r="H1180" s="26">
        <f>SIN(2*PI()*$C$3*B1180)</f>
        <v/>
      </c>
      <c r="I1180" s="26">
        <f>E1180*G1180+F1180*H1180</f>
        <v/>
      </c>
    </row>
    <row r="1181">
      <c r="A1181" s="7" t="n">
        <v>1174</v>
      </c>
      <c r="B1181" s="26">
        <f>(A1181-1)/2000*$C$2</f>
        <v/>
      </c>
      <c r="C1181" s="7">
        <f>INDEX(Bits!$E$25:$E$124,INT(B1181)+1)</f>
        <v/>
      </c>
      <c r="D1181" s="7">
        <f>MAX(1,MIN(INT(B1181/$C$4)+1,$C$5))</f>
        <v/>
      </c>
      <c r="E1181" s="26">
        <f>IF($C$5=0,0,INDEX(Symboles!$G$6:$G$101,D1181))</f>
        <v/>
      </c>
      <c r="F1181" s="26">
        <f>IF($C$5=0,0,INDEX(Symboles!$H$6:$H$101,D1181))</f>
        <v/>
      </c>
      <c r="G1181" s="26">
        <f>COS(2*PI()*$C$3*B1181)</f>
        <v/>
      </c>
      <c r="H1181" s="26">
        <f>SIN(2*PI()*$C$3*B1181)</f>
        <v/>
      </c>
      <c r="I1181" s="26">
        <f>E1181*G1181+F1181*H1181</f>
        <v/>
      </c>
    </row>
    <row r="1182">
      <c r="A1182" s="7" t="n">
        <v>1175</v>
      </c>
      <c r="B1182" s="26">
        <f>(A1182-1)/2000*$C$2</f>
        <v/>
      </c>
      <c r="C1182" s="7">
        <f>INDEX(Bits!$E$25:$E$124,INT(B1182)+1)</f>
        <v/>
      </c>
      <c r="D1182" s="7">
        <f>MAX(1,MIN(INT(B1182/$C$4)+1,$C$5))</f>
        <v/>
      </c>
      <c r="E1182" s="26">
        <f>IF($C$5=0,0,INDEX(Symboles!$G$6:$G$101,D1182))</f>
        <v/>
      </c>
      <c r="F1182" s="26">
        <f>IF($C$5=0,0,INDEX(Symboles!$H$6:$H$101,D1182))</f>
        <v/>
      </c>
      <c r="G1182" s="26">
        <f>COS(2*PI()*$C$3*B1182)</f>
        <v/>
      </c>
      <c r="H1182" s="26">
        <f>SIN(2*PI()*$C$3*B1182)</f>
        <v/>
      </c>
      <c r="I1182" s="26">
        <f>E1182*G1182+F1182*H1182</f>
        <v/>
      </c>
    </row>
    <row r="1183">
      <c r="A1183" s="7" t="n">
        <v>1176</v>
      </c>
      <c r="B1183" s="26">
        <f>(A1183-1)/2000*$C$2</f>
        <v/>
      </c>
      <c r="C1183" s="7">
        <f>INDEX(Bits!$E$25:$E$124,INT(B1183)+1)</f>
        <v/>
      </c>
      <c r="D1183" s="7">
        <f>MAX(1,MIN(INT(B1183/$C$4)+1,$C$5))</f>
        <v/>
      </c>
      <c r="E1183" s="26">
        <f>IF($C$5=0,0,INDEX(Symboles!$G$6:$G$101,D1183))</f>
        <v/>
      </c>
      <c r="F1183" s="26">
        <f>IF($C$5=0,0,INDEX(Symboles!$H$6:$H$101,D1183))</f>
        <v/>
      </c>
      <c r="G1183" s="26">
        <f>COS(2*PI()*$C$3*B1183)</f>
        <v/>
      </c>
      <c r="H1183" s="26">
        <f>SIN(2*PI()*$C$3*B1183)</f>
        <v/>
      </c>
      <c r="I1183" s="26">
        <f>E1183*G1183+F1183*H1183</f>
        <v/>
      </c>
    </row>
    <row r="1184">
      <c r="A1184" s="7" t="n">
        <v>1177</v>
      </c>
      <c r="B1184" s="26">
        <f>(A1184-1)/2000*$C$2</f>
        <v/>
      </c>
      <c r="C1184" s="7">
        <f>INDEX(Bits!$E$25:$E$124,INT(B1184)+1)</f>
        <v/>
      </c>
      <c r="D1184" s="7">
        <f>MAX(1,MIN(INT(B1184/$C$4)+1,$C$5))</f>
        <v/>
      </c>
      <c r="E1184" s="26">
        <f>IF($C$5=0,0,INDEX(Symboles!$G$6:$G$101,D1184))</f>
        <v/>
      </c>
      <c r="F1184" s="26">
        <f>IF($C$5=0,0,INDEX(Symboles!$H$6:$H$101,D1184))</f>
        <v/>
      </c>
      <c r="G1184" s="26">
        <f>COS(2*PI()*$C$3*B1184)</f>
        <v/>
      </c>
      <c r="H1184" s="26">
        <f>SIN(2*PI()*$C$3*B1184)</f>
        <v/>
      </c>
      <c r="I1184" s="26">
        <f>E1184*G1184+F1184*H1184</f>
        <v/>
      </c>
    </row>
    <row r="1185">
      <c r="A1185" s="7" t="n">
        <v>1178</v>
      </c>
      <c r="B1185" s="26">
        <f>(A1185-1)/2000*$C$2</f>
        <v/>
      </c>
      <c r="C1185" s="7">
        <f>INDEX(Bits!$E$25:$E$124,INT(B1185)+1)</f>
        <v/>
      </c>
      <c r="D1185" s="7">
        <f>MAX(1,MIN(INT(B1185/$C$4)+1,$C$5))</f>
        <v/>
      </c>
      <c r="E1185" s="26">
        <f>IF($C$5=0,0,INDEX(Symboles!$G$6:$G$101,D1185))</f>
        <v/>
      </c>
      <c r="F1185" s="26">
        <f>IF($C$5=0,0,INDEX(Symboles!$H$6:$H$101,D1185))</f>
        <v/>
      </c>
      <c r="G1185" s="26">
        <f>COS(2*PI()*$C$3*B1185)</f>
        <v/>
      </c>
      <c r="H1185" s="26">
        <f>SIN(2*PI()*$C$3*B1185)</f>
        <v/>
      </c>
      <c r="I1185" s="26">
        <f>E1185*G1185+F1185*H1185</f>
        <v/>
      </c>
    </row>
    <row r="1186">
      <c r="A1186" s="7" t="n">
        <v>1179</v>
      </c>
      <c r="B1186" s="26">
        <f>(A1186-1)/2000*$C$2</f>
        <v/>
      </c>
      <c r="C1186" s="7">
        <f>INDEX(Bits!$E$25:$E$124,INT(B1186)+1)</f>
        <v/>
      </c>
      <c r="D1186" s="7">
        <f>MAX(1,MIN(INT(B1186/$C$4)+1,$C$5))</f>
        <v/>
      </c>
      <c r="E1186" s="26">
        <f>IF($C$5=0,0,INDEX(Symboles!$G$6:$G$101,D1186))</f>
        <v/>
      </c>
      <c r="F1186" s="26">
        <f>IF($C$5=0,0,INDEX(Symboles!$H$6:$H$101,D1186))</f>
        <v/>
      </c>
      <c r="G1186" s="26">
        <f>COS(2*PI()*$C$3*B1186)</f>
        <v/>
      </c>
      <c r="H1186" s="26">
        <f>SIN(2*PI()*$C$3*B1186)</f>
        <v/>
      </c>
      <c r="I1186" s="26">
        <f>E1186*G1186+F1186*H1186</f>
        <v/>
      </c>
    </row>
    <row r="1187">
      <c r="A1187" s="7" t="n">
        <v>1180</v>
      </c>
      <c r="B1187" s="26">
        <f>(A1187-1)/2000*$C$2</f>
        <v/>
      </c>
      <c r="C1187" s="7">
        <f>INDEX(Bits!$E$25:$E$124,INT(B1187)+1)</f>
        <v/>
      </c>
      <c r="D1187" s="7">
        <f>MAX(1,MIN(INT(B1187/$C$4)+1,$C$5))</f>
        <v/>
      </c>
      <c r="E1187" s="26">
        <f>IF($C$5=0,0,INDEX(Symboles!$G$6:$G$101,D1187))</f>
        <v/>
      </c>
      <c r="F1187" s="26">
        <f>IF($C$5=0,0,INDEX(Symboles!$H$6:$H$101,D1187))</f>
        <v/>
      </c>
      <c r="G1187" s="26">
        <f>COS(2*PI()*$C$3*B1187)</f>
        <v/>
      </c>
      <c r="H1187" s="26">
        <f>SIN(2*PI()*$C$3*B1187)</f>
        <v/>
      </c>
      <c r="I1187" s="26">
        <f>E1187*G1187+F1187*H1187</f>
        <v/>
      </c>
    </row>
    <row r="1188">
      <c r="A1188" s="7" t="n">
        <v>1181</v>
      </c>
      <c r="B1188" s="26">
        <f>(A1188-1)/2000*$C$2</f>
        <v/>
      </c>
      <c r="C1188" s="7">
        <f>INDEX(Bits!$E$25:$E$124,INT(B1188)+1)</f>
        <v/>
      </c>
      <c r="D1188" s="7">
        <f>MAX(1,MIN(INT(B1188/$C$4)+1,$C$5))</f>
        <v/>
      </c>
      <c r="E1188" s="26">
        <f>IF($C$5=0,0,INDEX(Symboles!$G$6:$G$101,D1188))</f>
        <v/>
      </c>
      <c r="F1188" s="26">
        <f>IF($C$5=0,0,INDEX(Symboles!$H$6:$H$101,D1188))</f>
        <v/>
      </c>
      <c r="G1188" s="26">
        <f>COS(2*PI()*$C$3*B1188)</f>
        <v/>
      </c>
      <c r="H1188" s="26">
        <f>SIN(2*PI()*$C$3*B1188)</f>
        <v/>
      </c>
      <c r="I1188" s="26">
        <f>E1188*G1188+F1188*H1188</f>
        <v/>
      </c>
    </row>
    <row r="1189">
      <c r="A1189" s="7" t="n">
        <v>1182</v>
      </c>
      <c r="B1189" s="26">
        <f>(A1189-1)/2000*$C$2</f>
        <v/>
      </c>
      <c r="C1189" s="7">
        <f>INDEX(Bits!$E$25:$E$124,INT(B1189)+1)</f>
        <v/>
      </c>
      <c r="D1189" s="7">
        <f>MAX(1,MIN(INT(B1189/$C$4)+1,$C$5))</f>
        <v/>
      </c>
      <c r="E1189" s="26">
        <f>IF($C$5=0,0,INDEX(Symboles!$G$6:$G$101,D1189))</f>
        <v/>
      </c>
      <c r="F1189" s="26">
        <f>IF($C$5=0,0,INDEX(Symboles!$H$6:$H$101,D1189))</f>
        <v/>
      </c>
      <c r="G1189" s="26">
        <f>COS(2*PI()*$C$3*B1189)</f>
        <v/>
      </c>
      <c r="H1189" s="26">
        <f>SIN(2*PI()*$C$3*B1189)</f>
        <v/>
      </c>
      <c r="I1189" s="26">
        <f>E1189*G1189+F1189*H1189</f>
        <v/>
      </c>
    </row>
    <row r="1190">
      <c r="A1190" s="7" t="n">
        <v>1183</v>
      </c>
      <c r="B1190" s="26">
        <f>(A1190-1)/2000*$C$2</f>
        <v/>
      </c>
      <c r="C1190" s="7">
        <f>INDEX(Bits!$E$25:$E$124,INT(B1190)+1)</f>
        <v/>
      </c>
      <c r="D1190" s="7">
        <f>MAX(1,MIN(INT(B1190/$C$4)+1,$C$5))</f>
        <v/>
      </c>
      <c r="E1190" s="26">
        <f>IF($C$5=0,0,INDEX(Symboles!$G$6:$G$101,D1190))</f>
        <v/>
      </c>
      <c r="F1190" s="26">
        <f>IF($C$5=0,0,INDEX(Symboles!$H$6:$H$101,D1190))</f>
        <v/>
      </c>
      <c r="G1190" s="26">
        <f>COS(2*PI()*$C$3*B1190)</f>
        <v/>
      </c>
      <c r="H1190" s="26">
        <f>SIN(2*PI()*$C$3*B1190)</f>
        <v/>
      </c>
      <c r="I1190" s="26">
        <f>E1190*G1190+F1190*H1190</f>
        <v/>
      </c>
    </row>
    <row r="1191">
      <c r="A1191" s="7" t="n">
        <v>1184</v>
      </c>
      <c r="B1191" s="26">
        <f>(A1191-1)/2000*$C$2</f>
        <v/>
      </c>
      <c r="C1191" s="7">
        <f>INDEX(Bits!$E$25:$E$124,INT(B1191)+1)</f>
        <v/>
      </c>
      <c r="D1191" s="7">
        <f>MAX(1,MIN(INT(B1191/$C$4)+1,$C$5))</f>
        <v/>
      </c>
      <c r="E1191" s="26">
        <f>IF($C$5=0,0,INDEX(Symboles!$G$6:$G$101,D1191))</f>
        <v/>
      </c>
      <c r="F1191" s="26">
        <f>IF($C$5=0,0,INDEX(Symboles!$H$6:$H$101,D1191))</f>
        <v/>
      </c>
      <c r="G1191" s="26">
        <f>COS(2*PI()*$C$3*B1191)</f>
        <v/>
      </c>
      <c r="H1191" s="26">
        <f>SIN(2*PI()*$C$3*B1191)</f>
        <v/>
      </c>
      <c r="I1191" s="26">
        <f>E1191*G1191+F1191*H1191</f>
        <v/>
      </c>
    </row>
    <row r="1192">
      <c r="A1192" s="7" t="n">
        <v>1185</v>
      </c>
      <c r="B1192" s="26">
        <f>(A1192-1)/2000*$C$2</f>
        <v/>
      </c>
      <c r="C1192" s="7">
        <f>INDEX(Bits!$E$25:$E$124,INT(B1192)+1)</f>
        <v/>
      </c>
      <c r="D1192" s="7">
        <f>MAX(1,MIN(INT(B1192/$C$4)+1,$C$5))</f>
        <v/>
      </c>
      <c r="E1192" s="26">
        <f>IF($C$5=0,0,INDEX(Symboles!$G$6:$G$101,D1192))</f>
        <v/>
      </c>
      <c r="F1192" s="26">
        <f>IF($C$5=0,0,INDEX(Symboles!$H$6:$H$101,D1192))</f>
        <v/>
      </c>
      <c r="G1192" s="26">
        <f>COS(2*PI()*$C$3*B1192)</f>
        <v/>
      </c>
      <c r="H1192" s="26">
        <f>SIN(2*PI()*$C$3*B1192)</f>
        <v/>
      </c>
      <c r="I1192" s="26">
        <f>E1192*G1192+F1192*H1192</f>
        <v/>
      </c>
    </row>
    <row r="1193">
      <c r="A1193" s="7" t="n">
        <v>1186</v>
      </c>
      <c r="B1193" s="26">
        <f>(A1193-1)/2000*$C$2</f>
        <v/>
      </c>
      <c r="C1193" s="7">
        <f>INDEX(Bits!$E$25:$E$124,INT(B1193)+1)</f>
        <v/>
      </c>
      <c r="D1193" s="7">
        <f>MAX(1,MIN(INT(B1193/$C$4)+1,$C$5))</f>
        <v/>
      </c>
      <c r="E1193" s="26">
        <f>IF($C$5=0,0,INDEX(Symboles!$G$6:$G$101,D1193))</f>
        <v/>
      </c>
      <c r="F1193" s="26">
        <f>IF($C$5=0,0,INDEX(Symboles!$H$6:$H$101,D1193))</f>
        <v/>
      </c>
      <c r="G1193" s="26">
        <f>COS(2*PI()*$C$3*B1193)</f>
        <v/>
      </c>
      <c r="H1193" s="26">
        <f>SIN(2*PI()*$C$3*B1193)</f>
        <v/>
      </c>
      <c r="I1193" s="26">
        <f>E1193*G1193+F1193*H1193</f>
        <v/>
      </c>
    </row>
    <row r="1194">
      <c r="A1194" s="7" t="n">
        <v>1187</v>
      </c>
      <c r="B1194" s="26">
        <f>(A1194-1)/2000*$C$2</f>
        <v/>
      </c>
      <c r="C1194" s="7">
        <f>INDEX(Bits!$E$25:$E$124,INT(B1194)+1)</f>
        <v/>
      </c>
      <c r="D1194" s="7">
        <f>MAX(1,MIN(INT(B1194/$C$4)+1,$C$5))</f>
        <v/>
      </c>
      <c r="E1194" s="26">
        <f>IF($C$5=0,0,INDEX(Symboles!$G$6:$G$101,D1194))</f>
        <v/>
      </c>
      <c r="F1194" s="26">
        <f>IF($C$5=0,0,INDEX(Symboles!$H$6:$H$101,D1194))</f>
        <v/>
      </c>
      <c r="G1194" s="26">
        <f>COS(2*PI()*$C$3*B1194)</f>
        <v/>
      </c>
      <c r="H1194" s="26">
        <f>SIN(2*PI()*$C$3*B1194)</f>
        <v/>
      </c>
      <c r="I1194" s="26">
        <f>E1194*G1194+F1194*H1194</f>
        <v/>
      </c>
    </row>
    <row r="1195">
      <c r="A1195" s="7" t="n">
        <v>1188</v>
      </c>
      <c r="B1195" s="26">
        <f>(A1195-1)/2000*$C$2</f>
        <v/>
      </c>
      <c r="C1195" s="7">
        <f>INDEX(Bits!$E$25:$E$124,INT(B1195)+1)</f>
        <v/>
      </c>
      <c r="D1195" s="7">
        <f>MAX(1,MIN(INT(B1195/$C$4)+1,$C$5))</f>
        <v/>
      </c>
      <c r="E1195" s="26">
        <f>IF($C$5=0,0,INDEX(Symboles!$G$6:$G$101,D1195))</f>
        <v/>
      </c>
      <c r="F1195" s="26">
        <f>IF($C$5=0,0,INDEX(Symboles!$H$6:$H$101,D1195))</f>
        <v/>
      </c>
      <c r="G1195" s="26">
        <f>COS(2*PI()*$C$3*B1195)</f>
        <v/>
      </c>
      <c r="H1195" s="26">
        <f>SIN(2*PI()*$C$3*B1195)</f>
        <v/>
      </c>
      <c r="I1195" s="26">
        <f>E1195*G1195+F1195*H1195</f>
        <v/>
      </c>
    </row>
    <row r="1196">
      <c r="A1196" s="7" t="n">
        <v>1189</v>
      </c>
      <c r="B1196" s="26">
        <f>(A1196-1)/2000*$C$2</f>
        <v/>
      </c>
      <c r="C1196" s="7">
        <f>INDEX(Bits!$E$25:$E$124,INT(B1196)+1)</f>
        <v/>
      </c>
      <c r="D1196" s="7">
        <f>MAX(1,MIN(INT(B1196/$C$4)+1,$C$5))</f>
        <v/>
      </c>
      <c r="E1196" s="26">
        <f>IF($C$5=0,0,INDEX(Symboles!$G$6:$G$101,D1196))</f>
        <v/>
      </c>
      <c r="F1196" s="26">
        <f>IF($C$5=0,0,INDEX(Symboles!$H$6:$H$101,D1196))</f>
        <v/>
      </c>
      <c r="G1196" s="26">
        <f>COS(2*PI()*$C$3*B1196)</f>
        <v/>
      </c>
      <c r="H1196" s="26">
        <f>SIN(2*PI()*$C$3*B1196)</f>
        <v/>
      </c>
      <c r="I1196" s="26">
        <f>E1196*G1196+F1196*H1196</f>
        <v/>
      </c>
    </row>
    <row r="1197">
      <c r="A1197" s="7" t="n">
        <v>1190</v>
      </c>
      <c r="B1197" s="26">
        <f>(A1197-1)/2000*$C$2</f>
        <v/>
      </c>
      <c r="C1197" s="7">
        <f>INDEX(Bits!$E$25:$E$124,INT(B1197)+1)</f>
        <v/>
      </c>
      <c r="D1197" s="7">
        <f>MAX(1,MIN(INT(B1197/$C$4)+1,$C$5))</f>
        <v/>
      </c>
      <c r="E1197" s="26">
        <f>IF($C$5=0,0,INDEX(Symboles!$G$6:$G$101,D1197))</f>
        <v/>
      </c>
      <c r="F1197" s="26">
        <f>IF($C$5=0,0,INDEX(Symboles!$H$6:$H$101,D1197))</f>
        <v/>
      </c>
      <c r="G1197" s="26">
        <f>COS(2*PI()*$C$3*B1197)</f>
        <v/>
      </c>
      <c r="H1197" s="26">
        <f>SIN(2*PI()*$C$3*B1197)</f>
        <v/>
      </c>
      <c r="I1197" s="26">
        <f>E1197*G1197+F1197*H1197</f>
        <v/>
      </c>
    </row>
    <row r="1198">
      <c r="A1198" s="7" t="n">
        <v>1191</v>
      </c>
      <c r="B1198" s="26">
        <f>(A1198-1)/2000*$C$2</f>
        <v/>
      </c>
      <c r="C1198" s="7">
        <f>INDEX(Bits!$E$25:$E$124,INT(B1198)+1)</f>
        <v/>
      </c>
      <c r="D1198" s="7">
        <f>MAX(1,MIN(INT(B1198/$C$4)+1,$C$5))</f>
        <v/>
      </c>
      <c r="E1198" s="26">
        <f>IF($C$5=0,0,INDEX(Symboles!$G$6:$G$101,D1198))</f>
        <v/>
      </c>
      <c r="F1198" s="26">
        <f>IF($C$5=0,0,INDEX(Symboles!$H$6:$H$101,D1198))</f>
        <v/>
      </c>
      <c r="G1198" s="26">
        <f>COS(2*PI()*$C$3*B1198)</f>
        <v/>
      </c>
      <c r="H1198" s="26">
        <f>SIN(2*PI()*$C$3*B1198)</f>
        <v/>
      </c>
      <c r="I1198" s="26">
        <f>E1198*G1198+F1198*H1198</f>
        <v/>
      </c>
    </row>
    <row r="1199">
      <c r="A1199" s="7" t="n">
        <v>1192</v>
      </c>
      <c r="B1199" s="26">
        <f>(A1199-1)/2000*$C$2</f>
        <v/>
      </c>
      <c r="C1199" s="7">
        <f>INDEX(Bits!$E$25:$E$124,INT(B1199)+1)</f>
        <v/>
      </c>
      <c r="D1199" s="7">
        <f>MAX(1,MIN(INT(B1199/$C$4)+1,$C$5))</f>
        <v/>
      </c>
      <c r="E1199" s="26">
        <f>IF($C$5=0,0,INDEX(Symboles!$G$6:$G$101,D1199))</f>
        <v/>
      </c>
      <c r="F1199" s="26">
        <f>IF($C$5=0,0,INDEX(Symboles!$H$6:$H$101,D1199))</f>
        <v/>
      </c>
      <c r="G1199" s="26">
        <f>COS(2*PI()*$C$3*B1199)</f>
        <v/>
      </c>
      <c r="H1199" s="26">
        <f>SIN(2*PI()*$C$3*B1199)</f>
        <v/>
      </c>
      <c r="I1199" s="26">
        <f>E1199*G1199+F1199*H1199</f>
        <v/>
      </c>
    </row>
    <row r="1200">
      <c r="A1200" s="7" t="n">
        <v>1193</v>
      </c>
      <c r="B1200" s="26">
        <f>(A1200-1)/2000*$C$2</f>
        <v/>
      </c>
      <c r="C1200" s="7">
        <f>INDEX(Bits!$E$25:$E$124,INT(B1200)+1)</f>
        <v/>
      </c>
      <c r="D1200" s="7">
        <f>MAX(1,MIN(INT(B1200/$C$4)+1,$C$5))</f>
        <v/>
      </c>
      <c r="E1200" s="26">
        <f>IF($C$5=0,0,INDEX(Symboles!$G$6:$G$101,D1200))</f>
        <v/>
      </c>
      <c r="F1200" s="26">
        <f>IF($C$5=0,0,INDEX(Symboles!$H$6:$H$101,D1200))</f>
        <v/>
      </c>
      <c r="G1200" s="26">
        <f>COS(2*PI()*$C$3*B1200)</f>
        <v/>
      </c>
      <c r="H1200" s="26">
        <f>SIN(2*PI()*$C$3*B1200)</f>
        <v/>
      </c>
      <c r="I1200" s="26">
        <f>E1200*G1200+F1200*H1200</f>
        <v/>
      </c>
    </row>
    <row r="1201">
      <c r="A1201" s="7" t="n">
        <v>1194</v>
      </c>
      <c r="B1201" s="26">
        <f>(A1201-1)/2000*$C$2</f>
        <v/>
      </c>
      <c r="C1201" s="7">
        <f>INDEX(Bits!$E$25:$E$124,INT(B1201)+1)</f>
        <v/>
      </c>
      <c r="D1201" s="7">
        <f>MAX(1,MIN(INT(B1201/$C$4)+1,$C$5))</f>
        <v/>
      </c>
      <c r="E1201" s="26">
        <f>IF($C$5=0,0,INDEX(Symboles!$G$6:$G$101,D1201))</f>
        <v/>
      </c>
      <c r="F1201" s="26">
        <f>IF($C$5=0,0,INDEX(Symboles!$H$6:$H$101,D1201))</f>
        <v/>
      </c>
      <c r="G1201" s="26">
        <f>COS(2*PI()*$C$3*B1201)</f>
        <v/>
      </c>
      <c r="H1201" s="26">
        <f>SIN(2*PI()*$C$3*B1201)</f>
        <v/>
      </c>
      <c r="I1201" s="26">
        <f>E1201*G1201+F1201*H1201</f>
        <v/>
      </c>
    </row>
    <row r="1202">
      <c r="A1202" s="7" t="n">
        <v>1195</v>
      </c>
      <c r="B1202" s="26">
        <f>(A1202-1)/2000*$C$2</f>
        <v/>
      </c>
      <c r="C1202" s="7">
        <f>INDEX(Bits!$E$25:$E$124,INT(B1202)+1)</f>
        <v/>
      </c>
      <c r="D1202" s="7">
        <f>MAX(1,MIN(INT(B1202/$C$4)+1,$C$5))</f>
        <v/>
      </c>
      <c r="E1202" s="26">
        <f>IF($C$5=0,0,INDEX(Symboles!$G$6:$G$101,D1202))</f>
        <v/>
      </c>
      <c r="F1202" s="26">
        <f>IF($C$5=0,0,INDEX(Symboles!$H$6:$H$101,D1202))</f>
        <v/>
      </c>
      <c r="G1202" s="26">
        <f>COS(2*PI()*$C$3*B1202)</f>
        <v/>
      </c>
      <c r="H1202" s="26">
        <f>SIN(2*PI()*$C$3*B1202)</f>
        <v/>
      </c>
      <c r="I1202" s="26">
        <f>E1202*G1202+F1202*H1202</f>
        <v/>
      </c>
    </row>
    <row r="1203">
      <c r="A1203" s="7" t="n">
        <v>1196</v>
      </c>
      <c r="B1203" s="26">
        <f>(A1203-1)/2000*$C$2</f>
        <v/>
      </c>
      <c r="C1203" s="7">
        <f>INDEX(Bits!$E$25:$E$124,INT(B1203)+1)</f>
        <v/>
      </c>
      <c r="D1203" s="7">
        <f>MAX(1,MIN(INT(B1203/$C$4)+1,$C$5))</f>
        <v/>
      </c>
      <c r="E1203" s="26">
        <f>IF($C$5=0,0,INDEX(Symboles!$G$6:$G$101,D1203))</f>
        <v/>
      </c>
      <c r="F1203" s="26">
        <f>IF($C$5=0,0,INDEX(Symboles!$H$6:$H$101,D1203))</f>
        <v/>
      </c>
      <c r="G1203" s="26">
        <f>COS(2*PI()*$C$3*B1203)</f>
        <v/>
      </c>
      <c r="H1203" s="26">
        <f>SIN(2*PI()*$C$3*B1203)</f>
        <v/>
      </c>
      <c r="I1203" s="26">
        <f>E1203*G1203+F1203*H1203</f>
        <v/>
      </c>
    </row>
    <row r="1204">
      <c r="A1204" s="7" t="n">
        <v>1197</v>
      </c>
      <c r="B1204" s="26">
        <f>(A1204-1)/2000*$C$2</f>
        <v/>
      </c>
      <c r="C1204" s="7">
        <f>INDEX(Bits!$E$25:$E$124,INT(B1204)+1)</f>
        <v/>
      </c>
      <c r="D1204" s="7">
        <f>MAX(1,MIN(INT(B1204/$C$4)+1,$C$5))</f>
        <v/>
      </c>
      <c r="E1204" s="26">
        <f>IF($C$5=0,0,INDEX(Symboles!$G$6:$G$101,D1204))</f>
        <v/>
      </c>
      <c r="F1204" s="26">
        <f>IF($C$5=0,0,INDEX(Symboles!$H$6:$H$101,D1204))</f>
        <v/>
      </c>
      <c r="G1204" s="26">
        <f>COS(2*PI()*$C$3*B1204)</f>
        <v/>
      </c>
      <c r="H1204" s="26">
        <f>SIN(2*PI()*$C$3*B1204)</f>
        <v/>
      </c>
      <c r="I1204" s="26">
        <f>E1204*G1204+F1204*H1204</f>
        <v/>
      </c>
    </row>
    <row r="1205">
      <c r="A1205" s="7" t="n">
        <v>1198</v>
      </c>
      <c r="B1205" s="26">
        <f>(A1205-1)/2000*$C$2</f>
        <v/>
      </c>
      <c r="C1205" s="7">
        <f>INDEX(Bits!$E$25:$E$124,INT(B1205)+1)</f>
        <v/>
      </c>
      <c r="D1205" s="7">
        <f>MAX(1,MIN(INT(B1205/$C$4)+1,$C$5))</f>
        <v/>
      </c>
      <c r="E1205" s="26">
        <f>IF($C$5=0,0,INDEX(Symboles!$G$6:$G$101,D1205))</f>
        <v/>
      </c>
      <c r="F1205" s="26">
        <f>IF($C$5=0,0,INDEX(Symboles!$H$6:$H$101,D1205))</f>
        <v/>
      </c>
      <c r="G1205" s="26">
        <f>COS(2*PI()*$C$3*B1205)</f>
        <v/>
      </c>
      <c r="H1205" s="26">
        <f>SIN(2*PI()*$C$3*B1205)</f>
        <v/>
      </c>
      <c r="I1205" s="26">
        <f>E1205*G1205+F1205*H1205</f>
        <v/>
      </c>
    </row>
    <row r="1206">
      <c r="A1206" s="7" t="n">
        <v>1199</v>
      </c>
      <c r="B1206" s="26">
        <f>(A1206-1)/2000*$C$2</f>
        <v/>
      </c>
      <c r="C1206" s="7">
        <f>INDEX(Bits!$E$25:$E$124,INT(B1206)+1)</f>
        <v/>
      </c>
      <c r="D1206" s="7">
        <f>MAX(1,MIN(INT(B1206/$C$4)+1,$C$5))</f>
        <v/>
      </c>
      <c r="E1206" s="26">
        <f>IF($C$5=0,0,INDEX(Symboles!$G$6:$G$101,D1206))</f>
        <v/>
      </c>
      <c r="F1206" s="26">
        <f>IF($C$5=0,0,INDEX(Symboles!$H$6:$H$101,D1206))</f>
        <v/>
      </c>
      <c r="G1206" s="26">
        <f>COS(2*PI()*$C$3*B1206)</f>
        <v/>
      </c>
      <c r="H1206" s="26">
        <f>SIN(2*PI()*$C$3*B1206)</f>
        <v/>
      </c>
      <c r="I1206" s="26">
        <f>E1206*G1206+F1206*H1206</f>
        <v/>
      </c>
    </row>
    <row r="1207">
      <c r="A1207" s="7" t="n">
        <v>1200</v>
      </c>
      <c r="B1207" s="26">
        <f>(A1207-1)/2000*$C$2</f>
        <v/>
      </c>
      <c r="C1207" s="7">
        <f>INDEX(Bits!$E$25:$E$124,INT(B1207)+1)</f>
        <v/>
      </c>
      <c r="D1207" s="7">
        <f>MAX(1,MIN(INT(B1207/$C$4)+1,$C$5))</f>
        <v/>
      </c>
      <c r="E1207" s="26">
        <f>IF($C$5=0,0,INDEX(Symboles!$G$6:$G$101,D1207))</f>
        <v/>
      </c>
      <c r="F1207" s="26">
        <f>IF($C$5=0,0,INDEX(Symboles!$H$6:$H$101,D1207))</f>
        <v/>
      </c>
      <c r="G1207" s="26">
        <f>COS(2*PI()*$C$3*B1207)</f>
        <v/>
      </c>
      <c r="H1207" s="26">
        <f>SIN(2*PI()*$C$3*B1207)</f>
        <v/>
      </c>
      <c r="I1207" s="26">
        <f>E1207*G1207+F1207*H1207</f>
        <v/>
      </c>
    </row>
    <row r="1208">
      <c r="A1208" s="7" t="n">
        <v>1201</v>
      </c>
      <c r="B1208" s="26">
        <f>(A1208-1)/2000*$C$2</f>
        <v/>
      </c>
      <c r="C1208" s="7">
        <f>INDEX(Bits!$E$25:$E$124,INT(B1208)+1)</f>
        <v/>
      </c>
      <c r="D1208" s="7">
        <f>MAX(1,MIN(INT(B1208/$C$4)+1,$C$5))</f>
        <v/>
      </c>
      <c r="E1208" s="26">
        <f>IF($C$5=0,0,INDEX(Symboles!$G$6:$G$101,D1208))</f>
        <v/>
      </c>
      <c r="F1208" s="26">
        <f>IF($C$5=0,0,INDEX(Symboles!$H$6:$H$101,D1208))</f>
        <v/>
      </c>
      <c r="G1208" s="26">
        <f>COS(2*PI()*$C$3*B1208)</f>
        <v/>
      </c>
      <c r="H1208" s="26">
        <f>SIN(2*PI()*$C$3*B1208)</f>
        <v/>
      </c>
      <c r="I1208" s="26">
        <f>E1208*G1208+F1208*H1208</f>
        <v/>
      </c>
    </row>
    <row r="1209">
      <c r="A1209" s="7" t="n">
        <v>1202</v>
      </c>
      <c r="B1209" s="26">
        <f>(A1209-1)/2000*$C$2</f>
        <v/>
      </c>
      <c r="C1209" s="7">
        <f>INDEX(Bits!$E$25:$E$124,INT(B1209)+1)</f>
        <v/>
      </c>
      <c r="D1209" s="7">
        <f>MAX(1,MIN(INT(B1209/$C$4)+1,$C$5))</f>
        <v/>
      </c>
      <c r="E1209" s="26">
        <f>IF($C$5=0,0,INDEX(Symboles!$G$6:$G$101,D1209))</f>
        <v/>
      </c>
      <c r="F1209" s="26">
        <f>IF($C$5=0,0,INDEX(Symboles!$H$6:$H$101,D1209))</f>
        <v/>
      </c>
      <c r="G1209" s="26">
        <f>COS(2*PI()*$C$3*B1209)</f>
        <v/>
      </c>
      <c r="H1209" s="26">
        <f>SIN(2*PI()*$C$3*B1209)</f>
        <v/>
      </c>
      <c r="I1209" s="26">
        <f>E1209*G1209+F1209*H1209</f>
        <v/>
      </c>
    </row>
    <row r="1210">
      <c r="A1210" s="7" t="n">
        <v>1203</v>
      </c>
      <c r="B1210" s="26">
        <f>(A1210-1)/2000*$C$2</f>
        <v/>
      </c>
      <c r="C1210" s="7">
        <f>INDEX(Bits!$E$25:$E$124,INT(B1210)+1)</f>
        <v/>
      </c>
      <c r="D1210" s="7">
        <f>MAX(1,MIN(INT(B1210/$C$4)+1,$C$5))</f>
        <v/>
      </c>
      <c r="E1210" s="26">
        <f>IF($C$5=0,0,INDEX(Symboles!$G$6:$G$101,D1210))</f>
        <v/>
      </c>
      <c r="F1210" s="26">
        <f>IF($C$5=0,0,INDEX(Symboles!$H$6:$H$101,D1210))</f>
        <v/>
      </c>
      <c r="G1210" s="26">
        <f>COS(2*PI()*$C$3*B1210)</f>
        <v/>
      </c>
      <c r="H1210" s="26">
        <f>SIN(2*PI()*$C$3*B1210)</f>
        <v/>
      </c>
      <c r="I1210" s="26">
        <f>E1210*G1210+F1210*H1210</f>
        <v/>
      </c>
    </row>
    <row r="1211">
      <c r="A1211" s="7" t="n">
        <v>1204</v>
      </c>
      <c r="B1211" s="26">
        <f>(A1211-1)/2000*$C$2</f>
        <v/>
      </c>
      <c r="C1211" s="7">
        <f>INDEX(Bits!$E$25:$E$124,INT(B1211)+1)</f>
        <v/>
      </c>
      <c r="D1211" s="7">
        <f>MAX(1,MIN(INT(B1211/$C$4)+1,$C$5))</f>
        <v/>
      </c>
      <c r="E1211" s="26">
        <f>IF($C$5=0,0,INDEX(Symboles!$G$6:$G$101,D1211))</f>
        <v/>
      </c>
      <c r="F1211" s="26">
        <f>IF($C$5=0,0,INDEX(Symboles!$H$6:$H$101,D1211))</f>
        <v/>
      </c>
      <c r="G1211" s="26">
        <f>COS(2*PI()*$C$3*B1211)</f>
        <v/>
      </c>
      <c r="H1211" s="26">
        <f>SIN(2*PI()*$C$3*B1211)</f>
        <v/>
      </c>
      <c r="I1211" s="26">
        <f>E1211*G1211+F1211*H1211</f>
        <v/>
      </c>
    </row>
    <row r="1212">
      <c r="A1212" s="7" t="n">
        <v>1205</v>
      </c>
      <c r="B1212" s="26">
        <f>(A1212-1)/2000*$C$2</f>
        <v/>
      </c>
      <c r="C1212" s="7">
        <f>INDEX(Bits!$E$25:$E$124,INT(B1212)+1)</f>
        <v/>
      </c>
      <c r="D1212" s="7">
        <f>MAX(1,MIN(INT(B1212/$C$4)+1,$C$5))</f>
        <v/>
      </c>
      <c r="E1212" s="26">
        <f>IF($C$5=0,0,INDEX(Symboles!$G$6:$G$101,D1212))</f>
        <v/>
      </c>
      <c r="F1212" s="26">
        <f>IF($C$5=0,0,INDEX(Symboles!$H$6:$H$101,D1212))</f>
        <v/>
      </c>
      <c r="G1212" s="26">
        <f>COS(2*PI()*$C$3*B1212)</f>
        <v/>
      </c>
      <c r="H1212" s="26">
        <f>SIN(2*PI()*$C$3*B1212)</f>
        <v/>
      </c>
      <c r="I1212" s="26">
        <f>E1212*G1212+F1212*H1212</f>
        <v/>
      </c>
    </row>
    <row r="1213">
      <c r="A1213" s="7" t="n">
        <v>1206</v>
      </c>
      <c r="B1213" s="26">
        <f>(A1213-1)/2000*$C$2</f>
        <v/>
      </c>
      <c r="C1213" s="7">
        <f>INDEX(Bits!$E$25:$E$124,INT(B1213)+1)</f>
        <v/>
      </c>
      <c r="D1213" s="7">
        <f>MAX(1,MIN(INT(B1213/$C$4)+1,$C$5))</f>
        <v/>
      </c>
      <c r="E1213" s="26">
        <f>IF($C$5=0,0,INDEX(Symboles!$G$6:$G$101,D1213))</f>
        <v/>
      </c>
      <c r="F1213" s="26">
        <f>IF($C$5=0,0,INDEX(Symboles!$H$6:$H$101,D1213))</f>
        <v/>
      </c>
      <c r="G1213" s="26">
        <f>COS(2*PI()*$C$3*B1213)</f>
        <v/>
      </c>
      <c r="H1213" s="26">
        <f>SIN(2*PI()*$C$3*B1213)</f>
        <v/>
      </c>
      <c r="I1213" s="26">
        <f>E1213*G1213+F1213*H1213</f>
        <v/>
      </c>
    </row>
    <row r="1214">
      <c r="A1214" s="7" t="n">
        <v>1207</v>
      </c>
      <c r="B1214" s="26">
        <f>(A1214-1)/2000*$C$2</f>
        <v/>
      </c>
      <c r="C1214" s="7">
        <f>INDEX(Bits!$E$25:$E$124,INT(B1214)+1)</f>
        <v/>
      </c>
      <c r="D1214" s="7">
        <f>MAX(1,MIN(INT(B1214/$C$4)+1,$C$5))</f>
        <v/>
      </c>
      <c r="E1214" s="26">
        <f>IF($C$5=0,0,INDEX(Symboles!$G$6:$G$101,D1214))</f>
        <v/>
      </c>
      <c r="F1214" s="26">
        <f>IF($C$5=0,0,INDEX(Symboles!$H$6:$H$101,D1214))</f>
        <v/>
      </c>
      <c r="G1214" s="26">
        <f>COS(2*PI()*$C$3*B1214)</f>
        <v/>
      </c>
      <c r="H1214" s="26">
        <f>SIN(2*PI()*$C$3*B1214)</f>
        <v/>
      </c>
      <c r="I1214" s="26">
        <f>E1214*G1214+F1214*H1214</f>
        <v/>
      </c>
    </row>
    <row r="1215">
      <c r="A1215" s="7" t="n">
        <v>1208</v>
      </c>
      <c r="B1215" s="26">
        <f>(A1215-1)/2000*$C$2</f>
        <v/>
      </c>
      <c r="C1215" s="7">
        <f>INDEX(Bits!$E$25:$E$124,INT(B1215)+1)</f>
        <v/>
      </c>
      <c r="D1215" s="7">
        <f>MAX(1,MIN(INT(B1215/$C$4)+1,$C$5))</f>
        <v/>
      </c>
      <c r="E1215" s="26">
        <f>IF($C$5=0,0,INDEX(Symboles!$G$6:$G$101,D1215))</f>
        <v/>
      </c>
      <c r="F1215" s="26">
        <f>IF($C$5=0,0,INDEX(Symboles!$H$6:$H$101,D1215))</f>
        <v/>
      </c>
      <c r="G1215" s="26">
        <f>COS(2*PI()*$C$3*B1215)</f>
        <v/>
      </c>
      <c r="H1215" s="26">
        <f>SIN(2*PI()*$C$3*B1215)</f>
        <v/>
      </c>
      <c r="I1215" s="26">
        <f>E1215*G1215+F1215*H1215</f>
        <v/>
      </c>
    </row>
    <row r="1216">
      <c r="A1216" s="7" t="n">
        <v>1209</v>
      </c>
      <c r="B1216" s="26">
        <f>(A1216-1)/2000*$C$2</f>
        <v/>
      </c>
      <c r="C1216" s="7">
        <f>INDEX(Bits!$E$25:$E$124,INT(B1216)+1)</f>
        <v/>
      </c>
      <c r="D1216" s="7">
        <f>MAX(1,MIN(INT(B1216/$C$4)+1,$C$5))</f>
        <v/>
      </c>
      <c r="E1216" s="26">
        <f>IF($C$5=0,0,INDEX(Symboles!$G$6:$G$101,D1216))</f>
        <v/>
      </c>
      <c r="F1216" s="26">
        <f>IF($C$5=0,0,INDEX(Symboles!$H$6:$H$101,D1216))</f>
        <v/>
      </c>
      <c r="G1216" s="26">
        <f>COS(2*PI()*$C$3*B1216)</f>
        <v/>
      </c>
      <c r="H1216" s="26">
        <f>SIN(2*PI()*$C$3*B1216)</f>
        <v/>
      </c>
      <c r="I1216" s="26">
        <f>E1216*G1216+F1216*H1216</f>
        <v/>
      </c>
    </row>
    <row r="1217">
      <c r="A1217" s="7" t="n">
        <v>1210</v>
      </c>
      <c r="B1217" s="26">
        <f>(A1217-1)/2000*$C$2</f>
        <v/>
      </c>
      <c r="C1217" s="7">
        <f>INDEX(Bits!$E$25:$E$124,INT(B1217)+1)</f>
        <v/>
      </c>
      <c r="D1217" s="7">
        <f>MAX(1,MIN(INT(B1217/$C$4)+1,$C$5))</f>
        <v/>
      </c>
      <c r="E1217" s="26">
        <f>IF($C$5=0,0,INDEX(Symboles!$G$6:$G$101,D1217))</f>
        <v/>
      </c>
      <c r="F1217" s="26">
        <f>IF($C$5=0,0,INDEX(Symboles!$H$6:$H$101,D1217))</f>
        <v/>
      </c>
      <c r="G1217" s="26">
        <f>COS(2*PI()*$C$3*B1217)</f>
        <v/>
      </c>
      <c r="H1217" s="26">
        <f>SIN(2*PI()*$C$3*B1217)</f>
        <v/>
      </c>
      <c r="I1217" s="26">
        <f>E1217*G1217+F1217*H1217</f>
        <v/>
      </c>
    </row>
    <row r="1218">
      <c r="A1218" s="7" t="n">
        <v>1211</v>
      </c>
      <c r="B1218" s="26">
        <f>(A1218-1)/2000*$C$2</f>
        <v/>
      </c>
      <c r="C1218" s="7">
        <f>INDEX(Bits!$E$25:$E$124,INT(B1218)+1)</f>
        <v/>
      </c>
      <c r="D1218" s="7">
        <f>MAX(1,MIN(INT(B1218/$C$4)+1,$C$5))</f>
        <v/>
      </c>
      <c r="E1218" s="26">
        <f>IF($C$5=0,0,INDEX(Symboles!$G$6:$G$101,D1218))</f>
        <v/>
      </c>
      <c r="F1218" s="26">
        <f>IF($C$5=0,0,INDEX(Symboles!$H$6:$H$101,D1218))</f>
        <v/>
      </c>
      <c r="G1218" s="26">
        <f>COS(2*PI()*$C$3*B1218)</f>
        <v/>
      </c>
      <c r="H1218" s="26">
        <f>SIN(2*PI()*$C$3*B1218)</f>
        <v/>
      </c>
      <c r="I1218" s="26">
        <f>E1218*G1218+F1218*H1218</f>
        <v/>
      </c>
    </row>
    <row r="1219">
      <c r="A1219" s="7" t="n">
        <v>1212</v>
      </c>
      <c r="B1219" s="26">
        <f>(A1219-1)/2000*$C$2</f>
        <v/>
      </c>
      <c r="C1219" s="7">
        <f>INDEX(Bits!$E$25:$E$124,INT(B1219)+1)</f>
        <v/>
      </c>
      <c r="D1219" s="7">
        <f>MAX(1,MIN(INT(B1219/$C$4)+1,$C$5))</f>
        <v/>
      </c>
      <c r="E1219" s="26">
        <f>IF($C$5=0,0,INDEX(Symboles!$G$6:$G$101,D1219))</f>
        <v/>
      </c>
      <c r="F1219" s="26">
        <f>IF($C$5=0,0,INDEX(Symboles!$H$6:$H$101,D1219))</f>
        <v/>
      </c>
      <c r="G1219" s="26">
        <f>COS(2*PI()*$C$3*B1219)</f>
        <v/>
      </c>
      <c r="H1219" s="26">
        <f>SIN(2*PI()*$C$3*B1219)</f>
        <v/>
      </c>
      <c r="I1219" s="26">
        <f>E1219*G1219+F1219*H1219</f>
        <v/>
      </c>
    </row>
    <row r="1220">
      <c r="A1220" s="7" t="n">
        <v>1213</v>
      </c>
      <c r="B1220" s="26">
        <f>(A1220-1)/2000*$C$2</f>
        <v/>
      </c>
      <c r="C1220" s="7">
        <f>INDEX(Bits!$E$25:$E$124,INT(B1220)+1)</f>
        <v/>
      </c>
      <c r="D1220" s="7">
        <f>MAX(1,MIN(INT(B1220/$C$4)+1,$C$5))</f>
        <v/>
      </c>
      <c r="E1220" s="26">
        <f>IF($C$5=0,0,INDEX(Symboles!$G$6:$G$101,D1220))</f>
        <v/>
      </c>
      <c r="F1220" s="26">
        <f>IF($C$5=0,0,INDEX(Symboles!$H$6:$H$101,D1220))</f>
        <v/>
      </c>
      <c r="G1220" s="26">
        <f>COS(2*PI()*$C$3*B1220)</f>
        <v/>
      </c>
      <c r="H1220" s="26">
        <f>SIN(2*PI()*$C$3*B1220)</f>
        <v/>
      </c>
      <c r="I1220" s="26">
        <f>E1220*G1220+F1220*H1220</f>
        <v/>
      </c>
    </row>
    <row r="1221">
      <c r="A1221" s="7" t="n">
        <v>1214</v>
      </c>
      <c r="B1221" s="26">
        <f>(A1221-1)/2000*$C$2</f>
        <v/>
      </c>
      <c r="C1221" s="7">
        <f>INDEX(Bits!$E$25:$E$124,INT(B1221)+1)</f>
        <v/>
      </c>
      <c r="D1221" s="7">
        <f>MAX(1,MIN(INT(B1221/$C$4)+1,$C$5))</f>
        <v/>
      </c>
      <c r="E1221" s="26">
        <f>IF($C$5=0,0,INDEX(Symboles!$G$6:$G$101,D1221))</f>
        <v/>
      </c>
      <c r="F1221" s="26">
        <f>IF($C$5=0,0,INDEX(Symboles!$H$6:$H$101,D1221))</f>
        <v/>
      </c>
      <c r="G1221" s="26">
        <f>COS(2*PI()*$C$3*B1221)</f>
        <v/>
      </c>
      <c r="H1221" s="26">
        <f>SIN(2*PI()*$C$3*B1221)</f>
        <v/>
      </c>
      <c r="I1221" s="26">
        <f>E1221*G1221+F1221*H1221</f>
        <v/>
      </c>
    </row>
    <row r="1222">
      <c r="A1222" s="7" t="n">
        <v>1215</v>
      </c>
      <c r="B1222" s="26">
        <f>(A1222-1)/2000*$C$2</f>
        <v/>
      </c>
      <c r="C1222" s="7">
        <f>INDEX(Bits!$E$25:$E$124,INT(B1222)+1)</f>
        <v/>
      </c>
      <c r="D1222" s="7">
        <f>MAX(1,MIN(INT(B1222/$C$4)+1,$C$5))</f>
        <v/>
      </c>
      <c r="E1222" s="26">
        <f>IF($C$5=0,0,INDEX(Symboles!$G$6:$G$101,D1222))</f>
        <v/>
      </c>
      <c r="F1222" s="26">
        <f>IF($C$5=0,0,INDEX(Symboles!$H$6:$H$101,D1222))</f>
        <v/>
      </c>
      <c r="G1222" s="26">
        <f>COS(2*PI()*$C$3*B1222)</f>
        <v/>
      </c>
      <c r="H1222" s="26">
        <f>SIN(2*PI()*$C$3*B1222)</f>
        <v/>
      </c>
      <c r="I1222" s="26">
        <f>E1222*G1222+F1222*H1222</f>
        <v/>
      </c>
    </row>
    <row r="1223">
      <c r="A1223" s="7" t="n">
        <v>1216</v>
      </c>
      <c r="B1223" s="26">
        <f>(A1223-1)/2000*$C$2</f>
        <v/>
      </c>
      <c r="C1223" s="7">
        <f>INDEX(Bits!$E$25:$E$124,INT(B1223)+1)</f>
        <v/>
      </c>
      <c r="D1223" s="7">
        <f>MAX(1,MIN(INT(B1223/$C$4)+1,$C$5))</f>
        <v/>
      </c>
      <c r="E1223" s="26">
        <f>IF($C$5=0,0,INDEX(Symboles!$G$6:$G$101,D1223))</f>
        <v/>
      </c>
      <c r="F1223" s="26">
        <f>IF($C$5=0,0,INDEX(Symboles!$H$6:$H$101,D1223))</f>
        <v/>
      </c>
      <c r="G1223" s="26">
        <f>COS(2*PI()*$C$3*B1223)</f>
        <v/>
      </c>
      <c r="H1223" s="26">
        <f>SIN(2*PI()*$C$3*B1223)</f>
        <v/>
      </c>
      <c r="I1223" s="26">
        <f>E1223*G1223+F1223*H1223</f>
        <v/>
      </c>
    </row>
    <row r="1224">
      <c r="A1224" s="7" t="n">
        <v>1217</v>
      </c>
      <c r="B1224" s="26">
        <f>(A1224-1)/2000*$C$2</f>
        <v/>
      </c>
      <c r="C1224" s="7">
        <f>INDEX(Bits!$E$25:$E$124,INT(B1224)+1)</f>
        <v/>
      </c>
      <c r="D1224" s="7">
        <f>MAX(1,MIN(INT(B1224/$C$4)+1,$C$5))</f>
        <v/>
      </c>
      <c r="E1224" s="26">
        <f>IF($C$5=0,0,INDEX(Symboles!$G$6:$G$101,D1224))</f>
        <v/>
      </c>
      <c r="F1224" s="26">
        <f>IF($C$5=0,0,INDEX(Symboles!$H$6:$H$101,D1224))</f>
        <v/>
      </c>
      <c r="G1224" s="26">
        <f>COS(2*PI()*$C$3*B1224)</f>
        <v/>
      </c>
      <c r="H1224" s="26">
        <f>SIN(2*PI()*$C$3*B1224)</f>
        <v/>
      </c>
      <c r="I1224" s="26">
        <f>E1224*G1224+F1224*H1224</f>
        <v/>
      </c>
    </row>
    <row r="1225">
      <c r="A1225" s="7" t="n">
        <v>1218</v>
      </c>
      <c r="B1225" s="26">
        <f>(A1225-1)/2000*$C$2</f>
        <v/>
      </c>
      <c r="C1225" s="7">
        <f>INDEX(Bits!$E$25:$E$124,INT(B1225)+1)</f>
        <v/>
      </c>
      <c r="D1225" s="7">
        <f>MAX(1,MIN(INT(B1225/$C$4)+1,$C$5))</f>
        <v/>
      </c>
      <c r="E1225" s="26">
        <f>IF($C$5=0,0,INDEX(Symboles!$G$6:$G$101,D1225))</f>
        <v/>
      </c>
      <c r="F1225" s="26">
        <f>IF($C$5=0,0,INDEX(Symboles!$H$6:$H$101,D1225))</f>
        <v/>
      </c>
      <c r="G1225" s="26">
        <f>COS(2*PI()*$C$3*B1225)</f>
        <v/>
      </c>
      <c r="H1225" s="26">
        <f>SIN(2*PI()*$C$3*B1225)</f>
        <v/>
      </c>
      <c r="I1225" s="26">
        <f>E1225*G1225+F1225*H1225</f>
        <v/>
      </c>
    </row>
    <row r="1226">
      <c r="A1226" s="7" t="n">
        <v>1219</v>
      </c>
      <c r="B1226" s="26">
        <f>(A1226-1)/2000*$C$2</f>
        <v/>
      </c>
      <c r="C1226" s="7">
        <f>INDEX(Bits!$E$25:$E$124,INT(B1226)+1)</f>
        <v/>
      </c>
      <c r="D1226" s="7">
        <f>MAX(1,MIN(INT(B1226/$C$4)+1,$C$5))</f>
        <v/>
      </c>
      <c r="E1226" s="26">
        <f>IF($C$5=0,0,INDEX(Symboles!$G$6:$G$101,D1226))</f>
        <v/>
      </c>
      <c r="F1226" s="26">
        <f>IF($C$5=0,0,INDEX(Symboles!$H$6:$H$101,D1226))</f>
        <v/>
      </c>
      <c r="G1226" s="26">
        <f>COS(2*PI()*$C$3*B1226)</f>
        <v/>
      </c>
      <c r="H1226" s="26">
        <f>SIN(2*PI()*$C$3*B1226)</f>
        <v/>
      </c>
      <c r="I1226" s="26">
        <f>E1226*G1226+F1226*H1226</f>
        <v/>
      </c>
    </row>
    <row r="1227">
      <c r="A1227" s="7" t="n">
        <v>1220</v>
      </c>
      <c r="B1227" s="26">
        <f>(A1227-1)/2000*$C$2</f>
        <v/>
      </c>
      <c r="C1227" s="7">
        <f>INDEX(Bits!$E$25:$E$124,INT(B1227)+1)</f>
        <v/>
      </c>
      <c r="D1227" s="7">
        <f>MAX(1,MIN(INT(B1227/$C$4)+1,$C$5))</f>
        <v/>
      </c>
      <c r="E1227" s="26">
        <f>IF($C$5=0,0,INDEX(Symboles!$G$6:$G$101,D1227))</f>
        <v/>
      </c>
      <c r="F1227" s="26">
        <f>IF($C$5=0,0,INDEX(Symboles!$H$6:$H$101,D1227))</f>
        <v/>
      </c>
      <c r="G1227" s="26">
        <f>COS(2*PI()*$C$3*B1227)</f>
        <v/>
      </c>
      <c r="H1227" s="26">
        <f>SIN(2*PI()*$C$3*B1227)</f>
        <v/>
      </c>
      <c r="I1227" s="26">
        <f>E1227*G1227+F1227*H1227</f>
        <v/>
      </c>
    </row>
    <row r="1228">
      <c r="A1228" s="7" t="n">
        <v>1221</v>
      </c>
      <c r="B1228" s="26">
        <f>(A1228-1)/2000*$C$2</f>
        <v/>
      </c>
      <c r="C1228" s="7">
        <f>INDEX(Bits!$E$25:$E$124,INT(B1228)+1)</f>
        <v/>
      </c>
      <c r="D1228" s="7">
        <f>MAX(1,MIN(INT(B1228/$C$4)+1,$C$5))</f>
        <v/>
      </c>
      <c r="E1228" s="26">
        <f>IF($C$5=0,0,INDEX(Symboles!$G$6:$G$101,D1228))</f>
        <v/>
      </c>
      <c r="F1228" s="26">
        <f>IF($C$5=0,0,INDEX(Symboles!$H$6:$H$101,D1228))</f>
        <v/>
      </c>
      <c r="G1228" s="26">
        <f>COS(2*PI()*$C$3*B1228)</f>
        <v/>
      </c>
      <c r="H1228" s="26">
        <f>SIN(2*PI()*$C$3*B1228)</f>
        <v/>
      </c>
      <c r="I1228" s="26">
        <f>E1228*G1228+F1228*H1228</f>
        <v/>
      </c>
    </row>
    <row r="1229">
      <c r="A1229" s="7" t="n">
        <v>1222</v>
      </c>
      <c r="B1229" s="26">
        <f>(A1229-1)/2000*$C$2</f>
        <v/>
      </c>
      <c r="C1229" s="7">
        <f>INDEX(Bits!$E$25:$E$124,INT(B1229)+1)</f>
        <v/>
      </c>
      <c r="D1229" s="7">
        <f>MAX(1,MIN(INT(B1229/$C$4)+1,$C$5))</f>
        <v/>
      </c>
      <c r="E1229" s="26">
        <f>IF($C$5=0,0,INDEX(Symboles!$G$6:$G$101,D1229))</f>
        <v/>
      </c>
      <c r="F1229" s="26">
        <f>IF($C$5=0,0,INDEX(Symboles!$H$6:$H$101,D1229))</f>
        <v/>
      </c>
      <c r="G1229" s="26">
        <f>COS(2*PI()*$C$3*B1229)</f>
        <v/>
      </c>
      <c r="H1229" s="26">
        <f>SIN(2*PI()*$C$3*B1229)</f>
        <v/>
      </c>
      <c r="I1229" s="26">
        <f>E1229*G1229+F1229*H1229</f>
        <v/>
      </c>
    </row>
    <row r="1230">
      <c r="A1230" s="7" t="n">
        <v>1223</v>
      </c>
      <c r="B1230" s="26">
        <f>(A1230-1)/2000*$C$2</f>
        <v/>
      </c>
      <c r="C1230" s="7">
        <f>INDEX(Bits!$E$25:$E$124,INT(B1230)+1)</f>
        <v/>
      </c>
      <c r="D1230" s="7">
        <f>MAX(1,MIN(INT(B1230/$C$4)+1,$C$5))</f>
        <v/>
      </c>
      <c r="E1230" s="26">
        <f>IF($C$5=0,0,INDEX(Symboles!$G$6:$G$101,D1230))</f>
        <v/>
      </c>
      <c r="F1230" s="26">
        <f>IF($C$5=0,0,INDEX(Symboles!$H$6:$H$101,D1230))</f>
        <v/>
      </c>
      <c r="G1230" s="26">
        <f>COS(2*PI()*$C$3*B1230)</f>
        <v/>
      </c>
      <c r="H1230" s="26">
        <f>SIN(2*PI()*$C$3*B1230)</f>
        <v/>
      </c>
      <c r="I1230" s="26">
        <f>E1230*G1230+F1230*H1230</f>
        <v/>
      </c>
    </row>
    <row r="1231">
      <c r="A1231" s="7" t="n">
        <v>1224</v>
      </c>
      <c r="B1231" s="26">
        <f>(A1231-1)/2000*$C$2</f>
        <v/>
      </c>
      <c r="C1231" s="7">
        <f>INDEX(Bits!$E$25:$E$124,INT(B1231)+1)</f>
        <v/>
      </c>
      <c r="D1231" s="7">
        <f>MAX(1,MIN(INT(B1231/$C$4)+1,$C$5))</f>
        <v/>
      </c>
      <c r="E1231" s="26">
        <f>IF($C$5=0,0,INDEX(Symboles!$G$6:$G$101,D1231))</f>
        <v/>
      </c>
      <c r="F1231" s="26">
        <f>IF($C$5=0,0,INDEX(Symboles!$H$6:$H$101,D1231))</f>
        <v/>
      </c>
      <c r="G1231" s="26">
        <f>COS(2*PI()*$C$3*B1231)</f>
        <v/>
      </c>
      <c r="H1231" s="26">
        <f>SIN(2*PI()*$C$3*B1231)</f>
        <v/>
      </c>
      <c r="I1231" s="26">
        <f>E1231*G1231+F1231*H1231</f>
        <v/>
      </c>
    </row>
    <row r="1232">
      <c r="A1232" s="7" t="n">
        <v>1225</v>
      </c>
      <c r="B1232" s="26">
        <f>(A1232-1)/2000*$C$2</f>
        <v/>
      </c>
      <c r="C1232" s="7">
        <f>INDEX(Bits!$E$25:$E$124,INT(B1232)+1)</f>
        <v/>
      </c>
      <c r="D1232" s="7">
        <f>MAX(1,MIN(INT(B1232/$C$4)+1,$C$5))</f>
        <v/>
      </c>
      <c r="E1232" s="26">
        <f>IF($C$5=0,0,INDEX(Symboles!$G$6:$G$101,D1232))</f>
        <v/>
      </c>
      <c r="F1232" s="26">
        <f>IF($C$5=0,0,INDEX(Symboles!$H$6:$H$101,D1232))</f>
        <v/>
      </c>
      <c r="G1232" s="26">
        <f>COS(2*PI()*$C$3*B1232)</f>
        <v/>
      </c>
      <c r="H1232" s="26">
        <f>SIN(2*PI()*$C$3*B1232)</f>
        <v/>
      </c>
      <c r="I1232" s="26">
        <f>E1232*G1232+F1232*H1232</f>
        <v/>
      </c>
    </row>
    <row r="1233">
      <c r="A1233" s="7" t="n">
        <v>1226</v>
      </c>
      <c r="B1233" s="26">
        <f>(A1233-1)/2000*$C$2</f>
        <v/>
      </c>
      <c r="C1233" s="7">
        <f>INDEX(Bits!$E$25:$E$124,INT(B1233)+1)</f>
        <v/>
      </c>
      <c r="D1233" s="7">
        <f>MAX(1,MIN(INT(B1233/$C$4)+1,$C$5))</f>
        <v/>
      </c>
      <c r="E1233" s="26">
        <f>IF($C$5=0,0,INDEX(Symboles!$G$6:$G$101,D1233))</f>
        <v/>
      </c>
      <c r="F1233" s="26">
        <f>IF($C$5=0,0,INDEX(Symboles!$H$6:$H$101,D1233))</f>
        <v/>
      </c>
      <c r="G1233" s="26">
        <f>COS(2*PI()*$C$3*B1233)</f>
        <v/>
      </c>
      <c r="H1233" s="26">
        <f>SIN(2*PI()*$C$3*B1233)</f>
        <v/>
      </c>
      <c r="I1233" s="26">
        <f>E1233*G1233+F1233*H1233</f>
        <v/>
      </c>
    </row>
    <row r="1234">
      <c r="A1234" s="7" t="n">
        <v>1227</v>
      </c>
      <c r="B1234" s="26">
        <f>(A1234-1)/2000*$C$2</f>
        <v/>
      </c>
      <c r="C1234" s="7">
        <f>INDEX(Bits!$E$25:$E$124,INT(B1234)+1)</f>
        <v/>
      </c>
      <c r="D1234" s="7">
        <f>MAX(1,MIN(INT(B1234/$C$4)+1,$C$5))</f>
        <v/>
      </c>
      <c r="E1234" s="26">
        <f>IF($C$5=0,0,INDEX(Symboles!$G$6:$G$101,D1234))</f>
        <v/>
      </c>
      <c r="F1234" s="26">
        <f>IF($C$5=0,0,INDEX(Symboles!$H$6:$H$101,D1234))</f>
        <v/>
      </c>
      <c r="G1234" s="26">
        <f>COS(2*PI()*$C$3*B1234)</f>
        <v/>
      </c>
      <c r="H1234" s="26">
        <f>SIN(2*PI()*$C$3*B1234)</f>
        <v/>
      </c>
      <c r="I1234" s="26">
        <f>E1234*G1234+F1234*H1234</f>
        <v/>
      </c>
    </row>
    <row r="1235">
      <c r="A1235" s="7" t="n">
        <v>1228</v>
      </c>
      <c r="B1235" s="26">
        <f>(A1235-1)/2000*$C$2</f>
        <v/>
      </c>
      <c r="C1235" s="7">
        <f>INDEX(Bits!$E$25:$E$124,INT(B1235)+1)</f>
        <v/>
      </c>
      <c r="D1235" s="7">
        <f>MAX(1,MIN(INT(B1235/$C$4)+1,$C$5))</f>
        <v/>
      </c>
      <c r="E1235" s="26">
        <f>IF($C$5=0,0,INDEX(Symboles!$G$6:$G$101,D1235))</f>
        <v/>
      </c>
      <c r="F1235" s="26">
        <f>IF($C$5=0,0,INDEX(Symboles!$H$6:$H$101,D1235))</f>
        <v/>
      </c>
      <c r="G1235" s="26">
        <f>COS(2*PI()*$C$3*B1235)</f>
        <v/>
      </c>
      <c r="H1235" s="26">
        <f>SIN(2*PI()*$C$3*B1235)</f>
        <v/>
      </c>
      <c r="I1235" s="26">
        <f>E1235*G1235+F1235*H1235</f>
        <v/>
      </c>
    </row>
    <row r="1236">
      <c r="A1236" s="7" t="n">
        <v>1229</v>
      </c>
      <c r="B1236" s="26">
        <f>(A1236-1)/2000*$C$2</f>
        <v/>
      </c>
      <c r="C1236" s="7">
        <f>INDEX(Bits!$E$25:$E$124,INT(B1236)+1)</f>
        <v/>
      </c>
      <c r="D1236" s="7">
        <f>MAX(1,MIN(INT(B1236/$C$4)+1,$C$5))</f>
        <v/>
      </c>
      <c r="E1236" s="26">
        <f>IF($C$5=0,0,INDEX(Symboles!$G$6:$G$101,D1236))</f>
        <v/>
      </c>
      <c r="F1236" s="26">
        <f>IF($C$5=0,0,INDEX(Symboles!$H$6:$H$101,D1236))</f>
        <v/>
      </c>
      <c r="G1236" s="26">
        <f>COS(2*PI()*$C$3*B1236)</f>
        <v/>
      </c>
      <c r="H1236" s="26">
        <f>SIN(2*PI()*$C$3*B1236)</f>
        <v/>
      </c>
      <c r="I1236" s="26">
        <f>E1236*G1236+F1236*H1236</f>
        <v/>
      </c>
    </row>
    <row r="1237">
      <c r="A1237" s="7" t="n">
        <v>1230</v>
      </c>
      <c r="B1237" s="26">
        <f>(A1237-1)/2000*$C$2</f>
        <v/>
      </c>
      <c r="C1237" s="7">
        <f>INDEX(Bits!$E$25:$E$124,INT(B1237)+1)</f>
        <v/>
      </c>
      <c r="D1237" s="7">
        <f>MAX(1,MIN(INT(B1237/$C$4)+1,$C$5))</f>
        <v/>
      </c>
      <c r="E1237" s="26">
        <f>IF($C$5=0,0,INDEX(Symboles!$G$6:$G$101,D1237))</f>
        <v/>
      </c>
      <c r="F1237" s="26">
        <f>IF($C$5=0,0,INDEX(Symboles!$H$6:$H$101,D1237))</f>
        <v/>
      </c>
      <c r="G1237" s="26">
        <f>COS(2*PI()*$C$3*B1237)</f>
        <v/>
      </c>
      <c r="H1237" s="26">
        <f>SIN(2*PI()*$C$3*B1237)</f>
        <v/>
      </c>
      <c r="I1237" s="26">
        <f>E1237*G1237+F1237*H1237</f>
        <v/>
      </c>
    </row>
    <row r="1238">
      <c r="A1238" s="7" t="n">
        <v>1231</v>
      </c>
      <c r="B1238" s="26">
        <f>(A1238-1)/2000*$C$2</f>
        <v/>
      </c>
      <c r="C1238" s="7">
        <f>INDEX(Bits!$E$25:$E$124,INT(B1238)+1)</f>
        <v/>
      </c>
      <c r="D1238" s="7">
        <f>MAX(1,MIN(INT(B1238/$C$4)+1,$C$5))</f>
        <v/>
      </c>
      <c r="E1238" s="26">
        <f>IF($C$5=0,0,INDEX(Symboles!$G$6:$G$101,D1238))</f>
        <v/>
      </c>
      <c r="F1238" s="26">
        <f>IF($C$5=0,0,INDEX(Symboles!$H$6:$H$101,D1238))</f>
        <v/>
      </c>
      <c r="G1238" s="26">
        <f>COS(2*PI()*$C$3*B1238)</f>
        <v/>
      </c>
      <c r="H1238" s="26">
        <f>SIN(2*PI()*$C$3*B1238)</f>
        <v/>
      </c>
      <c r="I1238" s="26">
        <f>E1238*G1238+F1238*H1238</f>
        <v/>
      </c>
    </row>
    <row r="1239">
      <c r="A1239" s="7" t="n">
        <v>1232</v>
      </c>
      <c r="B1239" s="26">
        <f>(A1239-1)/2000*$C$2</f>
        <v/>
      </c>
      <c r="C1239" s="7">
        <f>INDEX(Bits!$E$25:$E$124,INT(B1239)+1)</f>
        <v/>
      </c>
      <c r="D1239" s="7">
        <f>MAX(1,MIN(INT(B1239/$C$4)+1,$C$5))</f>
        <v/>
      </c>
      <c r="E1239" s="26">
        <f>IF($C$5=0,0,INDEX(Symboles!$G$6:$G$101,D1239))</f>
        <v/>
      </c>
      <c r="F1239" s="26">
        <f>IF($C$5=0,0,INDEX(Symboles!$H$6:$H$101,D1239))</f>
        <v/>
      </c>
      <c r="G1239" s="26">
        <f>COS(2*PI()*$C$3*B1239)</f>
        <v/>
      </c>
      <c r="H1239" s="26">
        <f>SIN(2*PI()*$C$3*B1239)</f>
        <v/>
      </c>
      <c r="I1239" s="26">
        <f>E1239*G1239+F1239*H1239</f>
        <v/>
      </c>
    </row>
    <row r="1240">
      <c r="A1240" s="7" t="n">
        <v>1233</v>
      </c>
      <c r="B1240" s="26">
        <f>(A1240-1)/2000*$C$2</f>
        <v/>
      </c>
      <c r="C1240" s="7">
        <f>INDEX(Bits!$E$25:$E$124,INT(B1240)+1)</f>
        <v/>
      </c>
      <c r="D1240" s="7">
        <f>MAX(1,MIN(INT(B1240/$C$4)+1,$C$5))</f>
        <v/>
      </c>
      <c r="E1240" s="26">
        <f>IF($C$5=0,0,INDEX(Symboles!$G$6:$G$101,D1240))</f>
        <v/>
      </c>
      <c r="F1240" s="26">
        <f>IF($C$5=0,0,INDEX(Symboles!$H$6:$H$101,D1240))</f>
        <v/>
      </c>
      <c r="G1240" s="26">
        <f>COS(2*PI()*$C$3*B1240)</f>
        <v/>
      </c>
      <c r="H1240" s="26">
        <f>SIN(2*PI()*$C$3*B1240)</f>
        <v/>
      </c>
      <c r="I1240" s="26">
        <f>E1240*G1240+F1240*H1240</f>
        <v/>
      </c>
    </row>
    <row r="1241">
      <c r="A1241" s="7" t="n">
        <v>1234</v>
      </c>
      <c r="B1241" s="26">
        <f>(A1241-1)/2000*$C$2</f>
        <v/>
      </c>
      <c r="C1241" s="7">
        <f>INDEX(Bits!$E$25:$E$124,INT(B1241)+1)</f>
        <v/>
      </c>
      <c r="D1241" s="7">
        <f>MAX(1,MIN(INT(B1241/$C$4)+1,$C$5))</f>
        <v/>
      </c>
      <c r="E1241" s="26">
        <f>IF($C$5=0,0,INDEX(Symboles!$G$6:$G$101,D1241))</f>
        <v/>
      </c>
      <c r="F1241" s="26">
        <f>IF($C$5=0,0,INDEX(Symboles!$H$6:$H$101,D1241))</f>
        <v/>
      </c>
      <c r="G1241" s="26">
        <f>COS(2*PI()*$C$3*B1241)</f>
        <v/>
      </c>
      <c r="H1241" s="26">
        <f>SIN(2*PI()*$C$3*B1241)</f>
        <v/>
      </c>
      <c r="I1241" s="26">
        <f>E1241*G1241+F1241*H1241</f>
        <v/>
      </c>
    </row>
    <row r="1242">
      <c r="A1242" s="7" t="n">
        <v>1235</v>
      </c>
      <c r="B1242" s="26">
        <f>(A1242-1)/2000*$C$2</f>
        <v/>
      </c>
      <c r="C1242" s="7">
        <f>INDEX(Bits!$E$25:$E$124,INT(B1242)+1)</f>
        <v/>
      </c>
      <c r="D1242" s="7">
        <f>MAX(1,MIN(INT(B1242/$C$4)+1,$C$5))</f>
        <v/>
      </c>
      <c r="E1242" s="26">
        <f>IF($C$5=0,0,INDEX(Symboles!$G$6:$G$101,D1242))</f>
        <v/>
      </c>
      <c r="F1242" s="26">
        <f>IF($C$5=0,0,INDEX(Symboles!$H$6:$H$101,D1242))</f>
        <v/>
      </c>
      <c r="G1242" s="26">
        <f>COS(2*PI()*$C$3*B1242)</f>
        <v/>
      </c>
      <c r="H1242" s="26">
        <f>SIN(2*PI()*$C$3*B1242)</f>
        <v/>
      </c>
      <c r="I1242" s="26">
        <f>E1242*G1242+F1242*H1242</f>
        <v/>
      </c>
    </row>
    <row r="1243">
      <c r="A1243" s="7" t="n">
        <v>1236</v>
      </c>
      <c r="B1243" s="26">
        <f>(A1243-1)/2000*$C$2</f>
        <v/>
      </c>
      <c r="C1243" s="7">
        <f>INDEX(Bits!$E$25:$E$124,INT(B1243)+1)</f>
        <v/>
      </c>
      <c r="D1243" s="7">
        <f>MAX(1,MIN(INT(B1243/$C$4)+1,$C$5))</f>
        <v/>
      </c>
      <c r="E1243" s="26">
        <f>IF($C$5=0,0,INDEX(Symboles!$G$6:$G$101,D1243))</f>
        <v/>
      </c>
      <c r="F1243" s="26">
        <f>IF($C$5=0,0,INDEX(Symboles!$H$6:$H$101,D1243))</f>
        <v/>
      </c>
      <c r="G1243" s="26">
        <f>COS(2*PI()*$C$3*B1243)</f>
        <v/>
      </c>
      <c r="H1243" s="26">
        <f>SIN(2*PI()*$C$3*B1243)</f>
        <v/>
      </c>
      <c r="I1243" s="26">
        <f>E1243*G1243+F1243*H1243</f>
        <v/>
      </c>
    </row>
    <row r="1244">
      <c r="A1244" s="7" t="n">
        <v>1237</v>
      </c>
      <c r="B1244" s="26">
        <f>(A1244-1)/2000*$C$2</f>
        <v/>
      </c>
      <c r="C1244" s="7">
        <f>INDEX(Bits!$E$25:$E$124,INT(B1244)+1)</f>
        <v/>
      </c>
      <c r="D1244" s="7">
        <f>MAX(1,MIN(INT(B1244/$C$4)+1,$C$5))</f>
        <v/>
      </c>
      <c r="E1244" s="26">
        <f>IF($C$5=0,0,INDEX(Symboles!$G$6:$G$101,D1244))</f>
        <v/>
      </c>
      <c r="F1244" s="26">
        <f>IF($C$5=0,0,INDEX(Symboles!$H$6:$H$101,D1244))</f>
        <v/>
      </c>
      <c r="G1244" s="26">
        <f>COS(2*PI()*$C$3*B1244)</f>
        <v/>
      </c>
      <c r="H1244" s="26">
        <f>SIN(2*PI()*$C$3*B1244)</f>
        <v/>
      </c>
      <c r="I1244" s="26">
        <f>E1244*G1244+F1244*H1244</f>
        <v/>
      </c>
    </row>
    <row r="1245">
      <c r="A1245" s="7" t="n">
        <v>1238</v>
      </c>
      <c r="B1245" s="26">
        <f>(A1245-1)/2000*$C$2</f>
        <v/>
      </c>
      <c r="C1245" s="7">
        <f>INDEX(Bits!$E$25:$E$124,INT(B1245)+1)</f>
        <v/>
      </c>
      <c r="D1245" s="7">
        <f>MAX(1,MIN(INT(B1245/$C$4)+1,$C$5))</f>
        <v/>
      </c>
      <c r="E1245" s="26">
        <f>IF($C$5=0,0,INDEX(Symboles!$G$6:$G$101,D1245))</f>
        <v/>
      </c>
      <c r="F1245" s="26">
        <f>IF($C$5=0,0,INDEX(Symboles!$H$6:$H$101,D1245))</f>
        <v/>
      </c>
      <c r="G1245" s="26">
        <f>COS(2*PI()*$C$3*B1245)</f>
        <v/>
      </c>
      <c r="H1245" s="26">
        <f>SIN(2*PI()*$C$3*B1245)</f>
        <v/>
      </c>
      <c r="I1245" s="26">
        <f>E1245*G1245+F1245*H1245</f>
        <v/>
      </c>
    </row>
    <row r="1246">
      <c r="A1246" s="7" t="n">
        <v>1239</v>
      </c>
      <c r="B1246" s="26">
        <f>(A1246-1)/2000*$C$2</f>
        <v/>
      </c>
      <c r="C1246" s="7">
        <f>INDEX(Bits!$E$25:$E$124,INT(B1246)+1)</f>
        <v/>
      </c>
      <c r="D1246" s="7">
        <f>MAX(1,MIN(INT(B1246/$C$4)+1,$C$5))</f>
        <v/>
      </c>
      <c r="E1246" s="26">
        <f>IF($C$5=0,0,INDEX(Symboles!$G$6:$G$101,D1246))</f>
        <v/>
      </c>
      <c r="F1246" s="26">
        <f>IF($C$5=0,0,INDEX(Symboles!$H$6:$H$101,D1246))</f>
        <v/>
      </c>
      <c r="G1246" s="26">
        <f>COS(2*PI()*$C$3*B1246)</f>
        <v/>
      </c>
      <c r="H1246" s="26">
        <f>SIN(2*PI()*$C$3*B1246)</f>
        <v/>
      </c>
      <c r="I1246" s="26">
        <f>E1246*G1246+F1246*H1246</f>
        <v/>
      </c>
    </row>
    <row r="1247">
      <c r="A1247" s="7" t="n">
        <v>1240</v>
      </c>
      <c r="B1247" s="26">
        <f>(A1247-1)/2000*$C$2</f>
        <v/>
      </c>
      <c r="C1247" s="7">
        <f>INDEX(Bits!$E$25:$E$124,INT(B1247)+1)</f>
        <v/>
      </c>
      <c r="D1247" s="7">
        <f>MAX(1,MIN(INT(B1247/$C$4)+1,$C$5))</f>
        <v/>
      </c>
      <c r="E1247" s="26">
        <f>IF($C$5=0,0,INDEX(Symboles!$G$6:$G$101,D1247))</f>
        <v/>
      </c>
      <c r="F1247" s="26">
        <f>IF($C$5=0,0,INDEX(Symboles!$H$6:$H$101,D1247))</f>
        <v/>
      </c>
      <c r="G1247" s="26">
        <f>COS(2*PI()*$C$3*B1247)</f>
        <v/>
      </c>
      <c r="H1247" s="26">
        <f>SIN(2*PI()*$C$3*B1247)</f>
        <v/>
      </c>
      <c r="I1247" s="26">
        <f>E1247*G1247+F1247*H1247</f>
        <v/>
      </c>
    </row>
    <row r="1248">
      <c r="A1248" s="7" t="n">
        <v>1241</v>
      </c>
      <c r="B1248" s="26">
        <f>(A1248-1)/2000*$C$2</f>
        <v/>
      </c>
      <c r="C1248" s="7">
        <f>INDEX(Bits!$E$25:$E$124,INT(B1248)+1)</f>
        <v/>
      </c>
      <c r="D1248" s="7">
        <f>MAX(1,MIN(INT(B1248/$C$4)+1,$C$5))</f>
        <v/>
      </c>
      <c r="E1248" s="26">
        <f>IF($C$5=0,0,INDEX(Symboles!$G$6:$G$101,D1248))</f>
        <v/>
      </c>
      <c r="F1248" s="26">
        <f>IF($C$5=0,0,INDEX(Symboles!$H$6:$H$101,D1248))</f>
        <v/>
      </c>
      <c r="G1248" s="26">
        <f>COS(2*PI()*$C$3*B1248)</f>
        <v/>
      </c>
      <c r="H1248" s="26">
        <f>SIN(2*PI()*$C$3*B1248)</f>
        <v/>
      </c>
      <c r="I1248" s="26">
        <f>E1248*G1248+F1248*H1248</f>
        <v/>
      </c>
    </row>
    <row r="1249">
      <c r="A1249" s="7" t="n">
        <v>1242</v>
      </c>
      <c r="B1249" s="26">
        <f>(A1249-1)/2000*$C$2</f>
        <v/>
      </c>
      <c r="C1249" s="7">
        <f>INDEX(Bits!$E$25:$E$124,INT(B1249)+1)</f>
        <v/>
      </c>
      <c r="D1249" s="7">
        <f>MAX(1,MIN(INT(B1249/$C$4)+1,$C$5))</f>
        <v/>
      </c>
      <c r="E1249" s="26">
        <f>IF($C$5=0,0,INDEX(Symboles!$G$6:$G$101,D1249))</f>
        <v/>
      </c>
      <c r="F1249" s="26">
        <f>IF($C$5=0,0,INDEX(Symboles!$H$6:$H$101,D1249))</f>
        <v/>
      </c>
      <c r="G1249" s="26">
        <f>COS(2*PI()*$C$3*B1249)</f>
        <v/>
      </c>
      <c r="H1249" s="26">
        <f>SIN(2*PI()*$C$3*B1249)</f>
        <v/>
      </c>
      <c r="I1249" s="26">
        <f>E1249*G1249+F1249*H1249</f>
        <v/>
      </c>
    </row>
    <row r="1250">
      <c r="A1250" s="7" t="n">
        <v>1243</v>
      </c>
      <c r="B1250" s="26">
        <f>(A1250-1)/2000*$C$2</f>
        <v/>
      </c>
      <c r="C1250" s="7">
        <f>INDEX(Bits!$E$25:$E$124,INT(B1250)+1)</f>
        <v/>
      </c>
      <c r="D1250" s="7">
        <f>MAX(1,MIN(INT(B1250/$C$4)+1,$C$5))</f>
        <v/>
      </c>
      <c r="E1250" s="26">
        <f>IF($C$5=0,0,INDEX(Symboles!$G$6:$G$101,D1250))</f>
        <v/>
      </c>
      <c r="F1250" s="26">
        <f>IF($C$5=0,0,INDEX(Symboles!$H$6:$H$101,D1250))</f>
        <v/>
      </c>
      <c r="G1250" s="26">
        <f>COS(2*PI()*$C$3*B1250)</f>
        <v/>
      </c>
      <c r="H1250" s="26">
        <f>SIN(2*PI()*$C$3*B1250)</f>
        <v/>
      </c>
      <c r="I1250" s="26">
        <f>E1250*G1250+F1250*H1250</f>
        <v/>
      </c>
    </row>
    <row r="1251">
      <c r="A1251" s="7" t="n">
        <v>1244</v>
      </c>
      <c r="B1251" s="26">
        <f>(A1251-1)/2000*$C$2</f>
        <v/>
      </c>
      <c r="C1251" s="7">
        <f>INDEX(Bits!$E$25:$E$124,INT(B1251)+1)</f>
        <v/>
      </c>
      <c r="D1251" s="7">
        <f>MAX(1,MIN(INT(B1251/$C$4)+1,$C$5))</f>
        <v/>
      </c>
      <c r="E1251" s="26">
        <f>IF($C$5=0,0,INDEX(Symboles!$G$6:$G$101,D1251))</f>
        <v/>
      </c>
      <c r="F1251" s="26">
        <f>IF($C$5=0,0,INDEX(Symboles!$H$6:$H$101,D1251))</f>
        <v/>
      </c>
      <c r="G1251" s="26">
        <f>COS(2*PI()*$C$3*B1251)</f>
        <v/>
      </c>
      <c r="H1251" s="26">
        <f>SIN(2*PI()*$C$3*B1251)</f>
        <v/>
      </c>
      <c r="I1251" s="26">
        <f>E1251*G1251+F1251*H1251</f>
        <v/>
      </c>
    </row>
    <row r="1252">
      <c r="A1252" s="7" t="n">
        <v>1245</v>
      </c>
      <c r="B1252" s="26">
        <f>(A1252-1)/2000*$C$2</f>
        <v/>
      </c>
      <c r="C1252" s="7">
        <f>INDEX(Bits!$E$25:$E$124,INT(B1252)+1)</f>
        <v/>
      </c>
      <c r="D1252" s="7">
        <f>MAX(1,MIN(INT(B1252/$C$4)+1,$C$5))</f>
        <v/>
      </c>
      <c r="E1252" s="26">
        <f>IF($C$5=0,0,INDEX(Symboles!$G$6:$G$101,D1252))</f>
        <v/>
      </c>
      <c r="F1252" s="26">
        <f>IF($C$5=0,0,INDEX(Symboles!$H$6:$H$101,D1252))</f>
        <v/>
      </c>
      <c r="G1252" s="26">
        <f>COS(2*PI()*$C$3*B1252)</f>
        <v/>
      </c>
      <c r="H1252" s="26">
        <f>SIN(2*PI()*$C$3*B1252)</f>
        <v/>
      </c>
      <c r="I1252" s="26">
        <f>E1252*G1252+F1252*H1252</f>
        <v/>
      </c>
    </row>
    <row r="1253">
      <c r="A1253" s="7" t="n">
        <v>1246</v>
      </c>
      <c r="B1253" s="26">
        <f>(A1253-1)/2000*$C$2</f>
        <v/>
      </c>
      <c r="C1253" s="7">
        <f>INDEX(Bits!$E$25:$E$124,INT(B1253)+1)</f>
        <v/>
      </c>
      <c r="D1253" s="7">
        <f>MAX(1,MIN(INT(B1253/$C$4)+1,$C$5))</f>
        <v/>
      </c>
      <c r="E1253" s="26">
        <f>IF($C$5=0,0,INDEX(Symboles!$G$6:$G$101,D1253))</f>
        <v/>
      </c>
      <c r="F1253" s="26">
        <f>IF($C$5=0,0,INDEX(Symboles!$H$6:$H$101,D1253))</f>
        <v/>
      </c>
      <c r="G1253" s="26">
        <f>COS(2*PI()*$C$3*B1253)</f>
        <v/>
      </c>
      <c r="H1253" s="26">
        <f>SIN(2*PI()*$C$3*B1253)</f>
        <v/>
      </c>
      <c r="I1253" s="26">
        <f>E1253*G1253+F1253*H1253</f>
        <v/>
      </c>
    </row>
    <row r="1254">
      <c r="A1254" s="7" t="n">
        <v>1247</v>
      </c>
      <c r="B1254" s="26">
        <f>(A1254-1)/2000*$C$2</f>
        <v/>
      </c>
      <c r="C1254" s="7">
        <f>INDEX(Bits!$E$25:$E$124,INT(B1254)+1)</f>
        <v/>
      </c>
      <c r="D1254" s="7">
        <f>MAX(1,MIN(INT(B1254/$C$4)+1,$C$5))</f>
        <v/>
      </c>
      <c r="E1254" s="26">
        <f>IF($C$5=0,0,INDEX(Symboles!$G$6:$G$101,D1254))</f>
        <v/>
      </c>
      <c r="F1254" s="26">
        <f>IF($C$5=0,0,INDEX(Symboles!$H$6:$H$101,D1254))</f>
        <v/>
      </c>
      <c r="G1254" s="26">
        <f>COS(2*PI()*$C$3*B1254)</f>
        <v/>
      </c>
      <c r="H1254" s="26">
        <f>SIN(2*PI()*$C$3*B1254)</f>
        <v/>
      </c>
      <c r="I1254" s="26">
        <f>E1254*G1254+F1254*H1254</f>
        <v/>
      </c>
    </row>
    <row r="1255">
      <c r="A1255" s="7" t="n">
        <v>1248</v>
      </c>
      <c r="B1255" s="26">
        <f>(A1255-1)/2000*$C$2</f>
        <v/>
      </c>
      <c r="C1255" s="7">
        <f>INDEX(Bits!$E$25:$E$124,INT(B1255)+1)</f>
        <v/>
      </c>
      <c r="D1255" s="7">
        <f>MAX(1,MIN(INT(B1255/$C$4)+1,$C$5))</f>
        <v/>
      </c>
      <c r="E1255" s="26">
        <f>IF($C$5=0,0,INDEX(Symboles!$G$6:$G$101,D1255))</f>
        <v/>
      </c>
      <c r="F1255" s="26">
        <f>IF($C$5=0,0,INDEX(Symboles!$H$6:$H$101,D1255))</f>
        <v/>
      </c>
      <c r="G1255" s="26">
        <f>COS(2*PI()*$C$3*B1255)</f>
        <v/>
      </c>
      <c r="H1255" s="26">
        <f>SIN(2*PI()*$C$3*B1255)</f>
        <v/>
      </c>
      <c r="I1255" s="26">
        <f>E1255*G1255+F1255*H1255</f>
        <v/>
      </c>
    </row>
    <row r="1256">
      <c r="A1256" s="7" t="n">
        <v>1249</v>
      </c>
      <c r="B1256" s="26">
        <f>(A1256-1)/2000*$C$2</f>
        <v/>
      </c>
      <c r="C1256" s="7">
        <f>INDEX(Bits!$E$25:$E$124,INT(B1256)+1)</f>
        <v/>
      </c>
      <c r="D1256" s="7">
        <f>MAX(1,MIN(INT(B1256/$C$4)+1,$C$5))</f>
        <v/>
      </c>
      <c r="E1256" s="26">
        <f>IF($C$5=0,0,INDEX(Symboles!$G$6:$G$101,D1256))</f>
        <v/>
      </c>
      <c r="F1256" s="26">
        <f>IF($C$5=0,0,INDEX(Symboles!$H$6:$H$101,D1256))</f>
        <v/>
      </c>
      <c r="G1256" s="26">
        <f>COS(2*PI()*$C$3*B1256)</f>
        <v/>
      </c>
      <c r="H1256" s="26">
        <f>SIN(2*PI()*$C$3*B1256)</f>
        <v/>
      </c>
      <c r="I1256" s="26">
        <f>E1256*G1256+F1256*H1256</f>
        <v/>
      </c>
    </row>
    <row r="1257">
      <c r="A1257" s="7" t="n">
        <v>1250</v>
      </c>
      <c r="B1257" s="26">
        <f>(A1257-1)/2000*$C$2</f>
        <v/>
      </c>
      <c r="C1257" s="7">
        <f>INDEX(Bits!$E$25:$E$124,INT(B1257)+1)</f>
        <v/>
      </c>
      <c r="D1257" s="7">
        <f>MAX(1,MIN(INT(B1257/$C$4)+1,$C$5))</f>
        <v/>
      </c>
      <c r="E1257" s="26">
        <f>IF($C$5=0,0,INDEX(Symboles!$G$6:$G$101,D1257))</f>
        <v/>
      </c>
      <c r="F1257" s="26">
        <f>IF($C$5=0,0,INDEX(Symboles!$H$6:$H$101,D1257))</f>
        <v/>
      </c>
      <c r="G1257" s="26">
        <f>COS(2*PI()*$C$3*B1257)</f>
        <v/>
      </c>
      <c r="H1257" s="26">
        <f>SIN(2*PI()*$C$3*B1257)</f>
        <v/>
      </c>
      <c r="I1257" s="26">
        <f>E1257*G1257+F1257*H1257</f>
        <v/>
      </c>
    </row>
    <row r="1258">
      <c r="A1258" s="7" t="n">
        <v>1251</v>
      </c>
      <c r="B1258" s="26">
        <f>(A1258-1)/2000*$C$2</f>
        <v/>
      </c>
      <c r="C1258" s="7">
        <f>INDEX(Bits!$E$25:$E$124,INT(B1258)+1)</f>
        <v/>
      </c>
      <c r="D1258" s="7">
        <f>MAX(1,MIN(INT(B1258/$C$4)+1,$C$5))</f>
        <v/>
      </c>
      <c r="E1258" s="26">
        <f>IF($C$5=0,0,INDEX(Symboles!$G$6:$G$101,D1258))</f>
        <v/>
      </c>
      <c r="F1258" s="26">
        <f>IF($C$5=0,0,INDEX(Symboles!$H$6:$H$101,D1258))</f>
        <v/>
      </c>
      <c r="G1258" s="26">
        <f>COS(2*PI()*$C$3*B1258)</f>
        <v/>
      </c>
      <c r="H1258" s="26">
        <f>SIN(2*PI()*$C$3*B1258)</f>
        <v/>
      </c>
      <c r="I1258" s="26">
        <f>E1258*G1258+F1258*H1258</f>
        <v/>
      </c>
    </row>
    <row r="1259">
      <c r="A1259" s="7" t="n">
        <v>1252</v>
      </c>
      <c r="B1259" s="26">
        <f>(A1259-1)/2000*$C$2</f>
        <v/>
      </c>
      <c r="C1259" s="7">
        <f>INDEX(Bits!$E$25:$E$124,INT(B1259)+1)</f>
        <v/>
      </c>
      <c r="D1259" s="7">
        <f>MAX(1,MIN(INT(B1259/$C$4)+1,$C$5))</f>
        <v/>
      </c>
      <c r="E1259" s="26">
        <f>IF($C$5=0,0,INDEX(Symboles!$G$6:$G$101,D1259))</f>
        <v/>
      </c>
      <c r="F1259" s="26">
        <f>IF($C$5=0,0,INDEX(Symboles!$H$6:$H$101,D1259))</f>
        <v/>
      </c>
      <c r="G1259" s="26">
        <f>COS(2*PI()*$C$3*B1259)</f>
        <v/>
      </c>
      <c r="H1259" s="26">
        <f>SIN(2*PI()*$C$3*B1259)</f>
        <v/>
      </c>
      <c r="I1259" s="26">
        <f>E1259*G1259+F1259*H1259</f>
        <v/>
      </c>
    </row>
    <row r="1260">
      <c r="A1260" s="7" t="n">
        <v>1253</v>
      </c>
      <c r="B1260" s="26">
        <f>(A1260-1)/2000*$C$2</f>
        <v/>
      </c>
      <c r="C1260" s="7">
        <f>INDEX(Bits!$E$25:$E$124,INT(B1260)+1)</f>
        <v/>
      </c>
      <c r="D1260" s="7">
        <f>MAX(1,MIN(INT(B1260/$C$4)+1,$C$5))</f>
        <v/>
      </c>
      <c r="E1260" s="26">
        <f>IF($C$5=0,0,INDEX(Symboles!$G$6:$G$101,D1260))</f>
        <v/>
      </c>
      <c r="F1260" s="26">
        <f>IF($C$5=0,0,INDEX(Symboles!$H$6:$H$101,D1260))</f>
        <v/>
      </c>
      <c r="G1260" s="26">
        <f>COS(2*PI()*$C$3*B1260)</f>
        <v/>
      </c>
      <c r="H1260" s="26">
        <f>SIN(2*PI()*$C$3*B1260)</f>
        <v/>
      </c>
      <c r="I1260" s="26">
        <f>E1260*G1260+F1260*H1260</f>
        <v/>
      </c>
    </row>
    <row r="1261">
      <c r="A1261" s="7" t="n">
        <v>1254</v>
      </c>
      <c r="B1261" s="26">
        <f>(A1261-1)/2000*$C$2</f>
        <v/>
      </c>
      <c r="C1261" s="7">
        <f>INDEX(Bits!$E$25:$E$124,INT(B1261)+1)</f>
        <v/>
      </c>
      <c r="D1261" s="7">
        <f>MAX(1,MIN(INT(B1261/$C$4)+1,$C$5))</f>
        <v/>
      </c>
      <c r="E1261" s="26">
        <f>IF($C$5=0,0,INDEX(Symboles!$G$6:$G$101,D1261))</f>
        <v/>
      </c>
      <c r="F1261" s="26">
        <f>IF($C$5=0,0,INDEX(Symboles!$H$6:$H$101,D1261))</f>
        <v/>
      </c>
      <c r="G1261" s="26">
        <f>COS(2*PI()*$C$3*B1261)</f>
        <v/>
      </c>
      <c r="H1261" s="26">
        <f>SIN(2*PI()*$C$3*B1261)</f>
        <v/>
      </c>
      <c r="I1261" s="26">
        <f>E1261*G1261+F1261*H1261</f>
        <v/>
      </c>
    </row>
    <row r="1262">
      <c r="A1262" s="7" t="n">
        <v>1255</v>
      </c>
      <c r="B1262" s="26">
        <f>(A1262-1)/2000*$C$2</f>
        <v/>
      </c>
      <c r="C1262" s="7">
        <f>INDEX(Bits!$E$25:$E$124,INT(B1262)+1)</f>
        <v/>
      </c>
      <c r="D1262" s="7">
        <f>MAX(1,MIN(INT(B1262/$C$4)+1,$C$5))</f>
        <v/>
      </c>
      <c r="E1262" s="26">
        <f>IF($C$5=0,0,INDEX(Symboles!$G$6:$G$101,D1262))</f>
        <v/>
      </c>
      <c r="F1262" s="26">
        <f>IF($C$5=0,0,INDEX(Symboles!$H$6:$H$101,D1262))</f>
        <v/>
      </c>
      <c r="G1262" s="26">
        <f>COS(2*PI()*$C$3*B1262)</f>
        <v/>
      </c>
      <c r="H1262" s="26">
        <f>SIN(2*PI()*$C$3*B1262)</f>
        <v/>
      </c>
      <c r="I1262" s="26">
        <f>E1262*G1262+F1262*H1262</f>
        <v/>
      </c>
    </row>
    <row r="1263">
      <c r="A1263" s="7" t="n">
        <v>1256</v>
      </c>
      <c r="B1263" s="26">
        <f>(A1263-1)/2000*$C$2</f>
        <v/>
      </c>
      <c r="C1263" s="7">
        <f>INDEX(Bits!$E$25:$E$124,INT(B1263)+1)</f>
        <v/>
      </c>
      <c r="D1263" s="7">
        <f>MAX(1,MIN(INT(B1263/$C$4)+1,$C$5))</f>
        <v/>
      </c>
      <c r="E1263" s="26">
        <f>IF($C$5=0,0,INDEX(Symboles!$G$6:$G$101,D1263))</f>
        <v/>
      </c>
      <c r="F1263" s="26">
        <f>IF($C$5=0,0,INDEX(Symboles!$H$6:$H$101,D1263))</f>
        <v/>
      </c>
      <c r="G1263" s="26">
        <f>COS(2*PI()*$C$3*B1263)</f>
        <v/>
      </c>
      <c r="H1263" s="26">
        <f>SIN(2*PI()*$C$3*B1263)</f>
        <v/>
      </c>
      <c r="I1263" s="26">
        <f>E1263*G1263+F1263*H1263</f>
        <v/>
      </c>
    </row>
    <row r="1264">
      <c r="A1264" s="7" t="n">
        <v>1257</v>
      </c>
      <c r="B1264" s="26">
        <f>(A1264-1)/2000*$C$2</f>
        <v/>
      </c>
      <c r="C1264" s="7">
        <f>INDEX(Bits!$E$25:$E$124,INT(B1264)+1)</f>
        <v/>
      </c>
      <c r="D1264" s="7">
        <f>MAX(1,MIN(INT(B1264/$C$4)+1,$C$5))</f>
        <v/>
      </c>
      <c r="E1264" s="26">
        <f>IF($C$5=0,0,INDEX(Symboles!$G$6:$G$101,D1264))</f>
        <v/>
      </c>
      <c r="F1264" s="26">
        <f>IF($C$5=0,0,INDEX(Symboles!$H$6:$H$101,D1264))</f>
        <v/>
      </c>
      <c r="G1264" s="26">
        <f>COS(2*PI()*$C$3*B1264)</f>
        <v/>
      </c>
      <c r="H1264" s="26">
        <f>SIN(2*PI()*$C$3*B1264)</f>
        <v/>
      </c>
      <c r="I1264" s="26">
        <f>E1264*G1264+F1264*H1264</f>
        <v/>
      </c>
    </row>
    <row r="1265">
      <c r="A1265" s="7" t="n">
        <v>1258</v>
      </c>
      <c r="B1265" s="26">
        <f>(A1265-1)/2000*$C$2</f>
        <v/>
      </c>
      <c r="C1265" s="7">
        <f>INDEX(Bits!$E$25:$E$124,INT(B1265)+1)</f>
        <v/>
      </c>
      <c r="D1265" s="7">
        <f>MAX(1,MIN(INT(B1265/$C$4)+1,$C$5))</f>
        <v/>
      </c>
      <c r="E1265" s="26">
        <f>IF($C$5=0,0,INDEX(Symboles!$G$6:$G$101,D1265))</f>
        <v/>
      </c>
      <c r="F1265" s="26">
        <f>IF($C$5=0,0,INDEX(Symboles!$H$6:$H$101,D1265))</f>
        <v/>
      </c>
      <c r="G1265" s="26">
        <f>COS(2*PI()*$C$3*B1265)</f>
        <v/>
      </c>
      <c r="H1265" s="26">
        <f>SIN(2*PI()*$C$3*B1265)</f>
        <v/>
      </c>
      <c r="I1265" s="26">
        <f>E1265*G1265+F1265*H1265</f>
        <v/>
      </c>
    </row>
    <row r="1266">
      <c r="A1266" s="7" t="n">
        <v>1259</v>
      </c>
      <c r="B1266" s="26">
        <f>(A1266-1)/2000*$C$2</f>
        <v/>
      </c>
      <c r="C1266" s="7">
        <f>INDEX(Bits!$E$25:$E$124,INT(B1266)+1)</f>
        <v/>
      </c>
      <c r="D1266" s="7">
        <f>MAX(1,MIN(INT(B1266/$C$4)+1,$C$5))</f>
        <v/>
      </c>
      <c r="E1266" s="26">
        <f>IF($C$5=0,0,INDEX(Symboles!$G$6:$G$101,D1266))</f>
        <v/>
      </c>
      <c r="F1266" s="26">
        <f>IF($C$5=0,0,INDEX(Symboles!$H$6:$H$101,D1266))</f>
        <v/>
      </c>
      <c r="G1266" s="26">
        <f>COS(2*PI()*$C$3*B1266)</f>
        <v/>
      </c>
      <c r="H1266" s="26">
        <f>SIN(2*PI()*$C$3*B1266)</f>
        <v/>
      </c>
      <c r="I1266" s="26">
        <f>E1266*G1266+F1266*H1266</f>
        <v/>
      </c>
    </row>
    <row r="1267">
      <c r="A1267" s="7" t="n">
        <v>1260</v>
      </c>
      <c r="B1267" s="26">
        <f>(A1267-1)/2000*$C$2</f>
        <v/>
      </c>
      <c r="C1267" s="7">
        <f>INDEX(Bits!$E$25:$E$124,INT(B1267)+1)</f>
        <v/>
      </c>
      <c r="D1267" s="7">
        <f>MAX(1,MIN(INT(B1267/$C$4)+1,$C$5))</f>
        <v/>
      </c>
      <c r="E1267" s="26">
        <f>IF($C$5=0,0,INDEX(Symboles!$G$6:$G$101,D1267))</f>
        <v/>
      </c>
      <c r="F1267" s="26">
        <f>IF($C$5=0,0,INDEX(Symboles!$H$6:$H$101,D1267))</f>
        <v/>
      </c>
      <c r="G1267" s="26">
        <f>COS(2*PI()*$C$3*B1267)</f>
        <v/>
      </c>
      <c r="H1267" s="26">
        <f>SIN(2*PI()*$C$3*B1267)</f>
        <v/>
      </c>
      <c r="I1267" s="26">
        <f>E1267*G1267+F1267*H1267</f>
        <v/>
      </c>
    </row>
    <row r="1268">
      <c r="A1268" s="7" t="n">
        <v>1261</v>
      </c>
      <c r="B1268" s="26">
        <f>(A1268-1)/2000*$C$2</f>
        <v/>
      </c>
      <c r="C1268" s="7">
        <f>INDEX(Bits!$E$25:$E$124,INT(B1268)+1)</f>
        <v/>
      </c>
      <c r="D1268" s="7">
        <f>MAX(1,MIN(INT(B1268/$C$4)+1,$C$5))</f>
        <v/>
      </c>
      <c r="E1268" s="26">
        <f>IF($C$5=0,0,INDEX(Symboles!$G$6:$G$101,D1268))</f>
        <v/>
      </c>
      <c r="F1268" s="26">
        <f>IF($C$5=0,0,INDEX(Symboles!$H$6:$H$101,D1268))</f>
        <v/>
      </c>
      <c r="G1268" s="26">
        <f>COS(2*PI()*$C$3*B1268)</f>
        <v/>
      </c>
      <c r="H1268" s="26">
        <f>SIN(2*PI()*$C$3*B1268)</f>
        <v/>
      </c>
      <c r="I1268" s="26">
        <f>E1268*G1268+F1268*H1268</f>
        <v/>
      </c>
    </row>
    <row r="1269">
      <c r="A1269" s="7" t="n">
        <v>1262</v>
      </c>
      <c r="B1269" s="26">
        <f>(A1269-1)/2000*$C$2</f>
        <v/>
      </c>
      <c r="C1269" s="7">
        <f>INDEX(Bits!$E$25:$E$124,INT(B1269)+1)</f>
        <v/>
      </c>
      <c r="D1269" s="7">
        <f>MAX(1,MIN(INT(B1269/$C$4)+1,$C$5))</f>
        <v/>
      </c>
      <c r="E1269" s="26">
        <f>IF($C$5=0,0,INDEX(Symboles!$G$6:$G$101,D1269))</f>
        <v/>
      </c>
      <c r="F1269" s="26">
        <f>IF($C$5=0,0,INDEX(Symboles!$H$6:$H$101,D1269))</f>
        <v/>
      </c>
      <c r="G1269" s="26">
        <f>COS(2*PI()*$C$3*B1269)</f>
        <v/>
      </c>
      <c r="H1269" s="26">
        <f>SIN(2*PI()*$C$3*B1269)</f>
        <v/>
      </c>
      <c r="I1269" s="26">
        <f>E1269*G1269+F1269*H1269</f>
        <v/>
      </c>
    </row>
    <row r="1270">
      <c r="A1270" s="7" t="n">
        <v>1263</v>
      </c>
      <c r="B1270" s="26">
        <f>(A1270-1)/2000*$C$2</f>
        <v/>
      </c>
      <c r="C1270" s="7">
        <f>INDEX(Bits!$E$25:$E$124,INT(B1270)+1)</f>
        <v/>
      </c>
      <c r="D1270" s="7">
        <f>MAX(1,MIN(INT(B1270/$C$4)+1,$C$5))</f>
        <v/>
      </c>
      <c r="E1270" s="26">
        <f>IF($C$5=0,0,INDEX(Symboles!$G$6:$G$101,D1270))</f>
        <v/>
      </c>
      <c r="F1270" s="26">
        <f>IF($C$5=0,0,INDEX(Symboles!$H$6:$H$101,D1270))</f>
        <v/>
      </c>
      <c r="G1270" s="26">
        <f>COS(2*PI()*$C$3*B1270)</f>
        <v/>
      </c>
      <c r="H1270" s="26">
        <f>SIN(2*PI()*$C$3*B1270)</f>
        <v/>
      </c>
      <c r="I1270" s="26">
        <f>E1270*G1270+F1270*H1270</f>
        <v/>
      </c>
    </row>
    <row r="1271">
      <c r="A1271" s="7" t="n">
        <v>1264</v>
      </c>
      <c r="B1271" s="26">
        <f>(A1271-1)/2000*$C$2</f>
        <v/>
      </c>
      <c r="C1271" s="7">
        <f>INDEX(Bits!$E$25:$E$124,INT(B1271)+1)</f>
        <v/>
      </c>
      <c r="D1271" s="7">
        <f>MAX(1,MIN(INT(B1271/$C$4)+1,$C$5))</f>
        <v/>
      </c>
      <c r="E1271" s="26">
        <f>IF($C$5=0,0,INDEX(Symboles!$G$6:$G$101,D1271))</f>
        <v/>
      </c>
      <c r="F1271" s="26">
        <f>IF($C$5=0,0,INDEX(Symboles!$H$6:$H$101,D1271))</f>
        <v/>
      </c>
      <c r="G1271" s="26">
        <f>COS(2*PI()*$C$3*B1271)</f>
        <v/>
      </c>
      <c r="H1271" s="26">
        <f>SIN(2*PI()*$C$3*B1271)</f>
        <v/>
      </c>
      <c r="I1271" s="26">
        <f>E1271*G1271+F1271*H1271</f>
        <v/>
      </c>
    </row>
    <row r="1272">
      <c r="A1272" s="7" t="n">
        <v>1265</v>
      </c>
      <c r="B1272" s="26">
        <f>(A1272-1)/2000*$C$2</f>
        <v/>
      </c>
      <c r="C1272" s="7">
        <f>INDEX(Bits!$E$25:$E$124,INT(B1272)+1)</f>
        <v/>
      </c>
      <c r="D1272" s="7">
        <f>MAX(1,MIN(INT(B1272/$C$4)+1,$C$5))</f>
        <v/>
      </c>
      <c r="E1272" s="26">
        <f>IF($C$5=0,0,INDEX(Symboles!$G$6:$G$101,D1272))</f>
        <v/>
      </c>
      <c r="F1272" s="26">
        <f>IF($C$5=0,0,INDEX(Symboles!$H$6:$H$101,D1272))</f>
        <v/>
      </c>
      <c r="G1272" s="26">
        <f>COS(2*PI()*$C$3*B1272)</f>
        <v/>
      </c>
      <c r="H1272" s="26">
        <f>SIN(2*PI()*$C$3*B1272)</f>
        <v/>
      </c>
      <c r="I1272" s="26">
        <f>E1272*G1272+F1272*H1272</f>
        <v/>
      </c>
    </row>
    <row r="1273">
      <c r="A1273" s="7" t="n">
        <v>1266</v>
      </c>
      <c r="B1273" s="26">
        <f>(A1273-1)/2000*$C$2</f>
        <v/>
      </c>
      <c r="C1273" s="7">
        <f>INDEX(Bits!$E$25:$E$124,INT(B1273)+1)</f>
        <v/>
      </c>
      <c r="D1273" s="7">
        <f>MAX(1,MIN(INT(B1273/$C$4)+1,$C$5))</f>
        <v/>
      </c>
      <c r="E1273" s="26">
        <f>IF($C$5=0,0,INDEX(Symboles!$G$6:$G$101,D1273))</f>
        <v/>
      </c>
      <c r="F1273" s="26">
        <f>IF($C$5=0,0,INDEX(Symboles!$H$6:$H$101,D1273))</f>
        <v/>
      </c>
      <c r="G1273" s="26">
        <f>COS(2*PI()*$C$3*B1273)</f>
        <v/>
      </c>
      <c r="H1273" s="26">
        <f>SIN(2*PI()*$C$3*B1273)</f>
        <v/>
      </c>
      <c r="I1273" s="26">
        <f>E1273*G1273+F1273*H1273</f>
        <v/>
      </c>
    </row>
    <row r="1274">
      <c r="A1274" s="7" t="n">
        <v>1267</v>
      </c>
      <c r="B1274" s="26">
        <f>(A1274-1)/2000*$C$2</f>
        <v/>
      </c>
      <c r="C1274" s="7">
        <f>INDEX(Bits!$E$25:$E$124,INT(B1274)+1)</f>
        <v/>
      </c>
      <c r="D1274" s="7">
        <f>MAX(1,MIN(INT(B1274/$C$4)+1,$C$5))</f>
        <v/>
      </c>
      <c r="E1274" s="26">
        <f>IF($C$5=0,0,INDEX(Symboles!$G$6:$G$101,D1274))</f>
        <v/>
      </c>
      <c r="F1274" s="26">
        <f>IF($C$5=0,0,INDEX(Symboles!$H$6:$H$101,D1274))</f>
        <v/>
      </c>
      <c r="G1274" s="26">
        <f>COS(2*PI()*$C$3*B1274)</f>
        <v/>
      </c>
      <c r="H1274" s="26">
        <f>SIN(2*PI()*$C$3*B1274)</f>
        <v/>
      </c>
      <c r="I1274" s="26">
        <f>E1274*G1274+F1274*H1274</f>
        <v/>
      </c>
    </row>
    <row r="1275">
      <c r="A1275" s="7" t="n">
        <v>1268</v>
      </c>
      <c r="B1275" s="26">
        <f>(A1275-1)/2000*$C$2</f>
        <v/>
      </c>
      <c r="C1275" s="7">
        <f>INDEX(Bits!$E$25:$E$124,INT(B1275)+1)</f>
        <v/>
      </c>
      <c r="D1275" s="7">
        <f>MAX(1,MIN(INT(B1275/$C$4)+1,$C$5))</f>
        <v/>
      </c>
      <c r="E1275" s="26">
        <f>IF($C$5=0,0,INDEX(Symboles!$G$6:$G$101,D1275))</f>
        <v/>
      </c>
      <c r="F1275" s="26">
        <f>IF($C$5=0,0,INDEX(Symboles!$H$6:$H$101,D1275))</f>
        <v/>
      </c>
      <c r="G1275" s="26">
        <f>COS(2*PI()*$C$3*B1275)</f>
        <v/>
      </c>
      <c r="H1275" s="26">
        <f>SIN(2*PI()*$C$3*B1275)</f>
        <v/>
      </c>
      <c r="I1275" s="26">
        <f>E1275*G1275+F1275*H1275</f>
        <v/>
      </c>
    </row>
    <row r="1276">
      <c r="A1276" s="7" t="n">
        <v>1269</v>
      </c>
      <c r="B1276" s="26">
        <f>(A1276-1)/2000*$C$2</f>
        <v/>
      </c>
      <c r="C1276" s="7">
        <f>INDEX(Bits!$E$25:$E$124,INT(B1276)+1)</f>
        <v/>
      </c>
      <c r="D1276" s="7">
        <f>MAX(1,MIN(INT(B1276/$C$4)+1,$C$5))</f>
        <v/>
      </c>
      <c r="E1276" s="26">
        <f>IF($C$5=0,0,INDEX(Symboles!$G$6:$G$101,D1276))</f>
        <v/>
      </c>
      <c r="F1276" s="26">
        <f>IF($C$5=0,0,INDEX(Symboles!$H$6:$H$101,D1276))</f>
        <v/>
      </c>
      <c r="G1276" s="26">
        <f>COS(2*PI()*$C$3*B1276)</f>
        <v/>
      </c>
      <c r="H1276" s="26">
        <f>SIN(2*PI()*$C$3*B1276)</f>
        <v/>
      </c>
      <c r="I1276" s="26">
        <f>E1276*G1276+F1276*H1276</f>
        <v/>
      </c>
    </row>
    <row r="1277">
      <c r="A1277" s="7" t="n">
        <v>1270</v>
      </c>
      <c r="B1277" s="26">
        <f>(A1277-1)/2000*$C$2</f>
        <v/>
      </c>
      <c r="C1277" s="7">
        <f>INDEX(Bits!$E$25:$E$124,INT(B1277)+1)</f>
        <v/>
      </c>
      <c r="D1277" s="7">
        <f>MAX(1,MIN(INT(B1277/$C$4)+1,$C$5))</f>
        <v/>
      </c>
      <c r="E1277" s="26">
        <f>IF($C$5=0,0,INDEX(Symboles!$G$6:$G$101,D1277))</f>
        <v/>
      </c>
      <c r="F1277" s="26">
        <f>IF($C$5=0,0,INDEX(Symboles!$H$6:$H$101,D1277))</f>
        <v/>
      </c>
      <c r="G1277" s="26">
        <f>COS(2*PI()*$C$3*B1277)</f>
        <v/>
      </c>
      <c r="H1277" s="26">
        <f>SIN(2*PI()*$C$3*B1277)</f>
        <v/>
      </c>
      <c r="I1277" s="26">
        <f>E1277*G1277+F1277*H1277</f>
        <v/>
      </c>
    </row>
    <row r="1278">
      <c r="A1278" s="7" t="n">
        <v>1271</v>
      </c>
      <c r="B1278" s="26">
        <f>(A1278-1)/2000*$C$2</f>
        <v/>
      </c>
      <c r="C1278" s="7">
        <f>INDEX(Bits!$E$25:$E$124,INT(B1278)+1)</f>
        <v/>
      </c>
      <c r="D1278" s="7">
        <f>MAX(1,MIN(INT(B1278/$C$4)+1,$C$5))</f>
        <v/>
      </c>
      <c r="E1278" s="26">
        <f>IF($C$5=0,0,INDEX(Symboles!$G$6:$G$101,D1278))</f>
        <v/>
      </c>
      <c r="F1278" s="26">
        <f>IF($C$5=0,0,INDEX(Symboles!$H$6:$H$101,D1278))</f>
        <v/>
      </c>
      <c r="G1278" s="26">
        <f>COS(2*PI()*$C$3*B1278)</f>
        <v/>
      </c>
      <c r="H1278" s="26">
        <f>SIN(2*PI()*$C$3*B1278)</f>
        <v/>
      </c>
      <c r="I1278" s="26">
        <f>E1278*G1278+F1278*H1278</f>
        <v/>
      </c>
    </row>
    <row r="1279">
      <c r="A1279" s="7" t="n">
        <v>1272</v>
      </c>
      <c r="B1279" s="26">
        <f>(A1279-1)/2000*$C$2</f>
        <v/>
      </c>
      <c r="C1279" s="7">
        <f>INDEX(Bits!$E$25:$E$124,INT(B1279)+1)</f>
        <v/>
      </c>
      <c r="D1279" s="7">
        <f>MAX(1,MIN(INT(B1279/$C$4)+1,$C$5))</f>
        <v/>
      </c>
      <c r="E1279" s="26">
        <f>IF($C$5=0,0,INDEX(Symboles!$G$6:$G$101,D1279))</f>
        <v/>
      </c>
      <c r="F1279" s="26">
        <f>IF($C$5=0,0,INDEX(Symboles!$H$6:$H$101,D1279))</f>
        <v/>
      </c>
      <c r="G1279" s="26">
        <f>COS(2*PI()*$C$3*B1279)</f>
        <v/>
      </c>
      <c r="H1279" s="26">
        <f>SIN(2*PI()*$C$3*B1279)</f>
        <v/>
      </c>
      <c r="I1279" s="26">
        <f>E1279*G1279+F1279*H1279</f>
        <v/>
      </c>
    </row>
    <row r="1280">
      <c r="A1280" s="7" t="n">
        <v>1273</v>
      </c>
      <c r="B1280" s="26">
        <f>(A1280-1)/2000*$C$2</f>
        <v/>
      </c>
      <c r="C1280" s="7">
        <f>INDEX(Bits!$E$25:$E$124,INT(B1280)+1)</f>
        <v/>
      </c>
      <c r="D1280" s="7">
        <f>MAX(1,MIN(INT(B1280/$C$4)+1,$C$5))</f>
        <v/>
      </c>
      <c r="E1280" s="26">
        <f>IF($C$5=0,0,INDEX(Symboles!$G$6:$G$101,D1280))</f>
        <v/>
      </c>
      <c r="F1280" s="26">
        <f>IF($C$5=0,0,INDEX(Symboles!$H$6:$H$101,D1280))</f>
        <v/>
      </c>
      <c r="G1280" s="26">
        <f>COS(2*PI()*$C$3*B1280)</f>
        <v/>
      </c>
      <c r="H1280" s="26">
        <f>SIN(2*PI()*$C$3*B1280)</f>
        <v/>
      </c>
      <c r="I1280" s="26">
        <f>E1280*G1280+F1280*H1280</f>
        <v/>
      </c>
    </row>
    <row r="1281">
      <c r="A1281" s="7" t="n">
        <v>1274</v>
      </c>
      <c r="B1281" s="26">
        <f>(A1281-1)/2000*$C$2</f>
        <v/>
      </c>
      <c r="C1281" s="7">
        <f>INDEX(Bits!$E$25:$E$124,INT(B1281)+1)</f>
        <v/>
      </c>
      <c r="D1281" s="7">
        <f>MAX(1,MIN(INT(B1281/$C$4)+1,$C$5))</f>
        <v/>
      </c>
      <c r="E1281" s="26">
        <f>IF($C$5=0,0,INDEX(Symboles!$G$6:$G$101,D1281))</f>
        <v/>
      </c>
      <c r="F1281" s="26">
        <f>IF($C$5=0,0,INDEX(Symboles!$H$6:$H$101,D1281))</f>
        <v/>
      </c>
      <c r="G1281" s="26">
        <f>COS(2*PI()*$C$3*B1281)</f>
        <v/>
      </c>
      <c r="H1281" s="26">
        <f>SIN(2*PI()*$C$3*B1281)</f>
        <v/>
      </c>
      <c r="I1281" s="26">
        <f>E1281*G1281+F1281*H1281</f>
        <v/>
      </c>
    </row>
    <row r="1282">
      <c r="A1282" s="7" t="n">
        <v>1275</v>
      </c>
      <c r="B1282" s="26">
        <f>(A1282-1)/2000*$C$2</f>
        <v/>
      </c>
      <c r="C1282" s="7">
        <f>INDEX(Bits!$E$25:$E$124,INT(B1282)+1)</f>
        <v/>
      </c>
      <c r="D1282" s="7">
        <f>MAX(1,MIN(INT(B1282/$C$4)+1,$C$5))</f>
        <v/>
      </c>
      <c r="E1282" s="26">
        <f>IF($C$5=0,0,INDEX(Symboles!$G$6:$G$101,D1282))</f>
        <v/>
      </c>
      <c r="F1282" s="26">
        <f>IF($C$5=0,0,INDEX(Symboles!$H$6:$H$101,D1282))</f>
        <v/>
      </c>
      <c r="G1282" s="26">
        <f>COS(2*PI()*$C$3*B1282)</f>
        <v/>
      </c>
      <c r="H1282" s="26">
        <f>SIN(2*PI()*$C$3*B1282)</f>
        <v/>
      </c>
      <c r="I1282" s="26">
        <f>E1282*G1282+F1282*H1282</f>
        <v/>
      </c>
    </row>
    <row r="1283">
      <c r="A1283" s="7" t="n">
        <v>1276</v>
      </c>
      <c r="B1283" s="26">
        <f>(A1283-1)/2000*$C$2</f>
        <v/>
      </c>
      <c r="C1283" s="7">
        <f>INDEX(Bits!$E$25:$E$124,INT(B1283)+1)</f>
        <v/>
      </c>
      <c r="D1283" s="7">
        <f>MAX(1,MIN(INT(B1283/$C$4)+1,$C$5))</f>
        <v/>
      </c>
      <c r="E1283" s="26">
        <f>IF($C$5=0,0,INDEX(Symboles!$G$6:$G$101,D1283))</f>
        <v/>
      </c>
      <c r="F1283" s="26">
        <f>IF($C$5=0,0,INDEX(Symboles!$H$6:$H$101,D1283))</f>
        <v/>
      </c>
      <c r="G1283" s="26">
        <f>COS(2*PI()*$C$3*B1283)</f>
        <v/>
      </c>
      <c r="H1283" s="26">
        <f>SIN(2*PI()*$C$3*B1283)</f>
        <v/>
      </c>
      <c r="I1283" s="26">
        <f>E1283*G1283+F1283*H1283</f>
        <v/>
      </c>
    </row>
    <row r="1284">
      <c r="A1284" s="7" t="n">
        <v>1277</v>
      </c>
      <c r="B1284" s="26">
        <f>(A1284-1)/2000*$C$2</f>
        <v/>
      </c>
      <c r="C1284" s="7">
        <f>INDEX(Bits!$E$25:$E$124,INT(B1284)+1)</f>
        <v/>
      </c>
      <c r="D1284" s="7">
        <f>MAX(1,MIN(INT(B1284/$C$4)+1,$C$5))</f>
        <v/>
      </c>
      <c r="E1284" s="26">
        <f>IF($C$5=0,0,INDEX(Symboles!$G$6:$G$101,D1284))</f>
        <v/>
      </c>
      <c r="F1284" s="26">
        <f>IF($C$5=0,0,INDEX(Symboles!$H$6:$H$101,D1284))</f>
        <v/>
      </c>
      <c r="G1284" s="26">
        <f>COS(2*PI()*$C$3*B1284)</f>
        <v/>
      </c>
      <c r="H1284" s="26">
        <f>SIN(2*PI()*$C$3*B1284)</f>
        <v/>
      </c>
      <c r="I1284" s="26">
        <f>E1284*G1284+F1284*H1284</f>
        <v/>
      </c>
    </row>
    <row r="1285">
      <c r="A1285" s="7" t="n">
        <v>1278</v>
      </c>
      <c r="B1285" s="26">
        <f>(A1285-1)/2000*$C$2</f>
        <v/>
      </c>
      <c r="C1285" s="7">
        <f>INDEX(Bits!$E$25:$E$124,INT(B1285)+1)</f>
        <v/>
      </c>
      <c r="D1285" s="7">
        <f>MAX(1,MIN(INT(B1285/$C$4)+1,$C$5))</f>
        <v/>
      </c>
      <c r="E1285" s="26">
        <f>IF($C$5=0,0,INDEX(Symboles!$G$6:$G$101,D1285))</f>
        <v/>
      </c>
      <c r="F1285" s="26">
        <f>IF($C$5=0,0,INDEX(Symboles!$H$6:$H$101,D1285))</f>
        <v/>
      </c>
      <c r="G1285" s="26">
        <f>COS(2*PI()*$C$3*B1285)</f>
        <v/>
      </c>
      <c r="H1285" s="26">
        <f>SIN(2*PI()*$C$3*B1285)</f>
        <v/>
      </c>
      <c r="I1285" s="26">
        <f>E1285*G1285+F1285*H1285</f>
        <v/>
      </c>
    </row>
    <row r="1286">
      <c r="A1286" s="7" t="n">
        <v>1279</v>
      </c>
      <c r="B1286" s="26">
        <f>(A1286-1)/2000*$C$2</f>
        <v/>
      </c>
      <c r="C1286" s="7">
        <f>INDEX(Bits!$E$25:$E$124,INT(B1286)+1)</f>
        <v/>
      </c>
      <c r="D1286" s="7">
        <f>MAX(1,MIN(INT(B1286/$C$4)+1,$C$5))</f>
        <v/>
      </c>
      <c r="E1286" s="26">
        <f>IF($C$5=0,0,INDEX(Symboles!$G$6:$G$101,D1286))</f>
        <v/>
      </c>
      <c r="F1286" s="26">
        <f>IF($C$5=0,0,INDEX(Symboles!$H$6:$H$101,D1286))</f>
        <v/>
      </c>
      <c r="G1286" s="26">
        <f>COS(2*PI()*$C$3*B1286)</f>
        <v/>
      </c>
      <c r="H1286" s="26">
        <f>SIN(2*PI()*$C$3*B1286)</f>
        <v/>
      </c>
      <c r="I1286" s="26">
        <f>E1286*G1286+F1286*H1286</f>
        <v/>
      </c>
    </row>
    <row r="1287">
      <c r="A1287" s="7" t="n">
        <v>1280</v>
      </c>
      <c r="B1287" s="26">
        <f>(A1287-1)/2000*$C$2</f>
        <v/>
      </c>
      <c r="C1287" s="7">
        <f>INDEX(Bits!$E$25:$E$124,INT(B1287)+1)</f>
        <v/>
      </c>
      <c r="D1287" s="7">
        <f>MAX(1,MIN(INT(B1287/$C$4)+1,$C$5))</f>
        <v/>
      </c>
      <c r="E1287" s="26">
        <f>IF($C$5=0,0,INDEX(Symboles!$G$6:$G$101,D1287))</f>
        <v/>
      </c>
      <c r="F1287" s="26">
        <f>IF($C$5=0,0,INDEX(Symboles!$H$6:$H$101,D1287))</f>
        <v/>
      </c>
      <c r="G1287" s="26">
        <f>COS(2*PI()*$C$3*B1287)</f>
        <v/>
      </c>
      <c r="H1287" s="26">
        <f>SIN(2*PI()*$C$3*B1287)</f>
        <v/>
      </c>
      <c r="I1287" s="26">
        <f>E1287*G1287+F1287*H1287</f>
        <v/>
      </c>
    </row>
    <row r="1288">
      <c r="A1288" s="7" t="n">
        <v>1281</v>
      </c>
      <c r="B1288" s="26">
        <f>(A1288-1)/2000*$C$2</f>
        <v/>
      </c>
      <c r="C1288" s="7">
        <f>INDEX(Bits!$E$25:$E$124,INT(B1288)+1)</f>
        <v/>
      </c>
      <c r="D1288" s="7">
        <f>MAX(1,MIN(INT(B1288/$C$4)+1,$C$5))</f>
        <v/>
      </c>
      <c r="E1288" s="26">
        <f>IF($C$5=0,0,INDEX(Symboles!$G$6:$G$101,D1288))</f>
        <v/>
      </c>
      <c r="F1288" s="26">
        <f>IF($C$5=0,0,INDEX(Symboles!$H$6:$H$101,D1288))</f>
        <v/>
      </c>
      <c r="G1288" s="26">
        <f>COS(2*PI()*$C$3*B1288)</f>
        <v/>
      </c>
      <c r="H1288" s="26">
        <f>SIN(2*PI()*$C$3*B1288)</f>
        <v/>
      </c>
      <c r="I1288" s="26">
        <f>E1288*G1288+F1288*H1288</f>
        <v/>
      </c>
    </row>
    <row r="1289">
      <c r="A1289" s="7" t="n">
        <v>1282</v>
      </c>
      <c r="B1289" s="26">
        <f>(A1289-1)/2000*$C$2</f>
        <v/>
      </c>
      <c r="C1289" s="7">
        <f>INDEX(Bits!$E$25:$E$124,INT(B1289)+1)</f>
        <v/>
      </c>
      <c r="D1289" s="7">
        <f>MAX(1,MIN(INT(B1289/$C$4)+1,$C$5))</f>
        <v/>
      </c>
      <c r="E1289" s="26">
        <f>IF($C$5=0,0,INDEX(Symboles!$G$6:$G$101,D1289))</f>
        <v/>
      </c>
      <c r="F1289" s="26">
        <f>IF($C$5=0,0,INDEX(Symboles!$H$6:$H$101,D1289))</f>
        <v/>
      </c>
      <c r="G1289" s="26">
        <f>COS(2*PI()*$C$3*B1289)</f>
        <v/>
      </c>
      <c r="H1289" s="26">
        <f>SIN(2*PI()*$C$3*B1289)</f>
        <v/>
      </c>
      <c r="I1289" s="26">
        <f>E1289*G1289+F1289*H1289</f>
        <v/>
      </c>
    </row>
    <row r="1290">
      <c r="A1290" s="7" t="n">
        <v>1283</v>
      </c>
      <c r="B1290" s="26">
        <f>(A1290-1)/2000*$C$2</f>
        <v/>
      </c>
      <c r="C1290" s="7">
        <f>INDEX(Bits!$E$25:$E$124,INT(B1290)+1)</f>
        <v/>
      </c>
      <c r="D1290" s="7">
        <f>MAX(1,MIN(INT(B1290/$C$4)+1,$C$5))</f>
        <v/>
      </c>
      <c r="E1290" s="26">
        <f>IF($C$5=0,0,INDEX(Symboles!$G$6:$G$101,D1290))</f>
        <v/>
      </c>
      <c r="F1290" s="26">
        <f>IF($C$5=0,0,INDEX(Symboles!$H$6:$H$101,D1290))</f>
        <v/>
      </c>
      <c r="G1290" s="26">
        <f>COS(2*PI()*$C$3*B1290)</f>
        <v/>
      </c>
      <c r="H1290" s="26">
        <f>SIN(2*PI()*$C$3*B1290)</f>
        <v/>
      </c>
      <c r="I1290" s="26">
        <f>E1290*G1290+F1290*H1290</f>
        <v/>
      </c>
    </row>
    <row r="1291">
      <c r="A1291" s="7" t="n">
        <v>1284</v>
      </c>
      <c r="B1291" s="26">
        <f>(A1291-1)/2000*$C$2</f>
        <v/>
      </c>
      <c r="C1291" s="7">
        <f>INDEX(Bits!$E$25:$E$124,INT(B1291)+1)</f>
        <v/>
      </c>
      <c r="D1291" s="7">
        <f>MAX(1,MIN(INT(B1291/$C$4)+1,$C$5))</f>
        <v/>
      </c>
      <c r="E1291" s="26">
        <f>IF($C$5=0,0,INDEX(Symboles!$G$6:$G$101,D1291))</f>
        <v/>
      </c>
      <c r="F1291" s="26">
        <f>IF($C$5=0,0,INDEX(Symboles!$H$6:$H$101,D1291))</f>
        <v/>
      </c>
      <c r="G1291" s="26">
        <f>COS(2*PI()*$C$3*B1291)</f>
        <v/>
      </c>
      <c r="H1291" s="26">
        <f>SIN(2*PI()*$C$3*B1291)</f>
        <v/>
      </c>
      <c r="I1291" s="26">
        <f>E1291*G1291+F1291*H1291</f>
        <v/>
      </c>
    </row>
    <row r="1292">
      <c r="A1292" s="7" t="n">
        <v>1285</v>
      </c>
      <c r="B1292" s="26">
        <f>(A1292-1)/2000*$C$2</f>
        <v/>
      </c>
      <c r="C1292" s="7">
        <f>INDEX(Bits!$E$25:$E$124,INT(B1292)+1)</f>
        <v/>
      </c>
      <c r="D1292" s="7">
        <f>MAX(1,MIN(INT(B1292/$C$4)+1,$C$5))</f>
        <v/>
      </c>
      <c r="E1292" s="26">
        <f>IF($C$5=0,0,INDEX(Symboles!$G$6:$G$101,D1292))</f>
        <v/>
      </c>
      <c r="F1292" s="26">
        <f>IF($C$5=0,0,INDEX(Symboles!$H$6:$H$101,D1292))</f>
        <v/>
      </c>
      <c r="G1292" s="26">
        <f>COS(2*PI()*$C$3*B1292)</f>
        <v/>
      </c>
      <c r="H1292" s="26">
        <f>SIN(2*PI()*$C$3*B1292)</f>
        <v/>
      </c>
      <c r="I1292" s="26">
        <f>E1292*G1292+F1292*H1292</f>
        <v/>
      </c>
    </row>
    <row r="1293">
      <c r="A1293" s="7" t="n">
        <v>1286</v>
      </c>
      <c r="B1293" s="26">
        <f>(A1293-1)/2000*$C$2</f>
        <v/>
      </c>
      <c r="C1293" s="7">
        <f>INDEX(Bits!$E$25:$E$124,INT(B1293)+1)</f>
        <v/>
      </c>
      <c r="D1293" s="7">
        <f>MAX(1,MIN(INT(B1293/$C$4)+1,$C$5))</f>
        <v/>
      </c>
      <c r="E1293" s="26">
        <f>IF($C$5=0,0,INDEX(Symboles!$G$6:$G$101,D1293))</f>
        <v/>
      </c>
      <c r="F1293" s="26">
        <f>IF($C$5=0,0,INDEX(Symboles!$H$6:$H$101,D1293))</f>
        <v/>
      </c>
      <c r="G1293" s="26">
        <f>COS(2*PI()*$C$3*B1293)</f>
        <v/>
      </c>
      <c r="H1293" s="26">
        <f>SIN(2*PI()*$C$3*B1293)</f>
        <v/>
      </c>
      <c r="I1293" s="26">
        <f>E1293*G1293+F1293*H1293</f>
        <v/>
      </c>
    </row>
    <row r="1294">
      <c r="A1294" s="7" t="n">
        <v>1287</v>
      </c>
      <c r="B1294" s="26">
        <f>(A1294-1)/2000*$C$2</f>
        <v/>
      </c>
      <c r="C1294" s="7">
        <f>INDEX(Bits!$E$25:$E$124,INT(B1294)+1)</f>
        <v/>
      </c>
      <c r="D1294" s="7">
        <f>MAX(1,MIN(INT(B1294/$C$4)+1,$C$5))</f>
        <v/>
      </c>
      <c r="E1294" s="26">
        <f>IF($C$5=0,0,INDEX(Symboles!$G$6:$G$101,D1294))</f>
        <v/>
      </c>
      <c r="F1294" s="26">
        <f>IF($C$5=0,0,INDEX(Symboles!$H$6:$H$101,D1294))</f>
        <v/>
      </c>
      <c r="G1294" s="26">
        <f>COS(2*PI()*$C$3*B1294)</f>
        <v/>
      </c>
      <c r="H1294" s="26">
        <f>SIN(2*PI()*$C$3*B1294)</f>
        <v/>
      </c>
      <c r="I1294" s="26">
        <f>E1294*G1294+F1294*H1294</f>
        <v/>
      </c>
    </row>
    <row r="1295">
      <c r="A1295" s="7" t="n">
        <v>1288</v>
      </c>
      <c r="B1295" s="26">
        <f>(A1295-1)/2000*$C$2</f>
        <v/>
      </c>
      <c r="C1295" s="7">
        <f>INDEX(Bits!$E$25:$E$124,INT(B1295)+1)</f>
        <v/>
      </c>
      <c r="D1295" s="7">
        <f>MAX(1,MIN(INT(B1295/$C$4)+1,$C$5))</f>
        <v/>
      </c>
      <c r="E1295" s="26">
        <f>IF($C$5=0,0,INDEX(Symboles!$G$6:$G$101,D1295))</f>
        <v/>
      </c>
      <c r="F1295" s="26">
        <f>IF($C$5=0,0,INDEX(Symboles!$H$6:$H$101,D1295))</f>
        <v/>
      </c>
      <c r="G1295" s="26">
        <f>COS(2*PI()*$C$3*B1295)</f>
        <v/>
      </c>
      <c r="H1295" s="26">
        <f>SIN(2*PI()*$C$3*B1295)</f>
        <v/>
      </c>
      <c r="I1295" s="26">
        <f>E1295*G1295+F1295*H1295</f>
        <v/>
      </c>
    </row>
    <row r="1296">
      <c r="A1296" s="7" t="n">
        <v>1289</v>
      </c>
      <c r="B1296" s="26">
        <f>(A1296-1)/2000*$C$2</f>
        <v/>
      </c>
      <c r="C1296" s="7">
        <f>INDEX(Bits!$E$25:$E$124,INT(B1296)+1)</f>
        <v/>
      </c>
      <c r="D1296" s="7">
        <f>MAX(1,MIN(INT(B1296/$C$4)+1,$C$5))</f>
        <v/>
      </c>
      <c r="E1296" s="26">
        <f>IF($C$5=0,0,INDEX(Symboles!$G$6:$G$101,D1296))</f>
        <v/>
      </c>
      <c r="F1296" s="26">
        <f>IF($C$5=0,0,INDEX(Symboles!$H$6:$H$101,D1296))</f>
        <v/>
      </c>
      <c r="G1296" s="26">
        <f>COS(2*PI()*$C$3*B1296)</f>
        <v/>
      </c>
      <c r="H1296" s="26">
        <f>SIN(2*PI()*$C$3*B1296)</f>
        <v/>
      </c>
      <c r="I1296" s="26">
        <f>E1296*G1296+F1296*H1296</f>
        <v/>
      </c>
    </row>
    <row r="1297">
      <c r="A1297" s="7" t="n">
        <v>1290</v>
      </c>
      <c r="B1297" s="26">
        <f>(A1297-1)/2000*$C$2</f>
        <v/>
      </c>
      <c r="C1297" s="7">
        <f>INDEX(Bits!$E$25:$E$124,INT(B1297)+1)</f>
        <v/>
      </c>
      <c r="D1297" s="7">
        <f>MAX(1,MIN(INT(B1297/$C$4)+1,$C$5))</f>
        <v/>
      </c>
      <c r="E1297" s="26">
        <f>IF($C$5=0,0,INDEX(Symboles!$G$6:$G$101,D1297))</f>
        <v/>
      </c>
      <c r="F1297" s="26">
        <f>IF($C$5=0,0,INDEX(Symboles!$H$6:$H$101,D1297))</f>
        <v/>
      </c>
      <c r="G1297" s="26">
        <f>COS(2*PI()*$C$3*B1297)</f>
        <v/>
      </c>
      <c r="H1297" s="26">
        <f>SIN(2*PI()*$C$3*B1297)</f>
        <v/>
      </c>
      <c r="I1297" s="26">
        <f>E1297*G1297+F1297*H1297</f>
        <v/>
      </c>
    </row>
    <row r="1298">
      <c r="A1298" s="7" t="n">
        <v>1291</v>
      </c>
      <c r="B1298" s="26">
        <f>(A1298-1)/2000*$C$2</f>
        <v/>
      </c>
      <c r="C1298" s="7">
        <f>INDEX(Bits!$E$25:$E$124,INT(B1298)+1)</f>
        <v/>
      </c>
      <c r="D1298" s="7">
        <f>MAX(1,MIN(INT(B1298/$C$4)+1,$C$5))</f>
        <v/>
      </c>
      <c r="E1298" s="26">
        <f>IF($C$5=0,0,INDEX(Symboles!$G$6:$G$101,D1298))</f>
        <v/>
      </c>
      <c r="F1298" s="26">
        <f>IF($C$5=0,0,INDEX(Symboles!$H$6:$H$101,D1298))</f>
        <v/>
      </c>
      <c r="G1298" s="26">
        <f>COS(2*PI()*$C$3*B1298)</f>
        <v/>
      </c>
      <c r="H1298" s="26">
        <f>SIN(2*PI()*$C$3*B1298)</f>
        <v/>
      </c>
      <c r="I1298" s="26">
        <f>E1298*G1298+F1298*H1298</f>
        <v/>
      </c>
    </row>
    <row r="1299">
      <c r="A1299" s="7" t="n">
        <v>1292</v>
      </c>
      <c r="B1299" s="26">
        <f>(A1299-1)/2000*$C$2</f>
        <v/>
      </c>
      <c r="C1299" s="7">
        <f>INDEX(Bits!$E$25:$E$124,INT(B1299)+1)</f>
        <v/>
      </c>
      <c r="D1299" s="7">
        <f>MAX(1,MIN(INT(B1299/$C$4)+1,$C$5))</f>
        <v/>
      </c>
      <c r="E1299" s="26">
        <f>IF($C$5=0,0,INDEX(Symboles!$G$6:$G$101,D1299))</f>
        <v/>
      </c>
      <c r="F1299" s="26">
        <f>IF($C$5=0,0,INDEX(Symboles!$H$6:$H$101,D1299))</f>
        <v/>
      </c>
      <c r="G1299" s="26">
        <f>COS(2*PI()*$C$3*B1299)</f>
        <v/>
      </c>
      <c r="H1299" s="26">
        <f>SIN(2*PI()*$C$3*B1299)</f>
        <v/>
      </c>
      <c r="I1299" s="26">
        <f>E1299*G1299+F1299*H1299</f>
        <v/>
      </c>
    </row>
    <row r="1300">
      <c r="A1300" s="7" t="n">
        <v>1293</v>
      </c>
      <c r="B1300" s="26">
        <f>(A1300-1)/2000*$C$2</f>
        <v/>
      </c>
      <c r="C1300" s="7">
        <f>INDEX(Bits!$E$25:$E$124,INT(B1300)+1)</f>
        <v/>
      </c>
      <c r="D1300" s="7">
        <f>MAX(1,MIN(INT(B1300/$C$4)+1,$C$5))</f>
        <v/>
      </c>
      <c r="E1300" s="26">
        <f>IF($C$5=0,0,INDEX(Symboles!$G$6:$G$101,D1300))</f>
        <v/>
      </c>
      <c r="F1300" s="26">
        <f>IF($C$5=0,0,INDEX(Symboles!$H$6:$H$101,D1300))</f>
        <v/>
      </c>
      <c r="G1300" s="26">
        <f>COS(2*PI()*$C$3*B1300)</f>
        <v/>
      </c>
      <c r="H1300" s="26">
        <f>SIN(2*PI()*$C$3*B1300)</f>
        <v/>
      </c>
      <c r="I1300" s="26">
        <f>E1300*G1300+F1300*H1300</f>
        <v/>
      </c>
    </row>
    <row r="1301">
      <c r="A1301" s="7" t="n">
        <v>1294</v>
      </c>
      <c r="B1301" s="26">
        <f>(A1301-1)/2000*$C$2</f>
        <v/>
      </c>
      <c r="C1301" s="7">
        <f>INDEX(Bits!$E$25:$E$124,INT(B1301)+1)</f>
        <v/>
      </c>
      <c r="D1301" s="7">
        <f>MAX(1,MIN(INT(B1301/$C$4)+1,$C$5))</f>
        <v/>
      </c>
      <c r="E1301" s="26">
        <f>IF($C$5=0,0,INDEX(Symboles!$G$6:$G$101,D1301))</f>
        <v/>
      </c>
      <c r="F1301" s="26">
        <f>IF($C$5=0,0,INDEX(Symboles!$H$6:$H$101,D1301))</f>
        <v/>
      </c>
      <c r="G1301" s="26">
        <f>COS(2*PI()*$C$3*B1301)</f>
        <v/>
      </c>
      <c r="H1301" s="26">
        <f>SIN(2*PI()*$C$3*B1301)</f>
        <v/>
      </c>
      <c r="I1301" s="26">
        <f>E1301*G1301+F1301*H1301</f>
        <v/>
      </c>
    </row>
    <row r="1302">
      <c r="A1302" s="7" t="n">
        <v>1295</v>
      </c>
      <c r="B1302" s="26">
        <f>(A1302-1)/2000*$C$2</f>
        <v/>
      </c>
      <c r="C1302" s="7">
        <f>INDEX(Bits!$E$25:$E$124,INT(B1302)+1)</f>
        <v/>
      </c>
      <c r="D1302" s="7">
        <f>MAX(1,MIN(INT(B1302/$C$4)+1,$C$5))</f>
        <v/>
      </c>
      <c r="E1302" s="26">
        <f>IF($C$5=0,0,INDEX(Symboles!$G$6:$G$101,D1302))</f>
        <v/>
      </c>
      <c r="F1302" s="26">
        <f>IF($C$5=0,0,INDEX(Symboles!$H$6:$H$101,D1302))</f>
        <v/>
      </c>
      <c r="G1302" s="26">
        <f>COS(2*PI()*$C$3*B1302)</f>
        <v/>
      </c>
      <c r="H1302" s="26">
        <f>SIN(2*PI()*$C$3*B1302)</f>
        <v/>
      </c>
      <c r="I1302" s="26">
        <f>E1302*G1302+F1302*H1302</f>
        <v/>
      </c>
    </row>
    <row r="1303">
      <c r="A1303" s="7" t="n">
        <v>1296</v>
      </c>
      <c r="B1303" s="26">
        <f>(A1303-1)/2000*$C$2</f>
        <v/>
      </c>
      <c r="C1303" s="7">
        <f>INDEX(Bits!$E$25:$E$124,INT(B1303)+1)</f>
        <v/>
      </c>
      <c r="D1303" s="7">
        <f>MAX(1,MIN(INT(B1303/$C$4)+1,$C$5))</f>
        <v/>
      </c>
      <c r="E1303" s="26">
        <f>IF($C$5=0,0,INDEX(Symboles!$G$6:$G$101,D1303))</f>
        <v/>
      </c>
      <c r="F1303" s="26">
        <f>IF($C$5=0,0,INDEX(Symboles!$H$6:$H$101,D1303))</f>
        <v/>
      </c>
      <c r="G1303" s="26">
        <f>COS(2*PI()*$C$3*B1303)</f>
        <v/>
      </c>
      <c r="H1303" s="26">
        <f>SIN(2*PI()*$C$3*B1303)</f>
        <v/>
      </c>
      <c r="I1303" s="26">
        <f>E1303*G1303+F1303*H1303</f>
        <v/>
      </c>
    </row>
    <row r="1304">
      <c r="A1304" s="7" t="n">
        <v>1297</v>
      </c>
      <c r="B1304" s="26">
        <f>(A1304-1)/2000*$C$2</f>
        <v/>
      </c>
      <c r="C1304" s="7">
        <f>INDEX(Bits!$E$25:$E$124,INT(B1304)+1)</f>
        <v/>
      </c>
      <c r="D1304" s="7">
        <f>MAX(1,MIN(INT(B1304/$C$4)+1,$C$5))</f>
        <v/>
      </c>
      <c r="E1304" s="26">
        <f>IF($C$5=0,0,INDEX(Symboles!$G$6:$G$101,D1304))</f>
        <v/>
      </c>
      <c r="F1304" s="26">
        <f>IF($C$5=0,0,INDEX(Symboles!$H$6:$H$101,D1304))</f>
        <v/>
      </c>
      <c r="G1304" s="26">
        <f>COS(2*PI()*$C$3*B1304)</f>
        <v/>
      </c>
      <c r="H1304" s="26">
        <f>SIN(2*PI()*$C$3*B1304)</f>
        <v/>
      </c>
      <c r="I1304" s="26">
        <f>E1304*G1304+F1304*H1304</f>
        <v/>
      </c>
    </row>
    <row r="1305">
      <c r="A1305" s="7" t="n">
        <v>1298</v>
      </c>
      <c r="B1305" s="26">
        <f>(A1305-1)/2000*$C$2</f>
        <v/>
      </c>
      <c r="C1305" s="7">
        <f>INDEX(Bits!$E$25:$E$124,INT(B1305)+1)</f>
        <v/>
      </c>
      <c r="D1305" s="7">
        <f>MAX(1,MIN(INT(B1305/$C$4)+1,$C$5))</f>
        <v/>
      </c>
      <c r="E1305" s="26">
        <f>IF($C$5=0,0,INDEX(Symboles!$G$6:$G$101,D1305))</f>
        <v/>
      </c>
      <c r="F1305" s="26">
        <f>IF($C$5=0,0,INDEX(Symboles!$H$6:$H$101,D1305))</f>
        <v/>
      </c>
      <c r="G1305" s="26">
        <f>COS(2*PI()*$C$3*B1305)</f>
        <v/>
      </c>
      <c r="H1305" s="26">
        <f>SIN(2*PI()*$C$3*B1305)</f>
        <v/>
      </c>
      <c r="I1305" s="26">
        <f>E1305*G1305+F1305*H1305</f>
        <v/>
      </c>
    </row>
    <row r="1306">
      <c r="A1306" s="7" t="n">
        <v>1299</v>
      </c>
      <c r="B1306" s="26">
        <f>(A1306-1)/2000*$C$2</f>
        <v/>
      </c>
      <c r="C1306" s="7">
        <f>INDEX(Bits!$E$25:$E$124,INT(B1306)+1)</f>
        <v/>
      </c>
      <c r="D1306" s="7">
        <f>MAX(1,MIN(INT(B1306/$C$4)+1,$C$5))</f>
        <v/>
      </c>
      <c r="E1306" s="26">
        <f>IF($C$5=0,0,INDEX(Symboles!$G$6:$G$101,D1306))</f>
        <v/>
      </c>
      <c r="F1306" s="26">
        <f>IF($C$5=0,0,INDEX(Symboles!$H$6:$H$101,D1306))</f>
        <v/>
      </c>
      <c r="G1306" s="26">
        <f>COS(2*PI()*$C$3*B1306)</f>
        <v/>
      </c>
      <c r="H1306" s="26">
        <f>SIN(2*PI()*$C$3*B1306)</f>
        <v/>
      </c>
      <c r="I1306" s="26">
        <f>E1306*G1306+F1306*H1306</f>
        <v/>
      </c>
    </row>
    <row r="1307">
      <c r="A1307" s="7" t="n">
        <v>1300</v>
      </c>
      <c r="B1307" s="26">
        <f>(A1307-1)/2000*$C$2</f>
        <v/>
      </c>
      <c r="C1307" s="7">
        <f>INDEX(Bits!$E$25:$E$124,INT(B1307)+1)</f>
        <v/>
      </c>
      <c r="D1307" s="7">
        <f>MAX(1,MIN(INT(B1307/$C$4)+1,$C$5))</f>
        <v/>
      </c>
      <c r="E1307" s="26">
        <f>IF($C$5=0,0,INDEX(Symboles!$G$6:$G$101,D1307))</f>
        <v/>
      </c>
      <c r="F1307" s="26">
        <f>IF($C$5=0,0,INDEX(Symboles!$H$6:$H$101,D1307))</f>
        <v/>
      </c>
      <c r="G1307" s="26">
        <f>COS(2*PI()*$C$3*B1307)</f>
        <v/>
      </c>
      <c r="H1307" s="26">
        <f>SIN(2*PI()*$C$3*B1307)</f>
        <v/>
      </c>
      <c r="I1307" s="26">
        <f>E1307*G1307+F1307*H1307</f>
        <v/>
      </c>
    </row>
    <row r="1308">
      <c r="A1308" s="7" t="n">
        <v>1301</v>
      </c>
      <c r="B1308" s="26">
        <f>(A1308-1)/2000*$C$2</f>
        <v/>
      </c>
      <c r="C1308" s="7">
        <f>INDEX(Bits!$E$25:$E$124,INT(B1308)+1)</f>
        <v/>
      </c>
      <c r="D1308" s="7">
        <f>MAX(1,MIN(INT(B1308/$C$4)+1,$C$5))</f>
        <v/>
      </c>
      <c r="E1308" s="26">
        <f>IF($C$5=0,0,INDEX(Symboles!$G$6:$G$101,D1308))</f>
        <v/>
      </c>
      <c r="F1308" s="26">
        <f>IF($C$5=0,0,INDEX(Symboles!$H$6:$H$101,D1308))</f>
        <v/>
      </c>
      <c r="G1308" s="26">
        <f>COS(2*PI()*$C$3*B1308)</f>
        <v/>
      </c>
      <c r="H1308" s="26">
        <f>SIN(2*PI()*$C$3*B1308)</f>
        <v/>
      </c>
      <c r="I1308" s="26">
        <f>E1308*G1308+F1308*H1308</f>
        <v/>
      </c>
    </row>
    <row r="1309">
      <c r="A1309" s="7" t="n">
        <v>1302</v>
      </c>
      <c r="B1309" s="26">
        <f>(A1309-1)/2000*$C$2</f>
        <v/>
      </c>
      <c r="C1309" s="7">
        <f>INDEX(Bits!$E$25:$E$124,INT(B1309)+1)</f>
        <v/>
      </c>
      <c r="D1309" s="7">
        <f>MAX(1,MIN(INT(B1309/$C$4)+1,$C$5))</f>
        <v/>
      </c>
      <c r="E1309" s="26">
        <f>IF($C$5=0,0,INDEX(Symboles!$G$6:$G$101,D1309))</f>
        <v/>
      </c>
      <c r="F1309" s="26">
        <f>IF($C$5=0,0,INDEX(Symboles!$H$6:$H$101,D1309))</f>
        <v/>
      </c>
      <c r="G1309" s="26">
        <f>COS(2*PI()*$C$3*B1309)</f>
        <v/>
      </c>
      <c r="H1309" s="26">
        <f>SIN(2*PI()*$C$3*B1309)</f>
        <v/>
      </c>
      <c r="I1309" s="26">
        <f>E1309*G1309+F1309*H1309</f>
        <v/>
      </c>
    </row>
    <row r="1310">
      <c r="A1310" s="7" t="n">
        <v>1303</v>
      </c>
      <c r="B1310" s="26">
        <f>(A1310-1)/2000*$C$2</f>
        <v/>
      </c>
      <c r="C1310" s="7">
        <f>INDEX(Bits!$E$25:$E$124,INT(B1310)+1)</f>
        <v/>
      </c>
      <c r="D1310" s="7">
        <f>MAX(1,MIN(INT(B1310/$C$4)+1,$C$5))</f>
        <v/>
      </c>
      <c r="E1310" s="26">
        <f>IF($C$5=0,0,INDEX(Symboles!$G$6:$G$101,D1310))</f>
        <v/>
      </c>
      <c r="F1310" s="26">
        <f>IF($C$5=0,0,INDEX(Symboles!$H$6:$H$101,D1310))</f>
        <v/>
      </c>
      <c r="G1310" s="26">
        <f>COS(2*PI()*$C$3*B1310)</f>
        <v/>
      </c>
      <c r="H1310" s="26">
        <f>SIN(2*PI()*$C$3*B1310)</f>
        <v/>
      </c>
      <c r="I1310" s="26">
        <f>E1310*G1310+F1310*H1310</f>
        <v/>
      </c>
    </row>
    <row r="1311">
      <c r="A1311" s="7" t="n">
        <v>1304</v>
      </c>
      <c r="B1311" s="26">
        <f>(A1311-1)/2000*$C$2</f>
        <v/>
      </c>
      <c r="C1311" s="7">
        <f>INDEX(Bits!$E$25:$E$124,INT(B1311)+1)</f>
        <v/>
      </c>
      <c r="D1311" s="7">
        <f>MAX(1,MIN(INT(B1311/$C$4)+1,$C$5))</f>
        <v/>
      </c>
      <c r="E1311" s="26">
        <f>IF($C$5=0,0,INDEX(Symboles!$G$6:$G$101,D1311))</f>
        <v/>
      </c>
      <c r="F1311" s="26">
        <f>IF($C$5=0,0,INDEX(Symboles!$H$6:$H$101,D1311))</f>
        <v/>
      </c>
      <c r="G1311" s="26">
        <f>COS(2*PI()*$C$3*B1311)</f>
        <v/>
      </c>
      <c r="H1311" s="26">
        <f>SIN(2*PI()*$C$3*B1311)</f>
        <v/>
      </c>
      <c r="I1311" s="26">
        <f>E1311*G1311+F1311*H1311</f>
        <v/>
      </c>
    </row>
    <row r="1312">
      <c r="A1312" s="7" t="n">
        <v>1305</v>
      </c>
      <c r="B1312" s="26">
        <f>(A1312-1)/2000*$C$2</f>
        <v/>
      </c>
      <c r="C1312" s="7">
        <f>INDEX(Bits!$E$25:$E$124,INT(B1312)+1)</f>
        <v/>
      </c>
      <c r="D1312" s="7">
        <f>MAX(1,MIN(INT(B1312/$C$4)+1,$C$5))</f>
        <v/>
      </c>
      <c r="E1312" s="26">
        <f>IF($C$5=0,0,INDEX(Symboles!$G$6:$G$101,D1312))</f>
        <v/>
      </c>
      <c r="F1312" s="26">
        <f>IF($C$5=0,0,INDEX(Symboles!$H$6:$H$101,D1312))</f>
        <v/>
      </c>
      <c r="G1312" s="26">
        <f>COS(2*PI()*$C$3*B1312)</f>
        <v/>
      </c>
      <c r="H1312" s="26">
        <f>SIN(2*PI()*$C$3*B1312)</f>
        <v/>
      </c>
      <c r="I1312" s="26">
        <f>E1312*G1312+F1312*H1312</f>
        <v/>
      </c>
    </row>
    <row r="1313">
      <c r="A1313" s="7" t="n">
        <v>1306</v>
      </c>
      <c r="B1313" s="26">
        <f>(A1313-1)/2000*$C$2</f>
        <v/>
      </c>
      <c r="C1313" s="7">
        <f>INDEX(Bits!$E$25:$E$124,INT(B1313)+1)</f>
        <v/>
      </c>
      <c r="D1313" s="7">
        <f>MAX(1,MIN(INT(B1313/$C$4)+1,$C$5))</f>
        <v/>
      </c>
      <c r="E1313" s="26">
        <f>IF($C$5=0,0,INDEX(Symboles!$G$6:$G$101,D1313))</f>
        <v/>
      </c>
      <c r="F1313" s="26">
        <f>IF($C$5=0,0,INDEX(Symboles!$H$6:$H$101,D1313))</f>
        <v/>
      </c>
      <c r="G1313" s="26">
        <f>COS(2*PI()*$C$3*B1313)</f>
        <v/>
      </c>
      <c r="H1313" s="26">
        <f>SIN(2*PI()*$C$3*B1313)</f>
        <v/>
      </c>
      <c r="I1313" s="26">
        <f>E1313*G1313+F1313*H1313</f>
        <v/>
      </c>
    </row>
    <row r="1314">
      <c r="A1314" s="7" t="n">
        <v>1307</v>
      </c>
      <c r="B1314" s="26">
        <f>(A1314-1)/2000*$C$2</f>
        <v/>
      </c>
      <c r="C1314" s="7">
        <f>INDEX(Bits!$E$25:$E$124,INT(B1314)+1)</f>
        <v/>
      </c>
      <c r="D1314" s="7">
        <f>MAX(1,MIN(INT(B1314/$C$4)+1,$C$5))</f>
        <v/>
      </c>
      <c r="E1314" s="26">
        <f>IF($C$5=0,0,INDEX(Symboles!$G$6:$G$101,D1314))</f>
        <v/>
      </c>
      <c r="F1314" s="26">
        <f>IF($C$5=0,0,INDEX(Symboles!$H$6:$H$101,D1314))</f>
        <v/>
      </c>
      <c r="G1314" s="26">
        <f>COS(2*PI()*$C$3*B1314)</f>
        <v/>
      </c>
      <c r="H1314" s="26">
        <f>SIN(2*PI()*$C$3*B1314)</f>
        <v/>
      </c>
      <c r="I1314" s="26">
        <f>E1314*G1314+F1314*H1314</f>
        <v/>
      </c>
    </row>
    <row r="1315">
      <c r="A1315" s="7" t="n">
        <v>1308</v>
      </c>
      <c r="B1315" s="26">
        <f>(A1315-1)/2000*$C$2</f>
        <v/>
      </c>
      <c r="C1315" s="7">
        <f>INDEX(Bits!$E$25:$E$124,INT(B1315)+1)</f>
        <v/>
      </c>
      <c r="D1315" s="7">
        <f>MAX(1,MIN(INT(B1315/$C$4)+1,$C$5))</f>
        <v/>
      </c>
      <c r="E1315" s="26">
        <f>IF($C$5=0,0,INDEX(Symboles!$G$6:$G$101,D1315))</f>
        <v/>
      </c>
      <c r="F1315" s="26">
        <f>IF($C$5=0,0,INDEX(Symboles!$H$6:$H$101,D1315))</f>
        <v/>
      </c>
      <c r="G1315" s="26">
        <f>COS(2*PI()*$C$3*B1315)</f>
        <v/>
      </c>
      <c r="H1315" s="26">
        <f>SIN(2*PI()*$C$3*B1315)</f>
        <v/>
      </c>
      <c r="I1315" s="26">
        <f>E1315*G1315+F1315*H1315</f>
        <v/>
      </c>
    </row>
    <row r="1316">
      <c r="A1316" s="7" t="n">
        <v>1309</v>
      </c>
      <c r="B1316" s="26">
        <f>(A1316-1)/2000*$C$2</f>
        <v/>
      </c>
      <c r="C1316" s="7">
        <f>INDEX(Bits!$E$25:$E$124,INT(B1316)+1)</f>
        <v/>
      </c>
      <c r="D1316" s="7">
        <f>MAX(1,MIN(INT(B1316/$C$4)+1,$C$5))</f>
        <v/>
      </c>
      <c r="E1316" s="26">
        <f>IF($C$5=0,0,INDEX(Symboles!$G$6:$G$101,D1316))</f>
        <v/>
      </c>
      <c r="F1316" s="26">
        <f>IF($C$5=0,0,INDEX(Symboles!$H$6:$H$101,D1316))</f>
        <v/>
      </c>
      <c r="G1316" s="26">
        <f>COS(2*PI()*$C$3*B1316)</f>
        <v/>
      </c>
      <c r="H1316" s="26">
        <f>SIN(2*PI()*$C$3*B1316)</f>
        <v/>
      </c>
      <c r="I1316" s="26">
        <f>E1316*G1316+F1316*H1316</f>
        <v/>
      </c>
    </row>
    <row r="1317">
      <c r="A1317" s="7" t="n">
        <v>1310</v>
      </c>
      <c r="B1317" s="26">
        <f>(A1317-1)/2000*$C$2</f>
        <v/>
      </c>
      <c r="C1317" s="7">
        <f>INDEX(Bits!$E$25:$E$124,INT(B1317)+1)</f>
        <v/>
      </c>
      <c r="D1317" s="7">
        <f>MAX(1,MIN(INT(B1317/$C$4)+1,$C$5))</f>
        <v/>
      </c>
      <c r="E1317" s="26">
        <f>IF($C$5=0,0,INDEX(Symboles!$G$6:$G$101,D1317))</f>
        <v/>
      </c>
      <c r="F1317" s="26">
        <f>IF($C$5=0,0,INDEX(Symboles!$H$6:$H$101,D1317))</f>
        <v/>
      </c>
      <c r="G1317" s="26">
        <f>COS(2*PI()*$C$3*B1317)</f>
        <v/>
      </c>
      <c r="H1317" s="26">
        <f>SIN(2*PI()*$C$3*B1317)</f>
        <v/>
      </c>
      <c r="I1317" s="26">
        <f>E1317*G1317+F1317*H1317</f>
        <v/>
      </c>
    </row>
    <row r="1318">
      <c r="A1318" s="7" t="n">
        <v>1311</v>
      </c>
      <c r="B1318" s="26">
        <f>(A1318-1)/2000*$C$2</f>
        <v/>
      </c>
      <c r="C1318" s="7">
        <f>INDEX(Bits!$E$25:$E$124,INT(B1318)+1)</f>
        <v/>
      </c>
      <c r="D1318" s="7">
        <f>MAX(1,MIN(INT(B1318/$C$4)+1,$C$5))</f>
        <v/>
      </c>
      <c r="E1318" s="26">
        <f>IF($C$5=0,0,INDEX(Symboles!$G$6:$G$101,D1318))</f>
        <v/>
      </c>
      <c r="F1318" s="26">
        <f>IF($C$5=0,0,INDEX(Symboles!$H$6:$H$101,D1318))</f>
        <v/>
      </c>
      <c r="G1318" s="26">
        <f>COS(2*PI()*$C$3*B1318)</f>
        <v/>
      </c>
      <c r="H1318" s="26">
        <f>SIN(2*PI()*$C$3*B1318)</f>
        <v/>
      </c>
      <c r="I1318" s="26">
        <f>E1318*G1318+F1318*H1318</f>
        <v/>
      </c>
    </row>
    <row r="1319">
      <c r="A1319" s="7" t="n">
        <v>1312</v>
      </c>
      <c r="B1319" s="26">
        <f>(A1319-1)/2000*$C$2</f>
        <v/>
      </c>
      <c r="C1319" s="7">
        <f>INDEX(Bits!$E$25:$E$124,INT(B1319)+1)</f>
        <v/>
      </c>
      <c r="D1319" s="7">
        <f>MAX(1,MIN(INT(B1319/$C$4)+1,$C$5))</f>
        <v/>
      </c>
      <c r="E1319" s="26">
        <f>IF($C$5=0,0,INDEX(Symboles!$G$6:$G$101,D1319))</f>
        <v/>
      </c>
      <c r="F1319" s="26">
        <f>IF($C$5=0,0,INDEX(Symboles!$H$6:$H$101,D1319))</f>
        <v/>
      </c>
      <c r="G1319" s="26">
        <f>COS(2*PI()*$C$3*B1319)</f>
        <v/>
      </c>
      <c r="H1319" s="26">
        <f>SIN(2*PI()*$C$3*B1319)</f>
        <v/>
      </c>
      <c r="I1319" s="26">
        <f>E1319*G1319+F1319*H1319</f>
        <v/>
      </c>
    </row>
    <row r="1320">
      <c r="A1320" s="7" t="n">
        <v>1313</v>
      </c>
      <c r="B1320" s="26">
        <f>(A1320-1)/2000*$C$2</f>
        <v/>
      </c>
      <c r="C1320" s="7">
        <f>INDEX(Bits!$E$25:$E$124,INT(B1320)+1)</f>
        <v/>
      </c>
      <c r="D1320" s="7">
        <f>MAX(1,MIN(INT(B1320/$C$4)+1,$C$5))</f>
        <v/>
      </c>
      <c r="E1320" s="26">
        <f>IF($C$5=0,0,INDEX(Symboles!$G$6:$G$101,D1320))</f>
        <v/>
      </c>
      <c r="F1320" s="26">
        <f>IF($C$5=0,0,INDEX(Symboles!$H$6:$H$101,D1320))</f>
        <v/>
      </c>
      <c r="G1320" s="26">
        <f>COS(2*PI()*$C$3*B1320)</f>
        <v/>
      </c>
      <c r="H1320" s="26">
        <f>SIN(2*PI()*$C$3*B1320)</f>
        <v/>
      </c>
      <c r="I1320" s="26">
        <f>E1320*G1320+F1320*H1320</f>
        <v/>
      </c>
    </row>
    <row r="1321">
      <c r="A1321" s="7" t="n">
        <v>1314</v>
      </c>
      <c r="B1321" s="26">
        <f>(A1321-1)/2000*$C$2</f>
        <v/>
      </c>
      <c r="C1321" s="7">
        <f>INDEX(Bits!$E$25:$E$124,INT(B1321)+1)</f>
        <v/>
      </c>
      <c r="D1321" s="7">
        <f>MAX(1,MIN(INT(B1321/$C$4)+1,$C$5))</f>
        <v/>
      </c>
      <c r="E1321" s="26">
        <f>IF($C$5=0,0,INDEX(Symboles!$G$6:$G$101,D1321))</f>
        <v/>
      </c>
      <c r="F1321" s="26">
        <f>IF($C$5=0,0,INDEX(Symboles!$H$6:$H$101,D1321))</f>
        <v/>
      </c>
      <c r="G1321" s="26">
        <f>COS(2*PI()*$C$3*B1321)</f>
        <v/>
      </c>
      <c r="H1321" s="26">
        <f>SIN(2*PI()*$C$3*B1321)</f>
        <v/>
      </c>
      <c r="I1321" s="26">
        <f>E1321*G1321+F1321*H1321</f>
        <v/>
      </c>
    </row>
    <row r="1322">
      <c r="A1322" s="7" t="n">
        <v>1315</v>
      </c>
      <c r="B1322" s="26">
        <f>(A1322-1)/2000*$C$2</f>
        <v/>
      </c>
      <c r="C1322" s="7">
        <f>INDEX(Bits!$E$25:$E$124,INT(B1322)+1)</f>
        <v/>
      </c>
      <c r="D1322" s="7">
        <f>MAX(1,MIN(INT(B1322/$C$4)+1,$C$5))</f>
        <v/>
      </c>
      <c r="E1322" s="26">
        <f>IF($C$5=0,0,INDEX(Symboles!$G$6:$G$101,D1322))</f>
        <v/>
      </c>
      <c r="F1322" s="26">
        <f>IF($C$5=0,0,INDEX(Symboles!$H$6:$H$101,D1322))</f>
        <v/>
      </c>
      <c r="G1322" s="26">
        <f>COS(2*PI()*$C$3*B1322)</f>
        <v/>
      </c>
      <c r="H1322" s="26">
        <f>SIN(2*PI()*$C$3*B1322)</f>
        <v/>
      </c>
      <c r="I1322" s="26">
        <f>E1322*G1322+F1322*H1322</f>
        <v/>
      </c>
    </row>
    <row r="1323">
      <c r="A1323" s="7" t="n">
        <v>1316</v>
      </c>
      <c r="B1323" s="26">
        <f>(A1323-1)/2000*$C$2</f>
        <v/>
      </c>
      <c r="C1323" s="7">
        <f>INDEX(Bits!$E$25:$E$124,INT(B1323)+1)</f>
        <v/>
      </c>
      <c r="D1323" s="7">
        <f>MAX(1,MIN(INT(B1323/$C$4)+1,$C$5))</f>
        <v/>
      </c>
      <c r="E1323" s="26">
        <f>IF($C$5=0,0,INDEX(Symboles!$G$6:$G$101,D1323))</f>
        <v/>
      </c>
      <c r="F1323" s="26">
        <f>IF($C$5=0,0,INDEX(Symboles!$H$6:$H$101,D1323))</f>
        <v/>
      </c>
      <c r="G1323" s="26">
        <f>COS(2*PI()*$C$3*B1323)</f>
        <v/>
      </c>
      <c r="H1323" s="26">
        <f>SIN(2*PI()*$C$3*B1323)</f>
        <v/>
      </c>
      <c r="I1323" s="26">
        <f>E1323*G1323+F1323*H1323</f>
        <v/>
      </c>
    </row>
    <row r="1324">
      <c r="A1324" s="7" t="n">
        <v>1317</v>
      </c>
      <c r="B1324" s="26">
        <f>(A1324-1)/2000*$C$2</f>
        <v/>
      </c>
      <c r="C1324" s="7">
        <f>INDEX(Bits!$E$25:$E$124,INT(B1324)+1)</f>
        <v/>
      </c>
      <c r="D1324" s="7">
        <f>MAX(1,MIN(INT(B1324/$C$4)+1,$C$5))</f>
        <v/>
      </c>
      <c r="E1324" s="26">
        <f>IF($C$5=0,0,INDEX(Symboles!$G$6:$G$101,D1324))</f>
        <v/>
      </c>
      <c r="F1324" s="26">
        <f>IF($C$5=0,0,INDEX(Symboles!$H$6:$H$101,D1324))</f>
        <v/>
      </c>
      <c r="G1324" s="26">
        <f>COS(2*PI()*$C$3*B1324)</f>
        <v/>
      </c>
      <c r="H1324" s="26">
        <f>SIN(2*PI()*$C$3*B1324)</f>
        <v/>
      </c>
      <c r="I1324" s="26">
        <f>E1324*G1324+F1324*H1324</f>
        <v/>
      </c>
    </row>
    <row r="1325">
      <c r="A1325" s="7" t="n">
        <v>1318</v>
      </c>
      <c r="B1325" s="26">
        <f>(A1325-1)/2000*$C$2</f>
        <v/>
      </c>
      <c r="C1325" s="7">
        <f>INDEX(Bits!$E$25:$E$124,INT(B1325)+1)</f>
        <v/>
      </c>
      <c r="D1325" s="7">
        <f>MAX(1,MIN(INT(B1325/$C$4)+1,$C$5))</f>
        <v/>
      </c>
      <c r="E1325" s="26">
        <f>IF($C$5=0,0,INDEX(Symboles!$G$6:$G$101,D1325))</f>
        <v/>
      </c>
      <c r="F1325" s="26">
        <f>IF($C$5=0,0,INDEX(Symboles!$H$6:$H$101,D1325))</f>
        <v/>
      </c>
      <c r="G1325" s="26">
        <f>COS(2*PI()*$C$3*B1325)</f>
        <v/>
      </c>
      <c r="H1325" s="26">
        <f>SIN(2*PI()*$C$3*B1325)</f>
        <v/>
      </c>
      <c r="I1325" s="26">
        <f>E1325*G1325+F1325*H1325</f>
        <v/>
      </c>
    </row>
    <row r="1326">
      <c r="A1326" s="7" t="n">
        <v>1319</v>
      </c>
      <c r="B1326" s="26">
        <f>(A1326-1)/2000*$C$2</f>
        <v/>
      </c>
      <c r="C1326" s="7">
        <f>INDEX(Bits!$E$25:$E$124,INT(B1326)+1)</f>
        <v/>
      </c>
      <c r="D1326" s="7">
        <f>MAX(1,MIN(INT(B1326/$C$4)+1,$C$5))</f>
        <v/>
      </c>
      <c r="E1326" s="26">
        <f>IF($C$5=0,0,INDEX(Symboles!$G$6:$G$101,D1326))</f>
        <v/>
      </c>
      <c r="F1326" s="26">
        <f>IF($C$5=0,0,INDEX(Symboles!$H$6:$H$101,D1326))</f>
        <v/>
      </c>
      <c r="G1326" s="26">
        <f>COS(2*PI()*$C$3*B1326)</f>
        <v/>
      </c>
      <c r="H1326" s="26">
        <f>SIN(2*PI()*$C$3*B1326)</f>
        <v/>
      </c>
      <c r="I1326" s="26">
        <f>E1326*G1326+F1326*H1326</f>
        <v/>
      </c>
    </row>
    <row r="1327">
      <c r="A1327" s="7" t="n">
        <v>1320</v>
      </c>
      <c r="B1327" s="26">
        <f>(A1327-1)/2000*$C$2</f>
        <v/>
      </c>
      <c r="C1327" s="7">
        <f>INDEX(Bits!$E$25:$E$124,INT(B1327)+1)</f>
        <v/>
      </c>
      <c r="D1327" s="7">
        <f>MAX(1,MIN(INT(B1327/$C$4)+1,$C$5))</f>
        <v/>
      </c>
      <c r="E1327" s="26">
        <f>IF($C$5=0,0,INDEX(Symboles!$G$6:$G$101,D1327))</f>
        <v/>
      </c>
      <c r="F1327" s="26">
        <f>IF($C$5=0,0,INDEX(Symboles!$H$6:$H$101,D1327))</f>
        <v/>
      </c>
      <c r="G1327" s="26">
        <f>COS(2*PI()*$C$3*B1327)</f>
        <v/>
      </c>
      <c r="H1327" s="26">
        <f>SIN(2*PI()*$C$3*B1327)</f>
        <v/>
      </c>
      <c r="I1327" s="26">
        <f>E1327*G1327+F1327*H1327</f>
        <v/>
      </c>
    </row>
    <row r="1328">
      <c r="A1328" s="7" t="n">
        <v>1321</v>
      </c>
      <c r="B1328" s="26">
        <f>(A1328-1)/2000*$C$2</f>
        <v/>
      </c>
      <c r="C1328" s="7">
        <f>INDEX(Bits!$E$25:$E$124,INT(B1328)+1)</f>
        <v/>
      </c>
      <c r="D1328" s="7">
        <f>MAX(1,MIN(INT(B1328/$C$4)+1,$C$5))</f>
        <v/>
      </c>
      <c r="E1328" s="26">
        <f>IF($C$5=0,0,INDEX(Symboles!$G$6:$G$101,D1328))</f>
        <v/>
      </c>
      <c r="F1328" s="26">
        <f>IF($C$5=0,0,INDEX(Symboles!$H$6:$H$101,D1328))</f>
        <v/>
      </c>
      <c r="G1328" s="26">
        <f>COS(2*PI()*$C$3*B1328)</f>
        <v/>
      </c>
      <c r="H1328" s="26">
        <f>SIN(2*PI()*$C$3*B1328)</f>
        <v/>
      </c>
      <c r="I1328" s="26">
        <f>E1328*G1328+F1328*H1328</f>
        <v/>
      </c>
    </row>
    <row r="1329">
      <c r="A1329" s="7" t="n">
        <v>1322</v>
      </c>
      <c r="B1329" s="26">
        <f>(A1329-1)/2000*$C$2</f>
        <v/>
      </c>
      <c r="C1329" s="7">
        <f>INDEX(Bits!$E$25:$E$124,INT(B1329)+1)</f>
        <v/>
      </c>
      <c r="D1329" s="7">
        <f>MAX(1,MIN(INT(B1329/$C$4)+1,$C$5))</f>
        <v/>
      </c>
      <c r="E1329" s="26">
        <f>IF($C$5=0,0,INDEX(Symboles!$G$6:$G$101,D1329))</f>
        <v/>
      </c>
      <c r="F1329" s="26">
        <f>IF($C$5=0,0,INDEX(Symboles!$H$6:$H$101,D1329))</f>
        <v/>
      </c>
      <c r="G1329" s="26">
        <f>COS(2*PI()*$C$3*B1329)</f>
        <v/>
      </c>
      <c r="H1329" s="26">
        <f>SIN(2*PI()*$C$3*B1329)</f>
        <v/>
      </c>
      <c r="I1329" s="26">
        <f>E1329*G1329+F1329*H1329</f>
        <v/>
      </c>
    </row>
    <row r="1330">
      <c r="A1330" s="7" t="n">
        <v>1323</v>
      </c>
      <c r="B1330" s="26">
        <f>(A1330-1)/2000*$C$2</f>
        <v/>
      </c>
      <c r="C1330" s="7">
        <f>INDEX(Bits!$E$25:$E$124,INT(B1330)+1)</f>
        <v/>
      </c>
      <c r="D1330" s="7">
        <f>MAX(1,MIN(INT(B1330/$C$4)+1,$C$5))</f>
        <v/>
      </c>
      <c r="E1330" s="26">
        <f>IF($C$5=0,0,INDEX(Symboles!$G$6:$G$101,D1330))</f>
        <v/>
      </c>
      <c r="F1330" s="26">
        <f>IF($C$5=0,0,INDEX(Symboles!$H$6:$H$101,D1330))</f>
        <v/>
      </c>
      <c r="G1330" s="26">
        <f>COS(2*PI()*$C$3*B1330)</f>
        <v/>
      </c>
      <c r="H1330" s="26">
        <f>SIN(2*PI()*$C$3*B1330)</f>
        <v/>
      </c>
      <c r="I1330" s="26">
        <f>E1330*G1330+F1330*H1330</f>
        <v/>
      </c>
    </row>
    <row r="1331">
      <c r="A1331" s="7" t="n">
        <v>1324</v>
      </c>
      <c r="B1331" s="26">
        <f>(A1331-1)/2000*$C$2</f>
        <v/>
      </c>
      <c r="C1331" s="7">
        <f>INDEX(Bits!$E$25:$E$124,INT(B1331)+1)</f>
        <v/>
      </c>
      <c r="D1331" s="7">
        <f>MAX(1,MIN(INT(B1331/$C$4)+1,$C$5))</f>
        <v/>
      </c>
      <c r="E1331" s="26">
        <f>IF($C$5=0,0,INDEX(Symboles!$G$6:$G$101,D1331))</f>
        <v/>
      </c>
      <c r="F1331" s="26">
        <f>IF($C$5=0,0,INDEX(Symboles!$H$6:$H$101,D1331))</f>
        <v/>
      </c>
      <c r="G1331" s="26">
        <f>COS(2*PI()*$C$3*B1331)</f>
        <v/>
      </c>
      <c r="H1331" s="26">
        <f>SIN(2*PI()*$C$3*B1331)</f>
        <v/>
      </c>
      <c r="I1331" s="26">
        <f>E1331*G1331+F1331*H1331</f>
        <v/>
      </c>
    </row>
    <row r="1332">
      <c r="A1332" s="7" t="n">
        <v>1325</v>
      </c>
      <c r="B1332" s="26">
        <f>(A1332-1)/2000*$C$2</f>
        <v/>
      </c>
      <c r="C1332" s="7">
        <f>INDEX(Bits!$E$25:$E$124,INT(B1332)+1)</f>
        <v/>
      </c>
      <c r="D1332" s="7">
        <f>MAX(1,MIN(INT(B1332/$C$4)+1,$C$5))</f>
        <v/>
      </c>
      <c r="E1332" s="26">
        <f>IF($C$5=0,0,INDEX(Symboles!$G$6:$G$101,D1332))</f>
        <v/>
      </c>
      <c r="F1332" s="26">
        <f>IF($C$5=0,0,INDEX(Symboles!$H$6:$H$101,D1332))</f>
        <v/>
      </c>
      <c r="G1332" s="26">
        <f>COS(2*PI()*$C$3*B1332)</f>
        <v/>
      </c>
      <c r="H1332" s="26">
        <f>SIN(2*PI()*$C$3*B1332)</f>
        <v/>
      </c>
      <c r="I1332" s="26">
        <f>E1332*G1332+F1332*H1332</f>
        <v/>
      </c>
    </row>
    <row r="1333">
      <c r="A1333" s="7" t="n">
        <v>1326</v>
      </c>
      <c r="B1333" s="26">
        <f>(A1333-1)/2000*$C$2</f>
        <v/>
      </c>
      <c r="C1333" s="7">
        <f>INDEX(Bits!$E$25:$E$124,INT(B1333)+1)</f>
        <v/>
      </c>
      <c r="D1333" s="7">
        <f>MAX(1,MIN(INT(B1333/$C$4)+1,$C$5))</f>
        <v/>
      </c>
      <c r="E1333" s="26">
        <f>IF($C$5=0,0,INDEX(Symboles!$G$6:$G$101,D1333))</f>
        <v/>
      </c>
      <c r="F1333" s="26">
        <f>IF($C$5=0,0,INDEX(Symboles!$H$6:$H$101,D1333))</f>
        <v/>
      </c>
      <c r="G1333" s="26">
        <f>COS(2*PI()*$C$3*B1333)</f>
        <v/>
      </c>
      <c r="H1333" s="26">
        <f>SIN(2*PI()*$C$3*B1333)</f>
        <v/>
      </c>
      <c r="I1333" s="26">
        <f>E1333*G1333+F1333*H1333</f>
        <v/>
      </c>
    </row>
    <row r="1334">
      <c r="A1334" s="7" t="n">
        <v>1327</v>
      </c>
      <c r="B1334" s="26">
        <f>(A1334-1)/2000*$C$2</f>
        <v/>
      </c>
      <c r="C1334" s="7">
        <f>INDEX(Bits!$E$25:$E$124,INT(B1334)+1)</f>
        <v/>
      </c>
      <c r="D1334" s="7">
        <f>MAX(1,MIN(INT(B1334/$C$4)+1,$C$5))</f>
        <v/>
      </c>
      <c r="E1334" s="26">
        <f>IF($C$5=0,0,INDEX(Symboles!$G$6:$G$101,D1334))</f>
        <v/>
      </c>
      <c r="F1334" s="26">
        <f>IF($C$5=0,0,INDEX(Symboles!$H$6:$H$101,D1334))</f>
        <v/>
      </c>
      <c r="G1334" s="26">
        <f>COS(2*PI()*$C$3*B1334)</f>
        <v/>
      </c>
      <c r="H1334" s="26">
        <f>SIN(2*PI()*$C$3*B1334)</f>
        <v/>
      </c>
      <c r="I1334" s="26">
        <f>E1334*G1334+F1334*H1334</f>
        <v/>
      </c>
    </row>
    <row r="1335">
      <c r="A1335" s="7" t="n">
        <v>1328</v>
      </c>
      <c r="B1335" s="26">
        <f>(A1335-1)/2000*$C$2</f>
        <v/>
      </c>
      <c r="C1335" s="7">
        <f>INDEX(Bits!$E$25:$E$124,INT(B1335)+1)</f>
        <v/>
      </c>
      <c r="D1335" s="7">
        <f>MAX(1,MIN(INT(B1335/$C$4)+1,$C$5))</f>
        <v/>
      </c>
      <c r="E1335" s="26">
        <f>IF($C$5=0,0,INDEX(Symboles!$G$6:$G$101,D1335))</f>
        <v/>
      </c>
      <c r="F1335" s="26">
        <f>IF($C$5=0,0,INDEX(Symboles!$H$6:$H$101,D1335))</f>
        <v/>
      </c>
      <c r="G1335" s="26">
        <f>COS(2*PI()*$C$3*B1335)</f>
        <v/>
      </c>
      <c r="H1335" s="26">
        <f>SIN(2*PI()*$C$3*B1335)</f>
        <v/>
      </c>
      <c r="I1335" s="26">
        <f>E1335*G1335+F1335*H1335</f>
        <v/>
      </c>
    </row>
    <row r="1336">
      <c r="A1336" s="7" t="n">
        <v>1329</v>
      </c>
      <c r="B1336" s="26">
        <f>(A1336-1)/2000*$C$2</f>
        <v/>
      </c>
      <c r="C1336" s="7">
        <f>INDEX(Bits!$E$25:$E$124,INT(B1336)+1)</f>
        <v/>
      </c>
      <c r="D1336" s="7">
        <f>MAX(1,MIN(INT(B1336/$C$4)+1,$C$5))</f>
        <v/>
      </c>
      <c r="E1336" s="26">
        <f>IF($C$5=0,0,INDEX(Symboles!$G$6:$G$101,D1336))</f>
        <v/>
      </c>
      <c r="F1336" s="26">
        <f>IF($C$5=0,0,INDEX(Symboles!$H$6:$H$101,D1336))</f>
        <v/>
      </c>
      <c r="G1336" s="26">
        <f>COS(2*PI()*$C$3*B1336)</f>
        <v/>
      </c>
      <c r="H1336" s="26">
        <f>SIN(2*PI()*$C$3*B1336)</f>
        <v/>
      </c>
      <c r="I1336" s="26">
        <f>E1336*G1336+F1336*H1336</f>
        <v/>
      </c>
    </row>
    <row r="1337">
      <c r="A1337" s="7" t="n">
        <v>1330</v>
      </c>
      <c r="B1337" s="26">
        <f>(A1337-1)/2000*$C$2</f>
        <v/>
      </c>
      <c r="C1337" s="7">
        <f>INDEX(Bits!$E$25:$E$124,INT(B1337)+1)</f>
        <v/>
      </c>
      <c r="D1337" s="7">
        <f>MAX(1,MIN(INT(B1337/$C$4)+1,$C$5))</f>
        <v/>
      </c>
      <c r="E1337" s="26">
        <f>IF($C$5=0,0,INDEX(Symboles!$G$6:$G$101,D1337))</f>
        <v/>
      </c>
      <c r="F1337" s="26">
        <f>IF($C$5=0,0,INDEX(Symboles!$H$6:$H$101,D1337))</f>
        <v/>
      </c>
      <c r="G1337" s="26">
        <f>COS(2*PI()*$C$3*B1337)</f>
        <v/>
      </c>
      <c r="H1337" s="26">
        <f>SIN(2*PI()*$C$3*B1337)</f>
        <v/>
      </c>
      <c r="I1337" s="26">
        <f>E1337*G1337+F1337*H1337</f>
        <v/>
      </c>
    </row>
    <row r="1338">
      <c r="A1338" s="7" t="n">
        <v>1331</v>
      </c>
      <c r="B1338" s="26">
        <f>(A1338-1)/2000*$C$2</f>
        <v/>
      </c>
      <c r="C1338" s="7">
        <f>INDEX(Bits!$E$25:$E$124,INT(B1338)+1)</f>
        <v/>
      </c>
      <c r="D1338" s="7">
        <f>MAX(1,MIN(INT(B1338/$C$4)+1,$C$5))</f>
        <v/>
      </c>
      <c r="E1338" s="26">
        <f>IF($C$5=0,0,INDEX(Symboles!$G$6:$G$101,D1338))</f>
        <v/>
      </c>
      <c r="F1338" s="26">
        <f>IF($C$5=0,0,INDEX(Symboles!$H$6:$H$101,D1338))</f>
        <v/>
      </c>
      <c r="G1338" s="26">
        <f>COS(2*PI()*$C$3*B1338)</f>
        <v/>
      </c>
      <c r="H1338" s="26">
        <f>SIN(2*PI()*$C$3*B1338)</f>
        <v/>
      </c>
      <c r="I1338" s="26">
        <f>E1338*G1338+F1338*H1338</f>
        <v/>
      </c>
    </row>
    <row r="1339">
      <c r="A1339" s="7" t="n">
        <v>1332</v>
      </c>
      <c r="B1339" s="26">
        <f>(A1339-1)/2000*$C$2</f>
        <v/>
      </c>
      <c r="C1339" s="7">
        <f>INDEX(Bits!$E$25:$E$124,INT(B1339)+1)</f>
        <v/>
      </c>
      <c r="D1339" s="7">
        <f>MAX(1,MIN(INT(B1339/$C$4)+1,$C$5))</f>
        <v/>
      </c>
      <c r="E1339" s="26">
        <f>IF($C$5=0,0,INDEX(Symboles!$G$6:$G$101,D1339))</f>
        <v/>
      </c>
      <c r="F1339" s="26">
        <f>IF($C$5=0,0,INDEX(Symboles!$H$6:$H$101,D1339))</f>
        <v/>
      </c>
      <c r="G1339" s="26">
        <f>COS(2*PI()*$C$3*B1339)</f>
        <v/>
      </c>
      <c r="H1339" s="26">
        <f>SIN(2*PI()*$C$3*B1339)</f>
        <v/>
      </c>
      <c r="I1339" s="26">
        <f>E1339*G1339+F1339*H1339</f>
        <v/>
      </c>
    </row>
    <row r="1340">
      <c r="A1340" s="7" t="n">
        <v>1333</v>
      </c>
      <c r="B1340" s="26">
        <f>(A1340-1)/2000*$C$2</f>
        <v/>
      </c>
      <c r="C1340" s="7">
        <f>INDEX(Bits!$E$25:$E$124,INT(B1340)+1)</f>
        <v/>
      </c>
      <c r="D1340" s="7">
        <f>MAX(1,MIN(INT(B1340/$C$4)+1,$C$5))</f>
        <v/>
      </c>
      <c r="E1340" s="26">
        <f>IF($C$5=0,0,INDEX(Symboles!$G$6:$G$101,D1340))</f>
        <v/>
      </c>
      <c r="F1340" s="26">
        <f>IF($C$5=0,0,INDEX(Symboles!$H$6:$H$101,D1340))</f>
        <v/>
      </c>
      <c r="G1340" s="26">
        <f>COS(2*PI()*$C$3*B1340)</f>
        <v/>
      </c>
      <c r="H1340" s="26">
        <f>SIN(2*PI()*$C$3*B1340)</f>
        <v/>
      </c>
      <c r="I1340" s="26">
        <f>E1340*G1340+F1340*H1340</f>
        <v/>
      </c>
    </row>
    <row r="1341">
      <c r="A1341" s="7" t="n">
        <v>1334</v>
      </c>
      <c r="B1341" s="26">
        <f>(A1341-1)/2000*$C$2</f>
        <v/>
      </c>
      <c r="C1341" s="7">
        <f>INDEX(Bits!$E$25:$E$124,INT(B1341)+1)</f>
        <v/>
      </c>
      <c r="D1341" s="7">
        <f>MAX(1,MIN(INT(B1341/$C$4)+1,$C$5))</f>
        <v/>
      </c>
      <c r="E1341" s="26">
        <f>IF($C$5=0,0,INDEX(Symboles!$G$6:$G$101,D1341))</f>
        <v/>
      </c>
      <c r="F1341" s="26">
        <f>IF($C$5=0,0,INDEX(Symboles!$H$6:$H$101,D1341))</f>
        <v/>
      </c>
      <c r="G1341" s="26">
        <f>COS(2*PI()*$C$3*B1341)</f>
        <v/>
      </c>
      <c r="H1341" s="26">
        <f>SIN(2*PI()*$C$3*B1341)</f>
        <v/>
      </c>
      <c r="I1341" s="26">
        <f>E1341*G1341+F1341*H1341</f>
        <v/>
      </c>
    </row>
    <row r="1342">
      <c r="A1342" s="7" t="n">
        <v>1335</v>
      </c>
      <c r="B1342" s="26">
        <f>(A1342-1)/2000*$C$2</f>
        <v/>
      </c>
      <c r="C1342" s="7">
        <f>INDEX(Bits!$E$25:$E$124,INT(B1342)+1)</f>
        <v/>
      </c>
      <c r="D1342" s="7">
        <f>MAX(1,MIN(INT(B1342/$C$4)+1,$C$5))</f>
        <v/>
      </c>
      <c r="E1342" s="26">
        <f>IF($C$5=0,0,INDEX(Symboles!$G$6:$G$101,D1342))</f>
        <v/>
      </c>
      <c r="F1342" s="26">
        <f>IF($C$5=0,0,INDEX(Symboles!$H$6:$H$101,D1342))</f>
        <v/>
      </c>
      <c r="G1342" s="26">
        <f>COS(2*PI()*$C$3*B1342)</f>
        <v/>
      </c>
      <c r="H1342" s="26">
        <f>SIN(2*PI()*$C$3*B1342)</f>
        <v/>
      </c>
      <c r="I1342" s="26">
        <f>E1342*G1342+F1342*H1342</f>
        <v/>
      </c>
    </row>
    <row r="1343">
      <c r="A1343" s="7" t="n">
        <v>1336</v>
      </c>
      <c r="B1343" s="26">
        <f>(A1343-1)/2000*$C$2</f>
        <v/>
      </c>
      <c r="C1343" s="7">
        <f>INDEX(Bits!$E$25:$E$124,INT(B1343)+1)</f>
        <v/>
      </c>
      <c r="D1343" s="7">
        <f>MAX(1,MIN(INT(B1343/$C$4)+1,$C$5))</f>
        <v/>
      </c>
      <c r="E1343" s="26">
        <f>IF($C$5=0,0,INDEX(Symboles!$G$6:$G$101,D1343))</f>
        <v/>
      </c>
      <c r="F1343" s="26">
        <f>IF($C$5=0,0,INDEX(Symboles!$H$6:$H$101,D1343))</f>
        <v/>
      </c>
      <c r="G1343" s="26">
        <f>COS(2*PI()*$C$3*B1343)</f>
        <v/>
      </c>
      <c r="H1343" s="26">
        <f>SIN(2*PI()*$C$3*B1343)</f>
        <v/>
      </c>
      <c r="I1343" s="26">
        <f>E1343*G1343+F1343*H1343</f>
        <v/>
      </c>
    </row>
    <row r="1344">
      <c r="A1344" s="7" t="n">
        <v>1337</v>
      </c>
      <c r="B1344" s="26">
        <f>(A1344-1)/2000*$C$2</f>
        <v/>
      </c>
      <c r="C1344" s="7">
        <f>INDEX(Bits!$E$25:$E$124,INT(B1344)+1)</f>
        <v/>
      </c>
      <c r="D1344" s="7">
        <f>MAX(1,MIN(INT(B1344/$C$4)+1,$C$5))</f>
        <v/>
      </c>
      <c r="E1344" s="26">
        <f>IF($C$5=0,0,INDEX(Symboles!$G$6:$G$101,D1344))</f>
        <v/>
      </c>
      <c r="F1344" s="26">
        <f>IF($C$5=0,0,INDEX(Symboles!$H$6:$H$101,D1344))</f>
        <v/>
      </c>
      <c r="G1344" s="26">
        <f>COS(2*PI()*$C$3*B1344)</f>
        <v/>
      </c>
      <c r="H1344" s="26">
        <f>SIN(2*PI()*$C$3*B1344)</f>
        <v/>
      </c>
      <c r="I1344" s="26">
        <f>E1344*G1344+F1344*H1344</f>
        <v/>
      </c>
    </row>
    <row r="1345">
      <c r="A1345" s="7" t="n">
        <v>1338</v>
      </c>
      <c r="B1345" s="26">
        <f>(A1345-1)/2000*$C$2</f>
        <v/>
      </c>
      <c r="C1345" s="7">
        <f>INDEX(Bits!$E$25:$E$124,INT(B1345)+1)</f>
        <v/>
      </c>
      <c r="D1345" s="7">
        <f>MAX(1,MIN(INT(B1345/$C$4)+1,$C$5))</f>
        <v/>
      </c>
      <c r="E1345" s="26">
        <f>IF($C$5=0,0,INDEX(Symboles!$G$6:$G$101,D1345))</f>
        <v/>
      </c>
      <c r="F1345" s="26">
        <f>IF($C$5=0,0,INDEX(Symboles!$H$6:$H$101,D1345))</f>
        <v/>
      </c>
      <c r="G1345" s="26">
        <f>COS(2*PI()*$C$3*B1345)</f>
        <v/>
      </c>
      <c r="H1345" s="26">
        <f>SIN(2*PI()*$C$3*B1345)</f>
        <v/>
      </c>
      <c r="I1345" s="26">
        <f>E1345*G1345+F1345*H1345</f>
        <v/>
      </c>
    </row>
    <row r="1346">
      <c r="A1346" s="7" t="n">
        <v>1339</v>
      </c>
      <c r="B1346" s="26">
        <f>(A1346-1)/2000*$C$2</f>
        <v/>
      </c>
      <c r="C1346" s="7">
        <f>INDEX(Bits!$E$25:$E$124,INT(B1346)+1)</f>
        <v/>
      </c>
      <c r="D1346" s="7">
        <f>MAX(1,MIN(INT(B1346/$C$4)+1,$C$5))</f>
        <v/>
      </c>
      <c r="E1346" s="26">
        <f>IF($C$5=0,0,INDEX(Symboles!$G$6:$G$101,D1346))</f>
        <v/>
      </c>
      <c r="F1346" s="26">
        <f>IF($C$5=0,0,INDEX(Symboles!$H$6:$H$101,D1346))</f>
        <v/>
      </c>
      <c r="G1346" s="26">
        <f>COS(2*PI()*$C$3*B1346)</f>
        <v/>
      </c>
      <c r="H1346" s="26">
        <f>SIN(2*PI()*$C$3*B1346)</f>
        <v/>
      </c>
      <c r="I1346" s="26">
        <f>E1346*G1346+F1346*H1346</f>
        <v/>
      </c>
    </row>
    <row r="1347">
      <c r="A1347" s="7" t="n">
        <v>1340</v>
      </c>
      <c r="B1347" s="26">
        <f>(A1347-1)/2000*$C$2</f>
        <v/>
      </c>
      <c r="C1347" s="7">
        <f>INDEX(Bits!$E$25:$E$124,INT(B1347)+1)</f>
        <v/>
      </c>
      <c r="D1347" s="7">
        <f>MAX(1,MIN(INT(B1347/$C$4)+1,$C$5))</f>
        <v/>
      </c>
      <c r="E1347" s="26">
        <f>IF($C$5=0,0,INDEX(Symboles!$G$6:$G$101,D1347))</f>
        <v/>
      </c>
      <c r="F1347" s="26">
        <f>IF($C$5=0,0,INDEX(Symboles!$H$6:$H$101,D1347))</f>
        <v/>
      </c>
      <c r="G1347" s="26">
        <f>COS(2*PI()*$C$3*B1347)</f>
        <v/>
      </c>
      <c r="H1347" s="26">
        <f>SIN(2*PI()*$C$3*B1347)</f>
        <v/>
      </c>
      <c r="I1347" s="26">
        <f>E1347*G1347+F1347*H1347</f>
        <v/>
      </c>
    </row>
    <row r="1348">
      <c r="A1348" s="7" t="n">
        <v>1341</v>
      </c>
      <c r="B1348" s="26">
        <f>(A1348-1)/2000*$C$2</f>
        <v/>
      </c>
      <c r="C1348" s="7">
        <f>INDEX(Bits!$E$25:$E$124,INT(B1348)+1)</f>
        <v/>
      </c>
      <c r="D1348" s="7">
        <f>MAX(1,MIN(INT(B1348/$C$4)+1,$C$5))</f>
        <v/>
      </c>
      <c r="E1348" s="26">
        <f>IF($C$5=0,0,INDEX(Symboles!$G$6:$G$101,D1348))</f>
        <v/>
      </c>
      <c r="F1348" s="26">
        <f>IF($C$5=0,0,INDEX(Symboles!$H$6:$H$101,D1348))</f>
        <v/>
      </c>
      <c r="G1348" s="26">
        <f>COS(2*PI()*$C$3*B1348)</f>
        <v/>
      </c>
      <c r="H1348" s="26">
        <f>SIN(2*PI()*$C$3*B1348)</f>
        <v/>
      </c>
      <c r="I1348" s="26">
        <f>E1348*G1348+F1348*H1348</f>
        <v/>
      </c>
    </row>
    <row r="1349">
      <c r="A1349" s="7" t="n">
        <v>1342</v>
      </c>
      <c r="B1349" s="26">
        <f>(A1349-1)/2000*$C$2</f>
        <v/>
      </c>
      <c r="C1349" s="7">
        <f>INDEX(Bits!$E$25:$E$124,INT(B1349)+1)</f>
        <v/>
      </c>
      <c r="D1349" s="7">
        <f>MAX(1,MIN(INT(B1349/$C$4)+1,$C$5))</f>
        <v/>
      </c>
      <c r="E1349" s="26">
        <f>IF($C$5=0,0,INDEX(Symboles!$G$6:$G$101,D1349))</f>
        <v/>
      </c>
      <c r="F1349" s="26">
        <f>IF($C$5=0,0,INDEX(Symboles!$H$6:$H$101,D1349))</f>
        <v/>
      </c>
      <c r="G1349" s="26">
        <f>COS(2*PI()*$C$3*B1349)</f>
        <v/>
      </c>
      <c r="H1349" s="26">
        <f>SIN(2*PI()*$C$3*B1349)</f>
        <v/>
      </c>
      <c r="I1349" s="26">
        <f>E1349*G1349+F1349*H1349</f>
        <v/>
      </c>
    </row>
    <row r="1350">
      <c r="A1350" s="7" t="n">
        <v>1343</v>
      </c>
      <c r="B1350" s="26">
        <f>(A1350-1)/2000*$C$2</f>
        <v/>
      </c>
      <c r="C1350" s="7">
        <f>INDEX(Bits!$E$25:$E$124,INT(B1350)+1)</f>
        <v/>
      </c>
      <c r="D1350" s="7">
        <f>MAX(1,MIN(INT(B1350/$C$4)+1,$C$5))</f>
        <v/>
      </c>
      <c r="E1350" s="26">
        <f>IF($C$5=0,0,INDEX(Symboles!$G$6:$G$101,D1350))</f>
        <v/>
      </c>
      <c r="F1350" s="26">
        <f>IF($C$5=0,0,INDEX(Symboles!$H$6:$H$101,D1350))</f>
        <v/>
      </c>
      <c r="G1350" s="26">
        <f>COS(2*PI()*$C$3*B1350)</f>
        <v/>
      </c>
      <c r="H1350" s="26">
        <f>SIN(2*PI()*$C$3*B1350)</f>
        <v/>
      </c>
      <c r="I1350" s="26">
        <f>E1350*G1350+F1350*H1350</f>
        <v/>
      </c>
    </row>
    <row r="1351">
      <c r="A1351" s="7" t="n">
        <v>1344</v>
      </c>
      <c r="B1351" s="26">
        <f>(A1351-1)/2000*$C$2</f>
        <v/>
      </c>
      <c r="C1351" s="7">
        <f>INDEX(Bits!$E$25:$E$124,INT(B1351)+1)</f>
        <v/>
      </c>
      <c r="D1351" s="7">
        <f>MAX(1,MIN(INT(B1351/$C$4)+1,$C$5))</f>
        <v/>
      </c>
      <c r="E1351" s="26">
        <f>IF($C$5=0,0,INDEX(Symboles!$G$6:$G$101,D1351))</f>
        <v/>
      </c>
      <c r="F1351" s="26">
        <f>IF($C$5=0,0,INDEX(Symboles!$H$6:$H$101,D1351))</f>
        <v/>
      </c>
      <c r="G1351" s="26">
        <f>COS(2*PI()*$C$3*B1351)</f>
        <v/>
      </c>
      <c r="H1351" s="26">
        <f>SIN(2*PI()*$C$3*B1351)</f>
        <v/>
      </c>
      <c r="I1351" s="26">
        <f>E1351*G1351+F1351*H1351</f>
        <v/>
      </c>
    </row>
    <row r="1352">
      <c r="A1352" s="7" t="n">
        <v>1345</v>
      </c>
      <c r="B1352" s="26">
        <f>(A1352-1)/2000*$C$2</f>
        <v/>
      </c>
      <c r="C1352" s="7">
        <f>INDEX(Bits!$E$25:$E$124,INT(B1352)+1)</f>
        <v/>
      </c>
      <c r="D1352" s="7">
        <f>MAX(1,MIN(INT(B1352/$C$4)+1,$C$5))</f>
        <v/>
      </c>
      <c r="E1352" s="26">
        <f>IF($C$5=0,0,INDEX(Symboles!$G$6:$G$101,D1352))</f>
        <v/>
      </c>
      <c r="F1352" s="26">
        <f>IF($C$5=0,0,INDEX(Symboles!$H$6:$H$101,D1352))</f>
        <v/>
      </c>
      <c r="G1352" s="26">
        <f>COS(2*PI()*$C$3*B1352)</f>
        <v/>
      </c>
      <c r="H1352" s="26">
        <f>SIN(2*PI()*$C$3*B1352)</f>
        <v/>
      </c>
      <c r="I1352" s="26">
        <f>E1352*G1352+F1352*H1352</f>
        <v/>
      </c>
    </row>
    <row r="1353">
      <c r="A1353" s="7" t="n">
        <v>1346</v>
      </c>
      <c r="B1353" s="26">
        <f>(A1353-1)/2000*$C$2</f>
        <v/>
      </c>
      <c r="C1353" s="7">
        <f>INDEX(Bits!$E$25:$E$124,INT(B1353)+1)</f>
        <v/>
      </c>
      <c r="D1353" s="7">
        <f>MAX(1,MIN(INT(B1353/$C$4)+1,$C$5))</f>
        <v/>
      </c>
      <c r="E1353" s="26">
        <f>IF($C$5=0,0,INDEX(Symboles!$G$6:$G$101,D1353))</f>
        <v/>
      </c>
      <c r="F1353" s="26">
        <f>IF($C$5=0,0,INDEX(Symboles!$H$6:$H$101,D1353))</f>
        <v/>
      </c>
      <c r="G1353" s="26">
        <f>COS(2*PI()*$C$3*B1353)</f>
        <v/>
      </c>
      <c r="H1353" s="26">
        <f>SIN(2*PI()*$C$3*B1353)</f>
        <v/>
      </c>
      <c r="I1353" s="26">
        <f>E1353*G1353+F1353*H1353</f>
        <v/>
      </c>
    </row>
    <row r="1354">
      <c r="A1354" s="7" t="n">
        <v>1347</v>
      </c>
      <c r="B1354" s="26">
        <f>(A1354-1)/2000*$C$2</f>
        <v/>
      </c>
      <c r="C1354" s="7">
        <f>INDEX(Bits!$E$25:$E$124,INT(B1354)+1)</f>
        <v/>
      </c>
      <c r="D1354" s="7">
        <f>MAX(1,MIN(INT(B1354/$C$4)+1,$C$5))</f>
        <v/>
      </c>
      <c r="E1354" s="26">
        <f>IF($C$5=0,0,INDEX(Symboles!$G$6:$G$101,D1354))</f>
        <v/>
      </c>
      <c r="F1354" s="26">
        <f>IF($C$5=0,0,INDEX(Symboles!$H$6:$H$101,D1354))</f>
        <v/>
      </c>
      <c r="G1354" s="26">
        <f>COS(2*PI()*$C$3*B1354)</f>
        <v/>
      </c>
      <c r="H1354" s="26">
        <f>SIN(2*PI()*$C$3*B1354)</f>
        <v/>
      </c>
      <c r="I1354" s="26">
        <f>E1354*G1354+F1354*H1354</f>
        <v/>
      </c>
    </row>
    <row r="1355">
      <c r="A1355" s="7" t="n">
        <v>1348</v>
      </c>
      <c r="B1355" s="26">
        <f>(A1355-1)/2000*$C$2</f>
        <v/>
      </c>
      <c r="C1355" s="7">
        <f>INDEX(Bits!$E$25:$E$124,INT(B1355)+1)</f>
        <v/>
      </c>
      <c r="D1355" s="7">
        <f>MAX(1,MIN(INT(B1355/$C$4)+1,$C$5))</f>
        <v/>
      </c>
      <c r="E1355" s="26">
        <f>IF($C$5=0,0,INDEX(Symboles!$G$6:$G$101,D1355))</f>
        <v/>
      </c>
      <c r="F1355" s="26">
        <f>IF($C$5=0,0,INDEX(Symboles!$H$6:$H$101,D1355))</f>
        <v/>
      </c>
      <c r="G1355" s="26">
        <f>COS(2*PI()*$C$3*B1355)</f>
        <v/>
      </c>
      <c r="H1355" s="26">
        <f>SIN(2*PI()*$C$3*B1355)</f>
        <v/>
      </c>
      <c r="I1355" s="26">
        <f>E1355*G1355+F1355*H1355</f>
        <v/>
      </c>
    </row>
    <row r="1356">
      <c r="A1356" s="7" t="n">
        <v>1349</v>
      </c>
      <c r="B1356" s="26">
        <f>(A1356-1)/2000*$C$2</f>
        <v/>
      </c>
      <c r="C1356" s="7">
        <f>INDEX(Bits!$E$25:$E$124,INT(B1356)+1)</f>
        <v/>
      </c>
      <c r="D1356" s="7">
        <f>MAX(1,MIN(INT(B1356/$C$4)+1,$C$5))</f>
        <v/>
      </c>
      <c r="E1356" s="26">
        <f>IF($C$5=0,0,INDEX(Symboles!$G$6:$G$101,D1356))</f>
        <v/>
      </c>
      <c r="F1356" s="26">
        <f>IF($C$5=0,0,INDEX(Symboles!$H$6:$H$101,D1356))</f>
        <v/>
      </c>
      <c r="G1356" s="26">
        <f>COS(2*PI()*$C$3*B1356)</f>
        <v/>
      </c>
      <c r="H1356" s="26">
        <f>SIN(2*PI()*$C$3*B1356)</f>
        <v/>
      </c>
      <c r="I1356" s="26">
        <f>E1356*G1356+F1356*H1356</f>
        <v/>
      </c>
    </row>
    <row r="1357">
      <c r="A1357" s="7" t="n">
        <v>1350</v>
      </c>
      <c r="B1357" s="26">
        <f>(A1357-1)/2000*$C$2</f>
        <v/>
      </c>
      <c r="C1357" s="7">
        <f>INDEX(Bits!$E$25:$E$124,INT(B1357)+1)</f>
        <v/>
      </c>
      <c r="D1357" s="7">
        <f>MAX(1,MIN(INT(B1357/$C$4)+1,$C$5))</f>
        <v/>
      </c>
      <c r="E1357" s="26">
        <f>IF($C$5=0,0,INDEX(Symboles!$G$6:$G$101,D1357))</f>
        <v/>
      </c>
      <c r="F1357" s="26">
        <f>IF($C$5=0,0,INDEX(Symboles!$H$6:$H$101,D1357))</f>
        <v/>
      </c>
      <c r="G1357" s="26">
        <f>COS(2*PI()*$C$3*B1357)</f>
        <v/>
      </c>
      <c r="H1357" s="26">
        <f>SIN(2*PI()*$C$3*B1357)</f>
        <v/>
      </c>
      <c r="I1357" s="26">
        <f>E1357*G1357+F1357*H1357</f>
        <v/>
      </c>
    </row>
    <row r="1358">
      <c r="A1358" s="7" t="n">
        <v>1351</v>
      </c>
      <c r="B1358" s="26">
        <f>(A1358-1)/2000*$C$2</f>
        <v/>
      </c>
      <c r="C1358" s="7">
        <f>INDEX(Bits!$E$25:$E$124,INT(B1358)+1)</f>
        <v/>
      </c>
      <c r="D1358" s="7">
        <f>MAX(1,MIN(INT(B1358/$C$4)+1,$C$5))</f>
        <v/>
      </c>
      <c r="E1358" s="26">
        <f>IF($C$5=0,0,INDEX(Symboles!$G$6:$G$101,D1358))</f>
        <v/>
      </c>
      <c r="F1358" s="26">
        <f>IF($C$5=0,0,INDEX(Symboles!$H$6:$H$101,D1358))</f>
        <v/>
      </c>
      <c r="G1358" s="26">
        <f>COS(2*PI()*$C$3*B1358)</f>
        <v/>
      </c>
      <c r="H1358" s="26">
        <f>SIN(2*PI()*$C$3*B1358)</f>
        <v/>
      </c>
      <c r="I1358" s="26">
        <f>E1358*G1358+F1358*H1358</f>
        <v/>
      </c>
    </row>
    <row r="1359">
      <c r="A1359" s="7" t="n">
        <v>1352</v>
      </c>
      <c r="B1359" s="26">
        <f>(A1359-1)/2000*$C$2</f>
        <v/>
      </c>
      <c r="C1359" s="7">
        <f>INDEX(Bits!$E$25:$E$124,INT(B1359)+1)</f>
        <v/>
      </c>
      <c r="D1359" s="7">
        <f>MAX(1,MIN(INT(B1359/$C$4)+1,$C$5))</f>
        <v/>
      </c>
      <c r="E1359" s="26">
        <f>IF($C$5=0,0,INDEX(Symboles!$G$6:$G$101,D1359))</f>
        <v/>
      </c>
      <c r="F1359" s="26">
        <f>IF($C$5=0,0,INDEX(Symboles!$H$6:$H$101,D1359))</f>
        <v/>
      </c>
      <c r="G1359" s="26">
        <f>COS(2*PI()*$C$3*B1359)</f>
        <v/>
      </c>
      <c r="H1359" s="26">
        <f>SIN(2*PI()*$C$3*B1359)</f>
        <v/>
      </c>
      <c r="I1359" s="26">
        <f>E1359*G1359+F1359*H1359</f>
        <v/>
      </c>
    </row>
    <row r="1360">
      <c r="A1360" s="7" t="n">
        <v>1353</v>
      </c>
      <c r="B1360" s="26">
        <f>(A1360-1)/2000*$C$2</f>
        <v/>
      </c>
      <c r="C1360" s="7">
        <f>INDEX(Bits!$E$25:$E$124,INT(B1360)+1)</f>
        <v/>
      </c>
      <c r="D1360" s="7">
        <f>MAX(1,MIN(INT(B1360/$C$4)+1,$C$5))</f>
        <v/>
      </c>
      <c r="E1360" s="26">
        <f>IF($C$5=0,0,INDEX(Symboles!$G$6:$G$101,D1360))</f>
        <v/>
      </c>
      <c r="F1360" s="26">
        <f>IF($C$5=0,0,INDEX(Symboles!$H$6:$H$101,D1360))</f>
        <v/>
      </c>
      <c r="G1360" s="26">
        <f>COS(2*PI()*$C$3*B1360)</f>
        <v/>
      </c>
      <c r="H1360" s="26">
        <f>SIN(2*PI()*$C$3*B1360)</f>
        <v/>
      </c>
      <c r="I1360" s="26">
        <f>E1360*G1360+F1360*H1360</f>
        <v/>
      </c>
    </row>
    <row r="1361">
      <c r="A1361" s="7" t="n">
        <v>1354</v>
      </c>
      <c r="B1361" s="26">
        <f>(A1361-1)/2000*$C$2</f>
        <v/>
      </c>
      <c r="C1361" s="7">
        <f>INDEX(Bits!$E$25:$E$124,INT(B1361)+1)</f>
        <v/>
      </c>
      <c r="D1361" s="7">
        <f>MAX(1,MIN(INT(B1361/$C$4)+1,$C$5))</f>
        <v/>
      </c>
      <c r="E1361" s="26">
        <f>IF($C$5=0,0,INDEX(Symboles!$G$6:$G$101,D1361))</f>
        <v/>
      </c>
      <c r="F1361" s="26">
        <f>IF($C$5=0,0,INDEX(Symboles!$H$6:$H$101,D1361))</f>
        <v/>
      </c>
      <c r="G1361" s="26">
        <f>COS(2*PI()*$C$3*B1361)</f>
        <v/>
      </c>
      <c r="H1361" s="26">
        <f>SIN(2*PI()*$C$3*B1361)</f>
        <v/>
      </c>
      <c r="I1361" s="26">
        <f>E1361*G1361+F1361*H1361</f>
        <v/>
      </c>
    </row>
    <row r="1362">
      <c r="A1362" s="7" t="n">
        <v>1355</v>
      </c>
      <c r="B1362" s="26">
        <f>(A1362-1)/2000*$C$2</f>
        <v/>
      </c>
      <c r="C1362" s="7">
        <f>INDEX(Bits!$E$25:$E$124,INT(B1362)+1)</f>
        <v/>
      </c>
      <c r="D1362" s="7">
        <f>MAX(1,MIN(INT(B1362/$C$4)+1,$C$5))</f>
        <v/>
      </c>
      <c r="E1362" s="26">
        <f>IF($C$5=0,0,INDEX(Symboles!$G$6:$G$101,D1362))</f>
        <v/>
      </c>
      <c r="F1362" s="26">
        <f>IF($C$5=0,0,INDEX(Symboles!$H$6:$H$101,D1362))</f>
        <v/>
      </c>
      <c r="G1362" s="26">
        <f>COS(2*PI()*$C$3*B1362)</f>
        <v/>
      </c>
      <c r="H1362" s="26">
        <f>SIN(2*PI()*$C$3*B1362)</f>
        <v/>
      </c>
      <c r="I1362" s="26">
        <f>E1362*G1362+F1362*H1362</f>
        <v/>
      </c>
    </row>
    <row r="1363">
      <c r="A1363" s="7" t="n">
        <v>1356</v>
      </c>
      <c r="B1363" s="26">
        <f>(A1363-1)/2000*$C$2</f>
        <v/>
      </c>
      <c r="C1363" s="7">
        <f>INDEX(Bits!$E$25:$E$124,INT(B1363)+1)</f>
        <v/>
      </c>
      <c r="D1363" s="7">
        <f>MAX(1,MIN(INT(B1363/$C$4)+1,$C$5))</f>
        <v/>
      </c>
      <c r="E1363" s="26">
        <f>IF($C$5=0,0,INDEX(Symboles!$G$6:$G$101,D1363))</f>
        <v/>
      </c>
      <c r="F1363" s="26">
        <f>IF($C$5=0,0,INDEX(Symboles!$H$6:$H$101,D1363))</f>
        <v/>
      </c>
      <c r="G1363" s="26">
        <f>COS(2*PI()*$C$3*B1363)</f>
        <v/>
      </c>
      <c r="H1363" s="26">
        <f>SIN(2*PI()*$C$3*B1363)</f>
        <v/>
      </c>
      <c r="I1363" s="26">
        <f>E1363*G1363+F1363*H1363</f>
        <v/>
      </c>
    </row>
    <row r="1364">
      <c r="A1364" s="7" t="n">
        <v>1357</v>
      </c>
      <c r="B1364" s="26">
        <f>(A1364-1)/2000*$C$2</f>
        <v/>
      </c>
      <c r="C1364" s="7">
        <f>INDEX(Bits!$E$25:$E$124,INT(B1364)+1)</f>
        <v/>
      </c>
      <c r="D1364" s="7">
        <f>MAX(1,MIN(INT(B1364/$C$4)+1,$C$5))</f>
        <v/>
      </c>
      <c r="E1364" s="26">
        <f>IF($C$5=0,0,INDEX(Symboles!$G$6:$G$101,D1364))</f>
        <v/>
      </c>
      <c r="F1364" s="26">
        <f>IF($C$5=0,0,INDEX(Symboles!$H$6:$H$101,D1364))</f>
        <v/>
      </c>
      <c r="G1364" s="26">
        <f>COS(2*PI()*$C$3*B1364)</f>
        <v/>
      </c>
      <c r="H1364" s="26">
        <f>SIN(2*PI()*$C$3*B1364)</f>
        <v/>
      </c>
      <c r="I1364" s="26">
        <f>E1364*G1364+F1364*H1364</f>
        <v/>
      </c>
    </row>
    <row r="1365">
      <c r="A1365" s="7" t="n">
        <v>1358</v>
      </c>
      <c r="B1365" s="26">
        <f>(A1365-1)/2000*$C$2</f>
        <v/>
      </c>
      <c r="C1365" s="7">
        <f>INDEX(Bits!$E$25:$E$124,INT(B1365)+1)</f>
        <v/>
      </c>
      <c r="D1365" s="7">
        <f>MAX(1,MIN(INT(B1365/$C$4)+1,$C$5))</f>
        <v/>
      </c>
      <c r="E1365" s="26">
        <f>IF($C$5=0,0,INDEX(Symboles!$G$6:$G$101,D1365))</f>
        <v/>
      </c>
      <c r="F1365" s="26">
        <f>IF($C$5=0,0,INDEX(Symboles!$H$6:$H$101,D1365))</f>
        <v/>
      </c>
      <c r="G1365" s="26">
        <f>COS(2*PI()*$C$3*B1365)</f>
        <v/>
      </c>
      <c r="H1365" s="26">
        <f>SIN(2*PI()*$C$3*B1365)</f>
        <v/>
      </c>
      <c r="I1365" s="26">
        <f>E1365*G1365+F1365*H1365</f>
        <v/>
      </c>
    </row>
    <row r="1366">
      <c r="A1366" s="7" t="n">
        <v>1359</v>
      </c>
      <c r="B1366" s="26">
        <f>(A1366-1)/2000*$C$2</f>
        <v/>
      </c>
      <c r="C1366" s="7">
        <f>INDEX(Bits!$E$25:$E$124,INT(B1366)+1)</f>
        <v/>
      </c>
      <c r="D1366" s="7">
        <f>MAX(1,MIN(INT(B1366/$C$4)+1,$C$5))</f>
        <v/>
      </c>
      <c r="E1366" s="26">
        <f>IF($C$5=0,0,INDEX(Symboles!$G$6:$G$101,D1366))</f>
        <v/>
      </c>
      <c r="F1366" s="26">
        <f>IF($C$5=0,0,INDEX(Symboles!$H$6:$H$101,D1366))</f>
        <v/>
      </c>
      <c r="G1366" s="26">
        <f>COS(2*PI()*$C$3*B1366)</f>
        <v/>
      </c>
      <c r="H1366" s="26">
        <f>SIN(2*PI()*$C$3*B1366)</f>
        <v/>
      </c>
      <c r="I1366" s="26">
        <f>E1366*G1366+F1366*H1366</f>
        <v/>
      </c>
    </row>
    <row r="1367">
      <c r="A1367" s="7" t="n">
        <v>1360</v>
      </c>
      <c r="B1367" s="26">
        <f>(A1367-1)/2000*$C$2</f>
        <v/>
      </c>
      <c r="C1367" s="7">
        <f>INDEX(Bits!$E$25:$E$124,INT(B1367)+1)</f>
        <v/>
      </c>
      <c r="D1367" s="7">
        <f>MAX(1,MIN(INT(B1367/$C$4)+1,$C$5))</f>
        <v/>
      </c>
      <c r="E1367" s="26">
        <f>IF($C$5=0,0,INDEX(Symboles!$G$6:$G$101,D1367))</f>
        <v/>
      </c>
      <c r="F1367" s="26">
        <f>IF($C$5=0,0,INDEX(Symboles!$H$6:$H$101,D1367))</f>
        <v/>
      </c>
      <c r="G1367" s="26">
        <f>COS(2*PI()*$C$3*B1367)</f>
        <v/>
      </c>
      <c r="H1367" s="26">
        <f>SIN(2*PI()*$C$3*B1367)</f>
        <v/>
      </c>
      <c r="I1367" s="26">
        <f>E1367*G1367+F1367*H1367</f>
        <v/>
      </c>
    </row>
    <row r="1368">
      <c r="A1368" s="7" t="n">
        <v>1361</v>
      </c>
      <c r="B1368" s="26">
        <f>(A1368-1)/2000*$C$2</f>
        <v/>
      </c>
      <c r="C1368" s="7">
        <f>INDEX(Bits!$E$25:$E$124,INT(B1368)+1)</f>
        <v/>
      </c>
      <c r="D1368" s="7">
        <f>MAX(1,MIN(INT(B1368/$C$4)+1,$C$5))</f>
        <v/>
      </c>
      <c r="E1368" s="26">
        <f>IF($C$5=0,0,INDEX(Symboles!$G$6:$G$101,D1368))</f>
        <v/>
      </c>
      <c r="F1368" s="26">
        <f>IF($C$5=0,0,INDEX(Symboles!$H$6:$H$101,D1368))</f>
        <v/>
      </c>
      <c r="G1368" s="26">
        <f>COS(2*PI()*$C$3*B1368)</f>
        <v/>
      </c>
      <c r="H1368" s="26">
        <f>SIN(2*PI()*$C$3*B1368)</f>
        <v/>
      </c>
      <c r="I1368" s="26">
        <f>E1368*G1368+F1368*H1368</f>
        <v/>
      </c>
    </row>
    <row r="1369">
      <c r="A1369" s="7" t="n">
        <v>1362</v>
      </c>
      <c r="B1369" s="26">
        <f>(A1369-1)/2000*$C$2</f>
        <v/>
      </c>
      <c r="C1369" s="7">
        <f>INDEX(Bits!$E$25:$E$124,INT(B1369)+1)</f>
        <v/>
      </c>
      <c r="D1369" s="7">
        <f>MAX(1,MIN(INT(B1369/$C$4)+1,$C$5))</f>
        <v/>
      </c>
      <c r="E1369" s="26">
        <f>IF($C$5=0,0,INDEX(Symboles!$G$6:$G$101,D1369))</f>
        <v/>
      </c>
      <c r="F1369" s="26">
        <f>IF($C$5=0,0,INDEX(Symboles!$H$6:$H$101,D1369))</f>
        <v/>
      </c>
      <c r="G1369" s="26">
        <f>COS(2*PI()*$C$3*B1369)</f>
        <v/>
      </c>
      <c r="H1369" s="26">
        <f>SIN(2*PI()*$C$3*B1369)</f>
        <v/>
      </c>
      <c r="I1369" s="26">
        <f>E1369*G1369+F1369*H1369</f>
        <v/>
      </c>
    </row>
    <row r="1370">
      <c r="A1370" s="7" t="n">
        <v>1363</v>
      </c>
      <c r="B1370" s="26">
        <f>(A1370-1)/2000*$C$2</f>
        <v/>
      </c>
      <c r="C1370" s="7">
        <f>INDEX(Bits!$E$25:$E$124,INT(B1370)+1)</f>
        <v/>
      </c>
      <c r="D1370" s="7">
        <f>MAX(1,MIN(INT(B1370/$C$4)+1,$C$5))</f>
        <v/>
      </c>
      <c r="E1370" s="26">
        <f>IF($C$5=0,0,INDEX(Symboles!$G$6:$G$101,D1370))</f>
        <v/>
      </c>
      <c r="F1370" s="26">
        <f>IF($C$5=0,0,INDEX(Symboles!$H$6:$H$101,D1370))</f>
        <v/>
      </c>
      <c r="G1370" s="26">
        <f>COS(2*PI()*$C$3*B1370)</f>
        <v/>
      </c>
      <c r="H1370" s="26">
        <f>SIN(2*PI()*$C$3*B1370)</f>
        <v/>
      </c>
      <c r="I1370" s="26">
        <f>E1370*G1370+F1370*H1370</f>
        <v/>
      </c>
    </row>
    <row r="1371">
      <c r="A1371" s="7" t="n">
        <v>1364</v>
      </c>
      <c r="B1371" s="26">
        <f>(A1371-1)/2000*$C$2</f>
        <v/>
      </c>
      <c r="C1371" s="7">
        <f>INDEX(Bits!$E$25:$E$124,INT(B1371)+1)</f>
        <v/>
      </c>
      <c r="D1371" s="7">
        <f>MAX(1,MIN(INT(B1371/$C$4)+1,$C$5))</f>
        <v/>
      </c>
      <c r="E1371" s="26">
        <f>IF($C$5=0,0,INDEX(Symboles!$G$6:$G$101,D1371))</f>
        <v/>
      </c>
      <c r="F1371" s="26">
        <f>IF($C$5=0,0,INDEX(Symboles!$H$6:$H$101,D1371))</f>
        <v/>
      </c>
      <c r="G1371" s="26">
        <f>COS(2*PI()*$C$3*B1371)</f>
        <v/>
      </c>
      <c r="H1371" s="26">
        <f>SIN(2*PI()*$C$3*B1371)</f>
        <v/>
      </c>
      <c r="I1371" s="26">
        <f>E1371*G1371+F1371*H1371</f>
        <v/>
      </c>
    </row>
    <row r="1372">
      <c r="A1372" s="7" t="n">
        <v>1365</v>
      </c>
      <c r="B1372" s="26">
        <f>(A1372-1)/2000*$C$2</f>
        <v/>
      </c>
      <c r="C1372" s="7">
        <f>INDEX(Bits!$E$25:$E$124,INT(B1372)+1)</f>
        <v/>
      </c>
      <c r="D1372" s="7">
        <f>MAX(1,MIN(INT(B1372/$C$4)+1,$C$5))</f>
        <v/>
      </c>
      <c r="E1372" s="26">
        <f>IF($C$5=0,0,INDEX(Symboles!$G$6:$G$101,D1372))</f>
        <v/>
      </c>
      <c r="F1372" s="26">
        <f>IF($C$5=0,0,INDEX(Symboles!$H$6:$H$101,D1372))</f>
        <v/>
      </c>
      <c r="G1372" s="26">
        <f>COS(2*PI()*$C$3*B1372)</f>
        <v/>
      </c>
      <c r="H1372" s="26">
        <f>SIN(2*PI()*$C$3*B1372)</f>
        <v/>
      </c>
      <c r="I1372" s="26">
        <f>E1372*G1372+F1372*H1372</f>
        <v/>
      </c>
    </row>
    <row r="1373">
      <c r="A1373" s="7" t="n">
        <v>1366</v>
      </c>
      <c r="B1373" s="26">
        <f>(A1373-1)/2000*$C$2</f>
        <v/>
      </c>
      <c r="C1373" s="7">
        <f>INDEX(Bits!$E$25:$E$124,INT(B1373)+1)</f>
        <v/>
      </c>
      <c r="D1373" s="7">
        <f>MAX(1,MIN(INT(B1373/$C$4)+1,$C$5))</f>
        <v/>
      </c>
      <c r="E1373" s="26">
        <f>IF($C$5=0,0,INDEX(Symboles!$G$6:$G$101,D1373))</f>
        <v/>
      </c>
      <c r="F1373" s="26">
        <f>IF($C$5=0,0,INDEX(Symboles!$H$6:$H$101,D1373))</f>
        <v/>
      </c>
      <c r="G1373" s="26">
        <f>COS(2*PI()*$C$3*B1373)</f>
        <v/>
      </c>
      <c r="H1373" s="26">
        <f>SIN(2*PI()*$C$3*B1373)</f>
        <v/>
      </c>
      <c r="I1373" s="26">
        <f>E1373*G1373+F1373*H1373</f>
        <v/>
      </c>
    </row>
    <row r="1374">
      <c r="A1374" s="7" t="n">
        <v>1367</v>
      </c>
      <c r="B1374" s="26">
        <f>(A1374-1)/2000*$C$2</f>
        <v/>
      </c>
      <c r="C1374" s="7">
        <f>INDEX(Bits!$E$25:$E$124,INT(B1374)+1)</f>
        <v/>
      </c>
      <c r="D1374" s="7">
        <f>MAX(1,MIN(INT(B1374/$C$4)+1,$C$5))</f>
        <v/>
      </c>
      <c r="E1374" s="26">
        <f>IF($C$5=0,0,INDEX(Symboles!$G$6:$G$101,D1374))</f>
        <v/>
      </c>
      <c r="F1374" s="26">
        <f>IF($C$5=0,0,INDEX(Symboles!$H$6:$H$101,D1374))</f>
        <v/>
      </c>
      <c r="G1374" s="26">
        <f>COS(2*PI()*$C$3*B1374)</f>
        <v/>
      </c>
      <c r="H1374" s="26">
        <f>SIN(2*PI()*$C$3*B1374)</f>
        <v/>
      </c>
      <c r="I1374" s="26">
        <f>E1374*G1374+F1374*H1374</f>
        <v/>
      </c>
    </row>
    <row r="1375">
      <c r="A1375" s="7" t="n">
        <v>1368</v>
      </c>
      <c r="B1375" s="26">
        <f>(A1375-1)/2000*$C$2</f>
        <v/>
      </c>
      <c r="C1375" s="7">
        <f>INDEX(Bits!$E$25:$E$124,INT(B1375)+1)</f>
        <v/>
      </c>
      <c r="D1375" s="7">
        <f>MAX(1,MIN(INT(B1375/$C$4)+1,$C$5))</f>
        <v/>
      </c>
      <c r="E1375" s="26">
        <f>IF($C$5=0,0,INDEX(Symboles!$G$6:$G$101,D1375))</f>
        <v/>
      </c>
      <c r="F1375" s="26">
        <f>IF($C$5=0,0,INDEX(Symboles!$H$6:$H$101,D1375))</f>
        <v/>
      </c>
      <c r="G1375" s="26">
        <f>COS(2*PI()*$C$3*B1375)</f>
        <v/>
      </c>
      <c r="H1375" s="26">
        <f>SIN(2*PI()*$C$3*B1375)</f>
        <v/>
      </c>
      <c r="I1375" s="26">
        <f>E1375*G1375+F1375*H1375</f>
        <v/>
      </c>
    </row>
    <row r="1376">
      <c r="A1376" s="7" t="n">
        <v>1369</v>
      </c>
      <c r="B1376" s="26">
        <f>(A1376-1)/2000*$C$2</f>
        <v/>
      </c>
      <c r="C1376" s="7">
        <f>INDEX(Bits!$E$25:$E$124,INT(B1376)+1)</f>
        <v/>
      </c>
      <c r="D1376" s="7">
        <f>MAX(1,MIN(INT(B1376/$C$4)+1,$C$5))</f>
        <v/>
      </c>
      <c r="E1376" s="26">
        <f>IF($C$5=0,0,INDEX(Symboles!$G$6:$G$101,D1376))</f>
        <v/>
      </c>
      <c r="F1376" s="26">
        <f>IF($C$5=0,0,INDEX(Symboles!$H$6:$H$101,D1376))</f>
        <v/>
      </c>
      <c r="G1376" s="26">
        <f>COS(2*PI()*$C$3*B1376)</f>
        <v/>
      </c>
      <c r="H1376" s="26">
        <f>SIN(2*PI()*$C$3*B1376)</f>
        <v/>
      </c>
      <c r="I1376" s="26">
        <f>E1376*G1376+F1376*H1376</f>
        <v/>
      </c>
    </row>
    <row r="1377">
      <c r="A1377" s="7" t="n">
        <v>1370</v>
      </c>
      <c r="B1377" s="26">
        <f>(A1377-1)/2000*$C$2</f>
        <v/>
      </c>
      <c r="C1377" s="7">
        <f>INDEX(Bits!$E$25:$E$124,INT(B1377)+1)</f>
        <v/>
      </c>
      <c r="D1377" s="7">
        <f>MAX(1,MIN(INT(B1377/$C$4)+1,$C$5))</f>
        <v/>
      </c>
      <c r="E1377" s="26">
        <f>IF($C$5=0,0,INDEX(Symboles!$G$6:$G$101,D1377))</f>
        <v/>
      </c>
      <c r="F1377" s="26">
        <f>IF($C$5=0,0,INDEX(Symboles!$H$6:$H$101,D1377))</f>
        <v/>
      </c>
      <c r="G1377" s="26">
        <f>COS(2*PI()*$C$3*B1377)</f>
        <v/>
      </c>
      <c r="H1377" s="26">
        <f>SIN(2*PI()*$C$3*B1377)</f>
        <v/>
      </c>
      <c r="I1377" s="26">
        <f>E1377*G1377+F1377*H1377</f>
        <v/>
      </c>
    </row>
    <row r="1378">
      <c r="A1378" s="7" t="n">
        <v>1371</v>
      </c>
      <c r="B1378" s="26">
        <f>(A1378-1)/2000*$C$2</f>
        <v/>
      </c>
      <c r="C1378" s="7">
        <f>INDEX(Bits!$E$25:$E$124,INT(B1378)+1)</f>
        <v/>
      </c>
      <c r="D1378" s="7">
        <f>MAX(1,MIN(INT(B1378/$C$4)+1,$C$5))</f>
        <v/>
      </c>
      <c r="E1378" s="26">
        <f>IF($C$5=0,0,INDEX(Symboles!$G$6:$G$101,D1378))</f>
        <v/>
      </c>
      <c r="F1378" s="26">
        <f>IF($C$5=0,0,INDEX(Symboles!$H$6:$H$101,D1378))</f>
        <v/>
      </c>
      <c r="G1378" s="26">
        <f>COS(2*PI()*$C$3*B1378)</f>
        <v/>
      </c>
      <c r="H1378" s="26">
        <f>SIN(2*PI()*$C$3*B1378)</f>
        <v/>
      </c>
      <c r="I1378" s="26">
        <f>E1378*G1378+F1378*H1378</f>
        <v/>
      </c>
    </row>
    <row r="1379">
      <c r="A1379" s="7" t="n">
        <v>1372</v>
      </c>
      <c r="B1379" s="26">
        <f>(A1379-1)/2000*$C$2</f>
        <v/>
      </c>
      <c r="C1379" s="7">
        <f>INDEX(Bits!$E$25:$E$124,INT(B1379)+1)</f>
        <v/>
      </c>
      <c r="D1379" s="7">
        <f>MAX(1,MIN(INT(B1379/$C$4)+1,$C$5))</f>
        <v/>
      </c>
      <c r="E1379" s="26">
        <f>IF($C$5=0,0,INDEX(Symboles!$G$6:$G$101,D1379))</f>
        <v/>
      </c>
      <c r="F1379" s="26">
        <f>IF($C$5=0,0,INDEX(Symboles!$H$6:$H$101,D1379))</f>
        <v/>
      </c>
      <c r="G1379" s="26">
        <f>COS(2*PI()*$C$3*B1379)</f>
        <v/>
      </c>
      <c r="H1379" s="26">
        <f>SIN(2*PI()*$C$3*B1379)</f>
        <v/>
      </c>
      <c r="I1379" s="26">
        <f>E1379*G1379+F1379*H1379</f>
        <v/>
      </c>
    </row>
    <row r="1380">
      <c r="A1380" s="7" t="n">
        <v>1373</v>
      </c>
      <c r="B1380" s="26">
        <f>(A1380-1)/2000*$C$2</f>
        <v/>
      </c>
      <c r="C1380" s="7">
        <f>INDEX(Bits!$E$25:$E$124,INT(B1380)+1)</f>
        <v/>
      </c>
      <c r="D1380" s="7">
        <f>MAX(1,MIN(INT(B1380/$C$4)+1,$C$5))</f>
        <v/>
      </c>
      <c r="E1380" s="26">
        <f>IF($C$5=0,0,INDEX(Symboles!$G$6:$G$101,D1380))</f>
        <v/>
      </c>
      <c r="F1380" s="26">
        <f>IF($C$5=0,0,INDEX(Symboles!$H$6:$H$101,D1380))</f>
        <v/>
      </c>
      <c r="G1380" s="26">
        <f>COS(2*PI()*$C$3*B1380)</f>
        <v/>
      </c>
      <c r="H1380" s="26">
        <f>SIN(2*PI()*$C$3*B1380)</f>
        <v/>
      </c>
      <c r="I1380" s="26">
        <f>E1380*G1380+F1380*H1380</f>
        <v/>
      </c>
    </row>
    <row r="1381">
      <c r="A1381" s="7" t="n">
        <v>1374</v>
      </c>
      <c r="B1381" s="26">
        <f>(A1381-1)/2000*$C$2</f>
        <v/>
      </c>
      <c r="C1381" s="7">
        <f>INDEX(Bits!$E$25:$E$124,INT(B1381)+1)</f>
        <v/>
      </c>
      <c r="D1381" s="7">
        <f>MAX(1,MIN(INT(B1381/$C$4)+1,$C$5))</f>
        <v/>
      </c>
      <c r="E1381" s="26">
        <f>IF($C$5=0,0,INDEX(Symboles!$G$6:$G$101,D1381))</f>
        <v/>
      </c>
      <c r="F1381" s="26">
        <f>IF($C$5=0,0,INDEX(Symboles!$H$6:$H$101,D1381))</f>
        <v/>
      </c>
      <c r="G1381" s="26">
        <f>COS(2*PI()*$C$3*B1381)</f>
        <v/>
      </c>
      <c r="H1381" s="26">
        <f>SIN(2*PI()*$C$3*B1381)</f>
        <v/>
      </c>
      <c r="I1381" s="26">
        <f>E1381*G1381+F1381*H1381</f>
        <v/>
      </c>
    </row>
    <row r="1382">
      <c r="A1382" s="7" t="n">
        <v>1375</v>
      </c>
      <c r="B1382" s="26">
        <f>(A1382-1)/2000*$C$2</f>
        <v/>
      </c>
      <c r="C1382" s="7">
        <f>INDEX(Bits!$E$25:$E$124,INT(B1382)+1)</f>
        <v/>
      </c>
      <c r="D1382" s="7">
        <f>MAX(1,MIN(INT(B1382/$C$4)+1,$C$5))</f>
        <v/>
      </c>
      <c r="E1382" s="26">
        <f>IF($C$5=0,0,INDEX(Symboles!$G$6:$G$101,D1382))</f>
        <v/>
      </c>
      <c r="F1382" s="26">
        <f>IF($C$5=0,0,INDEX(Symboles!$H$6:$H$101,D1382))</f>
        <v/>
      </c>
      <c r="G1382" s="26">
        <f>COS(2*PI()*$C$3*B1382)</f>
        <v/>
      </c>
      <c r="H1382" s="26">
        <f>SIN(2*PI()*$C$3*B1382)</f>
        <v/>
      </c>
      <c r="I1382" s="26">
        <f>E1382*G1382+F1382*H1382</f>
        <v/>
      </c>
    </row>
    <row r="1383">
      <c r="A1383" s="7" t="n">
        <v>1376</v>
      </c>
      <c r="B1383" s="26">
        <f>(A1383-1)/2000*$C$2</f>
        <v/>
      </c>
      <c r="C1383" s="7">
        <f>INDEX(Bits!$E$25:$E$124,INT(B1383)+1)</f>
        <v/>
      </c>
      <c r="D1383" s="7">
        <f>MAX(1,MIN(INT(B1383/$C$4)+1,$C$5))</f>
        <v/>
      </c>
      <c r="E1383" s="26">
        <f>IF($C$5=0,0,INDEX(Symboles!$G$6:$G$101,D1383))</f>
        <v/>
      </c>
      <c r="F1383" s="26">
        <f>IF($C$5=0,0,INDEX(Symboles!$H$6:$H$101,D1383))</f>
        <v/>
      </c>
      <c r="G1383" s="26">
        <f>COS(2*PI()*$C$3*B1383)</f>
        <v/>
      </c>
      <c r="H1383" s="26">
        <f>SIN(2*PI()*$C$3*B1383)</f>
        <v/>
      </c>
      <c r="I1383" s="26">
        <f>E1383*G1383+F1383*H1383</f>
        <v/>
      </c>
    </row>
    <row r="1384">
      <c r="A1384" s="7" t="n">
        <v>1377</v>
      </c>
      <c r="B1384" s="26">
        <f>(A1384-1)/2000*$C$2</f>
        <v/>
      </c>
      <c r="C1384" s="7">
        <f>INDEX(Bits!$E$25:$E$124,INT(B1384)+1)</f>
        <v/>
      </c>
      <c r="D1384" s="7">
        <f>MAX(1,MIN(INT(B1384/$C$4)+1,$C$5))</f>
        <v/>
      </c>
      <c r="E1384" s="26">
        <f>IF($C$5=0,0,INDEX(Symboles!$G$6:$G$101,D1384))</f>
        <v/>
      </c>
      <c r="F1384" s="26">
        <f>IF($C$5=0,0,INDEX(Symboles!$H$6:$H$101,D1384))</f>
        <v/>
      </c>
      <c r="G1384" s="26">
        <f>COS(2*PI()*$C$3*B1384)</f>
        <v/>
      </c>
      <c r="H1384" s="26">
        <f>SIN(2*PI()*$C$3*B1384)</f>
        <v/>
      </c>
      <c r="I1384" s="26">
        <f>E1384*G1384+F1384*H1384</f>
        <v/>
      </c>
    </row>
    <row r="1385">
      <c r="A1385" s="7" t="n">
        <v>1378</v>
      </c>
      <c r="B1385" s="26">
        <f>(A1385-1)/2000*$C$2</f>
        <v/>
      </c>
      <c r="C1385" s="7">
        <f>INDEX(Bits!$E$25:$E$124,INT(B1385)+1)</f>
        <v/>
      </c>
      <c r="D1385" s="7">
        <f>MAX(1,MIN(INT(B1385/$C$4)+1,$C$5))</f>
        <v/>
      </c>
      <c r="E1385" s="26">
        <f>IF($C$5=0,0,INDEX(Symboles!$G$6:$G$101,D1385))</f>
        <v/>
      </c>
      <c r="F1385" s="26">
        <f>IF($C$5=0,0,INDEX(Symboles!$H$6:$H$101,D1385))</f>
        <v/>
      </c>
      <c r="G1385" s="26">
        <f>COS(2*PI()*$C$3*B1385)</f>
        <v/>
      </c>
      <c r="H1385" s="26">
        <f>SIN(2*PI()*$C$3*B1385)</f>
        <v/>
      </c>
      <c r="I1385" s="26">
        <f>E1385*G1385+F1385*H1385</f>
        <v/>
      </c>
    </row>
    <row r="1386">
      <c r="A1386" s="7" t="n">
        <v>1379</v>
      </c>
      <c r="B1386" s="26">
        <f>(A1386-1)/2000*$C$2</f>
        <v/>
      </c>
      <c r="C1386" s="7">
        <f>INDEX(Bits!$E$25:$E$124,INT(B1386)+1)</f>
        <v/>
      </c>
      <c r="D1386" s="7">
        <f>MAX(1,MIN(INT(B1386/$C$4)+1,$C$5))</f>
        <v/>
      </c>
      <c r="E1386" s="26">
        <f>IF($C$5=0,0,INDEX(Symboles!$G$6:$G$101,D1386))</f>
        <v/>
      </c>
      <c r="F1386" s="26">
        <f>IF($C$5=0,0,INDEX(Symboles!$H$6:$H$101,D1386))</f>
        <v/>
      </c>
      <c r="G1386" s="26">
        <f>COS(2*PI()*$C$3*B1386)</f>
        <v/>
      </c>
      <c r="H1386" s="26">
        <f>SIN(2*PI()*$C$3*B1386)</f>
        <v/>
      </c>
      <c r="I1386" s="26">
        <f>E1386*G1386+F1386*H1386</f>
        <v/>
      </c>
    </row>
    <row r="1387">
      <c r="A1387" s="7" t="n">
        <v>1380</v>
      </c>
      <c r="B1387" s="26">
        <f>(A1387-1)/2000*$C$2</f>
        <v/>
      </c>
      <c r="C1387" s="7">
        <f>INDEX(Bits!$E$25:$E$124,INT(B1387)+1)</f>
        <v/>
      </c>
      <c r="D1387" s="7">
        <f>MAX(1,MIN(INT(B1387/$C$4)+1,$C$5))</f>
        <v/>
      </c>
      <c r="E1387" s="26">
        <f>IF($C$5=0,0,INDEX(Symboles!$G$6:$G$101,D1387))</f>
        <v/>
      </c>
      <c r="F1387" s="26">
        <f>IF($C$5=0,0,INDEX(Symboles!$H$6:$H$101,D1387))</f>
        <v/>
      </c>
      <c r="G1387" s="26">
        <f>COS(2*PI()*$C$3*B1387)</f>
        <v/>
      </c>
      <c r="H1387" s="26">
        <f>SIN(2*PI()*$C$3*B1387)</f>
        <v/>
      </c>
      <c r="I1387" s="26">
        <f>E1387*G1387+F1387*H1387</f>
        <v/>
      </c>
    </row>
    <row r="1388">
      <c r="A1388" s="7" t="n">
        <v>1381</v>
      </c>
      <c r="B1388" s="26">
        <f>(A1388-1)/2000*$C$2</f>
        <v/>
      </c>
      <c r="C1388" s="7">
        <f>INDEX(Bits!$E$25:$E$124,INT(B1388)+1)</f>
        <v/>
      </c>
      <c r="D1388" s="7">
        <f>MAX(1,MIN(INT(B1388/$C$4)+1,$C$5))</f>
        <v/>
      </c>
      <c r="E1388" s="26">
        <f>IF($C$5=0,0,INDEX(Symboles!$G$6:$G$101,D1388))</f>
        <v/>
      </c>
      <c r="F1388" s="26">
        <f>IF($C$5=0,0,INDEX(Symboles!$H$6:$H$101,D1388))</f>
        <v/>
      </c>
      <c r="G1388" s="26">
        <f>COS(2*PI()*$C$3*B1388)</f>
        <v/>
      </c>
      <c r="H1388" s="26">
        <f>SIN(2*PI()*$C$3*B1388)</f>
        <v/>
      </c>
      <c r="I1388" s="26">
        <f>E1388*G1388+F1388*H1388</f>
        <v/>
      </c>
    </row>
    <row r="1389">
      <c r="A1389" s="7" t="n">
        <v>1382</v>
      </c>
      <c r="B1389" s="26">
        <f>(A1389-1)/2000*$C$2</f>
        <v/>
      </c>
      <c r="C1389" s="7">
        <f>INDEX(Bits!$E$25:$E$124,INT(B1389)+1)</f>
        <v/>
      </c>
      <c r="D1389" s="7">
        <f>MAX(1,MIN(INT(B1389/$C$4)+1,$C$5))</f>
        <v/>
      </c>
      <c r="E1389" s="26">
        <f>IF($C$5=0,0,INDEX(Symboles!$G$6:$G$101,D1389))</f>
        <v/>
      </c>
      <c r="F1389" s="26">
        <f>IF($C$5=0,0,INDEX(Symboles!$H$6:$H$101,D1389))</f>
        <v/>
      </c>
      <c r="G1389" s="26">
        <f>COS(2*PI()*$C$3*B1389)</f>
        <v/>
      </c>
      <c r="H1389" s="26">
        <f>SIN(2*PI()*$C$3*B1389)</f>
        <v/>
      </c>
      <c r="I1389" s="26">
        <f>E1389*G1389+F1389*H1389</f>
        <v/>
      </c>
    </row>
    <row r="1390">
      <c r="A1390" s="7" t="n">
        <v>1383</v>
      </c>
      <c r="B1390" s="26">
        <f>(A1390-1)/2000*$C$2</f>
        <v/>
      </c>
      <c r="C1390" s="7">
        <f>INDEX(Bits!$E$25:$E$124,INT(B1390)+1)</f>
        <v/>
      </c>
      <c r="D1390" s="7">
        <f>MAX(1,MIN(INT(B1390/$C$4)+1,$C$5))</f>
        <v/>
      </c>
      <c r="E1390" s="26">
        <f>IF($C$5=0,0,INDEX(Symboles!$G$6:$G$101,D1390))</f>
        <v/>
      </c>
      <c r="F1390" s="26">
        <f>IF($C$5=0,0,INDEX(Symboles!$H$6:$H$101,D1390))</f>
        <v/>
      </c>
      <c r="G1390" s="26">
        <f>COS(2*PI()*$C$3*B1390)</f>
        <v/>
      </c>
      <c r="H1390" s="26">
        <f>SIN(2*PI()*$C$3*B1390)</f>
        <v/>
      </c>
      <c r="I1390" s="26">
        <f>E1390*G1390+F1390*H1390</f>
        <v/>
      </c>
    </row>
    <row r="1391">
      <c r="A1391" s="7" t="n">
        <v>1384</v>
      </c>
      <c r="B1391" s="26">
        <f>(A1391-1)/2000*$C$2</f>
        <v/>
      </c>
      <c r="C1391" s="7">
        <f>INDEX(Bits!$E$25:$E$124,INT(B1391)+1)</f>
        <v/>
      </c>
      <c r="D1391" s="7">
        <f>MAX(1,MIN(INT(B1391/$C$4)+1,$C$5))</f>
        <v/>
      </c>
      <c r="E1391" s="26">
        <f>IF($C$5=0,0,INDEX(Symboles!$G$6:$G$101,D1391))</f>
        <v/>
      </c>
      <c r="F1391" s="26">
        <f>IF($C$5=0,0,INDEX(Symboles!$H$6:$H$101,D1391))</f>
        <v/>
      </c>
      <c r="G1391" s="26">
        <f>COS(2*PI()*$C$3*B1391)</f>
        <v/>
      </c>
      <c r="H1391" s="26">
        <f>SIN(2*PI()*$C$3*B1391)</f>
        <v/>
      </c>
      <c r="I1391" s="26">
        <f>E1391*G1391+F1391*H1391</f>
        <v/>
      </c>
    </row>
    <row r="1392">
      <c r="A1392" s="7" t="n">
        <v>1385</v>
      </c>
      <c r="B1392" s="26">
        <f>(A1392-1)/2000*$C$2</f>
        <v/>
      </c>
      <c r="C1392" s="7">
        <f>INDEX(Bits!$E$25:$E$124,INT(B1392)+1)</f>
        <v/>
      </c>
      <c r="D1392" s="7">
        <f>MAX(1,MIN(INT(B1392/$C$4)+1,$C$5))</f>
        <v/>
      </c>
      <c r="E1392" s="26">
        <f>IF($C$5=0,0,INDEX(Symboles!$G$6:$G$101,D1392))</f>
        <v/>
      </c>
      <c r="F1392" s="26">
        <f>IF($C$5=0,0,INDEX(Symboles!$H$6:$H$101,D1392))</f>
        <v/>
      </c>
      <c r="G1392" s="26">
        <f>COS(2*PI()*$C$3*B1392)</f>
        <v/>
      </c>
      <c r="H1392" s="26">
        <f>SIN(2*PI()*$C$3*B1392)</f>
        <v/>
      </c>
      <c r="I1392" s="26">
        <f>E1392*G1392+F1392*H1392</f>
        <v/>
      </c>
    </row>
    <row r="1393">
      <c r="A1393" s="7" t="n">
        <v>1386</v>
      </c>
      <c r="B1393" s="26">
        <f>(A1393-1)/2000*$C$2</f>
        <v/>
      </c>
      <c r="C1393" s="7">
        <f>INDEX(Bits!$E$25:$E$124,INT(B1393)+1)</f>
        <v/>
      </c>
      <c r="D1393" s="7">
        <f>MAX(1,MIN(INT(B1393/$C$4)+1,$C$5))</f>
        <v/>
      </c>
      <c r="E1393" s="26">
        <f>IF($C$5=0,0,INDEX(Symboles!$G$6:$G$101,D1393))</f>
        <v/>
      </c>
      <c r="F1393" s="26">
        <f>IF($C$5=0,0,INDEX(Symboles!$H$6:$H$101,D1393))</f>
        <v/>
      </c>
      <c r="G1393" s="26">
        <f>COS(2*PI()*$C$3*B1393)</f>
        <v/>
      </c>
      <c r="H1393" s="26">
        <f>SIN(2*PI()*$C$3*B1393)</f>
        <v/>
      </c>
      <c r="I1393" s="26">
        <f>E1393*G1393+F1393*H1393</f>
        <v/>
      </c>
    </row>
    <row r="1394">
      <c r="A1394" s="7" t="n">
        <v>1387</v>
      </c>
      <c r="B1394" s="26">
        <f>(A1394-1)/2000*$C$2</f>
        <v/>
      </c>
      <c r="C1394" s="7">
        <f>INDEX(Bits!$E$25:$E$124,INT(B1394)+1)</f>
        <v/>
      </c>
      <c r="D1394" s="7">
        <f>MAX(1,MIN(INT(B1394/$C$4)+1,$C$5))</f>
        <v/>
      </c>
      <c r="E1394" s="26">
        <f>IF($C$5=0,0,INDEX(Symboles!$G$6:$G$101,D1394))</f>
        <v/>
      </c>
      <c r="F1394" s="26">
        <f>IF($C$5=0,0,INDEX(Symboles!$H$6:$H$101,D1394))</f>
        <v/>
      </c>
      <c r="G1394" s="26">
        <f>COS(2*PI()*$C$3*B1394)</f>
        <v/>
      </c>
      <c r="H1394" s="26">
        <f>SIN(2*PI()*$C$3*B1394)</f>
        <v/>
      </c>
      <c r="I1394" s="26">
        <f>E1394*G1394+F1394*H1394</f>
        <v/>
      </c>
    </row>
    <row r="1395">
      <c r="A1395" s="7" t="n">
        <v>1388</v>
      </c>
      <c r="B1395" s="26">
        <f>(A1395-1)/2000*$C$2</f>
        <v/>
      </c>
      <c r="C1395" s="7">
        <f>INDEX(Bits!$E$25:$E$124,INT(B1395)+1)</f>
        <v/>
      </c>
      <c r="D1395" s="7">
        <f>MAX(1,MIN(INT(B1395/$C$4)+1,$C$5))</f>
        <v/>
      </c>
      <c r="E1395" s="26">
        <f>IF($C$5=0,0,INDEX(Symboles!$G$6:$G$101,D1395))</f>
        <v/>
      </c>
      <c r="F1395" s="26">
        <f>IF($C$5=0,0,INDEX(Symboles!$H$6:$H$101,D1395))</f>
        <v/>
      </c>
      <c r="G1395" s="26">
        <f>COS(2*PI()*$C$3*B1395)</f>
        <v/>
      </c>
      <c r="H1395" s="26">
        <f>SIN(2*PI()*$C$3*B1395)</f>
        <v/>
      </c>
      <c r="I1395" s="26">
        <f>E1395*G1395+F1395*H1395</f>
        <v/>
      </c>
    </row>
    <row r="1396">
      <c r="A1396" s="7" t="n">
        <v>1389</v>
      </c>
      <c r="B1396" s="26">
        <f>(A1396-1)/2000*$C$2</f>
        <v/>
      </c>
      <c r="C1396" s="7">
        <f>INDEX(Bits!$E$25:$E$124,INT(B1396)+1)</f>
        <v/>
      </c>
      <c r="D1396" s="7">
        <f>MAX(1,MIN(INT(B1396/$C$4)+1,$C$5))</f>
        <v/>
      </c>
      <c r="E1396" s="26">
        <f>IF($C$5=0,0,INDEX(Symboles!$G$6:$G$101,D1396))</f>
        <v/>
      </c>
      <c r="F1396" s="26">
        <f>IF($C$5=0,0,INDEX(Symboles!$H$6:$H$101,D1396))</f>
        <v/>
      </c>
      <c r="G1396" s="26">
        <f>COS(2*PI()*$C$3*B1396)</f>
        <v/>
      </c>
      <c r="H1396" s="26">
        <f>SIN(2*PI()*$C$3*B1396)</f>
        <v/>
      </c>
      <c r="I1396" s="26">
        <f>E1396*G1396+F1396*H1396</f>
        <v/>
      </c>
    </row>
    <row r="1397">
      <c r="A1397" s="7" t="n">
        <v>1390</v>
      </c>
      <c r="B1397" s="26">
        <f>(A1397-1)/2000*$C$2</f>
        <v/>
      </c>
      <c r="C1397" s="7">
        <f>INDEX(Bits!$E$25:$E$124,INT(B1397)+1)</f>
        <v/>
      </c>
      <c r="D1397" s="7">
        <f>MAX(1,MIN(INT(B1397/$C$4)+1,$C$5))</f>
        <v/>
      </c>
      <c r="E1397" s="26">
        <f>IF($C$5=0,0,INDEX(Symboles!$G$6:$G$101,D1397))</f>
        <v/>
      </c>
      <c r="F1397" s="26">
        <f>IF($C$5=0,0,INDEX(Symboles!$H$6:$H$101,D1397))</f>
        <v/>
      </c>
      <c r="G1397" s="26">
        <f>COS(2*PI()*$C$3*B1397)</f>
        <v/>
      </c>
      <c r="H1397" s="26">
        <f>SIN(2*PI()*$C$3*B1397)</f>
        <v/>
      </c>
      <c r="I1397" s="26">
        <f>E1397*G1397+F1397*H1397</f>
        <v/>
      </c>
    </row>
    <row r="1398">
      <c r="A1398" s="7" t="n">
        <v>1391</v>
      </c>
      <c r="B1398" s="26">
        <f>(A1398-1)/2000*$C$2</f>
        <v/>
      </c>
      <c r="C1398" s="7">
        <f>INDEX(Bits!$E$25:$E$124,INT(B1398)+1)</f>
        <v/>
      </c>
      <c r="D1398" s="7">
        <f>MAX(1,MIN(INT(B1398/$C$4)+1,$C$5))</f>
        <v/>
      </c>
      <c r="E1398" s="26">
        <f>IF($C$5=0,0,INDEX(Symboles!$G$6:$G$101,D1398))</f>
        <v/>
      </c>
      <c r="F1398" s="26">
        <f>IF($C$5=0,0,INDEX(Symboles!$H$6:$H$101,D1398))</f>
        <v/>
      </c>
      <c r="G1398" s="26">
        <f>COS(2*PI()*$C$3*B1398)</f>
        <v/>
      </c>
      <c r="H1398" s="26">
        <f>SIN(2*PI()*$C$3*B1398)</f>
        <v/>
      </c>
      <c r="I1398" s="26">
        <f>E1398*G1398+F1398*H1398</f>
        <v/>
      </c>
    </row>
    <row r="1399">
      <c r="A1399" s="7" t="n">
        <v>1392</v>
      </c>
      <c r="B1399" s="26">
        <f>(A1399-1)/2000*$C$2</f>
        <v/>
      </c>
      <c r="C1399" s="7">
        <f>INDEX(Bits!$E$25:$E$124,INT(B1399)+1)</f>
        <v/>
      </c>
      <c r="D1399" s="7">
        <f>MAX(1,MIN(INT(B1399/$C$4)+1,$C$5))</f>
        <v/>
      </c>
      <c r="E1399" s="26">
        <f>IF($C$5=0,0,INDEX(Symboles!$G$6:$G$101,D1399))</f>
        <v/>
      </c>
      <c r="F1399" s="26">
        <f>IF($C$5=0,0,INDEX(Symboles!$H$6:$H$101,D1399))</f>
        <v/>
      </c>
      <c r="G1399" s="26">
        <f>COS(2*PI()*$C$3*B1399)</f>
        <v/>
      </c>
      <c r="H1399" s="26">
        <f>SIN(2*PI()*$C$3*B1399)</f>
        <v/>
      </c>
      <c r="I1399" s="26">
        <f>E1399*G1399+F1399*H1399</f>
        <v/>
      </c>
    </row>
    <row r="1400">
      <c r="A1400" s="7" t="n">
        <v>1393</v>
      </c>
      <c r="B1400" s="26">
        <f>(A1400-1)/2000*$C$2</f>
        <v/>
      </c>
      <c r="C1400" s="7">
        <f>INDEX(Bits!$E$25:$E$124,INT(B1400)+1)</f>
        <v/>
      </c>
      <c r="D1400" s="7">
        <f>MAX(1,MIN(INT(B1400/$C$4)+1,$C$5))</f>
        <v/>
      </c>
      <c r="E1400" s="26">
        <f>IF($C$5=0,0,INDEX(Symboles!$G$6:$G$101,D1400))</f>
        <v/>
      </c>
      <c r="F1400" s="26">
        <f>IF($C$5=0,0,INDEX(Symboles!$H$6:$H$101,D1400))</f>
        <v/>
      </c>
      <c r="G1400" s="26">
        <f>COS(2*PI()*$C$3*B1400)</f>
        <v/>
      </c>
      <c r="H1400" s="26">
        <f>SIN(2*PI()*$C$3*B1400)</f>
        <v/>
      </c>
      <c r="I1400" s="26">
        <f>E1400*G1400+F1400*H1400</f>
        <v/>
      </c>
    </row>
    <row r="1401">
      <c r="A1401" s="7" t="n">
        <v>1394</v>
      </c>
      <c r="B1401" s="26">
        <f>(A1401-1)/2000*$C$2</f>
        <v/>
      </c>
      <c r="C1401" s="7">
        <f>INDEX(Bits!$E$25:$E$124,INT(B1401)+1)</f>
        <v/>
      </c>
      <c r="D1401" s="7">
        <f>MAX(1,MIN(INT(B1401/$C$4)+1,$C$5))</f>
        <v/>
      </c>
      <c r="E1401" s="26">
        <f>IF($C$5=0,0,INDEX(Symboles!$G$6:$G$101,D1401))</f>
        <v/>
      </c>
      <c r="F1401" s="26">
        <f>IF($C$5=0,0,INDEX(Symboles!$H$6:$H$101,D1401))</f>
        <v/>
      </c>
      <c r="G1401" s="26">
        <f>COS(2*PI()*$C$3*B1401)</f>
        <v/>
      </c>
      <c r="H1401" s="26">
        <f>SIN(2*PI()*$C$3*B1401)</f>
        <v/>
      </c>
      <c r="I1401" s="26">
        <f>E1401*G1401+F1401*H1401</f>
        <v/>
      </c>
    </row>
    <row r="1402">
      <c r="A1402" s="7" t="n">
        <v>1395</v>
      </c>
      <c r="B1402" s="26">
        <f>(A1402-1)/2000*$C$2</f>
        <v/>
      </c>
      <c r="C1402" s="7">
        <f>INDEX(Bits!$E$25:$E$124,INT(B1402)+1)</f>
        <v/>
      </c>
      <c r="D1402" s="7">
        <f>MAX(1,MIN(INT(B1402/$C$4)+1,$C$5))</f>
        <v/>
      </c>
      <c r="E1402" s="26">
        <f>IF($C$5=0,0,INDEX(Symboles!$G$6:$G$101,D1402))</f>
        <v/>
      </c>
      <c r="F1402" s="26">
        <f>IF($C$5=0,0,INDEX(Symboles!$H$6:$H$101,D1402))</f>
        <v/>
      </c>
      <c r="G1402" s="26">
        <f>COS(2*PI()*$C$3*B1402)</f>
        <v/>
      </c>
      <c r="H1402" s="26">
        <f>SIN(2*PI()*$C$3*B1402)</f>
        <v/>
      </c>
      <c r="I1402" s="26">
        <f>E1402*G1402+F1402*H1402</f>
        <v/>
      </c>
    </row>
    <row r="1403">
      <c r="A1403" s="7" t="n">
        <v>1396</v>
      </c>
      <c r="B1403" s="26">
        <f>(A1403-1)/2000*$C$2</f>
        <v/>
      </c>
      <c r="C1403" s="7">
        <f>INDEX(Bits!$E$25:$E$124,INT(B1403)+1)</f>
        <v/>
      </c>
      <c r="D1403" s="7">
        <f>MAX(1,MIN(INT(B1403/$C$4)+1,$C$5))</f>
        <v/>
      </c>
      <c r="E1403" s="26">
        <f>IF($C$5=0,0,INDEX(Symboles!$G$6:$G$101,D1403))</f>
        <v/>
      </c>
      <c r="F1403" s="26">
        <f>IF($C$5=0,0,INDEX(Symboles!$H$6:$H$101,D1403))</f>
        <v/>
      </c>
      <c r="G1403" s="26">
        <f>COS(2*PI()*$C$3*B1403)</f>
        <v/>
      </c>
      <c r="H1403" s="26">
        <f>SIN(2*PI()*$C$3*B1403)</f>
        <v/>
      </c>
      <c r="I1403" s="26">
        <f>E1403*G1403+F1403*H1403</f>
        <v/>
      </c>
    </row>
    <row r="1404">
      <c r="A1404" s="7" t="n">
        <v>1397</v>
      </c>
      <c r="B1404" s="26">
        <f>(A1404-1)/2000*$C$2</f>
        <v/>
      </c>
      <c r="C1404" s="7">
        <f>INDEX(Bits!$E$25:$E$124,INT(B1404)+1)</f>
        <v/>
      </c>
      <c r="D1404" s="7">
        <f>MAX(1,MIN(INT(B1404/$C$4)+1,$C$5))</f>
        <v/>
      </c>
      <c r="E1404" s="26">
        <f>IF($C$5=0,0,INDEX(Symboles!$G$6:$G$101,D1404))</f>
        <v/>
      </c>
      <c r="F1404" s="26">
        <f>IF($C$5=0,0,INDEX(Symboles!$H$6:$H$101,D1404))</f>
        <v/>
      </c>
      <c r="G1404" s="26">
        <f>COS(2*PI()*$C$3*B1404)</f>
        <v/>
      </c>
      <c r="H1404" s="26">
        <f>SIN(2*PI()*$C$3*B1404)</f>
        <v/>
      </c>
      <c r="I1404" s="26">
        <f>E1404*G1404+F1404*H1404</f>
        <v/>
      </c>
    </row>
    <row r="1405">
      <c r="A1405" s="7" t="n">
        <v>1398</v>
      </c>
      <c r="B1405" s="26">
        <f>(A1405-1)/2000*$C$2</f>
        <v/>
      </c>
      <c r="C1405" s="7">
        <f>INDEX(Bits!$E$25:$E$124,INT(B1405)+1)</f>
        <v/>
      </c>
      <c r="D1405" s="7">
        <f>MAX(1,MIN(INT(B1405/$C$4)+1,$C$5))</f>
        <v/>
      </c>
      <c r="E1405" s="26">
        <f>IF($C$5=0,0,INDEX(Symboles!$G$6:$G$101,D1405))</f>
        <v/>
      </c>
      <c r="F1405" s="26">
        <f>IF($C$5=0,0,INDEX(Symboles!$H$6:$H$101,D1405))</f>
        <v/>
      </c>
      <c r="G1405" s="26">
        <f>COS(2*PI()*$C$3*B1405)</f>
        <v/>
      </c>
      <c r="H1405" s="26">
        <f>SIN(2*PI()*$C$3*B1405)</f>
        <v/>
      </c>
      <c r="I1405" s="26">
        <f>E1405*G1405+F1405*H1405</f>
        <v/>
      </c>
    </row>
    <row r="1406">
      <c r="A1406" s="7" t="n">
        <v>1399</v>
      </c>
      <c r="B1406" s="26">
        <f>(A1406-1)/2000*$C$2</f>
        <v/>
      </c>
      <c r="C1406" s="7">
        <f>INDEX(Bits!$E$25:$E$124,INT(B1406)+1)</f>
        <v/>
      </c>
      <c r="D1406" s="7">
        <f>MAX(1,MIN(INT(B1406/$C$4)+1,$C$5))</f>
        <v/>
      </c>
      <c r="E1406" s="26">
        <f>IF($C$5=0,0,INDEX(Symboles!$G$6:$G$101,D1406))</f>
        <v/>
      </c>
      <c r="F1406" s="26">
        <f>IF($C$5=0,0,INDEX(Symboles!$H$6:$H$101,D1406))</f>
        <v/>
      </c>
      <c r="G1406" s="26">
        <f>COS(2*PI()*$C$3*B1406)</f>
        <v/>
      </c>
      <c r="H1406" s="26">
        <f>SIN(2*PI()*$C$3*B1406)</f>
        <v/>
      </c>
      <c r="I1406" s="26">
        <f>E1406*G1406+F1406*H1406</f>
        <v/>
      </c>
    </row>
    <row r="1407">
      <c r="A1407" s="7" t="n">
        <v>1400</v>
      </c>
      <c r="B1407" s="26">
        <f>(A1407-1)/2000*$C$2</f>
        <v/>
      </c>
      <c r="C1407" s="7">
        <f>INDEX(Bits!$E$25:$E$124,INT(B1407)+1)</f>
        <v/>
      </c>
      <c r="D1407" s="7">
        <f>MAX(1,MIN(INT(B1407/$C$4)+1,$C$5))</f>
        <v/>
      </c>
      <c r="E1407" s="26">
        <f>IF($C$5=0,0,INDEX(Symboles!$G$6:$G$101,D1407))</f>
        <v/>
      </c>
      <c r="F1407" s="26">
        <f>IF($C$5=0,0,INDEX(Symboles!$H$6:$H$101,D1407))</f>
        <v/>
      </c>
      <c r="G1407" s="26">
        <f>COS(2*PI()*$C$3*B1407)</f>
        <v/>
      </c>
      <c r="H1407" s="26">
        <f>SIN(2*PI()*$C$3*B1407)</f>
        <v/>
      </c>
      <c r="I1407" s="26">
        <f>E1407*G1407+F1407*H1407</f>
        <v/>
      </c>
    </row>
    <row r="1408">
      <c r="A1408" s="7" t="n">
        <v>1401</v>
      </c>
      <c r="B1408" s="26">
        <f>(A1408-1)/2000*$C$2</f>
        <v/>
      </c>
      <c r="C1408" s="7">
        <f>INDEX(Bits!$E$25:$E$124,INT(B1408)+1)</f>
        <v/>
      </c>
      <c r="D1408" s="7">
        <f>MAX(1,MIN(INT(B1408/$C$4)+1,$C$5))</f>
        <v/>
      </c>
      <c r="E1408" s="26">
        <f>IF($C$5=0,0,INDEX(Symboles!$G$6:$G$101,D1408))</f>
        <v/>
      </c>
      <c r="F1408" s="26">
        <f>IF($C$5=0,0,INDEX(Symboles!$H$6:$H$101,D1408))</f>
        <v/>
      </c>
      <c r="G1408" s="26">
        <f>COS(2*PI()*$C$3*B1408)</f>
        <v/>
      </c>
      <c r="H1408" s="26">
        <f>SIN(2*PI()*$C$3*B1408)</f>
        <v/>
      </c>
      <c r="I1408" s="26">
        <f>E1408*G1408+F1408*H1408</f>
        <v/>
      </c>
    </row>
    <row r="1409">
      <c r="A1409" s="7" t="n">
        <v>1402</v>
      </c>
      <c r="B1409" s="26">
        <f>(A1409-1)/2000*$C$2</f>
        <v/>
      </c>
      <c r="C1409" s="7">
        <f>INDEX(Bits!$E$25:$E$124,INT(B1409)+1)</f>
        <v/>
      </c>
      <c r="D1409" s="7">
        <f>MAX(1,MIN(INT(B1409/$C$4)+1,$C$5))</f>
        <v/>
      </c>
      <c r="E1409" s="26">
        <f>IF($C$5=0,0,INDEX(Symboles!$G$6:$G$101,D1409))</f>
        <v/>
      </c>
      <c r="F1409" s="26">
        <f>IF($C$5=0,0,INDEX(Symboles!$H$6:$H$101,D1409))</f>
        <v/>
      </c>
      <c r="G1409" s="26">
        <f>COS(2*PI()*$C$3*B1409)</f>
        <v/>
      </c>
      <c r="H1409" s="26">
        <f>SIN(2*PI()*$C$3*B1409)</f>
        <v/>
      </c>
      <c r="I1409" s="26">
        <f>E1409*G1409+F1409*H1409</f>
        <v/>
      </c>
    </row>
    <row r="1410">
      <c r="A1410" s="7" t="n">
        <v>1403</v>
      </c>
      <c r="B1410" s="26">
        <f>(A1410-1)/2000*$C$2</f>
        <v/>
      </c>
      <c r="C1410" s="7">
        <f>INDEX(Bits!$E$25:$E$124,INT(B1410)+1)</f>
        <v/>
      </c>
      <c r="D1410" s="7">
        <f>MAX(1,MIN(INT(B1410/$C$4)+1,$C$5))</f>
        <v/>
      </c>
      <c r="E1410" s="26">
        <f>IF($C$5=0,0,INDEX(Symboles!$G$6:$G$101,D1410))</f>
        <v/>
      </c>
      <c r="F1410" s="26">
        <f>IF($C$5=0,0,INDEX(Symboles!$H$6:$H$101,D1410))</f>
        <v/>
      </c>
      <c r="G1410" s="26">
        <f>COS(2*PI()*$C$3*B1410)</f>
        <v/>
      </c>
      <c r="H1410" s="26">
        <f>SIN(2*PI()*$C$3*B1410)</f>
        <v/>
      </c>
      <c r="I1410" s="26">
        <f>E1410*G1410+F1410*H1410</f>
        <v/>
      </c>
    </row>
    <row r="1411">
      <c r="A1411" s="7" t="n">
        <v>1404</v>
      </c>
      <c r="B1411" s="26">
        <f>(A1411-1)/2000*$C$2</f>
        <v/>
      </c>
      <c r="C1411" s="7">
        <f>INDEX(Bits!$E$25:$E$124,INT(B1411)+1)</f>
        <v/>
      </c>
      <c r="D1411" s="7">
        <f>MAX(1,MIN(INT(B1411/$C$4)+1,$C$5))</f>
        <v/>
      </c>
      <c r="E1411" s="26">
        <f>IF($C$5=0,0,INDEX(Symboles!$G$6:$G$101,D1411))</f>
        <v/>
      </c>
      <c r="F1411" s="26">
        <f>IF($C$5=0,0,INDEX(Symboles!$H$6:$H$101,D1411))</f>
        <v/>
      </c>
      <c r="G1411" s="26">
        <f>COS(2*PI()*$C$3*B1411)</f>
        <v/>
      </c>
      <c r="H1411" s="26">
        <f>SIN(2*PI()*$C$3*B1411)</f>
        <v/>
      </c>
      <c r="I1411" s="26">
        <f>E1411*G1411+F1411*H1411</f>
        <v/>
      </c>
    </row>
    <row r="1412">
      <c r="A1412" s="7" t="n">
        <v>1405</v>
      </c>
      <c r="B1412" s="26">
        <f>(A1412-1)/2000*$C$2</f>
        <v/>
      </c>
      <c r="C1412" s="7">
        <f>INDEX(Bits!$E$25:$E$124,INT(B1412)+1)</f>
        <v/>
      </c>
      <c r="D1412" s="7">
        <f>MAX(1,MIN(INT(B1412/$C$4)+1,$C$5))</f>
        <v/>
      </c>
      <c r="E1412" s="26">
        <f>IF($C$5=0,0,INDEX(Symboles!$G$6:$G$101,D1412))</f>
        <v/>
      </c>
      <c r="F1412" s="26">
        <f>IF($C$5=0,0,INDEX(Symboles!$H$6:$H$101,D1412))</f>
        <v/>
      </c>
      <c r="G1412" s="26">
        <f>COS(2*PI()*$C$3*B1412)</f>
        <v/>
      </c>
      <c r="H1412" s="26">
        <f>SIN(2*PI()*$C$3*B1412)</f>
        <v/>
      </c>
      <c r="I1412" s="26">
        <f>E1412*G1412+F1412*H1412</f>
        <v/>
      </c>
    </row>
    <row r="1413">
      <c r="A1413" s="7" t="n">
        <v>1406</v>
      </c>
      <c r="B1413" s="26">
        <f>(A1413-1)/2000*$C$2</f>
        <v/>
      </c>
      <c r="C1413" s="7">
        <f>INDEX(Bits!$E$25:$E$124,INT(B1413)+1)</f>
        <v/>
      </c>
      <c r="D1413" s="7">
        <f>MAX(1,MIN(INT(B1413/$C$4)+1,$C$5))</f>
        <v/>
      </c>
      <c r="E1413" s="26">
        <f>IF($C$5=0,0,INDEX(Symboles!$G$6:$G$101,D1413))</f>
        <v/>
      </c>
      <c r="F1413" s="26">
        <f>IF($C$5=0,0,INDEX(Symboles!$H$6:$H$101,D1413))</f>
        <v/>
      </c>
      <c r="G1413" s="26">
        <f>COS(2*PI()*$C$3*B1413)</f>
        <v/>
      </c>
      <c r="H1413" s="26">
        <f>SIN(2*PI()*$C$3*B1413)</f>
        <v/>
      </c>
      <c r="I1413" s="26">
        <f>E1413*G1413+F1413*H1413</f>
        <v/>
      </c>
    </row>
    <row r="1414">
      <c r="A1414" s="7" t="n">
        <v>1407</v>
      </c>
      <c r="B1414" s="26">
        <f>(A1414-1)/2000*$C$2</f>
        <v/>
      </c>
      <c r="C1414" s="7">
        <f>INDEX(Bits!$E$25:$E$124,INT(B1414)+1)</f>
        <v/>
      </c>
      <c r="D1414" s="7">
        <f>MAX(1,MIN(INT(B1414/$C$4)+1,$C$5))</f>
        <v/>
      </c>
      <c r="E1414" s="26">
        <f>IF($C$5=0,0,INDEX(Symboles!$G$6:$G$101,D1414))</f>
        <v/>
      </c>
      <c r="F1414" s="26">
        <f>IF($C$5=0,0,INDEX(Symboles!$H$6:$H$101,D1414))</f>
        <v/>
      </c>
      <c r="G1414" s="26">
        <f>COS(2*PI()*$C$3*B1414)</f>
        <v/>
      </c>
      <c r="H1414" s="26">
        <f>SIN(2*PI()*$C$3*B1414)</f>
        <v/>
      </c>
      <c r="I1414" s="26">
        <f>E1414*G1414+F1414*H1414</f>
        <v/>
      </c>
    </row>
    <row r="1415">
      <c r="A1415" s="7" t="n">
        <v>1408</v>
      </c>
      <c r="B1415" s="26">
        <f>(A1415-1)/2000*$C$2</f>
        <v/>
      </c>
      <c r="C1415" s="7">
        <f>INDEX(Bits!$E$25:$E$124,INT(B1415)+1)</f>
        <v/>
      </c>
      <c r="D1415" s="7">
        <f>MAX(1,MIN(INT(B1415/$C$4)+1,$C$5))</f>
        <v/>
      </c>
      <c r="E1415" s="26">
        <f>IF($C$5=0,0,INDEX(Symboles!$G$6:$G$101,D1415))</f>
        <v/>
      </c>
      <c r="F1415" s="26">
        <f>IF($C$5=0,0,INDEX(Symboles!$H$6:$H$101,D1415))</f>
        <v/>
      </c>
      <c r="G1415" s="26">
        <f>COS(2*PI()*$C$3*B1415)</f>
        <v/>
      </c>
      <c r="H1415" s="26">
        <f>SIN(2*PI()*$C$3*B1415)</f>
        <v/>
      </c>
      <c r="I1415" s="26">
        <f>E1415*G1415+F1415*H1415</f>
        <v/>
      </c>
    </row>
    <row r="1416">
      <c r="A1416" s="7" t="n">
        <v>1409</v>
      </c>
      <c r="B1416" s="26">
        <f>(A1416-1)/2000*$C$2</f>
        <v/>
      </c>
      <c r="C1416" s="7">
        <f>INDEX(Bits!$E$25:$E$124,INT(B1416)+1)</f>
        <v/>
      </c>
      <c r="D1416" s="7">
        <f>MAX(1,MIN(INT(B1416/$C$4)+1,$C$5))</f>
        <v/>
      </c>
      <c r="E1416" s="26">
        <f>IF($C$5=0,0,INDEX(Symboles!$G$6:$G$101,D1416))</f>
        <v/>
      </c>
      <c r="F1416" s="26">
        <f>IF($C$5=0,0,INDEX(Symboles!$H$6:$H$101,D1416))</f>
        <v/>
      </c>
      <c r="G1416" s="26">
        <f>COS(2*PI()*$C$3*B1416)</f>
        <v/>
      </c>
      <c r="H1416" s="26">
        <f>SIN(2*PI()*$C$3*B1416)</f>
        <v/>
      </c>
      <c r="I1416" s="26">
        <f>E1416*G1416+F1416*H1416</f>
        <v/>
      </c>
    </row>
    <row r="1417">
      <c r="A1417" s="7" t="n">
        <v>1410</v>
      </c>
      <c r="B1417" s="26">
        <f>(A1417-1)/2000*$C$2</f>
        <v/>
      </c>
      <c r="C1417" s="7">
        <f>INDEX(Bits!$E$25:$E$124,INT(B1417)+1)</f>
        <v/>
      </c>
      <c r="D1417" s="7">
        <f>MAX(1,MIN(INT(B1417/$C$4)+1,$C$5))</f>
        <v/>
      </c>
      <c r="E1417" s="26">
        <f>IF($C$5=0,0,INDEX(Symboles!$G$6:$G$101,D1417))</f>
        <v/>
      </c>
      <c r="F1417" s="26">
        <f>IF($C$5=0,0,INDEX(Symboles!$H$6:$H$101,D1417))</f>
        <v/>
      </c>
      <c r="G1417" s="26">
        <f>COS(2*PI()*$C$3*B1417)</f>
        <v/>
      </c>
      <c r="H1417" s="26">
        <f>SIN(2*PI()*$C$3*B1417)</f>
        <v/>
      </c>
      <c r="I1417" s="26">
        <f>E1417*G1417+F1417*H1417</f>
        <v/>
      </c>
    </row>
    <row r="1418">
      <c r="A1418" s="7" t="n">
        <v>1411</v>
      </c>
      <c r="B1418" s="26">
        <f>(A1418-1)/2000*$C$2</f>
        <v/>
      </c>
      <c r="C1418" s="7">
        <f>INDEX(Bits!$E$25:$E$124,INT(B1418)+1)</f>
        <v/>
      </c>
      <c r="D1418" s="7">
        <f>MAX(1,MIN(INT(B1418/$C$4)+1,$C$5))</f>
        <v/>
      </c>
      <c r="E1418" s="26">
        <f>IF($C$5=0,0,INDEX(Symboles!$G$6:$G$101,D1418))</f>
        <v/>
      </c>
      <c r="F1418" s="26">
        <f>IF($C$5=0,0,INDEX(Symboles!$H$6:$H$101,D1418))</f>
        <v/>
      </c>
      <c r="G1418" s="26">
        <f>COS(2*PI()*$C$3*B1418)</f>
        <v/>
      </c>
      <c r="H1418" s="26">
        <f>SIN(2*PI()*$C$3*B1418)</f>
        <v/>
      </c>
      <c r="I1418" s="26">
        <f>E1418*G1418+F1418*H1418</f>
        <v/>
      </c>
    </row>
    <row r="1419">
      <c r="A1419" s="7" t="n">
        <v>1412</v>
      </c>
      <c r="B1419" s="26">
        <f>(A1419-1)/2000*$C$2</f>
        <v/>
      </c>
      <c r="C1419" s="7">
        <f>INDEX(Bits!$E$25:$E$124,INT(B1419)+1)</f>
        <v/>
      </c>
      <c r="D1419" s="7">
        <f>MAX(1,MIN(INT(B1419/$C$4)+1,$C$5))</f>
        <v/>
      </c>
      <c r="E1419" s="26">
        <f>IF($C$5=0,0,INDEX(Symboles!$G$6:$G$101,D1419))</f>
        <v/>
      </c>
      <c r="F1419" s="26">
        <f>IF($C$5=0,0,INDEX(Symboles!$H$6:$H$101,D1419))</f>
        <v/>
      </c>
      <c r="G1419" s="26">
        <f>COS(2*PI()*$C$3*B1419)</f>
        <v/>
      </c>
      <c r="H1419" s="26">
        <f>SIN(2*PI()*$C$3*B1419)</f>
        <v/>
      </c>
      <c r="I1419" s="26">
        <f>E1419*G1419+F1419*H1419</f>
        <v/>
      </c>
    </row>
    <row r="1420">
      <c r="A1420" s="7" t="n">
        <v>1413</v>
      </c>
      <c r="B1420" s="26">
        <f>(A1420-1)/2000*$C$2</f>
        <v/>
      </c>
      <c r="C1420" s="7">
        <f>INDEX(Bits!$E$25:$E$124,INT(B1420)+1)</f>
        <v/>
      </c>
      <c r="D1420" s="7">
        <f>MAX(1,MIN(INT(B1420/$C$4)+1,$C$5))</f>
        <v/>
      </c>
      <c r="E1420" s="26">
        <f>IF($C$5=0,0,INDEX(Symboles!$G$6:$G$101,D1420))</f>
        <v/>
      </c>
      <c r="F1420" s="26">
        <f>IF($C$5=0,0,INDEX(Symboles!$H$6:$H$101,D1420))</f>
        <v/>
      </c>
      <c r="G1420" s="26">
        <f>COS(2*PI()*$C$3*B1420)</f>
        <v/>
      </c>
      <c r="H1420" s="26">
        <f>SIN(2*PI()*$C$3*B1420)</f>
        <v/>
      </c>
      <c r="I1420" s="26">
        <f>E1420*G1420+F1420*H1420</f>
        <v/>
      </c>
    </row>
    <row r="1421">
      <c r="A1421" s="7" t="n">
        <v>1414</v>
      </c>
      <c r="B1421" s="26">
        <f>(A1421-1)/2000*$C$2</f>
        <v/>
      </c>
      <c r="C1421" s="7">
        <f>INDEX(Bits!$E$25:$E$124,INT(B1421)+1)</f>
        <v/>
      </c>
      <c r="D1421" s="7">
        <f>MAX(1,MIN(INT(B1421/$C$4)+1,$C$5))</f>
        <v/>
      </c>
      <c r="E1421" s="26">
        <f>IF($C$5=0,0,INDEX(Symboles!$G$6:$G$101,D1421))</f>
        <v/>
      </c>
      <c r="F1421" s="26">
        <f>IF($C$5=0,0,INDEX(Symboles!$H$6:$H$101,D1421))</f>
        <v/>
      </c>
      <c r="G1421" s="26">
        <f>COS(2*PI()*$C$3*B1421)</f>
        <v/>
      </c>
      <c r="H1421" s="26">
        <f>SIN(2*PI()*$C$3*B1421)</f>
        <v/>
      </c>
      <c r="I1421" s="26">
        <f>E1421*G1421+F1421*H1421</f>
        <v/>
      </c>
    </row>
    <row r="1422">
      <c r="A1422" s="7" t="n">
        <v>1415</v>
      </c>
      <c r="B1422" s="26">
        <f>(A1422-1)/2000*$C$2</f>
        <v/>
      </c>
      <c r="C1422" s="7">
        <f>INDEX(Bits!$E$25:$E$124,INT(B1422)+1)</f>
        <v/>
      </c>
      <c r="D1422" s="7">
        <f>MAX(1,MIN(INT(B1422/$C$4)+1,$C$5))</f>
        <v/>
      </c>
      <c r="E1422" s="26">
        <f>IF($C$5=0,0,INDEX(Symboles!$G$6:$G$101,D1422))</f>
        <v/>
      </c>
      <c r="F1422" s="26">
        <f>IF($C$5=0,0,INDEX(Symboles!$H$6:$H$101,D1422))</f>
        <v/>
      </c>
      <c r="G1422" s="26">
        <f>COS(2*PI()*$C$3*B1422)</f>
        <v/>
      </c>
      <c r="H1422" s="26">
        <f>SIN(2*PI()*$C$3*B1422)</f>
        <v/>
      </c>
      <c r="I1422" s="26">
        <f>E1422*G1422+F1422*H1422</f>
        <v/>
      </c>
    </row>
    <row r="1423">
      <c r="A1423" s="7" t="n">
        <v>1416</v>
      </c>
      <c r="B1423" s="26">
        <f>(A1423-1)/2000*$C$2</f>
        <v/>
      </c>
      <c r="C1423" s="7">
        <f>INDEX(Bits!$E$25:$E$124,INT(B1423)+1)</f>
        <v/>
      </c>
      <c r="D1423" s="7">
        <f>MAX(1,MIN(INT(B1423/$C$4)+1,$C$5))</f>
        <v/>
      </c>
      <c r="E1423" s="26">
        <f>IF($C$5=0,0,INDEX(Symboles!$G$6:$G$101,D1423))</f>
        <v/>
      </c>
      <c r="F1423" s="26">
        <f>IF($C$5=0,0,INDEX(Symboles!$H$6:$H$101,D1423))</f>
        <v/>
      </c>
      <c r="G1423" s="26">
        <f>COS(2*PI()*$C$3*B1423)</f>
        <v/>
      </c>
      <c r="H1423" s="26">
        <f>SIN(2*PI()*$C$3*B1423)</f>
        <v/>
      </c>
      <c r="I1423" s="26">
        <f>E1423*G1423+F1423*H1423</f>
        <v/>
      </c>
    </row>
    <row r="1424">
      <c r="A1424" s="7" t="n">
        <v>1417</v>
      </c>
      <c r="B1424" s="26">
        <f>(A1424-1)/2000*$C$2</f>
        <v/>
      </c>
      <c r="C1424" s="7">
        <f>INDEX(Bits!$E$25:$E$124,INT(B1424)+1)</f>
        <v/>
      </c>
      <c r="D1424" s="7">
        <f>MAX(1,MIN(INT(B1424/$C$4)+1,$C$5))</f>
        <v/>
      </c>
      <c r="E1424" s="26">
        <f>IF($C$5=0,0,INDEX(Symboles!$G$6:$G$101,D1424))</f>
        <v/>
      </c>
      <c r="F1424" s="26">
        <f>IF($C$5=0,0,INDEX(Symboles!$H$6:$H$101,D1424))</f>
        <v/>
      </c>
      <c r="G1424" s="26">
        <f>COS(2*PI()*$C$3*B1424)</f>
        <v/>
      </c>
      <c r="H1424" s="26">
        <f>SIN(2*PI()*$C$3*B1424)</f>
        <v/>
      </c>
      <c r="I1424" s="26">
        <f>E1424*G1424+F1424*H1424</f>
        <v/>
      </c>
    </row>
    <row r="1425">
      <c r="A1425" s="7" t="n">
        <v>1418</v>
      </c>
      <c r="B1425" s="26">
        <f>(A1425-1)/2000*$C$2</f>
        <v/>
      </c>
      <c r="C1425" s="7">
        <f>INDEX(Bits!$E$25:$E$124,INT(B1425)+1)</f>
        <v/>
      </c>
      <c r="D1425" s="7">
        <f>MAX(1,MIN(INT(B1425/$C$4)+1,$C$5))</f>
        <v/>
      </c>
      <c r="E1425" s="26">
        <f>IF($C$5=0,0,INDEX(Symboles!$G$6:$G$101,D1425))</f>
        <v/>
      </c>
      <c r="F1425" s="26">
        <f>IF($C$5=0,0,INDEX(Symboles!$H$6:$H$101,D1425))</f>
        <v/>
      </c>
      <c r="G1425" s="26">
        <f>COS(2*PI()*$C$3*B1425)</f>
        <v/>
      </c>
      <c r="H1425" s="26">
        <f>SIN(2*PI()*$C$3*B1425)</f>
        <v/>
      </c>
      <c r="I1425" s="26">
        <f>E1425*G1425+F1425*H1425</f>
        <v/>
      </c>
    </row>
    <row r="1426">
      <c r="A1426" s="7" t="n">
        <v>1419</v>
      </c>
      <c r="B1426" s="26">
        <f>(A1426-1)/2000*$C$2</f>
        <v/>
      </c>
      <c r="C1426" s="7">
        <f>INDEX(Bits!$E$25:$E$124,INT(B1426)+1)</f>
        <v/>
      </c>
      <c r="D1426" s="7">
        <f>MAX(1,MIN(INT(B1426/$C$4)+1,$C$5))</f>
        <v/>
      </c>
      <c r="E1426" s="26">
        <f>IF($C$5=0,0,INDEX(Symboles!$G$6:$G$101,D1426))</f>
        <v/>
      </c>
      <c r="F1426" s="26">
        <f>IF($C$5=0,0,INDEX(Symboles!$H$6:$H$101,D1426))</f>
        <v/>
      </c>
      <c r="G1426" s="26">
        <f>COS(2*PI()*$C$3*B1426)</f>
        <v/>
      </c>
      <c r="H1426" s="26">
        <f>SIN(2*PI()*$C$3*B1426)</f>
        <v/>
      </c>
      <c r="I1426" s="26">
        <f>E1426*G1426+F1426*H1426</f>
        <v/>
      </c>
    </row>
    <row r="1427">
      <c r="A1427" s="7" t="n">
        <v>1420</v>
      </c>
      <c r="B1427" s="26">
        <f>(A1427-1)/2000*$C$2</f>
        <v/>
      </c>
      <c r="C1427" s="7">
        <f>INDEX(Bits!$E$25:$E$124,INT(B1427)+1)</f>
        <v/>
      </c>
      <c r="D1427" s="7">
        <f>MAX(1,MIN(INT(B1427/$C$4)+1,$C$5))</f>
        <v/>
      </c>
      <c r="E1427" s="26">
        <f>IF($C$5=0,0,INDEX(Symboles!$G$6:$G$101,D1427))</f>
        <v/>
      </c>
      <c r="F1427" s="26">
        <f>IF($C$5=0,0,INDEX(Symboles!$H$6:$H$101,D1427))</f>
        <v/>
      </c>
      <c r="G1427" s="26">
        <f>COS(2*PI()*$C$3*B1427)</f>
        <v/>
      </c>
      <c r="H1427" s="26">
        <f>SIN(2*PI()*$C$3*B1427)</f>
        <v/>
      </c>
      <c r="I1427" s="26">
        <f>E1427*G1427+F1427*H1427</f>
        <v/>
      </c>
    </row>
    <row r="1428">
      <c r="A1428" s="7" t="n">
        <v>1421</v>
      </c>
      <c r="B1428" s="26">
        <f>(A1428-1)/2000*$C$2</f>
        <v/>
      </c>
      <c r="C1428" s="7">
        <f>INDEX(Bits!$E$25:$E$124,INT(B1428)+1)</f>
        <v/>
      </c>
      <c r="D1428" s="7">
        <f>MAX(1,MIN(INT(B1428/$C$4)+1,$C$5))</f>
        <v/>
      </c>
      <c r="E1428" s="26">
        <f>IF($C$5=0,0,INDEX(Symboles!$G$6:$G$101,D1428))</f>
        <v/>
      </c>
      <c r="F1428" s="26">
        <f>IF($C$5=0,0,INDEX(Symboles!$H$6:$H$101,D1428))</f>
        <v/>
      </c>
      <c r="G1428" s="26">
        <f>COS(2*PI()*$C$3*B1428)</f>
        <v/>
      </c>
      <c r="H1428" s="26">
        <f>SIN(2*PI()*$C$3*B1428)</f>
        <v/>
      </c>
      <c r="I1428" s="26">
        <f>E1428*G1428+F1428*H1428</f>
        <v/>
      </c>
    </row>
    <row r="1429">
      <c r="A1429" s="7" t="n">
        <v>1422</v>
      </c>
      <c r="B1429" s="26">
        <f>(A1429-1)/2000*$C$2</f>
        <v/>
      </c>
      <c r="C1429" s="7">
        <f>INDEX(Bits!$E$25:$E$124,INT(B1429)+1)</f>
        <v/>
      </c>
      <c r="D1429" s="7">
        <f>MAX(1,MIN(INT(B1429/$C$4)+1,$C$5))</f>
        <v/>
      </c>
      <c r="E1429" s="26">
        <f>IF($C$5=0,0,INDEX(Symboles!$G$6:$G$101,D1429))</f>
        <v/>
      </c>
      <c r="F1429" s="26">
        <f>IF($C$5=0,0,INDEX(Symboles!$H$6:$H$101,D1429))</f>
        <v/>
      </c>
      <c r="G1429" s="26">
        <f>COS(2*PI()*$C$3*B1429)</f>
        <v/>
      </c>
      <c r="H1429" s="26">
        <f>SIN(2*PI()*$C$3*B1429)</f>
        <v/>
      </c>
      <c r="I1429" s="26">
        <f>E1429*G1429+F1429*H1429</f>
        <v/>
      </c>
    </row>
    <row r="1430">
      <c r="A1430" s="7" t="n">
        <v>1423</v>
      </c>
      <c r="B1430" s="26">
        <f>(A1430-1)/2000*$C$2</f>
        <v/>
      </c>
      <c r="C1430" s="7">
        <f>INDEX(Bits!$E$25:$E$124,INT(B1430)+1)</f>
        <v/>
      </c>
      <c r="D1430" s="7">
        <f>MAX(1,MIN(INT(B1430/$C$4)+1,$C$5))</f>
        <v/>
      </c>
      <c r="E1430" s="26">
        <f>IF($C$5=0,0,INDEX(Symboles!$G$6:$G$101,D1430))</f>
        <v/>
      </c>
      <c r="F1430" s="26">
        <f>IF($C$5=0,0,INDEX(Symboles!$H$6:$H$101,D1430))</f>
        <v/>
      </c>
      <c r="G1430" s="26">
        <f>COS(2*PI()*$C$3*B1430)</f>
        <v/>
      </c>
      <c r="H1430" s="26">
        <f>SIN(2*PI()*$C$3*B1430)</f>
        <v/>
      </c>
      <c r="I1430" s="26">
        <f>E1430*G1430+F1430*H1430</f>
        <v/>
      </c>
    </row>
    <row r="1431">
      <c r="A1431" s="7" t="n">
        <v>1424</v>
      </c>
      <c r="B1431" s="26">
        <f>(A1431-1)/2000*$C$2</f>
        <v/>
      </c>
      <c r="C1431" s="7">
        <f>INDEX(Bits!$E$25:$E$124,INT(B1431)+1)</f>
        <v/>
      </c>
      <c r="D1431" s="7">
        <f>MAX(1,MIN(INT(B1431/$C$4)+1,$C$5))</f>
        <v/>
      </c>
      <c r="E1431" s="26">
        <f>IF($C$5=0,0,INDEX(Symboles!$G$6:$G$101,D1431))</f>
        <v/>
      </c>
      <c r="F1431" s="26">
        <f>IF($C$5=0,0,INDEX(Symboles!$H$6:$H$101,D1431))</f>
        <v/>
      </c>
      <c r="G1431" s="26">
        <f>COS(2*PI()*$C$3*B1431)</f>
        <v/>
      </c>
      <c r="H1431" s="26">
        <f>SIN(2*PI()*$C$3*B1431)</f>
        <v/>
      </c>
      <c r="I1431" s="26">
        <f>E1431*G1431+F1431*H1431</f>
        <v/>
      </c>
    </row>
    <row r="1432">
      <c r="A1432" s="7" t="n">
        <v>1425</v>
      </c>
      <c r="B1432" s="26">
        <f>(A1432-1)/2000*$C$2</f>
        <v/>
      </c>
      <c r="C1432" s="7">
        <f>INDEX(Bits!$E$25:$E$124,INT(B1432)+1)</f>
        <v/>
      </c>
      <c r="D1432" s="7">
        <f>MAX(1,MIN(INT(B1432/$C$4)+1,$C$5))</f>
        <v/>
      </c>
      <c r="E1432" s="26">
        <f>IF($C$5=0,0,INDEX(Symboles!$G$6:$G$101,D1432))</f>
        <v/>
      </c>
      <c r="F1432" s="26">
        <f>IF($C$5=0,0,INDEX(Symboles!$H$6:$H$101,D1432))</f>
        <v/>
      </c>
      <c r="G1432" s="26">
        <f>COS(2*PI()*$C$3*B1432)</f>
        <v/>
      </c>
      <c r="H1432" s="26">
        <f>SIN(2*PI()*$C$3*B1432)</f>
        <v/>
      </c>
      <c r="I1432" s="26">
        <f>E1432*G1432+F1432*H1432</f>
        <v/>
      </c>
    </row>
    <row r="1433">
      <c r="A1433" s="7" t="n">
        <v>1426</v>
      </c>
      <c r="B1433" s="26">
        <f>(A1433-1)/2000*$C$2</f>
        <v/>
      </c>
      <c r="C1433" s="7">
        <f>INDEX(Bits!$E$25:$E$124,INT(B1433)+1)</f>
        <v/>
      </c>
      <c r="D1433" s="7">
        <f>MAX(1,MIN(INT(B1433/$C$4)+1,$C$5))</f>
        <v/>
      </c>
      <c r="E1433" s="26">
        <f>IF($C$5=0,0,INDEX(Symboles!$G$6:$G$101,D1433))</f>
        <v/>
      </c>
      <c r="F1433" s="26">
        <f>IF($C$5=0,0,INDEX(Symboles!$H$6:$H$101,D1433))</f>
        <v/>
      </c>
      <c r="G1433" s="26">
        <f>COS(2*PI()*$C$3*B1433)</f>
        <v/>
      </c>
      <c r="H1433" s="26">
        <f>SIN(2*PI()*$C$3*B1433)</f>
        <v/>
      </c>
      <c r="I1433" s="26">
        <f>E1433*G1433+F1433*H1433</f>
        <v/>
      </c>
    </row>
    <row r="1434">
      <c r="A1434" s="7" t="n">
        <v>1427</v>
      </c>
      <c r="B1434" s="26">
        <f>(A1434-1)/2000*$C$2</f>
        <v/>
      </c>
      <c r="C1434" s="7">
        <f>INDEX(Bits!$E$25:$E$124,INT(B1434)+1)</f>
        <v/>
      </c>
      <c r="D1434" s="7">
        <f>MAX(1,MIN(INT(B1434/$C$4)+1,$C$5))</f>
        <v/>
      </c>
      <c r="E1434" s="26">
        <f>IF($C$5=0,0,INDEX(Symboles!$G$6:$G$101,D1434))</f>
        <v/>
      </c>
      <c r="F1434" s="26">
        <f>IF($C$5=0,0,INDEX(Symboles!$H$6:$H$101,D1434))</f>
        <v/>
      </c>
      <c r="G1434" s="26">
        <f>COS(2*PI()*$C$3*B1434)</f>
        <v/>
      </c>
      <c r="H1434" s="26">
        <f>SIN(2*PI()*$C$3*B1434)</f>
        <v/>
      </c>
      <c r="I1434" s="26">
        <f>E1434*G1434+F1434*H1434</f>
        <v/>
      </c>
    </row>
    <row r="1435">
      <c r="A1435" s="7" t="n">
        <v>1428</v>
      </c>
      <c r="B1435" s="26">
        <f>(A1435-1)/2000*$C$2</f>
        <v/>
      </c>
      <c r="C1435" s="7">
        <f>INDEX(Bits!$E$25:$E$124,INT(B1435)+1)</f>
        <v/>
      </c>
      <c r="D1435" s="7">
        <f>MAX(1,MIN(INT(B1435/$C$4)+1,$C$5))</f>
        <v/>
      </c>
      <c r="E1435" s="26">
        <f>IF($C$5=0,0,INDEX(Symboles!$G$6:$G$101,D1435))</f>
        <v/>
      </c>
      <c r="F1435" s="26">
        <f>IF($C$5=0,0,INDEX(Symboles!$H$6:$H$101,D1435))</f>
        <v/>
      </c>
      <c r="G1435" s="26">
        <f>COS(2*PI()*$C$3*B1435)</f>
        <v/>
      </c>
      <c r="H1435" s="26">
        <f>SIN(2*PI()*$C$3*B1435)</f>
        <v/>
      </c>
      <c r="I1435" s="26">
        <f>E1435*G1435+F1435*H1435</f>
        <v/>
      </c>
    </row>
    <row r="1436">
      <c r="A1436" s="7" t="n">
        <v>1429</v>
      </c>
      <c r="B1436" s="26">
        <f>(A1436-1)/2000*$C$2</f>
        <v/>
      </c>
      <c r="C1436" s="7">
        <f>INDEX(Bits!$E$25:$E$124,INT(B1436)+1)</f>
        <v/>
      </c>
      <c r="D1436" s="7">
        <f>MAX(1,MIN(INT(B1436/$C$4)+1,$C$5))</f>
        <v/>
      </c>
      <c r="E1436" s="26">
        <f>IF($C$5=0,0,INDEX(Symboles!$G$6:$G$101,D1436))</f>
        <v/>
      </c>
      <c r="F1436" s="26">
        <f>IF($C$5=0,0,INDEX(Symboles!$H$6:$H$101,D1436))</f>
        <v/>
      </c>
      <c r="G1436" s="26">
        <f>COS(2*PI()*$C$3*B1436)</f>
        <v/>
      </c>
      <c r="H1436" s="26">
        <f>SIN(2*PI()*$C$3*B1436)</f>
        <v/>
      </c>
      <c r="I1436" s="26">
        <f>E1436*G1436+F1436*H1436</f>
        <v/>
      </c>
    </row>
    <row r="1437">
      <c r="A1437" s="7" t="n">
        <v>1430</v>
      </c>
      <c r="B1437" s="26">
        <f>(A1437-1)/2000*$C$2</f>
        <v/>
      </c>
      <c r="C1437" s="7">
        <f>INDEX(Bits!$E$25:$E$124,INT(B1437)+1)</f>
        <v/>
      </c>
      <c r="D1437" s="7">
        <f>MAX(1,MIN(INT(B1437/$C$4)+1,$C$5))</f>
        <v/>
      </c>
      <c r="E1437" s="26">
        <f>IF($C$5=0,0,INDEX(Symboles!$G$6:$G$101,D1437))</f>
        <v/>
      </c>
      <c r="F1437" s="26">
        <f>IF($C$5=0,0,INDEX(Symboles!$H$6:$H$101,D1437))</f>
        <v/>
      </c>
      <c r="G1437" s="26">
        <f>COS(2*PI()*$C$3*B1437)</f>
        <v/>
      </c>
      <c r="H1437" s="26">
        <f>SIN(2*PI()*$C$3*B1437)</f>
        <v/>
      </c>
      <c r="I1437" s="26">
        <f>E1437*G1437+F1437*H1437</f>
        <v/>
      </c>
    </row>
    <row r="1438">
      <c r="A1438" s="7" t="n">
        <v>1431</v>
      </c>
      <c r="B1438" s="26">
        <f>(A1438-1)/2000*$C$2</f>
        <v/>
      </c>
      <c r="C1438" s="7">
        <f>INDEX(Bits!$E$25:$E$124,INT(B1438)+1)</f>
        <v/>
      </c>
      <c r="D1438" s="7">
        <f>MAX(1,MIN(INT(B1438/$C$4)+1,$C$5))</f>
        <v/>
      </c>
      <c r="E1438" s="26">
        <f>IF($C$5=0,0,INDEX(Symboles!$G$6:$G$101,D1438))</f>
        <v/>
      </c>
      <c r="F1438" s="26">
        <f>IF($C$5=0,0,INDEX(Symboles!$H$6:$H$101,D1438))</f>
        <v/>
      </c>
      <c r="G1438" s="26">
        <f>COS(2*PI()*$C$3*B1438)</f>
        <v/>
      </c>
      <c r="H1438" s="26">
        <f>SIN(2*PI()*$C$3*B1438)</f>
        <v/>
      </c>
      <c r="I1438" s="26">
        <f>E1438*G1438+F1438*H1438</f>
        <v/>
      </c>
    </row>
    <row r="1439">
      <c r="A1439" s="7" t="n">
        <v>1432</v>
      </c>
      <c r="B1439" s="26">
        <f>(A1439-1)/2000*$C$2</f>
        <v/>
      </c>
      <c r="C1439" s="7">
        <f>INDEX(Bits!$E$25:$E$124,INT(B1439)+1)</f>
        <v/>
      </c>
      <c r="D1439" s="7">
        <f>MAX(1,MIN(INT(B1439/$C$4)+1,$C$5))</f>
        <v/>
      </c>
      <c r="E1439" s="26">
        <f>IF($C$5=0,0,INDEX(Symboles!$G$6:$G$101,D1439))</f>
        <v/>
      </c>
      <c r="F1439" s="26">
        <f>IF($C$5=0,0,INDEX(Symboles!$H$6:$H$101,D1439))</f>
        <v/>
      </c>
      <c r="G1439" s="26">
        <f>COS(2*PI()*$C$3*B1439)</f>
        <v/>
      </c>
      <c r="H1439" s="26">
        <f>SIN(2*PI()*$C$3*B1439)</f>
        <v/>
      </c>
      <c r="I1439" s="26">
        <f>E1439*G1439+F1439*H1439</f>
        <v/>
      </c>
    </row>
    <row r="1440">
      <c r="A1440" s="7" t="n">
        <v>1433</v>
      </c>
      <c r="B1440" s="26">
        <f>(A1440-1)/2000*$C$2</f>
        <v/>
      </c>
      <c r="C1440" s="7">
        <f>INDEX(Bits!$E$25:$E$124,INT(B1440)+1)</f>
        <v/>
      </c>
      <c r="D1440" s="7">
        <f>MAX(1,MIN(INT(B1440/$C$4)+1,$C$5))</f>
        <v/>
      </c>
      <c r="E1440" s="26">
        <f>IF($C$5=0,0,INDEX(Symboles!$G$6:$G$101,D1440))</f>
        <v/>
      </c>
      <c r="F1440" s="26">
        <f>IF($C$5=0,0,INDEX(Symboles!$H$6:$H$101,D1440))</f>
        <v/>
      </c>
      <c r="G1440" s="26">
        <f>COS(2*PI()*$C$3*B1440)</f>
        <v/>
      </c>
      <c r="H1440" s="26">
        <f>SIN(2*PI()*$C$3*B1440)</f>
        <v/>
      </c>
      <c r="I1440" s="26">
        <f>E1440*G1440+F1440*H1440</f>
        <v/>
      </c>
    </row>
    <row r="1441">
      <c r="A1441" s="7" t="n">
        <v>1434</v>
      </c>
      <c r="B1441" s="26">
        <f>(A1441-1)/2000*$C$2</f>
        <v/>
      </c>
      <c r="C1441" s="7">
        <f>INDEX(Bits!$E$25:$E$124,INT(B1441)+1)</f>
        <v/>
      </c>
      <c r="D1441" s="7">
        <f>MAX(1,MIN(INT(B1441/$C$4)+1,$C$5))</f>
        <v/>
      </c>
      <c r="E1441" s="26">
        <f>IF($C$5=0,0,INDEX(Symboles!$G$6:$G$101,D1441))</f>
        <v/>
      </c>
      <c r="F1441" s="26">
        <f>IF($C$5=0,0,INDEX(Symboles!$H$6:$H$101,D1441))</f>
        <v/>
      </c>
      <c r="G1441" s="26">
        <f>COS(2*PI()*$C$3*B1441)</f>
        <v/>
      </c>
      <c r="H1441" s="26">
        <f>SIN(2*PI()*$C$3*B1441)</f>
        <v/>
      </c>
      <c r="I1441" s="26">
        <f>E1441*G1441+F1441*H1441</f>
        <v/>
      </c>
    </row>
    <row r="1442">
      <c r="A1442" s="7" t="n">
        <v>1435</v>
      </c>
      <c r="B1442" s="26">
        <f>(A1442-1)/2000*$C$2</f>
        <v/>
      </c>
      <c r="C1442" s="7">
        <f>INDEX(Bits!$E$25:$E$124,INT(B1442)+1)</f>
        <v/>
      </c>
      <c r="D1442" s="7">
        <f>MAX(1,MIN(INT(B1442/$C$4)+1,$C$5))</f>
        <v/>
      </c>
      <c r="E1442" s="26">
        <f>IF($C$5=0,0,INDEX(Symboles!$G$6:$G$101,D1442))</f>
        <v/>
      </c>
      <c r="F1442" s="26">
        <f>IF($C$5=0,0,INDEX(Symboles!$H$6:$H$101,D1442))</f>
        <v/>
      </c>
      <c r="G1442" s="26">
        <f>COS(2*PI()*$C$3*B1442)</f>
        <v/>
      </c>
      <c r="H1442" s="26">
        <f>SIN(2*PI()*$C$3*B1442)</f>
        <v/>
      </c>
      <c r="I1442" s="26">
        <f>E1442*G1442+F1442*H1442</f>
        <v/>
      </c>
    </row>
    <row r="1443">
      <c r="A1443" s="7" t="n">
        <v>1436</v>
      </c>
      <c r="B1443" s="26">
        <f>(A1443-1)/2000*$C$2</f>
        <v/>
      </c>
      <c r="C1443" s="7">
        <f>INDEX(Bits!$E$25:$E$124,INT(B1443)+1)</f>
        <v/>
      </c>
      <c r="D1443" s="7">
        <f>MAX(1,MIN(INT(B1443/$C$4)+1,$C$5))</f>
        <v/>
      </c>
      <c r="E1443" s="26">
        <f>IF($C$5=0,0,INDEX(Symboles!$G$6:$G$101,D1443))</f>
        <v/>
      </c>
      <c r="F1443" s="26">
        <f>IF($C$5=0,0,INDEX(Symboles!$H$6:$H$101,D1443))</f>
        <v/>
      </c>
      <c r="G1443" s="26">
        <f>COS(2*PI()*$C$3*B1443)</f>
        <v/>
      </c>
      <c r="H1443" s="26">
        <f>SIN(2*PI()*$C$3*B1443)</f>
        <v/>
      </c>
      <c r="I1443" s="26">
        <f>E1443*G1443+F1443*H1443</f>
        <v/>
      </c>
    </row>
    <row r="1444">
      <c r="A1444" s="7" t="n">
        <v>1437</v>
      </c>
      <c r="B1444" s="26">
        <f>(A1444-1)/2000*$C$2</f>
        <v/>
      </c>
      <c r="C1444" s="7">
        <f>INDEX(Bits!$E$25:$E$124,INT(B1444)+1)</f>
        <v/>
      </c>
      <c r="D1444" s="7">
        <f>MAX(1,MIN(INT(B1444/$C$4)+1,$C$5))</f>
        <v/>
      </c>
      <c r="E1444" s="26">
        <f>IF($C$5=0,0,INDEX(Symboles!$G$6:$G$101,D1444))</f>
        <v/>
      </c>
      <c r="F1444" s="26">
        <f>IF($C$5=0,0,INDEX(Symboles!$H$6:$H$101,D1444))</f>
        <v/>
      </c>
      <c r="G1444" s="26">
        <f>COS(2*PI()*$C$3*B1444)</f>
        <v/>
      </c>
      <c r="H1444" s="26">
        <f>SIN(2*PI()*$C$3*B1444)</f>
        <v/>
      </c>
      <c r="I1444" s="26">
        <f>E1444*G1444+F1444*H1444</f>
        <v/>
      </c>
    </row>
    <row r="1445">
      <c r="A1445" s="7" t="n">
        <v>1438</v>
      </c>
      <c r="B1445" s="26">
        <f>(A1445-1)/2000*$C$2</f>
        <v/>
      </c>
      <c r="C1445" s="7">
        <f>INDEX(Bits!$E$25:$E$124,INT(B1445)+1)</f>
        <v/>
      </c>
      <c r="D1445" s="7">
        <f>MAX(1,MIN(INT(B1445/$C$4)+1,$C$5))</f>
        <v/>
      </c>
      <c r="E1445" s="26">
        <f>IF($C$5=0,0,INDEX(Symboles!$G$6:$G$101,D1445))</f>
        <v/>
      </c>
      <c r="F1445" s="26">
        <f>IF($C$5=0,0,INDEX(Symboles!$H$6:$H$101,D1445))</f>
        <v/>
      </c>
      <c r="G1445" s="26">
        <f>COS(2*PI()*$C$3*B1445)</f>
        <v/>
      </c>
      <c r="H1445" s="26">
        <f>SIN(2*PI()*$C$3*B1445)</f>
        <v/>
      </c>
      <c r="I1445" s="26">
        <f>E1445*G1445+F1445*H1445</f>
        <v/>
      </c>
    </row>
    <row r="1446">
      <c r="A1446" s="7" t="n">
        <v>1439</v>
      </c>
      <c r="B1446" s="26">
        <f>(A1446-1)/2000*$C$2</f>
        <v/>
      </c>
      <c r="C1446" s="7">
        <f>INDEX(Bits!$E$25:$E$124,INT(B1446)+1)</f>
        <v/>
      </c>
      <c r="D1446" s="7">
        <f>MAX(1,MIN(INT(B1446/$C$4)+1,$C$5))</f>
        <v/>
      </c>
      <c r="E1446" s="26">
        <f>IF($C$5=0,0,INDEX(Symboles!$G$6:$G$101,D1446))</f>
        <v/>
      </c>
      <c r="F1446" s="26">
        <f>IF($C$5=0,0,INDEX(Symboles!$H$6:$H$101,D1446))</f>
        <v/>
      </c>
      <c r="G1446" s="26">
        <f>COS(2*PI()*$C$3*B1446)</f>
        <v/>
      </c>
      <c r="H1446" s="26">
        <f>SIN(2*PI()*$C$3*B1446)</f>
        <v/>
      </c>
      <c r="I1446" s="26">
        <f>E1446*G1446+F1446*H1446</f>
        <v/>
      </c>
    </row>
    <row r="1447">
      <c r="A1447" s="7" t="n">
        <v>1440</v>
      </c>
      <c r="B1447" s="26">
        <f>(A1447-1)/2000*$C$2</f>
        <v/>
      </c>
      <c r="C1447" s="7">
        <f>INDEX(Bits!$E$25:$E$124,INT(B1447)+1)</f>
        <v/>
      </c>
      <c r="D1447" s="7">
        <f>MAX(1,MIN(INT(B1447/$C$4)+1,$C$5))</f>
        <v/>
      </c>
      <c r="E1447" s="26">
        <f>IF($C$5=0,0,INDEX(Symboles!$G$6:$G$101,D1447))</f>
        <v/>
      </c>
      <c r="F1447" s="26">
        <f>IF($C$5=0,0,INDEX(Symboles!$H$6:$H$101,D1447))</f>
        <v/>
      </c>
      <c r="G1447" s="26">
        <f>COS(2*PI()*$C$3*B1447)</f>
        <v/>
      </c>
      <c r="H1447" s="26">
        <f>SIN(2*PI()*$C$3*B1447)</f>
        <v/>
      </c>
      <c r="I1447" s="26">
        <f>E1447*G1447+F1447*H1447</f>
        <v/>
      </c>
    </row>
    <row r="1448">
      <c r="A1448" s="7" t="n">
        <v>1441</v>
      </c>
      <c r="B1448" s="26">
        <f>(A1448-1)/2000*$C$2</f>
        <v/>
      </c>
      <c r="C1448" s="7">
        <f>INDEX(Bits!$E$25:$E$124,INT(B1448)+1)</f>
        <v/>
      </c>
      <c r="D1448" s="7">
        <f>MAX(1,MIN(INT(B1448/$C$4)+1,$C$5))</f>
        <v/>
      </c>
      <c r="E1448" s="26">
        <f>IF($C$5=0,0,INDEX(Symboles!$G$6:$G$101,D1448))</f>
        <v/>
      </c>
      <c r="F1448" s="26">
        <f>IF($C$5=0,0,INDEX(Symboles!$H$6:$H$101,D1448))</f>
        <v/>
      </c>
      <c r="G1448" s="26">
        <f>COS(2*PI()*$C$3*B1448)</f>
        <v/>
      </c>
      <c r="H1448" s="26">
        <f>SIN(2*PI()*$C$3*B1448)</f>
        <v/>
      </c>
      <c r="I1448" s="26">
        <f>E1448*G1448+F1448*H1448</f>
        <v/>
      </c>
    </row>
    <row r="1449">
      <c r="A1449" s="7" t="n">
        <v>1442</v>
      </c>
      <c r="B1449" s="26">
        <f>(A1449-1)/2000*$C$2</f>
        <v/>
      </c>
      <c r="C1449" s="7">
        <f>INDEX(Bits!$E$25:$E$124,INT(B1449)+1)</f>
        <v/>
      </c>
      <c r="D1449" s="7">
        <f>MAX(1,MIN(INT(B1449/$C$4)+1,$C$5))</f>
        <v/>
      </c>
      <c r="E1449" s="26">
        <f>IF($C$5=0,0,INDEX(Symboles!$G$6:$G$101,D1449))</f>
        <v/>
      </c>
      <c r="F1449" s="26">
        <f>IF($C$5=0,0,INDEX(Symboles!$H$6:$H$101,D1449))</f>
        <v/>
      </c>
      <c r="G1449" s="26">
        <f>COS(2*PI()*$C$3*B1449)</f>
        <v/>
      </c>
      <c r="H1449" s="26">
        <f>SIN(2*PI()*$C$3*B1449)</f>
        <v/>
      </c>
      <c r="I1449" s="26">
        <f>E1449*G1449+F1449*H1449</f>
        <v/>
      </c>
    </row>
    <row r="1450">
      <c r="A1450" s="7" t="n">
        <v>1443</v>
      </c>
      <c r="B1450" s="26">
        <f>(A1450-1)/2000*$C$2</f>
        <v/>
      </c>
      <c r="C1450" s="7">
        <f>INDEX(Bits!$E$25:$E$124,INT(B1450)+1)</f>
        <v/>
      </c>
      <c r="D1450" s="7">
        <f>MAX(1,MIN(INT(B1450/$C$4)+1,$C$5))</f>
        <v/>
      </c>
      <c r="E1450" s="26">
        <f>IF($C$5=0,0,INDEX(Symboles!$G$6:$G$101,D1450))</f>
        <v/>
      </c>
      <c r="F1450" s="26">
        <f>IF($C$5=0,0,INDEX(Symboles!$H$6:$H$101,D1450))</f>
        <v/>
      </c>
      <c r="G1450" s="26">
        <f>COS(2*PI()*$C$3*B1450)</f>
        <v/>
      </c>
      <c r="H1450" s="26">
        <f>SIN(2*PI()*$C$3*B1450)</f>
        <v/>
      </c>
      <c r="I1450" s="26">
        <f>E1450*G1450+F1450*H1450</f>
        <v/>
      </c>
    </row>
    <row r="1451">
      <c r="A1451" s="7" t="n">
        <v>1444</v>
      </c>
      <c r="B1451" s="26">
        <f>(A1451-1)/2000*$C$2</f>
        <v/>
      </c>
      <c r="C1451" s="7">
        <f>INDEX(Bits!$E$25:$E$124,INT(B1451)+1)</f>
        <v/>
      </c>
      <c r="D1451" s="7">
        <f>MAX(1,MIN(INT(B1451/$C$4)+1,$C$5))</f>
        <v/>
      </c>
      <c r="E1451" s="26">
        <f>IF($C$5=0,0,INDEX(Symboles!$G$6:$G$101,D1451))</f>
        <v/>
      </c>
      <c r="F1451" s="26">
        <f>IF($C$5=0,0,INDEX(Symboles!$H$6:$H$101,D1451))</f>
        <v/>
      </c>
      <c r="G1451" s="26">
        <f>COS(2*PI()*$C$3*B1451)</f>
        <v/>
      </c>
      <c r="H1451" s="26">
        <f>SIN(2*PI()*$C$3*B1451)</f>
        <v/>
      </c>
      <c r="I1451" s="26">
        <f>E1451*G1451+F1451*H1451</f>
        <v/>
      </c>
    </row>
    <row r="1452">
      <c r="A1452" s="7" t="n">
        <v>1445</v>
      </c>
      <c r="B1452" s="26">
        <f>(A1452-1)/2000*$C$2</f>
        <v/>
      </c>
      <c r="C1452" s="7">
        <f>INDEX(Bits!$E$25:$E$124,INT(B1452)+1)</f>
        <v/>
      </c>
      <c r="D1452" s="7">
        <f>MAX(1,MIN(INT(B1452/$C$4)+1,$C$5))</f>
        <v/>
      </c>
      <c r="E1452" s="26">
        <f>IF($C$5=0,0,INDEX(Symboles!$G$6:$G$101,D1452))</f>
        <v/>
      </c>
      <c r="F1452" s="26">
        <f>IF($C$5=0,0,INDEX(Symboles!$H$6:$H$101,D1452))</f>
        <v/>
      </c>
      <c r="G1452" s="26">
        <f>COS(2*PI()*$C$3*B1452)</f>
        <v/>
      </c>
      <c r="H1452" s="26">
        <f>SIN(2*PI()*$C$3*B1452)</f>
        <v/>
      </c>
      <c r="I1452" s="26">
        <f>E1452*G1452+F1452*H1452</f>
        <v/>
      </c>
    </row>
    <row r="1453">
      <c r="A1453" s="7" t="n">
        <v>1446</v>
      </c>
      <c r="B1453" s="26">
        <f>(A1453-1)/2000*$C$2</f>
        <v/>
      </c>
      <c r="C1453" s="7">
        <f>INDEX(Bits!$E$25:$E$124,INT(B1453)+1)</f>
        <v/>
      </c>
      <c r="D1453" s="7">
        <f>MAX(1,MIN(INT(B1453/$C$4)+1,$C$5))</f>
        <v/>
      </c>
      <c r="E1453" s="26">
        <f>IF($C$5=0,0,INDEX(Symboles!$G$6:$G$101,D1453))</f>
        <v/>
      </c>
      <c r="F1453" s="26">
        <f>IF($C$5=0,0,INDEX(Symboles!$H$6:$H$101,D1453))</f>
        <v/>
      </c>
      <c r="G1453" s="26">
        <f>COS(2*PI()*$C$3*B1453)</f>
        <v/>
      </c>
      <c r="H1453" s="26">
        <f>SIN(2*PI()*$C$3*B1453)</f>
        <v/>
      </c>
      <c r="I1453" s="26">
        <f>E1453*G1453+F1453*H1453</f>
        <v/>
      </c>
    </row>
    <row r="1454">
      <c r="A1454" s="7" t="n">
        <v>1447</v>
      </c>
      <c r="B1454" s="26">
        <f>(A1454-1)/2000*$C$2</f>
        <v/>
      </c>
      <c r="C1454" s="7">
        <f>INDEX(Bits!$E$25:$E$124,INT(B1454)+1)</f>
        <v/>
      </c>
      <c r="D1454" s="7">
        <f>MAX(1,MIN(INT(B1454/$C$4)+1,$C$5))</f>
        <v/>
      </c>
      <c r="E1454" s="26">
        <f>IF($C$5=0,0,INDEX(Symboles!$G$6:$G$101,D1454))</f>
        <v/>
      </c>
      <c r="F1454" s="26">
        <f>IF($C$5=0,0,INDEX(Symboles!$H$6:$H$101,D1454))</f>
        <v/>
      </c>
      <c r="G1454" s="26">
        <f>COS(2*PI()*$C$3*B1454)</f>
        <v/>
      </c>
      <c r="H1454" s="26">
        <f>SIN(2*PI()*$C$3*B1454)</f>
        <v/>
      </c>
      <c r="I1454" s="26">
        <f>E1454*G1454+F1454*H1454</f>
        <v/>
      </c>
    </row>
    <row r="1455">
      <c r="A1455" s="7" t="n">
        <v>1448</v>
      </c>
      <c r="B1455" s="26">
        <f>(A1455-1)/2000*$C$2</f>
        <v/>
      </c>
      <c r="C1455" s="7">
        <f>INDEX(Bits!$E$25:$E$124,INT(B1455)+1)</f>
        <v/>
      </c>
      <c r="D1455" s="7">
        <f>MAX(1,MIN(INT(B1455/$C$4)+1,$C$5))</f>
        <v/>
      </c>
      <c r="E1455" s="26">
        <f>IF($C$5=0,0,INDEX(Symboles!$G$6:$G$101,D1455))</f>
        <v/>
      </c>
      <c r="F1455" s="26">
        <f>IF($C$5=0,0,INDEX(Symboles!$H$6:$H$101,D1455))</f>
        <v/>
      </c>
      <c r="G1455" s="26">
        <f>COS(2*PI()*$C$3*B1455)</f>
        <v/>
      </c>
      <c r="H1455" s="26">
        <f>SIN(2*PI()*$C$3*B1455)</f>
        <v/>
      </c>
      <c r="I1455" s="26">
        <f>E1455*G1455+F1455*H1455</f>
        <v/>
      </c>
    </row>
    <row r="1456">
      <c r="A1456" s="7" t="n">
        <v>1449</v>
      </c>
      <c r="B1456" s="26">
        <f>(A1456-1)/2000*$C$2</f>
        <v/>
      </c>
      <c r="C1456" s="7">
        <f>INDEX(Bits!$E$25:$E$124,INT(B1456)+1)</f>
        <v/>
      </c>
      <c r="D1456" s="7">
        <f>MAX(1,MIN(INT(B1456/$C$4)+1,$C$5))</f>
        <v/>
      </c>
      <c r="E1456" s="26">
        <f>IF($C$5=0,0,INDEX(Symboles!$G$6:$G$101,D1456))</f>
        <v/>
      </c>
      <c r="F1456" s="26">
        <f>IF($C$5=0,0,INDEX(Symboles!$H$6:$H$101,D1456))</f>
        <v/>
      </c>
      <c r="G1456" s="26">
        <f>COS(2*PI()*$C$3*B1456)</f>
        <v/>
      </c>
      <c r="H1456" s="26">
        <f>SIN(2*PI()*$C$3*B1456)</f>
        <v/>
      </c>
      <c r="I1456" s="26">
        <f>E1456*G1456+F1456*H1456</f>
        <v/>
      </c>
    </row>
    <row r="1457">
      <c r="A1457" s="7" t="n">
        <v>1450</v>
      </c>
      <c r="B1457" s="26">
        <f>(A1457-1)/2000*$C$2</f>
        <v/>
      </c>
      <c r="C1457" s="7">
        <f>INDEX(Bits!$E$25:$E$124,INT(B1457)+1)</f>
        <v/>
      </c>
      <c r="D1457" s="7">
        <f>MAX(1,MIN(INT(B1457/$C$4)+1,$C$5))</f>
        <v/>
      </c>
      <c r="E1457" s="26">
        <f>IF($C$5=0,0,INDEX(Symboles!$G$6:$G$101,D1457))</f>
        <v/>
      </c>
      <c r="F1457" s="26">
        <f>IF($C$5=0,0,INDEX(Symboles!$H$6:$H$101,D1457))</f>
        <v/>
      </c>
      <c r="G1457" s="26">
        <f>COS(2*PI()*$C$3*B1457)</f>
        <v/>
      </c>
      <c r="H1457" s="26">
        <f>SIN(2*PI()*$C$3*B1457)</f>
        <v/>
      </c>
      <c r="I1457" s="26">
        <f>E1457*G1457+F1457*H1457</f>
        <v/>
      </c>
    </row>
    <row r="1458">
      <c r="A1458" s="7" t="n">
        <v>1451</v>
      </c>
      <c r="B1458" s="26">
        <f>(A1458-1)/2000*$C$2</f>
        <v/>
      </c>
      <c r="C1458" s="7">
        <f>INDEX(Bits!$E$25:$E$124,INT(B1458)+1)</f>
        <v/>
      </c>
      <c r="D1458" s="7">
        <f>MAX(1,MIN(INT(B1458/$C$4)+1,$C$5))</f>
        <v/>
      </c>
      <c r="E1458" s="26">
        <f>IF($C$5=0,0,INDEX(Symboles!$G$6:$G$101,D1458))</f>
        <v/>
      </c>
      <c r="F1458" s="26">
        <f>IF($C$5=0,0,INDEX(Symboles!$H$6:$H$101,D1458))</f>
        <v/>
      </c>
      <c r="G1458" s="26">
        <f>COS(2*PI()*$C$3*B1458)</f>
        <v/>
      </c>
      <c r="H1458" s="26">
        <f>SIN(2*PI()*$C$3*B1458)</f>
        <v/>
      </c>
      <c r="I1458" s="26">
        <f>E1458*G1458+F1458*H1458</f>
        <v/>
      </c>
    </row>
    <row r="1459">
      <c r="A1459" s="7" t="n">
        <v>1452</v>
      </c>
      <c r="B1459" s="26">
        <f>(A1459-1)/2000*$C$2</f>
        <v/>
      </c>
      <c r="C1459" s="7">
        <f>INDEX(Bits!$E$25:$E$124,INT(B1459)+1)</f>
        <v/>
      </c>
      <c r="D1459" s="7">
        <f>MAX(1,MIN(INT(B1459/$C$4)+1,$C$5))</f>
        <v/>
      </c>
      <c r="E1459" s="26">
        <f>IF($C$5=0,0,INDEX(Symboles!$G$6:$G$101,D1459))</f>
        <v/>
      </c>
      <c r="F1459" s="26">
        <f>IF($C$5=0,0,INDEX(Symboles!$H$6:$H$101,D1459))</f>
        <v/>
      </c>
      <c r="G1459" s="26">
        <f>COS(2*PI()*$C$3*B1459)</f>
        <v/>
      </c>
      <c r="H1459" s="26">
        <f>SIN(2*PI()*$C$3*B1459)</f>
        <v/>
      </c>
      <c r="I1459" s="26">
        <f>E1459*G1459+F1459*H1459</f>
        <v/>
      </c>
    </row>
    <row r="1460">
      <c r="A1460" s="7" t="n">
        <v>1453</v>
      </c>
      <c r="B1460" s="26">
        <f>(A1460-1)/2000*$C$2</f>
        <v/>
      </c>
      <c r="C1460" s="7">
        <f>INDEX(Bits!$E$25:$E$124,INT(B1460)+1)</f>
        <v/>
      </c>
      <c r="D1460" s="7">
        <f>MAX(1,MIN(INT(B1460/$C$4)+1,$C$5))</f>
        <v/>
      </c>
      <c r="E1460" s="26">
        <f>IF($C$5=0,0,INDEX(Symboles!$G$6:$G$101,D1460))</f>
        <v/>
      </c>
      <c r="F1460" s="26">
        <f>IF($C$5=0,0,INDEX(Symboles!$H$6:$H$101,D1460))</f>
        <v/>
      </c>
      <c r="G1460" s="26">
        <f>COS(2*PI()*$C$3*B1460)</f>
        <v/>
      </c>
      <c r="H1460" s="26">
        <f>SIN(2*PI()*$C$3*B1460)</f>
        <v/>
      </c>
      <c r="I1460" s="26">
        <f>E1460*G1460+F1460*H1460</f>
        <v/>
      </c>
    </row>
    <row r="1461">
      <c r="A1461" s="7" t="n">
        <v>1454</v>
      </c>
      <c r="B1461" s="26">
        <f>(A1461-1)/2000*$C$2</f>
        <v/>
      </c>
      <c r="C1461" s="7">
        <f>INDEX(Bits!$E$25:$E$124,INT(B1461)+1)</f>
        <v/>
      </c>
      <c r="D1461" s="7">
        <f>MAX(1,MIN(INT(B1461/$C$4)+1,$C$5))</f>
        <v/>
      </c>
      <c r="E1461" s="26">
        <f>IF($C$5=0,0,INDEX(Symboles!$G$6:$G$101,D1461))</f>
        <v/>
      </c>
      <c r="F1461" s="26">
        <f>IF($C$5=0,0,INDEX(Symboles!$H$6:$H$101,D1461))</f>
        <v/>
      </c>
      <c r="G1461" s="26">
        <f>COS(2*PI()*$C$3*B1461)</f>
        <v/>
      </c>
      <c r="H1461" s="26">
        <f>SIN(2*PI()*$C$3*B1461)</f>
        <v/>
      </c>
      <c r="I1461" s="26">
        <f>E1461*G1461+F1461*H1461</f>
        <v/>
      </c>
    </row>
    <row r="1462">
      <c r="A1462" s="7" t="n">
        <v>1455</v>
      </c>
      <c r="B1462" s="26">
        <f>(A1462-1)/2000*$C$2</f>
        <v/>
      </c>
      <c r="C1462" s="7">
        <f>INDEX(Bits!$E$25:$E$124,INT(B1462)+1)</f>
        <v/>
      </c>
      <c r="D1462" s="7">
        <f>MAX(1,MIN(INT(B1462/$C$4)+1,$C$5))</f>
        <v/>
      </c>
      <c r="E1462" s="26">
        <f>IF($C$5=0,0,INDEX(Symboles!$G$6:$G$101,D1462))</f>
        <v/>
      </c>
      <c r="F1462" s="26">
        <f>IF($C$5=0,0,INDEX(Symboles!$H$6:$H$101,D1462))</f>
        <v/>
      </c>
      <c r="G1462" s="26">
        <f>COS(2*PI()*$C$3*B1462)</f>
        <v/>
      </c>
      <c r="H1462" s="26">
        <f>SIN(2*PI()*$C$3*B1462)</f>
        <v/>
      </c>
      <c r="I1462" s="26">
        <f>E1462*G1462+F1462*H1462</f>
        <v/>
      </c>
    </row>
    <row r="1463">
      <c r="A1463" s="7" t="n">
        <v>1456</v>
      </c>
      <c r="B1463" s="26">
        <f>(A1463-1)/2000*$C$2</f>
        <v/>
      </c>
      <c r="C1463" s="7">
        <f>INDEX(Bits!$E$25:$E$124,INT(B1463)+1)</f>
        <v/>
      </c>
      <c r="D1463" s="7">
        <f>MAX(1,MIN(INT(B1463/$C$4)+1,$C$5))</f>
        <v/>
      </c>
      <c r="E1463" s="26">
        <f>IF($C$5=0,0,INDEX(Symboles!$G$6:$G$101,D1463))</f>
        <v/>
      </c>
      <c r="F1463" s="26">
        <f>IF($C$5=0,0,INDEX(Symboles!$H$6:$H$101,D1463))</f>
        <v/>
      </c>
      <c r="G1463" s="26">
        <f>COS(2*PI()*$C$3*B1463)</f>
        <v/>
      </c>
      <c r="H1463" s="26">
        <f>SIN(2*PI()*$C$3*B1463)</f>
        <v/>
      </c>
      <c r="I1463" s="26">
        <f>E1463*G1463+F1463*H1463</f>
        <v/>
      </c>
    </row>
    <row r="1464">
      <c r="A1464" s="7" t="n">
        <v>1457</v>
      </c>
      <c r="B1464" s="26">
        <f>(A1464-1)/2000*$C$2</f>
        <v/>
      </c>
      <c r="C1464" s="7">
        <f>INDEX(Bits!$E$25:$E$124,INT(B1464)+1)</f>
        <v/>
      </c>
      <c r="D1464" s="7">
        <f>MAX(1,MIN(INT(B1464/$C$4)+1,$C$5))</f>
        <v/>
      </c>
      <c r="E1464" s="26">
        <f>IF($C$5=0,0,INDEX(Symboles!$G$6:$G$101,D1464))</f>
        <v/>
      </c>
      <c r="F1464" s="26">
        <f>IF($C$5=0,0,INDEX(Symboles!$H$6:$H$101,D1464))</f>
        <v/>
      </c>
      <c r="G1464" s="26">
        <f>COS(2*PI()*$C$3*B1464)</f>
        <v/>
      </c>
      <c r="H1464" s="26">
        <f>SIN(2*PI()*$C$3*B1464)</f>
        <v/>
      </c>
      <c r="I1464" s="26">
        <f>E1464*G1464+F1464*H1464</f>
        <v/>
      </c>
    </row>
    <row r="1465">
      <c r="A1465" s="7" t="n">
        <v>1458</v>
      </c>
      <c r="B1465" s="26">
        <f>(A1465-1)/2000*$C$2</f>
        <v/>
      </c>
      <c r="C1465" s="7">
        <f>INDEX(Bits!$E$25:$E$124,INT(B1465)+1)</f>
        <v/>
      </c>
      <c r="D1465" s="7">
        <f>MAX(1,MIN(INT(B1465/$C$4)+1,$C$5))</f>
        <v/>
      </c>
      <c r="E1465" s="26">
        <f>IF($C$5=0,0,INDEX(Symboles!$G$6:$G$101,D1465))</f>
        <v/>
      </c>
      <c r="F1465" s="26">
        <f>IF($C$5=0,0,INDEX(Symboles!$H$6:$H$101,D1465))</f>
        <v/>
      </c>
      <c r="G1465" s="26">
        <f>COS(2*PI()*$C$3*B1465)</f>
        <v/>
      </c>
      <c r="H1465" s="26">
        <f>SIN(2*PI()*$C$3*B1465)</f>
        <v/>
      </c>
      <c r="I1465" s="26">
        <f>E1465*G1465+F1465*H1465</f>
        <v/>
      </c>
    </row>
    <row r="1466">
      <c r="A1466" s="7" t="n">
        <v>1459</v>
      </c>
      <c r="B1466" s="26">
        <f>(A1466-1)/2000*$C$2</f>
        <v/>
      </c>
      <c r="C1466" s="7">
        <f>INDEX(Bits!$E$25:$E$124,INT(B1466)+1)</f>
        <v/>
      </c>
      <c r="D1466" s="7">
        <f>MAX(1,MIN(INT(B1466/$C$4)+1,$C$5))</f>
        <v/>
      </c>
      <c r="E1466" s="26">
        <f>IF($C$5=0,0,INDEX(Symboles!$G$6:$G$101,D1466))</f>
        <v/>
      </c>
      <c r="F1466" s="26">
        <f>IF($C$5=0,0,INDEX(Symboles!$H$6:$H$101,D1466))</f>
        <v/>
      </c>
      <c r="G1466" s="26">
        <f>COS(2*PI()*$C$3*B1466)</f>
        <v/>
      </c>
      <c r="H1466" s="26">
        <f>SIN(2*PI()*$C$3*B1466)</f>
        <v/>
      </c>
      <c r="I1466" s="26">
        <f>E1466*G1466+F1466*H1466</f>
        <v/>
      </c>
    </row>
    <row r="1467">
      <c r="A1467" s="7" t="n">
        <v>1460</v>
      </c>
      <c r="B1467" s="26">
        <f>(A1467-1)/2000*$C$2</f>
        <v/>
      </c>
      <c r="C1467" s="7">
        <f>INDEX(Bits!$E$25:$E$124,INT(B1467)+1)</f>
        <v/>
      </c>
      <c r="D1467" s="7">
        <f>MAX(1,MIN(INT(B1467/$C$4)+1,$C$5))</f>
        <v/>
      </c>
      <c r="E1467" s="26">
        <f>IF($C$5=0,0,INDEX(Symboles!$G$6:$G$101,D1467))</f>
        <v/>
      </c>
      <c r="F1467" s="26">
        <f>IF($C$5=0,0,INDEX(Symboles!$H$6:$H$101,D1467))</f>
        <v/>
      </c>
      <c r="G1467" s="26">
        <f>COS(2*PI()*$C$3*B1467)</f>
        <v/>
      </c>
      <c r="H1467" s="26">
        <f>SIN(2*PI()*$C$3*B1467)</f>
        <v/>
      </c>
      <c r="I1467" s="26">
        <f>E1467*G1467+F1467*H1467</f>
        <v/>
      </c>
    </row>
    <row r="1468">
      <c r="A1468" s="7" t="n">
        <v>1461</v>
      </c>
      <c r="B1468" s="26">
        <f>(A1468-1)/2000*$C$2</f>
        <v/>
      </c>
      <c r="C1468" s="7">
        <f>INDEX(Bits!$E$25:$E$124,INT(B1468)+1)</f>
        <v/>
      </c>
      <c r="D1468" s="7">
        <f>MAX(1,MIN(INT(B1468/$C$4)+1,$C$5))</f>
        <v/>
      </c>
      <c r="E1468" s="26">
        <f>IF($C$5=0,0,INDEX(Symboles!$G$6:$G$101,D1468))</f>
        <v/>
      </c>
      <c r="F1468" s="26">
        <f>IF($C$5=0,0,INDEX(Symboles!$H$6:$H$101,D1468))</f>
        <v/>
      </c>
      <c r="G1468" s="26">
        <f>COS(2*PI()*$C$3*B1468)</f>
        <v/>
      </c>
      <c r="H1468" s="26">
        <f>SIN(2*PI()*$C$3*B1468)</f>
        <v/>
      </c>
      <c r="I1468" s="26">
        <f>E1468*G1468+F1468*H1468</f>
        <v/>
      </c>
    </row>
    <row r="1469">
      <c r="A1469" s="7" t="n">
        <v>1462</v>
      </c>
      <c r="B1469" s="26">
        <f>(A1469-1)/2000*$C$2</f>
        <v/>
      </c>
      <c r="C1469" s="7">
        <f>INDEX(Bits!$E$25:$E$124,INT(B1469)+1)</f>
        <v/>
      </c>
      <c r="D1469" s="7">
        <f>MAX(1,MIN(INT(B1469/$C$4)+1,$C$5))</f>
        <v/>
      </c>
      <c r="E1469" s="26">
        <f>IF($C$5=0,0,INDEX(Symboles!$G$6:$G$101,D1469))</f>
        <v/>
      </c>
      <c r="F1469" s="26">
        <f>IF($C$5=0,0,INDEX(Symboles!$H$6:$H$101,D1469))</f>
        <v/>
      </c>
      <c r="G1469" s="26">
        <f>COS(2*PI()*$C$3*B1469)</f>
        <v/>
      </c>
      <c r="H1469" s="26">
        <f>SIN(2*PI()*$C$3*B1469)</f>
        <v/>
      </c>
      <c r="I1469" s="26">
        <f>E1469*G1469+F1469*H1469</f>
        <v/>
      </c>
    </row>
    <row r="1470">
      <c r="A1470" s="7" t="n">
        <v>1463</v>
      </c>
      <c r="B1470" s="26">
        <f>(A1470-1)/2000*$C$2</f>
        <v/>
      </c>
      <c r="C1470" s="7">
        <f>INDEX(Bits!$E$25:$E$124,INT(B1470)+1)</f>
        <v/>
      </c>
      <c r="D1470" s="7">
        <f>MAX(1,MIN(INT(B1470/$C$4)+1,$C$5))</f>
        <v/>
      </c>
      <c r="E1470" s="26">
        <f>IF($C$5=0,0,INDEX(Symboles!$G$6:$G$101,D1470))</f>
        <v/>
      </c>
      <c r="F1470" s="26">
        <f>IF($C$5=0,0,INDEX(Symboles!$H$6:$H$101,D1470))</f>
        <v/>
      </c>
      <c r="G1470" s="26">
        <f>COS(2*PI()*$C$3*B1470)</f>
        <v/>
      </c>
      <c r="H1470" s="26">
        <f>SIN(2*PI()*$C$3*B1470)</f>
        <v/>
      </c>
      <c r="I1470" s="26">
        <f>E1470*G1470+F1470*H1470</f>
        <v/>
      </c>
    </row>
    <row r="1471">
      <c r="A1471" s="7" t="n">
        <v>1464</v>
      </c>
      <c r="B1471" s="26">
        <f>(A1471-1)/2000*$C$2</f>
        <v/>
      </c>
      <c r="C1471" s="7">
        <f>INDEX(Bits!$E$25:$E$124,INT(B1471)+1)</f>
        <v/>
      </c>
      <c r="D1471" s="7">
        <f>MAX(1,MIN(INT(B1471/$C$4)+1,$C$5))</f>
        <v/>
      </c>
      <c r="E1471" s="26">
        <f>IF($C$5=0,0,INDEX(Symboles!$G$6:$G$101,D1471))</f>
        <v/>
      </c>
      <c r="F1471" s="26">
        <f>IF($C$5=0,0,INDEX(Symboles!$H$6:$H$101,D1471))</f>
        <v/>
      </c>
      <c r="G1471" s="26">
        <f>COS(2*PI()*$C$3*B1471)</f>
        <v/>
      </c>
      <c r="H1471" s="26">
        <f>SIN(2*PI()*$C$3*B1471)</f>
        <v/>
      </c>
      <c r="I1471" s="26">
        <f>E1471*G1471+F1471*H1471</f>
        <v/>
      </c>
    </row>
    <row r="1472">
      <c r="A1472" s="7" t="n">
        <v>1465</v>
      </c>
      <c r="B1472" s="26">
        <f>(A1472-1)/2000*$C$2</f>
        <v/>
      </c>
      <c r="C1472" s="7">
        <f>INDEX(Bits!$E$25:$E$124,INT(B1472)+1)</f>
        <v/>
      </c>
      <c r="D1472" s="7">
        <f>MAX(1,MIN(INT(B1472/$C$4)+1,$C$5))</f>
        <v/>
      </c>
      <c r="E1472" s="26">
        <f>IF($C$5=0,0,INDEX(Symboles!$G$6:$G$101,D1472))</f>
        <v/>
      </c>
      <c r="F1472" s="26">
        <f>IF($C$5=0,0,INDEX(Symboles!$H$6:$H$101,D1472))</f>
        <v/>
      </c>
      <c r="G1472" s="26">
        <f>COS(2*PI()*$C$3*B1472)</f>
        <v/>
      </c>
      <c r="H1472" s="26">
        <f>SIN(2*PI()*$C$3*B1472)</f>
        <v/>
      </c>
      <c r="I1472" s="26">
        <f>E1472*G1472+F1472*H1472</f>
        <v/>
      </c>
    </row>
    <row r="1473">
      <c r="A1473" s="7" t="n">
        <v>1466</v>
      </c>
      <c r="B1473" s="26">
        <f>(A1473-1)/2000*$C$2</f>
        <v/>
      </c>
      <c r="C1473" s="7">
        <f>INDEX(Bits!$E$25:$E$124,INT(B1473)+1)</f>
        <v/>
      </c>
      <c r="D1473" s="7">
        <f>MAX(1,MIN(INT(B1473/$C$4)+1,$C$5))</f>
        <v/>
      </c>
      <c r="E1473" s="26">
        <f>IF($C$5=0,0,INDEX(Symboles!$G$6:$G$101,D1473))</f>
        <v/>
      </c>
      <c r="F1473" s="26">
        <f>IF($C$5=0,0,INDEX(Symboles!$H$6:$H$101,D1473))</f>
        <v/>
      </c>
      <c r="G1473" s="26">
        <f>COS(2*PI()*$C$3*B1473)</f>
        <v/>
      </c>
      <c r="H1473" s="26">
        <f>SIN(2*PI()*$C$3*B1473)</f>
        <v/>
      </c>
      <c r="I1473" s="26">
        <f>E1473*G1473+F1473*H1473</f>
        <v/>
      </c>
    </row>
    <row r="1474">
      <c r="A1474" s="7" t="n">
        <v>1467</v>
      </c>
      <c r="B1474" s="26">
        <f>(A1474-1)/2000*$C$2</f>
        <v/>
      </c>
      <c r="C1474" s="7">
        <f>INDEX(Bits!$E$25:$E$124,INT(B1474)+1)</f>
        <v/>
      </c>
      <c r="D1474" s="7">
        <f>MAX(1,MIN(INT(B1474/$C$4)+1,$C$5))</f>
        <v/>
      </c>
      <c r="E1474" s="26">
        <f>IF($C$5=0,0,INDEX(Symboles!$G$6:$G$101,D1474))</f>
        <v/>
      </c>
      <c r="F1474" s="26">
        <f>IF($C$5=0,0,INDEX(Symboles!$H$6:$H$101,D1474))</f>
        <v/>
      </c>
      <c r="G1474" s="26">
        <f>COS(2*PI()*$C$3*B1474)</f>
        <v/>
      </c>
      <c r="H1474" s="26">
        <f>SIN(2*PI()*$C$3*B1474)</f>
        <v/>
      </c>
      <c r="I1474" s="26">
        <f>E1474*G1474+F1474*H1474</f>
        <v/>
      </c>
    </row>
    <row r="1475">
      <c r="A1475" s="7" t="n">
        <v>1468</v>
      </c>
      <c r="B1475" s="26">
        <f>(A1475-1)/2000*$C$2</f>
        <v/>
      </c>
      <c r="C1475" s="7">
        <f>INDEX(Bits!$E$25:$E$124,INT(B1475)+1)</f>
        <v/>
      </c>
      <c r="D1475" s="7">
        <f>MAX(1,MIN(INT(B1475/$C$4)+1,$C$5))</f>
        <v/>
      </c>
      <c r="E1475" s="26">
        <f>IF($C$5=0,0,INDEX(Symboles!$G$6:$G$101,D1475))</f>
        <v/>
      </c>
      <c r="F1475" s="26">
        <f>IF($C$5=0,0,INDEX(Symboles!$H$6:$H$101,D1475))</f>
        <v/>
      </c>
      <c r="G1475" s="26">
        <f>COS(2*PI()*$C$3*B1475)</f>
        <v/>
      </c>
      <c r="H1475" s="26">
        <f>SIN(2*PI()*$C$3*B1475)</f>
        <v/>
      </c>
      <c r="I1475" s="26">
        <f>E1475*G1475+F1475*H1475</f>
        <v/>
      </c>
    </row>
    <row r="1476">
      <c r="A1476" s="7" t="n">
        <v>1469</v>
      </c>
      <c r="B1476" s="26">
        <f>(A1476-1)/2000*$C$2</f>
        <v/>
      </c>
      <c r="C1476" s="7">
        <f>INDEX(Bits!$E$25:$E$124,INT(B1476)+1)</f>
        <v/>
      </c>
      <c r="D1476" s="7">
        <f>MAX(1,MIN(INT(B1476/$C$4)+1,$C$5))</f>
        <v/>
      </c>
      <c r="E1476" s="26">
        <f>IF($C$5=0,0,INDEX(Symboles!$G$6:$G$101,D1476))</f>
        <v/>
      </c>
      <c r="F1476" s="26">
        <f>IF($C$5=0,0,INDEX(Symboles!$H$6:$H$101,D1476))</f>
        <v/>
      </c>
      <c r="G1476" s="26">
        <f>COS(2*PI()*$C$3*B1476)</f>
        <v/>
      </c>
      <c r="H1476" s="26">
        <f>SIN(2*PI()*$C$3*B1476)</f>
        <v/>
      </c>
      <c r="I1476" s="26">
        <f>E1476*G1476+F1476*H1476</f>
        <v/>
      </c>
    </row>
    <row r="1477">
      <c r="A1477" s="7" t="n">
        <v>1470</v>
      </c>
      <c r="B1477" s="26">
        <f>(A1477-1)/2000*$C$2</f>
        <v/>
      </c>
      <c r="C1477" s="7">
        <f>INDEX(Bits!$E$25:$E$124,INT(B1477)+1)</f>
        <v/>
      </c>
      <c r="D1477" s="7">
        <f>MAX(1,MIN(INT(B1477/$C$4)+1,$C$5))</f>
        <v/>
      </c>
      <c r="E1477" s="26">
        <f>IF($C$5=0,0,INDEX(Symboles!$G$6:$G$101,D1477))</f>
        <v/>
      </c>
      <c r="F1477" s="26">
        <f>IF($C$5=0,0,INDEX(Symboles!$H$6:$H$101,D1477))</f>
        <v/>
      </c>
      <c r="G1477" s="26">
        <f>COS(2*PI()*$C$3*B1477)</f>
        <v/>
      </c>
      <c r="H1477" s="26">
        <f>SIN(2*PI()*$C$3*B1477)</f>
        <v/>
      </c>
      <c r="I1477" s="26">
        <f>E1477*G1477+F1477*H1477</f>
        <v/>
      </c>
    </row>
    <row r="1478">
      <c r="A1478" s="7" t="n">
        <v>1471</v>
      </c>
      <c r="B1478" s="26">
        <f>(A1478-1)/2000*$C$2</f>
        <v/>
      </c>
      <c r="C1478" s="7">
        <f>INDEX(Bits!$E$25:$E$124,INT(B1478)+1)</f>
        <v/>
      </c>
      <c r="D1478" s="7">
        <f>MAX(1,MIN(INT(B1478/$C$4)+1,$C$5))</f>
        <v/>
      </c>
      <c r="E1478" s="26">
        <f>IF($C$5=0,0,INDEX(Symboles!$G$6:$G$101,D1478))</f>
        <v/>
      </c>
      <c r="F1478" s="26">
        <f>IF($C$5=0,0,INDEX(Symboles!$H$6:$H$101,D1478))</f>
        <v/>
      </c>
      <c r="G1478" s="26">
        <f>COS(2*PI()*$C$3*B1478)</f>
        <v/>
      </c>
      <c r="H1478" s="26">
        <f>SIN(2*PI()*$C$3*B1478)</f>
        <v/>
      </c>
      <c r="I1478" s="26">
        <f>E1478*G1478+F1478*H1478</f>
        <v/>
      </c>
    </row>
    <row r="1479">
      <c r="A1479" s="7" t="n">
        <v>1472</v>
      </c>
      <c r="B1479" s="26">
        <f>(A1479-1)/2000*$C$2</f>
        <v/>
      </c>
      <c r="C1479" s="7">
        <f>INDEX(Bits!$E$25:$E$124,INT(B1479)+1)</f>
        <v/>
      </c>
      <c r="D1479" s="7">
        <f>MAX(1,MIN(INT(B1479/$C$4)+1,$C$5))</f>
        <v/>
      </c>
      <c r="E1479" s="26">
        <f>IF($C$5=0,0,INDEX(Symboles!$G$6:$G$101,D1479))</f>
        <v/>
      </c>
      <c r="F1479" s="26">
        <f>IF($C$5=0,0,INDEX(Symboles!$H$6:$H$101,D1479))</f>
        <v/>
      </c>
      <c r="G1479" s="26">
        <f>COS(2*PI()*$C$3*B1479)</f>
        <v/>
      </c>
      <c r="H1479" s="26">
        <f>SIN(2*PI()*$C$3*B1479)</f>
        <v/>
      </c>
      <c r="I1479" s="26">
        <f>E1479*G1479+F1479*H1479</f>
        <v/>
      </c>
    </row>
    <row r="1480">
      <c r="A1480" s="7" t="n">
        <v>1473</v>
      </c>
      <c r="B1480" s="26">
        <f>(A1480-1)/2000*$C$2</f>
        <v/>
      </c>
      <c r="C1480" s="7">
        <f>INDEX(Bits!$E$25:$E$124,INT(B1480)+1)</f>
        <v/>
      </c>
      <c r="D1480" s="7">
        <f>MAX(1,MIN(INT(B1480/$C$4)+1,$C$5))</f>
        <v/>
      </c>
      <c r="E1480" s="26">
        <f>IF($C$5=0,0,INDEX(Symboles!$G$6:$G$101,D1480))</f>
        <v/>
      </c>
      <c r="F1480" s="26">
        <f>IF($C$5=0,0,INDEX(Symboles!$H$6:$H$101,D1480))</f>
        <v/>
      </c>
      <c r="G1480" s="26">
        <f>COS(2*PI()*$C$3*B1480)</f>
        <v/>
      </c>
      <c r="H1480" s="26">
        <f>SIN(2*PI()*$C$3*B1480)</f>
        <v/>
      </c>
      <c r="I1480" s="26">
        <f>E1480*G1480+F1480*H1480</f>
        <v/>
      </c>
    </row>
    <row r="1481">
      <c r="A1481" s="7" t="n">
        <v>1474</v>
      </c>
      <c r="B1481" s="26">
        <f>(A1481-1)/2000*$C$2</f>
        <v/>
      </c>
      <c r="C1481" s="7">
        <f>INDEX(Bits!$E$25:$E$124,INT(B1481)+1)</f>
        <v/>
      </c>
      <c r="D1481" s="7">
        <f>MAX(1,MIN(INT(B1481/$C$4)+1,$C$5))</f>
        <v/>
      </c>
      <c r="E1481" s="26">
        <f>IF($C$5=0,0,INDEX(Symboles!$G$6:$G$101,D1481))</f>
        <v/>
      </c>
      <c r="F1481" s="26">
        <f>IF($C$5=0,0,INDEX(Symboles!$H$6:$H$101,D1481))</f>
        <v/>
      </c>
      <c r="G1481" s="26">
        <f>COS(2*PI()*$C$3*B1481)</f>
        <v/>
      </c>
      <c r="H1481" s="26">
        <f>SIN(2*PI()*$C$3*B1481)</f>
        <v/>
      </c>
      <c r="I1481" s="26">
        <f>E1481*G1481+F1481*H1481</f>
        <v/>
      </c>
    </row>
    <row r="1482">
      <c r="A1482" s="7" t="n">
        <v>1475</v>
      </c>
      <c r="B1482" s="26">
        <f>(A1482-1)/2000*$C$2</f>
        <v/>
      </c>
      <c r="C1482" s="7">
        <f>INDEX(Bits!$E$25:$E$124,INT(B1482)+1)</f>
        <v/>
      </c>
      <c r="D1482" s="7">
        <f>MAX(1,MIN(INT(B1482/$C$4)+1,$C$5))</f>
        <v/>
      </c>
      <c r="E1482" s="26">
        <f>IF($C$5=0,0,INDEX(Symboles!$G$6:$G$101,D1482))</f>
        <v/>
      </c>
      <c r="F1482" s="26">
        <f>IF($C$5=0,0,INDEX(Symboles!$H$6:$H$101,D1482))</f>
        <v/>
      </c>
      <c r="G1482" s="26">
        <f>COS(2*PI()*$C$3*B1482)</f>
        <v/>
      </c>
      <c r="H1482" s="26">
        <f>SIN(2*PI()*$C$3*B1482)</f>
        <v/>
      </c>
      <c r="I1482" s="26">
        <f>E1482*G1482+F1482*H1482</f>
        <v/>
      </c>
    </row>
    <row r="1483">
      <c r="A1483" s="7" t="n">
        <v>1476</v>
      </c>
      <c r="B1483" s="26">
        <f>(A1483-1)/2000*$C$2</f>
        <v/>
      </c>
      <c r="C1483" s="7">
        <f>INDEX(Bits!$E$25:$E$124,INT(B1483)+1)</f>
        <v/>
      </c>
      <c r="D1483" s="7">
        <f>MAX(1,MIN(INT(B1483/$C$4)+1,$C$5))</f>
        <v/>
      </c>
      <c r="E1483" s="26">
        <f>IF($C$5=0,0,INDEX(Symboles!$G$6:$G$101,D1483))</f>
        <v/>
      </c>
      <c r="F1483" s="26">
        <f>IF($C$5=0,0,INDEX(Symboles!$H$6:$H$101,D1483))</f>
        <v/>
      </c>
      <c r="G1483" s="26">
        <f>COS(2*PI()*$C$3*B1483)</f>
        <v/>
      </c>
      <c r="H1483" s="26">
        <f>SIN(2*PI()*$C$3*B1483)</f>
        <v/>
      </c>
      <c r="I1483" s="26">
        <f>E1483*G1483+F1483*H1483</f>
        <v/>
      </c>
    </row>
    <row r="1484">
      <c r="A1484" s="7" t="n">
        <v>1477</v>
      </c>
      <c r="B1484" s="26">
        <f>(A1484-1)/2000*$C$2</f>
        <v/>
      </c>
      <c r="C1484" s="7">
        <f>INDEX(Bits!$E$25:$E$124,INT(B1484)+1)</f>
        <v/>
      </c>
      <c r="D1484" s="7">
        <f>MAX(1,MIN(INT(B1484/$C$4)+1,$C$5))</f>
        <v/>
      </c>
      <c r="E1484" s="26">
        <f>IF($C$5=0,0,INDEX(Symboles!$G$6:$G$101,D1484))</f>
        <v/>
      </c>
      <c r="F1484" s="26">
        <f>IF($C$5=0,0,INDEX(Symboles!$H$6:$H$101,D1484))</f>
        <v/>
      </c>
      <c r="G1484" s="26">
        <f>COS(2*PI()*$C$3*B1484)</f>
        <v/>
      </c>
      <c r="H1484" s="26">
        <f>SIN(2*PI()*$C$3*B1484)</f>
        <v/>
      </c>
      <c r="I1484" s="26">
        <f>E1484*G1484+F1484*H1484</f>
        <v/>
      </c>
    </row>
    <row r="1485">
      <c r="A1485" s="7" t="n">
        <v>1478</v>
      </c>
      <c r="B1485" s="26">
        <f>(A1485-1)/2000*$C$2</f>
        <v/>
      </c>
      <c r="C1485" s="7">
        <f>INDEX(Bits!$E$25:$E$124,INT(B1485)+1)</f>
        <v/>
      </c>
      <c r="D1485" s="7">
        <f>MAX(1,MIN(INT(B1485/$C$4)+1,$C$5))</f>
        <v/>
      </c>
      <c r="E1485" s="26">
        <f>IF($C$5=0,0,INDEX(Symboles!$G$6:$G$101,D1485))</f>
        <v/>
      </c>
      <c r="F1485" s="26">
        <f>IF($C$5=0,0,INDEX(Symboles!$H$6:$H$101,D1485))</f>
        <v/>
      </c>
      <c r="G1485" s="26">
        <f>COS(2*PI()*$C$3*B1485)</f>
        <v/>
      </c>
      <c r="H1485" s="26">
        <f>SIN(2*PI()*$C$3*B1485)</f>
        <v/>
      </c>
      <c r="I1485" s="26">
        <f>E1485*G1485+F1485*H1485</f>
        <v/>
      </c>
    </row>
    <row r="1486">
      <c r="A1486" s="7" t="n">
        <v>1479</v>
      </c>
      <c r="B1486" s="26">
        <f>(A1486-1)/2000*$C$2</f>
        <v/>
      </c>
      <c r="C1486" s="7">
        <f>INDEX(Bits!$E$25:$E$124,INT(B1486)+1)</f>
        <v/>
      </c>
      <c r="D1486" s="7">
        <f>MAX(1,MIN(INT(B1486/$C$4)+1,$C$5))</f>
        <v/>
      </c>
      <c r="E1486" s="26">
        <f>IF($C$5=0,0,INDEX(Symboles!$G$6:$G$101,D1486))</f>
        <v/>
      </c>
      <c r="F1486" s="26">
        <f>IF($C$5=0,0,INDEX(Symboles!$H$6:$H$101,D1486))</f>
        <v/>
      </c>
      <c r="G1486" s="26">
        <f>COS(2*PI()*$C$3*B1486)</f>
        <v/>
      </c>
      <c r="H1486" s="26">
        <f>SIN(2*PI()*$C$3*B1486)</f>
        <v/>
      </c>
      <c r="I1486" s="26">
        <f>E1486*G1486+F1486*H1486</f>
        <v/>
      </c>
    </row>
    <row r="1487">
      <c r="A1487" s="7" t="n">
        <v>1480</v>
      </c>
      <c r="B1487" s="26">
        <f>(A1487-1)/2000*$C$2</f>
        <v/>
      </c>
      <c r="C1487" s="7">
        <f>INDEX(Bits!$E$25:$E$124,INT(B1487)+1)</f>
        <v/>
      </c>
      <c r="D1487" s="7">
        <f>MAX(1,MIN(INT(B1487/$C$4)+1,$C$5))</f>
        <v/>
      </c>
      <c r="E1487" s="26">
        <f>IF($C$5=0,0,INDEX(Symboles!$G$6:$G$101,D1487))</f>
        <v/>
      </c>
      <c r="F1487" s="26">
        <f>IF($C$5=0,0,INDEX(Symboles!$H$6:$H$101,D1487))</f>
        <v/>
      </c>
      <c r="G1487" s="26">
        <f>COS(2*PI()*$C$3*B1487)</f>
        <v/>
      </c>
      <c r="H1487" s="26">
        <f>SIN(2*PI()*$C$3*B1487)</f>
        <v/>
      </c>
      <c r="I1487" s="26">
        <f>E1487*G1487+F1487*H1487</f>
        <v/>
      </c>
    </row>
    <row r="1488">
      <c r="A1488" s="7" t="n">
        <v>1481</v>
      </c>
      <c r="B1488" s="26">
        <f>(A1488-1)/2000*$C$2</f>
        <v/>
      </c>
      <c r="C1488" s="7">
        <f>INDEX(Bits!$E$25:$E$124,INT(B1488)+1)</f>
        <v/>
      </c>
      <c r="D1488" s="7">
        <f>MAX(1,MIN(INT(B1488/$C$4)+1,$C$5))</f>
        <v/>
      </c>
      <c r="E1488" s="26">
        <f>IF($C$5=0,0,INDEX(Symboles!$G$6:$G$101,D1488))</f>
        <v/>
      </c>
      <c r="F1488" s="26">
        <f>IF($C$5=0,0,INDEX(Symboles!$H$6:$H$101,D1488))</f>
        <v/>
      </c>
      <c r="G1488" s="26">
        <f>COS(2*PI()*$C$3*B1488)</f>
        <v/>
      </c>
      <c r="H1488" s="26">
        <f>SIN(2*PI()*$C$3*B1488)</f>
        <v/>
      </c>
      <c r="I1488" s="26">
        <f>E1488*G1488+F1488*H1488</f>
        <v/>
      </c>
    </row>
    <row r="1489">
      <c r="A1489" s="7" t="n">
        <v>1482</v>
      </c>
      <c r="B1489" s="26">
        <f>(A1489-1)/2000*$C$2</f>
        <v/>
      </c>
      <c r="C1489" s="7">
        <f>INDEX(Bits!$E$25:$E$124,INT(B1489)+1)</f>
        <v/>
      </c>
      <c r="D1489" s="7">
        <f>MAX(1,MIN(INT(B1489/$C$4)+1,$C$5))</f>
        <v/>
      </c>
      <c r="E1489" s="26">
        <f>IF($C$5=0,0,INDEX(Symboles!$G$6:$G$101,D1489))</f>
        <v/>
      </c>
      <c r="F1489" s="26">
        <f>IF($C$5=0,0,INDEX(Symboles!$H$6:$H$101,D1489))</f>
        <v/>
      </c>
      <c r="G1489" s="26">
        <f>COS(2*PI()*$C$3*B1489)</f>
        <v/>
      </c>
      <c r="H1489" s="26">
        <f>SIN(2*PI()*$C$3*B1489)</f>
        <v/>
      </c>
      <c r="I1489" s="26">
        <f>E1489*G1489+F1489*H1489</f>
        <v/>
      </c>
    </row>
    <row r="1490">
      <c r="A1490" s="7" t="n">
        <v>1483</v>
      </c>
      <c r="B1490" s="26">
        <f>(A1490-1)/2000*$C$2</f>
        <v/>
      </c>
      <c r="C1490" s="7">
        <f>INDEX(Bits!$E$25:$E$124,INT(B1490)+1)</f>
        <v/>
      </c>
      <c r="D1490" s="7">
        <f>MAX(1,MIN(INT(B1490/$C$4)+1,$C$5))</f>
        <v/>
      </c>
      <c r="E1490" s="26">
        <f>IF($C$5=0,0,INDEX(Symboles!$G$6:$G$101,D1490))</f>
        <v/>
      </c>
      <c r="F1490" s="26">
        <f>IF($C$5=0,0,INDEX(Symboles!$H$6:$H$101,D1490))</f>
        <v/>
      </c>
      <c r="G1490" s="26">
        <f>COS(2*PI()*$C$3*B1490)</f>
        <v/>
      </c>
      <c r="H1490" s="26">
        <f>SIN(2*PI()*$C$3*B1490)</f>
        <v/>
      </c>
      <c r="I1490" s="26">
        <f>E1490*G1490+F1490*H1490</f>
        <v/>
      </c>
    </row>
    <row r="1491">
      <c r="A1491" s="7" t="n">
        <v>1484</v>
      </c>
      <c r="B1491" s="26">
        <f>(A1491-1)/2000*$C$2</f>
        <v/>
      </c>
      <c r="C1491" s="7">
        <f>INDEX(Bits!$E$25:$E$124,INT(B1491)+1)</f>
        <v/>
      </c>
      <c r="D1491" s="7">
        <f>MAX(1,MIN(INT(B1491/$C$4)+1,$C$5))</f>
        <v/>
      </c>
      <c r="E1491" s="26">
        <f>IF($C$5=0,0,INDEX(Symboles!$G$6:$G$101,D1491))</f>
        <v/>
      </c>
      <c r="F1491" s="26">
        <f>IF($C$5=0,0,INDEX(Symboles!$H$6:$H$101,D1491))</f>
        <v/>
      </c>
      <c r="G1491" s="26">
        <f>COS(2*PI()*$C$3*B1491)</f>
        <v/>
      </c>
      <c r="H1491" s="26">
        <f>SIN(2*PI()*$C$3*B1491)</f>
        <v/>
      </c>
      <c r="I1491" s="26">
        <f>E1491*G1491+F1491*H1491</f>
        <v/>
      </c>
    </row>
    <row r="1492">
      <c r="A1492" s="7" t="n">
        <v>1485</v>
      </c>
      <c r="B1492" s="26">
        <f>(A1492-1)/2000*$C$2</f>
        <v/>
      </c>
      <c r="C1492" s="7">
        <f>INDEX(Bits!$E$25:$E$124,INT(B1492)+1)</f>
        <v/>
      </c>
      <c r="D1492" s="7">
        <f>MAX(1,MIN(INT(B1492/$C$4)+1,$C$5))</f>
        <v/>
      </c>
      <c r="E1492" s="26">
        <f>IF($C$5=0,0,INDEX(Symboles!$G$6:$G$101,D1492))</f>
        <v/>
      </c>
      <c r="F1492" s="26">
        <f>IF($C$5=0,0,INDEX(Symboles!$H$6:$H$101,D1492))</f>
        <v/>
      </c>
      <c r="G1492" s="26">
        <f>COS(2*PI()*$C$3*B1492)</f>
        <v/>
      </c>
      <c r="H1492" s="26">
        <f>SIN(2*PI()*$C$3*B1492)</f>
        <v/>
      </c>
      <c r="I1492" s="26">
        <f>E1492*G1492+F1492*H1492</f>
        <v/>
      </c>
    </row>
    <row r="1493">
      <c r="A1493" s="7" t="n">
        <v>1486</v>
      </c>
      <c r="B1493" s="26">
        <f>(A1493-1)/2000*$C$2</f>
        <v/>
      </c>
      <c r="C1493" s="7">
        <f>INDEX(Bits!$E$25:$E$124,INT(B1493)+1)</f>
        <v/>
      </c>
      <c r="D1493" s="7">
        <f>MAX(1,MIN(INT(B1493/$C$4)+1,$C$5))</f>
        <v/>
      </c>
      <c r="E1493" s="26">
        <f>IF($C$5=0,0,INDEX(Symboles!$G$6:$G$101,D1493))</f>
        <v/>
      </c>
      <c r="F1493" s="26">
        <f>IF($C$5=0,0,INDEX(Symboles!$H$6:$H$101,D1493))</f>
        <v/>
      </c>
      <c r="G1493" s="26">
        <f>COS(2*PI()*$C$3*B1493)</f>
        <v/>
      </c>
      <c r="H1493" s="26">
        <f>SIN(2*PI()*$C$3*B1493)</f>
        <v/>
      </c>
      <c r="I1493" s="26">
        <f>E1493*G1493+F1493*H1493</f>
        <v/>
      </c>
    </row>
    <row r="1494">
      <c r="A1494" s="7" t="n">
        <v>1487</v>
      </c>
      <c r="B1494" s="26">
        <f>(A1494-1)/2000*$C$2</f>
        <v/>
      </c>
      <c r="C1494" s="7">
        <f>INDEX(Bits!$E$25:$E$124,INT(B1494)+1)</f>
        <v/>
      </c>
      <c r="D1494" s="7">
        <f>MAX(1,MIN(INT(B1494/$C$4)+1,$C$5))</f>
        <v/>
      </c>
      <c r="E1494" s="26">
        <f>IF($C$5=0,0,INDEX(Symboles!$G$6:$G$101,D1494))</f>
        <v/>
      </c>
      <c r="F1494" s="26">
        <f>IF($C$5=0,0,INDEX(Symboles!$H$6:$H$101,D1494))</f>
        <v/>
      </c>
      <c r="G1494" s="26">
        <f>COS(2*PI()*$C$3*B1494)</f>
        <v/>
      </c>
      <c r="H1494" s="26">
        <f>SIN(2*PI()*$C$3*B1494)</f>
        <v/>
      </c>
      <c r="I1494" s="26">
        <f>E1494*G1494+F1494*H1494</f>
        <v/>
      </c>
    </row>
    <row r="1495">
      <c r="A1495" s="7" t="n">
        <v>1488</v>
      </c>
      <c r="B1495" s="26">
        <f>(A1495-1)/2000*$C$2</f>
        <v/>
      </c>
      <c r="C1495" s="7">
        <f>INDEX(Bits!$E$25:$E$124,INT(B1495)+1)</f>
        <v/>
      </c>
      <c r="D1495" s="7">
        <f>MAX(1,MIN(INT(B1495/$C$4)+1,$C$5))</f>
        <v/>
      </c>
      <c r="E1495" s="26">
        <f>IF($C$5=0,0,INDEX(Symboles!$G$6:$G$101,D1495))</f>
        <v/>
      </c>
      <c r="F1495" s="26">
        <f>IF($C$5=0,0,INDEX(Symboles!$H$6:$H$101,D1495))</f>
        <v/>
      </c>
      <c r="G1495" s="26">
        <f>COS(2*PI()*$C$3*B1495)</f>
        <v/>
      </c>
      <c r="H1495" s="26">
        <f>SIN(2*PI()*$C$3*B1495)</f>
        <v/>
      </c>
      <c r="I1495" s="26">
        <f>E1495*G1495+F1495*H1495</f>
        <v/>
      </c>
    </row>
    <row r="1496">
      <c r="A1496" s="7" t="n">
        <v>1489</v>
      </c>
      <c r="B1496" s="26">
        <f>(A1496-1)/2000*$C$2</f>
        <v/>
      </c>
      <c r="C1496" s="7">
        <f>INDEX(Bits!$E$25:$E$124,INT(B1496)+1)</f>
        <v/>
      </c>
      <c r="D1496" s="7">
        <f>MAX(1,MIN(INT(B1496/$C$4)+1,$C$5))</f>
        <v/>
      </c>
      <c r="E1496" s="26">
        <f>IF($C$5=0,0,INDEX(Symboles!$G$6:$G$101,D1496))</f>
        <v/>
      </c>
      <c r="F1496" s="26">
        <f>IF($C$5=0,0,INDEX(Symboles!$H$6:$H$101,D1496))</f>
        <v/>
      </c>
      <c r="G1496" s="26">
        <f>COS(2*PI()*$C$3*B1496)</f>
        <v/>
      </c>
      <c r="H1496" s="26">
        <f>SIN(2*PI()*$C$3*B1496)</f>
        <v/>
      </c>
      <c r="I1496" s="26">
        <f>E1496*G1496+F1496*H1496</f>
        <v/>
      </c>
    </row>
    <row r="1497">
      <c r="A1497" s="7" t="n">
        <v>1490</v>
      </c>
      <c r="B1497" s="26">
        <f>(A1497-1)/2000*$C$2</f>
        <v/>
      </c>
      <c r="C1497" s="7">
        <f>INDEX(Bits!$E$25:$E$124,INT(B1497)+1)</f>
        <v/>
      </c>
      <c r="D1497" s="7">
        <f>MAX(1,MIN(INT(B1497/$C$4)+1,$C$5))</f>
        <v/>
      </c>
      <c r="E1497" s="26">
        <f>IF($C$5=0,0,INDEX(Symboles!$G$6:$G$101,D1497))</f>
        <v/>
      </c>
      <c r="F1497" s="26">
        <f>IF($C$5=0,0,INDEX(Symboles!$H$6:$H$101,D1497))</f>
        <v/>
      </c>
      <c r="G1497" s="26">
        <f>COS(2*PI()*$C$3*B1497)</f>
        <v/>
      </c>
      <c r="H1497" s="26">
        <f>SIN(2*PI()*$C$3*B1497)</f>
        <v/>
      </c>
      <c r="I1497" s="26">
        <f>E1497*G1497+F1497*H1497</f>
        <v/>
      </c>
    </row>
    <row r="1498">
      <c r="A1498" s="7" t="n">
        <v>1491</v>
      </c>
      <c r="B1498" s="26">
        <f>(A1498-1)/2000*$C$2</f>
        <v/>
      </c>
      <c r="C1498" s="7">
        <f>INDEX(Bits!$E$25:$E$124,INT(B1498)+1)</f>
        <v/>
      </c>
      <c r="D1498" s="7">
        <f>MAX(1,MIN(INT(B1498/$C$4)+1,$C$5))</f>
        <v/>
      </c>
      <c r="E1498" s="26">
        <f>IF($C$5=0,0,INDEX(Symboles!$G$6:$G$101,D1498))</f>
        <v/>
      </c>
      <c r="F1498" s="26">
        <f>IF($C$5=0,0,INDEX(Symboles!$H$6:$H$101,D1498))</f>
        <v/>
      </c>
      <c r="G1498" s="26">
        <f>COS(2*PI()*$C$3*B1498)</f>
        <v/>
      </c>
      <c r="H1498" s="26">
        <f>SIN(2*PI()*$C$3*B1498)</f>
        <v/>
      </c>
      <c r="I1498" s="26">
        <f>E1498*G1498+F1498*H1498</f>
        <v/>
      </c>
    </row>
    <row r="1499">
      <c r="A1499" s="7" t="n">
        <v>1492</v>
      </c>
      <c r="B1499" s="26">
        <f>(A1499-1)/2000*$C$2</f>
        <v/>
      </c>
      <c r="C1499" s="7">
        <f>INDEX(Bits!$E$25:$E$124,INT(B1499)+1)</f>
        <v/>
      </c>
      <c r="D1499" s="7">
        <f>MAX(1,MIN(INT(B1499/$C$4)+1,$C$5))</f>
        <v/>
      </c>
      <c r="E1499" s="26">
        <f>IF($C$5=0,0,INDEX(Symboles!$G$6:$G$101,D1499))</f>
        <v/>
      </c>
      <c r="F1499" s="26">
        <f>IF($C$5=0,0,INDEX(Symboles!$H$6:$H$101,D1499))</f>
        <v/>
      </c>
      <c r="G1499" s="26">
        <f>COS(2*PI()*$C$3*B1499)</f>
        <v/>
      </c>
      <c r="H1499" s="26">
        <f>SIN(2*PI()*$C$3*B1499)</f>
        <v/>
      </c>
      <c r="I1499" s="26">
        <f>E1499*G1499+F1499*H1499</f>
        <v/>
      </c>
    </row>
    <row r="1500">
      <c r="A1500" s="7" t="n">
        <v>1493</v>
      </c>
      <c r="B1500" s="26">
        <f>(A1500-1)/2000*$C$2</f>
        <v/>
      </c>
      <c r="C1500" s="7">
        <f>INDEX(Bits!$E$25:$E$124,INT(B1500)+1)</f>
        <v/>
      </c>
      <c r="D1500" s="7">
        <f>MAX(1,MIN(INT(B1500/$C$4)+1,$C$5))</f>
        <v/>
      </c>
      <c r="E1500" s="26">
        <f>IF($C$5=0,0,INDEX(Symboles!$G$6:$G$101,D1500))</f>
        <v/>
      </c>
      <c r="F1500" s="26">
        <f>IF($C$5=0,0,INDEX(Symboles!$H$6:$H$101,D1500))</f>
        <v/>
      </c>
      <c r="G1500" s="26">
        <f>COS(2*PI()*$C$3*B1500)</f>
        <v/>
      </c>
      <c r="H1500" s="26">
        <f>SIN(2*PI()*$C$3*B1500)</f>
        <v/>
      </c>
      <c r="I1500" s="26">
        <f>E1500*G1500+F1500*H1500</f>
        <v/>
      </c>
    </row>
    <row r="1501">
      <c r="A1501" s="7" t="n">
        <v>1494</v>
      </c>
      <c r="B1501" s="26">
        <f>(A1501-1)/2000*$C$2</f>
        <v/>
      </c>
      <c r="C1501" s="7">
        <f>INDEX(Bits!$E$25:$E$124,INT(B1501)+1)</f>
        <v/>
      </c>
      <c r="D1501" s="7">
        <f>MAX(1,MIN(INT(B1501/$C$4)+1,$C$5))</f>
        <v/>
      </c>
      <c r="E1501" s="26">
        <f>IF($C$5=0,0,INDEX(Symboles!$G$6:$G$101,D1501))</f>
        <v/>
      </c>
      <c r="F1501" s="26">
        <f>IF($C$5=0,0,INDEX(Symboles!$H$6:$H$101,D1501))</f>
        <v/>
      </c>
      <c r="G1501" s="26">
        <f>COS(2*PI()*$C$3*B1501)</f>
        <v/>
      </c>
      <c r="H1501" s="26">
        <f>SIN(2*PI()*$C$3*B1501)</f>
        <v/>
      </c>
      <c r="I1501" s="26">
        <f>E1501*G1501+F1501*H1501</f>
        <v/>
      </c>
    </row>
    <row r="1502">
      <c r="A1502" s="7" t="n">
        <v>1495</v>
      </c>
      <c r="B1502" s="26">
        <f>(A1502-1)/2000*$C$2</f>
        <v/>
      </c>
      <c r="C1502" s="7">
        <f>INDEX(Bits!$E$25:$E$124,INT(B1502)+1)</f>
        <v/>
      </c>
      <c r="D1502" s="7">
        <f>MAX(1,MIN(INT(B1502/$C$4)+1,$C$5))</f>
        <v/>
      </c>
      <c r="E1502" s="26">
        <f>IF($C$5=0,0,INDEX(Symboles!$G$6:$G$101,D1502))</f>
        <v/>
      </c>
      <c r="F1502" s="26">
        <f>IF($C$5=0,0,INDEX(Symboles!$H$6:$H$101,D1502))</f>
        <v/>
      </c>
      <c r="G1502" s="26">
        <f>COS(2*PI()*$C$3*B1502)</f>
        <v/>
      </c>
      <c r="H1502" s="26">
        <f>SIN(2*PI()*$C$3*B1502)</f>
        <v/>
      </c>
      <c r="I1502" s="26">
        <f>E1502*G1502+F1502*H1502</f>
        <v/>
      </c>
    </row>
    <row r="1503">
      <c r="A1503" s="7" t="n">
        <v>1496</v>
      </c>
      <c r="B1503" s="26">
        <f>(A1503-1)/2000*$C$2</f>
        <v/>
      </c>
      <c r="C1503" s="7">
        <f>INDEX(Bits!$E$25:$E$124,INT(B1503)+1)</f>
        <v/>
      </c>
      <c r="D1503" s="7">
        <f>MAX(1,MIN(INT(B1503/$C$4)+1,$C$5))</f>
        <v/>
      </c>
      <c r="E1503" s="26">
        <f>IF($C$5=0,0,INDEX(Symboles!$G$6:$G$101,D1503))</f>
        <v/>
      </c>
      <c r="F1503" s="26">
        <f>IF($C$5=0,0,INDEX(Symboles!$H$6:$H$101,D1503))</f>
        <v/>
      </c>
      <c r="G1503" s="26">
        <f>COS(2*PI()*$C$3*B1503)</f>
        <v/>
      </c>
      <c r="H1503" s="26">
        <f>SIN(2*PI()*$C$3*B1503)</f>
        <v/>
      </c>
      <c r="I1503" s="26">
        <f>E1503*G1503+F1503*H1503</f>
        <v/>
      </c>
    </row>
    <row r="1504">
      <c r="A1504" s="7" t="n">
        <v>1497</v>
      </c>
      <c r="B1504" s="26">
        <f>(A1504-1)/2000*$C$2</f>
        <v/>
      </c>
      <c r="C1504" s="7">
        <f>INDEX(Bits!$E$25:$E$124,INT(B1504)+1)</f>
        <v/>
      </c>
      <c r="D1504" s="7">
        <f>MAX(1,MIN(INT(B1504/$C$4)+1,$C$5))</f>
        <v/>
      </c>
      <c r="E1504" s="26">
        <f>IF($C$5=0,0,INDEX(Symboles!$G$6:$G$101,D1504))</f>
        <v/>
      </c>
      <c r="F1504" s="26">
        <f>IF($C$5=0,0,INDEX(Symboles!$H$6:$H$101,D1504))</f>
        <v/>
      </c>
      <c r="G1504" s="26">
        <f>COS(2*PI()*$C$3*B1504)</f>
        <v/>
      </c>
      <c r="H1504" s="26">
        <f>SIN(2*PI()*$C$3*B1504)</f>
        <v/>
      </c>
      <c r="I1504" s="26">
        <f>E1504*G1504+F1504*H1504</f>
        <v/>
      </c>
    </row>
    <row r="1505">
      <c r="A1505" s="7" t="n">
        <v>1498</v>
      </c>
      <c r="B1505" s="26">
        <f>(A1505-1)/2000*$C$2</f>
        <v/>
      </c>
      <c r="C1505" s="7">
        <f>INDEX(Bits!$E$25:$E$124,INT(B1505)+1)</f>
        <v/>
      </c>
      <c r="D1505" s="7">
        <f>MAX(1,MIN(INT(B1505/$C$4)+1,$C$5))</f>
        <v/>
      </c>
      <c r="E1505" s="26">
        <f>IF($C$5=0,0,INDEX(Symboles!$G$6:$G$101,D1505))</f>
        <v/>
      </c>
      <c r="F1505" s="26">
        <f>IF($C$5=0,0,INDEX(Symboles!$H$6:$H$101,D1505))</f>
        <v/>
      </c>
      <c r="G1505" s="26">
        <f>COS(2*PI()*$C$3*B1505)</f>
        <v/>
      </c>
      <c r="H1505" s="26">
        <f>SIN(2*PI()*$C$3*B1505)</f>
        <v/>
      </c>
      <c r="I1505" s="26">
        <f>E1505*G1505+F1505*H1505</f>
        <v/>
      </c>
    </row>
    <row r="1506">
      <c r="A1506" s="7" t="n">
        <v>1499</v>
      </c>
      <c r="B1506" s="26">
        <f>(A1506-1)/2000*$C$2</f>
        <v/>
      </c>
      <c r="C1506" s="7">
        <f>INDEX(Bits!$E$25:$E$124,INT(B1506)+1)</f>
        <v/>
      </c>
      <c r="D1506" s="7">
        <f>MAX(1,MIN(INT(B1506/$C$4)+1,$C$5))</f>
        <v/>
      </c>
      <c r="E1506" s="26">
        <f>IF($C$5=0,0,INDEX(Symboles!$G$6:$G$101,D1506))</f>
        <v/>
      </c>
      <c r="F1506" s="26">
        <f>IF($C$5=0,0,INDEX(Symboles!$H$6:$H$101,D1506))</f>
        <v/>
      </c>
      <c r="G1506" s="26">
        <f>COS(2*PI()*$C$3*B1506)</f>
        <v/>
      </c>
      <c r="H1506" s="26">
        <f>SIN(2*PI()*$C$3*B1506)</f>
        <v/>
      </c>
      <c r="I1506" s="26">
        <f>E1506*G1506+F1506*H1506</f>
        <v/>
      </c>
    </row>
    <row r="1507">
      <c r="A1507" s="7" t="n">
        <v>1500</v>
      </c>
      <c r="B1507" s="26">
        <f>(A1507-1)/2000*$C$2</f>
        <v/>
      </c>
      <c r="C1507" s="7">
        <f>INDEX(Bits!$E$25:$E$124,INT(B1507)+1)</f>
        <v/>
      </c>
      <c r="D1507" s="7">
        <f>MAX(1,MIN(INT(B1507/$C$4)+1,$C$5))</f>
        <v/>
      </c>
      <c r="E1507" s="26">
        <f>IF($C$5=0,0,INDEX(Symboles!$G$6:$G$101,D1507))</f>
        <v/>
      </c>
      <c r="F1507" s="26">
        <f>IF($C$5=0,0,INDEX(Symboles!$H$6:$H$101,D1507))</f>
        <v/>
      </c>
      <c r="G1507" s="26">
        <f>COS(2*PI()*$C$3*B1507)</f>
        <v/>
      </c>
      <c r="H1507" s="26">
        <f>SIN(2*PI()*$C$3*B1507)</f>
        <v/>
      </c>
      <c r="I1507" s="26">
        <f>E1507*G1507+F1507*H1507</f>
        <v/>
      </c>
    </row>
    <row r="1508">
      <c r="A1508" s="7" t="n">
        <v>1501</v>
      </c>
      <c r="B1508" s="26">
        <f>(A1508-1)/2000*$C$2</f>
        <v/>
      </c>
      <c r="C1508" s="7">
        <f>INDEX(Bits!$E$25:$E$124,INT(B1508)+1)</f>
        <v/>
      </c>
      <c r="D1508" s="7">
        <f>MAX(1,MIN(INT(B1508/$C$4)+1,$C$5))</f>
        <v/>
      </c>
      <c r="E1508" s="26">
        <f>IF($C$5=0,0,INDEX(Symboles!$G$6:$G$101,D1508))</f>
        <v/>
      </c>
      <c r="F1508" s="26">
        <f>IF($C$5=0,0,INDEX(Symboles!$H$6:$H$101,D1508))</f>
        <v/>
      </c>
      <c r="G1508" s="26">
        <f>COS(2*PI()*$C$3*B1508)</f>
        <v/>
      </c>
      <c r="H1508" s="26">
        <f>SIN(2*PI()*$C$3*B1508)</f>
        <v/>
      </c>
      <c r="I1508" s="26">
        <f>E1508*G1508+F1508*H1508</f>
        <v/>
      </c>
    </row>
    <row r="1509">
      <c r="A1509" s="7" t="n">
        <v>1502</v>
      </c>
      <c r="B1509" s="26">
        <f>(A1509-1)/2000*$C$2</f>
        <v/>
      </c>
      <c r="C1509" s="7">
        <f>INDEX(Bits!$E$25:$E$124,INT(B1509)+1)</f>
        <v/>
      </c>
      <c r="D1509" s="7">
        <f>MAX(1,MIN(INT(B1509/$C$4)+1,$C$5))</f>
        <v/>
      </c>
      <c r="E1509" s="26">
        <f>IF($C$5=0,0,INDEX(Symboles!$G$6:$G$101,D1509))</f>
        <v/>
      </c>
      <c r="F1509" s="26">
        <f>IF($C$5=0,0,INDEX(Symboles!$H$6:$H$101,D1509))</f>
        <v/>
      </c>
      <c r="G1509" s="26">
        <f>COS(2*PI()*$C$3*B1509)</f>
        <v/>
      </c>
      <c r="H1509" s="26">
        <f>SIN(2*PI()*$C$3*B1509)</f>
        <v/>
      </c>
      <c r="I1509" s="26">
        <f>E1509*G1509+F1509*H1509</f>
        <v/>
      </c>
    </row>
    <row r="1510">
      <c r="A1510" s="7" t="n">
        <v>1503</v>
      </c>
      <c r="B1510" s="26">
        <f>(A1510-1)/2000*$C$2</f>
        <v/>
      </c>
      <c r="C1510" s="7">
        <f>INDEX(Bits!$E$25:$E$124,INT(B1510)+1)</f>
        <v/>
      </c>
      <c r="D1510" s="7">
        <f>MAX(1,MIN(INT(B1510/$C$4)+1,$C$5))</f>
        <v/>
      </c>
      <c r="E1510" s="26">
        <f>IF($C$5=0,0,INDEX(Symboles!$G$6:$G$101,D1510))</f>
        <v/>
      </c>
      <c r="F1510" s="26">
        <f>IF($C$5=0,0,INDEX(Symboles!$H$6:$H$101,D1510))</f>
        <v/>
      </c>
      <c r="G1510" s="26">
        <f>COS(2*PI()*$C$3*B1510)</f>
        <v/>
      </c>
      <c r="H1510" s="26">
        <f>SIN(2*PI()*$C$3*B1510)</f>
        <v/>
      </c>
      <c r="I1510" s="26">
        <f>E1510*G1510+F1510*H1510</f>
        <v/>
      </c>
    </row>
    <row r="1511">
      <c r="A1511" s="7" t="n">
        <v>1504</v>
      </c>
      <c r="B1511" s="26">
        <f>(A1511-1)/2000*$C$2</f>
        <v/>
      </c>
      <c r="C1511" s="7">
        <f>INDEX(Bits!$E$25:$E$124,INT(B1511)+1)</f>
        <v/>
      </c>
      <c r="D1511" s="7">
        <f>MAX(1,MIN(INT(B1511/$C$4)+1,$C$5))</f>
        <v/>
      </c>
      <c r="E1511" s="26">
        <f>IF($C$5=0,0,INDEX(Symboles!$G$6:$G$101,D1511))</f>
        <v/>
      </c>
      <c r="F1511" s="26">
        <f>IF($C$5=0,0,INDEX(Symboles!$H$6:$H$101,D1511))</f>
        <v/>
      </c>
      <c r="G1511" s="26">
        <f>COS(2*PI()*$C$3*B1511)</f>
        <v/>
      </c>
      <c r="H1511" s="26">
        <f>SIN(2*PI()*$C$3*B1511)</f>
        <v/>
      </c>
      <c r="I1511" s="26">
        <f>E1511*G1511+F1511*H1511</f>
        <v/>
      </c>
    </row>
    <row r="1512">
      <c r="A1512" s="7" t="n">
        <v>1505</v>
      </c>
      <c r="B1512" s="26">
        <f>(A1512-1)/2000*$C$2</f>
        <v/>
      </c>
      <c r="C1512" s="7">
        <f>INDEX(Bits!$E$25:$E$124,INT(B1512)+1)</f>
        <v/>
      </c>
      <c r="D1512" s="7">
        <f>MAX(1,MIN(INT(B1512/$C$4)+1,$C$5))</f>
        <v/>
      </c>
      <c r="E1512" s="26">
        <f>IF($C$5=0,0,INDEX(Symboles!$G$6:$G$101,D1512))</f>
        <v/>
      </c>
      <c r="F1512" s="26">
        <f>IF($C$5=0,0,INDEX(Symboles!$H$6:$H$101,D1512))</f>
        <v/>
      </c>
      <c r="G1512" s="26">
        <f>COS(2*PI()*$C$3*B1512)</f>
        <v/>
      </c>
      <c r="H1512" s="26">
        <f>SIN(2*PI()*$C$3*B1512)</f>
        <v/>
      </c>
      <c r="I1512" s="26">
        <f>E1512*G1512+F1512*H1512</f>
        <v/>
      </c>
    </row>
    <row r="1513">
      <c r="A1513" s="7" t="n">
        <v>1506</v>
      </c>
      <c r="B1513" s="26">
        <f>(A1513-1)/2000*$C$2</f>
        <v/>
      </c>
      <c r="C1513" s="7">
        <f>INDEX(Bits!$E$25:$E$124,INT(B1513)+1)</f>
        <v/>
      </c>
      <c r="D1513" s="7">
        <f>MAX(1,MIN(INT(B1513/$C$4)+1,$C$5))</f>
        <v/>
      </c>
      <c r="E1513" s="26">
        <f>IF($C$5=0,0,INDEX(Symboles!$G$6:$G$101,D1513))</f>
        <v/>
      </c>
      <c r="F1513" s="26">
        <f>IF($C$5=0,0,INDEX(Symboles!$H$6:$H$101,D1513))</f>
        <v/>
      </c>
      <c r="G1513" s="26">
        <f>COS(2*PI()*$C$3*B1513)</f>
        <v/>
      </c>
      <c r="H1513" s="26">
        <f>SIN(2*PI()*$C$3*B1513)</f>
        <v/>
      </c>
      <c r="I1513" s="26">
        <f>E1513*G1513+F1513*H1513</f>
        <v/>
      </c>
    </row>
    <row r="1514">
      <c r="A1514" s="7" t="n">
        <v>1507</v>
      </c>
      <c r="B1514" s="26">
        <f>(A1514-1)/2000*$C$2</f>
        <v/>
      </c>
      <c r="C1514" s="7">
        <f>INDEX(Bits!$E$25:$E$124,INT(B1514)+1)</f>
        <v/>
      </c>
      <c r="D1514" s="7">
        <f>MAX(1,MIN(INT(B1514/$C$4)+1,$C$5))</f>
        <v/>
      </c>
      <c r="E1514" s="26">
        <f>IF($C$5=0,0,INDEX(Symboles!$G$6:$G$101,D1514))</f>
        <v/>
      </c>
      <c r="F1514" s="26">
        <f>IF($C$5=0,0,INDEX(Symboles!$H$6:$H$101,D1514))</f>
        <v/>
      </c>
      <c r="G1514" s="26">
        <f>COS(2*PI()*$C$3*B1514)</f>
        <v/>
      </c>
      <c r="H1514" s="26">
        <f>SIN(2*PI()*$C$3*B1514)</f>
        <v/>
      </c>
      <c r="I1514" s="26">
        <f>E1514*G1514+F1514*H1514</f>
        <v/>
      </c>
    </row>
    <row r="1515">
      <c r="A1515" s="7" t="n">
        <v>1508</v>
      </c>
      <c r="B1515" s="26">
        <f>(A1515-1)/2000*$C$2</f>
        <v/>
      </c>
      <c r="C1515" s="7">
        <f>INDEX(Bits!$E$25:$E$124,INT(B1515)+1)</f>
        <v/>
      </c>
      <c r="D1515" s="7">
        <f>MAX(1,MIN(INT(B1515/$C$4)+1,$C$5))</f>
        <v/>
      </c>
      <c r="E1515" s="26">
        <f>IF($C$5=0,0,INDEX(Symboles!$G$6:$G$101,D1515))</f>
        <v/>
      </c>
      <c r="F1515" s="26">
        <f>IF($C$5=0,0,INDEX(Symboles!$H$6:$H$101,D1515))</f>
        <v/>
      </c>
      <c r="G1515" s="26">
        <f>COS(2*PI()*$C$3*B1515)</f>
        <v/>
      </c>
      <c r="H1515" s="26">
        <f>SIN(2*PI()*$C$3*B1515)</f>
        <v/>
      </c>
      <c r="I1515" s="26">
        <f>E1515*G1515+F1515*H1515</f>
        <v/>
      </c>
    </row>
    <row r="1516">
      <c r="A1516" s="7" t="n">
        <v>1509</v>
      </c>
      <c r="B1516" s="26">
        <f>(A1516-1)/2000*$C$2</f>
        <v/>
      </c>
      <c r="C1516" s="7">
        <f>INDEX(Bits!$E$25:$E$124,INT(B1516)+1)</f>
        <v/>
      </c>
      <c r="D1516" s="7">
        <f>MAX(1,MIN(INT(B1516/$C$4)+1,$C$5))</f>
        <v/>
      </c>
      <c r="E1516" s="26">
        <f>IF($C$5=0,0,INDEX(Symboles!$G$6:$G$101,D1516))</f>
        <v/>
      </c>
      <c r="F1516" s="26">
        <f>IF($C$5=0,0,INDEX(Symboles!$H$6:$H$101,D1516))</f>
        <v/>
      </c>
      <c r="G1516" s="26">
        <f>COS(2*PI()*$C$3*B1516)</f>
        <v/>
      </c>
      <c r="H1516" s="26">
        <f>SIN(2*PI()*$C$3*B1516)</f>
        <v/>
      </c>
      <c r="I1516" s="26">
        <f>E1516*G1516+F1516*H1516</f>
        <v/>
      </c>
    </row>
    <row r="1517">
      <c r="A1517" s="7" t="n">
        <v>1510</v>
      </c>
      <c r="B1517" s="26">
        <f>(A1517-1)/2000*$C$2</f>
        <v/>
      </c>
      <c r="C1517" s="7">
        <f>INDEX(Bits!$E$25:$E$124,INT(B1517)+1)</f>
        <v/>
      </c>
      <c r="D1517" s="7">
        <f>MAX(1,MIN(INT(B1517/$C$4)+1,$C$5))</f>
        <v/>
      </c>
      <c r="E1517" s="26">
        <f>IF($C$5=0,0,INDEX(Symboles!$G$6:$G$101,D1517))</f>
        <v/>
      </c>
      <c r="F1517" s="26">
        <f>IF($C$5=0,0,INDEX(Symboles!$H$6:$H$101,D1517))</f>
        <v/>
      </c>
      <c r="G1517" s="26">
        <f>COS(2*PI()*$C$3*B1517)</f>
        <v/>
      </c>
      <c r="H1517" s="26">
        <f>SIN(2*PI()*$C$3*B1517)</f>
        <v/>
      </c>
      <c r="I1517" s="26">
        <f>E1517*G1517+F1517*H1517</f>
        <v/>
      </c>
    </row>
    <row r="1518">
      <c r="A1518" s="7" t="n">
        <v>1511</v>
      </c>
      <c r="B1518" s="26">
        <f>(A1518-1)/2000*$C$2</f>
        <v/>
      </c>
      <c r="C1518" s="7">
        <f>INDEX(Bits!$E$25:$E$124,INT(B1518)+1)</f>
        <v/>
      </c>
      <c r="D1518" s="7">
        <f>MAX(1,MIN(INT(B1518/$C$4)+1,$C$5))</f>
        <v/>
      </c>
      <c r="E1518" s="26">
        <f>IF($C$5=0,0,INDEX(Symboles!$G$6:$G$101,D1518))</f>
        <v/>
      </c>
      <c r="F1518" s="26">
        <f>IF($C$5=0,0,INDEX(Symboles!$H$6:$H$101,D1518))</f>
        <v/>
      </c>
      <c r="G1518" s="26">
        <f>COS(2*PI()*$C$3*B1518)</f>
        <v/>
      </c>
      <c r="H1518" s="26">
        <f>SIN(2*PI()*$C$3*B1518)</f>
        <v/>
      </c>
      <c r="I1518" s="26">
        <f>E1518*G1518+F1518*H1518</f>
        <v/>
      </c>
    </row>
    <row r="1519">
      <c r="A1519" s="7" t="n">
        <v>1512</v>
      </c>
      <c r="B1519" s="26">
        <f>(A1519-1)/2000*$C$2</f>
        <v/>
      </c>
      <c r="C1519" s="7">
        <f>INDEX(Bits!$E$25:$E$124,INT(B1519)+1)</f>
        <v/>
      </c>
      <c r="D1519" s="7">
        <f>MAX(1,MIN(INT(B1519/$C$4)+1,$C$5))</f>
        <v/>
      </c>
      <c r="E1519" s="26">
        <f>IF($C$5=0,0,INDEX(Symboles!$G$6:$G$101,D1519))</f>
        <v/>
      </c>
      <c r="F1519" s="26">
        <f>IF($C$5=0,0,INDEX(Symboles!$H$6:$H$101,D1519))</f>
        <v/>
      </c>
      <c r="G1519" s="26">
        <f>COS(2*PI()*$C$3*B1519)</f>
        <v/>
      </c>
      <c r="H1519" s="26">
        <f>SIN(2*PI()*$C$3*B1519)</f>
        <v/>
      </c>
      <c r="I1519" s="26">
        <f>E1519*G1519+F1519*H1519</f>
        <v/>
      </c>
    </row>
    <row r="1520">
      <c r="A1520" s="7" t="n">
        <v>1513</v>
      </c>
      <c r="B1520" s="26">
        <f>(A1520-1)/2000*$C$2</f>
        <v/>
      </c>
      <c r="C1520" s="7">
        <f>INDEX(Bits!$E$25:$E$124,INT(B1520)+1)</f>
        <v/>
      </c>
      <c r="D1520" s="7">
        <f>MAX(1,MIN(INT(B1520/$C$4)+1,$C$5))</f>
        <v/>
      </c>
      <c r="E1520" s="26">
        <f>IF($C$5=0,0,INDEX(Symboles!$G$6:$G$101,D1520))</f>
        <v/>
      </c>
      <c r="F1520" s="26">
        <f>IF($C$5=0,0,INDEX(Symboles!$H$6:$H$101,D1520))</f>
        <v/>
      </c>
      <c r="G1520" s="26">
        <f>COS(2*PI()*$C$3*B1520)</f>
        <v/>
      </c>
      <c r="H1520" s="26">
        <f>SIN(2*PI()*$C$3*B1520)</f>
        <v/>
      </c>
      <c r="I1520" s="26">
        <f>E1520*G1520+F1520*H1520</f>
        <v/>
      </c>
    </row>
    <row r="1521">
      <c r="A1521" s="7" t="n">
        <v>1514</v>
      </c>
      <c r="B1521" s="26">
        <f>(A1521-1)/2000*$C$2</f>
        <v/>
      </c>
      <c r="C1521" s="7">
        <f>INDEX(Bits!$E$25:$E$124,INT(B1521)+1)</f>
        <v/>
      </c>
      <c r="D1521" s="7">
        <f>MAX(1,MIN(INT(B1521/$C$4)+1,$C$5))</f>
        <v/>
      </c>
      <c r="E1521" s="26">
        <f>IF($C$5=0,0,INDEX(Symboles!$G$6:$G$101,D1521))</f>
        <v/>
      </c>
      <c r="F1521" s="26">
        <f>IF($C$5=0,0,INDEX(Symboles!$H$6:$H$101,D1521))</f>
        <v/>
      </c>
      <c r="G1521" s="26">
        <f>COS(2*PI()*$C$3*B1521)</f>
        <v/>
      </c>
      <c r="H1521" s="26">
        <f>SIN(2*PI()*$C$3*B1521)</f>
        <v/>
      </c>
      <c r="I1521" s="26">
        <f>E1521*G1521+F1521*H1521</f>
        <v/>
      </c>
    </row>
    <row r="1522">
      <c r="A1522" s="7" t="n">
        <v>1515</v>
      </c>
      <c r="B1522" s="26">
        <f>(A1522-1)/2000*$C$2</f>
        <v/>
      </c>
      <c r="C1522" s="7">
        <f>INDEX(Bits!$E$25:$E$124,INT(B1522)+1)</f>
        <v/>
      </c>
      <c r="D1522" s="7">
        <f>MAX(1,MIN(INT(B1522/$C$4)+1,$C$5))</f>
        <v/>
      </c>
      <c r="E1522" s="26">
        <f>IF($C$5=0,0,INDEX(Symboles!$G$6:$G$101,D1522))</f>
        <v/>
      </c>
      <c r="F1522" s="26">
        <f>IF($C$5=0,0,INDEX(Symboles!$H$6:$H$101,D1522))</f>
        <v/>
      </c>
      <c r="G1522" s="26">
        <f>COS(2*PI()*$C$3*B1522)</f>
        <v/>
      </c>
      <c r="H1522" s="26">
        <f>SIN(2*PI()*$C$3*B1522)</f>
        <v/>
      </c>
      <c r="I1522" s="26">
        <f>E1522*G1522+F1522*H1522</f>
        <v/>
      </c>
    </row>
    <row r="1523">
      <c r="A1523" s="7" t="n">
        <v>1516</v>
      </c>
      <c r="B1523" s="26">
        <f>(A1523-1)/2000*$C$2</f>
        <v/>
      </c>
      <c r="C1523" s="7">
        <f>INDEX(Bits!$E$25:$E$124,INT(B1523)+1)</f>
        <v/>
      </c>
      <c r="D1523" s="7">
        <f>MAX(1,MIN(INT(B1523/$C$4)+1,$C$5))</f>
        <v/>
      </c>
      <c r="E1523" s="26">
        <f>IF($C$5=0,0,INDEX(Symboles!$G$6:$G$101,D1523))</f>
        <v/>
      </c>
      <c r="F1523" s="26">
        <f>IF($C$5=0,0,INDEX(Symboles!$H$6:$H$101,D1523))</f>
        <v/>
      </c>
      <c r="G1523" s="26">
        <f>COS(2*PI()*$C$3*B1523)</f>
        <v/>
      </c>
      <c r="H1523" s="26">
        <f>SIN(2*PI()*$C$3*B1523)</f>
        <v/>
      </c>
      <c r="I1523" s="26">
        <f>E1523*G1523+F1523*H1523</f>
        <v/>
      </c>
    </row>
    <row r="1524">
      <c r="A1524" s="7" t="n">
        <v>1517</v>
      </c>
      <c r="B1524" s="26">
        <f>(A1524-1)/2000*$C$2</f>
        <v/>
      </c>
      <c r="C1524" s="7">
        <f>INDEX(Bits!$E$25:$E$124,INT(B1524)+1)</f>
        <v/>
      </c>
      <c r="D1524" s="7">
        <f>MAX(1,MIN(INT(B1524/$C$4)+1,$C$5))</f>
        <v/>
      </c>
      <c r="E1524" s="26">
        <f>IF($C$5=0,0,INDEX(Symboles!$G$6:$G$101,D1524))</f>
        <v/>
      </c>
      <c r="F1524" s="26">
        <f>IF($C$5=0,0,INDEX(Symboles!$H$6:$H$101,D1524))</f>
        <v/>
      </c>
      <c r="G1524" s="26">
        <f>COS(2*PI()*$C$3*B1524)</f>
        <v/>
      </c>
      <c r="H1524" s="26">
        <f>SIN(2*PI()*$C$3*B1524)</f>
        <v/>
      </c>
      <c r="I1524" s="26">
        <f>E1524*G1524+F1524*H1524</f>
        <v/>
      </c>
    </row>
    <row r="1525">
      <c r="A1525" s="7" t="n">
        <v>1518</v>
      </c>
      <c r="B1525" s="26">
        <f>(A1525-1)/2000*$C$2</f>
        <v/>
      </c>
      <c r="C1525" s="7">
        <f>INDEX(Bits!$E$25:$E$124,INT(B1525)+1)</f>
        <v/>
      </c>
      <c r="D1525" s="7">
        <f>MAX(1,MIN(INT(B1525/$C$4)+1,$C$5))</f>
        <v/>
      </c>
      <c r="E1525" s="26">
        <f>IF($C$5=0,0,INDEX(Symboles!$G$6:$G$101,D1525))</f>
        <v/>
      </c>
      <c r="F1525" s="26">
        <f>IF($C$5=0,0,INDEX(Symboles!$H$6:$H$101,D1525))</f>
        <v/>
      </c>
      <c r="G1525" s="26">
        <f>COS(2*PI()*$C$3*B1525)</f>
        <v/>
      </c>
      <c r="H1525" s="26">
        <f>SIN(2*PI()*$C$3*B1525)</f>
        <v/>
      </c>
      <c r="I1525" s="26">
        <f>E1525*G1525+F1525*H1525</f>
        <v/>
      </c>
    </row>
    <row r="1526">
      <c r="A1526" s="7" t="n">
        <v>1519</v>
      </c>
      <c r="B1526" s="26">
        <f>(A1526-1)/2000*$C$2</f>
        <v/>
      </c>
      <c r="C1526" s="7">
        <f>INDEX(Bits!$E$25:$E$124,INT(B1526)+1)</f>
        <v/>
      </c>
      <c r="D1526" s="7">
        <f>MAX(1,MIN(INT(B1526/$C$4)+1,$C$5))</f>
        <v/>
      </c>
      <c r="E1526" s="26">
        <f>IF($C$5=0,0,INDEX(Symboles!$G$6:$G$101,D1526))</f>
        <v/>
      </c>
      <c r="F1526" s="26">
        <f>IF($C$5=0,0,INDEX(Symboles!$H$6:$H$101,D1526))</f>
        <v/>
      </c>
      <c r="G1526" s="26">
        <f>COS(2*PI()*$C$3*B1526)</f>
        <v/>
      </c>
      <c r="H1526" s="26">
        <f>SIN(2*PI()*$C$3*B1526)</f>
        <v/>
      </c>
      <c r="I1526" s="26">
        <f>E1526*G1526+F1526*H1526</f>
        <v/>
      </c>
    </row>
    <row r="1527">
      <c r="A1527" s="7" t="n">
        <v>1520</v>
      </c>
      <c r="B1527" s="26">
        <f>(A1527-1)/2000*$C$2</f>
        <v/>
      </c>
      <c r="C1527" s="7">
        <f>INDEX(Bits!$E$25:$E$124,INT(B1527)+1)</f>
        <v/>
      </c>
      <c r="D1527" s="7">
        <f>MAX(1,MIN(INT(B1527/$C$4)+1,$C$5))</f>
        <v/>
      </c>
      <c r="E1527" s="26">
        <f>IF($C$5=0,0,INDEX(Symboles!$G$6:$G$101,D1527))</f>
        <v/>
      </c>
      <c r="F1527" s="26">
        <f>IF($C$5=0,0,INDEX(Symboles!$H$6:$H$101,D1527))</f>
        <v/>
      </c>
      <c r="G1527" s="26">
        <f>COS(2*PI()*$C$3*B1527)</f>
        <v/>
      </c>
      <c r="H1527" s="26">
        <f>SIN(2*PI()*$C$3*B1527)</f>
        <v/>
      </c>
      <c r="I1527" s="26">
        <f>E1527*G1527+F1527*H1527</f>
        <v/>
      </c>
    </row>
    <row r="1528">
      <c r="A1528" s="7" t="n">
        <v>1521</v>
      </c>
      <c r="B1528" s="26">
        <f>(A1528-1)/2000*$C$2</f>
        <v/>
      </c>
      <c r="C1528" s="7">
        <f>INDEX(Bits!$E$25:$E$124,INT(B1528)+1)</f>
        <v/>
      </c>
      <c r="D1528" s="7">
        <f>MAX(1,MIN(INT(B1528/$C$4)+1,$C$5))</f>
        <v/>
      </c>
      <c r="E1528" s="26">
        <f>IF($C$5=0,0,INDEX(Symboles!$G$6:$G$101,D1528))</f>
        <v/>
      </c>
      <c r="F1528" s="26">
        <f>IF($C$5=0,0,INDEX(Symboles!$H$6:$H$101,D1528))</f>
        <v/>
      </c>
      <c r="G1528" s="26">
        <f>COS(2*PI()*$C$3*B1528)</f>
        <v/>
      </c>
      <c r="H1528" s="26">
        <f>SIN(2*PI()*$C$3*B1528)</f>
        <v/>
      </c>
      <c r="I1528" s="26">
        <f>E1528*G1528+F1528*H1528</f>
        <v/>
      </c>
    </row>
    <row r="1529">
      <c r="A1529" s="7" t="n">
        <v>1522</v>
      </c>
      <c r="B1529" s="26">
        <f>(A1529-1)/2000*$C$2</f>
        <v/>
      </c>
      <c r="C1529" s="7">
        <f>INDEX(Bits!$E$25:$E$124,INT(B1529)+1)</f>
        <v/>
      </c>
      <c r="D1529" s="7">
        <f>MAX(1,MIN(INT(B1529/$C$4)+1,$C$5))</f>
        <v/>
      </c>
      <c r="E1529" s="26">
        <f>IF($C$5=0,0,INDEX(Symboles!$G$6:$G$101,D1529))</f>
        <v/>
      </c>
      <c r="F1529" s="26">
        <f>IF($C$5=0,0,INDEX(Symboles!$H$6:$H$101,D1529))</f>
        <v/>
      </c>
      <c r="G1529" s="26">
        <f>COS(2*PI()*$C$3*B1529)</f>
        <v/>
      </c>
      <c r="H1529" s="26">
        <f>SIN(2*PI()*$C$3*B1529)</f>
        <v/>
      </c>
      <c r="I1529" s="26">
        <f>E1529*G1529+F1529*H1529</f>
        <v/>
      </c>
    </row>
    <row r="1530">
      <c r="A1530" s="7" t="n">
        <v>1523</v>
      </c>
      <c r="B1530" s="26">
        <f>(A1530-1)/2000*$C$2</f>
        <v/>
      </c>
      <c r="C1530" s="7">
        <f>INDEX(Bits!$E$25:$E$124,INT(B1530)+1)</f>
        <v/>
      </c>
      <c r="D1530" s="7">
        <f>MAX(1,MIN(INT(B1530/$C$4)+1,$C$5))</f>
        <v/>
      </c>
      <c r="E1530" s="26">
        <f>IF($C$5=0,0,INDEX(Symboles!$G$6:$G$101,D1530))</f>
        <v/>
      </c>
      <c r="F1530" s="26">
        <f>IF($C$5=0,0,INDEX(Symboles!$H$6:$H$101,D1530))</f>
        <v/>
      </c>
      <c r="G1530" s="26">
        <f>COS(2*PI()*$C$3*B1530)</f>
        <v/>
      </c>
      <c r="H1530" s="26">
        <f>SIN(2*PI()*$C$3*B1530)</f>
        <v/>
      </c>
      <c r="I1530" s="26">
        <f>E1530*G1530+F1530*H1530</f>
        <v/>
      </c>
    </row>
    <row r="1531">
      <c r="A1531" s="7" t="n">
        <v>1524</v>
      </c>
      <c r="B1531" s="26">
        <f>(A1531-1)/2000*$C$2</f>
        <v/>
      </c>
      <c r="C1531" s="7">
        <f>INDEX(Bits!$E$25:$E$124,INT(B1531)+1)</f>
        <v/>
      </c>
      <c r="D1531" s="7">
        <f>MAX(1,MIN(INT(B1531/$C$4)+1,$C$5))</f>
        <v/>
      </c>
      <c r="E1531" s="26">
        <f>IF($C$5=0,0,INDEX(Symboles!$G$6:$G$101,D1531))</f>
        <v/>
      </c>
      <c r="F1531" s="26">
        <f>IF($C$5=0,0,INDEX(Symboles!$H$6:$H$101,D1531))</f>
        <v/>
      </c>
      <c r="G1531" s="26">
        <f>COS(2*PI()*$C$3*B1531)</f>
        <v/>
      </c>
      <c r="H1531" s="26">
        <f>SIN(2*PI()*$C$3*B1531)</f>
        <v/>
      </c>
      <c r="I1531" s="26">
        <f>E1531*G1531+F1531*H1531</f>
        <v/>
      </c>
    </row>
    <row r="1532">
      <c r="A1532" s="7" t="n">
        <v>1525</v>
      </c>
      <c r="B1532" s="26">
        <f>(A1532-1)/2000*$C$2</f>
        <v/>
      </c>
      <c r="C1532" s="7">
        <f>INDEX(Bits!$E$25:$E$124,INT(B1532)+1)</f>
        <v/>
      </c>
      <c r="D1532" s="7">
        <f>MAX(1,MIN(INT(B1532/$C$4)+1,$C$5))</f>
        <v/>
      </c>
      <c r="E1532" s="26">
        <f>IF($C$5=0,0,INDEX(Symboles!$G$6:$G$101,D1532))</f>
        <v/>
      </c>
      <c r="F1532" s="26">
        <f>IF($C$5=0,0,INDEX(Symboles!$H$6:$H$101,D1532))</f>
        <v/>
      </c>
      <c r="G1532" s="26">
        <f>COS(2*PI()*$C$3*B1532)</f>
        <v/>
      </c>
      <c r="H1532" s="26">
        <f>SIN(2*PI()*$C$3*B1532)</f>
        <v/>
      </c>
      <c r="I1532" s="26">
        <f>E1532*G1532+F1532*H1532</f>
        <v/>
      </c>
    </row>
    <row r="1533">
      <c r="A1533" s="7" t="n">
        <v>1526</v>
      </c>
      <c r="B1533" s="26">
        <f>(A1533-1)/2000*$C$2</f>
        <v/>
      </c>
      <c r="C1533" s="7">
        <f>INDEX(Bits!$E$25:$E$124,INT(B1533)+1)</f>
        <v/>
      </c>
      <c r="D1533" s="7">
        <f>MAX(1,MIN(INT(B1533/$C$4)+1,$C$5))</f>
        <v/>
      </c>
      <c r="E1533" s="26">
        <f>IF($C$5=0,0,INDEX(Symboles!$G$6:$G$101,D1533))</f>
        <v/>
      </c>
      <c r="F1533" s="26">
        <f>IF($C$5=0,0,INDEX(Symboles!$H$6:$H$101,D1533))</f>
        <v/>
      </c>
      <c r="G1533" s="26">
        <f>COS(2*PI()*$C$3*B1533)</f>
        <v/>
      </c>
      <c r="H1533" s="26">
        <f>SIN(2*PI()*$C$3*B1533)</f>
        <v/>
      </c>
      <c r="I1533" s="26">
        <f>E1533*G1533+F1533*H1533</f>
        <v/>
      </c>
    </row>
    <row r="1534">
      <c r="A1534" s="7" t="n">
        <v>1527</v>
      </c>
      <c r="B1534" s="26">
        <f>(A1534-1)/2000*$C$2</f>
        <v/>
      </c>
      <c r="C1534" s="7">
        <f>INDEX(Bits!$E$25:$E$124,INT(B1534)+1)</f>
        <v/>
      </c>
      <c r="D1534" s="7">
        <f>MAX(1,MIN(INT(B1534/$C$4)+1,$C$5))</f>
        <v/>
      </c>
      <c r="E1534" s="26">
        <f>IF($C$5=0,0,INDEX(Symboles!$G$6:$G$101,D1534))</f>
        <v/>
      </c>
      <c r="F1534" s="26">
        <f>IF($C$5=0,0,INDEX(Symboles!$H$6:$H$101,D1534))</f>
        <v/>
      </c>
      <c r="G1534" s="26">
        <f>COS(2*PI()*$C$3*B1534)</f>
        <v/>
      </c>
      <c r="H1534" s="26">
        <f>SIN(2*PI()*$C$3*B1534)</f>
        <v/>
      </c>
      <c r="I1534" s="26">
        <f>E1534*G1534+F1534*H1534</f>
        <v/>
      </c>
    </row>
    <row r="1535">
      <c r="A1535" s="7" t="n">
        <v>1528</v>
      </c>
      <c r="B1535" s="26">
        <f>(A1535-1)/2000*$C$2</f>
        <v/>
      </c>
      <c r="C1535" s="7">
        <f>INDEX(Bits!$E$25:$E$124,INT(B1535)+1)</f>
        <v/>
      </c>
      <c r="D1535" s="7">
        <f>MAX(1,MIN(INT(B1535/$C$4)+1,$C$5))</f>
        <v/>
      </c>
      <c r="E1535" s="26">
        <f>IF($C$5=0,0,INDEX(Symboles!$G$6:$G$101,D1535))</f>
        <v/>
      </c>
      <c r="F1535" s="26">
        <f>IF($C$5=0,0,INDEX(Symboles!$H$6:$H$101,D1535))</f>
        <v/>
      </c>
      <c r="G1535" s="26">
        <f>COS(2*PI()*$C$3*B1535)</f>
        <v/>
      </c>
      <c r="H1535" s="26">
        <f>SIN(2*PI()*$C$3*B1535)</f>
        <v/>
      </c>
      <c r="I1535" s="26">
        <f>E1535*G1535+F1535*H1535</f>
        <v/>
      </c>
    </row>
    <row r="1536">
      <c r="A1536" s="7" t="n">
        <v>1529</v>
      </c>
      <c r="B1536" s="26">
        <f>(A1536-1)/2000*$C$2</f>
        <v/>
      </c>
      <c r="C1536" s="7">
        <f>INDEX(Bits!$E$25:$E$124,INT(B1536)+1)</f>
        <v/>
      </c>
      <c r="D1536" s="7">
        <f>MAX(1,MIN(INT(B1536/$C$4)+1,$C$5))</f>
        <v/>
      </c>
      <c r="E1536" s="26">
        <f>IF($C$5=0,0,INDEX(Symboles!$G$6:$G$101,D1536))</f>
        <v/>
      </c>
      <c r="F1536" s="26">
        <f>IF($C$5=0,0,INDEX(Symboles!$H$6:$H$101,D1536))</f>
        <v/>
      </c>
      <c r="G1536" s="26">
        <f>COS(2*PI()*$C$3*B1536)</f>
        <v/>
      </c>
      <c r="H1536" s="26">
        <f>SIN(2*PI()*$C$3*B1536)</f>
        <v/>
      </c>
      <c r="I1536" s="26">
        <f>E1536*G1536+F1536*H1536</f>
        <v/>
      </c>
    </row>
    <row r="1537">
      <c r="A1537" s="7" t="n">
        <v>1530</v>
      </c>
      <c r="B1537" s="26">
        <f>(A1537-1)/2000*$C$2</f>
        <v/>
      </c>
      <c r="C1537" s="7">
        <f>INDEX(Bits!$E$25:$E$124,INT(B1537)+1)</f>
        <v/>
      </c>
      <c r="D1537" s="7">
        <f>MAX(1,MIN(INT(B1537/$C$4)+1,$C$5))</f>
        <v/>
      </c>
      <c r="E1537" s="26">
        <f>IF($C$5=0,0,INDEX(Symboles!$G$6:$G$101,D1537))</f>
        <v/>
      </c>
      <c r="F1537" s="26">
        <f>IF($C$5=0,0,INDEX(Symboles!$H$6:$H$101,D1537))</f>
        <v/>
      </c>
      <c r="G1537" s="26">
        <f>COS(2*PI()*$C$3*B1537)</f>
        <v/>
      </c>
      <c r="H1537" s="26">
        <f>SIN(2*PI()*$C$3*B1537)</f>
        <v/>
      </c>
      <c r="I1537" s="26">
        <f>E1537*G1537+F1537*H1537</f>
        <v/>
      </c>
    </row>
    <row r="1538">
      <c r="A1538" s="7" t="n">
        <v>1531</v>
      </c>
      <c r="B1538" s="26">
        <f>(A1538-1)/2000*$C$2</f>
        <v/>
      </c>
      <c r="C1538" s="7">
        <f>INDEX(Bits!$E$25:$E$124,INT(B1538)+1)</f>
        <v/>
      </c>
      <c r="D1538" s="7">
        <f>MAX(1,MIN(INT(B1538/$C$4)+1,$C$5))</f>
        <v/>
      </c>
      <c r="E1538" s="26">
        <f>IF($C$5=0,0,INDEX(Symboles!$G$6:$G$101,D1538))</f>
        <v/>
      </c>
      <c r="F1538" s="26">
        <f>IF($C$5=0,0,INDEX(Symboles!$H$6:$H$101,D1538))</f>
        <v/>
      </c>
      <c r="G1538" s="26">
        <f>COS(2*PI()*$C$3*B1538)</f>
        <v/>
      </c>
      <c r="H1538" s="26">
        <f>SIN(2*PI()*$C$3*B1538)</f>
        <v/>
      </c>
      <c r="I1538" s="26">
        <f>E1538*G1538+F1538*H1538</f>
        <v/>
      </c>
    </row>
    <row r="1539">
      <c r="A1539" s="7" t="n">
        <v>1532</v>
      </c>
      <c r="B1539" s="26">
        <f>(A1539-1)/2000*$C$2</f>
        <v/>
      </c>
      <c r="C1539" s="7">
        <f>INDEX(Bits!$E$25:$E$124,INT(B1539)+1)</f>
        <v/>
      </c>
      <c r="D1539" s="7">
        <f>MAX(1,MIN(INT(B1539/$C$4)+1,$C$5))</f>
        <v/>
      </c>
      <c r="E1539" s="26">
        <f>IF($C$5=0,0,INDEX(Symboles!$G$6:$G$101,D1539))</f>
        <v/>
      </c>
      <c r="F1539" s="26">
        <f>IF($C$5=0,0,INDEX(Symboles!$H$6:$H$101,D1539))</f>
        <v/>
      </c>
      <c r="G1539" s="26">
        <f>COS(2*PI()*$C$3*B1539)</f>
        <v/>
      </c>
      <c r="H1539" s="26">
        <f>SIN(2*PI()*$C$3*B1539)</f>
        <v/>
      </c>
      <c r="I1539" s="26">
        <f>E1539*G1539+F1539*H1539</f>
        <v/>
      </c>
    </row>
    <row r="1540">
      <c r="A1540" s="7" t="n">
        <v>1533</v>
      </c>
      <c r="B1540" s="26">
        <f>(A1540-1)/2000*$C$2</f>
        <v/>
      </c>
      <c r="C1540" s="7">
        <f>INDEX(Bits!$E$25:$E$124,INT(B1540)+1)</f>
        <v/>
      </c>
      <c r="D1540" s="7">
        <f>MAX(1,MIN(INT(B1540/$C$4)+1,$C$5))</f>
        <v/>
      </c>
      <c r="E1540" s="26">
        <f>IF($C$5=0,0,INDEX(Symboles!$G$6:$G$101,D1540))</f>
        <v/>
      </c>
      <c r="F1540" s="26">
        <f>IF($C$5=0,0,INDEX(Symboles!$H$6:$H$101,D1540))</f>
        <v/>
      </c>
      <c r="G1540" s="26">
        <f>COS(2*PI()*$C$3*B1540)</f>
        <v/>
      </c>
      <c r="H1540" s="26">
        <f>SIN(2*PI()*$C$3*B1540)</f>
        <v/>
      </c>
      <c r="I1540" s="26">
        <f>E1540*G1540+F1540*H1540</f>
        <v/>
      </c>
    </row>
    <row r="1541">
      <c r="A1541" s="7" t="n">
        <v>1534</v>
      </c>
      <c r="B1541" s="26">
        <f>(A1541-1)/2000*$C$2</f>
        <v/>
      </c>
      <c r="C1541" s="7">
        <f>INDEX(Bits!$E$25:$E$124,INT(B1541)+1)</f>
        <v/>
      </c>
      <c r="D1541" s="7">
        <f>MAX(1,MIN(INT(B1541/$C$4)+1,$C$5))</f>
        <v/>
      </c>
      <c r="E1541" s="26">
        <f>IF($C$5=0,0,INDEX(Symboles!$G$6:$G$101,D1541))</f>
        <v/>
      </c>
      <c r="F1541" s="26">
        <f>IF($C$5=0,0,INDEX(Symboles!$H$6:$H$101,D1541))</f>
        <v/>
      </c>
      <c r="G1541" s="26">
        <f>COS(2*PI()*$C$3*B1541)</f>
        <v/>
      </c>
      <c r="H1541" s="26">
        <f>SIN(2*PI()*$C$3*B1541)</f>
        <v/>
      </c>
      <c r="I1541" s="26">
        <f>E1541*G1541+F1541*H1541</f>
        <v/>
      </c>
    </row>
    <row r="1542">
      <c r="A1542" s="7" t="n">
        <v>1535</v>
      </c>
      <c r="B1542" s="26">
        <f>(A1542-1)/2000*$C$2</f>
        <v/>
      </c>
      <c r="C1542" s="7">
        <f>INDEX(Bits!$E$25:$E$124,INT(B1542)+1)</f>
        <v/>
      </c>
      <c r="D1542" s="7">
        <f>MAX(1,MIN(INT(B1542/$C$4)+1,$C$5))</f>
        <v/>
      </c>
      <c r="E1542" s="26">
        <f>IF($C$5=0,0,INDEX(Symboles!$G$6:$G$101,D1542))</f>
        <v/>
      </c>
      <c r="F1542" s="26">
        <f>IF($C$5=0,0,INDEX(Symboles!$H$6:$H$101,D1542))</f>
        <v/>
      </c>
      <c r="G1542" s="26">
        <f>COS(2*PI()*$C$3*B1542)</f>
        <v/>
      </c>
      <c r="H1542" s="26">
        <f>SIN(2*PI()*$C$3*B1542)</f>
        <v/>
      </c>
      <c r="I1542" s="26">
        <f>E1542*G1542+F1542*H1542</f>
        <v/>
      </c>
    </row>
    <row r="1543">
      <c r="A1543" s="7" t="n">
        <v>1536</v>
      </c>
      <c r="B1543" s="26">
        <f>(A1543-1)/2000*$C$2</f>
        <v/>
      </c>
      <c r="C1543" s="7">
        <f>INDEX(Bits!$E$25:$E$124,INT(B1543)+1)</f>
        <v/>
      </c>
      <c r="D1543" s="7">
        <f>MAX(1,MIN(INT(B1543/$C$4)+1,$C$5))</f>
        <v/>
      </c>
      <c r="E1543" s="26">
        <f>IF($C$5=0,0,INDEX(Symboles!$G$6:$G$101,D1543))</f>
        <v/>
      </c>
      <c r="F1543" s="26">
        <f>IF($C$5=0,0,INDEX(Symboles!$H$6:$H$101,D1543))</f>
        <v/>
      </c>
      <c r="G1543" s="26">
        <f>COS(2*PI()*$C$3*B1543)</f>
        <v/>
      </c>
      <c r="H1543" s="26">
        <f>SIN(2*PI()*$C$3*B1543)</f>
        <v/>
      </c>
      <c r="I1543" s="26">
        <f>E1543*G1543+F1543*H1543</f>
        <v/>
      </c>
    </row>
    <row r="1544">
      <c r="A1544" s="7" t="n">
        <v>1537</v>
      </c>
      <c r="B1544" s="26">
        <f>(A1544-1)/2000*$C$2</f>
        <v/>
      </c>
      <c r="C1544" s="7">
        <f>INDEX(Bits!$E$25:$E$124,INT(B1544)+1)</f>
        <v/>
      </c>
      <c r="D1544" s="7">
        <f>MAX(1,MIN(INT(B1544/$C$4)+1,$C$5))</f>
        <v/>
      </c>
      <c r="E1544" s="26">
        <f>IF($C$5=0,0,INDEX(Symboles!$G$6:$G$101,D1544))</f>
        <v/>
      </c>
      <c r="F1544" s="26">
        <f>IF($C$5=0,0,INDEX(Symboles!$H$6:$H$101,D1544))</f>
        <v/>
      </c>
      <c r="G1544" s="26">
        <f>COS(2*PI()*$C$3*B1544)</f>
        <v/>
      </c>
      <c r="H1544" s="26">
        <f>SIN(2*PI()*$C$3*B1544)</f>
        <v/>
      </c>
      <c r="I1544" s="26">
        <f>E1544*G1544+F1544*H1544</f>
        <v/>
      </c>
    </row>
    <row r="1545">
      <c r="A1545" s="7" t="n">
        <v>1538</v>
      </c>
      <c r="B1545" s="26">
        <f>(A1545-1)/2000*$C$2</f>
        <v/>
      </c>
      <c r="C1545" s="7">
        <f>INDEX(Bits!$E$25:$E$124,INT(B1545)+1)</f>
        <v/>
      </c>
      <c r="D1545" s="7">
        <f>MAX(1,MIN(INT(B1545/$C$4)+1,$C$5))</f>
        <v/>
      </c>
      <c r="E1545" s="26">
        <f>IF($C$5=0,0,INDEX(Symboles!$G$6:$G$101,D1545))</f>
        <v/>
      </c>
      <c r="F1545" s="26">
        <f>IF($C$5=0,0,INDEX(Symboles!$H$6:$H$101,D1545))</f>
        <v/>
      </c>
      <c r="G1545" s="26">
        <f>COS(2*PI()*$C$3*B1545)</f>
        <v/>
      </c>
      <c r="H1545" s="26">
        <f>SIN(2*PI()*$C$3*B1545)</f>
        <v/>
      </c>
      <c r="I1545" s="26">
        <f>E1545*G1545+F1545*H1545</f>
        <v/>
      </c>
    </row>
    <row r="1546">
      <c r="A1546" s="7" t="n">
        <v>1539</v>
      </c>
      <c r="B1546" s="26">
        <f>(A1546-1)/2000*$C$2</f>
        <v/>
      </c>
      <c r="C1546" s="7">
        <f>INDEX(Bits!$E$25:$E$124,INT(B1546)+1)</f>
        <v/>
      </c>
      <c r="D1546" s="7">
        <f>MAX(1,MIN(INT(B1546/$C$4)+1,$C$5))</f>
        <v/>
      </c>
      <c r="E1546" s="26">
        <f>IF($C$5=0,0,INDEX(Symboles!$G$6:$G$101,D1546))</f>
        <v/>
      </c>
      <c r="F1546" s="26">
        <f>IF($C$5=0,0,INDEX(Symboles!$H$6:$H$101,D1546))</f>
        <v/>
      </c>
      <c r="G1546" s="26">
        <f>COS(2*PI()*$C$3*B1546)</f>
        <v/>
      </c>
      <c r="H1546" s="26">
        <f>SIN(2*PI()*$C$3*B1546)</f>
        <v/>
      </c>
      <c r="I1546" s="26">
        <f>E1546*G1546+F1546*H1546</f>
        <v/>
      </c>
    </row>
    <row r="1547">
      <c r="A1547" s="7" t="n">
        <v>1540</v>
      </c>
      <c r="B1547" s="26">
        <f>(A1547-1)/2000*$C$2</f>
        <v/>
      </c>
      <c r="C1547" s="7">
        <f>INDEX(Bits!$E$25:$E$124,INT(B1547)+1)</f>
        <v/>
      </c>
      <c r="D1547" s="7">
        <f>MAX(1,MIN(INT(B1547/$C$4)+1,$C$5))</f>
        <v/>
      </c>
      <c r="E1547" s="26">
        <f>IF($C$5=0,0,INDEX(Symboles!$G$6:$G$101,D1547))</f>
        <v/>
      </c>
      <c r="F1547" s="26">
        <f>IF($C$5=0,0,INDEX(Symboles!$H$6:$H$101,D1547))</f>
        <v/>
      </c>
      <c r="G1547" s="26">
        <f>COS(2*PI()*$C$3*B1547)</f>
        <v/>
      </c>
      <c r="H1547" s="26">
        <f>SIN(2*PI()*$C$3*B1547)</f>
        <v/>
      </c>
      <c r="I1547" s="26">
        <f>E1547*G1547+F1547*H1547</f>
        <v/>
      </c>
    </row>
    <row r="1548">
      <c r="A1548" s="7" t="n">
        <v>1541</v>
      </c>
      <c r="B1548" s="26">
        <f>(A1548-1)/2000*$C$2</f>
        <v/>
      </c>
      <c r="C1548" s="7">
        <f>INDEX(Bits!$E$25:$E$124,INT(B1548)+1)</f>
        <v/>
      </c>
      <c r="D1548" s="7">
        <f>MAX(1,MIN(INT(B1548/$C$4)+1,$C$5))</f>
        <v/>
      </c>
      <c r="E1548" s="26">
        <f>IF($C$5=0,0,INDEX(Symboles!$G$6:$G$101,D1548))</f>
        <v/>
      </c>
      <c r="F1548" s="26">
        <f>IF($C$5=0,0,INDEX(Symboles!$H$6:$H$101,D1548))</f>
        <v/>
      </c>
      <c r="G1548" s="26">
        <f>COS(2*PI()*$C$3*B1548)</f>
        <v/>
      </c>
      <c r="H1548" s="26">
        <f>SIN(2*PI()*$C$3*B1548)</f>
        <v/>
      </c>
      <c r="I1548" s="26">
        <f>E1548*G1548+F1548*H1548</f>
        <v/>
      </c>
    </row>
    <row r="1549">
      <c r="A1549" s="7" t="n">
        <v>1542</v>
      </c>
      <c r="B1549" s="26">
        <f>(A1549-1)/2000*$C$2</f>
        <v/>
      </c>
      <c r="C1549" s="7">
        <f>INDEX(Bits!$E$25:$E$124,INT(B1549)+1)</f>
        <v/>
      </c>
      <c r="D1549" s="7">
        <f>MAX(1,MIN(INT(B1549/$C$4)+1,$C$5))</f>
        <v/>
      </c>
      <c r="E1549" s="26">
        <f>IF($C$5=0,0,INDEX(Symboles!$G$6:$G$101,D1549))</f>
        <v/>
      </c>
      <c r="F1549" s="26">
        <f>IF($C$5=0,0,INDEX(Symboles!$H$6:$H$101,D1549))</f>
        <v/>
      </c>
      <c r="G1549" s="26">
        <f>COS(2*PI()*$C$3*B1549)</f>
        <v/>
      </c>
      <c r="H1549" s="26">
        <f>SIN(2*PI()*$C$3*B1549)</f>
        <v/>
      </c>
      <c r="I1549" s="26">
        <f>E1549*G1549+F1549*H1549</f>
        <v/>
      </c>
    </row>
    <row r="1550">
      <c r="A1550" s="7" t="n">
        <v>1543</v>
      </c>
      <c r="B1550" s="26">
        <f>(A1550-1)/2000*$C$2</f>
        <v/>
      </c>
      <c r="C1550" s="7">
        <f>INDEX(Bits!$E$25:$E$124,INT(B1550)+1)</f>
        <v/>
      </c>
      <c r="D1550" s="7">
        <f>MAX(1,MIN(INT(B1550/$C$4)+1,$C$5))</f>
        <v/>
      </c>
      <c r="E1550" s="26">
        <f>IF($C$5=0,0,INDEX(Symboles!$G$6:$G$101,D1550))</f>
        <v/>
      </c>
      <c r="F1550" s="26">
        <f>IF($C$5=0,0,INDEX(Symboles!$H$6:$H$101,D1550))</f>
        <v/>
      </c>
      <c r="G1550" s="26">
        <f>COS(2*PI()*$C$3*B1550)</f>
        <v/>
      </c>
      <c r="H1550" s="26">
        <f>SIN(2*PI()*$C$3*B1550)</f>
        <v/>
      </c>
      <c r="I1550" s="26">
        <f>E1550*G1550+F1550*H1550</f>
        <v/>
      </c>
    </row>
    <row r="1551">
      <c r="A1551" s="7" t="n">
        <v>1544</v>
      </c>
      <c r="B1551" s="26">
        <f>(A1551-1)/2000*$C$2</f>
        <v/>
      </c>
      <c r="C1551" s="7">
        <f>INDEX(Bits!$E$25:$E$124,INT(B1551)+1)</f>
        <v/>
      </c>
      <c r="D1551" s="7">
        <f>MAX(1,MIN(INT(B1551/$C$4)+1,$C$5))</f>
        <v/>
      </c>
      <c r="E1551" s="26">
        <f>IF($C$5=0,0,INDEX(Symboles!$G$6:$G$101,D1551))</f>
        <v/>
      </c>
      <c r="F1551" s="26">
        <f>IF($C$5=0,0,INDEX(Symboles!$H$6:$H$101,D1551))</f>
        <v/>
      </c>
      <c r="G1551" s="26">
        <f>COS(2*PI()*$C$3*B1551)</f>
        <v/>
      </c>
      <c r="H1551" s="26">
        <f>SIN(2*PI()*$C$3*B1551)</f>
        <v/>
      </c>
      <c r="I1551" s="26">
        <f>E1551*G1551+F1551*H1551</f>
        <v/>
      </c>
    </row>
    <row r="1552">
      <c r="A1552" s="7" t="n">
        <v>1545</v>
      </c>
      <c r="B1552" s="26">
        <f>(A1552-1)/2000*$C$2</f>
        <v/>
      </c>
      <c r="C1552" s="7">
        <f>INDEX(Bits!$E$25:$E$124,INT(B1552)+1)</f>
        <v/>
      </c>
      <c r="D1552" s="7">
        <f>MAX(1,MIN(INT(B1552/$C$4)+1,$C$5))</f>
        <v/>
      </c>
      <c r="E1552" s="26">
        <f>IF($C$5=0,0,INDEX(Symboles!$G$6:$G$101,D1552))</f>
        <v/>
      </c>
      <c r="F1552" s="26">
        <f>IF($C$5=0,0,INDEX(Symboles!$H$6:$H$101,D1552))</f>
        <v/>
      </c>
      <c r="G1552" s="26">
        <f>COS(2*PI()*$C$3*B1552)</f>
        <v/>
      </c>
      <c r="H1552" s="26">
        <f>SIN(2*PI()*$C$3*B1552)</f>
        <v/>
      </c>
      <c r="I1552" s="26">
        <f>E1552*G1552+F1552*H1552</f>
        <v/>
      </c>
    </row>
    <row r="1553">
      <c r="A1553" s="7" t="n">
        <v>1546</v>
      </c>
      <c r="B1553" s="26">
        <f>(A1553-1)/2000*$C$2</f>
        <v/>
      </c>
      <c r="C1553" s="7">
        <f>INDEX(Bits!$E$25:$E$124,INT(B1553)+1)</f>
        <v/>
      </c>
      <c r="D1553" s="7">
        <f>MAX(1,MIN(INT(B1553/$C$4)+1,$C$5))</f>
        <v/>
      </c>
      <c r="E1553" s="26">
        <f>IF($C$5=0,0,INDEX(Symboles!$G$6:$G$101,D1553))</f>
        <v/>
      </c>
      <c r="F1553" s="26">
        <f>IF($C$5=0,0,INDEX(Symboles!$H$6:$H$101,D1553))</f>
        <v/>
      </c>
      <c r="G1553" s="26">
        <f>COS(2*PI()*$C$3*B1553)</f>
        <v/>
      </c>
      <c r="H1553" s="26">
        <f>SIN(2*PI()*$C$3*B1553)</f>
        <v/>
      </c>
      <c r="I1553" s="26">
        <f>E1553*G1553+F1553*H1553</f>
        <v/>
      </c>
    </row>
    <row r="1554">
      <c r="A1554" s="7" t="n">
        <v>1547</v>
      </c>
      <c r="B1554" s="26">
        <f>(A1554-1)/2000*$C$2</f>
        <v/>
      </c>
      <c r="C1554" s="7">
        <f>INDEX(Bits!$E$25:$E$124,INT(B1554)+1)</f>
        <v/>
      </c>
      <c r="D1554" s="7">
        <f>MAX(1,MIN(INT(B1554/$C$4)+1,$C$5))</f>
        <v/>
      </c>
      <c r="E1554" s="26">
        <f>IF($C$5=0,0,INDEX(Symboles!$G$6:$G$101,D1554))</f>
        <v/>
      </c>
      <c r="F1554" s="26">
        <f>IF($C$5=0,0,INDEX(Symboles!$H$6:$H$101,D1554))</f>
        <v/>
      </c>
      <c r="G1554" s="26">
        <f>COS(2*PI()*$C$3*B1554)</f>
        <v/>
      </c>
      <c r="H1554" s="26">
        <f>SIN(2*PI()*$C$3*B1554)</f>
        <v/>
      </c>
      <c r="I1554" s="26">
        <f>E1554*G1554+F1554*H1554</f>
        <v/>
      </c>
    </row>
    <row r="1555">
      <c r="A1555" s="7" t="n">
        <v>1548</v>
      </c>
      <c r="B1555" s="26">
        <f>(A1555-1)/2000*$C$2</f>
        <v/>
      </c>
      <c r="C1555" s="7">
        <f>INDEX(Bits!$E$25:$E$124,INT(B1555)+1)</f>
        <v/>
      </c>
      <c r="D1555" s="7">
        <f>MAX(1,MIN(INT(B1555/$C$4)+1,$C$5))</f>
        <v/>
      </c>
      <c r="E1555" s="26">
        <f>IF($C$5=0,0,INDEX(Symboles!$G$6:$G$101,D1555))</f>
        <v/>
      </c>
      <c r="F1555" s="26">
        <f>IF($C$5=0,0,INDEX(Symboles!$H$6:$H$101,D1555))</f>
        <v/>
      </c>
      <c r="G1555" s="26">
        <f>COS(2*PI()*$C$3*B1555)</f>
        <v/>
      </c>
      <c r="H1555" s="26">
        <f>SIN(2*PI()*$C$3*B1555)</f>
        <v/>
      </c>
      <c r="I1555" s="26">
        <f>E1555*G1555+F1555*H1555</f>
        <v/>
      </c>
    </row>
    <row r="1556">
      <c r="A1556" s="7" t="n">
        <v>1549</v>
      </c>
      <c r="B1556" s="26">
        <f>(A1556-1)/2000*$C$2</f>
        <v/>
      </c>
      <c r="C1556" s="7">
        <f>INDEX(Bits!$E$25:$E$124,INT(B1556)+1)</f>
        <v/>
      </c>
      <c r="D1556" s="7">
        <f>MAX(1,MIN(INT(B1556/$C$4)+1,$C$5))</f>
        <v/>
      </c>
      <c r="E1556" s="26">
        <f>IF($C$5=0,0,INDEX(Symboles!$G$6:$G$101,D1556))</f>
        <v/>
      </c>
      <c r="F1556" s="26">
        <f>IF($C$5=0,0,INDEX(Symboles!$H$6:$H$101,D1556))</f>
        <v/>
      </c>
      <c r="G1556" s="26">
        <f>COS(2*PI()*$C$3*B1556)</f>
        <v/>
      </c>
      <c r="H1556" s="26">
        <f>SIN(2*PI()*$C$3*B1556)</f>
        <v/>
      </c>
      <c r="I1556" s="26">
        <f>E1556*G1556+F1556*H1556</f>
        <v/>
      </c>
    </row>
    <row r="1557">
      <c r="A1557" s="7" t="n">
        <v>1550</v>
      </c>
      <c r="B1557" s="26">
        <f>(A1557-1)/2000*$C$2</f>
        <v/>
      </c>
      <c r="C1557" s="7">
        <f>INDEX(Bits!$E$25:$E$124,INT(B1557)+1)</f>
        <v/>
      </c>
      <c r="D1557" s="7">
        <f>MAX(1,MIN(INT(B1557/$C$4)+1,$C$5))</f>
        <v/>
      </c>
      <c r="E1557" s="26">
        <f>IF($C$5=0,0,INDEX(Symboles!$G$6:$G$101,D1557))</f>
        <v/>
      </c>
      <c r="F1557" s="26">
        <f>IF($C$5=0,0,INDEX(Symboles!$H$6:$H$101,D1557))</f>
        <v/>
      </c>
      <c r="G1557" s="26">
        <f>COS(2*PI()*$C$3*B1557)</f>
        <v/>
      </c>
      <c r="H1557" s="26">
        <f>SIN(2*PI()*$C$3*B1557)</f>
        <v/>
      </c>
      <c r="I1557" s="26">
        <f>E1557*G1557+F1557*H1557</f>
        <v/>
      </c>
    </row>
    <row r="1558">
      <c r="A1558" s="7" t="n">
        <v>1551</v>
      </c>
      <c r="B1558" s="26">
        <f>(A1558-1)/2000*$C$2</f>
        <v/>
      </c>
      <c r="C1558" s="7">
        <f>INDEX(Bits!$E$25:$E$124,INT(B1558)+1)</f>
        <v/>
      </c>
      <c r="D1558" s="7">
        <f>MAX(1,MIN(INT(B1558/$C$4)+1,$C$5))</f>
        <v/>
      </c>
      <c r="E1558" s="26">
        <f>IF($C$5=0,0,INDEX(Symboles!$G$6:$G$101,D1558))</f>
        <v/>
      </c>
      <c r="F1558" s="26">
        <f>IF($C$5=0,0,INDEX(Symboles!$H$6:$H$101,D1558))</f>
        <v/>
      </c>
      <c r="G1558" s="26">
        <f>COS(2*PI()*$C$3*B1558)</f>
        <v/>
      </c>
      <c r="H1558" s="26">
        <f>SIN(2*PI()*$C$3*B1558)</f>
        <v/>
      </c>
      <c r="I1558" s="26">
        <f>E1558*G1558+F1558*H1558</f>
        <v/>
      </c>
    </row>
    <row r="1559">
      <c r="A1559" s="7" t="n">
        <v>1552</v>
      </c>
      <c r="B1559" s="26">
        <f>(A1559-1)/2000*$C$2</f>
        <v/>
      </c>
      <c r="C1559" s="7">
        <f>INDEX(Bits!$E$25:$E$124,INT(B1559)+1)</f>
        <v/>
      </c>
      <c r="D1559" s="7">
        <f>MAX(1,MIN(INT(B1559/$C$4)+1,$C$5))</f>
        <v/>
      </c>
      <c r="E1559" s="26">
        <f>IF($C$5=0,0,INDEX(Symboles!$G$6:$G$101,D1559))</f>
        <v/>
      </c>
      <c r="F1559" s="26">
        <f>IF($C$5=0,0,INDEX(Symboles!$H$6:$H$101,D1559))</f>
        <v/>
      </c>
      <c r="G1559" s="26">
        <f>COS(2*PI()*$C$3*B1559)</f>
        <v/>
      </c>
      <c r="H1559" s="26">
        <f>SIN(2*PI()*$C$3*B1559)</f>
        <v/>
      </c>
      <c r="I1559" s="26">
        <f>E1559*G1559+F1559*H1559</f>
        <v/>
      </c>
    </row>
    <row r="1560">
      <c r="A1560" s="7" t="n">
        <v>1553</v>
      </c>
      <c r="B1560" s="26">
        <f>(A1560-1)/2000*$C$2</f>
        <v/>
      </c>
      <c r="C1560" s="7">
        <f>INDEX(Bits!$E$25:$E$124,INT(B1560)+1)</f>
        <v/>
      </c>
      <c r="D1560" s="7">
        <f>MAX(1,MIN(INT(B1560/$C$4)+1,$C$5))</f>
        <v/>
      </c>
      <c r="E1560" s="26">
        <f>IF($C$5=0,0,INDEX(Symboles!$G$6:$G$101,D1560))</f>
        <v/>
      </c>
      <c r="F1560" s="26">
        <f>IF($C$5=0,0,INDEX(Symboles!$H$6:$H$101,D1560))</f>
        <v/>
      </c>
      <c r="G1560" s="26">
        <f>COS(2*PI()*$C$3*B1560)</f>
        <v/>
      </c>
      <c r="H1560" s="26">
        <f>SIN(2*PI()*$C$3*B1560)</f>
        <v/>
      </c>
      <c r="I1560" s="26">
        <f>E1560*G1560+F1560*H1560</f>
        <v/>
      </c>
    </row>
    <row r="1561">
      <c r="A1561" s="7" t="n">
        <v>1554</v>
      </c>
      <c r="B1561" s="26">
        <f>(A1561-1)/2000*$C$2</f>
        <v/>
      </c>
      <c r="C1561" s="7">
        <f>INDEX(Bits!$E$25:$E$124,INT(B1561)+1)</f>
        <v/>
      </c>
      <c r="D1561" s="7">
        <f>MAX(1,MIN(INT(B1561/$C$4)+1,$C$5))</f>
        <v/>
      </c>
      <c r="E1561" s="26">
        <f>IF($C$5=0,0,INDEX(Symboles!$G$6:$G$101,D1561))</f>
        <v/>
      </c>
      <c r="F1561" s="26">
        <f>IF($C$5=0,0,INDEX(Symboles!$H$6:$H$101,D1561))</f>
        <v/>
      </c>
      <c r="G1561" s="26">
        <f>COS(2*PI()*$C$3*B1561)</f>
        <v/>
      </c>
      <c r="H1561" s="26">
        <f>SIN(2*PI()*$C$3*B1561)</f>
        <v/>
      </c>
      <c r="I1561" s="26">
        <f>E1561*G1561+F1561*H1561</f>
        <v/>
      </c>
    </row>
    <row r="1562">
      <c r="A1562" s="7" t="n">
        <v>1555</v>
      </c>
      <c r="B1562" s="26">
        <f>(A1562-1)/2000*$C$2</f>
        <v/>
      </c>
      <c r="C1562" s="7">
        <f>INDEX(Bits!$E$25:$E$124,INT(B1562)+1)</f>
        <v/>
      </c>
      <c r="D1562" s="7">
        <f>MAX(1,MIN(INT(B1562/$C$4)+1,$C$5))</f>
        <v/>
      </c>
      <c r="E1562" s="26">
        <f>IF($C$5=0,0,INDEX(Symboles!$G$6:$G$101,D1562))</f>
        <v/>
      </c>
      <c r="F1562" s="26">
        <f>IF($C$5=0,0,INDEX(Symboles!$H$6:$H$101,D1562))</f>
        <v/>
      </c>
      <c r="G1562" s="26">
        <f>COS(2*PI()*$C$3*B1562)</f>
        <v/>
      </c>
      <c r="H1562" s="26">
        <f>SIN(2*PI()*$C$3*B1562)</f>
        <v/>
      </c>
      <c r="I1562" s="26">
        <f>E1562*G1562+F1562*H1562</f>
        <v/>
      </c>
    </row>
    <row r="1563">
      <c r="A1563" s="7" t="n">
        <v>1556</v>
      </c>
      <c r="B1563" s="26">
        <f>(A1563-1)/2000*$C$2</f>
        <v/>
      </c>
      <c r="C1563" s="7">
        <f>INDEX(Bits!$E$25:$E$124,INT(B1563)+1)</f>
        <v/>
      </c>
      <c r="D1563" s="7">
        <f>MAX(1,MIN(INT(B1563/$C$4)+1,$C$5))</f>
        <v/>
      </c>
      <c r="E1563" s="26">
        <f>IF($C$5=0,0,INDEX(Symboles!$G$6:$G$101,D1563))</f>
        <v/>
      </c>
      <c r="F1563" s="26">
        <f>IF($C$5=0,0,INDEX(Symboles!$H$6:$H$101,D1563))</f>
        <v/>
      </c>
      <c r="G1563" s="26">
        <f>COS(2*PI()*$C$3*B1563)</f>
        <v/>
      </c>
      <c r="H1563" s="26">
        <f>SIN(2*PI()*$C$3*B1563)</f>
        <v/>
      </c>
      <c r="I1563" s="26">
        <f>E1563*G1563+F1563*H1563</f>
        <v/>
      </c>
    </row>
    <row r="1564">
      <c r="A1564" s="7" t="n">
        <v>1557</v>
      </c>
      <c r="B1564" s="26">
        <f>(A1564-1)/2000*$C$2</f>
        <v/>
      </c>
      <c r="C1564" s="7">
        <f>INDEX(Bits!$E$25:$E$124,INT(B1564)+1)</f>
        <v/>
      </c>
      <c r="D1564" s="7">
        <f>MAX(1,MIN(INT(B1564/$C$4)+1,$C$5))</f>
        <v/>
      </c>
      <c r="E1564" s="26">
        <f>IF($C$5=0,0,INDEX(Symboles!$G$6:$G$101,D1564))</f>
        <v/>
      </c>
      <c r="F1564" s="26">
        <f>IF($C$5=0,0,INDEX(Symboles!$H$6:$H$101,D1564))</f>
        <v/>
      </c>
      <c r="G1564" s="26">
        <f>COS(2*PI()*$C$3*B1564)</f>
        <v/>
      </c>
      <c r="H1564" s="26">
        <f>SIN(2*PI()*$C$3*B1564)</f>
        <v/>
      </c>
      <c r="I1564" s="26">
        <f>E1564*G1564+F1564*H1564</f>
        <v/>
      </c>
    </row>
    <row r="1565">
      <c r="A1565" s="7" t="n">
        <v>1558</v>
      </c>
      <c r="B1565" s="26">
        <f>(A1565-1)/2000*$C$2</f>
        <v/>
      </c>
      <c r="C1565" s="7">
        <f>INDEX(Bits!$E$25:$E$124,INT(B1565)+1)</f>
        <v/>
      </c>
      <c r="D1565" s="7">
        <f>MAX(1,MIN(INT(B1565/$C$4)+1,$C$5))</f>
        <v/>
      </c>
      <c r="E1565" s="26">
        <f>IF($C$5=0,0,INDEX(Symboles!$G$6:$G$101,D1565))</f>
        <v/>
      </c>
      <c r="F1565" s="26">
        <f>IF($C$5=0,0,INDEX(Symboles!$H$6:$H$101,D1565))</f>
        <v/>
      </c>
      <c r="G1565" s="26">
        <f>COS(2*PI()*$C$3*B1565)</f>
        <v/>
      </c>
      <c r="H1565" s="26">
        <f>SIN(2*PI()*$C$3*B1565)</f>
        <v/>
      </c>
      <c r="I1565" s="26">
        <f>E1565*G1565+F1565*H1565</f>
        <v/>
      </c>
    </row>
    <row r="1566">
      <c r="A1566" s="7" t="n">
        <v>1559</v>
      </c>
      <c r="B1566" s="26">
        <f>(A1566-1)/2000*$C$2</f>
        <v/>
      </c>
      <c r="C1566" s="7">
        <f>INDEX(Bits!$E$25:$E$124,INT(B1566)+1)</f>
        <v/>
      </c>
      <c r="D1566" s="7">
        <f>MAX(1,MIN(INT(B1566/$C$4)+1,$C$5))</f>
        <v/>
      </c>
      <c r="E1566" s="26">
        <f>IF($C$5=0,0,INDEX(Symboles!$G$6:$G$101,D1566))</f>
        <v/>
      </c>
      <c r="F1566" s="26">
        <f>IF($C$5=0,0,INDEX(Symboles!$H$6:$H$101,D1566))</f>
        <v/>
      </c>
      <c r="G1566" s="26">
        <f>COS(2*PI()*$C$3*B1566)</f>
        <v/>
      </c>
      <c r="H1566" s="26">
        <f>SIN(2*PI()*$C$3*B1566)</f>
        <v/>
      </c>
      <c r="I1566" s="26">
        <f>E1566*G1566+F1566*H1566</f>
        <v/>
      </c>
    </row>
    <row r="1567">
      <c r="A1567" s="7" t="n">
        <v>1560</v>
      </c>
      <c r="B1567" s="26">
        <f>(A1567-1)/2000*$C$2</f>
        <v/>
      </c>
      <c r="C1567" s="7">
        <f>INDEX(Bits!$E$25:$E$124,INT(B1567)+1)</f>
        <v/>
      </c>
      <c r="D1567" s="7">
        <f>MAX(1,MIN(INT(B1567/$C$4)+1,$C$5))</f>
        <v/>
      </c>
      <c r="E1567" s="26">
        <f>IF($C$5=0,0,INDEX(Symboles!$G$6:$G$101,D1567))</f>
        <v/>
      </c>
      <c r="F1567" s="26">
        <f>IF($C$5=0,0,INDEX(Symboles!$H$6:$H$101,D1567))</f>
        <v/>
      </c>
      <c r="G1567" s="26">
        <f>COS(2*PI()*$C$3*B1567)</f>
        <v/>
      </c>
      <c r="H1567" s="26">
        <f>SIN(2*PI()*$C$3*B1567)</f>
        <v/>
      </c>
      <c r="I1567" s="26">
        <f>E1567*G1567+F1567*H1567</f>
        <v/>
      </c>
    </row>
    <row r="1568">
      <c r="A1568" s="7" t="n">
        <v>1561</v>
      </c>
      <c r="B1568" s="26">
        <f>(A1568-1)/2000*$C$2</f>
        <v/>
      </c>
      <c r="C1568" s="7">
        <f>INDEX(Bits!$E$25:$E$124,INT(B1568)+1)</f>
        <v/>
      </c>
      <c r="D1568" s="7">
        <f>MAX(1,MIN(INT(B1568/$C$4)+1,$C$5))</f>
        <v/>
      </c>
      <c r="E1568" s="26">
        <f>IF($C$5=0,0,INDEX(Symboles!$G$6:$G$101,D1568))</f>
        <v/>
      </c>
      <c r="F1568" s="26">
        <f>IF($C$5=0,0,INDEX(Symboles!$H$6:$H$101,D1568))</f>
        <v/>
      </c>
      <c r="G1568" s="26">
        <f>COS(2*PI()*$C$3*B1568)</f>
        <v/>
      </c>
      <c r="H1568" s="26">
        <f>SIN(2*PI()*$C$3*B1568)</f>
        <v/>
      </c>
      <c r="I1568" s="26">
        <f>E1568*G1568+F1568*H1568</f>
        <v/>
      </c>
    </row>
    <row r="1569">
      <c r="A1569" s="7" t="n">
        <v>1562</v>
      </c>
      <c r="B1569" s="26">
        <f>(A1569-1)/2000*$C$2</f>
        <v/>
      </c>
      <c r="C1569" s="7">
        <f>INDEX(Bits!$E$25:$E$124,INT(B1569)+1)</f>
        <v/>
      </c>
      <c r="D1569" s="7">
        <f>MAX(1,MIN(INT(B1569/$C$4)+1,$C$5))</f>
        <v/>
      </c>
      <c r="E1569" s="26">
        <f>IF($C$5=0,0,INDEX(Symboles!$G$6:$G$101,D1569))</f>
        <v/>
      </c>
      <c r="F1569" s="26">
        <f>IF($C$5=0,0,INDEX(Symboles!$H$6:$H$101,D1569))</f>
        <v/>
      </c>
      <c r="G1569" s="26">
        <f>COS(2*PI()*$C$3*B1569)</f>
        <v/>
      </c>
      <c r="H1569" s="26">
        <f>SIN(2*PI()*$C$3*B1569)</f>
        <v/>
      </c>
      <c r="I1569" s="26">
        <f>E1569*G1569+F1569*H1569</f>
        <v/>
      </c>
    </row>
    <row r="1570">
      <c r="A1570" s="7" t="n">
        <v>1563</v>
      </c>
      <c r="B1570" s="26">
        <f>(A1570-1)/2000*$C$2</f>
        <v/>
      </c>
      <c r="C1570" s="7">
        <f>INDEX(Bits!$E$25:$E$124,INT(B1570)+1)</f>
        <v/>
      </c>
      <c r="D1570" s="7">
        <f>MAX(1,MIN(INT(B1570/$C$4)+1,$C$5))</f>
        <v/>
      </c>
      <c r="E1570" s="26">
        <f>IF($C$5=0,0,INDEX(Symboles!$G$6:$G$101,D1570))</f>
        <v/>
      </c>
      <c r="F1570" s="26">
        <f>IF($C$5=0,0,INDEX(Symboles!$H$6:$H$101,D1570))</f>
        <v/>
      </c>
      <c r="G1570" s="26">
        <f>COS(2*PI()*$C$3*B1570)</f>
        <v/>
      </c>
      <c r="H1570" s="26">
        <f>SIN(2*PI()*$C$3*B1570)</f>
        <v/>
      </c>
      <c r="I1570" s="26">
        <f>E1570*G1570+F1570*H1570</f>
        <v/>
      </c>
    </row>
    <row r="1571">
      <c r="A1571" s="7" t="n">
        <v>1564</v>
      </c>
      <c r="B1571" s="26">
        <f>(A1571-1)/2000*$C$2</f>
        <v/>
      </c>
      <c r="C1571" s="7">
        <f>INDEX(Bits!$E$25:$E$124,INT(B1571)+1)</f>
        <v/>
      </c>
      <c r="D1571" s="7">
        <f>MAX(1,MIN(INT(B1571/$C$4)+1,$C$5))</f>
        <v/>
      </c>
      <c r="E1571" s="26">
        <f>IF($C$5=0,0,INDEX(Symboles!$G$6:$G$101,D1571))</f>
        <v/>
      </c>
      <c r="F1571" s="26">
        <f>IF($C$5=0,0,INDEX(Symboles!$H$6:$H$101,D1571))</f>
        <v/>
      </c>
      <c r="G1571" s="26">
        <f>COS(2*PI()*$C$3*B1571)</f>
        <v/>
      </c>
      <c r="H1571" s="26">
        <f>SIN(2*PI()*$C$3*B1571)</f>
        <v/>
      </c>
      <c r="I1571" s="26">
        <f>E1571*G1571+F1571*H1571</f>
        <v/>
      </c>
    </row>
    <row r="1572">
      <c r="A1572" s="7" t="n">
        <v>1565</v>
      </c>
      <c r="B1572" s="26">
        <f>(A1572-1)/2000*$C$2</f>
        <v/>
      </c>
      <c r="C1572" s="7">
        <f>INDEX(Bits!$E$25:$E$124,INT(B1572)+1)</f>
        <v/>
      </c>
      <c r="D1572" s="7">
        <f>MAX(1,MIN(INT(B1572/$C$4)+1,$C$5))</f>
        <v/>
      </c>
      <c r="E1572" s="26">
        <f>IF($C$5=0,0,INDEX(Symboles!$G$6:$G$101,D1572))</f>
        <v/>
      </c>
      <c r="F1572" s="26">
        <f>IF($C$5=0,0,INDEX(Symboles!$H$6:$H$101,D1572))</f>
        <v/>
      </c>
      <c r="G1572" s="26">
        <f>COS(2*PI()*$C$3*B1572)</f>
        <v/>
      </c>
      <c r="H1572" s="26">
        <f>SIN(2*PI()*$C$3*B1572)</f>
        <v/>
      </c>
      <c r="I1572" s="26">
        <f>E1572*G1572+F1572*H1572</f>
        <v/>
      </c>
    </row>
    <row r="1573">
      <c r="A1573" s="7" t="n">
        <v>1566</v>
      </c>
      <c r="B1573" s="26">
        <f>(A1573-1)/2000*$C$2</f>
        <v/>
      </c>
      <c r="C1573" s="7">
        <f>INDEX(Bits!$E$25:$E$124,INT(B1573)+1)</f>
        <v/>
      </c>
      <c r="D1573" s="7">
        <f>MAX(1,MIN(INT(B1573/$C$4)+1,$C$5))</f>
        <v/>
      </c>
      <c r="E1573" s="26">
        <f>IF($C$5=0,0,INDEX(Symboles!$G$6:$G$101,D1573))</f>
        <v/>
      </c>
      <c r="F1573" s="26">
        <f>IF($C$5=0,0,INDEX(Symboles!$H$6:$H$101,D1573))</f>
        <v/>
      </c>
      <c r="G1573" s="26">
        <f>COS(2*PI()*$C$3*B1573)</f>
        <v/>
      </c>
      <c r="H1573" s="26">
        <f>SIN(2*PI()*$C$3*B1573)</f>
        <v/>
      </c>
      <c r="I1573" s="26">
        <f>E1573*G1573+F1573*H1573</f>
        <v/>
      </c>
    </row>
    <row r="1574">
      <c r="A1574" s="7" t="n">
        <v>1567</v>
      </c>
      <c r="B1574" s="26">
        <f>(A1574-1)/2000*$C$2</f>
        <v/>
      </c>
      <c r="C1574" s="7">
        <f>INDEX(Bits!$E$25:$E$124,INT(B1574)+1)</f>
        <v/>
      </c>
      <c r="D1574" s="7">
        <f>MAX(1,MIN(INT(B1574/$C$4)+1,$C$5))</f>
        <v/>
      </c>
      <c r="E1574" s="26">
        <f>IF($C$5=0,0,INDEX(Symboles!$G$6:$G$101,D1574))</f>
        <v/>
      </c>
      <c r="F1574" s="26">
        <f>IF($C$5=0,0,INDEX(Symboles!$H$6:$H$101,D1574))</f>
        <v/>
      </c>
      <c r="G1574" s="26">
        <f>COS(2*PI()*$C$3*B1574)</f>
        <v/>
      </c>
      <c r="H1574" s="26">
        <f>SIN(2*PI()*$C$3*B1574)</f>
        <v/>
      </c>
      <c r="I1574" s="26">
        <f>E1574*G1574+F1574*H1574</f>
        <v/>
      </c>
    </row>
    <row r="1575">
      <c r="A1575" s="7" t="n">
        <v>1568</v>
      </c>
      <c r="B1575" s="26">
        <f>(A1575-1)/2000*$C$2</f>
        <v/>
      </c>
      <c r="C1575" s="7">
        <f>INDEX(Bits!$E$25:$E$124,INT(B1575)+1)</f>
        <v/>
      </c>
      <c r="D1575" s="7">
        <f>MAX(1,MIN(INT(B1575/$C$4)+1,$C$5))</f>
        <v/>
      </c>
      <c r="E1575" s="26">
        <f>IF($C$5=0,0,INDEX(Symboles!$G$6:$G$101,D1575))</f>
        <v/>
      </c>
      <c r="F1575" s="26">
        <f>IF($C$5=0,0,INDEX(Symboles!$H$6:$H$101,D1575))</f>
        <v/>
      </c>
      <c r="G1575" s="26">
        <f>COS(2*PI()*$C$3*B1575)</f>
        <v/>
      </c>
      <c r="H1575" s="26">
        <f>SIN(2*PI()*$C$3*B1575)</f>
        <v/>
      </c>
      <c r="I1575" s="26">
        <f>E1575*G1575+F1575*H1575</f>
        <v/>
      </c>
    </row>
    <row r="1576">
      <c r="A1576" s="7" t="n">
        <v>1569</v>
      </c>
      <c r="B1576" s="26">
        <f>(A1576-1)/2000*$C$2</f>
        <v/>
      </c>
      <c r="C1576" s="7">
        <f>INDEX(Bits!$E$25:$E$124,INT(B1576)+1)</f>
        <v/>
      </c>
      <c r="D1576" s="7">
        <f>MAX(1,MIN(INT(B1576/$C$4)+1,$C$5))</f>
        <v/>
      </c>
      <c r="E1576" s="26">
        <f>IF($C$5=0,0,INDEX(Symboles!$G$6:$G$101,D1576))</f>
        <v/>
      </c>
      <c r="F1576" s="26">
        <f>IF($C$5=0,0,INDEX(Symboles!$H$6:$H$101,D1576))</f>
        <v/>
      </c>
      <c r="G1576" s="26">
        <f>COS(2*PI()*$C$3*B1576)</f>
        <v/>
      </c>
      <c r="H1576" s="26">
        <f>SIN(2*PI()*$C$3*B1576)</f>
        <v/>
      </c>
      <c r="I1576" s="26">
        <f>E1576*G1576+F1576*H1576</f>
        <v/>
      </c>
    </row>
    <row r="1577">
      <c r="A1577" s="7" t="n">
        <v>1570</v>
      </c>
      <c r="B1577" s="26">
        <f>(A1577-1)/2000*$C$2</f>
        <v/>
      </c>
      <c r="C1577" s="7">
        <f>INDEX(Bits!$E$25:$E$124,INT(B1577)+1)</f>
        <v/>
      </c>
      <c r="D1577" s="7">
        <f>MAX(1,MIN(INT(B1577/$C$4)+1,$C$5))</f>
        <v/>
      </c>
      <c r="E1577" s="26">
        <f>IF($C$5=0,0,INDEX(Symboles!$G$6:$G$101,D1577))</f>
        <v/>
      </c>
      <c r="F1577" s="26">
        <f>IF($C$5=0,0,INDEX(Symboles!$H$6:$H$101,D1577))</f>
        <v/>
      </c>
      <c r="G1577" s="26">
        <f>COS(2*PI()*$C$3*B1577)</f>
        <v/>
      </c>
      <c r="H1577" s="26">
        <f>SIN(2*PI()*$C$3*B1577)</f>
        <v/>
      </c>
      <c r="I1577" s="26">
        <f>E1577*G1577+F1577*H1577</f>
        <v/>
      </c>
    </row>
    <row r="1578">
      <c r="A1578" s="7" t="n">
        <v>1571</v>
      </c>
      <c r="B1578" s="26">
        <f>(A1578-1)/2000*$C$2</f>
        <v/>
      </c>
      <c r="C1578" s="7">
        <f>INDEX(Bits!$E$25:$E$124,INT(B1578)+1)</f>
        <v/>
      </c>
      <c r="D1578" s="7">
        <f>MAX(1,MIN(INT(B1578/$C$4)+1,$C$5))</f>
        <v/>
      </c>
      <c r="E1578" s="26">
        <f>IF($C$5=0,0,INDEX(Symboles!$G$6:$G$101,D1578))</f>
        <v/>
      </c>
      <c r="F1578" s="26">
        <f>IF($C$5=0,0,INDEX(Symboles!$H$6:$H$101,D1578))</f>
        <v/>
      </c>
      <c r="G1578" s="26">
        <f>COS(2*PI()*$C$3*B1578)</f>
        <v/>
      </c>
      <c r="H1578" s="26">
        <f>SIN(2*PI()*$C$3*B1578)</f>
        <v/>
      </c>
      <c r="I1578" s="26">
        <f>E1578*G1578+F1578*H1578</f>
        <v/>
      </c>
    </row>
    <row r="1579">
      <c r="A1579" s="7" t="n">
        <v>1572</v>
      </c>
      <c r="B1579" s="26">
        <f>(A1579-1)/2000*$C$2</f>
        <v/>
      </c>
      <c r="C1579" s="7">
        <f>INDEX(Bits!$E$25:$E$124,INT(B1579)+1)</f>
        <v/>
      </c>
      <c r="D1579" s="7">
        <f>MAX(1,MIN(INT(B1579/$C$4)+1,$C$5))</f>
        <v/>
      </c>
      <c r="E1579" s="26">
        <f>IF($C$5=0,0,INDEX(Symboles!$G$6:$G$101,D1579))</f>
        <v/>
      </c>
      <c r="F1579" s="26">
        <f>IF($C$5=0,0,INDEX(Symboles!$H$6:$H$101,D1579))</f>
        <v/>
      </c>
      <c r="G1579" s="26">
        <f>COS(2*PI()*$C$3*B1579)</f>
        <v/>
      </c>
      <c r="H1579" s="26">
        <f>SIN(2*PI()*$C$3*B1579)</f>
        <v/>
      </c>
      <c r="I1579" s="26">
        <f>E1579*G1579+F1579*H1579</f>
        <v/>
      </c>
    </row>
    <row r="1580">
      <c r="A1580" s="7" t="n">
        <v>1573</v>
      </c>
      <c r="B1580" s="26">
        <f>(A1580-1)/2000*$C$2</f>
        <v/>
      </c>
      <c r="C1580" s="7">
        <f>INDEX(Bits!$E$25:$E$124,INT(B1580)+1)</f>
        <v/>
      </c>
      <c r="D1580" s="7">
        <f>MAX(1,MIN(INT(B1580/$C$4)+1,$C$5))</f>
        <v/>
      </c>
      <c r="E1580" s="26">
        <f>IF($C$5=0,0,INDEX(Symboles!$G$6:$G$101,D1580))</f>
        <v/>
      </c>
      <c r="F1580" s="26">
        <f>IF($C$5=0,0,INDEX(Symboles!$H$6:$H$101,D1580))</f>
        <v/>
      </c>
      <c r="G1580" s="26">
        <f>COS(2*PI()*$C$3*B1580)</f>
        <v/>
      </c>
      <c r="H1580" s="26">
        <f>SIN(2*PI()*$C$3*B1580)</f>
        <v/>
      </c>
      <c r="I1580" s="26">
        <f>E1580*G1580+F1580*H1580</f>
        <v/>
      </c>
    </row>
    <row r="1581">
      <c r="A1581" s="7" t="n">
        <v>1574</v>
      </c>
      <c r="B1581" s="26">
        <f>(A1581-1)/2000*$C$2</f>
        <v/>
      </c>
      <c r="C1581" s="7">
        <f>INDEX(Bits!$E$25:$E$124,INT(B1581)+1)</f>
        <v/>
      </c>
      <c r="D1581" s="7">
        <f>MAX(1,MIN(INT(B1581/$C$4)+1,$C$5))</f>
        <v/>
      </c>
      <c r="E1581" s="26">
        <f>IF($C$5=0,0,INDEX(Symboles!$G$6:$G$101,D1581))</f>
        <v/>
      </c>
      <c r="F1581" s="26">
        <f>IF($C$5=0,0,INDEX(Symboles!$H$6:$H$101,D1581))</f>
        <v/>
      </c>
      <c r="G1581" s="26">
        <f>COS(2*PI()*$C$3*B1581)</f>
        <v/>
      </c>
      <c r="H1581" s="26">
        <f>SIN(2*PI()*$C$3*B1581)</f>
        <v/>
      </c>
      <c r="I1581" s="26">
        <f>E1581*G1581+F1581*H1581</f>
        <v/>
      </c>
    </row>
    <row r="1582">
      <c r="A1582" s="7" t="n">
        <v>1575</v>
      </c>
      <c r="B1582" s="26">
        <f>(A1582-1)/2000*$C$2</f>
        <v/>
      </c>
      <c r="C1582" s="7">
        <f>INDEX(Bits!$E$25:$E$124,INT(B1582)+1)</f>
        <v/>
      </c>
      <c r="D1582" s="7">
        <f>MAX(1,MIN(INT(B1582/$C$4)+1,$C$5))</f>
        <v/>
      </c>
      <c r="E1582" s="26">
        <f>IF($C$5=0,0,INDEX(Symboles!$G$6:$G$101,D1582))</f>
        <v/>
      </c>
      <c r="F1582" s="26">
        <f>IF($C$5=0,0,INDEX(Symboles!$H$6:$H$101,D1582))</f>
        <v/>
      </c>
      <c r="G1582" s="26">
        <f>COS(2*PI()*$C$3*B1582)</f>
        <v/>
      </c>
      <c r="H1582" s="26">
        <f>SIN(2*PI()*$C$3*B1582)</f>
        <v/>
      </c>
      <c r="I1582" s="26">
        <f>E1582*G1582+F1582*H1582</f>
        <v/>
      </c>
    </row>
    <row r="1583">
      <c r="A1583" s="7" t="n">
        <v>1576</v>
      </c>
      <c r="B1583" s="26">
        <f>(A1583-1)/2000*$C$2</f>
        <v/>
      </c>
      <c r="C1583" s="7">
        <f>INDEX(Bits!$E$25:$E$124,INT(B1583)+1)</f>
        <v/>
      </c>
      <c r="D1583" s="7">
        <f>MAX(1,MIN(INT(B1583/$C$4)+1,$C$5))</f>
        <v/>
      </c>
      <c r="E1583" s="26">
        <f>IF($C$5=0,0,INDEX(Symboles!$G$6:$G$101,D1583))</f>
        <v/>
      </c>
      <c r="F1583" s="26">
        <f>IF($C$5=0,0,INDEX(Symboles!$H$6:$H$101,D1583))</f>
        <v/>
      </c>
      <c r="G1583" s="26">
        <f>COS(2*PI()*$C$3*B1583)</f>
        <v/>
      </c>
      <c r="H1583" s="26">
        <f>SIN(2*PI()*$C$3*B1583)</f>
        <v/>
      </c>
      <c r="I1583" s="26">
        <f>E1583*G1583+F1583*H1583</f>
        <v/>
      </c>
    </row>
    <row r="1584">
      <c r="A1584" s="7" t="n">
        <v>1577</v>
      </c>
      <c r="B1584" s="26">
        <f>(A1584-1)/2000*$C$2</f>
        <v/>
      </c>
      <c r="C1584" s="7">
        <f>INDEX(Bits!$E$25:$E$124,INT(B1584)+1)</f>
        <v/>
      </c>
      <c r="D1584" s="7">
        <f>MAX(1,MIN(INT(B1584/$C$4)+1,$C$5))</f>
        <v/>
      </c>
      <c r="E1584" s="26">
        <f>IF($C$5=0,0,INDEX(Symboles!$G$6:$G$101,D1584))</f>
        <v/>
      </c>
      <c r="F1584" s="26">
        <f>IF($C$5=0,0,INDEX(Symboles!$H$6:$H$101,D1584))</f>
        <v/>
      </c>
      <c r="G1584" s="26">
        <f>COS(2*PI()*$C$3*B1584)</f>
        <v/>
      </c>
      <c r="H1584" s="26">
        <f>SIN(2*PI()*$C$3*B1584)</f>
        <v/>
      </c>
      <c r="I1584" s="26">
        <f>E1584*G1584+F1584*H1584</f>
        <v/>
      </c>
    </row>
    <row r="1585">
      <c r="A1585" s="7" t="n">
        <v>1578</v>
      </c>
      <c r="B1585" s="26">
        <f>(A1585-1)/2000*$C$2</f>
        <v/>
      </c>
      <c r="C1585" s="7">
        <f>INDEX(Bits!$E$25:$E$124,INT(B1585)+1)</f>
        <v/>
      </c>
      <c r="D1585" s="7">
        <f>MAX(1,MIN(INT(B1585/$C$4)+1,$C$5))</f>
        <v/>
      </c>
      <c r="E1585" s="26">
        <f>IF($C$5=0,0,INDEX(Symboles!$G$6:$G$101,D1585))</f>
        <v/>
      </c>
      <c r="F1585" s="26">
        <f>IF($C$5=0,0,INDEX(Symboles!$H$6:$H$101,D1585))</f>
        <v/>
      </c>
      <c r="G1585" s="26">
        <f>COS(2*PI()*$C$3*B1585)</f>
        <v/>
      </c>
      <c r="H1585" s="26">
        <f>SIN(2*PI()*$C$3*B1585)</f>
        <v/>
      </c>
      <c r="I1585" s="26">
        <f>E1585*G1585+F1585*H1585</f>
        <v/>
      </c>
    </row>
    <row r="1586">
      <c r="A1586" s="7" t="n">
        <v>1579</v>
      </c>
      <c r="B1586" s="26">
        <f>(A1586-1)/2000*$C$2</f>
        <v/>
      </c>
      <c r="C1586" s="7">
        <f>INDEX(Bits!$E$25:$E$124,INT(B1586)+1)</f>
        <v/>
      </c>
      <c r="D1586" s="7">
        <f>MAX(1,MIN(INT(B1586/$C$4)+1,$C$5))</f>
        <v/>
      </c>
      <c r="E1586" s="26">
        <f>IF($C$5=0,0,INDEX(Symboles!$G$6:$G$101,D1586))</f>
        <v/>
      </c>
      <c r="F1586" s="26">
        <f>IF($C$5=0,0,INDEX(Symboles!$H$6:$H$101,D1586))</f>
        <v/>
      </c>
      <c r="G1586" s="26">
        <f>COS(2*PI()*$C$3*B1586)</f>
        <v/>
      </c>
      <c r="H1586" s="26">
        <f>SIN(2*PI()*$C$3*B1586)</f>
        <v/>
      </c>
      <c r="I1586" s="26">
        <f>E1586*G1586+F1586*H1586</f>
        <v/>
      </c>
    </row>
    <row r="1587">
      <c r="A1587" s="7" t="n">
        <v>1580</v>
      </c>
      <c r="B1587" s="26">
        <f>(A1587-1)/2000*$C$2</f>
        <v/>
      </c>
      <c r="C1587" s="7">
        <f>INDEX(Bits!$E$25:$E$124,INT(B1587)+1)</f>
        <v/>
      </c>
      <c r="D1587" s="7">
        <f>MAX(1,MIN(INT(B1587/$C$4)+1,$C$5))</f>
        <v/>
      </c>
      <c r="E1587" s="26">
        <f>IF($C$5=0,0,INDEX(Symboles!$G$6:$G$101,D1587))</f>
        <v/>
      </c>
      <c r="F1587" s="26">
        <f>IF($C$5=0,0,INDEX(Symboles!$H$6:$H$101,D1587))</f>
        <v/>
      </c>
      <c r="G1587" s="26">
        <f>COS(2*PI()*$C$3*B1587)</f>
        <v/>
      </c>
      <c r="H1587" s="26">
        <f>SIN(2*PI()*$C$3*B1587)</f>
        <v/>
      </c>
      <c r="I1587" s="26">
        <f>E1587*G1587+F1587*H1587</f>
        <v/>
      </c>
    </row>
    <row r="1588">
      <c r="A1588" s="7" t="n">
        <v>1581</v>
      </c>
      <c r="B1588" s="26">
        <f>(A1588-1)/2000*$C$2</f>
        <v/>
      </c>
      <c r="C1588" s="7">
        <f>INDEX(Bits!$E$25:$E$124,INT(B1588)+1)</f>
        <v/>
      </c>
      <c r="D1588" s="7">
        <f>MAX(1,MIN(INT(B1588/$C$4)+1,$C$5))</f>
        <v/>
      </c>
      <c r="E1588" s="26">
        <f>IF($C$5=0,0,INDEX(Symboles!$G$6:$G$101,D1588))</f>
        <v/>
      </c>
      <c r="F1588" s="26">
        <f>IF($C$5=0,0,INDEX(Symboles!$H$6:$H$101,D1588))</f>
        <v/>
      </c>
      <c r="G1588" s="26">
        <f>COS(2*PI()*$C$3*B1588)</f>
        <v/>
      </c>
      <c r="H1588" s="26">
        <f>SIN(2*PI()*$C$3*B1588)</f>
        <v/>
      </c>
      <c r="I1588" s="26">
        <f>E1588*G1588+F1588*H1588</f>
        <v/>
      </c>
    </row>
    <row r="1589">
      <c r="A1589" s="7" t="n">
        <v>1582</v>
      </c>
      <c r="B1589" s="26">
        <f>(A1589-1)/2000*$C$2</f>
        <v/>
      </c>
      <c r="C1589" s="7">
        <f>INDEX(Bits!$E$25:$E$124,INT(B1589)+1)</f>
        <v/>
      </c>
      <c r="D1589" s="7">
        <f>MAX(1,MIN(INT(B1589/$C$4)+1,$C$5))</f>
        <v/>
      </c>
      <c r="E1589" s="26">
        <f>IF($C$5=0,0,INDEX(Symboles!$G$6:$G$101,D1589))</f>
        <v/>
      </c>
      <c r="F1589" s="26">
        <f>IF($C$5=0,0,INDEX(Symboles!$H$6:$H$101,D1589))</f>
        <v/>
      </c>
      <c r="G1589" s="26">
        <f>COS(2*PI()*$C$3*B1589)</f>
        <v/>
      </c>
      <c r="H1589" s="26">
        <f>SIN(2*PI()*$C$3*B1589)</f>
        <v/>
      </c>
      <c r="I1589" s="26">
        <f>E1589*G1589+F1589*H1589</f>
        <v/>
      </c>
    </row>
    <row r="1590">
      <c r="A1590" s="7" t="n">
        <v>1583</v>
      </c>
      <c r="B1590" s="26">
        <f>(A1590-1)/2000*$C$2</f>
        <v/>
      </c>
      <c r="C1590" s="7">
        <f>INDEX(Bits!$E$25:$E$124,INT(B1590)+1)</f>
        <v/>
      </c>
      <c r="D1590" s="7">
        <f>MAX(1,MIN(INT(B1590/$C$4)+1,$C$5))</f>
        <v/>
      </c>
      <c r="E1590" s="26">
        <f>IF($C$5=0,0,INDEX(Symboles!$G$6:$G$101,D1590))</f>
        <v/>
      </c>
      <c r="F1590" s="26">
        <f>IF($C$5=0,0,INDEX(Symboles!$H$6:$H$101,D1590))</f>
        <v/>
      </c>
      <c r="G1590" s="26">
        <f>COS(2*PI()*$C$3*B1590)</f>
        <v/>
      </c>
      <c r="H1590" s="26">
        <f>SIN(2*PI()*$C$3*B1590)</f>
        <v/>
      </c>
      <c r="I1590" s="26">
        <f>E1590*G1590+F1590*H1590</f>
        <v/>
      </c>
    </row>
    <row r="1591">
      <c r="A1591" s="7" t="n">
        <v>1584</v>
      </c>
      <c r="B1591" s="26">
        <f>(A1591-1)/2000*$C$2</f>
        <v/>
      </c>
      <c r="C1591" s="7">
        <f>INDEX(Bits!$E$25:$E$124,INT(B1591)+1)</f>
        <v/>
      </c>
      <c r="D1591" s="7">
        <f>MAX(1,MIN(INT(B1591/$C$4)+1,$C$5))</f>
        <v/>
      </c>
      <c r="E1591" s="26">
        <f>IF($C$5=0,0,INDEX(Symboles!$G$6:$G$101,D1591))</f>
        <v/>
      </c>
      <c r="F1591" s="26">
        <f>IF($C$5=0,0,INDEX(Symboles!$H$6:$H$101,D1591))</f>
        <v/>
      </c>
      <c r="G1591" s="26">
        <f>COS(2*PI()*$C$3*B1591)</f>
        <v/>
      </c>
      <c r="H1591" s="26">
        <f>SIN(2*PI()*$C$3*B1591)</f>
        <v/>
      </c>
      <c r="I1591" s="26">
        <f>E1591*G1591+F1591*H1591</f>
        <v/>
      </c>
    </row>
    <row r="1592">
      <c r="A1592" s="7" t="n">
        <v>1585</v>
      </c>
      <c r="B1592" s="26">
        <f>(A1592-1)/2000*$C$2</f>
        <v/>
      </c>
      <c r="C1592" s="7">
        <f>INDEX(Bits!$E$25:$E$124,INT(B1592)+1)</f>
        <v/>
      </c>
      <c r="D1592" s="7">
        <f>MAX(1,MIN(INT(B1592/$C$4)+1,$C$5))</f>
        <v/>
      </c>
      <c r="E1592" s="26">
        <f>IF($C$5=0,0,INDEX(Symboles!$G$6:$G$101,D1592))</f>
        <v/>
      </c>
      <c r="F1592" s="26">
        <f>IF($C$5=0,0,INDEX(Symboles!$H$6:$H$101,D1592))</f>
        <v/>
      </c>
      <c r="G1592" s="26">
        <f>COS(2*PI()*$C$3*B1592)</f>
        <v/>
      </c>
      <c r="H1592" s="26">
        <f>SIN(2*PI()*$C$3*B1592)</f>
        <v/>
      </c>
      <c r="I1592" s="26">
        <f>E1592*G1592+F1592*H1592</f>
        <v/>
      </c>
    </row>
    <row r="1593">
      <c r="A1593" s="7" t="n">
        <v>1586</v>
      </c>
      <c r="B1593" s="26">
        <f>(A1593-1)/2000*$C$2</f>
        <v/>
      </c>
      <c r="C1593" s="7">
        <f>INDEX(Bits!$E$25:$E$124,INT(B1593)+1)</f>
        <v/>
      </c>
      <c r="D1593" s="7">
        <f>MAX(1,MIN(INT(B1593/$C$4)+1,$C$5))</f>
        <v/>
      </c>
      <c r="E1593" s="26">
        <f>IF($C$5=0,0,INDEX(Symboles!$G$6:$G$101,D1593))</f>
        <v/>
      </c>
      <c r="F1593" s="26">
        <f>IF($C$5=0,0,INDEX(Symboles!$H$6:$H$101,D1593))</f>
        <v/>
      </c>
      <c r="G1593" s="26">
        <f>COS(2*PI()*$C$3*B1593)</f>
        <v/>
      </c>
      <c r="H1593" s="26">
        <f>SIN(2*PI()*$C$3*B1593)</f>
        <v/>
      </c>
      <c r="I1593" s="26">
        <f>E1593*G1593+F1593*H1593</f>
        <v/>
      </c>
    </row>
    <row r="1594">
      <c r="A1594" s="7" t="n">
        <v>1587</v>
      </c>
      <c r="B1594" s="26">
        <f>(A1594-1)/2000*$C$2</f>
        <v/>
      </c>
      <c r="C1594" s="7">
        <f>INDEX(Bits!$E$25:$E$124,INT(B1594)+1)</f>
        <v/>
      </c>
      <c r="D1594" s="7">
        <f>MAX(1,MIN(INT(B1594/$C$4)+1,$C$5))</f>
        <v/>
      </c>
      <c r="E1594" s="26">
        <f>IF($C$5=0,0,INDEX(Symboles!$G$6:$G$101,D1594))</f>
        <v/>
      </c>
      <c r="F1594" s="26">
        <f>IF($C$5=0,0,INDEX(Symboles!$H$6:$H$101,D1594))</f>
        <v/>
      </c>
      <c r="G1594" s="26">
        <f>COS(2*PI()*$C$3*B1594)</f>
        <v/>
      </c>
      <c r="H1594" s="26">
        <f>SIN(2*PI()*$C$3*B1594)</f>
        <v/>
      </c>
      <c r="I1594" s="26">
        <f>E1594*G1594+F1594*H1594</f>
        <v/>
      </c>
    </row>
    <row r="1595">
      <c r="A1595" s="7" t="n">
        <v>1588</v>
      </c>
      <c r="B1595" s="26">
        <f>(A1595-1)/2000*$C$2</f>
        <v/>
      </c>
      <c r="C1595" s="7">
        <f>INDEX(Bits!$E$25:$E$124,INT(B1595)+1)</f>
        <v/>
      </c>
      <c r="D1595" s="7">
        <f>MAX(1,MIN(INT(B1595/$C$4)+1,$C$5))</f>
        <v/>
      </c>
      <c r="E1595" s="26">
        <f>IF($C$5=0,0,INDEX(Symboles!$G$6:$G$101,D1595))</f>
        <v/>
      </c>
      <c r="F1595" s="26">
        <f>IF($C$5=0,0,INDEX(Symboles!$H$6:$H$101,D1595))</f>
        <v/>
      </c>
      <c r="G1595" s="26">
        <f>COS(2*PI()*$C$3*B1595)</f>
        <v/>
      </c>
      <c r="H1595" s="26">
        <f>SIN(2*PI()*$C$3*B1595)</f>
        <v/>
      </c>
      <c r="I1595" s="26">
        <f>E1595*G1595+F1595*H1595</f>
        <v/>
      </c>
    </row>
    <row r="1596">
      <c r="A1596" s="7" t="n">
        <v>1589</v>
      </c>
      <c r="B1596" s="26">
        <f>(A1596-1)/2000*$C$2</f>
        <v/>
      </c>
      <c r="C1596" s="7">
        <f>INDEX(Bits!$E$25:$E$124,INT(B1596)+1)</f>
        <v/>
      </c>
      <c r="D1596" s="7">
        <f>MAX(1,MIN(INT(B1596/$C$4)+1,$C$5))</f>
        <v/>
      </c>
      <c r="E1596" s="26">
        <f>IF($C$5=0,0,INDEX(Symboles!$G$6:$G$101,D1596))</f>
        <v/>
      </c>
      <c r="F1596" s="26">
        <f>IF($C$5=0,0,INDEX(Symboles!$H$6:$H$101,D1596))</f>
        <v/>
      </c>
      <c r="G1596" s="26">
        <f>COS(2*PI()*$C$3*B1596)</f>
        <v/>
      </c>
      <c r="H1596" s="26">
        <f>SIN(2*PI()*$C$3*B1596)</f>
        <v/>
      </c>
      <c r="I1596" s="26">
        <f>E1596*G1596+F1596*H1596</f>
        <v/>
      </c>
    </row>
    <row r="1597">
      <c r="A1597" s="7" t="n">
        <v>1590</v>
      </c>
      <c r="B1597" s="26">
        <f>(A1597-1)/2000*$C$2</f>
        <v/>
      </c>
      <c r="C1597" s="7">
        <f>INDEX(Bits!$E$25:$E$124,INT(B1597)+1)</f>
        <v/>
      </c>
      <c r="D1597" s="7">
        <f>MAX(1,MIN(INT(B1597/$C$4)+1,$C$5))</f>
        <v/>
      </c>
      <c r="E1597" s="26">
        <f>IF($C$5=0,0,INDEX(Symboles!$G$6:$G$101,D1597))</f>
        <v/>
      </c>
      <c r="F1597" s="26">
        <f>IF($C$5=0,0,INDEX(Symboles!$H$6:$H$101,D1597))</f>
        <v/>
      </c>
      <c r="G1597" s="26">
        <f>COS(2*PI()*$C$3*B1597)</f>
        <v/>
      </c>
      <c r="H1597" s="26">
        <f>SIN(2*PI()*$C$3*B1597)</f>
        <v/>
      </c>
      <c r="I1597" s="26">
        <f>E1597*G1597+F1597*H1597</f>
        <v/>
      </c>
    </row>
    <row r="1598">
      <c r="A1598" s="7" t="n">
        <v>1591</v>
      </c>
      <c r="B1598" s="26">
        <f>(A1598-1)/2000*$C$2</f>
        <v/>
      </c>
      <c r="C1598" s="7">
        <f>INDEX(Bits!$E$25:$E$124,INT(B1598)+1)</f>
        <v/>
      </c>
      <c r="D1598" s="7">
        <f>MAX(1,MIN(INT(B1598/$C$4)+1,$C$5))</f>
        <v/>
      </c>
      <c r="E1598" s="26">
        <f>IF($C$5=0,0,INDEX(Symboles!$G$6:$G$101,D1598))</f>
        <v/>
      </c>
      <c r="F1598" s="26">
        <f>IF($C$5=0,0,INDEX(Symboles!$H$6:$H$101,D1598))</f>
        <v/>
      </c>
      <c r="G1598" s="26">
        <f>COS(2*PI()*$C$3*B1598)</f>
        <v/>
      </c>
      <c r="H1598" s="26">
        <f>SIN(2*PI()*$C$3*B1598)</f>
        <v/>
      </c>
      <c r="I1598" s="26">
        <f>E1598*G1598+F1598*H1598</f>
        <v/>
      </c>
    </row>
    <row r="1599">
      <c r="A1599" s="7" t="n">
        <v>1592</v>
      </c>
      <c r="B1599" s="26">
        <f>(A1599-1)/2000*$C$2</f>
        <v/>
      </c>
      <c r="C1599" s="7">
        <f>INDEX(Bits!$E$25:$E$124,INT(B1599)+1)</f>
        <v/>
      </c>
      <c r="D1599" s="7">
        <f>MAX(1,MIN(INT(B1599/$C$4)+1,$C$5))</f>
        <v/>
      </c>
      <c r="E1599" s="26">
        <f>IF($C$5=0,0,INDEX(Symboles!$G$6:$G$101,D1599))</f>
        <v/>
      </c>
      <c r="F1599" s="26">
        <f>IF($C$5=0,0,INDEX(Symboles!$H$6:$H$101,D1599))</f>
        <v/>
      </c>
      <c r="G1599" s="26">
        <f>COS(2*PI()*$C$3*B1599)</f>
        <v/>
      </c>
      <c r="H1599" s="26">
        <f>SIN(2*PI()*$C$3*B1599)</f>
        <v/>
      </c>
      <c r="I1599" s="26">
        <f>E1599*G1599+F1599*H1599</f>
        <v/>
      </c>
    </row>
    <row r="1600">
      <c r="A1600" s="7" t="n">
        <v>1593</v>
      </c>
      <c r="B1600" s="26">
        <f>(A1600-1)/2000*$C$2</f>
        <v/>
      </c>
      <c r="C1600" s="7">
        <f>INDEX(Bits!$E$25:$E$124,INT(B1600)+1)</f>
        <v/>
      </c>
      <c r="D1600" s="7">
        <f>MAX(1,MIN(INT(B1600/$C$4)+1,$C$5))</f>
        <v/>
      </c>
      <c r="E1600" s="26">
        <f>IF($C$5=0,0,INDEX(Symboles!$G$6:$G$101,D1600))</f>
        <v/>
      </c>
      <c r="F1600" s="26">
        <f>IF($C$5=0,0,INDEX(Symboles!$H$6:$H$101,D1600))</f>
        <v/>
      </c>
      <c r="G1600" s="26">
        <f>COS(2*PI()*$C$3*B1600)</f>
        <v/>
      </c>
      <c r="H1600" s="26">
        <f>SIN(2*PI()*$C$3*B1600)</f>
        <v/>
      </c>
      <c r="I1600" s="26">
        <f>E1600*G1600+F1600*H1600</f>
        <v/>
      </c>
    </row>
    <row r="1601">
      <c r="A1601" s="7" t="n">
        <v>1594</v>
      </c>
      <c r="B1601" s="26">
        <f>(A1601-1)/2000*$C$2</f>
        <v/>
      </c>
      <c r="C1601" s="7">
        <f>INDEX(Bits!$E$25:$E$124,INT(B1601)+1)</f>
        <v/>
      </c>
      <c r="D1601" s="7">
        <f>MAX(1,MIN(INT(B1601/$C$4)+1,$C$5))</f>
        <v/>
      </c>
      <c r="E1601" s="26">
        <f>IF($C$5=0,0,INDEX(Symboles!$G$6:$G$101,D1601))</f>
        <v/>
      </c>
      <c r="F1601" s="26">
        <f>IF($C$5=0,0,INDEX(Symboles!$H$6:$H$101,D1601))</f>
        <v/>
      </c>
      <c r="G1601" s="26">
        <f>COS(2*PI()*$C$3*B1601)</f>
        <v/>
      </c>
      <c r="H1601" s="26">
        <f>SIN(2*PI()*$C$3*B1601)</f>
        <v/>
      </c>
      <c r="I1601" s="26">
        <f>E1601*G1601+F1601*H1601</f>
        <v/>
      </c>
    </row>
    <row r="1602">
      <c r="A1602" s="7" t="n">
        <v>1595</v>
      </c>
      <c r="B1602" s="26">
        <f>(A1602-1)/2000*$C$2</f>
        <v/>
      </c>
      <c r="C1602" s="7">
        <f>INDEX(Bits!$E$25:$E$124,INT(B1602)+1)</f>
        <v/>
      </c>
      <c r="D1602" s="7">
        <f>MAX(1,MIN(INT(B1602/$C$4)+1,$C$5))</f>
        <v/>
      </c>
      <c r="E1602" s="26">
        <f>IF($C$5=0,0,INDEX(Symboles!$G$6:$G$101,D1602))</f>
        <v/>
      </c>
      <c r="F1602" s="26">
        <f>IF($C$5=0,0,INDEX(Symboles!$H$6:$H$101,D1602))</f>
        <v/>
      </c>
      <c r="G1602" s="26">
        <f>COS(2*PI()*$C$3*B1602)</f>
        <v/>
      </c>
      <c r="H1602" s="26">
        <f>SIN(2*PI()*$C$3*B1602)</f>
        <v/>
      </c>
      <c r="I1602" s="26">
        <f>E1602*G1602+F1602*H1602</f>
        <v/>
      </c>
    </row>
    <row r="1603">
      <c r="A1603" s="7" t="n">
        <v>1596</v>
      </c>
      <c r="B1603" s="26">
        <f>(A1603-1)/2000*$C$2</f>
        <v/>
      </c>
      <c r="C1603" s="7">
        <f>INDEX(Bits!$E$25:$E$124,INT(B1603)+1)</f>
        <v/>
      </c>
      <c r="D1603" s="7">
        <f>MAX(1,MIN(INT(B1603/$C$4)+1,$C$5))</f>
        <v/>
      </c>
      <c r="E1603" s="26">
        <f>IF($C$5=0,0,INDEX(Symboles!$G$6:$G$101,D1603))</f>
        <v/>
      </c>
      <c r="F1603" s="26">
        <f>IF($C$5=0,0,INDEX(Symboles!$H$6:$H$101,D1603))</f>
        <v/>
      </c>
      <c r="G1603" s="26">
        <f>COS(2*PI()*$C$3*B1603)</f>
        <v/>
      </c>
      <c r="H1603" s="26">
        <f>SIN(2*PI()*$C$3*B1603)</f>
        <v/>
      </c>
      <c r="I1603" s="26">
        <f>E1603*G1603+F1603*H1603</f>
        <v/>
      </c>
    </row>
    <row r="1604">
      <c r="A1604" s="7" t="n">
        <v>1597</v>
      </c>
      <c r="B1604" s="26">
        <f>(A1604-1)/2000*$C$2</f>
        <v/>
      </c>
      <c r="C1604" s="7">
        <f>INDEX(Bits!$E$25:$E$124,INT(B1604)+1)</f>
        <v/>
      </c>
      <c r="D1604" s="7">
        <f>MAX(1,MIN(INT(B1604/$C$4)+1,$C$5))</f>
        <v/>
      </c>
      <c r="E1604" s="26">
        <f>IF($C$5=0,0,INDEX(Symboles!$G$6:$G$101,D1604))</f>
        <v/>
      </c>
      <c r="F1604" s="26">
        <f>IF($C$5=0,0,INDEX(Symboles!$H$6:$H$101,D1604))</f>
        <v/>
      </c>
      <c r="G1604" s="26">
        <f>COS(2*PI()*$C$3*B1604)</f>
        <v/>
      </c>
      <c r="H1604" s="26">
        <f>SIN(2*PI()*$C$3*B1604)</f>
        <v/>
      </c>
      <c r="I1604" s="26">
        <f>E1604*G1604+F1604*H1604</f>
        <v/>
      </c>
    </row>
    <row r="1605">
      <c r="A1605" s="7" t="n">
        <v>1598</v>
      </c>
      <c r="B1605" s="26">
        <f>(A1605-1)/2000*$C$2</f>
        <v/>
      </c>
      <c r="C1605" s="7">
        <f>INDEX(Bits!$E$25:$E$124,INT(B1605)+1)</f>
        <v/>
      </c>
      <c r="D1605" s="7">
        <f>MAX(1,MIN(INT(B1605/$C$4)+1,$C$5))</f>
        <v/>
      </c>
      <c r="E1605" s="26">
        <f>IF($C$5=0,0,INDEX(Symboles!$G$6:$G$101,D1605))</f>
        <v/>
      </c>
      <c r="F1605" s="26">
        <f>IF($C$5=0,0,INDEX(Symboles!$H$6:$H$101,D1605))</f>
        <v/>
      </c>
      <c r="G1605" s="26">
        <f>COS(2*PI()*$C$3*B1605)</f>
        <v/>
      </c>
      <c r="H1605" s="26">
        <f>SIN(2*PI()*$C$3*B1605)</f>
        <v/>
      </c>
      <c r="I1605" s="26">
        <f>E1605*G1605+F1605*H1605</f>
        <v/>
      </c>
    </row>
    <row r="1606">
      <c r="A1606" s="7" t="n">
        <v>1599</v>
      </c>
      <c r="B1606" s="26">
        <f>(A1606-1)/2000*$C$2</f>
        <v/>
      </c>
      <c r="C1606" s="7">
        <f>INDEX(Bits!$E$25:$E$124,INT(B1606)+1)</f>
        <v/>
      </c>
      <c r="D1606" s="7">
        <f>MAX(1,MIN(INT(B1606/$C$4)+1,$C$5))</f>
        <v/>
      </c>
      <c r="E1606" s="26">
        <f>IF($C$5=0,0,INDEX(Symboles!$G$6:$G$101,D1606))</f>
        <v/>
      </c>
      <c r="F1606" s="26">
        <f>IF($C$5=0,0,INDEX(Symboles!$H$6:$H$101,D1606))</f>
        <v/>
      </c>
      <c r="G1606" s="26">
        <f>COS(2*PI()*$C$3*B1606)</f>
        <v/>
      </c>
      <c r="H1606" s="26">
        <f>SIN(2*PI()*$C$3*B1606)</f>
        <v/>
      </c>
      <c r="I1606" s="26">
        <f>E1606*G1606+F1606*H1606</f>
        <v/>
      </c>
    </row>
    <row r="1607">
      <c r="A1607" s="7" t="n">
        <v>1600</v>
      </c>
      <c r="B1607" s="26">
        <f>(A1607-1)/2000*$C$2</f>
        <v/>
      </c>
      <c r="C1607" s="7">
        <f>INDEX(Bits!$E$25:$E$124,INT(B1607)+1)</f>
        <v/>
      </c>
      <c r="D1607" s="7">
        <f>MAX(1,MIN(INT(B1607/$C$4)+1,$C$5))</f>
        <v/>
      </c>
      <c r="E1607" s="26">
        <f>IF($C$5=0,0,INDEX(Symboles!$G$6:$G$101,D1607))</f>
        <v/>
      </c>
      <c r="F1607" s="26">
        <f>IF($C$5=0,0,INDEX(Symboles!$H$6:$H$101,D1607))</f>
        <v/>
      </c>
      <c r="G1607" s="26">
        <f>COS(2*PI()*$C$3*B1607)</f>
        <v/>
      </c>
      <c r="H1607" s="26">
        <f>SIN(2*PI()*$C$3*B1607)</f>
        <v/>
      </c>
      <c r="I1607" s="26">
        <f>E1607*G1607+F1607*H1607</f>
        <v/>
      </c>
    </row>
    <row r="1608">
      <c r="A1608" s="7" t="n">
        <v>1601</v>
      </c>
      <c r="B1608" s="26">
        <f>(A1608-1)/2000*$C$2</f>
        <v/>
      </c>
      <c r="C1608" s="7">
        <f>INDEX(Bits!$E$25:$E$124,INT(B1608)+1)</f>
        <v/>
      </c>
      <c r="D1608" s="7">
        <f>MAX(1,MIN(INT(B1608/$C$4)+1,$C$5))</f>
        <v/>
      </c>
      <c r="E1608" s="26">
        <f>IF($C$5=0,0,INDEX(Symboles!$G$6:$G$101,D1608))</f>
        <v/>
      </c>
      <c r="F1608" s="26">
        <f>IF($C$5=0,0,INDEX(Symboles!$H$6:$H$101,D1608))</f>
        <v/>
      </c>
      <c r="G1608" s="26">
        <f>COS(2*PI()*$C$3*B1608)</f>
        <v/>
      </c>
      <c r="H1608" s="26">
        <f>SIN(2*PI()*$C$3*B1608)</f>
        <v/>
      </c>
      <c r="I1608" s="26">
        <f>E1608*G1608+F1608*H1608</f>
        <v/>
      </c>
    </row>
    <row r="1609">
      <c r="A1609" s="7" t="n">
        <v>1602</v>
      </c>
      <c r="B1609" s="26">
        <f>(A1609-1)/2000*$C$2</f>
        <v/>
      </c>
      <c r="C1609" s="7">
        <f>INDEX(Bits!$E$25:$E$124,INT(B1609)+1)</f>
        <v/>
      </c>
      <c r="D1609" s="7">
        <f>MAX(1,MIN(INT(B1609/$C$4)+1,$C$5))</f>
        <v/>
      </c>
      <c r="E1609" s="26">
        <f>IF($C$5=0,0,INDEX(Symboles!$G$6:$G$101,D1609))</f>
        <v/>
      </c>
      <c r="F1609" s="26">
        <f>IF($C$5=0,0,INDEX(Symboles!$H$6:$H$101,D1609))</f>
        <v/>
      </c>
      <c r="G1609" s="26">
        <f>COS(2*PI()*$C$3*B1609)</f>
        <v/>
      </c>
      <c r="H1609" s="26">
        <f>SIN(2*PI()*$C$3*B1609)</f>
        <v/>
      </c>
      <c r="I1609" s="26">
        <f>E1609*G1609+F1609*H1609</f>
        <v/>
      </c>
    </row>
    <row r="1610">
      <c r="A1610" s="7" t="n">
        <v>1603</v>
      </c>
      <c r="B1610" s="26">
        <f>(A1610-1)/2000*$C$2</f>
        <v/>
      </c>
      <c r="C1610" s="7">
        <f>INDEX(Bits!$E$25:$E$124,INT(B1610)+1)</f>
        <v/>
      </c>
      <c r="D1610" s="7">
        <f>MAX(1,MIN(INT(B1610/$C$4)+1,$C$5))</f>
        <v/>
      </c>
      <c r="E1610" s="26">
        <f>IF($C$5=0,0,INDEX(Symboles!$G$6:$G$101,D1610))</f>
        <v/>
      </c>
      <c r="F1610" s="26">
        <f>IF($C$5=0,0,INDEX(Symboles!$H$6:$H$101,D1610))</f>
        <v/>
      </c>
      <c r="G1610" s="26">
        <f>COS(2*PI()*$C$3*B1610)</f>
        <v/>
      </c>
      <c r="H1610" s="26">
        <f>SIN(2*PI()*$C$3*B1610)</f>
        <v/>
      </c>
      <c r="I1610" s="26">
        <f>E1610*G1610+F1610*H1610</f>
        <v/>
      </c>
    </row>
    <row r="1611">
      <c r="A1611" s="7" t="n">
        <v>1604</v>
      </c>
      <c r="B1611" s="26">
        <f>(A1611-1)/2000*$C$2</f>
        <v/>
      </c>
      <c r="C1611" s="7">
        <f>INDEX(Bits!$E$25:$E$124,INT(B1611)+1)</f>
        <v/>
      </c>
      <c r="D1611" s="7">
        <f>MAX(1,MIN(INT(B1611/$C$4)+1,$C$5))</f>
        <v/>
      </c>
      <c r="E1611" s="26">
        <f>IF($C$5=0,0,INDEX(Symboles!$G$6:$G$101,D1611))</f>
        <v/>
      </c>
      <c r="F1611" s="26">
        <f>IF($C$5=0,0,INDEX(Symboles!$H$6:$H$101,D1611))</f>
        <v/>
      </c>
      <c r="G1611" s="26">
        <f>COS(2*PI()*$C$3*B1611)</f>
        <v/>
      </c>
      <c r="H1611" s="26">
        <f>SIN(2*PI()*$C$3*B1611)</f>
        <v/>
      </c>
      <c r="I1611" s="26">
        <f>E1611*G1611+F1611*H1611</f>
        <v/>
      </c>
    </row>
    <row r="1612">
      <c r="A1612" s="7" t="n">
        <v>1605</v>
      </c>
      <c r="B1612" s="26">
        <f>(A1612-1)/2000*$C$2</f>
        <v/>
      </c>
      <c r="C1612" s="7">
        <f>INDEX(Bits!$E$25:$E$124,INT(B1612)+1)</f>
        <v/>
      </c>
      <c r="D1612" s="7">
        <f>MAX(1,MIN(INT(B1612/$C$4)+1,$C$5))</f>
        <v/>
      </c>
      <c r="E1612" s="26">
        <f>IF($C$5=0,0,INDEX(Symboles!$G$6:$G$101,D1612))</f>
        <v/>
      </c>
      <c r="F1612" s="26">
        <f>IF($C$5=0,0,INDEX(Symboles!$H$6:$H$101,D1612))</f>
        <v/>
      </c>
      <c r="G1612" s="26">
        <f>COS(2*PI()*$C$3*B1612)</f>
        <v/>
      </c>
      <c r="H1612" s="26">
        <f>SIN(2*PI()*$C$3*B1612)</f>
        <v/>
      </c>
      <c r="I1612" s="26">
        <f>E1612*G1612+F1612*H1612</f>
        <v/>
      </c>
    </row>
    <row r="1613">
      <c r="A1613" s="7" t="n">
        <v>1606</v>
      </c>
      <c r="B1613" s="26">
        <f>(A1613-1)/2000*$C$2</f>
        <v/>
      </c>
      <c r="C1613" s="7">
        <f>INDEX(Bits!$E$25:$E$124,INT(B1613)+1)</f>
        <v/>
      </c>
      <c r="D1613" s="7">
        <f>MAX(1,MIN(INT(B1613/$C$4)+1,$C$5))</f>
        <v/>
      </c>
      <c r="E1613" s="26">
        <f>IF($C$5=0,0,INDEX(Symboles!$G$6:$G$101,D1613))</f>
        <v/>
      </c>
      <c r="F1613" s="26">
        <f>IF($C$5=0,0,INDEX(Symboles!$H$6:$H$101,D1613))</f>
        <v/>
      </c>
      <c r="G1613" s="26">
        <f>COS(2*PI()*$C$3*B1613)</f>
        <v/>
      </c>
      <c r="H1613" s="26">
        <f>SIN(2*PI()*$C$3*B1613)</f>
        <v/>
      </c>
      <c r="I1613" s="26">
        <f>E1613*G1613+F1613*H1613</f>
        <v/>
      </c>
    </row>
    <row r="1614">
      <c r="A1614" s="7" t="n">
        <v>1607</v>
      </c>
      <c r="B1614" s="26">
        <f>(A1614-1)/2000*$C$2</f>
        <v/>
      </c>
      <c r="C1614" s="7">
        <f>INDEX(Bits!$E$25:$E$124,INT(B1614)+1)</f>
        <v/>
      </c>
      <c r="D1614" s="7">
        <f>MAX(1,MIN(INT(B1614/$C$4)+1,$C$5))</f>
        <v/>
      </c>
      <c r="E1614" s="26">
        <f>IF($C$5=0,0,INDEX(Symboles!$G$6:$G$101,D1614))</f>
        <v/>
      </c>
      <c r="F1614" s="26">
        <f>IF($C$5=0,0,INDEX(Symboles!$H$6:$H$101,D1614))</f>
        <v/>
      </c>
      <c r="G1614" s="26">
        <f>COS(2*PI()*$C$3*B1614)</f>
        <v/>
      </c>
      <c r="H1614" s="26">
        <f>SIN(2*PI()*$C$3*B1614)</f>
        <v/>
      </c>
      <c r="I1614" s="26">
        <f>E1614*G1614+F1614*H1614</f>
        <v/>
      </c>
    </row>
    <row r="1615">
      <c r="A1615" s="7" t="n">
        <v>1608</v>
      </c>
      <c r="B1615" s="26">
        <f>(A1615-1)/2000*$C$2</f>
        <v/>
      </c>
      <c r="C1615" s="7">
        <f>INDEX(Bits!$E$25:$E$124,INT(B1615)+1)</f>
        <v/>
      </c>
      <c r="D1615" s="7">
        <f>MAX(1,MIN(INT(B1615/$C$4)+1,$C$5))</f>
        <v/>
      </c>
      <c r="E1615" s="26">
        <f>IF($C$5=0,0,INDEX(Symboles!$G$6:$G$101,D1615))</f>
        <v/>
      </c>
      <c r="F1615" s="26">
        <f>IF($C$5=0,0,INDEX(Symboles!$H$6:$H$101,D1615))</f>
        <v/>
      </c>
      <c r="G1615" s="26">
        <f>COS(2*PI()*$C$3*B1615)</f>
        <v/>
      </c>
      <c r="H1615" s="26">
        <f>SIN(2*PI()*$C$3*B1615)</f>
        <v/>
      </c>
      <c r="I1615" s="26">
        <f>E1615*G1615+F1615*H1615</f>
        <v/>
      </c>
    </row>
    <row r="1616">
      <c r="A1616" s="7" t="n">
        <v>1609</v>
      </c>
      <c r="B1616" s="26">
        <f>(A1616-1)/2000*$C$2</f>
        <v/>
      </c>
      <c r="C1616" s="7">
        <f>INDEX(Bits!$E$25:$E$124,INT(B1616)+1)</f>
        <v/>
      </c>
      <c r="D1616" s="7">
        <f>MAX(1,MIN(INT(B1616/$C$4)+1,$C$5))</f>
        <v/>
      </c>
      <c r="E1616" s="26">
        <f>IF($C$5=0,0,INDEX(Symboles!$G$6:$G$101,D1616))</f>
        <v/>
      </c>
      <c r="F1616" s="26">
        <f>IF($C$5=0,0,INDEX(Symboles!$H$6:$H$101,D1616))</f>
        <v/>
      </c>
      <c r="G1616" s="26">
        <f>COS(2*PI()*$C$3*B1616)</f>
        <v/>
      </c>
      <c r="H1616" s="26">
        <f>SIN(2*PI()*$C$3*B1616)</f>
        <v/>
      </c>
      <c r="I1616" s="26">
        <f>E1616*G1616+F1616*H1616</f>
        <v/>
      </c>
    </row>
    <row r="1617">
      <c r="A1617" s="7" t="n">
        <v>1610</v>
      </c>
      <c r="B1617" s="26">
        <f>(A1617-1)/2000*$C$2</f>
        <v/>
      </c>
      <c r="C1617" s="7">
        <f>INDEX(Bits!$E$25:$E$124,INT(B1617)+1)</f>
        <v/>
      </c>
      <c r="D1617" s="7">
        <f>MAX(1,MIN(INT(B1617/$C$4)+1,$C$5))</f>
        <v/>
      </c>
      <c r="E1617" s="26">
        <f>IF($C$5=0,0,INDEX(Symboles!$G$6:$G$101,D1617))</f>
        <v/>
      </c>
      <c r="F1617" s="26">
        <f>IF($C$5=0,0,INDEX(Symboles!$H$6:$H$101,D1617))</f>
        <v/>
      </c>
      <c r="G1617" s="26">
        <f>COS(2*PI()*$C$3*B1617)</f>
        <v/>
      </c>
      <c r="H1617" s="26">
        <f>SIN(2*PI()*$C$3*B1617)</f>
        <v/>
      </c>
      <c r="I1617" s="26">
        <f>E1617*G1617+F1617*H1617</f>
        <v/>
      </c>
    </row>
    <row r="1618">
      <c r="A1618" s="7" t="n">
        <v>1611</v>
      </c>
      <c r="B1618" s="26">
        <f>(A1618-1)/2000*$C$2</f>
        <v/>
      </c>
      <c r="C1618" s="7">
        <f>INDEX(Bits!$E$25:$E$124,INT(B1618)+1)</f>
        <v/>
      </c>
      <c r="D1618" s="7">
        <f>MAX(1,MIN(INT(B1618/$C$4)+1,$C$5))</f>
        <v/>
      </c>
      <c r="E1618" s="26">
        <f>IF($C$5=0,0,INDEX(Symboles!$G$6:$G$101,D1618))</f>
        <v/>
      </c>
      <c r="F1618" s="26">
        <f>IF($C$5=0,0,INDEX(Symboles!$H$6:$H$101,D1618))</f>
        <v/>
      </c>
      <c r="G1618" s="26">
        <f>COS(2*PI()*$C$3*B1618)</f>
        <v/>
      </c>
      <c r="H1618" s="26">
        <f>SIN(2*PI()*$C$3*B1618)</f>
        <v/>
      </c>
      <c r="I1618" s="26">
        <f>E1618*G1618+F1618*H1618</f>
        <v/>
      </c>
    </row>
    <row r="1619">
      <c r="A1619" s="7" t="n">
        <v>1612</v>
      </c>
      <c r="B1619" s="26">
        <f>(A1619-1)/2000*$C$2</f>
        <v/>
      </c>
      <c r="C1619" s="7">
        <f>INDEX(Bits!$E$25:$E$124,INT(B1619)+1)</f>
        <v/>
      </c>
      <c r="D1619" s="7">
        <f>MAX(1,MIN(INT(B1619/$C$4)+1,$C$5))</f>
        <v/>
      </c>
      <c r="E1619" s="26">
        <f>IF($C$5=0,0,INDEX(Symboles!$G$6:$G$101,D1619))</f>
        <v/>
      </c>
      <c r="F1619" s="26">
        <f>IF($C$5=0,0,INDEX(Symboles!$H$6:$H$101,D1619))</f>
        <v/>
      </c>
      <c r="G1619" s="26">
        <f>COS(2*PI()*$C$3*B1619)</f>
        <v/>
      </c>
      <c r="H1619" s="26">
        <f>SIN(2*PI()*$C$3*B1619)</f>
        <v/>
      </c>
      <c r="I1619" s="26">
        <f>E1619*G1619+F1619*H1619</f>
        <v/>
      </c>
    </row>
    <row r="1620">
      <c r="A1620" s="7" t="n">
        <v>1613</v>
      </c>
      <c r="B1620" s="26">
        <f>(A1620-1)/2000*$C$2</f>
        <v/>
      </c>
      <c r="C1620" s="7">
        <f>INDEX(Bits!$E$25:$E$124,INT(B1620)+1)</f>
        <v/>
      </c>
      <c r="D1620" s="7">
        <f>MAX(1,MIN(INT(B1620/$C$4)+1,$C$5))</f>
        <v/>
      </c>
      <c r="E1620" s="26">
        <f>IF($C$5=0,0,INDEX(Symboles!$G$6:$G$101,D1620))</f>
        <v/>
      </c>
      <c r="F1620" s="26">
        <f>IF($C$5=0,0,INDEX(Symboles!$H$6:$H$101,D1620))</f>
        <v/>
      </c>
      <c r="G1620" s="26">
        <f>COS(2*PI()*$C$3*B1620)</f>
        <v/>
      </c>
      <c r="H1620" s="26">
        <f>SIN(2*PI()*$C$3*B1620)</f>
        <v/>
      </c>
      <c r="I1620" s="26">
        <f>E1620*G1620+F1620*H1620</f>
        <v/>
      </c>
    </row>
    <row r="1621">
      <c r="A1621" s="7" t="n">
        <v>1614</v>
      </c>
      <c r="B1621" s="26">
        <f>(A1621-1)/2000*$C$2</f>
        <v/>
      </c>
      <c r="C1621" s="7">
        <f>INDEX(Bits!$E$25:$E$124,INT(B1621)+1)</f>
        <v/>
      </c>
      <c r="D1621" s="7">
        <f>MAX(1,MIN(INT(B1621/$C$4)+1,$C$5))</f>
        <v/>
      </c>
      <c r="E1621" s="26">
        <f>IF($C$5=0,0,INDEX(Symboles!$G$6:$G$101,D1621))</f>
        <v/>
      </c>
      <c r="F1621" s="26">
        <f>IF($C$5=0,0,INDEX(Symboles!$H$6:$H$101,D1621))</f>
        <v/>
      </c>
      <c r="G1621" s="26">
        <f>COS(2*PI()*$C$3*B1621)</f>
        <v/>
      </c>
      <c r="H1621" s="26">
        <f>SIN(2*PI()*$C$3*B1621)</f>
        <v/>
      </c>
      <c r="I1621" s="26">
        <f>E1621*G1621+F1621*H1621</f>
        <v/>
      </c>
    </row>
    <row r="1622">
      <c r="A1622" s="7" t="n">
        <v>1615</v>
      </c>
      <c r="B1622" s="26">
        <f>(A1622-1)/2000*$C$2</f>
        <v/>
      </c>
      <c r="C1622" s="7">
        <f>INDEX(Bits!$E$25:$E$124,INT(B1622)+1)</f>
        <v/>
      </c>
      <c r="D1622" s="7">
        <f>MAX(1,MIN(INT(B1622/$C$4)+1,$C$5))</f>
        <v/>
      </c>
      <c r="E1622" s="26">
        <f>IF($C$5=0,0,INDEX(Symboles!$G$6:$G$101,D1622))</f>
        <v/>
      </c>
      <c r="F1622" s="26">
        <f>IF($C$5=0,0,INDEX(Symboles!$H$6:$H$101,D1622))</f>
        <v/>
      </c>
      <c r="G1622" s="26">
        <f>COS(2*PI()*$C$3*B1622)</f>
        <v/>
      </c>
      <c r="H1622" s="26">
        <f>SIN(2*PI()*$C$3*B1622)</f>
        <v/>
      </c>
      <c r="I1622" s="26">
        <f>E1622*G1622+F1622*H1622</f>
        <v/>
      </c>
    </row>
    <row r="1623">
      <c r="A1623" s="7" t="n">
        <v>1616</v>
      </c>
      <c r="B1623" s="26">
        <f>(A1623-1)/2000*$C$2</f>
        <v/>
      </c>
      <c r="C1623" s="7">
        <f>INDEX(Bits!$E$25:$E$124,INT(B1623)+1)</f>
        <v/>
      </c>
      <c r="D1623" s="7">
        <f>MAX(1,MIN(INT(B1623/$C$4)+1,$C$5))</f>
        <v/>
      </c>
      <c r="E1623" s="26">
        <f>IF($C$5=0,0,INDEX(Symboles!$G$6:$G$101,D1623))</f>
        <v/>
      </c>
      <c r="F1623" s="26">
        <f>IF($C$5=0,0,INDEX(Symboles!$H$6:$H$101,D1623))</f>
        <v/>
      </c>
      <c r="G1623" s="26">
        <f>COS(2*PI()*$C$3*B1623)</f>
        <v/>
      </c>
      <c r="H1623" s="26">
        <f>SIN(2*PI()*$C$3*B1623)</f>
        <v/>
      </c>
      <c r="I1623" s="26">
        <f>E1623*G1623+F1623*H1623</f>
        <v/>
      </c>
    </row>
    <row r="1624">
      <c r="A1624" s="7" t="n">
        <v>1617</v>
      </c>
      <c r="B1624" s="26">
        <f>(A1624-1)/2000*$C$2</f>
        <v/>
      </c>
      <c r="C1624" s="7">
        <f>INDEX(Bits!$E$25:$E$124,INT(B1624)+1)</f>
        <v/>
      </c>
      <c r="D1624" s="7">
        <f>MAX(1,MIN(INT(B1624/$C$4)+1,$C$5))</f>
        <v/>
      </c>
      <c r="E1624" s="26">
        <f>IF($C$5=0,0,INDEX(Symboles!$G$6:$G$101,D1624))</f>
        <v/>
      </c>
      <c r="F1624" s="26">
        <f>IF($C$5=0,0,INDEX(Symboles!$H$6:$H$101,D1624))</f>
        <v/>
      </c>
      <c r="G1624" s="26">
        <f>COS(2*PI()*$C$3*B1624)</f>
        <v/>
      </c>
      <c r="H1624" s="26">
        <f>SIN(2*PI()*$C$3*B1624)</f>
        <v/>
      </c>
      <c r="I1624" s="26">
        <f>E1624*G1624+F1624*H1624</f>
        <v/>
      </c>
    </row>
    <row r="1625">
      <c r="A1625" s="7" t="n">
        <v>1618</v>
      </c>
      <c r="B1625" s="26">
        <f>(A1625-1)/2000*$C$2</f>
        <v/>
      </c>
      <c r="C1625" s="7">
        <f>INDEX(Bits!$E$25:$E$124,INT(B1625)+1)</f>
        <v/>
      </c>
      <c r="D1625" s="7">
        <f>MAX(1,MIN(INT(B1625/$C$4)+1,$C$5))</f>
        <v/>
      </c>
      <c r="E1625" s="26">
        <f>IF($C$5=0,0,INDEX(Symboles!$G$6:$G$101,D1625))</f>
        <v/>
      </c>
      <c r="F1625" s="26">
        <f>IF($C$5=0,0,INDEX(Symboles!$H$6:$H$101,D1625))</f>
        <v/>
      </c>
      <c r="G1625" s="26">
        <f>COS(2*PI()*$C$3*B1625)</f>
        <v/>
      </c>
      <c r="H1625" s="26">
        <f>SIN(2*PI()*$C$3*B1625)</f>
        <v/>
      </c>
      <c r="I1625" s="26">
        <f>E1625*G1625+F1625*H1625</f>
        <v/>
      </c>
    </row>
    <row r="1626">
      <c r="A1626" s="7" t="n">
        <v>1619</v>
      </c>
      <c r="B1626" s="26">
        <f>(A1626-1)/2000*$C$2</f>
        <v/>
      </c>
      <c r="C1626" s="7">
        <f>INDEX(Bits!$E$25:$E$124,INT(B1626)+1)</f>
        <v/>
      </c>
      <c r="D1626" s="7">
        <f>MAX(1,MIN(INT(B1626/$C$4)+1,$C$5))</f>
        <v/>
      </c>
      <c r="E1626" s="26">
        <f>IF($C$5=0,0,INDEX(Symboles!$G$6:$G$101,D1626))</f>
        <v/>
      </c>
      <c r="F1626" s="26">
        <f>IF($C$5=0,0,INDEX(Symboles!$H$6:$H$101,D1626))</f>
        <v/>
      </c>
      <c r="G1626" s="26">
        <f>COS(2*PI()*$C$3*B1626)</f>
        <v/>
      </c>
      <c r="H1626" s="26">
        <f>SIN(2*PI()*$C$3*B1626)</f>
        <v/>
      </c>
      <c r="I1626" s="26">
        <f>E1626*G1626+F1626*H1626</f>
        <v/>
      </c>
    </row>
    <row r="1627">
      <c r="A1627" s="7" t="n">
        <v>1620</v>
      </c>
      <c r="B1627" s="26">
        <f>(A1627-1)/2000*$C$2</f>
        <v/>
      </c>
      <c r="C1627" s="7">
        <f>INDEX(Bits!$E$25:$E$124,INT(B1627)+1)</f>
        <v/>
      </c>
      <c r="D1627" s="7">
        <f>MAX(1,MIN(INT(B1627/$C$4)+1,$C$5))</f>
        <v/>
      </c>
      <c r="E1627" s="26">
        <f>IF($C$5=0,0,INDEX(Symboles!$G$6:$G$101,D1627))</f>
        <v/>
      </c>
      <c r="F1627" s="26">
        <f>IF($C$5=0,0,INDEX(Symboles!$H$6:$H$101,D1627))</f>
        <v/>
      </c>
      <c r="G1627" s="26">
        <f>COS(2*PI()*$C$3*B1627)</f>
        <v/>
      </c>
      <c r="H1627" s="26">
        <f>SIN(2*PI()*$C$3*B1627)</f>
        <v/>
      </c>
      <c r="I1627" s="26">
        <f>E1627*G1627+F1627*H1627</f>
        <v/>
      </c>
    </row>
    <row r="1628">
      <c r="A1628" s="7" t="n">
        <v>1621</v>
      </c>
      <c r="B1628" s="26">
        <f>(A1628-1)/2000*$C$2</f>
        <v/>
      </c>
      <c r="C1628" s="7">
        <f>INDEX(Bits!$E$25:$E$124,INT(B1628)+1)</f>
        <v/>
      </c>
      <c r="D1628" s="7">
        <f>MAX(1,MIN(INT(B1628/$C$4)+1,$C$5))</f>
        <v/>
      </c>
      <c r="E1628" s="26">
        <f>IF($C$5=0,0,INDEX(Symboles!$G$6:$G$101,D1628))</f>
        <v/>
      </c>
      <c r="F1628" s="26">
        <f>IF($C$5=0,0,INDEX(Symboles!$H$6:$H$101,D1628))</f>
        <v/>
      </c>
      <c r="G1628" s="26">
        <f>COS(2*PI()*$C$3*B1628)</f>
        <v/>
      </c>
      <c r="H1628" s="26">
        <f>SIN(2*PI()*$C$3*B1628)</f>
        <v/>
      </c>
      <c r="I1628" s="26">
        <f>E1628*G1628+F1628*H1628</f>
        <v/>
      </c>
    </row>
    <row r="1629">
      <c r="A1629" s="7" t="n">
        <v>1622</v>
      </c>
      <c r="B1629" s="26">
        <f>(A1629-1)/2000*$C$2</f>
        <v/>
      </c>
      <c r="C1629" s="7">
        <f>INDEX(Bits!$E$25:$E$124,INT(B1629)+1)</f>
        <v/>
      </c>
      <c r="D1629" s="7">
        <f>MAX(1,MIN(INT(B1629/$C$4)+1,$C$5))</f>
        <v/>
      </c>
      <c r="E1629" s="26">
        <f>IF($C$5=0,0,INDEX(Symboles!$G$6:$G$101,D1629))</f>
        <v/>
      </c>
      <c r="F1629" s="26">
        <f>IF($C$5=0,0,INDEX(Symboles!$H$6:$H$101,D1629))</f>
        <v/>
      </c>
      <c r="G1629" s="26">
        <f>COS(2*PI()*$C$3*B1629)</f>
        <v/>
      </c>
      <c r="H1629" s="26">
        <f>SIN(2*PI()*$C$3*B1629)</f>
        <v/>
      </c>
      <c r="I1629" s="26">
        <f>E1629*G1629+F1629*H1629</f>
        <v/>
      </c>
    </row>
    <row r="1630">
      <c r="A1630" s="7" t="n">
        <v>1623</v>
      </c>
      <c r="B1630" s="26">
        <f>(A1630-1)/2000*$C$2</f>
        <v/>
      </c>
      <c r="C1630" s="7">
        <f>INDEX(Bits!$E$25:$E$124,INT(B1630)+1)</f>
        <v/>
      </c>
      <c r="D1630" s="7">
        <f>MAX(1,MIN(INT(B1630/$C$4)+1,$C$5))</f>
        <v/>
      </c>
      <c r="E1630" s="26">
        <f>IF($C$5=0,0,INDEX(Symboles!$G$6:$G$101,D1630))</f>
        <v/>
      </c>
      <c r="F1630" s="26">
        <f>IF($C$5=0,0,INDEX(Symboles!$H$6:$H$101,D1630))</f>
        <v/>
      </c>
      <c r="G1630" s="26">
        <f>COS(2*PI()*$C$3*B1630)</f>
        <v/>
      </c>
      <c r="H1630" s="26">
        <f>SIN(2*PI()*$C$3*B1630)</f>
        <v/>
      </c>
      <c r="I1630" s="26">
        <f>E1630*G1630+F1630*H1630</f>
        <v/>
      </c>
    </row>
    <row r="1631">
      <c r="A1631" s="7" t="n">
        <v>1624</v>
      </c>
      <c r="B1631" s="26">
        <f>(A1631-1)/2000*$C$2</f>
        <v/>
      </c>
      <c r="C1631" s="7">
        <f>INDEX(Bits!$E$25:$E$124,INT(B1631)+1)</f>
        <v/>
      </c>
      <c r="D1631" s="7">
        <f>MAX(1,MIN(INT(B1631/$C$4)+1,$C$5))</f>
        <v/>
      </c>
      <c r="E1631" s="26">
        <f>IF($C$5=0,0,INDEX(Symboles!$G$6:$G$101,D1631))</f>
        <v/>
      </c>
      <c r="F1631" s="26">
        <f>IF($C$5=0,0,INDEX(Symboles!$H$6:$H$101,D1631))</f>
        <v/>
      </c>
      <c r="G1631" s="26">
        <f>COS(2*PI()*$C$3*B1631)</f>
        <v/>
      </c>
      <c r="H1631" s="26">
        <f>SIN(2*PI()*$C$3*B1631)</f>
        <v/>
      </c>
      <c r="I1631" s="26">
        <f>E1631*G1631+F1631*H1631</f>
        <v/>
      </c>
    </row>
    <row r="1632">
      <c r="A1632" s="7" t="n">
        <v>1625</v>
      </c>
      <c r="B1632" s="26">
        <f>(A1632-1)/2000*$C$2</f>
        <v/>
      </c>
      <c r="C1632" s="7">
        <f>INDEX(Bits!$E$25:$E$124,INT(B1632)+1)</f>
        <v/>
      </c>
      <c r="D1632" s="7">
        <f>MAX(1,MIN(INT(B1632/$C$4)+1,$C$5))</f>
        <v/>
      </c>
      <c r="E1632" s="26">
        <f>IF($C$5=0,0,INDEX(Symboles!$G$6:$G$101,D1632))</f>
        <v/>
      </c>
      <c r="F1632" s="26">
        <f>IF($C$5=0,0,INDEX(Symboles!$H$6:$H$101,D1632))</f>
        <v/>
      </c>
      <c r="G1632" s="26">
        <f>COS(2*PI()*$C$3*B1632)</f>
        <v/>
      </c>
      <c r="H1632" s="26">
        <f>SIN(2*PI()*$C$3*B1632)</f>
        <v/>
      </c>
      <c r="I1632" s="26">
        <f>E1632*G1632+F1632*H1632</f>
        <v/>
      </c>
    </row>
    <row r="1633">
      <c r="A1633" s="7" t="n">
        <v>1626</v>
      </c>
      <c r="B1633" s="26">
        <f>(A1633-1)/2000*$C$2</f>
        <v/>
      </c>
      <c r="C1633" s="7">
        <f>INDEX(Bits!$E$25:$E$124,INT(B1633)+1)</f>
        <v/>
      </c>
      <c r="D1633" s="7">
        <f>MAX(1,MIN(INT(B1633/$C$4)+1,$C$5))</f>
        <v/>
      </c>
      <c r="E1633" s="26">
        <f>IF($C$5=0,0,INDEX(Symboles!$G$6:$G$101,D1633))</f>
        <v/>
      </c>
      <c r="F1633" s="26">
        <f>IF($C$5=0,0,INDEX(Symboles!$H$6:$H$101,D1633))</f>
        <v/>
      </c>
      <c r="G1633" s="26">
        <f>COS(2*PI()*$C$3*B1633)</f>
        <v/>
      </c>
      <c r="H1633" s="26">
        <f>SIN(2*PI()*$C$3*B1633)</f>
        <v/>
      </c>
      <c r="I1633" s="26">
        <f>E1633*G1633+F1633*H1633</f>
        <v/>
      </c>
    </row>
    <row r="1634">
      <c r="A1634" s="7" t="n">
        <v>1627</v>
      </c>
      <c r="B1634" s="26">
        <f>(A1634-1)/2000*$C$2</f>
        <v/>
      </c>
      <c r="C1634" s="7">
        <f>INDEX(Bits!$E$25:$E$124,INT(B1634)+1)</f>
        <v/>
      </c>
      <c r="D1634" s="7">
        <f>MAX(1,MIN(INT(B1634/$C$4)+1,$C$5))</f>
        <v/>
      </c>
      <c r="E1634" s="26">
        <f>IF($C$5=0,0,INDEX(Symboles!$G$6:$G$101,D1634))</f>
        <v/>
      </c>
      <c r="F1634" s="26">
        <f>IF($C$5=0,0,INDEX(Symboles!$H$6:$H$101,D1634))</f>
        <v/>
      </c>
      <c r="G1634" s="26">
        <f>COS(2*PI()*$C$3*B1634)</f>
        <v/>
      </c>
      <c r="H1634" s="26">
        <f>SIN(2*PI()*$C$3*B1634)</f>
        <v/>
      </c>
      <c r="I1634" s="26">
        <f>E1634*G1634+F1634*H1634</f>
        <v/>
      </c>
    </row>
    <row r="1635">
      <c r="A1635" s="7" t="n">
        <v>1628</v>
      </c>
      <c r="B1635" s="26">
        <f>(A1635-1)/2000*$C$2</f>
        <v/>
      </c>
      <c r="C1635" s="7">
        <f>INDEX(Bits!$E$25:$E$124,INT(B1635)+1)</f>
        <v/>
      </c>
      <c r="D1635" s="7">
        <f>MAX(1,MIN(INT(B1635/$C$4)+1,$C$5))</f>
        <v/>
      </c>
      <c r="E1635" s="26">
        <f>IF($C$5=0,0,INDEX(Symboles!$G$6:$G$101,D1635))</f>
        <v/>
      </c>
      <c r="F1635" s="26">
        <f>IF($C$5=0,0,INDEX(Symboles!$H$6:$H$101,D1635))</f>
        <v/>
      </c>
      <c r="G1635" s="26">
        <f>COS(2*PI()*$C$3*B1635)</f>
        <v/>
      </c>
      <c r="H1635" s="26">
        <f>SIN(2*PI()*$C$3*B1635)</f>
        <v/>
      </c>
      <c r="I1635" s="26">
        <f>E1635*G1635+F1635*H1635</f>
        <v/>
      </c>
    </row>
    <row r="1636">
      <c r="A1636" s="7" t="n">
        <v>1629</v>
      </c>
      <c r="B1636" s="26">
        <f>(A1636-1)/2000*$C$2</f>
        <v/>
      </c>
      <c r="C1636" s="7">
        <f>INDEX(Bits!$E$25:$E$124,INT(B1636)+1)</f>
        <v/>
      </c>
      <c r="D1636" s="7">
        <f>MAX(1,MIN(INT(B1636/$C$4)+1,$C$5))</f>
        <v/>
      </c>
      <c r="E1636" s="26">
        <f>IF($C$5=0,0,INDEX(Symboles!$G$6:$G$101,D1636))</f>
        <v/>
      </c>
      <c r="F1636" s="26">
        <f>IF($C$5=0,0,INDEX(Symboles!$H$6:$H$101,D1636))</f>
        <v/>
      </c>
      <c r="G1636" s="26">
        <f>COS(2*PI()*$C$3*B1636)</f>
        <v/>
      </c>
      <c r="H1636" s="26">
        <f>SIN(2*PI()*$C$3*B1636)</f>
        <v/>
      </c>
      <c r="I1636" s="26">
        <f>E1636*G1636+F1636*H1636</f>
        <v/>
      </c>
    </row>
    <row r="1637">
      <c r="A1637" s="7" t="n">
        <v>1630</v>
      </c>
      <c r="B1637" s="26">
        <f>(A1637-1)/2000*$C$2</f>
        <v/>
      </c>
      <c r="C1637" s="7">
        <f>INDEX(Bits!$E$25:$E$124,INT(B1637)+1)</f>
        <v/>
      </c>
      <c r="D1637" s="7">
        <f>MAX(1,MIN(INT(B1637/$C$4)+1,$C$5))</f>
        <v/>
      </c>
      <c r="E1637" s="26">
        <f>IF($C$5=0,0,INDEX(Symboles!$G$6:$G$101,D1637))</f>
        <v/>
      </c>
      <c r="F1637" s="26">
        <f>IF($C$5=0,0,INDEX(Symboles!$H$6:$H$101,D1637))</f>
        <v/>
      </c>
      <c r="G1637" s="26">
        <f>COS(2*PI()*$C$3*B1637)</f>
        <v/>
      </c>
      <c r="H1637" s="26">
        <f>SIN(2*PI()*$C$3*B1637)</f>
        <v/>
      </c>
      <c r="I1637" s="26">
        <f>E1637*G1637+F1637*H1637</f>
        <v/>
      </c>
    </row>
    <row r="1638">
      <c r="A1638" s="7" t="n">
        <v>1631</v>
      </c>
      <c r="B1638" s="26">
        <f>(A1638-1)/2000*$C$2</f>
        <v/>
      </c>
      <c r="C1638" s="7">
        <f>INDEX(Bits!$E$25:$E$124,INT(B1638)+1)</f>
        <v/>
      </c>
      <c r="D1638" s="7">
        <f>MAX(1,MIN(INT(B1638/$C$4)+1,$C$5))</f>
        <v/>
      </c>
      <c r="E1638" s="26">
        <f>IF($C$5=0,0,INDEX(Symboles!$G$6:$G$101,D1638))</f>
        <v/>
      </c>
      <c r="F1638" s="26">
        <f>IF($C$5=0,0,INDEX(Symboles!$H$6:$H$101,D1638))</f>
        <v/>
      </c>
      <c r="G1638" s="26">
        <f>COS(2*PI()*$C$3*B1638)</f>
        <v/>
      </c>
      <c r="H1638" s="26">
        <f>SIN(2*PI()*$C$3*B1638)</f>
        <v/>
      </c>
      <c r="I1638" s="26">
        <f>E1638*G1638+F1638*H1638</f>
        <v/>
      </c>
    </row>
    <row r="1639">
      <c r="A1639" s="7" t="n">
        <v>1632</v>
      </c>
      <c r="B1639" s="26">
        <f>(A1639-1)/2000*$C$2</f>
        <v/>
      </c>
      <c r="C1639" s="7">
        <f>INDEX(Bits!$E$25:$E$124,INT(B1639)+1)</f>
        <v/>
      </c>
      <c r="D1639" s="7">
        <f>MAX(1,MIN(INT(B1639/$C$4)+1,$C$5))</f>
        <v/>
      </c>
      <c r="E1639" s="26">
        <f>IF($C$5=0,0,INDEX(Symboles!$G$6:$G$101,D1639))</f>
        <v/>
      </c>
      <c r="F1639" s="26">
        <f>IF($C$5=0,0,INDEX(Symboles!$H$6:$H$101,D1639))</f>
        <v/>
      </c>
      <c r="G1639" s="26">
        <f>COS(2*PI()*$C$3*B1639)</f>
        <v/>
      </c>
      <c r="H1639" s="26">
        <f>SIN(2*PI()*$C$3*B1639)</f>
        <v/>
      </c>
      <c r="I1639" s="26">
        <f>E1639*G1639+F1639*H1639</f>
        <v/>
      </c>
    </row>
    <row r="1640">
      <c r="A1640" s="7" t="n">
        <v>1633</v>
      </c>
      <c r="B1640" s="26">
        <f>(A1640-1)/2000*$C$2</f>
        <v/>
      </c>
      <c r="C1640" s="7">
        <f>INDEX(Bits!$E$25:$E$124,INT(B1640)+1)</f>
        <v/>
      </c>
      <c r="D1640" s="7">
        <f>MAX(1,MIN(INT(B1640/$C$4)+1,$C$5))</f>
        <v/>
      </c>
      <c r="E1640" s="26">
        <f>IF($C$5=0,0,INDEX(Symboles!$G$6:$G$101,D1640))</f>
        <v/>
      </c>
      <c r="F1640" s="26">
        <f>IF($C$5=0,0,INDEX(Symboles!$H$6:$H$101,D1640))</f>
        <v/>
      </c>
      <c r="G1640" s="26">
        <f>COS(2*PI()*$C$3*B1640)</f>
        <v/>
      </c>
      <c r="H1640" s="26">
        <f>SIN(2*PI()*$C$3*B1640)</f>
        <v/>
      </c>
      <c r="I1640" s="26">
        <f>E1640*G1640+F1640*H1640</f>
        <v/>
      </c>
    </row>
    <row r="1641">
      <c r="A1641" s="7" t="n">
        <v>1634</v>
      </c>
      <c r="B1641" s="26">
        <f>(A1641-1)/2000*$C$2</f>
        <v/>
      </c>
      <c r="C1641" s="7">
        <f>INDEX(Bits!$E$25:$E$124,INT(B1641)+1)</f>
        <v/>
      </c>
      <c r="D1641" s="7">
        <f>MAX(1,MIN(INT(B1641/$C$4)+1,$C$5))</f>
        <v/>
      </c>
      <c r="E1641" s="26">
        <f>IF($C$5=0,0,INDEX(Symboles!$G$6:$G$101,D1641))</f>
        <v/>
      </c>
      <c r="F1641" s="26">
        <f>IF($C$5=0,0,INDEX(Symboles!$H$6:$H$101,D1641))</f>
        <v/>
      </c>
      <c r="G1641" s="26">
        <f>COS(2*PI()*$C$3*B1641)</f>
        <v/>
      </c>
      <c r="H1641" s="26">
        <f>SIN(2*PI()*$C$3*B1641)</f>
        <v/>
      </c>
      <c r="I1641" s="26">
        <f>E1641*G1641+F1641*H1641</f>
        <v/>
      </c>
    </row>
    <row r="1642">
      <c r="A1642" s="7" t="n">
        <v>1635</v>
      </c>
      <c r="B1642" s="26">
        <f>(A1642-1)/2000*$C$2</f>
        <v/>
      </c>
      <c r="C1642" s="7">
        <f>INDEX(Bits!$E$25:$E$124,INT(B1642)+1)</f>
        <v/>
      </c>
      <c r="D1642" s="7">
        <f>MAX(1,MIN(INT(B1642/$C$4)+1,$C$5))</f>
        <v/>
      </c>
      <c r="E1642" s="26">
        <f>IF($C$5=0,0,INDEX(Symboles!$G$6:$G$101,D1642))</f>
        <v/>
      </c>
      <c r="F1642" s="26">
        <f>IF($C$5=0,0,INDEX(Symboles!$H$6:$H$101,D1642))</f>
        <v/>
      </c>
      <c r="G1642" s="26">
        <f>COS(2*PI()*$C$3*B1642)</f>
        <v/>
      </c>
      <c r="H1642" s="26">
        <f>SIN(2*PI()*$C$3*B1642)</f>
        <v/>
      </c>
      <c r="I1642" s="26">
        <f>E1642*G1642+F1642*H1642</f>
        <v/>
      </c>
    </row>
    <row r="1643">
      <c r="A1643" s="7" t="n">
        <v>1636</v>
      </c>
      <c r="B1643" s="26">
        <f>(A1643-1)/2000*$C$2</f>
        <v/>
      </c>
      <c r="C1643" s="7">
        <f>INDEX(Bits!$E$25:$E$124,INT(B1643)+1)</f>
        <v/>
      </c>
      <c r="D1643" s="7">
        <f>MAX(1,MIN(INT(B1643/$C$4)+1,$C$5))</f>
        <v/>
      </c>
      <c r="E1643" s="26">
        <f>IF($C$5=0,0,INDEX(Symboles!$G$6:$G$101,D1643))</f>
        <v/>
      </c>
      <c r="F1643" s="26">
        <f>IF($C$5=0,0,INDEX(Symboles!$H$6:$H$101,D1643))</f>
        <v/>
      </c>
      <c r="G1643" s="26">
        <f>COS(2*PI()*$C$3*B1643)</f>
        <v/>
      </c>
      <c r="H1643" s="26">
        <f>SIN(2*PI()*$C$3*B1643)</f>
        <v/>
      </c>
      <c r="I1643" s="26">
        <f>E1643*G1643+F1643*H1643</f>
        <v/>
      </c>
    </row>
    <row r="1644">
      <c r="A1644" s="7" t="n">
        <v>1637</v>
      </c>
      <c r="B1644" s="26">
        <f>(A1644-1)/2000*$C$2</f>
        <v/>
      </c>
      <c r="C1644" s="7">
        <f>INDEX(Bits!$E$25:$E$124,INT(B1644)+1)</f>
        <v/>
      </c>
      <c r="D1644" s="7">
        <f>MAX(1,MIN(INT(B1644/$C$4)+1,$C$5))</f>
        <v/>
      </c>
      <c r="E1644" s="26">
        <f>IF($C$5=0,0,INDEX(Symboles!$G$6:$G$101,D1644))</f>
        <v/>
      </c>
      <c r="F1644" s="26">
        <f>IF($C$5=0,0,INDEX(Symboles!$H$6:$H$101,D1644))</f>
        <v/>
      </c>
      <c r="G1644" s="26">
        <f>COS(2*PI()*$C$3*B1644)</f>
        <v/>
      </c>
      <c r="H1644" s="26">
        <f>SIN(2*PI()*$C$3*B1644)</f>
        <v/>
      </c>
      <c r="I1644" s="26">
        <f>E1644*G1644+F1644*H1644</f>
        <v/>
      </c>
    </row>
    <row r="1645">
      <c r="A1645" s="7" t="n">
        <v>1638</v>
      </c>
      <c r="B1645" s="26">
        <f>(A1645-1)/2000*$C$2</f>
        <v/>
      </c>
      <c r="C1645" s="7">
        <f>INDEX(Bits!$E$25:$E$124,INT(B1645)+1)</f>
        <v/>
      </c>
      <c r="D1645" s="7">
        <f>MAX(1,MIN(INT(B1645/$C$4)+1,$C$5))</f>
        <v/>
      </c>
      <c r="E1645" s="26">
        <f>IF($C$5=0,0,INDEX(Symboles!$G$6:$G$101,D1645))</f>
        <v/>
      </c>
      <c r="F1645" s="26">
        <f>IF($C$5=0,0,INDEX(Symboles!$H$6:$H$101,D1645))</f>
        <v/>
      </c>
      <c r="G1645" s="26">
        <f>COS(2*PI()*$C$3*B1645)</f>
        <v/>
      </c>
      <c r="H1645" s="26">
        <f>SIN(2*PI()*$C$3*B1645)</f>
        <v/>
      </c>
      <c r="I1645" s="26">
        <f>E1645*G1645+F1645*H1645</f>
        <v/>
      </c>
    </row>
    <row r="1646">
      <c r="A1646" s="7" t="n">
        <v>1639</v>
      </c>
      <c r="B1646" s="26">
        <f>(A1646-1)/2000*$C$2</f>
        <v/>
      </c>
      <c r="C1646" s="7">
        <f>INDEX(Bits!$E$25:$E$124,INT(B1646)+1)</f>
        <v/>
      </c>
      <c r="D1646" s="7">
        <f>MAX(1,MIN(INT(B1646/$C$4)+1,$C$5))</f>
        <v/>
      </c>
      <c r="E1646" s="26">
        <f>IF($C$5=0,0,INDEX(Symboles!$G$6:$G$101,D1646))</f>
        <v/>
      </c>
      <c r="F1646" s="26">
        <f>IF($C$5=0,0,INDEX(Symboles!$H$6:$H$101,D1646))</f>
        <v/>
      </c>
      <c r="G1646" s="26">
        <f>COS(2*PI()*$C$3*B1646)</f>
        <v/>
      </c>
      <c r="H1646" s="26">
        <f>SIN(2*PI()*$C$3*B1646)</f>
        <v/>
      </c>
      <c r="I1646" s="26">
        <f>E1646*G1646+F1646*H1646</f>
        <v/>
      </c>
    </row>
    <row r="1647">
      <c r="A1647" s="7" t="n">
        <v>1640</v>
      </c>
      <c r="B1647" s="26">
        <f>(A1647-1)/2000*$C$2</f>
        <v/>
      </c>
      <c r="C1647" s="7">
        <f>INDEX(Bits!$E$25:$E$124,INT(B1647)+1)</f>
        <v/>
      </c>
      <c r="D1647" s="7">
        <f>MAX(1,MIN(INT(B1647/$C$4)+1,$C$5))</f>
        <v/>
      </c>
      <c r="E1647" s="26">
        <f>IF($C$5=0,0,INDEX(Symboles!$G$6:$G$101,D1647))</f>
        <v/>
      </c>
      <c r="F1647" s="26">
        <f>IF($C$5=0,0,INDEX(Symboles!$H$6:$H$101,D1647))</f>
        <v/>
      </c>
      <c r="G1647" s="26">
        <f>COS(2*PI()*$C$3*B1647)</f>
        <v/>
      </c>
      <c r="H1647" s="26">
        <f>SIN(2*PI()*$C$3*B1647)</f>
        <v/>
      </c>
      <c r="I1647" s="26">
        <f>E1647*G1647+F1647*H1647</f>
        <v/>
      </c>
    </row>
    <row r="1648">
      <c r="A1648" s="7" t="n">
        <v>1641</v>
      </c>
      <c r="B1648" s="26">
        <f>(A1648-1)/2000*$C$2</f>
        <v/>
      </c>
      <c r="C1648" s="7">
        <f>INDEX(Bits!$E$25:$E$124,INT(B1648)+1)</f>
        <v/>
      </c>
      <c r="D1648" s="7">
        <f>MAX(1,MIN(INT(B1648/$C$4)+1,$C$5))</f>
        <v/>
      </c>
      <c r="E1648" s="26">
        <f>IF($C$5=0,0,INDEX(Symboles!$G$6:$G$101,D1648))</f>
        <v/>
      </c>
      <c r="F1648" s="26">
        <f>IF($C$5=0,0,INDEX(Symboles!$H$6:$H$101,D1648))</f>
        <v/>
      </c>
      <c r="G1648" s="26">
        <f>COS(2*PI()*$C$3*B1648)</f>
        <v/>
      </c>
      <c r="H1648" s="26">
        <f>SIN(2*PI()*$C$3*B1648)</f>
        <v/>
      </c>
      <c r="I1648" s="26">
        <f>E1648*G1648+F1648*H1648</f>
        <v/>
      </c>
    </row>
    <row r="1649">
      <c r="A1649" s="7" t="n">
        <v>1642</v>
      </c>
      <c r="B1649" s="26">
        <f>(A1649-1)/2000*$C$2</f>
        <v/>
      </c>
      <c r="C1649" s="7">
        <f>INDEX(Bits!$E$25:$E$124,INT(B1649)+1)</f>
        <v/>
      </c>
      <c r="D1649" s="7">
        <f>MAX(1,MIN(INT(B1649/$C$4)+1,$C$5))</f>
        <v/>
      </c>
      <c r="E1649" s="26">
        <f>IF($C$5=0,0,INDEX(Symboles!$G$6:$G$101,D1649))</f>
        <v/>
      </c>
      <c r="F1649" s="26">
        <f>IF($C$5=0,0,INDEX(Symboles!$H$6:$H$101,D1649))</f>
        <v/>
      </c>
      <c r="G1649" s="26">
        <f>COS(2*PI()*$C$3*B1649)</f>
        <v/>
      </c>
      <c r="H1649" s="26">
        <f>SIN(2*PI()*$C$3*B1649)</f>
        <v/>
      </c>
      <c r="I1649" s="26">
        <f>E1649*G1649+F1649*H1649</f>
        <v/>
      </c>
    </row>
    <row r="1650">
      <c r="A1650" s="7" t="n">
        <v>1643</v>
      </c>
      <c r="B1650" s="26">
        <f>(A1650-1)/2000*$C$2</f>
        <v/>
      </c>
      <c r="C1650" s="7">
        <f>INDEX(Bits!$E$25:$E$124,INT(B1650)+1)</f>
        <v/>
      </c>
      <c r="D1650" s="7">
        <f>MAX(1,MIN(INT(B1650/$C$4)+1,$C$5))</f>
        <v/>
      </c>
      <c r="E1650" s="26">
        <f>IF($C$5=0,0,INDEX(Symboles!$G$6:$G$101,D1650))</f>
        <v/>
      </c>
      <c r="F1650" s="26">
        <f>IF($C$5=0,0,INDEX(Symboles!$H$6:$H$101,D1650))</f>
        <v/>
      </c>
      <c r="G1650" s="26">
        <f>COS(2*PI()*$C$3*B1650)</f>
        <v/>
      </c>
      <c r="H1650" s="26">
        <f>SIN(2*PI()*$C$3*B1650)</f>
        <v/>
      </c>
      <c r="I1650" s="26">
        <f>E1650*G1650+F1650*H1650</f>
        <v/>
      </c>
    </row>
    <row r="1651">
      <c r="A1651" s="7" t="n">
        <v>1644</v>
      </c>
      <c r="B1651" s="26">
        <f>(A1651-1)/2000*$C$2</f>
        <v/>
      </c>
      <c r="C1651" s="7">
        <f>INDEX(Bits!$E$25:$E$124,INT(B1651)+1)</f>
        <v/>
      </c>
      <c r="D1651" s="7">
        <f>MAX(1,MIN(INT(B1651/$C$4)+1,$C$5))</f>
        <v/>
      </c>
      <c r="E1651" s="26">
        <f>IF($C$5=0,0,INDEX(Symboles!$G$6:$G$101,D1651))</f>
        <v/>
      </c>
      <c r="F1651" s="26">
        <f>IF($C$5=0,0,INDEX(Symboles!$H$6:$H$101,D1651))</f>
        <v/>
      </c>
      <c r="G1651" s="26">
        <f>COS(2*PI()*$C$3*B1651)</f>
        <v/>
      </c>
      <c r="H1651" s="26">
        <f>SIN(2*PI()*$C$3*B1651)</f>
        <v/>
      </c>
      <c r="I1651" s="26">
        <f>E1651*G1651+F1651*H1651</f>
        <v/>
      </c>
    </row>
    <row r="1652">
      <c r="A1652" s="7" t="n">
        <v>1645</v>
      </c>
      <c r="B1652" s="26">
        <f>(A1652-1)/2000*$C$2</f>
        <v/>
      </c>
      <c r="C1652" s="7">
        <f>INDEX(Bits!$E$25:$E$124,INT(B1652)+1)</f>
        <v/>
      </c>
      <c r="D1652" s="7">
        <f>MAX(1,MIN(INT(B1652/$C$4)+1,$C$5))</f>
        <v/>
      </c>
      <c r="E1652" s="26">
        <f>IF($C$5=0,0,INDEX(Symboles!$G$6:$G$101,D1652))</f>
        <v/>
      </c>
      <c r="F1652" s="26">
        <f>IF($C$5=0,0,INDEX(Symboles!$H$6:$H$101,D1652))</f>
        <v/>
      </c>
      <c r="G1652" s="26">
        <f>COS(2*PI()*$C$3*B1652)</f>
        <v/>
      </c>
      <c r="H1652" s="26">
        <f>SIN(2*PI()*$C$3*B1652)</f>
        <v/>
      </c>
      <c r="I1652" s="26">
        <f>E1652*G1652+F1652*H1652</f>
        <v/>
      </c>
    </row>
    <row r="1653">
      <c r="A1653" s="7" t="n">
        <v>1646</v>
      </c>
      <c r="B1653" s="26">
        <f>(A1653-1)/2000*$C$2</f>
        <v/>
      </c>
      <c r="C1653" s="7">
        <f>INDEX(Bits!$E$25:$E$124,INT(B1653)+1)</f>
        <v/>
      </c>
      <c r="D1653" s="7">
        <f>MAX(1,MIN(INT(B1653/$C$4)+1,$C$5))</f>
        <v/>
      </c>
      <c r="E1653" s="26">
        <f>IF($C$5=0,0,INDEX(Symboles!$G$6:$G$101,D1653))</f>
        <v/>
      </c>
      <c r="F1653" s="26">
        <f>IF($C$5=0,0,INDEX(Symboles!$H$6:$H$101,D1653))</f>
        <v/>
      </c>
      <c r="G1653" s="26">
        <f>COS(2*PI()*$C$3*B1653)</f>
        <v/>
      </c>
      <c r="H1653" s="26">
        <f>SIN(2*PI()*$C$3*B1653)</f>
        <v/>
      </c>
      <c r="I1653" s="26">
        <f>E1653*G1653+F1653*H1653</f>
        <v/>
      </c>
    </row>
    <row r="1654">
      <c r="A1654" s="7" t="n">
        <v>1647</v>
      </c>
      <c r="B1654" s="26">
        <f>(A1654-1)/2000*$C$2</f>
        <v/>
      </c>
      <c r="C1654" s="7">
        <f>INDEX(Bits!$E$25:$E$124,INT(B1654)+1)</f>
        <v/>
      </c>
      <c r="D1654" s="7">
        <f>MAX(1,MIN(INT(B1654/$C$4)+1,$C$5))</f>
        <v/>
      </c>
      <c r="E1654" s="26">
        <f>IF($C$5=0,0,INDEX(Symboles!$G$6:$G$101,D1654))</f>
        <v/>
      </c>
      <c r="F1654" s="26">
        <f>IF($C$5=0,0,INDEX(Symboles!$H$6:$H$101,D1654))</f>
        <v/>
      </c>
      <c r="G1654" s="26">
        <f>COS(2*PI()*$C$3*B1654)</f>
        <v/>
      </c>
      <c r="H1654" s="26">
        <f>SIN(2*PI()*$C$3*B1654)</f>
        <v/>
      </c>
      <c r="I1654" s="26">
        <f>E1654*G1654+F1654*H1654</f>
        <v/>
      </c>
    </row>
    <row r="1655">
      <c r="A1655" s="7" t="n">
        <v>1648</v>
      </c>
      <c r="B1655" s="26">
        <f>(A1655-1)/2000*$C$2</f>
        <v/>
      </c>
      <c r="C1655" s="7">
        <f>INDEX(Bits!$E$25:$E$124,INT(B1655)+1)</f>
        <v/>
      </c>
      <c r="D1655" s="7">
        <f>MAX(1,MIN(INT(B1655/$C$4)+1,$C$5))</f>
        <v/>
      </c>
      <c r="E1655" s="26">
        <f>IF($C$5=0,0,INDEX(Symboles!$G$6:$G$101,D1655))</f>
        <v/>
      </c>
      <c r="F1655" s="26">
        <f>IF($C$5=0,0,INDEX(Symboles!$H$6:$H$101,D1655))</f>
        <v/>
      </c>
      <c r="G1655" s="26">
        <f>COS(2*PI()*$C$3*B1655)</f>
        <v/>
      </c>
      <c r="H1655" s="26">
        <f>SIN(2*PI()*$C$3*B1655)</f>
        <v/>
      </c>
      <c r="I1655" s="26">
        <f>E1655*G1655+F1655*H1655</f>
        <v/>
      </c>
    </row>
    <row r="1656">
      <c r="A1656" s="7" t="n">
        <v>1649</v>
      </c>
      <c r="B1656" s="26">
        <f>(A1656-1)/2000*$C$2</f>
        <v/>
      </c>
      <c r="C1656" s="7">
        <f>INDEX(Bits!$E$25:$E$124,INT(B1656)+1)</f>
        <v/>
      </c>
      <c r="D1656" s="7">
        <f>MAX(1,MIN(INT(B1656/$C$4)+1,$C$5))</f>
        <v/>
      </c>
      <c r="E1656" s="26">
        <f>IF($C$5=0,0,INDEX(Symboles!$G$6:$G$101,D1656))</f>
        <v/>
      </c>
      <c r="F1656" s="26">
        <f>IF($C$5=0,0,INDEX(Symboles!$H$6:$H$101,D1656))</f>
        <v/>
      </c>
      <c r="G1656" s="26">
        <f>COS(2*PI()*$C$3*B1656)</f>
        <v/>
      </c>
      <c r="H1656" s="26">
        <f>SIN(2*PI()*$C$3*B1656)</f>
        <v/>
      </c>
      <c r="I1656" s="26">
        <f>E1656*G1656+F1656*H1656</f>
        <v/>
      </c>
    </row>
    <row r="1657">
      <c r="A1657" s="7" t="n">
        <v>1650</v>
      </c>
      <c r="B1657" s="26">
        <f>(A1657-1)/2000*$C$2</f>
        <v/>
      </c>
      <c r="C1657" s="7">
        <f>INDEX(Bits!$E$25:$E$124,INT(B1657)+1)</f>
        <v/>
      </c>
      <c r="D1657" s="7">
        <f>MAX(1,MIN(INT(B1657/$C$4)+1,$C$5))</f>
        <v/>
      </c>
      <c r="E1657" s="26">
        <f>IF($C$5=0,0,INDEX(Symboles!$G$6:$G$101,D1657))</f>
        <v/>
      </c>
      <c r="F1657" s="26">
        <f>IF($C$5=0,0,INDEX(Symboles!$H$6:$H$101,D1657))</f>
        <v/>
      </c>
      <c r="G1657" s="26">
        <f>COS(2*PI()*$C$3*B1657)</f>
        <v/>
      </c>
      <c r="H1657" s="26">
        <f>SIN(2*PI()*$C$3*B1657)</f>
        <v/>
      </c>
      <c r="I1657" s="26">
        <f>E1657*G1657+F1657*H1657</f>
        <v/>
      </c>
    </row>
    <row r="1658">
      <c r="A1658" s="7" t="n">
        <v>1651</v>
      </c>
      <c r="B1658" s="26">
        <f>(A1658-1)/2000*$C$2</f>
        <v/>
      </c>
      <c r="C1658" s="7">
        <f>INDEX(Bits!$E$25:$E$124,INT(B1658)+1)</f>
        <v/>
      </c>
      <c r="D1658" s="7">
        <f>MAX(1,MIN(INT(B1658/$C$4)+1,$C$5))</f>
        <v/>
      </c>
      <c r="E1658" s="26">
        <f>IF($C$5=0,0,INDEX(Symboles!$G$6:$G$101,D1658))</f>
        <v/>
      </c>
      <c r="F1658" s="26">
        <f>IF($C$5=0,0,INDEX(Symboles!$H$6:$H$101,D1658))</f>
        <v/>
      </c>
      <c r="G1658" s="26">
        <f>COS(2*PI()*$C$3*B1658)</f>
        <v/>
      </c>
      <c r="H1658" s="26">
        <f>SIN(2*PI()*$C$3*B1658)</f>
        <v/>
      </c>
      <c r="I1658" s="26">
        <f>E1658*G1658+F1658*H1658</f>
        <v/>
      </c>
    </row>
    <row r="1659">
      <c r="A1659" s="7" t="n">
        <v>1652</v>
      </c>
      <c r="B1659" s="26">
        <f>(A1659-1)/2000*$C$2</f>
        <v/>
      </c>
      <c r="C1659" s="7">
        <f>INDEX(Bits!$E$25:$E$124,INT(B1659)+1)</f>
        <v/>
      </c>
      <c r="D1659" s="7">
        <f>MAX(1,MIN(INT(B1659/$C$4)+1,$C$5))</f>
        <v/>
      </c>
      <c r="E1659" s="26">
        <f>IF($C$5=0,0,INDEX(Symboles!$G$6:$G$101,D1659))</f>
        <v/>
      </c>
      <c r="F1659" s="26">
        <f>IF($C$5=0,0,INDEX(Symboles!$H$6:$H$101,D1659))</f>
        <v/>
      </c>
      <c r="G1659" s="26">
        <f>COS(2*PI()*$C$3*B1659)</f>
        <v/>
      </c>
      <c r="H1659" s="26">
        <f>SIN(2*PI()*$C$3*B1659)</f>
        <v/>
      </c>
      <c r="I1659" s="26">
        <f>E1659*G1659+F1659*H1659</f>
        <v/>
      </c>
    </row>
    <row r="1660">
      <c r="A1660" s="7" t="n">
        <v>1653</v>
      </c>
      <c r="B1660" s="26">
        <f>(A1660-1)/2000*$C$2</f>
        <v/>
      </c>
      <c r="C1660" s="7">
        <f>INDEX(Bits!$E$25:$E$124,INT(B1660)+1)</f>
        <v/>
      </c>
      <c r="D1660" s="7">
        <f>MAX(1,MIN(INT(B1660/$C$4)+1,$C$5))</f>
        <v/>
      </c>
      <c r="E1660" s="26">
        <f>IF($C$5=0,0,INDEX(Symboles!$G$6:$G$101,D1660))</f>
        <v/>
      </c>
      <c r="F1660" s="26">
        <f>IF($C$5=0,0,INDEX(Symboles!$H$6:$H$101,D1660))</f>
        <v/>
      </c>
      <c r="G1660" s="26">
        <f>COS(2*PI()*$C$3*B1660)</f>
        <v/>
      </c>
      <c r="H1660" s="26">
        <f>SIN(2*PI()*$C$3*B1660)</f>
        <v/>
      </c>
      <c r="I1660" s="26">
        <f>E1660*G1660+F1660*H1660</f>
        <v/>
      </c>
    </row>
    <row r="1661">
      <c r="A1661" s="7" t="n">
        <v>1654</v>
      </c>
      <c r="B1661" s="26">
        <f>(A1661-1)/2000*$C$2</f>
        <v/>
      </c>
      <c r="C1661" s="7">
        <f>INDEX(Bits!$E$25:$E$124,INT(B1661)+1)</f>
        <v/>
      </c>
      <c r="D1661" s="7">
        <f>MAX(1,MIN(INT(B1661/$C$4)+1,$C$5))</f>
        <v/>
      </c>
      <c r="E1661" s="26">
        <f>IF($C$5=0,0,INDEX(Symboles!$G$6:$G$101,D1661))</f>
        <v/>
      </c>
      <c r="F1661" s="26">
        <f>IF($C$5=0,0,INDEX(Symboles!$H$6:$H$101,D1661))</f>
        <v/>
      </c>
      <c r="G1661" s="26">
        <f>COS(2*PI()*$C$3*B1661)</f>
        <v/>
      </c>
      <c r="H1661" s="26">
        <f>SIN(2*PI()*$C$3*B1661)</f>
        <v/>
      </c>
      <c r="I1661" s="26">
        <f>E1661*G1661+F1661*H1661</f>
        <v/>
      </c>
    </row>
    <row r="1662">
      <c r="A1662" s="7" t="n">
        <v>1655</v>
      </c>
      <c r="B1662" s="26">
        <f>(A1662-1)/2000*$C$2</f>
        <v/>
      </c>
      <c r="C1662" s="7">
        <f>INDEX(Bits!$E$25:$E$124,INT(B1662)+1)</f>
        <v/>
      </c>
      <c r="D1662" s="7">
        <f>MAX(1,MIN(INT(B1662/$C$4)+1,$C$5))</f>
        <v/>
      </c>
      <c r="E1662" s="26">
        <f>IF($C$5=0,0,INDEX(Symboles!$G$6:$G$101,D1662))</f>
        <v/>
      </c>
      <c r="F1662" s="26">
        <f>IF($C$5=0,0,INDEX(Symboles!$H$6:$H$101,D1662))</f>
        <v/>
      </c>
      <c r="G1662" s="26">
        <f>COS(2*PI()*$C$3*B1662)</f>
        <v/>
      </c>
      <c r="H1662" s="26">
        <f>SIN(2*PI()*$C$3*B1662)</f>
        <v/>
      </c>
      <c r="I1662" s="26">
        <f>E1662*G1662+F1662*H1662</f>
        <v/>
      </c>
    </row>
    <row r="1663">
      <c r="A1663" s="7" t="n">
        <v>1656</v>
      </c>
      <c r="B1663" s="26">
        <f>(A1663-1)/2000*$C$2</f>
        <v/>
      </c>
      <c r="C1663" s="7">
        <f>INDEX(Bits!$E$25:$E$124,INT(B1663)+1)</f>
        <v/>
      </c>
      <c r="D1663" s="7">
        <f>MAX(1,MIN(INT(B1663/$C$4)+1,$C$5))</f>
        <v/>
      </c>
      <c r="E1663" s="26">
        <f>IF($C$5=0,0,INDEX(Symboles!$G$6:$G$101,D1663))</f>
        <v/>
      </c>
      <c r="F1663" s="26">
        <f>IF($C$5=0,0,INDEX(Symboles!$H$6:$H$101,D1663))</f>
        <v/>
      </c>
      <c r="G1663" s="26">
        <f>COS(2*PI()*$C$3*B1663)</f>
        <v/>
      </c>
      <c r="H1663" s="26">
        <f>SIN(2*PI()*$C$3*B1663)</f>
        <v/>
      </c>
      <c r="I1663" s="26">
        <f>E1663*G1663+F1663*H1663</f>
        <v/>
      </c>
    </row>
    <row r="1664">
      <c r="A1664" s="7" t="n">
        <v>1657</v>
      </c>
      <c r="B1664" s="26">
        <f>(A1664-1)/2000*$C$2</f>
        <v/>
      </c>
      <c r="C1664" s="7">
        <f>INDEX(Bits!$E$25:$E$124,INT(B1664)+1)</f>
        <v/>
      </c>
      <c r="D1664" s="7">
        <f>MAX(1,MIN(INT(B1664/$C$4)+1,$C$5))</f>
        <v/>
      </c>
      <c r="E1664" s="26">
        <f>IF($C$5=0,0,INDEX(Symboles!$G$6:$G$101,D1664))</f>
        <v/>
      </c>
      <c r="F1664" s="26">
        <f>IF($C$5=0,0,INDEX(Symboles!$H$6:$H$101,D1664))</f>
        <v/>
      </c>
      <c r="G1664" s="26">
        <f>COS(2*PI()*$C$3*B1664)</f>
        <v/>
      </c>
      <c r="H1664" s="26">
        <f>SIN(2*PI()*$C$3*B1664)</f>
        <v/>
      </c>
      <c r="I1664" s="26">
        <f>E1664*G1664+F1664*H1664</f>
        <v/>
      </c>
    </row>
    <row r="1665">
      <c r="A1665" s="7" t="n">
        <v>1658</v>
      </c>
      <c r="B1665" s="26">
        <f>(A1665-1)/2000*$C$2</f>
        <v/>
      </c>
      <c r="C1665" s="7">
        <f>INDEX(Bits!$E$25:$E$124,INT(B1665)+1)</f>
        <v/>
      </c>
      <c r="D1665" s="7">
        <f>MAX(1,MIN(INT(B1665/$C$4)+1,$C$5))</f>
        <v/>
      </c>
      <c r="E1665" s="26">
        <f>IF($C$5=0,0,INDEX(Symboles!$G$6:$G$101,D1665))</f>
        <v/>
      </c>
      <c r="F1665" s="26">
        <f>IF($C$5=0,0,INDEX(Symboles!$H$6:$H$101,D1665))</f>
        <v/>
      </c>
      <c r="G1665" s="26">
        <f>COS(2*PI()*$C$3*B1665)</f>
        <v/>
      </c>
      <c r="H1665" s="26">
        <f>SIN(2*PI()*$C$3*B1665)</f>
        <v/>
      </c>
      <c r="I1665" s="26">
        <f>E1665*G1665+F1665*H1665</f>
        <v/>
      </c>
    </row>
    <row r="1666">
      <c r="A1666" s="7" t="n">
        <v>1659</v>
      </c>
      <c r="B1666" s="26">
        <f>(A1666-1)/2000*$C$2</f>
        <v/>
      </c>
      <c r="C1666" s="7">
        <f>INDEX(Bits!$E$25:$E$124,INT(B1666)+1)</f>
        <v/>
      </c>
      <c r="D1666" s="7">
        <f>MAX(1,MIN(INT(B1666/$C$4)+1,$C$5))</f>
        <v/>
      </c>
      <c r="E1666" s="26">
        <f>IF($C$5=0,0,INDEX(Symboles!$G$6:$G$101,D1666))</f>
        <v/>
      </c>
      <c r="F1666" s="26">
        <f>IF($C$5=0,0,INDEX(Symboles!$H$6:$H$101,D1666))</f>
        <v/>
      </c>
      <c r="G1666" s="26">
        <f>COS(2*PI()*$C$3*B1666)</f>
        <v/>
      </c>
      <c r="H1666" s="26">
        <f>SIN(2*PI()*$C$3*B1666)</f>
        <v/>
      </c>
      <c r="I1666" s="26">
        <f>E1666*G1666+F1666*H1666</f>
        <v/>
      </c>
    </row>
    <row r="1667">
      <c r="A1667" s="7" t="n">
        <v>1660</v>
      </c>
      <c r="B1667" s="26">
        <f>(A1667-1)/2000*$C$2</f>
        <v/>
      </c>
      <c r="C1667" s="7">
        <f>INDEX(Bits!$E$25:$E$124,INT(B1667)+1)</f>
        <v/>
      </c>
      <c r="D1667" s="7">
        <f>MAX(1,MIN(INT(B1667/$C$4)+1,$C$5))</f>
        <v/>
      </c>
      <c r="E1667" s="26">
        <f>IF($C$5=0,0,INDEX(Symboles!$G$6:$G$101,D1667))</f>
        <v/>
      </c>
      <c r="F1667" s="26">
        <f>IF($C$5=0,0,INDEX(Symboles!$H$6:$H$101,D1667))</f>
        <v/>
      </c>
      <c r="G1667" s="26">
        <f>COS(2*PI()*$C$3*B1667)</f>
        <v/>
      </c>
      <c r="H1667" s="26">
        <f>SIN(2*PI()*$C$3*B1667)</f>
        <v/>
      </c>
      <c r="I1667" s="26">
        <f>E1667*G1667+F1667*H1667</f>
        <v/>
      </c>
    </row>
    <row r="1668">
      <c r="A1668" s="7" t="n">
        <v>1661</v>
      </c>
      <c r="B1668" s="26">
        <f>(A1668-1)/2000*$C$2</f>
        <v/>
      </c>
      <c r="C1668" s="7">
        <f>INDEX(Bits!$E$25:$E$124,INT(B1668)+1)</f>
        <v/>
      </c>
      <c r="D1668" s="7">
        <f>MAX(1,MIN(INT(B1668/$C$4)+1,$C$5))</f>
        <v/>
      </c>
      <c r="E1668" s="26">
        <f>IF($C$5=0,0,INDEX(Symboles!$G$6:$G$101,D1668))</f>
        <v/>
      </c>
      <c r="F1668" s="26">
        <f>IF($C$5=0,0,INDEX(Symboles!$H$6:$H$101,D1668))</f>
        <v/>
      </c>
      <c r="G1668" s="26">
        <f>COS(2*PI()*$C$3*B1668)</f>
        <v/>
      </c>
      <c r="H1668" s="26">
        <f>SIN(2*PI()*$C$3*B1668)</f>
        <v/>
      </c>
      <c r="I1668" s="26">
        <f>E1668*G1668+F1668*H1668</f>
        <v/>
      </c>
    </row>
    <row r="1669">
      <c r="A1669" s="7" t="n">
        <v>1662</v>
      </c>
      <c r="B1669" s="26">
        <f>(A1669-1)/2000*$C$2</f>
        <v/>
      </c>
      <c r="C1669" s="7">
        <f>INDEX(Bits!$E$25:$E$124,INT(B1669)+1)</f>
        <v/>
      </c>
      <c r="D1669" s="7">
        <f>MAX(1,MIN(INT(B1669/$C$4)+1,$C$5))</f>
        <v/>
      </c>
      <c r="E1669" s="26">
        <f>IF($C$5=0,0,INDEX(Symboles!$G$6:$G$101,D1669))</f>
        <v/>
      </c>
      <c r="F1669" s="26">
        <f>IF($C$5=0,0,INDEX(Symboles!$H$6:$H$101,D1669))</f>
        <v/>
      </c>
      <c r="G1669" s="26">
        <f>COS(2*PI()*$C$3*B1669)</f>
        <v/>
      </c>
      <c r="H1669" s="26">
        <f>SIN(2*PI()*$C$3*B1669)</f>
        <v/>
      </c>
      <c r="I1669" s="26">
        <f>E1669*G1669+F1669*H1669</f>
        <v/>
      </c>
    </row>
    <row r="1670">
      <c r="A1670" s="7" t="n">
        <v>1663</v>
      </c>
      <c r="B1670" s="26">
        <f>(A1670-1)/2000*$C$2</f>
        <v/>
      </c>
      <c r="C1670" s="7">
        <f>INDEX(Bits!$E$25:$E$124,INT(B1670)+1)</f>
        <v/>
      </c>
      <c r="D1670" s="7">
        <f>MAX(1,MIN(INT(B1670/$C$4)+1,$C$5))</f>
        <v/>
      </c>
      <c r="E1670" s="26">
        <f>IF($C$5=0,0,INDEX(Symboles!$G$6:$G$101,D1670))</f>
        <v/>
      </c>
      <c r="F1670" s="26">
        <f>IF($C$5=0,0,INDEX(Symboles!$H$6:$H$101,D1670))</f>
        <v/>
      </c>
      <c r="G1670" s="26">
        <f>COS(2*PI()*$C$3*B1670)</f>
        <v/>
      </c>
      <c r="H1670" s="26">
        <f>SIN(2*PI()*$C$3*B1670)</f>
        <v/>
      </c>
      <c r="I1670" s="26">
        <f>E1670*G1670+F1670*H1670</f>
        <v/>
      </c>
    </row>
    <row r="1671">
      <c r="A1671" s="7" t="n">
        <v>1664</v>
      </c>
      <c r="B1671" s="26">
        <f>(A1671-1)/2000*$C$2</f>
        <v/>
      </c>
      <c r="C1671" s="7">
        <f>INDEX(Bits!$E$25:$E$124,INT(B1671)+1)</f>
        <v/>
      </c>
      <c r="D1671" s="7">
        <f>MAX(1,MIN(INT(B1671/$C$4)+1,$C$5))</f>
        <v/>
      </c>
      <c r="E1671" s="26">
        <f>IF($C$5=0,0,INDEX(Symboles!$G$6:$G$101,D1671))</f>
        <v/>
      </c>
      <c r="F1671" s="26">
        <f>IF($C$5=0,0,INDEX(Symboles!$H$6:$H$101,D1671))</f>
        <v/>
      </c>
      <c r="G1671" s="26">
        <f>COS(2*PI()*$C$3*B1671)</f>
        <v/>
      </c>
      <c r="H1671" s="26">
        <f>SIN(2*PI()*$C$3*B1671)</f>
        <v/>
      </c>
      <c r="I1671" s="26">
        <f>E1671*G1671+F1671*H1671</f>
        <v/>
      </c>
    </row>
    <row r="1672">
      <c r="A1672" s="7" t="n">
        <v>1665</v>
      </c>
      <c r="B1672" s="26">
        <f>(A1672-1)/2000*$C$2</f>
        <v/>
      </c>
      <c r="C1672" s="7">
        <f>INDEX(Bits!$E$25:$E$124,INT(B1672)+1)</f>
        <v/>
      </c>
      <c r="D1672" s="7">
        <f>MAX(1,MIN(INT(B1672/$C$4)+1,$C$5))</f>
        <v/>
      </c>
      <c r="E1672" s="26">
        <f>IF($C$5=0,0,INDEX(Symboles!$G$6:$G$101,D1672))</f>
        <v/>
      </c>
      <c r="F1672" s="26">
        <f>IF($C$5=0,0,INDEX(Symboles!$H$6:$H$101,D1672))</f>
        <v/>
      </c>
      <c r="G1672" s="26">
        <f>COS(2*PI()*$C$3*B1672)</f>
        <v/>
      </c>
      <c r="H1672" s="26">
        <f>SIN(2*PI()*$C$3*B1672)</f>
        <v/>
      </c>
      <c r="I1672" s="26">
        <f>E1672*G1672+F1672*H1672</f>
        <v/>
      </c>
    </row>
    <row r="1673">
      <c r="A1673" s="7" t="n">
        <v>1666</v>
      </c>
      <c r="B1673" s="26">
        <f>(A1673-1)/2000*$C$2</f>
        <v/>
      </c>
      <c r="C1673" s="7">
        <f>INDEX(Bits!$E$25:$E$124,INT(B1673)+1)</f>
        <v/>
      </c>
      <c r="D1673" s="7">
        <f>MAX(1,MIN(INT(B1673/$C$4)+1,$C$5))</f>
        <v/>
      </c>
      <c r="E1673" s="26">
        <f>IF($C$5=0,0,INDEX(Symboles!$G$6:$G$101,D1673))</f>
        <v/>
      </c>
      <c r="F1673" s="26">
        <f>IF($C$5=0,0,INDEX(Symboles!$H$6:$H$101,D1673))</f>
        <v/>
      </c>
      <c r="G1673" s="26">
        <f>COS(2*PI()*$C$3*B1673)</f>
        <v/>
      </c>
      <c r="H1673" s="26">
        <f>SIN(2*PI()*$C$3*B1673)</f>
        <v/>
      </c>
      <c r="I1673" s="26">
        <f>E1673*G1673+F1673*H1673</f>
        <v/>
      </c>
    </row>
    <row r="1674">
      <c r="A1674" s="7" t="n">
        <v>1667</v>
      </c>
      <c r="B1674" s="26">
        <f>(A1674-1)/2000*$C$2</f>
        <v/>
      </c>
      <c r="C1674" s="7">
        <f>INDEX(Bits!$E$25:$E$124,INT(B1674)+1)</f>
        <v/>
      </c>
      <c r="D1674" s="7">
        <f>MAX(1,MIN(INT(B1674/$C$4)+1,$C$5))</f>
        <v/>
      </c>
      <c r="E1674" s="26">
        <f>IF($C$5=0,0,INDEX(Symboles!$G$6:$G$101,D1674))</f>
        <v/>
      </c>
      <c r="F1674" s="26">
        <f>IF($C$5=0,0,INDEX(Symboles!$H$6:$H$101,D1674))</f>
        <v/>
      </c>
      <c r="G1674" s="26">
        <f>COS(2*PI()*$C$3*B1674)</f>
        <v/>
      </c>
      <c r="H1674" s="26">
        <f>SIN(2*PI()*$C$3*B1674)</f>
        <v/>
      </c>
      <c r="I1674" s="26">
        <f>E1674*G1674+F1674*H1674</f>
        <v/>
      </c>
    </row>
    <row r="1675">
      <c r="A1675" s="7" t="n">
        <v>1668</v>
      </c>
      <c r="B1675" s="26">
        <f>(A1675-1)/2000*$C$2</f>
        <v/>
      </c>
      <c r="C1675" s="7">
        <f>INDEX(Bits!$E$25:$E$124,INT(B1675)+1)</f>
        <v/>
      </c>
      <c r="D1675" s="7">
        <f>MAX(1,MIN(INT(B1675/$C$4)+1,$C$5))</f>
        <v/>
      </c>
      <c r="E1675" s="26">
        <f>IF($C$5=0,0,INDEX(Symboles!$G$6:$G$101,D1675))</f>
        <v/>
      </c>
      <c r="F1675" s="26">
        <f>IF($C$5=0,0,INDEX(Symboles!$H$6:$H$101,D1675))</f>
        <v/>
      </c>
      <c r="G1675" s="26">
        <f>COS(2*PI()*$C$3*B1675)</f>
        <v/>
      </c>
      <c r="H1675" s="26">
        <f>SIN(2*PI()*$C$3*B1675)</f>
        <v/>
      </c>
      <c r="I1675" s="26">
        <f>E1675*G1675+F1675*H1675</f>
        <v/>
      </c>
    </row>
    <row r="1676">
      <c r="A1676" s="7" t="n">
        <v>1669</v>
      </c>
      <c r="B1676" s="26">
        <f>(A1676-1)/2000*$C$2</f>
        <v/>
      </c>
      <c r="C1676" s="7">
        <f>INDEX(Bits!$E$25:$E$124,INT(B1676)+1)</f>
        <v/>
      </c>
      <c r="D1676" s="7">
        <f>MAX(1,MIN(INT(B1676/$C$4)+1,$C$5))</f>
        <v/>
      </c>
      <c r="E1676" s="26">
        <f>IF($C$5=0,0,INDEX(Symboles!$G$6:$G$101,D1676))</f>
        <v/>
      </c>
      <c r="F1676" s="26">
        <f>IF($C$5=0,0,INDEX(Symboles!$H$6:$H$101,D1676))</f>
        <v/>
      </c>
      <c r="G1676" s="26">
        <f>COS(2*PI()*$C$3*B1676)</f>
        <v/>
      </c>
      <c r="H1676" s="26">
        <f>SIN(2*PI()*$C$3*B1676)</f>
        <v/>
      </c>
      <c r="I1676" s="26">
        <f>E1676*G1676+F1676*H1676</f>
        <v/>
      </c>
    </row>
    <row r="1677">
      <c r="A1677" s="7" t="n">
        <v>1670</v>
      </c>
      <c r="B1677" s="26">
        <f>(A1677-1)/2000*$C$2</f>
        <v/>
      </c>
      <c r="C1677" s="7">
        <f>INDEX(Bits!$E$25:$E$124,INT(B1677)+1)</f>
        <v/>
      </c>
      <c r="D1677" s="7">
        <f>MAX(1,MIN(INT(B1677/$C$4)+1,$C$5))</f>
        <v/>
      </c>
      <c r="E1677" s="26">
        <f>IF($C$5=0,0,INDEX(Symboles!$G$6:$G$101,D1677))</f>
        <v/>
      </c>
      <c r="F1677" s="26">
        <f>IF($C$5=0,0,INDEX(Symboles!$H$6:$H$101,D1677))</f>
        <v/>
      </c>
      <c r="G1677" s="26">
        <f>COS(2*PI()*$C$3*B1677)</f>
        <v/>
      </c>
      <c r="H1677" s="26">
        <f>SIN(2*PI()*$C$3*B1677)</f>
        <v/>
      </c>
      <c r="I1677" s="26">
        <f>E1677*G1677+F1677*H1677</f>
        <v/>
      </c>
    </row>
    <row r="1678">
      <c r="A1678" s="7" t="n">
        <v>1671</v>
      </c>
      <c r="B1678" s="26">
        <f>(A1678-1)/2000*$C$2</f>
        <v/>
      </c>
      <c r="C1678" s="7">
        <f>INDEX(Bits!$E$25:$E$124,INT(B1678)+1)</f>
        <v/>
      </c>
      <c r="D1678" s="7">
        <f>MAX(1,MIN(INT(B1678/$C$4)+1,$C$5))</f>
        <v/>
      </c>
      <c r="E1678" s="26">
        <f>IF($C$5=0,0,INDEX(Symboles!$G$6:$G$101,D1678))</f>
        <v/>
      </c>
      <c r="F1678" s="26">
        <f>IF($C$5=0,0,INDEX(Symboles!$H$6:$H$101,D1678))</f>
        <v/>
      </c>
      <c r="G1678" s="26">
        <f>COS(2*PI()*$C$3*B1678)</f>
        <v/>
      </c>
      <c r="H1678" s="26">
        <f>SIN(2*PI()*$C$3*B1678)</f>
        <v/>
      </c>
      <c r="I1678" s="26">
        <f>E1678*G1678+F1678*H1678</f>
        <v/>
      </c>
    </row>
    <row r="1679">
      <c r="A1679" s="7" t="n">
        <v>1672</v>
      </c>
      <c r="B1679" s="26">
        <f>(A1679-1)/2000*$C$2</f>
        <v/>
      </c>
      <c r="C1679" s="7">
        <f>INDEX(Bits!$E$25:$E$124,INT(B1679)+1)</f>
        <v/>
      </c>
      <c r="D1679" s="7">
        <f>MAX(1,MIN(INT(B1679/$C$4)+1,$C$5))</f>
        <v/>
      </c>
      <c r="E1679" s="26">
        <f>IF($C$5=0,0,INDEX(Symboles!$G$6:$G$101,D1679))</f>
        <v/>
      </c>
      <c r="F1679" s="26">
        <f>IF($C$5=0,0,INDEX(Symboles!$H$6:$H$101,D1679))</f>
        <v/>
      </c>
      <c r="G1679" s="26">
        <f>COS(2*PI()*$C$3*B1679)</f>
        <v/>
      </c>
      <c r="H1679" s="26">
        <f>SIN(2*PI()*$C$3*B1679)</f>
        <v/>
      </c>
      <c r="I1679" s="26">
        <f>E1679*G1679+F1679*H1679</f>
        <v/>
      </c>
    </row>
    <row r="1680">
      <c r="A1680" s="7" t="n">
        <v>1673</v>
      </c>
      <c r="B1680" s="26">
        <f>(A1680-1)/2000*$C$2</f>
        <v/>
      </c>
      <c r="C1680" s="7">
        <f>INDEX(Bits!$E$25:$E$124,INT(B1680)+1)</f>
        <v/>
      </c>
      <c r="D1680" s="7">
        <f>MAX(1,MIN(INT(B1680/$C$4)+1,$C$5))</f>
        <v/>
      </c>
      <c r="E1680" s="26">
        <f>IF($C$5=0,0,INDEX(Symboles!$G$6:$G$101,D1680))</f>
        <v/>
      </c>
      <c r="F1680" s="26">
        <f>IF($C$5=0,0,INDEX(Symboles!$H$6:$H$101,D1680))</f>
        <v/>
      </c>
      <c r="G1680" s="26">
        <f>COS(2*PI()*$C$3*B1680)</f>
        <v/>
      </c>
      <c r="H1680" s="26">
        <f>SIN(2*PI()*$C$3*B1680)</f>
        <v/>
      </c>
      <c r="I1680" s="26">
        <f>E1680*G1680+F1680*H1680</f>
        <v/>
      </c>
    </row>
    <row r="1681">
      <c r="A1681" s="7" t="n">
        <v>1674</v>
      </c>
      <c r="B1681" s="26">
        <f>(A1681-1)/2000*$C$2</f>
        <v/>
      </c>
      <c r="C1681" s="7">
        <f>INDEX(Bits!$E$25:$E$124,INT(B1681)+1)</f>
        <v/>
      </c>
      <c r="D1681" s="7">
        <f>MAX(1,MIN(INT(B1681/$C$4)+1,$C$5))</f>
        <v/>
      </c>
      <c r="E1681" s="26">
        <f>IF($C$5=0,0,INDEX(Symboles!$G$6:$G$101,D1681))</f>
        <v/>
      </c>
      <c r="F1681" s="26">
        <f>IF($C$5=0,0,INDEX(Symboles!$H$6:$H$101,D1681))</f>
        <v/>
      </c>
      <c r="G1681" s="26">
        <f>COS(2*PI()*$C$3*B1681)</f>
        <v/>
      </c>
      <c r="H1681" s="26">
        <f>SIN(2*PI()*$C$3*B1681)</f>
        <v/>
      </c>
      <c r="I1681" s="26">
        <f>E1681*G1681+F1681*H1681</f>
        <v/>
      </c>
    </row>
    <row r="1682">
      <c r="A1682" s="7" t="n">
        <v>1675</v>
      </c>
      <c r="B1682" s="26">
        <f>(A1682-1)/2000*$C$2</f>
        <v/>
      </c>
      <c r="C1682" s="7">
        <f>INDEX(Bits!$E$25:$E$124,INT(B1682)+1)</f>
        <v/>
      </c>
      <c r="D1682" s="7">
        <f>MAX(1,MIN(INT(B1682/$C$4)+1,$C$5))</f>
        <v/>
      </c>
      <c r="E1682" s="26">
        <f>IF($C$5=0,0,INDEX(Symboles!$G$6:$G$101,D1682))</f>
        <v/>
      </c>
      <c r="F1682" s="26">
        <f>IF($C$5=0,0,INDEX(Symboles!$H$6:$H$101,D1682))</f>
        <v/>
      </c>
      <c r="G1682" s="26">
        <f>COS(2*PI()*$C$3*B1682)</f>
        <v/>
      </c>
      <c r="H1682" s="26">
        <f>SIN(2*PI()*$C$3*B1682)</f>
        <v/>
      </c>
      <c r="I1682" s="26">
        <f>E1682*G1682+F1682*H1682</f>
        <v/>
      </c>
    </row>
    <row r="1683">
      <c r="A1683" s="7" t="n">
        <v>1676</v>
      </c>
      <c r="B1683" s="26">
        <f>(A1683-1)/2000*$C$2</f>
        <v/>
      </c>
      <c r="C1683" s="7">
        <f>INDEX(Bits!$E$25:$E$124,INT(B1683)+1)</f>
        <v/>
      </c>
      <c r="D1683" s="7">
        <f>MAX(1,MIN(INT(B1683/$C$4)+1,$C$5))</f>
        <v/>
      </c>
      <c r="E1683" s="26">
        <f>IF($C$5=0,0,INDEX(Symboles!$G$6:$G$101,D1683))</f>
        <v/>
      </c>
      <c r="F1683" s="26">
        <f>IF($C$5=0,0,INDEX(Symboles!$H$6:$H$101,D1683))</f>
        <v/>
      </c>
      <c r="G1683" s="26">
        <f>COS(2*PI()*$C$3*B1683)</f>
        <v/>
      </c>
      <c r="H1683" s="26">
        <f>SIN(2*PI()*$C$3*B1683)</f>
        <v/>
      </c>
      <c r="I1683" s="26">
        <f>E1683*G1683+F1683*H1683</f>
        <v/>
      </c>
    </row>
    <row r="1684">
      <c r="A1684" s="7" t="n">
        <v>1677</v>
      </c>
      <c r="B1684" s="26">
        <f>(A1684-1)/2000*$C$2</f>
        <v/>
      </c>
      <c r="C1684" s="7">
        <f>INDEX(Bits!$E$25:$E$124,INT(B1684)+1)</f>
        <v/>
      </c>
      <c r="D1684" s="7">
        <f>MAX(1,MIN(INT(B1684/$C$4)+1,$C$5))</f>
        <v/>
      </c>
      <c r="E1684" s="26">
        <f>IF($C$5=0,0,INDEX(Symboles!$G$6:$G$101,D1684))</f>
        <v/>
      </c>
      <c r="F1684" s="26">
        <f>IF($C$5=0,0,INDEX(Symboles!$H$6:$H$101,D1684))</f>
        <v/>
      </c>
      <c r="G1684" s="26">
        <f>COS(2*PI()*$C$3*B1684)</f>
        <v/>
      </c>
      <c r="H1684" s="26">
        <f>SIN(2*PI()*$C$3*B1684)</f>
        <v/>
      </c>
      <c r="I1684" s="26">
        <f>E1684*G1684+F1684*H1684</f>
        <v/>
      </c>
    </row>
    <row r="1685">
      <c r="A1685" s="7" t="n">
        <v>1678</v>
      </c>
      <c r="B1685" s="26">
        <f>(A1685-1)/2000*$C$2</f>
        <v/>
      </c>
      <c r="C1685" s="7">
        <f>INDEX(Bits!$E$25:$E$124,INT(B1685)+1)</f>
        <v/>
      </c>
      <c r="D1685" s="7">
        <f>MAX(1,MIN(INT(B1685/$C$4)+1,$C$5))</f>
        <v/>
      </c>
      <c r="E1685" s="26">
        <f>IF($C$5=0,0,INDEX(Symboles!$G$6:$G$101,D1685))</f>
        <v/>
      </c>
      <c r="F1685" s="26">
        <f>IF($C$5=0,0,INDEX(Symboles!$H$6:$H$101,D1685))</f>
        <v/>
      </c>
      <c r="G1685" s="26">
        <f>COS(2*PI()*$C$3*B1685)</f>
        <v/>
      </c>
      <c r="H1685" s="26">
        <f>SIN(2*PI()*$C$3*B1685)</f>
        <v/>
      </c>
      <c r="I1685" s="26">
        <f>E1685*G1685+F1685*H1685</f>
        <v/>
      </c>
    </row>
    <row r="1686">
      <c r="A1686" s="7" t="n">
        <v>1679</v>
      </c>
      <c r="B1686" s="26">
        <f>(A1686-1)/2000*$C$2</f>
        <v/>
      </c>
      <c r="C1686" s="7">
        <f>INDEX(Bits!$E$25:$E$124,INT(B1686)+1)</f>
        <v/>
      </c>
      <c r="D1686" s="7">
        <f>MAX(1,MIN(INT(B1686/$C$4)+1,$C$5))</f>
        <v/>
      </c>
      <c r="E1686" s="26">
        <f>IF($C$5=0,0,INDEX(Symboles!$G$6:$G$101,D1686))</f>
        <v/>
      </c>
      <c r="F1686" s="26">
        <f>IF($C$5=0,0,INDEX(Symboles!$H$6:$H$101,D1686))</f>
        <v/>
      </c>
      <c r="G1686" s="26">
        <f>COS(2*PI()*$C$3*B1686)</f>
        <v/>
      </c>
      <c r="H1686" s="26">
        <f>SIN(2*PI()*$C$3*B1686)</f>
        <v/>
      </c>
      <c r="I1686" s="26">
        <f>E1686*G1686+F1686*H1686</f>
        <v/>
      </c>
    </row>
    <row r="1687">
      <c r="A1687" s="7" t="n">
        <v>1680</v>
      </c>
      <c r="B1687" s="26">
        <f>(A1687-1)/2000*$C$2</f>
        <v/>
      </c>
      <c r="C1687" s="7">
        <f>INDEX(Bits!$E$25:$E$124,INT(B1687)+1)</f>
        <v/>
      </c>
      <c r="D1687" s="7">
        <f>MAX(1,MIN(INT(B1687/$C$4)+1,$C$5))</f>
        <v/>
      </c>
      <c r="E1687" s="26">
        <f>IF($C$5=0,0,INDEX(Symboles!$G$6:$G$101,D1687))</f>
        <v/>
      </c>
      <c r="F1687" s="26">
        <f>IF($C$5=0,0,INDEX(Symboles!$H$6:$H$101,D1687))</f>
        <v/>
      </c>
      <c r="G1687" s="26">
        <f>COS(2*PI()*$C$3*B1687)</f>
        <v/>
      </c>
      <c r="H1687" s="26">
        <f>SIN(2*PI()*$C$3*B1687)</f>
        <v/>
      </c>
      <c r="I1687" s="26">
        <f>E1687*G1687+F1687*H1687</f>
        <v/>
      </c>
    </row>
    <row r="1688">
      <c r="A1688" s="7" t="n">
        <v>1681</v>
      </c>
      <c r="B1688" s="26">
        <f>(A1688-1)/2000*$C$2</f>
        <v/>
      </c>
      <c r="C1688" s="7">
        <f>INDEX(Bits!$E$25:$E$124,INT(B1688)+1)</f>
        <v/>
      </c>
      <c r="D1688" s="7">
        <f>MAX(1,MIN(INT(B1688/$C$4)+1,$C$5))</f>
        <v/>
      </c>
      <c r="E1688" s="26">
        <f>IF($C$5=0,0,INDEX(Symboles!$G$6:$G$101,D1688))</f>
        <v/>
      </c>
      <c r="F1688" s="26">
        <f>IF($C$5=0,0,INDEX(Symboles!$H$6:$H$101,D1688))</f>
        <v/>
      </c>
      <c r="G1688" s="26">
        <f>COS(2*PI()*$C$3*B1688)</f>
        <v/>
      </c>
      <c r="H1688" s="26">
        <f>SIN(2*PI()*$C$3*B1688)</f>
        <v/>
      </c>
      <c r="I1688" s="26">
        <f>E1688*G1688+F1688*H1688</f>
        <v/>
      </c>
    </row>
    <row r="1689">
      <c r="A1689" s="7" t="n">
        <v>1682</v>
      </c>
      <c r="B1689" s="26">
        <f>(A1689-1)/2000*$C$2</f>
        <v/>
      </c>
      <c r="C1689" s="7">
        <f>INDEX(Bits!$E$25:$E$124,INT(B1689)+1)</f>
        <v/>
      </c>
      <c r="D1689" s="7">
        <f>MAX(1,MIN(INT(B1689/$C$4)+1,$C$5))</f>
        <v/>
      </c>
      <c r="E1689" s="26">
        <f>IF($C$5=0,0,INDEX(Symboles!$G$6:$G$101,D1689))</f>
        <v/>
      </c>
      <c r="F1689" s="26">
        <f>IF($C$5=0,0,INDEX(Symboles!$H$6:$H$101,D1689))</f>
        <v/>
      </c>
      <c r="G1689" s="26">
        <f>COS(2*PI()*$C$3*B1689)</f>
        <v/>
      </c>
      <c r="H1689" s="26">
        <f>SIN(2*PI()*$C$3*B1689)</f>
        <v/>
      </c>
      <c r="I1689" s="26">
        <f>E1689*G1689+F1689*H1689</f>
        <v/>
      </c>
    </row>
    <row r="1690">
      <c r="A1690" s="7" t="n">
        <v>1683</v>
      </c>
      <c r="B1690" s="26">
        <f>(A1690-1)/2000*$C$2</f>
        <v/>
      </c>
      <c r="C1690" s="7">
        <f>INDEX(Bits!$E$25:$E$124,INT(B1690)+1)</f>
        <v/>
      </c>
      <c r="D1690" s="7">
        <f>MAX(1,MIN(INT(B1690/$C$4)+1,$C$5))</f>
        <v/>
      </c>
      <c r="E1690" s="26">
        <f>IF($C$5=0,0,INDEX(Symboles!$G$6:$G$101,D1690))</f>
        <v/>
      </c>
      <c r="F1690" s="26">
        <f>IF($C$5=0,0,INDEX(Symboles!$H$6:$H$101,D1690))</f>
        <v/>
      </c>
      <c r="G1690" s="26">
        <f>COS(2*PI()*$C$3*B1690)</f>
        <v/>
      </c>
      <c r="H1690" s="26">
        <f>SIN(2*PI()*$C$3*B1690)</f>
        <v/>
      </c>
      <c r="I1690" s="26">
        <f>E1690*G1690+F1690*H1690</f>
        <v/>
      </c>
    </row>
    <row r="1691">
      <c r="A1691" s="7" t="n">
        <v>1684</v>
      </c>
      <c r="B1691" s="26">
        <f>(A1691-1)/2000*$C$2</f>
        <v/>
      </c>
      <c r="C1691" s="7">
        <f>INDEX(Bits!$E$25:$E$124,INT(B1691)+1)</f>
        <v/>
      </c>
      <c r="D1691" s="7">
        <f>MAX(1,MIN(INT(B1691/$C$4)+1,$C$5))</f>
        <v/>
      </c>
      <c r="E1691" s="26">
        <f>IF($C$5=0,0,INDEX(Symboles!$G$6:$G$101,D1691))</f>
        <v/>
      </c>
      <c r="F1691" s="26">
        <f>IF($C$5=0,0,INDEX(Symboles!$H$6:$H$101,D1691))</f>
        <v/>
      </c>
      <c r="G1691" s="26">
        <f>COS(2*PI()*$C$3*B1691)</f>
        <v/>
      </c>
      <c r="H1691" s="26">
        <f>SIN(2*PI()*$C$3*B1691)</f>
        <v/>
      </c>
      <c r="I1691" s="26">
        <f>E1691*G1691+F1691*H1691</f>
        <v/>
      </c>
    </row>
    <row r="1692">
      <c r="A1692" s="7" t="n">
        <v>1685</v>
      </c>
      <c r="B1692" s="26">
        <f>(A1692-1)/2000*$C$2</f>
        <v/>
      </c>
      <c r="C1692" s="7">
        <f>INDEX(Bits!$E$25:$E$124,INT(B1692)+1)</f>
        <v/>
      </c>
      <c r="D1692" s="7">
        <f>MAX(1,MIN(INT(B1692/$C$4)+1,$C$5))</f>
        <v/>
      </c>
      <c r="E1692" s="26">
        <f>IF($C$5=0,0,INDEX(Symboles!$G$6:$G$101,D1692))</f>
        <v/>
      </c>
      <c r="F1692" s="26">
        <f>IF($C$5=0,0,INDEX(Symboles!$H$6:$H$101,D1692))</f>
        <v/>
      </c>
      <c r="G1692" s="26">
        <f>COS(2*PI()*$C$3*B1692)</f>
        <v/>
      </c>
      <c r="H1692" s="26">
        <f>SIN(2*PI()*$C$3*B1692)</f>
        <v/>
      </c>
      <c r="I1692" s="26">
        <f>E1692*G1692+F1692*H1692</f>
        <v/>
      </c>
    </row>
    <row r="1693">
      <c r="A1693" s="7" t="n">
        <v>1686</v>
      </c>
      <c r="B1693" s="26">
        <f>(A1693-1)/2000*$C$2</f>
        <v/>
      </c>
      <c r="C1693" s="7">
        <f>INDEX(Bits!$E$25:$E$124,INT(B1693)+1)</f>
        <v/>
      </c>
      <c r="D1693" s="7">
        <f>MAX(1,MIN(INT(B1693/$C$4)+1,$C$5))</f>
        <v/>
      </c>
      <c r="E1693" s="26">
        <f>IF($C$5=0,0,INDEX(Symboles!$G$6:$G$101,D1693))</f>
        <v/>
      </c>
      <c r="F1693" s="26">
        <f>IF($C$5=0,0,INDEX(Symboles!$H$6:$H$101,D1693))</f>
        <v/>
      </c>
      <c r="G1693" s="26">
        <f>COS(2*PI()*$C$3*B1693)</f>
        <v/>
      </c>
      <c r="H1693" s="26">
        <f>SIN(2*PI()*$C$3*B1693)</f>
        <v/>
      </c>
      <c r="I1693" s="26">
        <f>E1693*G1693+F1693*H1693</f>
        <v/>
      </c>
    </row>
    <row r="1694">
      <c r="A1694" s="7" t="n">
        <v>1687</v>
      </c>
      <c r="B1694" s="26">
        <f>(A1694-1)/2000*$C$2</f>
        <v/>
      </c>
      <c r="C1694" s="7">
        <f>INDEX(Bits!$E$25:$E$124,INT(B1694)+1)</f>
        <v/>
      </c>
      <c r="D1694" s="7">
        <f>MAX(1,MIN(INT(B1694/$C$4)+1,$C$5))</f>
        <v/>
      </c>
      <c r="E1694" s="26">
        <f>IF($C$5=0,0,INDEX(Symboles!$G$6:$G$101,D1694))</f>
        <v/>
      </c>
      <c r="F1694" s="26">
        <f>IF($C$5=0,0,INDEX(Symboles!$H$6:$H$101,D1694))</f>
        <v/>
      </c>
      <c r="G1694" s="26">
        <f>COS(2*PI()*$C$3*B1694)</f>
        <v/>
      </c>
      <c r="H1694" s="26">
        <f>SIN(2*PI()*$C$3*B1694)</f>
        <v/>
      </c>
      <c r="I1694" s="26">
        <f>E1694*G1694+F1694*H1694</f>
        <v/>
      </c>
    </row>
    <row r="1695">
      <c r="A1695" s="7" t="n">
        <v>1688</v>
      </c>
      <c r="B1695" s="26">
        <f>(A1695-1)/2000*$C$2</f>
        <v/>
      </c>
      <c r="C1695" s="7">
        <f>INDEX(Bits!$E$25:$E$124,INT(B1695)+1)</f>
        <v/>
      </c>
      <c r="D1695" s="7">
        <f>MAX(1,MIN(INT(B1695/$C$4)+1,$C$5))</f>
        <v/>
      </c>
      <c r="E1695" s="26">
        <f>IF($C$5=0,0,INDEX(Symboles!$G$6:$G$101,D1695))</f>
        <v/>
      </c>
      <c r="F1695" s="26">
        <f>IF($C$5=0,0,INDEX(Symboles!$H$6:$H$101,D1695))</f>
        <v/>
      </c>
      <c r="G1695" s="26">
        <f>COS(2*PI()*$C$3*B1695)</f>
        <v/>
      </c>
      <c r="H1695" s="26">
        <f>SIN(2*PI()*$C$3*B1695)</f>
        <v/>
      </c>
      <c r="I1695" s="26">
        <f>E1695*G1695+F1695*H1695</f>
        <v/>
      </c>
    </row>
    <row r="1696">
      <c r="A1696" s="7" t="n">
        <v>1689</v>
      </c>
      <c r="B1696" s="26">
        <f>(A1696-1)/2000*$C$2</f>
        <v/>
      </c>
      <c r="C1696" s="7">
        <f>INDEX(Bits!$E$25:$E$124,INT(B1696)+1)</f>
        <v/>
      </c>
      <c r="D1696" s="7">
        <f>MAX(1,MIN(INT(B1696/$C$4)+1,$C$5))</f>
        <v/>
      </c>
      <c r="E1696" s="26">
        <f>IF($C$5=0,0,INDEX(Symboles!$G$6:$G$101,D1696))</f>
        <v/>
      </c>
      <c r="F1696" s="26">
        <f>IF($C$5=0,0,INDEX(Symboles!$H$6:$H$101,D1696))</f>
        <v/>
      </c>
      <c r="G1696" s="26">
        <f>COS(2*PI()*$C$3*B1696)</f>
        <v/>
      </c>
      <c r="H1696" s="26">
        <f>SIN(2*PI()*$C$3*B1696)</f>
        <v/>
      </c>
      <c r="I1696" s="26">
        <f>E1696*G1696+F1696*H1696</f>
        <v/>
      </c>
    </row>
    <row r="1697">
      <c r="A1697" s="7" t="n">
        <v>1690</v>
      </c>
      <c r="B1697" s="26">
        <f>(A1697-1)/2000*$C$2</f>
        <v/>
      </c>
      <c r="C1697" s="7">
        <f>INDEX(Bits!$E$25:$E$124,INT(B1697)+1)</f>
        <v/>
      </c>
      <c r="D1697" s="7">
        <f>MAX(1,MIN(INT(B1697/$C$4)+1,$C$5))</f>
        <v/>
      </c>
      <c r="E1697" s="26">
        <f>IF($C$5=0,0,INDEX(Symboles!$G$6:$G$101,D1697))</f>
        <v/>
      </c>
      <c r="F1697" s="26">
        <f>IF($C$5=0,0,INDEX(Symboles!$H$6:$H$101,D1697))</f>
        <v/>
      </c>
      <c r="G1697" s="26">
        <f>COS(2*PI()*$C$3*B1697)</f>
        <v/>
      </c>
      <c r="H1697" s="26">
        <f>SIN(2*PI()*$C$3*B1697)</f>
        <v/>
      </c>
      <c r="I1697" s="26">
        <f>E1697*G1697+F1697*H1697</f>
        <v/>
      </c>
    </row>
    <row r="1698">
      <c r="A1698" s="7" t="n">
        <v>1691</v>
      </c>
      <c r="B1698" s="26">
        <f>(A1698-1)/2000*$C$2</f>
        <v/>
      </c>
      <c r="C1698" s="7">
        <f>INDEX(Bits!$E$25:$E$124,INT(B1698)+1)</f>
        <v/>
      </c>
      <c r="D1698" s="7">
        <f>MAX(1,MIN(INT(B1698/$C$4)+1,$C$5))</f>
        <v/>
      </c>
      <c r="E1698" s="26">
        <f>IF($C$5=0,0,INDEX(Symboles!$G$6:$G$101,D1698))</f>
        <v/>
      </c>
      <c r="F1698" s="26">
        <f>IF($C$5=0,0,INDEX(Symboles!$H$6:$H$101,D1698))</f>
        <v/>
      </c>
      <c r="G1698" s="26">
        <f>COS(2*PI()*$C$3*B1698)</f>
        <v/>
      </c>
      <c r="H1698" s="26">
        <f>SIN(2*PI()*$C$3*B1698)</f>
        <v/>
      </c>
      <c r="I1698" s="26">
        <f>E1698*G1698+F1698*H1698</f>
        <v/>
      </c>
    </row>
    <row r="1699">
      <c r="A1699" s="7" t="n">
        <v>1692</v>
      </c>
      <c r="B1699" s="26">
        <f>(A1699-1)/2000*$C$2</f>
        <v/>
      </c>
      <c r="C1699" s="7">
        <f>INDEX(Bits!$E$25:$E$124,INT(B1699)+1)</f>
        <v/>
      </c>
      <c r="D1699" s="7">
        <f>MAX(1,MIN(INT(B1699/$C$4)+1,$C$5))</f>
        <v/>
      </c>
      <c r="E1699" s="26">
        <f>IF($C$5=0,0,INDEX(Symboles!$G$6:$G$101,D1699))</f>
        <v/>
      </c>
      <c r="F1699" s="26">
        <f>IF($C$5=0,0,INDEX(Symboles!$H$6:$H$101,D1699))</f>
        <v/>
      </c>
      <c r="G1699" s="26">
        <f>COS(2*PI()*$C$3*B1699)</f>
        <v/>
      </c>
      <c r="H1699" s="26">
        <f>SIN(2*PI()*$C$3*B1699)</f>
        <v/>
      </c>
      <c r="I1699" s="26">
        <f>E1699*G1699+F1699*H1699</f>
        <v/>
      </c>
    </row>
    <row r="1700">
      <c r="A1700" s="7" t="n">
        <v>1693</v>
      </c>
      <c r="B1700" s="26">
        <f>(A1700-1)/2000*$C$2</f>
        <v/>
      </c>
      <c r="C1700" s="7">
        <f>INDEX(Bits!$E$25:$E$124,INT(B1700)+1)</f>
        <v/>
      </c>
      <c r="D1700" s="7">
        <f>MAX(1,MIN(INT(B1700/$C$4)+1,$C$5))</f>
        <v/>
      </c>
      <c r="E1700" s="26">
        <f>IF($C$5=0,0,INDEX(Symboles!$G$6:$G$101,D1700))</f>
        <v/>
      </c>
      <c r="F1700" s="26">
        <f>IF($C$5=0,0,INDEX(Symboles!$H$6:$H$101,D1700))</f>
        <v/>
      </c>
      <c r="G1700" s="26">
        <f>COS(2*PI()*$C$3*B1700)</f>
        <v/>
      </c>
      <c r="H1700" s="26">
        <f>SIN(2*PI()*$C$3*B1700)</f>
        <v/>
      </c>
      <c r="I1700" s="26">
        <f>E1700*G1700+F1700*H1700</f>
        <v/>
      </c>
    </row>
    <row r="1701">
      <c r="A1701" s="7" t="n">
        <v>1694</v>
      </c>
      <c r="B1701" s="26">
        <f>(A1701-1)/2000*$C$2</f>
        <v/>
      </c>
      <c r="C1701" s="7">
        <f>INDEX(Bits!$E$25:$E$124,INT(B1701)+1)</f>
        <v/>
      </c>
      <c r="D1701" s="7">
        <f>MAX(1,MIN(INT(B1701/$C$4)+1,$C$5))</f>
        <v/>
      </c>
      <c r="E1701" s="26">
        <f>IF($C$5=0,0,INDEX(Symboles!$G$6:$G$101,D1701))</f>
        <v/>
      </c>
      <c r="F1701" s="26">
        <f>IF($C$5=0,0,INDEX(Symboles!$H$6:$H$101,D1701))</f>
        <v/>
      </c>
      <c r="G1701" s="26">
        <f>COS(2*PI()*$C$3*B1701)</f>
        <v/>
      </c>
      <c r="H1701" s="26">
        <f>SIN(2*PI()*$C$3*B1701)</f>
        <v/>
      </c>
      <c r="I1701" s="26">
        <f>E1701*G1701+F1701*H1701</f>
        <v/>
      </c>
    </row>
    <row r="1702">
      <c r="A1702" s="7" t="n">
        <v>1695</v>
      </c>
      <c r="B1702" s="26">
        <f>(A1702-1)/2000*$C$2</f>
        <v/>
      </c>
      <c r="C1702" s="7">
        <f>INDEX(Bits!$E$25:$E$124,INT(B1702)+1)</f>
        <v/>
      </c>
      <c r="D1702" s="7">
        <f>MAX(1,MIN(INT(B1702/$C$4)+1,$C$5))</f>
        <v/>
      </c>
      <c r="E1702" s="26">
        <f>IF($C$5=0,0,INDEX(Symboles!$G$6:$G$101,D1702))</f>
        <v/>
      </c>
      <c r="F1702" s="26">
        <f>IF($C$5=0,0,INDEX(Symboles!$H$6:$H$101,D1702))</f>
        <v/>
      </c>
      <c r="G1702" s="26">
        <f>COS(2*PI()*$C$3*B1702)</f>
        <v/>
      </c>
      <c r="H1702" s="26">
        <f>SIN(2*PI()*$C$3*B1702)</f>
        <v/>
      </c>
      <c r="I1702" s="26">
        <f>E1702*G1702+F1702*H1702</f>
        <v/>
      </c>
    </row>
    <row r="1703">
      <c r="A1703" s="7" t="n">
        <v>1696</v>
      </c>
      <c r="B1703" s="26">
        <f>(A1703-1)/2000*$C$2</f>
        <v/>
      </c>
      <c r="C1703" s="7">
        <f>INDEX(Bits!$E$25:$E$124,INT(B1703)+1)</f>
        <v/>
      </c>
      <c r="D1703" s="7">
        <f>MAX(1,MIN(INT(B1703/$C$4)+1,$C$5))</f>
        <v/>
      </c>
      <c r="E1703" s="26">
        <f>IF($C$5=0,0,INDEX(Symboles!$G$6:$G$101,D1703))</f>
        <v/>
      </c>
      <c r="F1703" s="26">
        <f>IF($C$5=0,0,INDEX(Symboles!$H$6:$H$101,D1703))</f>
        <v/>
      </c>
      <c r="G1703" s="26">
        <f>COS(2*PI()*$C$3*B1703)</f>
        <v/>
      </c>
      <c r="H1703" s="26">
        <f>SIN(2*PI()*$C$3*B1703)</f>
        <v/>
      </c>
      <c r="I1703" s="26">
        <f>E1703*G1703+F1703*H1703</f>
        <v/>
      </c>
    </row>
    <row r="1704">
      <c r="A1704" s="7" t="n">
        <v>1697</v>
      </c>
      <c r="B1704" s="26">
        <f>(A1704-1)/2000*$C$2</f>
        <v/>
      </c>
      <c r="C1704" s="7">
        <f>INDEX(Bits!$E$25:$E$124,INT(B1704)+1)</f>
        <v/>
      </c>
      <c r="D1704" s="7">
        <f>MAX(1,MIN(INT(B1704/$C$4)+1,$C$5))</f>
        <v/>
      </c>
      <c r="E1704" s="26">
        <f>IF($C$5=0,0,INDEX(Symboles!$G$6:$G$101,D1704))</f>
        <v/>
      </c>
      <c r="F1704" s="26">
        <f>IF($C$5=0,0,INDEX(Symboles!$H$6:$H$101,D1704))</f>
        <v/>
      </c>
      <c r="G1704" s="26">
        <f>COS(2*PI()*$C$3*B1704)</f>
        <v/>
      </c>
      <c r="H1704" s="26">
        <f>SIN(2*PI()*$C$3*B1704)</f>
        <v/>
      </c>
      <c r="I1704" s="26">
        <f>E1704*G1704+F1704*H1704</f>
        <v/>
      </c>
    </row>
    <row r="1705">
      <c r="A1705" s="7" t="n">
        <v>1698</v>
      </c>
      <c r="B1705" s="26">
        <f>(A1705-1)/2000*$C$2</f>
        <v/>
      </c>
      <c r="C1705" s="7">
        <f>INDEX(Bits!$E$25:$E$124,INT(B1705)+1)</f>
        <v/>
      </c>
      <c r="D1705" s="7">
        <f>MAX(1,MIN(INT(B1705/$C$4)+1,$C$5))</f>
        <v/>
      </c>
      <c r="E1705" s="26">
        <f>IF($C$5=0,0,INDEX(Symboles!$G$6:$G$101,D1705))</f>
        <v/>
      </c>
      <c r="F1705" s="26">
        <f>IF($C$5=0,0,INDEX(Symboles!$H$6:$H$101,D1705))</f>
        <v/>
      </c>
      <c r="G1705" s="26">
        <f>COS(2*PI()*$C$3*B1705)</f>
        <v/>
      </c>
      <c r="H1705" s="26">
        <f>SIN(2*PI()*$C$3*B1705)</f>
        <v/>
      </c>
      <c r="I1705" s="26">
        <f>E1705*G1705+F1705*H1705</f>
        <v/>
      </c>
    </row>
    <row r="1706">
      <c r="A1706" s="7" t="n">
        <v>1699</v>
      </c>
      <c r="B1706" s="26">
        <f>(A1706-1)/2000*$C$2</f>
        <v/>
      </c>
      <c r="C1706" s="7">
        <f>INDEX(Bits!$E$25:$E$124,INT(B1706)+1)</f>
        <v/>
      </c>
      <c r="D1706" s="7">
        <f>MAX(1,MIN(INT(B1706/$C$4)+1,$C$5))</f>
        <v/>
      </c>
      <c r="E1706" s="26">
        <f>IF($C$5=0,0,INDEX(Symboles!$G$6:$G$101,D1706))</f>
        <v/>
      </c>
      <c r="F1706" s="26">
        <f>IF($C$5=0,0,INDEX(Symboles!$H$6:$H$101,D1706))</f>
        <v/>
      </c>
      <c r="G1706" s="26">
        <f>COS(2*PI()*$C$3*B1706)</f>
        <v/>
      </c>
      <c r="H1706" s="26">
        <f>SIN(2*PI()*$C$3*B1706)</f>
        <v/>
      </c>
      <c r="I1706" s="26">
        <f>E1706*G1706+F1706*H1706</f>
        <v/>
      </c>
    </row>
    <row r="1707">
      <c r="A1707" s="7" t="n">
        <v>1700</v>
      </c>
      <c r="B1707" s="26">
        <f>(A1707-1)/2000*$C$2</f>
        <v/>
      </c>
      <c r="C1707" s="7">
        <f>INDEX(Bits!$E$25:$E$124,INT(B1707)+1)</f>
        <v/>
      </c>
      <c r="D1707" s="7">
        <f>MAX(1,MIN(INT(B1707/$C$4)+1,$C$5))</f>
        <v/>
      </c>
      <c r="E1707" s="26">
        <f>IF($C$5=0,0,INDEX(Symboles!$G$6:$G$101,D1707))</f>
        <v/>
      </c>
      <c r="F1707" s="26">
        <f>IF($C$5=0,0,INDEX(Symboles!$H$6:$H$101,D1707))</f>
        <v/>
      </c>
      <c r="G1707" s="26">
        <f>COS(2*PI()*$C$3*B1707)</f>
        <v/>
      </c>
      <c r="H1707" s="26">
        <f>SIN(2*PI()*$C$3*B1707)</f>
        <v/>
      </c>
      <c r="I1707" s="26">
        <f>E1707*G1707+F1707*H1707</f>
        <v/>
      </c>
    </row>
    <row r="1708">
      <c r="A1708" s="7" t="n">
        <v>1701</v>
      </c>
      <c r="B1708" s="26">
        <f>(A1708-1)/2000*$C$2</f>
        <v/>
      </c>
      <c r="C1708" s="7">
        <f>INDEX(Bits!$E$25:$E$124,INT(B1708)+1)</f>
        <v/>
      </c>
      <c r="D1708" s="7">
        <f>MAX(1,MIN(INT(B1708/$C$4)+1,$C$5))</f>
        <v/>
      </c>
      <c r="E1708" s="26">
        <f>IF($C$5=0,0,INDEX(Symboles!$G$6:$G$101,D1708))</f>
        <v/>
      </c>
      <c r="F1708" s="26">
        <f>IF($C$5=0,0,INDEX(Symboles!$H$6:$H$101,D1708))</f>
        <v/>
      </c>
      <c r="G1708" s="26">
        <f>COS(2*PI()*$C$3*B1708)</f>
        <v/>
      </c>
      <c r="H1708" s="26">
        <f>SIN(2*PI()*$C$3*B1708)</f>
        <v/>
      </c>
      <c r="I1708" s="26">
        <f>E1708*G1708+F1708*H1708</f>
        <v/>
      </c>
    </row>
    <row r="1709">
      <c r="A1709" s="7" t="n">
        <v>1702</v>
      </c>
      <c r="B1709" s="26">
        <f>(A1709-1)/2000*$C$2</f>
        <v/>
      </c>
      <c r="C1709" s="7">
        <f>INDEX(Bits!$E$25:$E$124,INT(B1709)+1)</f>
        <v/>
      </c>
      <c r="D1709" s="7">
        <f>MAX(1,MIN(INT(B1709/$C$4)+1,$C$5))</f>
        <v/>
      </c>
      <c r="E1709" s="26">
        <f>IF($C$5=0,0,INDEX(Symboles!$G$6:$G$101,D1709))</f>
        <v/>
      </c>
      <c r="F1709" s="26">
        <f>IF($C$5=0,0,INDEX(Symboles!$H$6:$H$101,D1709))</f>
        <v/>
      </c>
      <c r="G1709" s="26">
        <f>COS(2*PI()*$C$3*B1709)</f>
        <v/>
      </c>
      <c r="H1709" s="26">
        <f>SIN(2*PI()*$C$3*B1709)</f>
        <v/>
      </c>
      <c r="I1709" s="26">
        <f>E1709*G1709+F1709*H1709</f>
        <v/>
      </c>
    </row>
    <row r="1710">
      <c r="A1710" s="7" t="n">
        <v>1703</v>
      </c>
      <c r="B1710" s="26">
        <f>(A1710-1)/2000*$C$2</f>
        <v/>
      </c>
      <c r="C1710" s="7">
        <f>INDEX(Bits!$E$25:$E$124,INT(B1710)+1)</f>
        <v/>
      </c>
      <c r="D1710" s="7">
        <f>MAX(1,MIN(INT(B1710/$C$4)+1,$C$5))</f>
        <v/>
      </c>
      <c r="E1710" s="26">
        <f>IF($C$5=0,0,INDEX(Symboles!$G$6:$G$101,D1710))</f>
        <v/>
      </c>
      <c r="F1710" s="26">
        <f>IF($C$5=0,0,INDEX(Symboles!$H$6:$H$101,D1710))</f>
        <v/>
      </c>
      <c r="G1710" s="26">
        <f>COS(2*PI()*$C$3*B1710)</f>
        <v/>
      </c>
      <c r="H1710" s="26">
        <f>SIN(2*PI()*$C$3*B1710)</f>
        <v/>
      </c>
      <c r="I1710" s="26">
        <f>E1710*G1710+F1710*H1710</f>
        <v/>
      </c>
    </row>
    <row r="1711">
      <c r="A1711" s="7" t="n">
        <v>1704</v>
      </c>
      <c r="B1711" s="26">
        <f>(A1711-1)/2000*$C$2</f>
        <v/>
      </c>
      <c r="C1711" s="7">
        <f>INDEX(Bits!$E$25:$E$124,INT(B1711)+1)</f>
        <v/>
      </c>
      <c r="D1711" s="7">
        <f>MAX(1,MIN(INT(B1711/$C$4)+1,$C$5))</f>
        <v/>
      </c>
      <c r="E1711" s="26">
        <f>IF($C$5=0,0,INDEX(Symboles!$G$6:$G$101,D1711))</f>
        <v/>
      </c>
      <c r="F1711" s="26">
        <f>IF($C$5=0,0,INDEX(Symboles!$H$6:$H$101,D1711))</f>
        <v/>
      </c>
      <c r="G1711" s="26">
        <f>COS(2*PI()*$C$3*B1711)</f>
        <v/>
      </c>
      <c r="H1711" s="26">
        <f>SIN(2*PI()*$C$3*B1711)</f>
        <v/>
      </c>
      <c r="I1711" s="26">
        <f>E1711*G1711+F1711*H1711</f>
        <v/>
      </c>
    </row>
    <row r="1712">
      <c r="A1712" s="7" t="n">
        <v>1705</v>
      </c>
      <c r="B1712" s="26">
        <f>(A1712-1)/2000*$C$2</f>
        <v/>
      </c>
      <c r="C1712" s="7">
        <f>INDEX(Bits!$E$25:$E$124,INT(B1712)+1)</f>
        <v/>
      </c>
      <c r="D1712" s="7">
        <f>MAX(1,MIN(INT(B1712/$C$4)+1,$C$5))</f>
        <v/>
      </c>
      <c r="E1712" s="26">
        <f>IF($C$5=0,0,INDEX(Symboles!$G$6:$G$101,D1712))</f>
        <v/>
      </c>
      <c r="F1712" s="26">
        <f>IF($C$5=0,0,INDEX(Symboles!$H$6:$H$101,D1712))</f>
        <v/>
      </c>
      <c r="G1712" s="26">
        <f>COS(2*PI()*$C$3*B1712)</f>
        <v/>
      </c>
      <c r="H1712" s="26">
        <f>SIN(2*PI()*$C$3*B1712)</f>
        <v/>
      </c>
      <c r="I1712" s="26">
        <f>E1712*G1712+F1712*H1712</f>
        <v/>
      </c>
    </row>
    <row r="1713">
      <c r="A1713" s="7" t="n">
        <v>1706</v>
      </c>
      <c r="B1713" s="26">
        <f>(A1713-1)/2000*$C$2</f>
        <v/>
      </c>
      <c r="C1713" s="7">
        <f>INDEX(Bits!$E$25:$E$124,INT(B1713)+1)</f>
        <v/>
      </c>
      <c r="D1713" s="7">
        <f>MAX(1,MIN(INT(B1713/$C$4)+1,$C$5))</f>
        <v/>
      </c>
      <c r="E1713" s="26">
        <f>IF($C$5=0,0,INDEX(Symboles!$G$6:$G$101,D1713))</f>
        <v/>
      </c>
      <c r="F1713" s="26">
        <f>IF($C$5=0,0,INDEX(Symboles!$H$6:$H$101,D1713))</f>
        <v/>
      </c>
      <c r="G1713" s="26">
        <f>COS(2*PI()*$C$3*B1713)</f>
        <v/>
      </c>
      <c r="H1713" s="26">
        <f>SIN(2*PI()*$C$3*B1713)</f>
        <v/>
      </c>
      <c r="I1713" s="26">
        <f>E1713*G1713+F1713*H1713</f>
        <v/>
      </c>
    </row>
    <row r="1714">
      <c r="A1714" s="7" t="n">
        <v>1707</v>
      </c>
      <c r="B1714" s="26">
        <f>(A1714-1)/2000*$C$2</f>
        <v/>
      </c>
      <c r="C1714" s="7">
        <f>INDEX(Bits!$E$25:$E$124,INT(B1714)+1)</f>
        <v/>
      </c>
      <c r="D1714" s="7">
        <f>MAX(1,MIN(INT(B1714/$C$4)+1,$C$5))</f>
        <v/>
      </c>
      <c r="E1714" s="26">
        <f>IF($C$5=0,0,INDEX(Symboles!$G$6:$G$101,D1714))</f>
        <v/>
      </c>
      <c r="F1714" s="26">
        <f>IF($C$5=0,0,INDEX(Symboles!$H$6:$H$101,D1714))</f>
        <v/>
      </c>
      <c r="G1714" s="26">
        <f>COS(2*PI()*$C$3*B1714)</f>
        <v/>
      </c>
      <c r="H1714" s="26">
        <f>SIN(2*PI()*$C$3*B1714)</f>
        <v/>
      </c>
      <c r="I1714" s="26">
        <f>E1714*G1714+F1714*H1714</f>
        <v/>
      </c>
    </row>
    <row r="1715">
      <c r="A1715" s="7" t="n">
        <v>1708</v>
      </c>
      <c r="B1715" s="26">
        <f>(A1715-1)/2000*$C$2</f>
        <v/>
      </c>
      <c r="C1715" s="7">
        <f>INDEX(Bits!$E$25:$E$124,INT(B1715)+1)</f>
        <v/>
      </c>
      <c r="D1715" s="7">
        <f>MAX(1,MIN(INT(B1715/$C$4)+1,$C$5))</f>
        <v/>
      </c>
      <c r="E1715" s="26">
        <f>IF($C$5=0,0,INDEX(Symboles!$G$6:$G$101,D1715))</f>
        <v/>
      </c>
      <c r="F1715" s="26">
        <f>IF($C$5=0,0,INDEX(Symboles!$H$6:$H$101,D1715))</f>
        <v/>
      </c>
      <c r="G1715" s="26">
        <f>COS(2*PI()*$C$3*B1715)</f>
        <v/>
      </c>
      <c r="H1715" s="26">
        <f>SIN(2*PI()*$C$3*B1715)</f>
        <v/>
      </c>
      <c r="I1715" s="26">
        <f>E1715*G1715+F1715*H1715</f>
        <v/>
      </c>
    </row>
    <row r="1716">
      <c r="A1716" s="7" t="n">
        <v>1709</v>
      </c>
      <c r="B1716" s="26">
        <f>(A1716-1)/2000*$C$2</f>
        <v/>
      </c>
      <c r="C1716" s="7">
        <f>INDEX(Bits!$E$25:$E$124,INT(B1716)+1)</f>
        <v/>
      </c>
      <c r="D1716" s="7">
        <f>MAX(1,MIN(INT(B1716/$C$4)+1,$C$5))</f>
        <v/>
      </c>
      <c r="E1716" s="26">
        <f>IF($C$5=0,0,INDEX(Symboles!$G$6:$G$101,D1716))</f>
        <v/>
      </c>
      <c r="F1716" s="26">
        <f>IF($C$5=0,0,INDEX(Symboles!$H$6:$H$101,D1716))</f>
        <v/>
      </c>
      <c r="G1716" s="26">
        <f>COS(2*PI()*$C$3*B1716)</f>
        <v/>
      </c>
      <c r="H1716" s="26">
        <f>SIN(2*PI()*$C$3*B1716)</f>
        <v/>
      </c>
      <c r="I1716" s="26">
        <f>E1716*G1716+F1716*H1716</f>
        <v/>
      </c>
    </row>
    <row r="1717">
      <c r="A1717" s="7" t="n">
        <v>1710</v>
      </c>
      <c r="B1717" s="26">
        <f>(A1717-1)/2000*$C$2</f>
        <v/>
      </c>
      <c r="C1717" s="7">
        <f>INDEX(Bits!$E$25:$E$124,INT(B1717)+1)</f>
        <v/>
      </c>
      <c r="D1717" s="7">
        <f>MAX(1,MIN(INT(B1717/$C$4)+1,$C$5))</f>
        <v/>
      </c>
      <c r="E1717" s="26">
        <f>IF($C$5=0,0,INDEX(Symboles!$G$6:$G$101,D1717))</f>
        <v/>
      </c>
      <c r="F1717" s="26">
        <f>IF($C$5=0,0,INDEX(Symboles!$H$6:$H$101,D1717))</f>
        <v/>
      </c>
      <c r="G1717" s="26">
        <f>COS(2*PI()*$C$3*B1717)</f>
        <v/>
      </c>
      <c r="H1717" s="26">
        <f>SIN(2*PI()*$C$3*B1717)</f>
        <v/>
      </c>
      <c r="I1717" s="26">
        <f>E1717*G1717+F1717*H1717</f>
        <v/>
      </c>
    </row>
    <row r="1718">
      <c r="A1718" s="7" t="n">
        <v>1711</v>
      </c>
      <c r="B1718" s="26">
        <f>(A1718-1)/2000*$C$2</f>
        <v/>
      </c>
      <c r="C1718" s="7">
        <f>INDEX(Bits!$E$25:$E$124,INT(B1718)+1)</f>
        <v/>
      </c>
      <c r="D1718" s="7">
        <f>MAX(1,MIN(INT(B1718/$C$4)+1,$C$5))</f>
        <v/>
      </c>
      <c r="E1718" s="26">
        <f>IF($C$5=0,0,INDEX(Symboles!$G$6:$G$101,D1718))</f>
        <v/>
      </c>
      <c r="F1718" s="26">
        <f>IF($C$5=0,0,INDEX(Symboles!$H$6:$H$101,D1718))</f>
        <v/>
      </c>
      <c r="G1718" s="26">
        <f>COS(2*PI()*$C$3*B1718)</f>
        <v/>
      </c>
      <c r="H1718" s="26">
        <f>SIN(2*PI()*$C$3*B1718)</f>
        <v/>
      </c>
      <c r="I1718" s="26">
        <f>E1718*G1718+F1718*H1718</f>
        <v/>
      </c>
    </row>
    <row r="1719">
      <c r="A1719" s="7" t="n">
        <v>1712</v>
      </c>
      <c r="B1719" s="26">
        <f>(A1719-1)/2000*$C$2</f>
        <v/>
      </c>
      <c r="C1719" s="7">
        <f>INDEX(Bits!$E$25:$E$124,INT(B1719)+1)</f>
        <v/>
      </c>
      <c r="D1719" s="7">
        <f>MAX(1,MIN(INT(B1719/$C$4)+1,$C$5))</f>
        <v/>
      </c>
      <c r="E1719" s="26">
        <f>IF($C$5=0,0,INDEX(Symboles!$G$6:$G$101,D1719))</f>
        <v/>
      </c>
      <c r="F1719" s="26">
        <f>IF($C$5=0,0,INDEX(Symboles!$H$6:$H$101,D1719))</f>
        <v/>
      </c>
      <c r="G1719" s="26">
        <f>COS(2*PI()*$C$3*B1719)</f>
        <v/>
      </c>
      <c r="H1719" s="26">
        <f>SIN(2*PI()*$C$3*B1719)</f>
        <v/>
      </c>
      <c r="I1719" s="26">
        <f>E1719*G1719+F1719*H1719</f>
        <v/>
      </c>
    </row>
    <row r="1720">
      <c r="A1720" s="7" t="n">
        <v>1713</v>
      </c>
      <c r="B1720" s="26">
        <f>(A1720-1)/2000*$C$2</f>
        <v/>
      </c>
      <c r="C1720" s="7">
        <f>INDEX(Bits!$E$25:$E$124,INT(B1720)+1)</f>
        <v/>
      </c>
      <c r="D1720" s="7">
        <f>MAX(1,MIN(INT(B1720/$C$4)+1,$C$5))</f>
        <v/>
      </c>
      <c r="E1720" s="26">
        <f>IF($C$5=0,0,INDEX(Symboles!$G$6:$G$101,D1720))</f>
        <v/>
      </c>
      <c r="F1720" s="26">
        <f>IF($C$5=0,0,INDEX(Symboles!$H$6:$H$101,D1720))</f>
        <v/>
      </c>
      <c r="G1720" s="26">
        <f>COS(2*PI()*$C$3*B1720)</f>
        <v/>
      </c>
      <c r="H1720" s="26">
        <f>SIN(2*PI()*$C$3*B1720)</f>
        <v/>
      </c>
      <c r="I1720" s="26">
        <f>E1720*G1720+F1720*H1720</f>
        <v/>
      </c>
    </row>
    <row r="1721">
      <c r="A1721" s="7" t="n">
        <v>1714</v>
      </c>
      <c r="B1721" s="26">
        <f>(A1721-1)/2000*$C$2</f>
        <v/>
      </c>
      <c r="C1721" s="7">
        <f>INDEX(Bits!$E$25:$E$124,INT(B1721)+1)</f>
        <v/>
      </c>
      <c r="D1721" s="7">
        <f>MAX(1,MIN(INT(B1721/$C$4)+1,$C$5))</f>
        <v/>
      </c>
      <c r="E1721" s="26">
        <f>IF($C$5=0,0,INDEX(Symboles!$G$6:$G$101,D1721))</f>
        <v/>
      </c>
      <c r="F1721" s="26">
        <f>IF($C$5=0,0,INDEX(Symboles!$H$6:$H$101,D1721))</f>
        <v/>
      </c>
      <c r="G1721" s="26">
        <f>COS(2*PI()*$C$3*B1721)</f>
        <v/>
      </c>
      <c r="H1721" s="26">
        <f>SIN(2*PI()*$C$3*B1721)</f>
        <v/>
      </c>
      <c r="I1721" s="26">
        <f>E1721*G1721+F1721*H1721</f>
        <v/>
      </c>
    </row>
    <row r="1722">
      <c r="A1722" s="7" t="n">
        <v>1715</v>
      </c>
      <c r="B1722" s="26">
        <f>(A1722-1)/2000*$C$2</f>
        <v/>
      </c>
      <c r="C1722" s="7">
        <f>INDEX(Bits!$E$25:$E$124,INT(B1722)+1)</f>
        <v/>
      </c>
      <c r="D1722" s="7">
        <f>MAX(1,MIN(INT(B1722/$C$4)+1,$C$5))</f>
        <v/>
      </c>
      <c r="E1722" s="26">
        <f>IF($C$5=0,0,INDEX(Symboles!$G$6:$G$101,D1722))</f>
        <v/>
      </c>
      <c r="F1722" s="26">
        <f>IF($C$5=0,0,INDEX(Symboles!$H$6:$H$101,D1722))</f>
        <v/>
      </c>
      <c r="G1722" s="26">
        <f>COS(2*PI()*$C$3*B1722)</f>
        <v/>
      </c>
      <c r="H1722" s="26">
        <f>SIN(2*PI()*$C$3*B1722)</f>
        <v/>
      </c>
      <c r="I1722" s="26">
        <f>E1722*G1722+F1722*H1722</f>
        <v/>
      </c>
    </row>
    <row r="1723">
      <c r="A1723" s="7" t="n">
        <v>1716</v>
      </c>
      <c r="B1723" s="26">
        <f>(A1723-1)/2000*$C$2</f>
        <v/>
      </c>
      <c r="C1723" s="7">
        <f>INDEX(Bits!$E$25:$E$124,INT(B1723)+1)</f>
        <v/>
      </c>
      <c r="D1723" s="7">
        <f>MAX(1,MIN(INT(B1723/$C$4)+1,$C$5))</f>
        <v/>
      </c>
      <c r="E1723" s="26">
        <f>IF($C$5=0,0,INDEX(Symboles!$G$6:$G$101,D1723))</f>
        <v/>
      </c>
      <c r="F1723" s="26">
        <f>IF($C$5=0,0,INDEX(Symboles!$H$6:$H$101,D1723))</f>
        <v/>
      </c>
      <c r="G1723" s="26">
        <f>COS(2*PI()*$C$3*B1723)</f>
        <v/>
      </c>
      <c r="H1723" s="26">
        <f>SIN(2*PI()*$C$3*B1723)</f>
        <v/>
      </c>
      <c r="I1723" s="26">
        <f>E1723*G1723+F1723*H1723</f>
        <v/>
      </c>
    </row>
    <row r="1724">
      <c r="A1724" s="7" t="n">
        <v>1717</v>
      </c>
      <c r="B1724" s="26">
        <f>(A1724-1)/2000*$C$2</f>
        <v/>
      </c>
      <c r="C1724" s="7">
        <f>INDEX(Bits!$E$25:$E$124,INT(B1724)+1)</f>
        <v/>
      </c>
      <c r="D1724" s="7">
        <f>MAX(1,MIN(INT(B1724/$C$4)+1,$C$5))</f>
        <v/>
      </c>
      <c r="E1724" s="26">
        <f>IF($C$5=0,0,INDEX(Symboles!$G$6:$G$101,D1724))</f>
        <v/>
      </c>
      <c r="F1724" s="26">
        <f>IF($C$5=0,0,INDEX(Symboles!$H$6:$H$101,D1724))</f>
        <v/>
      </c>
      <c r="G1724" s="26">
        <f>COS(2*PI()*$C$3*B1724)</f>
        <v/>
      </c>
      <c r="H1724" s="26">
        <f>SIN(2*PI()*$C$3*B1724)</f>
        <v/>
      </c>
      <c r="I1724" s="26">
        <f>E1724*G1724+F1724*H1724</f>
        <v/>
      </c>
    </row>
    <row r="1725">
      <c r="A1725" s="7" t="n">
        <v>1718</v>
      </c>
      <c r="B1725" s="26">
        <f>(A1725-1)/2000*$C$2</f>
        <v/>
      </c>
      <c r="C1725" s="7">
        <f>INDEX(Bits!$E$25:$E$124,INT(B1725)+1)</f>
        <v/>
      </c>
      <c r="D1725" s="7">
        <f>MAX(1,MIN(INT(B1725/$C$4)+1,$C$5))</f>
        <v/>
      </c>
      <c r="E1725" s="26">
        <f>IF($C$5=0,0,INDEX(Symboles!$G$6:$G$101,D1725))</f>
        <v/>
      </c>
      <c r="F1725" s="26">
        <f>IF($C$5=0,0,INDEX(Symboles!$H$6:$H$101,D1725))</f>
        <v/>
      </c>
      <c r="G1725" s="26">
        <f>COS(2*PI()*$C$3*B1725)</f>
        <v/>
      </c>
      <c r="H1725" s="26">
        <f>SIN(2*PI()*$C$3*B1725)</f>
        <v/>
      </c>
      <c r="I1725" s="26">
        <f>E1725*G1725+F1725*H1725</f>
        <v/>
      </c>
    </row>
    <row r="1726">
      <c r="A1726" s="7" t="n">
        <v>1719</v>
      </c>
      <c r="B1726" s="26">
        <f>(A1726-1)/2000*$C$2</f>
        <v/>
      </c>
      <c r="C1726" s="7">
        <f>INDEX(Bits!$E$25:$E$124,INT(B1726)+1)</f>
        <v/>
      </c>
      <c r="D1726" s="7">
        <f>MAX(1,MIN(INT(B1726/$C$4)+1,$C$5))</f>
        <v/>
      </c>
      <c r="E1726" s="26">
        <f>IF($C$5=0,0,INDEX(Symboles!$G$6:$G$101,D1726))</f>
        <v/>
      </c>
      <c r="F1726" s="26">
        <f>IF($C$5=0,0,INDEX(Symboles!$H$6:$H$101,D1726))</f>
        <v/>
      </c>
      <c r="G1726" s="26">
        <f>COS(2*PI()*$C$3*B1726)</f>
        <v/>
      </c>
      <c r="H1726" s="26">
        <f>SIN(2*PI()*$C$3*B1726)</f>
        <v/>
      </c>
      <c r="I1726" s="26">
        <f>E1726*G1726+F1726*H1726</f>
        <v/>
      </c>
    </row>
    <row r="1727">
      <c r="A1727" s="7" t="n">
        <v>1720</v>
      </c>
      <c r="B1727" s="26">
        <f>(A1727-1)/2000*$C$2</f>
        <v/>
      </c>
      <c r="C1727" s="7">
        <f>INDEX(Bits!$E$25:$E$124,INT(B1727)+1)</f>
        <v/>
      </c>
      <c r="D1727" s="7">
        <f>MAX(1,MIN(INT(B1727/$C$4)+1,$C$5))</f>
        <v/>
      </c>
      <c r="E1727" s="26">
        <f>IF($C$5=0,0,INDEX(Symboles!$G$6:$G$101,D1727))</f>
        <v/>
      </c>
      <c r="F1727" s="26">
        <f>IF($C$5=0,0,INDEX(Symboles!$H$6:$H$101,D1727))</f>
        <v/>
      </c>
      <c r="G1727" s="26">
        <f>COS(2*PI()*$C$3*B1727)</f>
        <v/>
      </c>
      <c r="H1727" s="26">
        <f>SIN(2*PI()*$C$3*B1727)</f>
        <v/>
      </c>
      <c r="I1727" s="26">
        <f>E1727*G1727+F1727*H1727</f>
        <v/>
      </c>
    </row>
    <row r="1728">
      <c r="A1728" s="7" t="n">
        <v>1721</v>
      </c>
      <c r="B1728" s="26">
        <f>(A1728-1)/2000*$C$2</f>
        <v/>
      </c>
      <c r="C1728" s="7">
        <f>INDEX(Bits!$E$25:$E$124,INT(B1728)+1)</f>
        <v/>
      </c>
      <c r="D1728" s="7">
        <f>MAX(1,MIN(INT(B1728/$C$4)+1,$C$5))</f>
        <v/>
      </c>
      <c r="E1728" s="26">
        <f>IF($C$5=0,0,INDEX(Symboles!$G$6:$G$101,D1728))</f>
        <v/>
      </c>
      <c r="F1728" s="26">
        <f>IF($C$5=0,0,INDEX(Symboles!$H$6:$H$101,D1728))</f>
        <v/>
      </c>
      <c r="G1728" s="26">
        <f>COS(2*PI()*$C$3*B1728)</f>
        <v/>
      </c>
      <c r="H1728" s="26">
        <f>SIN(2*PI()*$C$3*B1728)</f>
        <v/>
      </c>
      <c r="I1728" s="26">
        <f>E1728*G1728+F1728*H1728</f>
        <v/>
      </c>
    </row>
    <row r="1729">
      <c r="A1729" s="7" t="n">
        <v>1722</v>
      </c>
      <c r="B1729" s="26">
        <f>(A1729-1)/2000*$C$2</f>
        <v/>
      </c>
      <c r="C1729" s="7">
        <f>INDEX(Bits!$E$25:$E$124,INT(B1729)+1)</f>
        <v/>
      </c>
      <c r="D1729" s="7">
        <f>MAX(1,MIN(INT(B1729/$C$4)+1,$C$5))</f>
        <v/>
      </c>
      <c r="E1729" s="26">
        <f>IF($C$5=0,0,INDEX(Symboles!$G$6:$G$101,D1729))</f>
        <v/>
      </c>
      <c r="F1729" s="26">
        <f>IF($C$5=0,0,INDEX(Symboles!$H$6:$H$101,D1729))</f>
        <v/>
      </c>
      <c r="G1729" s="26">
        <f>COS(2*PI()*$C$3*B1729)</f>
        <v/>
      </c>
      <c r="H1729" s="26">
        <f>SIN(2*PI()*$C$3*B1729)</f>
        <v/>
      </c>
      <c r="I1729" s="26">
        <f>E1729*G1729+F1729*H1729</f>
        <v/>
      </c>
    </row>
    <row r="1730">
      <c r="A1730" s="7" t="n">
        <v>1723</v>
      </c>
      <c r="B1730" s="26">
        <f>(A1730-1)/2000*$C$2</f>
        <v/>
      </c>
      <c r="C1730" s="7">
        <f>INDEX(Bits!$E$25:$E$124,INT(B1730)+1)</f>
        <v/>
      </c>
      <c r="D1730" s="7">
        <f>MAX(1,MIN(INT(B1730/$C$4)+1,$C$5))</f>
        <v/>
      </c>
      <c r="E1730" s="26">
        <f>IF($C$5=0,0,INDEX(Symboles!$G$6:$G$101,D1730))</f>
        <v/>
      </c>
      <c r="F1730" s="26">
        <f>IF($C$5=0,0,INDEX(Symboles!$H$6:$H$101,D1730))</f>
        <v/>
      </c>
      <c r="G1730" s="26">
        <f>COS(2*PI()*$C$3*B1730)</f>
        <v/>
      </c>
      <c r="H1730" s="26">
        <f>SIN(2*PI()*$C$3*B1730)</f>
        <v/>
      </c>
      <c r="I1730" s="26">
        <f>E1730*G1730+F1730*H1730</f>
        <v/>
      </c>
    </row>
    <row r="1731">
      <c r="A1731" s="7" t="n">
        <v>1724</v>
      </c>
      <c r="B1731" s="26">
        <f>(A1731-1)/2000*$C$2</f>
        <v/>
      </c>
      <c r="C1731" s="7">
        <f>INDEX(Bits!$E$25:$E$124,INT(B1731)+1)</f>
        <v/>
      </c>
      <c r="D1731" s="7">
        <f>MAX(1,MIN(INT(B1731/$C$4)+1,$C$5))</f>
        <v/>
      </c>
      <c r="E1731" s="26">
        <f>IF($C$5=0,0,INDEX(Symboles!$G$6:$G$101,D1731))</f>
        <v/>
      </c>
      <c r="F1731" s="26">
        <f>IF($C$5=0,0,INDEX(Symboles!$H$6:$H$101,D1731))</f>
        <v/>
      </c>
      <c r="G1731" s="26">
        <f>COS(2*PI()*$C$3*B1731)</f>
        <v/>
      </c>
      <c r="H1731" s="26">
        <f>SIN(2*PI()*$C$3*B1731)</f>
        <v/>
      </c>
      <c r="I1731" s="26">
        <f>E1731*G1731+F1731*H1731</f>
        <v/>
      </c>
    </row>
    <row r="1732">
      <c r="A1732" s="7" t="n">
        <v>1725</v>
      </c>
      <c r="B1732" s="26">
        <f>(A1732-1)/2000*$C$2</f>
        <v/>
      </c>
      <c r="C1732" s="7">
        <f>INDEX(Bits!$E$25:$E$124,INT(B1732)+1)</f>
        <v/>
      </c>
      <c r="D1732" s="7">
        <f>MAX(1,MIN(INT(B1732/$C$4)+1,$C$5))</f>
        <v/>
      </c>
      <c r="E1732" s="26">
        <f>IF($C$5=0,0,INDEX(Symboles!$G$6:$G$101,D1732))</f>
        <v/>
      </c>
      <c r="F1732" s="26">
        <f>IF($C$5=0,0,INDEX(Symboles!$H$6:$H$101,D1732))</f>
        <v/>
      </c>
      <c r="G1732" s="26">
        <f>COS(2*PI()*$C$3*B1732)</f>
        <v/>
      </c>
      <c r="H1732" s="26">
        <f>SIN(2*PI()*$C$3*B1732)</f>
        <v/>
      </c>
      <c r="I1732" s="26">
        <f>E1732*G1732+F1732*H1732</f>
        <v/>
      </c>
    </row>
    <row r="1733">
      <c r="A1733" s="7" t="n">
        <v>1726</v>
      </c>
      <c r="B1733" s="26">
        <f>(A1733-1)/2000*$C$2</f>
        <v/>
      </c>
      <c r="C1733" s="7">
        <f>INDEX(Bits!$E$25:$E$124,INT(B1733)+1)</f>
        <v/>
      </c>
      <c r="D1733" s="7">
        <f>MAX(1,MIN(INT(B1733/$C$4)+1,$C$5))</f>
        <v/>
      </c>
      <c r="E1733" s="26">
        <f>IF($C$5=0,0,INDEX(Symboles!$G$6:$G$101,D1733))</f>
        <v/>
      </c>
      <c r="F1733" s="26">
        <f>IF($C$5=0,0,INDEX(Symboles!$H$6:$H$101,D1733))</f>
        <v/>
      </c>
      <c r="G1733" s="26">
        <f>COS(2*PI()*$C$3*B1733)</f>
        <v/>
      </c>
      <c r="H1733" s="26">
        <f>SIN(2*PI()*$C$3*B1733)</f>
        <v/>
      </c>
      <c r="I1733" s="26">
        <f>E1733*G1733+F1733*H1733</f>
        <v/>
      </c>
    </row>
    <row r="1734">
      <c r="A1734" s="7" t="n">
        <v>1727</v>
      </c>
      <c r="B1734" s="26">
        <f>(A1734-1)/2000*$C$2</f>
        <v/>
      </c>
      <c r="C1734" s="7">
        <f>INDEX(Bits!$E$25:$E$124,INT(B1734)+1)</f>
        <v/>
      </c>
      <c r="D1734" s="7">
        <f>MAX(1,MIN(INT(B1734/$C$4)+1,$C$5))</f>
        <v/>
      </c>
      <c r="E1734" s="26">
        <f>IF($C$5=0,0,INDEX(Symboles!$G$6:$G$101,D1734))</f>
        <v/>
      </c>
      <c r="F1734" s="26">
        <f>IF($C$5=0,0,INDEX(Symboles!$H$6:$H$101,D1734))</f>
        <v/>
      </c>
      <c r="G1734" s="26">
        <f>COS(2*PI()*$C$3*B1734)</f>
        <v/>
      </c>
      <c r="H1734" s="26">
        <f>SIN(2*PI()*$C$3*B1734)</f>
        <v/>
      </c>
      <c r="I1734" s="26">
        <f>E1734*G1734+F1734*H1734</f>
        <v/>
      </c>
    </row>
    <row r="1735">
      <c r="A1735" s="7" t="n">
        <v>1728</v>
      </c>
      <c r="B1735" s="26">
        <f>(A1735-1)/2000*$C$2</f>
        <v/>
      </c>
      <c r="C1735" s="7">
        <f>INDEX(Bits!$E$25:$E$124,INT(B1735)+1)</f>
        <v/>
      </c>
      <c r="D1735" s="7">
        <f>MAX(1,MIN(INT(B1735/$C$4)+1,$C$5))</f>
        <v/>
      </c>
      <c r="E1735" s="26">
        <f>IF($C$5=0,0,INDEX(Symboles!$G$6:$G$101,D1735))</f>
        <v/>
      </c>
      <c r="F1735" s="26">
        <f>IF($C$5=0,0,INDEX(Symboles!$H$6:$H$101,D1735))</f>
        <v/>
      </c>
      <c r="G1735" s="26">
        <f>COS(2*PI()*$C$3*B1735)</f>
        <v/>
      </c>
      <c r="H1735" s="26">
        <f>SIN(2*PI()*$C$3*B1735)</f>
        <v/>
      </c>
      <c r="I1735" s="26">
        <f>E1735*G1735+F1735*H1735</f>
        <v/>
      </c>
    </row>
    <row r="1736">
      <c r="A1736" s="7" t="n">
        <v>1729</v>
      </c>
      <c r="B1736" s="26">
        <f>(A1736-1)/2000*$C$2</f>
        <v/>
      </c>
      <c r="C1736" s="7">
        <f>INDEX(Bits!$E$25:$E$124,INT(B1736)+1)</f>
        <v/>
      </c>
      <c r="D1736" s="7">
        <f>MAX(1,MIN(INT(B1736/$C$4)+1,$C$5))</f>
        <v/>
      </c>
      <c r="E1736" s="26">
        <f>IF($C$5=0,0,INDEX(Symboles!$G$6:$G$101,D1736))</f>
        <v/>
      </c>
      <c r="F1736" s="26">
        <f>IF($C$5=0,0,INDEX(Symboles!$H$6:$H$101,D1736))</f>
        <v/>
      </c>
      <c r="G1736" s="26">
        <f>COS(2*PI()*$C$3*B1736)</f>
        <v/>
      </c>
      <c r="H1736" s="26">
        <f>SIN(2*PI()*$C$3*B1736)</f>
        <v/>
      </c>
      <c r="I1736" s="26">
        <f>E1736*G1736+F1736*H1736</f>
        <v/>
      </c>
    </row>
    <row r="1737">
      <c r="A1737" s="7" t="n">
        <v>1730</v>
      </c>
      <c r="B1737" s="26">
        <f>(A1737-1)/2000*$C$2</f>
        <v/>
      </c>
      <c r="C1737" s="7">
        <f>INDEX(Bits!$E$25:$E$124,INT(B1737)+1)</f>
        <v/>
      </c>
      <c r="D1737" s="7">
        <f>MAX(1,MIN(INT(B1737/$C$4)+1,$C$5))</f>
        <v/>
      </c>
      <c r="E1737" s="26">
        <f>IF($C$5=0,0,INDEX(Symboles!$G$6:$G$101,D1737))</f>
        <v/>
      </c>
      <c r="F1737" s="26">
        <f>IF($C$5=0,0,INDEX(Symboles!$H$6:$H$101,D1737))</f>
        <v/>
      </c>
      <c r="G1737" s="26">
        <f>COS(2*PI()*$C$3*B1737)</f>
        <v/>
      </c>
      <c r="H1737" s="26">
        <f>SIN(2*PI()*$C$3*B1737)</f>
        <v/>
      </c>
      <c r="I1737" s="26">
        <f>E1737*G1737+F1737*H1737</f>
        <v/>
      </c>
    </row>
    <row r="1738">
      <c r="A1738" s="7" t="n">
        <v>1731</v>
      </c>
      <c r="B1738" s="26">
        <f>(A1738-1)/2000*$C$2</f>
        <v/>
      </c>
      <c r="C1738" s="7">
        <f>INDEX(Bits!$E$25:$E$124,INT(B1738)+1)</f>
        <v/>
      </c>
      <c r="D1738" s="7">
        <f>MAX(1,MIN(INT(B1738/$C$4)+1,$C$5))</f>
        <v/>
      </c>
      <c r="E1738" s="26">
        <f>IF($C$5=0,0,INDEX(Symboles!$G$6:$G$101,D1738))</f>
        <v/>
      </c>
      <c r="F1738" s="26">
        <f>IF($C$5=0,0,INDEX(Symboles!$H$6:$H$101,D1738))</f>
        <v/>
      </c>
      <c r="G1738" s="26">
        <f>COS(2*PI()*$C$3*B1738)</f>
        <v/>
      </c>
      <c r="H1738" s="26">
        <f>SIN(2*PI()*$C$3*B1738)</f>
        <v/>
      </c>
      <c r="I1738" s="26">
        <f>E1738*G1738+F1738*H1738</f>
        <v/>
      </c>
    </row>
    <row r="1739">
      <c r="A1739" s="7" t="n">
        <v>1732</v>
      </c>
      <c r="B1739" s="26">
        <f>(A1739-1)/2000*$C$2</f>
        <v/>
      </c>
      <c r="C1739" s="7">
        <f>INDEX(Bits!$E$25:$E$124,INT(B1739)+1)</f>
        <v/>
      </c>
      <c r="D1739" s="7">
        <f>MAX(1,MIN(INT(B1739/$C$4)+1,$C$5))</f>
        <v/>
      </c>
      <c r="E1739" s="26">
        <f>IF($C$5=0,0,INDEX(Symboles!$G$6:$G$101,D1739))</f>
        <v/>
      </c>
      <c r="F1739" s="26">
        <f>IF($C$5=0,0,INDEX(Symboles!$H$6:$H$101,D1739))</f>
        <v/>
      </c>
      <c r="G1739" s="26">
        <f>COS(2*PI()*$C$3*B1739)</f>
        <v/>
      </c>
      <c r="H1739" s="26">
        <f>SIN(2*PI()*$C$3*B1739)</f>
        <v/>
      </c>
      <c r="I1739" s="26">
        <f>E1739*G1739+F1739*H1739</f>
        <v/>
      </c>
    </row>
    <row r="1740">
      <c r="A1740" s="7" t="n">
        <v>1733</v>
      </c>
      <c r="B1740" s="26">
        <f>(A1740-1)/2000*$C$2</f>
        <v/>
      </c>
      <c r="C1740" s="7">
        <f>INDEX(Bits!$E$25:$E$124,INT(B1740)+1)</f>
        <v/>
      </c>
      <c r="D1740" s="7">
        <f>MAX(1,MIN(INT(B1740/$C$4)+1,$C$5))</f>
        <v/>
      </c>
      <c r="E1740" s="26">
        <f>IF($C$5=0,0,INDEX(Symboles!$G$6:$G$101,D1740))</f>
        <v/>
      </c>
      <c r="F1740" s="26">
        <f>IF($C$5=0,0,INDEX(Symboles!$H$6:$H$101,D1740))</f>
        <v/>
      </c>
      <c r="G1740" s="26">
        <f>COS(2*PI()*$C$3*B1740)</f>
        <v/>
      </c>
      <c r="H1740" s="26">
        <f>SIN(2*PI()*$C$3*B1740)</f>
        <v/>
      </c>
      <c r="I1740" s="26">
        <f>E1740*G1740+F1740*H1740</f>
        <v/>
      </c>
    </row>
    <row r="1741">
      <c r="A1741" s="7" t="n">
        <v>1734</v>
      </c>
      <c r="B1741" s="26">
        <f>(A1741-1)/2000*$C$2</f>
        <v/>
      </c>
      <c r="C1741" s="7">
        <f>INDEX(Bits!$E$25:$E$124,INT(B1741)+1)</f>
        <v/>
      </c>
      <c r="D1741" s="7">
        <f>MAX(1,MIN(INT(B1741/$C$4)+1,$C$5))</f>
        <v/>
      </c>
      <c r="E1741" s="26">
        <f>IF($C$5=0,0,INDEX(Symboles!$G$6:$G$101,D1741))</f>
        <v/>
      </c>
      <c r="F1741" s="26">
        <f>IF($C$5=0,0,INDEX(Symboles!$H$6:$H$101,D1741))</f>
        <v/>
      </c>
      <c r="G1741" s="26">
        <f>COS(2*PI()*$C$3*B1741)</f>
        <v/>
      </c>
      <c r="H1741" s="26">
        <f>SIN(2*PI()*$C$3*B1741)</f>
        <v/>
      </c>
      <c r="I1741" s="26">
        <f>E1741*G1741+F1741*H1741</f>
        <v/>
      </c>
    </row>
    <row r="1742">
      <c r="A1742" s="7" t="n">
        <v>1735</v>
      </c>
      <c r="B1742" s="26">
        <f>(A1742-1)/2000*$C$2</f>
        <v/>
      </c>
      <c r="C1742" s="7">
        <f>INDEX(Bits!$E$25:$E$124,INT(B1742)+1)</f>
        <v/>
      </c>
      <c r="D1742" s="7">
        <f>MAX(1,MIN(INT(B1742/$C$4)+1,$C$5))</f>
        <v/>
      </c>
      <c r="E1742" s="26">
        <f>IF($C$5=0,0,INDEX(Symboles!$G$6:$G$101,D1742))</f>
        <v/>
      </c>
      <c r="F1742" s="26">
        <f>IF($C$5=0,0,INDEX(Symboles!$H$6:$H$101,D1742))</f>
        <v/>
      </c>
      <c r="G1742" s="26">
        <f>COS(2*PI()*$C$3*B1742)</f>
        <v/>
      </c>
      <c r="H1742" s="26">
        <f>SIN(2*PI()*$C$3*B1742)</f>
        <v/>
      </c>
      <c r="I1742" s="26">
        <f>E1742*G1742+F1742*H1742</f>
        <v/>
      </c>
    </row>
    <row r="1743">
      <c r="A1743" s="7" t="n">
        <v>1736</v>
      </c>
      <c r="B1743" s="26">
        <f>(A1743-1)/2000*$C$2</f>
        <v/>
      </c>
      <c r="C1743" s="7">
        <f>INDEX(Bits!$E$25:$E$124,INT(B1743)+1)</f>
        <v/>
      </c>
      <c r="D1743" s="7">
        <f>MAX(1,MIN(INT(B1743/$C$4)+1,$C$5))</f>
        <v/>
      </c>
      <c r="E1743" s="26">
        <f>IF($C$5=0,0,INDEX(Symboles!$G$6:$G$101,D1743))</f>
        <v/>
      </c>
      <c r="F1743" s="26">
        <f>IF($C$5=0,0,INDEX(Symboles!$H$6:$H$101,D1743))</f>
        <v/>
      </c>
      <c r="G1743" s="26">
        <f>COS(2*PI()*$C$3*B1743)</f>
        <v/>
      </c>
      <c r="H1743" s="26">
        <f>SIN(2*PI()*$C$3*B1743)</f>
        <v/>
      </c>
      <c r="I1743" s="26">
        <f>E1743*G1743+F1743*H1743</f>
        <v/>
      </c>
    </row>
    <row r="1744">
      <c r="A1744" s="7" t="n">
        <v>1737</v>
      </c>
      <c r="B1744" s="26">
        <f>(A1744-1)/2000*$C$2</f>
        <v/>
      </c>
      <c r="C1744" s="7">
        <f>INDEX(Bits!$E$25:$E$124,INT(B1744)+1)</f>
        <v/>
      </c>
      <c r="D1744" s="7">
        <f>MAX(1,MIN(INT(B1744/$C$4)+1,$C$5))</f>
        <v/>
      </c>
      <c r="E1744" s="26">
        <f>IF($C$5=0,0,INDEX(Symboles!$G$6:$G$101,D1744))</f>
        <v/>
      </c>
      <c r="F1744" s="26">
        <f>IF($C$5=0,0,INDEX(Symboles!$H$6:$H$101,D1744))</f>
        <v/>
      </c>
      <c r="G1744" s="26">
        <f>COS(2*PI()*$C$3*B1744)</f>
        <v/>
      </c>
      <c r="H1744" s="26">
        <f>SIN(2*PI()*$C$3*B1744)</f>
        <v/>
      </c>
      <c r="I1744" s="26">
        <f>E1744*G1744+F1744*H1744</f>
        <v/>
      </c>
    </row>
    <row r="1745">
      <c r="A1745" s="7" t="n">
        <v>1738</v>
      </c>
      <c r="B1745" s="26">
        <f>(A1745-1)/2000*$C$2</f>
        <v/>
      </c>
      <c r="C1745" s="7">
        <f>INDEX(Bits!$E$25:$E$124,INT(B1745)+1)</f>
        <v/>
      </c>
      <c r="D1745" s="7">
        <f>MAX(1,MIN(INT(B1745/$C$4)+1,$C$5))</f>
        <v/>
      </c>
      <c r="E1745" s="26">
        <f>IF($C$5=0,0,INDEX(Symboles!$G$6:$G$101,D1745))</f>
        <v/>
      </c>
      <c r="F1745" s="26">
        <f>IF($C$5=0,0,INDEX(Symboles!$H$6:$H$101,D1745))</f>
        <v/>
      </c>
      <c r="G1745" s="26">
        <f>COS(2*PI()*$C$3*B1745)</f>
        <v/>
      </c>
      <c r="H1745" s="26">
        <f>SIN(2*PI()*$C$3*B1745)</f>
        <v/>
      </c>
      <c r="I1745" s="26">
        <f>E1745*G1745+F1745*H1745</f>
        <v/>
      </c>
    </row>
    <row r="1746">
      <c r="A1746" s="7" t="n">
        <v>1739</v>
      </c>
      <c r="B1746" s="26">
        <f>(A1746-1)/2000*$C$2</f>
        <v/>
      </c>
      <c r="C1746" s="7">
        <f>INDEX(Bits!$E$25:$E$124,INT(B1746)+1)</f>
        <v/>
      </c>
      <c r="D1746" s="7">
        <f>MAX(1,MIN(INT(B1746/$C$4)+1,$C$5))</f>
        <v/>
      </c>
      <c r="E1746" s="26">
        <f>IF($C$5=0,0,INDEX(Symboles!$G$6:$G$101,D1746))</f>
        <v/>
      </c>
      <c r="F1746" s="26">
        <f>IF($C$5=0,0,INDEX(Symboles!$H$6:$H$101,D1746))</f>
        <v/>
      </c>
      <c r="G1746" s="26">
        <f>COS(2*PI()*$C$3*B1746)</f>
        <v/>
      </c>
      <c r="H1746" s="26">
        <f>SIN(2*PI()*$C$3*B1746)</f>
        <v/>
      </c>
      <c r="I1746" s="26">
        <f>E1746*G1746+F1746*H1746</f>
        <v/>
      </c>
    </row>
    <row r="1747">
      <c r="A1747" s="7" t="n">
        <v>1740</v>
      </c>
      <c r="B1747" s="26">
        <f>(A1747-1)/2000*$C$2</f>
        <v/>
      </c>
      <c r="C1747" s="7">
        <f>INDEX(Bits!$E$25:$E$124,INT(B1747)+1)</f>
        <v/>
      </c>
      <c r="D1747" s="7">
        <f>MAX(1,MIN(INT(B1747/$C$4)+1,$C$5))</f>
        <v/>
      </c>
      <c r="E1747" s="26">
        <f>IF($C$5=0,0,INDEX(Symboles!$G$6:$G$101,D1747))</f>
        <v/>
      </c>
      <c r="F1747" s="26">
        <f>IF($C$5=0,0,INDEX(Symboles!$H$6:$H$101,D1747))</f>
        <v/>
      </c>
      <c r="G1747" s="26">
        <f>COS(2*PI()*$C$3*B1747)</f>
        <v/>
      </c>
      <c r="H1747" s="26">
        <f>SIN(2*PI()*$C$3*B1747)</f>
        <v/>
      </c>
      <c r="I1747" s="26">
        <f>E1747*G1747+F1747*H1747</f>
        <v/>
      </c>
    </row>
    <row r="1748">
      <c r="A1748" s="7" t="n">
        <v>1741</v>
      </c>
      <c r="B1748" s="26">
        <f>(A1748-1)/2000*$C$2</f>
        <v/>
      </c>
      <c r="C1748" s="7">
        <f>INDEX(Bits!$E$25:$E$124,INT(B1748)+1)</f>
        <v/>
      </c>
      <c r="D1748" s="7">
        <f>MAX(1,MIN(INT(B1748/$C$4)+1,$C$5))</f>
        <v/>
      </c>
      <c r="E1748" s="26">
        <f>IF($C$5=0,0,INDEX(Symboles!$G$6:$G$101,D1748))</f>
        <v/>
      </c>
      <c r="F1748" s="26">
        <f>IF($C$5=0,0,INDEX(Symboles!$H$6:$H$101,D1748))</f>
        <v/>
      </c>
      <c r="G1748" s="26">
        <f>COS(2*PI()*$C$3*B1748)</f>
        <v/>
      </c>
      <c r="H1748" s="26">
        <f>SIN(2*PI()*$C$3*B1748)</f>
        <v/>
      </c>
      <c r="I1748" s="26">
        <f>E1748*G1748+F1748*H1748</f>
        <v/>
      </c>
    </row>
    <row r="1749">
      <c r="A1749" s="7" t="n">
        <v>1742</v>
      </c>
      <c r="B1749" s="26">
        <f>(A1749-1)/2000*$C$2</f>
        <v/>
      </c>
      <c r="C1749" s="7">
        <f>INDEX(Bits!$E$25:$E$124,INT(B1749)+1)</f>
        <v/>
      </c>
      <c r="D1749" s="7">
        <f>MAX(1,MIN(INT(B1749/$C$4)+1,$C$5))</f>
        <v/>
      </c>
      <c r="E1749" s="26">
        <f>IF($C$5=0,0,INDEX(Symboles!$G$6:$G$101,D1749))</f>
        <v/>
      </c>
      <c r="F1749" s="26">
        <f>IF($C$5=0,0,INDEX(Symboles!$H$6:$H$101,D1749))</f>
        <v/>
      </c>
      <c r="G1749" s="26">
        <f>COS(2*PI()*$C$3*B1749)</f>
        <v/>
      </c>
      <c r="H1749" s="26">
        <f>SIN(2*PI()*$C$3*B1749)</f>
        <v/>
      </c>
      <c r="I1749" s="26">
        <f>E1749*G1749+F1749*H1749</f>
        <v/>
      </c>
    </row>
    <row r="1750">
      <c r="A1750" s="7" t="n">
        <v>1743</v>
      </c>
      <c r="B1750" s="26">
        <f>(A1750-1)/2000*$C$2</f>
        <v/>
      </c>
      <c r="C1750" s="7">
        <f>INDEX(Bits!$E$25:$E$124,INT(B1750)+1)</f>
        <v/>
      </c>
      <c r="D1750" s="7">
        <f>MAX(1,MIN(INT(B1750/$C$4)+1,$C$5))</f>
        <v/>
      </c>
      <c r="E1750" s="26">
        <f>IF($C$5=0,0,INDEX(Symboles!$G$6:$G$101,D1750))</f>
        <v/>
      </c>
      <c r="F1750" s="26">
        <f>IF($C$5=0,0,INDEX(Symboles!$H$6:$H$101,D1750))</f>
        <v/>
      </c>
      <c r="G1750" s="26">
        <f>COS(2*PI()*$C$3*B1750)</f>
        <v/>
      </c>
      <c r="H1750" s="26">
        <f>SIN(2*PI()*$C$3*B1750)</f>
        <v/>
      </c>
      <c r="I1750" s="26">
        <f>E1750*G1750+F1750*H1750</f>
        <v/>
      </c>
    </row>
    <row r="1751">
      <c r="A1751" s="7" t="n">
        <v>1744</v>
      </c>
      <c r="B1751" s="26">
        <f>(A1751-1)/2000*$C$2</f>
        <v/>
      </c>
      <c r="C1751" s="7">
        <f>INDEX(Bits!$E$25:$E$124,INT(B1751)+1)</f>
        <v/>
      </c>
      <c r="D1751" s="7">
        <f>MAX(1,MIN(INT(B1751/$C$4)+1,$C$5))</f>
        <v/>
      </c>
      <c r="E1751" s="26">
        <f>IF($C$5=0,0,INDEX(Symboles!$G$6:$G$101,D1751))</f>
        <v/>
      </c>
      <c r="F1751" s="26">
        <f>IF($C$5=0,0,INDEX(Symboles!$H$6:$H$101,D1751))</f>
        <v/>
      </c>
      <c r="G1751" s="26">
        <f>COS(2*PI()*$C$3*B1751)</f>
        <v/>
      </c>
      <c r="H1751" s="26">
        <f>SIN(2*PI()*$C$3*B1751)</f>
        <v/>
      </c>
      <c r="I1751" s="26">
        <f>E1751*G1751+F1751*H1751</f>
        <v/>
      </c>
    </row>
    <row r="1752">
      <c r="A1752" s="7" t="n">
        <v>1745</v>
      </c>
      <c r="B1752" s="26">
        <f>(A1752-1)/2000*$C$2</f>
        <v/>
      </c>
      <c r="C1752" s="7">
        <f>INDEX(Bits!$E$25:$E$124,INT(B1752)+1)</f>
        <v/>
      </c>
      <c r="D1752" s="7">
        <f>MAX(1,MIN(INT(B1752/$C$4)+1,$C$5))</f>
        <v/>
      </c>
      <c r="E1752" s="26">
        <f>IF($C$5=0,0,INDEX(Symboles!$G$6:$G$101,D1752))</f>
        <v/>
      </c>
      <c r="F1752" s="26">
        <f>IF($C$5=0,0,INDEX(Symboles!$H$6:$H$101,D1752))</f>
        <v/>
      </c>
      <c r="G1752" s="26">
        <f>COS(2*PI()*$C$3*B1752)</f>
        <v/>
      </c>
      <c r="H1752" s="26">
        <f>SIN(2*PI()*$C$3*B1752)</f>
        <v/>
      </c>
      <c r="I1752" s="26">
        <f>E1752*G1752+F1752*H1752</f>
        <v/>
      </c>
    </row>
    <row r="1753">
      <c r="A1753" s="7" t="n">
        <v>1746</v>
      </c>
      <c r="B1753" s="26">
        <f>(A1753-1)/2000*$C$2</f>
        <v/>
      </c>
      <c r="C1753" s="7">
        <f>INDEX(Bits!$E$25:$E$124,INT(B1753)+1)</f>
        <v/>
      </c>
      <c r="D1753" s="7">
        <f>MAX(1,MIN(INT(B1753/$C$4)+1,$C$5))</f>
        <v/>
      </c>
      <c r="E1753" s="26">
        <f>IF($C$5=0,0,INDEX(Symboles!$G$6:$G$101,D1753))</f>
        <v/>
      </c>
      <c r="F1753" s="26">
        <f>IF($C$5=0,0,INDEX(Symboles!$H$6:$H$101,D1753))</f>
        <v/>
      </c>
      <c r="G1753" s="26">
        <f>COS(2*PI()*$C$3*B1753)</f>
        <v/>
      </c>
      <c r="H1753" s="26">
        <f>SIN(2*PI()*$C$3*B1753)</f>
        <v/>
      </c>
      <c r="I1753" s="26">
        <f>E1753*G1753+F1753*H1753</f>
        <v/>
      </c>
    </row>
    <row r="1754">
      <c r="A1754" s="7" t="n">
        <v>1747</v>
      </c>
      <c r="B1754" s="26">
        <f>(A1754-1)/2000*$C$2</f>
        <v/>
      </c>
      <c r="C1754" s="7">
        <f>INDEX(Bits!$E$25:$E$124,INT(B1754)+1)</f>
        <v/>
      </c>
      <c r="D1754" s="7">
        <f>MAX(1,MIN(INT(B1754/$C$4)+1,$C$5))</f>
        <v/>
      </c>
      <c r="E1754" s="26">
        <f>IF($C$5=0,0,INDEX(Symboles!$G$6:$G$101,D1754))</f>
        <v/>
      </c>
      <c r="F1754" s="26">
        <f>IF($C$5=0,0,INDEX(Symboles!$H$6:$H$101,D1754))</f>
        <v/>
      </c>
      <c r="G1754" s="26">
        <f>COS(2*PI()*$C$3*B1754)</f>
        <v/>
      </c>
      <c r="H1754" s="26">
        <f>SIN(2*PI()*$C$3*B1754)</f>
        <v/>
      </c>
      <c r="I1754" s="26">
        <f>E1754*G1754+F1754*H1754</f>
        <v/>
      </c>
    </row>
    <row r="1755">
      <c r="A1755" s="7" t="n">
        <v>1748</v>
      </c>
      <c r="B1755" s="26">
        <f>(A1755-1)/2000*$C$2</f>
        <v/>
      </c>
      <c r="C1755" s="7">
        <f>INDEX(Bits!$E$25:$E$124,INT(B1755)+1)</f>
        <v/>
      </c>
      <c r="D1755" s="7">
        <f>MAX(1,MIN(INT(B1755/$C$4)+1,$C$5))</f>
        <v/>
      </c>
      <c r="E1755" s="26">
        <f>IF($C$5=0,0,INDEX(Symboles!$G$6:$G$101,D1755))</f>
        <v/>
      </c>
      <c r="F1755" s="26">
        <f>IF($C$5=0,0,INDEX(Symboles!$H$6:$H$101,D1755))</f>
        <v/>
      </c>
      <c r="G1755" s="26">
        <f>COS(2*PI()*$C$3*B1755)</f>
        <v/>
      </c>
      <c r="H1755" s="26">
        <f>SIN(2*PI()*$C$3*B1755)</f>
        <v/>
      </c>
      <c r="I1755" s="26">
        <f>E1755*G1755+F1755*H1755</f>
        <v/>
      </c>
    </row>
    <row r="1756">
      <c r="A1756" s="7" t="n">
        <v>1749</v>
      </c>
      <c r="B1756" s="26">
        <f>(A1756-1)/2000*$C$2</f>
        <v/>
      </c>
      <c r="C1756" s="7">
        <f>INDEX(Bits!$E$25:$E$124,INT(B1756)+1)</f>
        <v/>
      </c>
      <c r="D1756" s="7">
        <f>MAX(1,MIN(INT(B1756/$C$4)+1,$C$5))</f>
        <v/>
      </c>
      <c r="E1756" s="26">
        <f>IF($C$5=0,0,INDEX(Symboles!$G$6:$G$101,D1756))</f>
        <v/>
      </c>
      <c r="F1756" s="26">
        <f>IF($C$5=0,0,INDEX(Symboles!$H$6:$H$101,D1756))</f>
        <v/>
      </c>
      <c r="G1756" s="26">
        <f>COS(2*PI()*$C$3*B1756)</f>
        <v/>
      </c>
      <c r="H1756" s="26">
        <f>SIN(2*PI()*$C$3*B1756)</f>
        <v/>
      </c>
      <c r="I1756" s="26">
        <f>E1756*G1756+F1756*H1756</f>
        <v/>
      </c>
    </row>
    <row r="1757">
      <c r="A1757" s="7" t="n">
        <v>1750</v>
      </c>
      <c r="B1757" s="26">
        <f>(A1757-1)/2000*$C$2</f>
        <v/>
      </c>
      <c r="C1757" s="7">
        <f>INDEX(Bits!$E$25:$E$124,INT(B1757)+1)</f>
        <v/>
      </c>
      <c r="D1757" s="7">
        <f>MAX(1,MIN(INT(B1757/$C$4)+1,$C$5))</f>
        <v/>
      </c>
      <c r="E1757" s="26">
        <f>IF($C$5=0,0,INDEX(Symboles!$G$6:$G$101,D1757))</f>
        <v/>
      </c>
      <c r="F1757" s="26">
        <f>IF($C$5=0,0,INDEX(Symboles!$H$6:$H$101,D1757))</f>
        <v/>
      </c>
      <c r="G1757" s="26">
        <f>COS(2*PI()*$C$3*B1757)</f>
        <v/>
      </c>
      <c r="H1757" s="26">
        <f>SIN(2*PI()*$C$3*B1757)</f>
        <v/>
      </c>
      <c r="I1757" s="26">
        <f>E1757*G1757+F1757*H1757</f>
        <v/>
      </c>
    </row>
    <row r="1758">
      <c r="A1758" s="7" t="n">
        <v>1751</v>
      </c>
      <c r="B1758" s="26">
        <f>(A1758-1)/2000*$C$2</f>
        <v/>
      </c>
      <c r="C1758" s="7">
        <f>INDEX(Bits!$E$25:$E$124,INT(B1758)+1)</f>
        <v/>
      </c>
      <c r="D1758" s="7">
        <f>MAX(1,MIN(INT(B1758/$C$4)+1,$C$5))</f>
        <v/>
      </c>
      <c r="E1758" s="26">
        <f>IF($C$5=0,0,INDEX(Symboles!$G$6:$G$101,D1758))</f>
        <v/>
      </c>
      <c r="F1758" s="26">
        <f>IF($C$5=0,0,INDEX(Symboles!$H$6:$H$101,D1758))</f>
        <v/>
      </c>
      <c r="G1758" s="26">
        <f>COS(2*PI()*$C$3*B1758)</f>
        <v/>
      </c>
      <c r="H1758" s="26">
        <f>SIN(2*PI()*$C$3*B1758)</f>
        <v/>
      </c>
      <c r="I1758" s="26">
        <f>E1758*G1758+F1758*H1758</f>
        <v/>
      </c>
    </row>
    <row r="1759">
      <c r="A1759" s="7" t="n">
        <v>1752</v>
      </c>
      <c r="B1759" s="26">
        <f>(A1759-1)/2000*$C$2</f>
        <v/>
      </c>
      <c r="C1759" s="7">
        <f>INDEX(Bits!$E$25:$E$124,INT(B1759)+1)</f>
        <v/>
      </c>
      <c r="D1759" s="7">
        <f>MAX(1,MIN(INT(B1759/$C$4)+1,$C$5))</f>
        <v/>
      </c>
      <c r="E1759" s="26">
        <f>IF($C$5=0,0,INDEX(Symboles!$G$6:$G$101,D1759))</f>
        <v/>
      </c>
      <c r="F1759" s="26">
        <f>IF($C$5=0,0,INDEX(Symboles!$H$6:$H$101,D1759))</f>
        <v/>
      </c>
      <c r="G1759" s="26">
        <f>COS(2*PI()*$C$3*B1759)</f>
        <v/>
      </c>
      <c r="H1759" s="26">
        <f>SIN(2*PI()*$C$3*B1759)</f>
        <v/>
      </c>
      <c r="I1759" s="26">
        <f>E1759*G1759+F1759*H1759</f>
        <v/>
      </c>
    </row>
    <row r="1760">
      <c r="A1760" s="7" t="n">
        <v>1753</v>
      </c>
      <c r="B1760" s="26">
        <f>(A1760-1)/2000*$C$2</f>
        <v/>
      </c>
      <c r="C1760" s="7">
        <f>INDEX(Bits!$E$25:$E$124,INT(B1760)+1)</f>
        <v/>
      </c>
      <c r="D1760" s="7">
        <f>MAX(1,MIN(INT(B1760/$C$4)+1,$C$5))</f>
        <v/>
      </c>
      <c r="E1760" s="26">
        <f>IF($C$5=0,0,INDEX(Symboles!$G$6:$G$101,D1760))</f>
        <v/>
      </c>
      <c r="F1760" s="26">
        <f>IF($C$5=0,0,INDEX(Symboles!$H$6:$H$101,D1760))</f>
        <v/>
      </c>
      <c r="G1760" s="26">
        <f>COS(2*PI()*$C$3*B1760)</f>
        <v/>
      </c>
      <c r="H1760" s="26">
        <f>SIN(2*PI()*$C$3*B1760)</f>
        <v/>
      </c>
      <c r="I1760" s="26">
        <f>E1760*G1760+F1760*H1760</f>
        <v/>
      </c>
    </row>
    <row r="1761">
      <c r="A1761" s="7" t="n">
        <v>1754</v>
      </c>
      <c r="B1761" s="26">
        <f>(A1761-1)/2000*$C$2</f>
        <v/>
      </c>
      <c r="C1761" s="7">
        <f>INDEX(Bits!$E$25:$E$124,INT(B1761)+1)</f>
        <v/>
      </c>
      <c r="D1761" s="7">
        <f>MAX(1,MIN(INT(B1761/$C$4)+1,$C$5))</f>
        <v/>
      </c>
      <c r="E1761" s="26">
        <f>IF($C$5=0,0,INDEX(Symboles!$G$6:$G$101,D1761))</f>
        <v/>
      </c>
      <c r="F1761" s="26">
        <f>IF($C$5=0,0,INDEX(Symboles!$H$6:$H$101,D1761))</f>
        <v/>
      </c>
      <c r="G1761" s="26">
        <f>COS(2*PI()*$C$3*B1761)</f>
        <v/>
      </c>
      <c r="H1761" s="26">
        <f>SIN(2*PI()*$C$3*B1761)</f>
        <v/>
      </c>
      <c r="I1761" s="26">
        <f>E1761*G1761+F1761*H1761</f>
        <v/>
      </c>
    </row>
    <row r="1762">
      <c r="A1762" s="7" t="n">
        <v>1755</v>
      </c>
      <c r="B1762" s="26">
        <f>(A1762-1)/2000*$C$2</f>
        <v/>
      </c>
      <c r="C1762" s="7">
        <f>INDEX(Bits!$E$25:$E$124,INT(B1762)+1)</f>
        <v/>
      </c>
      <c r="D1762" s="7">
        <f>MAX(1,MIN(INT(B1762/$C$4)+1,$C$5))</f>
        <v/>
      </c>
      <c r="E1762" s="26">
        <f>IF($C$5=0,0,INDEX(Symboles!$G$6:$G$101,D1762))</f>
        <v/>
      </c>
      <c r="F1762" s="26">
        <f>IF($C$5=0,0,INDEX(Symboles!$H$6:$H$101,D1762))</f>
        <v/>
      </c>
      <c r="G1762" s="26">
        <f>COS(2*PI()*$C$3*B1762)</f>
        <v/>
      </c>
      <c r="H1762" s="26">
        <f>SIN(2*PI()*$C$3*B1762)</f>
        <v/>
      </c>
      <c r="I1762" s="26">
        <f>E1762*G1762+F1762*H1762</f>
        <v/>
      </c>
    </row>
    <row r="1763">
      <c r="A1763" s="7" t="n">
        <v>1756</v>
      </c>
      <c r="B1763" s="26">
        <f>(A1763-1)/2000*$C$2</f>
        <v/>
      </c>
      <c r="C1763" s="7">
        <f>INDEX(Bits!$E$25:$E$124,INT(B1763)+1)</f>
        <v/>
      </c>
      <c r="D1763" s="7">
        <f>MAX(1,MIN(INT(B1763/$C$4)+1,$C$5))</f>
        <v/>
      </c>
      <c r="E1763" s="26">
        <f>IF($C$5=0,0,INDEX(Symboles!$G$6:$G$101,D1763))</f>
        <v/>
      </c>
      <c r="F1763" s="26">
        <f>IF($C$5=0,0,INDEX(Symboles!$H$6:$H$101,D1763))</f>
        <v/>
      </c>
      <c r="G1763" s="26">
        <f>COS(2*PI()*$C$3*B1763)</f>
        <v/>
      </c>
      <c r="H1763" s="26">
        <f>SIN(2*PI()*$C$3*B1763)</f>
        <v/>
      </c>
      <c r="I1763" s="26">
        <f>E1763*G1763+F1763*H1763</f>
        <v/>
      </c>
    </row>
    <row r="1764">
      <c r="A1764" s="7" t="n">
        <v>1757</v>
      </c>
      <c r="B1764" s="26">
        <f>(A1764-1)/2000*$C$2</f>
        <v/>
      </c>
      <c r="C1764" s="7">
        <f>INDEX(Bits!$E$25:$E$124,INT(B1764)+1)</f>
        <v/>
      </c>
      <c r="D1764" s="7">
        <f>MAX(1,MIN(INT(B1764/$C$4)+1,$C$5))</f>
        <v/>
      </c>
      <c r="E1764" s="26">
        <f>IF($C$5=0,0,INDEX(Symboles!$G$6:$G$101,D1764))</f>
        <v/>
      </c>
      <c r="F1764" s="26">
        <f>IF($C$5=0,0,INDEX(Symboles!$H$6:$H$101,D1764))</f>
        <v/>
      </c>
      <c r="G1764" s="26">
        <f>COS(2*PI()*$C$3*B1764)</f>
        <v/>
      </c>
      <c r="H1764" s="26">
        <f>SIN(2*PI()*$C$3*B1764)</f>
        <v/>
      </c>
      <c r="I1764" s="26">
        <f>E1764*G1764+F1764*H1764</f>
        <v/>
      </c>
    </row>
    <row r="1765">
      <c r="A1765" s="7" t="n">
        <v>1758</v>
      </c>
      <c r="B1765" s="26">
        <f>(A1765-1)/2000*$C$2</f>
        <v/>
      </c>
      <c r="C1765" s="7">
        <f>INDEX(Bits!$E$25:$E$124,INT(B1765)+1)</f>
        <v/>
      </c>
      <c r="D1765" s="7">
        <f>MAX(1,MIN(INT(B1765/$C$4)+1,$C$5))</f>
        <v/>
      </c>
      <c r="E1765" s="26">
        <f>IF($C$5=0,0,INDEX(Symboles!$G$6:$G$101,D1765))</f>
        <v/>
      </c>
      <c r="F1765" s="26">
        <f>IF($C$5=0,0,INDEX(Symboles!$H$6:$H$101,D1765))</f>
        <v/>
      </c>
      <c r="G1765" s="26">
        <f>COS(2*PI()*$C$3*B1765)</f>
        <v/>
      </c>
      <c r="H1765" s="26">
        <f>SIN(2*PI()*$C$3*B1765)</f>
        <v/>
      </c>
      <c r="I1765" s="26">
        <f>E1765*G1765+F1765*H1765</f>
        <v/>
      </c>
    </row>
    <row r="1766">
      <c r="A1766" s="7" t="n">
        <v>1759</v>
      </c>
      <c r="B1766" s="26">
        <f>(A1766-1)/2000*$C$2</f>
        <v/>
      </c>
      <c r="C1766" s="7">
        <f>INDEX(Bits!$E$25:$E$124,INT(B1766)+1)</f>
        <v/>
      </c>
      <c r="D1766" s="7">
        <f>MAX(1,MIN(INT(B1766/$C$4)+1,$C$5))</f>
        <v/>
      </c>
      <c r="E1766" s="26">
        <f>IF($C$5=0,0,INDEX(Symboles!$G$6:$G$101,D1766))</f>
        <v/>
      </c>
      <c r="F1766" s="26">
        <f>IF($C$5=0,0,INDEX(Symboles!$H$6:$H$101,D1766))</f>
        <v/>
      </c>
      <c r="G1766" s="26">
        <f>COS(2*PI()*$C$3*B1766)</f>
        <v/>
      </c>
      <c r="H1766" s="26">
        <f>SIN(2*PI()*$C$3*B1766)</f>
        <v/>
      </c>
      <c r="I1766" s="26">
        <f>E1766*G1766+F1766*H1766</f>
        <v/>
      </c>
    </row>
    <row r="1767">
      <c r="A1767" s="7" t="n">
        <v>1760</v>
      </c>
      <c r="B1767" s="26">
        <f>(A1767-1)/2000*$C$2</f>
        <v/>
      </c>
      <c r="C1767" s="7">
        <f>INDEX(Bits!$E$25:$E$124,INT(B1767)+1)</f>
        <v/>
      </c>
      <c r="D1767" s="7">
        <f>MAX(1,MIN(INT(B1767/$C$4)+1,$C$5))</f>
        <v/>
      </c>
      <c r="E1767" s="26">
        <f>IF($C$5=0,0,INDEX(Symboles!$G$6:$G$101,D1767))</f>
        <v/>
      </c>
      <c r="F1767" s="26">
        <f>IF($C$5=0,0,INDEX(Symboles!$H$6:$H$101,D1767))</f>
        <v/>
      </c>
      <c r="G1767" s="26">
        <f>COS(2*PI()*$C$3*B1767)</f>
        <v/>
      </c>
      <c r="H1767" s="26">
        <f>SIN(2*PI()*$C$3*B1767)</f>
        <v/>
      </c>
      <c r="I1767" s="26">
        <f>E1767*G1767+F1767*H1767</f>
        <v/>
      </c>
    </row>
    <row r="1768">
      <c r="A1768" s="7" t="n">
        <v>1761</v>
      </c>
      <c r="B1768" s="26">
        <f>(A1768-1)/2000*$C$2</f>
        <v/>
      </c>
      <c r="C1768" s="7">
        <f>INDEX(Bits!$E$25:$E$124,INT(B1768)+1)</f>
        <v/>
      </c>
      <c r="D1768" s="7">
        <f>MAX(1,MIN(INT(B1768/$C$4)+1,$C$5))</f>
        <v/>
      </c>
      <c r="E1768" s="26">
        <f>IF($C$5=0,0,INDEX(Symboles!$G$6:$G$101,D1768))</f>
        <v/>
      </c>
      <c r="F1768" s="26">
        <f>IF($C$5=0,0,INDEX(Symboles!$H$6:$H$101,D1768))</f>
        <v/>
      </c>
      <c r="G1768" s="26">
        <f>COS(2*PI()*$C$3*B1768)</f>
        <v/>
      </c>
      <c r="H1768" s="26">
        <f>SIN(2*PI()*$C$3*B1768)</f>
        <v/>
      </c>
      <c r="I1768" s="26">
        <f>E1768*G1768+F1768*H1768</f>
        <v/>
      </c>
    </row>
    <row r="1769">
      <c r="A1769" s="7" t="n">
        <v>1762</v>
      </c>
      <c r="B1769" s="26">
        <f>(A1769-1)/2000*$C$2</f>
        <v/>
      </c>
      <c r="C1769" s="7">
        <f>INDEX(Bits!$E$25:$E$124,INT(B1769)+1)</f>
        <v/>
      </c>
      <c r="D1769" s="7">
        <f>MAX(1,MIN(INT(B1769/$C$4)+1,$C$5))</f>
        <v/>
      </c>
      <c r="E1769" s="26">
        <f>IF($C$5=0,0,INDEX(Symboles!$G$6:$G$101,D1769))</f>
        <v/>
      </c>
      <c r="F1769" s="26">
        <f>IF($C$5=0,0,INDEX(Symboles!$H$6:$H$101,D1769))</f>
        <v/>
      </c>
      <c r="G1769" s="26">
        <f>COS(2*PI()*$C$3*B1769)</f>
        <v/>
      </c>
      <c r="H1769" s="26">
        <f>SIN(2*PI()*$C$3*B1769)</f>
        <v/>
      </c>
      <c r="I1769" s="26">
        <f>E1769*G1769+F1769*H1769</f>
        <v/>
      </c>
    </row>
    <row r="1770">
      <c r="A1770" s="7" t="n">
        <v>1763</v>
      </c>
      <c r="B1770" s="26">
        <f>(A1770-1)/2000*$C$2</f>
        <v/>
      </c>
      <c r="C1770" s="7">
        <f>INDEX(Bits!$E$25:$E$124,INT(B1770)+1)</f>
        <v/>
      </c>
      <c r="D1770" s="7">
        <f>MAX(1,MIN(INT(B1770/$C$4)+1,$C$5))</f>
        <v/>
      </c>
      <c r="E1770" s="26">
        <f>IF($C$5=0,0,INDEX(Symboles!$G$6:$G$101,D1770))</f>
        <v/>
      </c>
      <c r="F1770" s="26">
        <f>IF($C$5=0,0,INDEX(Symboles!$H$6:$H$101,D1770))</f>
        <v/>
      </c>
      <c r="G1770" s="26">
        <f>COS(2*PI()*$C$3*B1770)</f>
        <v/>
      </c>
      <c r="H1770" s="26">
        <f>SIN(2*PI()*$C$3*B1770)</f>
        <v/>
      </c>
      <c r="I1770" s="26">
        <f>E1770*G1770+F1770*H1770</f>
        <v/>
      </c>
    </row>
    <row r="1771">
      <c r="A1771" s="7" t="n">
        <v>1764</v>
      </c>
      <c r="B1771" s="26">
        <f>(A1771-1)/2000*$C$2</f>
        <v/>
      </c>
      <c r="C1771" s="7">
        <f>INDEX(Bits!$E$25:$E$124,INT(B1771)+1)</f>
        <v/>
      </c>
      <c r="D1771" s="7">
        <f>MAX(1,MIN(INT(B1771/$C$4)+1,$C$5))</f>
        <v/>
      </c>
      <c r="E1771" s="26">
        <f>IF($C$5=0,0,INDEX(Symboles!$G$6:$G$101,D1771))</f>
        <v/>
      </c>
      <c r="F1771" s="26">
        <f>IF($C$5=0,0,INDEX(Symboles!$H$6:$H$101,D1771))</f>
        <v/>
      </c>
      <c r="G1771" s="26">
        <f>COS(2*PI()*$C$3*B1771)</f>
        <v/>
      </c>
      <c r="H1771" s="26">
        <f>SIN(2*PI()*$C$3*B1771)</f>
        <v/>
      </c>
      <c r="I1771" s="26">
        <f>E1771*G1771+F1771*H1771</f>
        <v/>
      </c>
    </row>
    <row r="1772">
      <c r="A1772" s="7" t="n">
        <v>1765</v>
      </c>
      <c r="B1772" s="26">
        <f>(A1772-1)/2000*$C$2</f>
        <v/>
      </c>
      <c r="C1772" s="7">
        <f>INDEX(Bits!$E$25:$E$124,INT(B1772)+1)</f>
        <v/>
      </c>
      <c r="D1772" s="7">
        <f>MAX(1,MIN(INT(B1772/$C$4)+1,$C$5))</f>
        <v/>
      </c>
      <c r="E1772" s="26">
        <f>IF($C$5=0,0,INDEX(Symboles!$G$6:$G$101,D1772))</f>
        <v/>
      </c>
      <c r="F1772" s="26">
        <f>IF($C$5=0,0,INDEX(Symboles!$H$6:$H$101,D1772))</f>
        <v/>
      </c>
      <c r="G1772" s="26">
        <f>COS(2*PI()*$C$3*B1772)</f>
        <v/>
      </c>
      <c r="H1772" s="26">
        <f>SIN(2*PI()*$C$3*B1772)</f>
        <v/>
      </c>
      <c r="I1772" s="26">
        <f>E1772*G1772+F1772*H1772</f>
        <v/>
      </c>
    </row>
    <row r="1773">
      <c r="A1773" s="7" t="n">
        <v>1766</v>
      </c>
      <c r="B1773" s="26">
        <f>(A1773-1)/2000*$C$2</f>
        <v/>
      </c>
      <c r="C1773" s="7">
        <f>INDEX(Bits!$E$25:$E$124,INT(B1773)+1)</f>
        <v/>
      </c>
      <c r="D1773" s="7">
        <f>MAX(1,MIN(INT(B1773/$C$4)+1,$C$5))</f>
        <v/>
      </c>
      <c r="E1773" s="26">
        <f>IF($C$5=0,0,INDEX(Symboles!$G$6:$G$101,D1773))</f>
        <v/>
      </c>
      <c r="F1773" s="26">
        <f>IF($C$5=0,0,INDEX(Symboles!$H$6:$H$101,D1773))</f>
        <v/>
      </c>
      <c r="G1773" s="26">
        <f>COS(2*PI()*$C$3*B1773)</f>
        <v/>
      </c>
      <c r="H1773" s="26">
        <f>SIN(2*PI()*$C$3*B1773)</f>
        <v/>
      </c>
      <c r="I1773" s="26">
        <f>E1773*G1773+F1773*H1773</f>
        <v/>
      </c>
    </row>
    <row r="1774">
      <c r="A1774" s="7" t="n">
        <v>1767</v>
      </c>
      <c r="B1774" s="26">
        <f>(A1774-1)/2000*$C$2</f>
        <v/>
      </c>
      <c r="C1774" s="7">
        <f>INDEX(Bits!$E$25:$E$124,INT(B1774)+1)</f>
        <v/>
      </c>
      <c r="D1774" s="7">
        <f>MAX(1,MIN(INT(B1774/$C$4)+1,$C$5))</f>
        <v/>
      </c>
      <c r="E1774" s="26">
        <f>IF($C$5=0,0,INDEX(Symboles!$G$6:$G$101,D1774))</f>
        <v/>
      </c>
      <c r="F1774" s="26">
        <f>IF($C$5=0,0,INDEX(Symboles!$H$6:$H$101,D1774))</f>
        <v/>
      </c>
      <c r="G1774" s="26">
        <f>COS(2*PI()*$C$3*B1774)</f>
        <v/>
      </c>
      <c r="H1774" s="26">
        <f>SIN(2*PI()*$C$3*B1774)</f>
        <v/>
      </c>
      <c r="I1774" s="26">
        <f>E1774*G1774+F1774*H1774</f>
        <v/>
      </c>
    </row>
    <row r="1775">
      <c r="A1775" s="7" t="n">
        <v>1768</v>
      </c>
      <c r="B1775" s="26">
        <f>(A1775-1)/2000*$C$2</f>
        <v/>
      </c>
      <c r="C1775" s="7">
        <f>INDEX(Bits!$E$25:$E$124,INT(B1775)+1)</f>
        <v/>
      </c>
      <c r="D1775" s="7">
        <f>MAX(1,MIN(INT(B1775/$C$4)+1,$C$5))</f>
        <v/>
      </c>
      <c r="E1775" s="26">
        <f>IF($C$5=0,0,INDEX(Symboles!$G$6:$G$101,D1775))</f>
        <v/>
      </c>
      <c r="F1775" s="26">
        <f>IF($C$5=0,0,INDEX(Symboles!$H$6:$H$101,D1775))</f>
        <v/>
      </c>
      <c r="G1775" s="26">
        <f>COS(2*PI()*$C$3*B1775)</f>
        <v/>
      </c>
      <c r="H1775" s="26">
        <f>SIN(2*PI()*$C$3*B1775)</f>
        <v/>
      </c>
      <c r="I1775" s="26">
        <f>E1775*G1775+F1775*H1775</f>
        <v/>
      </c>
    </row>
    <row r="1776">
      <c r="A1776" s="7" t="n">
        <v>1769</v>
      </c>
      <c r="B1776" s="26">
        <f>(A1776-1)/2000*$C$2</f>
        <v/>
      </c>
      <c r="C1776" s="7">
        <f>INDEX(Bits!$E$25:$E$124,INT(B1776)+1)</f>
        <v/>
      </c>
      <c r="D1776" s="7">
        <f>MAX(1,MIN(INT(B1776/$C$4)+1,$C$5))</f>
        <v/>
      </c>
      <c r="E1776" s="26">
        <f>IF($C$5=0,0,INDEX(Symboles!$G$6:$G$101,D1776))</f>
        <v/>
      </c>
      <c r="F1776" s="26">
        <f>IF($C$5=0,0,INDEX(Symboles!$H$6:$H$101,D1776))</f>
        <v/>
      </c>
      <c r="G1776" s="26">
        <f>COS(2*PI()*$C$3*B1776)</f>
        <v/>
      </c>
      <c r="H1776" s="26">
        <f>SIN(2*PI()*$C$3*B1776)</f>
        <v/>
      </c>
      <c r="I1776" s="26">
        <f>E1776*G1776+F1776*H1776</f>
        <v/>
      </c>
    </row>
    <row r="1777">
      <c r="A1777" s="7" t="n">
        <v>1770</v>
      </c>
      <c r="B1777" s="26">
        <f>(A1777-1)/2000*$C$2</f>
        <v/>
      </c>
      <c r="C1777" s="7">
        <f>INDEX(Bits!$E$25:$E$124,INT(B1777)+1)</f>
        <v/>
      </c>
      <c r="D1777" s="7">
        <f>MAX(1,MIN(INT(B1777/$C$4)+1,$C$5))</f>
        <v/>
      </c>
      <c r="E1777" s="26">
        <f>IF($C$5=0,0,INDEX(Symboles!$G$6:$G$101,D1777))</f>
        <v/>
      </c>
      <c r="F1777" s="26">
        <f>IF($C$5=0,0,INDEX(Symboles!$H$6:$H$101,D1777))</f>
        <v/>
      </c>
      <c r="G1777" s="26">
        <f>COS(2*PI()*$C$3*B1777)</f>
        <v/>
      </c>
      <c r="H1777" s="26">
        <f>SIN(2*PI()*$C$3*B1777)</f>
        <v/>
      </c>
      <c r="I1777" s="26">
        <f>E1777*G1777+F1777*H1777</f>
        <v/>
      </c>
    </row>
    <row r="1778">
      <c r="A1778" s="7" t="n">
        <v>1771</v>
      </c>
      <c r="B1778" s="26">
        <f>(A1778-1)/2000*$C$2</f>
        <v/>
      </c>
      <c r="C1778" s="7">
        <f>INDEX(Bits!$E$25:$E$124,INT(B1778)+1)</f>
        <v/>
      </c>
      <c r="D1778" s="7">
        <f>MAX(1,MIN(INT(B1778/$C$4)+1,$C$5))</f>
        <v/>
      </c>
      <c r="E1778" s="26">
        <f>IF($C$5=0,0,INDEX(Symboles!$G$6:$G$101,D1778))</f>
        <v/>
      </c>
      <c r="F1778" s="26">
        <f>IF($C$5=0,0,INDEX(Symboles!$H$6:$H$101,D1778))</f>
        <v/>
      </c>
      <c r="G1778" s="26">
        <f>COS(2*PI()*$C$3*B1778)</f>
        <v/>
      </c>
      <c r="H1778" s="26">
        <f>SIN(2*PI()*$C$3*B1778)</f>
        <v/>
      </c>
      <c r="I1778" s="26">
        <f>E1778*G1778+F1778*H1778</f>
        <v/>
      </c>
    </row>
    <row r="1779">
      <c r="A1779" s="7" t="n">
        <v>1772</v>
      </c>
      <c r="B1779" s="26">
        <f>(A1779-1)/2000*$C$2</f>
        <v/>
      </c>
      <c r="C1779" s="7">
        <f>INDEX(Bits!$E$25:$E$124,INT(B1779)+1)</f>
        <v/>
      </c>
      <c r="D1779" s="7">
        <f>MAX(1,MIN(INT(B1779/$C$4)+1,$C$5))</f>
        <v/>
      </c>
      <c r="E1779" s="26">
        <f>IF($C$5=0,0,INDEX(Symboles!$G$6:$G$101,D1779))</f>
        <v/>
      </c>
      <c r="F1779" s="26">
        <f>IF($C$5=0,0,INDEX(Symboles!$H$6:$H$101,D1779))</f>
        <v/>
      </c>
      <c r="G1779" s="26">
        <f>COS(2*PI()*$C$3*B1779)</f>
        <v/>
      </c>
      <c r="H1779" s="26">
        <f>SIN(2*PI()*$C$3*B1779)</f>
        <v/>
      </c>
      <c r="I1779" s="26">
        <f>E1779*G1779+F1779*H1779</f>
        <v/>
      </c>
    </row>
    <row r="1780">
      <c r="A1780" s="7" t="n">
        <v>1773</v>
      </c>
      <c r="B1780" s="26">
        <f>(A1780-1)/2000*$C$2</f>
        <v/>
      </c>
      <c r="C1780" s="7">
        <f>INDEX(Bits!$E$25:$E$124,INT(B1780)+1)</f>
        <v/>
      </c>
      <c r="D1780" s="7">
        <f>MAX(1,MIN(INT(B1780/$C$4)+1,$C$5))</f>
        <v/>
      </c>
      <c r="E1780" s="26">
        <f>IF($C$5=0,0,INDEX(Symboles!$G$6:$G$101,D1780))</f>
        <v/>
      </c>
      <c r="F1780" s="26">
        <f>IF($C$5=0,0,INDEX(Symboles!$H$6:$H$101,D1780))</f>
        <v/>
      </c>
      <c r="G1780" s="26">
        <f>COS(2*PI()*$C$3*B1780)</f>
        <v/>
      </c>
      <c r="H1780" s="26">
        <f>SIN(2*PI()*$C$3*B1780)</f>
        <v/>
      </c>
      <c r="I1780" s="26">
        <f>E1780*G1780+F1780*H1780</f>
        <v/>
      </c>
    </row>
    <row r="1781">
      <c r="A1781" s="7" t="n">
        <v>1774</v>
      </c>
      <c r="B1781" s="26">
        <f>(A1781-1)/2000*$C$2</f>
        <v/>
      </c>
      <c r="C1781" s="7">
        <f>INDEX(Bits!$E$25:$E$124,INT(B1781)+1)</f>
        <v/>
      </c>
      <c r="D1781" s="7">
        <f>MAX(1,MIN(INT(B1781/$C$4)+1,$C$5))</f>
        <v/>
      </c>
      <c r="E1781" s="26">
        <f>IF($C$5=0,0,INDEX(Symboles!$G$6:$G$101,D1781))</f>
        <v/>
      </c>
      <c r="F1781" s="26">
        <f>IF($C$5=0,0,INDEX(Symboles!$H$6:$H$101,D1781))</f>
        <v/>
      </c>
      <c r="G1781" s="26">
        <f>COS(2*PI()*$C$3*B1781)</f>
        <v/>
      </c>
      <c r="H1781" s="26">
        <f>SIN(2*PI()*$C$3*B1781)</f>
        <v/>
      </c>
      <c r="I1781" s="26">
        <f>E1781*G1781+F1781*H1781</f>
        <v/>
      </c>
    </row>
    <row r="1782">
      <c r="A1782" s="7" t="n">
        <v>1775</v>
      </c>
      <c r="B1782" s="26">
        <f>(A1782-1)/2000*$C$2</f>
        <v/>
      </c>
      <c r="C1782" s="7">
        <f>INDEX(Bits!$E$25:$E$124,INT(B1782)+1)</f>
        <v/>
      </c>
      <c r="D1782" s="7">
        <f>MAX(1,MIN(INT(B1782/$C$4)+1,$C$5))</f>
        <v/>
      </c>
      <c r="E1782" s="26">
        <f>IF($C$5=0,0,INDEX(Symboles!$G$6:$G$101,D1782))</f>
        <v/>
      </c>
      <c r="F1782" s="26">
        <f>IF($C$5=0,0,INDEX(Symboles!$H$6:$H$101,D1782))</f>
        <v/>
      </c>
      <c r="G1782" s="26">
        <f>COS(2*PI()*$C$3*B1782)</f>
        <v/>
      </c>
      <c r="H1782" s="26">
        <f>SIN(2*PI()*$C$3*B1782)</f>
        <v/>
      </c>
      <c r="I1782" s="26">
        <f>E1782*G1782+F1782*H1782</f>
        <v/>
      </c>
    </row>
    <row r="1783">
      <c r="A1783" s="7" t="n">
        <v>1776</v>
      </c>
      <c r="B1783" s="26">
        <f>(A1783-1)/2000*$C$2</f>
        <v/>
      </c>
      <c r="C1783" s="7">
        <f>INDEX(Bits!$E$25:$E$124,INT(B1783)+1)</f>
        <v/>
      </c>
      <c r="D1783" s="7">
        <f>MAX(1,MIN(INT(B1783/$C$4)+1,$C$5))</f>
        <v/>
      </c>
      <c r="E1783" s="26">
        <f>IF($C$5=0,0,INDEX(Symboles!$G$6:$G$101,D1783))</f>
        <v/>
      </c>
      <c r="F1783" s="26">
        <f>IF($C$5=0,0,INDEX(Symboles!$H$6:$H$101,D1783))</f>
        <v/>
      </c>
      <c r="G1783" s="26">
        <f>COS(2*PI()*$C$3*B1783)</f>
        <v/>
      </c>
      <c r="H1783" s="26">
        <f>SIN(2*PI()*$C$3*B1783)</f>
        <v/>
      </c>
      <c r="I1783" s="26">
        <f>E1783*G1783+F1783*H1783</f>
        <v/>
      </c>
    </row>
    <row r="1784">
      <c r="A1784" s="7" t="n">
        <v>1777</v>
      </c>
      <c r="B1784" s="26">
        <f>(A1784-1)/2000*$C$2</f>
        <v/>
      </c>
      <c r="C1784" s="7">
        <f>INDEX(Bits!$E$25:$E$124,INT(B1784)+1)</f>
        <v/>
      </c>
      <c r="D1784" s="7">
        <f>MAX(1,MIN(INT(B1784/$C$4)+1,$C$5))</f>
        <v/>
      </c>
      <c r="E1784" s="26">
        <f>IF($C$5=0,0,INDEX(Symboles!$G$6:$G$101,D1784))</f>
        <v/>
      </c>
      <c r="F1784" s="26">
        <f>IF($C$5=0,0,INDEX(Symboles!$H$6:$H$101,D1784))</f>
        <v/>
      </c>
      <c r="G1784" s="26">
        <f>COS(2*PI()*$C$3*B1784)</f>
        <v/>
      </c>
      <c r="H1784" s="26">
        <f>SIN(2*PI()*$C$3*B1784)</f>
        <v/>
      </c>
      <c r="I1784" s="26">
        <f>E1784*G1784+F1784*H1784</f>
        <v/>
      </c>
    </row>
    <row r="1785">
      <c r="A1785" s="7" t="n">
        <v>1778</v>
      </c>
      <c r="B1785" s="26">
        <f>(A1785-1)/2000*$C$2</f>
        <v/>
      </c>
      <c r="C1785" s="7">
        <f>INDEX(Bits!$E$25:$E$124,INT(B1785)+1)</f>
        <v/>
      </c>
      <c r="D1785" s="7">
        <f>MAX(1,MIN(INT(B1785/$C$4)+1,$C$5))</f>
        <v/>
      </c>
      <c r="E1785" s="26">
        <f>IF($C$5=0,0,INDEX(Symboles!$G$6:$G$101,D1785))</f>
        <v/>
      </c>
      <c r="F1785" s="26">
        <f>IF($C$5=0,0,INDEX(Symboles!$H$6:$H$101,D1785))</f>
        <v/>
      </c>
      <c r="G1785" s="26">
        <f>COS(2*PI()*$C$3*B1785)</f>
        <v/>
      </c>
      <c r="H1785" s="26">
        <f>SIN(2*PI()*$C$3*B1785)</f>
        <v/>
      </c>
      <c r="I1785" s="26">
        <f>E1785*G1785+F1785*H1785</f>
        <v/>
      </c>
    </row>
    <row r="1786">
      <c r="A1786" s="7" t="n">
        <v>1779</v>
      </c>
      <c r="B1786" s="26">
        <f>(A1786-1)/2000*$C$2</f>
        <v/>
      </c>
      <c r="C1786" s="7">
        <f>INDEX(Bits!$E$25:$E$124,INT(B1786)+1)</f>
        <v/>
      </c>
      <c r="D1786" s="7">
        <f>MAX(1,MIN(INT(B1786/$C$4)+1,$C$5))</f>
        <v/>
      </c>
      <c r="E1786" s="26">
        <f>IF($C$5=0,0,INDEX(Symboles!$G$6:$G$101,D1786))</f>
        <v/>
      </c>
      <c r="F1786" s="26">
        <f>IF($C$5=0,0,INDEX(Symboles!$H$6:$H$101,D1786))</f>
        <v/>
      </c>
      <c r="G1786" s="26">
        <f>COS(2*PI()*$C$3*B1786)</f>
        <v/>
      </c>
      <c r="H1786" s="26">
        <f>SIN(2*PI()*$C$3*B1786)</f>
        <v/>
      </c>
      <c r="I1786" s="26">
        <f>E1786*G1786+F1786*H1786</f>
        <v/>
      </c>
    </row>
    <row r="1787">
      <c r="A1787" s="7" t="n">
        <v>1780</v>
      </c>
      <c r="B1787" s="26">
        <f>(A1787-1)/2000*$C$2</f>
        <v/>
      </c>
      <c r="C1787" s="7">
        <f>INDEX(Bits!$E$25:$E$124,INT(B1787)+1)</f>
        <v/>
      </c>
      <c r="D1787" s="7">
        <f>MAX(1,MIN(INT(B1787/$C$4)+1,$C$5))</f>
        <v/>
      </c>
      <c r="E1787" s="26">
        <f>IF($C$5=0,0,INDEX(Symboles!$G$6:$G$101,D1787))</f>
        <v/>
      </c>
      <c r="F1787" s="26">
        <f>IF($C$5=0,0,INDEX(Symboles!$H$6:$H$101,D1787))</f>
        <v/>
      </c>
      <c r="G1787" s="26">
        <f>COS(2*PI()*$C$3*B1787)</f>
        <v/>
      </c>
      <c r="H1787" s="26">
        <f>SIN(2*PI()*$C$3*B1787)</f>
        <v/>
      </c>
      <c r="I1787" s="26">
        <f>E1787*G1787+F1787*H1787</f>
        <v/>
      </c>
    </row>
    <row r="1788">
      <c r="A1788" s="7" t="n">
        <v>1781</v>
      </c>
      <c r="B1788" s="26">
        <f>(A1788-1)/2000*$C$2</f>
        <v/>
      </c>
      <c r="C1788" s="7">
        <f>INDEX(Bits!$E$25:$E$124,INT(B1788)+1)</f>
        <v/>
      </c>
      <c r="D1788" s="7">
        <f>MAX(1,MIN(INT(B1788/$C$4)+1,$C$5))</f>
        <v/>
      </c>
      <c r="E1788" s="26">
        <f>IF($C$5=0,0,INDEX(Symboles!$G$6:$G$101,D1788))</f>
        <v/>
      </c>
      <c r="F1788" s="26">
        <f>IF($C$5=0,0,INDEX(Symboles!$H$6:$H$101,D1788))</f>
        <v/>
      </c>
      <c r="G1788" s="26">
        <f>COS(2*PI()*$C$3*B1788)</f>
        <v/>
      </c>
      <c r="H1788" s="26">
        <f>SIN(2*PI()*$C$3*B1788)</f>
        <v/>
      </c>
      <c r="I1788" s="26">
        <f>E1788*G1788+F1788*H1788</f>
        <v/>
      </c>
    </row>
    <row r="1789">
      <c r="A1789" s="7" t="n">
        <v>1782</v>
      </c>
      <c r="B1789" s="26">
        <f>(A1789-1)/2000*$C$2</f>
        <v/>
      </c>
      <c r="C1789" s="7">
        <f>INDEX(Bits!$E$25:$E$124,INT(B1789)+1)</f>
        <v/>
      </c>
      <c r="D1789" s="7">
        <f>MAX(1,MIN(INT(B1789/$C$4)+1,$C$5))</f>
        <v/>
      </c>
      <c r="E1789" s="26">
        <f>IF($C$5=0,0,INDEX(Symboles!$G$6:$G$101,D1789))</f>
        <v/>
      </c>
      <c r="F1789" s="26">
        <f>IF($C$5=0,0,INDEX(Symboles!$H$6:$H$101,D1789))</f>
        <v/>
      </c>
      <c r="G1789" s="26">
        <f>COS(2*PI()*$C$3*B1789)</f>
        <v/>
      </c>
      <c r="H1789" s="26">
        <f>SIN(2*PI()*$C$3*B1789)</f>
        <v/>
      </c>
      <c r="I1789" s="26">
        <f>E1789*G1789+F1789*H1789</f>
        <v/>
      </c>
    </row>
    <row r="1790">
      <c r="A1790" s="7" t="n">
        <v>1783</v>
      </c>
      <c r="B1790" s="26">
        <f>(A1790-1)/2000*$C$2</f>
        <v/>
      </c>
      <c r="C1790" s="7">
        <f>INDEX(Bits!$E$25:$E$124,INT(B1790)+1)</f>
        <v/>
      </c>
      <c r="D1790" s="7">
        <f>MAX(1,MIN(INT(B1790/$C$4)+1,$C$5))</f>
        <v/>
      </c>
      <c r="E1790" s="26">
        <f>IF($C$5=0,0,INDEX(Symboles!$G$6:$G$101,D1790))</f>
        <v/>
      </c>
      <c r="F1790" s="26">
        <f>IF($C$5=0,0,INDEX(Symboles!$H$6:$H$101,D1790))</f>
        <v/>
      </c>
      <c r="G1790" s="26">
        <f>COS(2*PI()*$C$3*B1790)</f>
        <v/>
      </c>
      <c r="H1790" s="26">
        <f>SIN(2*PI()*$C$3*B1790)</f>
        <v/>
      </c>
      <c r="I1790" s="26">
        <f>E1790*G1790+F1790*H1790</f>
        <v/>
      </c>
    </row>
    <row r="1791">
      <c r="A1791" s="7" t="n">
        <v>1784</v>
      </c>
      <c r="B1791" s="26">
        <f>(A1791-1)/2000*$C$2</f>
        <v/>
      </c>
      <c r="C1791" s="7">
        <f>INDEX(Bits!$E$25:$E$124,INT(B1791)+1)</f>
        <v/>
      </c>
      <c r="D1791" s="7">
        <f>MAX(1,MIN(INT(B1791/$C$4)+1,$C$5))</f>
        <v/>
      </c>
      <c r="E1791" s="26">
        <f>IF($C$5=0,0,INDEX(Symboles!$G$6:$G$101,D1791))</f>
        <v/>
      </c>
      <c r="F1791" s="26">
        <f>IF($C$5=0,0,INDEX(Symboles!$H$6:$H$101,D1791))</f>
        <v/>
      </c>
      <c r="G1791" s="26">
        <f>COS(2*PI()*$C$3*B1791)</f>
        <v/>
      </c>
      <c r="H1791" s="26">
        <f>SIN(2*PI()*$C$3*B1791)</f>
        <v/>
      </c>
      <c r="I1791" s="26">
        <f>E1791*G1791+F1791*H1791</f>
        <v/>
      </c>
    </row>
    <row r="1792">
      <c r="A1792" s="7" t="n">
        <v>1785</v>
      </c>
      <c r="B1792" s="26">
        <f>(A1792-1)/2000*$C$2</f>
        <v/>
      </c>
      <c r="C1792" s="7">
        <f>INDEX(Bits!$E$25:$E$124,INT(B1792)+1)</f>
        <v/>
      </c>
      <c r="D1792" s="7">
        <f>MAX(1,MIN(INT(B1792/$C$4)+1,$C$5))</f>
        <v/>
      </c>
      <c r="E1792" s="26">
        <f>IF($C$5=0,0,INDEX(Symboles!$G$6:$G$101,D1792))</f>
        <v/>
      </c>
      <c r="F1792" s="26">
        <f>IF($C$5=0,0,INDEX(Symboles!$H$6:$H$101,D1792))</f>
        <v/>
      </c>
      <c r="G1792" s="26">
        <f>COS(2*PI()*$C$3*B1792)</f>
        <v/>
      </c>
      <c r="H1792" s="26">
        <f>SIN(2*PI()*$C$3*B1792)</f>
        <v/>
      </c>
      <c r="I1792" s="26">
        <f>E1792*G1792+F1792*H1792</f>
        <v/>
      </c>
    </row>
    <row r="1793">
      <c r="A1793" s="7" t="n">
        <v>1786</v>
      </c>
      <c r="B1793" s="26">
        <f>(A1793-1)/2000*$C$2</f>
        <v/>
      </c>
      <c r="C1793" s="7">
        <f>INDEX(Bits!$E$25:$E$124,INT(B1793)+1)</f>
        <v/>
      </c>
      <c r="D1793" s="7">
        <f>MAX(1,MIN(INT(B1793/$C$4)+1,$C$5))</f>
        <v/>
      </c>
      <c r="E1793" s="26">
        <f>IF($C$5=0,0,INDEX(Symboles!$G$6:$G$101,D1793))</f>
        <v/>
      </c>
      <c r="F1793" s="26">
        <f>IF($C$5=0,0,INDEX(Symboles!$H$6:$H$101,D1793))</f>
        <v/>
      </c>
      <c r="G1793" s="26">
        <f>COS(2*PI()*$C$3*B1793)</f>
        <v/>
      </c>
      <c r="H1793" s="26">
        <f>SIN(2*PI()*$C$3*B1793)</f>
        <v/>
      </c>
      <c r="I1793" s="26">
        <f>E1793*G1793+F1793*H1793</f>
        <v/>
      </c>
    </row>
    <row r="1794">
      <c r="A1794" s="7" t="n">
        <v>1787</v>
      </c>
      <c r="B1794" s="26">
        <f>(A1794-1)/2000*$C$2</f>
        <v/>
      </c>
      <c r="C1794" s="7">
        <f>INDEX(Bits!$E$25:$E$124,INT(B1794)+1)</f>
        <v/>
      </c>
      <c r="D1794" s="7">
        <f>MAX(1,MIN(INT(B1794/$C$4)+1,$C$5))</f>
        <v/>
      </c>
      <c r="E1794" s="26">
        <f>IF($C$5=0,0,INDEX(Symboles!$G$6:$G$101,D1794))</f>
        <v/>
      </c>
      <c r="F1794" s="26">
        <f>IF($C$5=0,0,INDEX(Symboles!$H$6:$H$101,D1794))</f>
        <v/>
      </c>
      <c r="G1794" s="26">
        <f>COS(2*PI()*$C$3*B1794)</f>
        <v/>
      </c>
      <c r="H1794" s="26">
        <f>SIN(2*PI()*$C$3*B1794)</f>
        <v/>
      </c>
      <c r="I1794" s="26">
        <f>E1794*G1794+F1794*H1794</f>
        <v/>
      </c>
    </row>
    <row r="1795">
      <c r="A1795" s="7" t="n">
        <v>1788</v>
      </c>
      <c r="B1795" s="26">
        <f>(A1795-1)/2000*$C$2</f>
        <v/>
      </c>
      <c r="C1795" s="7">
        <f>INDEX(Bits!$E$25:$E$124,INT(B1795)+1)</f>
        <v/>
      </c>
      <c r="D1795" s="7">
        <f>MAX(1,MIN(INT(B1795/$C$4)+1,$C$5))</f>
        <v/>
      </c>
      <c r="E1795" s="26">
        <f>IF($C$5=0,0,INDEX(Symboles!$G$6:$G$101,D1795))</f>
        <v/>
      </c>
      <c r="F1795" s="26">
        <f>IF($C$5=0,0,INDEX(Symboles!$H$6:$H$101,D1795))</f>
        <v/>
      </c>
      <c r="G1795" s="26">
        <f>COS(2*PI()*$C$3*B1795)</f>
        <v/>
      </c>
      <c r="H1795" s="26">
        <f>SIN(2*PI()*$C$3*B1795)</f>
        <v/>
      </c>
      <c r="I1795" s="26">
        <f>E1795*G1795+F1795*H1795</f>
        <v/>
      </c>
    </row>
    <row r="1796">
      <c r="A1796" s="7" t="n">
        <v>1789</v>
      </c>
      <c r="B1796" s="26">
        <f>(A1796-1)/2000*$C$2</f>
        <v/>
      </c>
      <c r="C1796" s="7">
        <f>INDEX(Bits!$E$25:$E$124,INT(B1796)+1)</f>
        <v/>
      </c>
      <c r="D1796" s="7">
        <f>MAX(1,MIN(INT(B1796/$C$4)+1,$C$5))</f>
        <v/>
      </c>
      <c r="E1796" s="26">
        <f>IF($C$5=0,0,INDEX(Symboles!$G$6:$G$101,D1796))</f>
        <v/>
      </c>
      <c r="F1796" s="26">
        <f>IF($C$5=0,0,INDEX(Symboles!$H$6:$H$101,D1796))</f>
        <v/>
      </c>
      <c r="G1796" s="26">
        <f>COS(2*PI()*$C$3*B1796)</f>
        <v/>
      </c>
      <c r="H1796" s="26">
        <f>SIN(2*PI()*$C$3*B1796)</f>
        <v/>
      </c>
      <c r="I1796" s="26">
        <f>E1796*G1796+F1796*H1796</f>
        <v/>
      </c>
    </row>
    <row r="1797">
      <c r="A1797" s="7" t="n">
        <v>1790</v>
      </c>
      <c r="B1797" s="26">
        <f>(A1797-1)/2000*$C$2</f>
        <v/>
      </c>
      <c r="C1797" s="7">
        <f>INDEX(Bits!$E$25:$E$124,INT(B1797)+1)</f>
        <v/>
      </c>
      <c r="D1797" s="7">
        <f>MAX(1,MIN(INT(B1797/$C$4)+1,$C$5))</f>
        <v/>
      </c>
      <c r="E1797" s="26">
        <f>IF($C$5=0,0,INDEX(Symboles!$G$6:$G$101,D1797))</f>
        <v/>
      </c>
      <c r="F1797" s="26">
        <f>IF($C$5=0,0,INDEX(Symboles!$H$6:$H$101,D1797))</f>
        <v/>
      </c>
      <c r="G1797" s="26">
        <f>COS(2*PI()*$C$3*B1797)</f>
        <v/>
      </c>
      <c r="H1797" s="26">
        <f>SIN(2*PI()*$C$3*B1797)</f>
        <v/>
      </c>
      <c r="I1797" s="26">
        <f>E1797*G1797+F1797*H1797</f>
        <v/>
      </c>
    </row>
    <row r="1798">
      <c r="A1798" s="7" t="n">
        <v>1791</v>
      </c>
      <c r="B1798" s="26">
        <f>(A1798-1)/2000*$C$2</f>
        <v/>
      </c>
      <c r="C1798" s="7">
        <f>INDEX(Bits!$E$25:$E$124,INT(B1798)+1)</f>
        <v/>
      </c>
      <c r="D1798" s="7">
        <f>MAX(1,MIN(INT(B1798/$C$4)+1,$C$5))</f>
        <v/>
      </c>
      <c r="E1798" s="26">
        <f>IF($C$5=0,0,INDEX(Symboles!$G$6:$G$101,D1798))</f>
        <v/>
      </c>
      <c r="F1798" s="26">
        <f>IF($C$5=0,0,INDEX(Symboles!$H$6:$H$101,D1798))</f>
        <v/>
      </c>
      <c r="G1798" s="26">
        <f>COS(2*PI()*$C$3*B1798)</f>
        <v/>
      </c>
      <c r="H1798" s="26">
        <f>SIN(2*PI()*$C$3*B1798)</f>
        <v/>
      </c>
      <c r="I1798" s="26">
        <f>E1798*G1798+F1798*H1798</f>
        <v/>
      </c>
    </row>
    <row r="1799">
      <c r="A1799" s="7" t="n">
        <v>1792</v>
      </c>
      <c r="B1799" s="26">
        <f>(A1799-1)/2000*$C$2</f>
        <v/>
      </c>
      <c r="C1799" s="7">
        <f>INDEX(Bits!$E$25:$E$124,INT(B1799)+1)</f>
        <v/>
      </c>
      <c r="D1799" s="7">
        <f>MAX(1,MIN(INT(B1799/$C$4)+1,$C$5))</f>
        <v/>
      </c>
      <c r="E1799" s="26">
        <f>IF($C$5=0,0,INDEX(Symboles!$G$6:$G$101,D1799))</f>
        <v/>
      </c>
      <c r="F1799" s="26">
        <f>IF($C$5=0,0,INDEX(Symboles!$H$6:$H$101,D1799))</f>
        <v/>
      </c>
      <c r="G1799" s="26">
        <f>COS(2*PI()*$C$3*B1799)</f>
        <v/>
      </c>
      <c r="H1799" s="26">
        <f>SIN(2*PI()*$C$3*B1799)</f>
        <v/>
      </c>
      <c r="I1799" s="26">
        <f>E1799*G1799+F1799*H1799</f>
        <v/>
      </c>
    </row>
    <row r="1800">
      <c r="A1800" s="7" t="n">
        <v>1793</v>
      </c>
      <c r="B1800" s="26">
        <f>(A1800-1)/2000*$C$2</f>
        <v/>
      </c>
      <c r="C1800" s="7">
        <f>INDEX(Bits!$E$25:$E$124,INT(B1800)+1)</f>
        <v/>
      </c>
      <c r="D1800" s="7">
        <f>MAX(1,MIN(INT(B1800/$C$4)+1,$C$5))</f>
        <v/>
      </c>
      <c r="E1800" s="26">
        <f>IF($C$5=0,0,INDEX(Symboles!$G$6:$G$101,D1800))</f>
        <v/>
      </c>
      <c r="F1800" s="26">
        <f>IF($C$5=0,0,INDEX(Symboles!$H$6:$H$101,D1800))</f>
        <v/>
      </c>
      <c r="G1800" s="26">
        <f>COS(2*PI()*$C$3*B1800)</f>
        <v/>
      </c>
      <c r="H1800" s="26">
        <f>SIN(2*PI()*$C$3*B1800)</f>
        <v/>
      </c>
      <c r="I1800" s="26">
        <f>E1800*G1800+F1800*H1800</f>
        <v/>
      </c>
    </row>
    <row r="1801">
      <c r="A1801" s="7" t="n">
        <v>1794</v>
      </c>
      <c r="B1801" s="26">
        <f>(A1801-1)/2000*$C$2</f>
        <v/>
      </c>
      <c r="C1801" s="7">
        <f>INDEX(Bits!$E$25:$E$124,INT(B1801)+1)</f>
        <v/>
      </c>
      <c r="D1801" s="7">
        <f>MAX(1,MIN(INT(B1801/$C$4)+1,$C$5))</f>
        <v/>
      </c>
      <c r="E1801" s="26">
        <f>IF($C$5=0,0,INDEX(Symboles!$G$6:$G$101,D1801))</f>
        <v/>
      </c>
      <c r="F1801" s="26">
        <f>IF($C$5=0,0,INDEX(Symboles!$H$6:$H$101,D1801))</f>
        <v/>
      </c>
      <c r="G1801" s="26">
        <f>COS(2*PI()*$C$3*B1801)</f>
        <v/>
      </c>
      <c r="H1801" s="26">
        <f>SIN(2*PI()*$C$3*B1801)</f>
        <v/>
      </c>
      <c r="I1801" s="26">
        <f>E1801*G1801+F1801*H1801</f>
        <v/>
      </c>
    </row>
    <row r="1802">
      <c r="A1802" s="7" t="n">
        <v>1795</v>
      </c>
      <c r="B1802" s="26">
        <f>(A1802-1)/2000*$C$2</f>
        <v/>
      </c>
      <c r="C1802" s="7">
        <f>INDEX(Bits!$E$25:$E$124,INT(B1802)+1)</f>
        <v/>
      </c>
      <c r="D1802" s="7">
        <f>MAX(1,MIN(INT(B1802/$C$4)+1,$C$5))</f>
        <v/>
      </c>
      <c r="E1802" s="26">
        <f>IF($C$5=0,0,INDEX(Symboles!$G$6:$G$101,D1802))</f>
        <v/>
      </c>
      <c r="F1802" s="26">
        <f>IF($C$5=0,0,INDEX(Symboles!$H$6:$H$101,D1802))</f>
        <v/>
      </c>
      <c r="G1802" s="26">
        <f>COS(2*PI()*$C$3*B1802)</f>
        <v/>
      </c>
      <c r="H1802" s="26">
        <f>SIN(2*PI()*$C$3*B1802)</f>
        <v/>
      </c>
      <c r="I1802" s="26">
        <f>E1802*G1802+F1802*H1802</f>
        <v/>
      </c>
    </row>
    <row r="1803">
      <c r="A1803" s="7" t="n">
        <v>1796</v>
      </c>
      <c r="B1803" s="26">
        <f>(A1803-1)/2000*$C$2</f>
        <v/>
      </c>
      <c r="C1803" s="7">
        <f>INDEX(Bits!$E$25:$E$124,INT(B1803)+1)</f>
        <v/>
      </c>
      <c r="D1803" s="7">
        <f>MAX(1,MIN(INT(B1803/$C$4)+1,$C$5))</f>
        <v/>
      </c>
      <c r="E1803" s="26">
        <f>IF($C$5=0,0,INDEX(Symboles!$G$6:$G$101,D1803))</f>
        <v/>
      </c>
      <c r="F1803" s="26">
        <f>IF($C$5=0,0,INDEX(Symboles!$H$6:$H$101,D1803))</f>
        <v/>
      </c>
      <c r="G1803" s="26">
        <f>COS(2*PI()*$C$3*B1803)</f>
        <v/>
      </c>
      <c r="H1803" s="26">
        <f>SIN(2*PI()*$C$3*B1803)</f>
        <v/>
      </c>
      <c r="I1803" s="26">
        <f>E1803*G1803+F1803*H1803</f>
        <v/>
      </c>
    </row>
    <row r="1804">
      <c r="A1804" s="7" t="n">
        <v>1797</v>
      </c>
      <c r="B1804" s="26">
        <f>(A1804-1)/2000*$C$2</f>
        <v/>
      </c>
      <c r="C1804" s="7">
        <f>INDEX(Bits!$E$25:$E$124,INT(B1804)+1)</f>
        <v/>
      </c>
      <c r="D1804" s="7">
        <f>MAX(1,MIN(INT(B1804/$C$4)+1,$C$5))</f>
        <v/>
      </c>
      <c r="E1804" s="26">
        <f>IF($C$5=0,0,INDEX(Symboles!$G$6:$G$101,D1804))</f>
        <v/>
      </c>
      <c r="F1804" s="26">
        <f>IF($C$5=0,0,INDEX(Symboles!$H$6:$H$101,D1804))</f>
        <v/>
      </c>
      <c r="G1804" s="26">
        <f>COS(2*PI()*$C$3*B1804)</f>
        <v/>
      </c>
      <c r="H1804" s="26">
        <f>SIN(2*PI()*$C$3*B1804)</f>
        <v/>
      </c>
      <c r="I1804" s="26">
        <f>E1804*G1804+F1804*H1804</f>
        <v/>
      </c>
    </row>
    <row r="1805">
      <c r="A1805" s="7" t="n">
        <v>1798</v>
      </c>
      <c r="B1805" s="26">
        <f>(A1805-1)/2000*$C$2</f>
        <v/>
      </c>
      <c r="C1805" s="7">
        <f>INDEX(Bits!$E$25:$E$124,INT(B1805)+1)</f>
        <v/>
      </c>
      <c r="D1805" s="7">
        <f>MAX(1,MIN(INT(B1805/$C$4)+1,$C$5))</f>
        <v/>
      </c>
      <c r="E1805" s="26">
        <f>IF($C$5=0,0,INDEX(Symboles!$G$6:$G$101,D1805))</f>
        <v/>
      </c>
      <c r="F1805" s="26">
        <f>IF($C$5=0,0,INDEX(Symboles!$H$6:$H$101,D1805))</f>
        <v/>
      </c>
      <c r="G1805" s="26">
        <f>COS(2*PI()*$C$3*B1805)</f>
        <v/>
      </c>
      <c r="H1805" s="26">
        <f>SIN(2*PI()*$C$3*B1805)</f>
        <v/>
      </c>
      <c r="I1805" s="26">
        <f>E1805*G1805+F1805*H1805</f>
        <v/>
      </c>
    </row>
    <row r="1806">
      <c r="A1806" s="7" t="n">
        <v>1799</v>
      </c>
      <c r="B1806" s="26">
        <f>(A1806-1)/2000*$C$2</f>
        <v/>
      </c>
      <c r="C1806" s="7">
        <f>INDEX(Bits!$E$25:$E$124,INT(B1806)+1)</f>
        <v/>
      </c>
      <c r="D1806" s="7">
        <f>MAX(1,MIN(INT(B1806/$C$4)+1,$C$5))</f>
        <v/>
      </c>
      <c r="E1806" s="26">
        <f>IF($C$5=0,0,INDEX(Symboles!$G$6:$G$101,D1806))</f>
        <v/>
      </c>
      <c r="F1806" s="26">
        <f>IF($C$5=0,0,INDEX(Symboles!$H$6:$H$101,D1806))</f>
        <v/>
      </c>
      <c r="G1806" s="26">
        <f>COS(2*PI()*$C$3*B1806)</f>
        <v/>
      </c>
      <c r="H1806" s="26">
        <f>SIN(2*PI()*$C$3*B1806)</f>
        <v/>
      </c>
      <c r="I1806" s="26">
        <f>E1806*G1806+F1806*H1806</f>
        <v/>
      </c>
    </row>
    <row r="1807">
      <c r="A1807" s="7" t="n">
        <v>1800</v>
      </c>
      <c r="B1807" s="26">
        <f>(A1807-1)/2000*$C$2</f>
        <v/>
      </c>
      <c r="C1807" s="7">
        <f>INDEX(Bits!$E$25:$E$124,INT(B1807)+1)</f>
        <v/>
      </c>
      <c r="D1807" s="7">
        <f>MAX(1,MIN(INT(B1807/$C$4)+1,$C$5))</f>
        <v/>
      </c>
      <c r="E1807" s="26">
        <f>IF($C$5=0,0,INDEX(Symboles!$G$6:$G$101,D1807))</f>
        <v/>
      </c>
      <c r="F1807" s="26">
        <f>IF($C$5=0,0,INDEX(Symboles!$H$6:$H$101,D1807))</f>
        <v/>
      </c>
      <c r="G1807" s="26">
        <f>COS(2*PI()*$C$3*B1807)</f>
        <v/>
      </c>
      <c r="H1807" s="26">
        <f>SIN(2*PI()*$C$3*B1807)</f>
        <v/>
      </c>
      <c r="I1807" s="26">
        <f>E1807*G1807+F1807*H1807</f>
        <v/>
      </c>
    </row>
    <row r="1808">
      <c r="A1808" s="7" t="n">
        <v>1801</v>
      </c>
      <c r="B1808" s="26">
        <f>(A1808-1)/2000*$C$2</f>
        <v/>
      </c>
      <c r="C1808" s="7">
        <f>INDEX(Bits!$E$25:$E$124,INT(B1808)+1)</f>
        <v/>
      </c>
      <c r="D1808" s="7">
        <f>MAX(1,MIN(INT(B1808/$C$4)+1,$C$5))</f>
        <v/>
      </c>
      <c r="E1808" s="26">
        <f>IF($C$5=0,0,INDEX(Symboles!$G$6:$G$101,D1808))</f>
        <v/>
      </c>
      <c r="F1808" s="26">
        <f>IF($C$5=0,0,INDEX(Symboles!$H$6:$H$101,D1808))</f>
        <v/>
      </c>
      <c r="G1808" s="26">
        <f>COS(2*PI()*$C$3*B1808)</f>
        <v/>
      </c>
      <c r="H1808" s="26">
        <f>SIN(2*PI()*$C$3*B1808)</f>
        <v/>
      </c>
      <c r="I1808" s="26">
        <f>E1808*G1808+F1808*H1808</f>
        <v/>
      </c>
    </row>
    <row r="1809">
      <c r="A1809" s="7" t="n">
        <v>1802</v>
      </c>
      <c r="B1809" s="26">
        <f>(A1809-1)/2000*$C$2</f>
        <v/>
      </c>
      <c r="C1809" s="7">
        <f>INDEX(Bits!$E$25:$E$124,INT(B1809)+1)</f>
        <v/>
      </c>
      <c r="D1809" s="7">
        <f>MAX(1,MIN(INT(B1809/$C$4)+1,$C$5))</f>
        <v/>
      </c>
      <c r="E1809" s="26">
        <f>IF($C$5=0,0,INDEX(Symboles!$G$6:$G$101,D1809))</f>
        <v/>
      </c>
      <c r="F1809" s="26">
        <f>IF($C$5=0,0,INDEX(Symboles!$H$6:$H$101,D1809))</f>
        <v/>
      </c>
      <c r="G1809" s="26">
        <f>COS(2*PI()*$C$3*B1809)</f>
        <v/>
      </c>
      <c r="H1809" s="26">
        <f>SIN(2*PI()*$C$3*B1809)</f>
        <v/>
      </c>
      <c r="I1809" s="26">
        <f>E1809*G1809+F1809*H1809</f>
        <v/>
      </c>
    </row>
    <row r="1810">
      <c r="A1810" s="7" t="n">
        <v>1803</v>
      </c>
      <c r="B1810" s="26">
        <f>(A1810-1)/2000*$C$2</f>
        <v/>
      </c>
      <c r="C1810" s="7">
        <f>INDEX(Bits!$E$25:$E$124,INT(B1810)+1)</f>
        <v/>
      </c>
      <c r="D1810" s="7">
        <f>MAX(1,MIN(INT(B1810/$C$4)+1,$C$5))</f>
        <v/>
      </c>
      <c r="E1810" s="26">
        <f>IF($C$5=0,0,INDEX(Symboles!$G$6:$G$101,D1810))</f>
        <v/>
      </c>
      <c r="F1810" s="26">
        <f>IF($C$5=0,0,INDEX(Symboles!$H$6:$H$101,D1810))</f>
        <v/>
      </c>
      <c r="G1810" s="26">
        <f>COS(2*PI()*$C$3*B1810)</f>
        <v/>
      </c>
      <c r="H1810" s="26">
        <f>SIN(2*PI()*$C$3*B1810)</f>
        <v/>
      </c>
      <c r="I1810" s="26">
        <f>E1810*G1810+F1810*H1810</f>
        <v/>
      </c>
    </row>
    <row r="1811">
      <c r="A1811" s="7" t="n">
        <v>1804</v>
      </c>
      <c r="B1811" s="26">
        <f>(A1811-1)/2000*$C$2</f>
        <v/>
      </c>
      <c r="C1811" s="7">
        <f>INDEX(Bits!$E$25:$E$124,INT(B1811)+1)</f>
        <v/>
      </c>
      <c r="D1811" s="7">
        <f>MAX(1,MIN(INT(B1811/$C$4)+1,$C$5))</f>
        <v/>
      </c>
      <c r="E1811" s="26">
        <f>IF($C$5=0,0,INDEX(Symboles!$G$6:$G$101,D1811))</f>
        <v/>
      </c>
      <c r="F1811" s="26">
        <f>IF($C$5=0,0,INDEX(Symboles!$H$6:$H$101,D1811))</f>
        <v/>
      </c>
      <c r="G1811" s="26">
        <f>COS(2*PI()*$C$3*B1811)</f>
        <v/>
      </c>
      <c r="H1811" s="26">
        <f>SIN(2*PI()*$C$3*B1811)</f>
        <v/>
      </c>
      <c r="I1811" s="26">
        <f>E1811*G1811+F1811*H1811</f>
        <v/>
      </c>
    </row>
    <row r="1812">
      <c r="A1812" s="7" t="n">
        <v>1805</v>
      </c>
      <c r="B1812" s="26">
        <f>(A1812-1)/2000*$C$2</f>
        <v/>
      </c>
      <c r="C1812" s="7">
        <f>INDEX(Bits!$E$25:$E$124,INT(B1812)+1)</f>
        <v/>
      </c>
      <c r="D1812" s="7">
        <f>MAX(1,MIN(INT(B1812/$C$4)+1,$C$5))</f>
        <v/>
      </c>
      <c r="E1812" s="26">
        <f>IF($C$5=0,0,INDEX(Symboles!$G$6:$G$101,D1812))</f>
        <v/>
      </c>
      <c r="F1812" s="26">
        <f>IF($C$5=0,0,INDEX(Symboles!$H$6:$H$101,D1812))</f>
        <v/>
      </c>
      <c r="G1812" s="26">
        <f>COS(2*PI()*$C$3*B1812)</f>
        <v/>
      </c>
      <c r="H1812" s="26">
        <f>SIN(2*PI()*$C$3*B1812)</f>
        <v/>
      </c>
      <c r="I1812" s="26">
        <f>E1812*G1812+F1812*H1812</f>
        <v/>
      </c>
    </row>
    <row r="1813">
      <c r="A1813" s="7" t="n">
        <v>1806</v>
      </c>
      <c r="B1813" s="26">
        <f>(A1813-1)/2000*$C$2</f>
        <v/>
      </c>
      <c r="C1813" s="7">
        <f>INDEX(Bits!$E$25:$E$124,INT(B1813)+1)</f>
        <v/>
      </c>
      <c r="D1813" s="7">
        <f>MAX(1,MIN(INT(B1813/$C$4)+1,$C$5))</f>
        <v/>
      </c>
      <c r="E1813" s="26">
        <f>IF($C$5=0,0,INDEX(Symboles!$G$6:$G$101,D1813))</f>
        <v/>
      </c>
      <c r="F1813" s="26">
        <f>IF($C$5=0,0,INDEX(Symboles!$H$6:$H$101,D1813))</f>
        <v/>
      </c>
      <c r="G1813" s="26">
        <f>COS(2*PI()*$C$3*B1813)</f>
        <v/>
      </c>
      <c r="H1813" s="26">
        <f>SIN(2*PI()*$C$3*B1813)</f>
        <v/>
      </c>
      <c r="I1813" s="26">
        <f>E1813*G1813+F1813*H1813</f>
        <v/>
      </c>
    </row>
    <row r="1814">
      <c r="A1814" s="7" t="n">
        <v>1807</v>
      </c>
      <c r="B1814" s="26">
        <f>(A1814-1)/2000*$C$2</f>
        <v/>
      </c>
      <c r="C1814" s="7">
        <f>INDEX(Bits!$E$25:$E$124,INT(B1814)+1)</f>
        <v/>
      </c>
      <c r="D1814" s="7">
        <f>MAX(1,MIN(INT(B1814/$C$4)+1,$C$5))</f>
        <v/>
      </c>
      <c r="E1814" s="26">
        <f>IF($C$5=0,0,INDEX(Symboles!$G$6:$G$101,D1814))</f>
        <v/>
      </c>
      <c r="F1814" s="26">
        <f>IF($C$5=0,0,INDEX(Symboles!$H$6:$H$101,D1814))</f>
        <v/>
      </c>
      <c r="G1814" s="26">
        <f>COS(2*PI()*$C$3*B1814)</f>
        <v/>
      </c>
      <c r="H1814" s="26">
        <f>SIN(2*PI()*$C$3*B1814)</f>
        <v/>
      </c>
      <c r="I1814" s="26">
        <f>E1814*G1814+F1814*H1814</f>
        <v/>
      </c>
    </row>
    <row r="1815">
      <c r="A1815" s="7" t="n">
        <v>1808</v>
      </c>
      <c r="B1815" s="26">
        <f>(A1815-1)/2000*$C$2</f>
        <v/>
      </c>
      <c r="C1815" s="7">
        <f>INDEX(Bits!$E$25:$E$124,INT(B1815)+1)</f>
        <v/>
      </c>
      <c r="D1815" s="7">
        <f>MAX(1,MIN(INT(B1815/$C$4)+1,$C$5))</f>
        <v/>
      </c>
      <c r="E1815" s="26">
        <f>IF($C$5=0,0,INDEX(Symboles!$G$6:$G$101,D1815))</f>
        <v/>
      </c>
      <c r="F1815" s="26">
        <f>IF($C$5=0,0,INDEX(Symboles!$H$6:$H$101,D1815))</f>
        <v/>
      </c>
      <c r="G1815" s="26">
        <f>COS(2*PI()*$C$3*B1815)</f>
        <v/>
      </c>
      <c r="H1815" s="26">
        <f>SIN(2*PI()*$C$3*B1815)</f>
        <v/>
      </c>
      <c r="I1815" s="26">
        <f>E1815*G1815+F1815*H1815</f>
        <v/>
      </c>
    </row>
    <row r="1816">
      <c r="A1816" s="7" t="n">
        <v>1809</v>
      </c>
      <c r="B1816" s="26">
        <f>(A1816-1)/2000*$C$2</f>
        <v/>
      </c>
      <c r="C1816" s="7">
        <f>INDEX(Bits!$E$25:$E$124,INT(B1816)+1)</f>
        <v/>
      </c>
      <c r="D1816" s="7">
        <f>MAX(1,MIN(INT(B1816/$C$4)+1,$C$5))</f>
        <v/>
      </c>
      <c r="E1816" s="26">
        <f>IF($C$5=0,0,INDEX(Symboles!$G$6:$G$101,D1816))</f>
        <v/>
      </c>
      <c r="F1816" s="26">
        <f>IF($C$5=0,0,INDEX(Symboles!$H$6:$H$101,D1816))</f>
        <v/>
      </c>
      <c r="G1816" s="26">
        <f>COS(2*PI()*$C$3*B1816)</f>
        <v/>
      </c>
      <c r="H1816" s="26">
        <f>SIN(2*PI()*$C$3*B1816)</f>
        <v/>
      </c>
      <c r="I1816" s="26">
        <f>E1816*G1816+F1816*H1816</f>
        <v/>
      </c>
    </row>
    <row r="1817">
      <c r="A1817" s="7" t="n">
        <v>1810</v>
      </c>
      <c r="B1817" s="26">
        <f>(A1817-1)/2000*$C$2</f>
        <v/>
      </c>
      <c r="C1817" s="7">
        <f>INDEX(Bits!$E$25:$E$124,INT(B1817)+1)</f>
        <v/>
      </c>
      <c r="D1817" s="7">
        <f>MAX(1,MIN(INT(B1817/$C$4)+1,$C$5))</f>
        <v/>
      </c>
      <c r="E1817" s="26">
        <f>IF($C$5=0,0,INDEX(Symboles!$G$6:$G$101,D1817))</f>
        <v/>
      </c>
      <c r="F1817" s="26">
        <f>IF($C$5=0,0,INDEX(Symboles!$H$6:$H$101,D1817))</f>
        <v/>
      </c>
      <c r="G1817" s="26">
        <f>COS(2*PI()*$C$3*B1817)</f>
        <v/>
      </c>
      <c r="H1817" s="26">
        <f>SIN(2*PI()*$C$3*B1817)</f>
        <v/>
      </c>
      <c r="I1817" s="26">
        <f>E1817*G1817+F1817*H1817</f>
        <v/>
      </c>
    </row>
    <row r="1818">
      <c r="A1818" s="7" t="n">
        <v>1811</v>
      </c>
      <c r="B1818" s="26">
        <f>(A1818-1)/2000*$C$2</f>
        <v/>
      </c>
      <c r="C1818" s="7">
        <f>INDEX(Bits!$E$25:$E$124,INT(B1818)+1)</f>
        <v/>
      </c>
      <c r="D1818" s="7">
        <f>MAX(1,MIN(INT(B1818/$C$4)+1,$C$5))</f>
        <v/>
      </c>
      <c r="E1818" s="26">
        <f>IF($C$5=0,0,INDEX(Symboles!$G$6:$G$101,D1818))</f>
        <v/>
      </c>
      <c r="F1818" s="26">
        <f>IF($C$5=0,0,INDEX(Symboles!$H$6:$H$101,D1818))</f>
        <v/>
      </c>
      <c r="G1818" s="26">
        <f>COS(2*PI()*$C$3*B1818)</f>
        <v/>
      </c>
      <c r="H1818" s="26">
        <f>SIN(2*PI()*$C$3*B1818)</f>
        <v/>
      </c>
      <c r="I1818" s="26">
        <f>E1818*G1818+F1818*H1818</f>
        <v/>
      </c>
    </row>
    <row r="1819">
      <c r="A1819" s="7" t="n">
        <v>1812</v>
      </c>
      <c r="B1819" s="26">
        <f>(A1819-1)/2000*$C$2</f>
        <v/>
      </c>
      <c r="C1819" s="7">
        <f>INDEX(Bits!$E$25:$E$124,INT(B1819)+1)</f>
        <v/>
      </c>
      <c r="D1819" s="7">
        <f>MAX(1,MIN(INT(B1819/$C$4)+1,$C$5))</f>
        <v/>
      </c>
      <c r="E1819" s="26">
        <f>IF($C$5=0,0,INDEX(Symboles!$G$6:$G$101,D1819))</f>
        <v/>
      </c>
      <c r="F1819" s="26">
        <f>IF($C$5=0,0,INDEX(Symboles!$H$6:$H$101,D1819))</f>
        <v/>
      </c>
      <c r="G1819" s="26">
        <f>COS(2*PI()*$C$3*B1819)</f>
        <v/>
      </c>
      <c r="H1819" s="26">
        <f>SIN(2*PI()*$C$3*B1819)</f>
        <v/>
      </c>
      <c r="I1819" s="26">
        <f>E1819*G1819+F1819*H1819</f>
        <v/>
      </c>
    </row>
    <row r="1820">
      <c r="A1820" s="7" t="n">
        <v>1813</v>
      </c>
      <c r="B1820" s="26">
        <f>(A1820-1)/2000*$C$2</f>
        <v/>
      </c>
      <c r="C1820" s="7">
        <f>INDEX(Bits!$E$25:$E$124,INT(B1820)+1)</f>
        <v/>
      </c>
      <c r="D1820" s="7">
        <f>MAX(1,MIN(INT(B1820/$C$4)+1,$C$5))</f>
        <v/>
      </c>
      <c r="E1820" s="26">
        <f>IF($C$5=0,0,INDEX(Symboles!$G$6:$G$101,D1820))</f>
        <v/>
      </c>
      <c r="F1820" s="26">
        <f>IF($C$5=0,0,INDEX(Symboles!$H$6:$H$101,D1820))</f>
        <v/>
      </c>
      <c r="G1820" s="26">
        <f>COS(2*PI()*$C$3*B1820)</f>
        <v/>
      </c>
      <c r="H1820" s="26">
        <f>SIN(2*PI()*$C$3*B1820)</f>
        <v/>
      </c>
      <c r="I1820" s="26">
        <f>E1820*G1820+F1820*H1820</f>
        <v/>
      </c>
    </row>
    <row r="1821">
      <c r="A1821" s="7" t="n">
        <v>1814</v>
      </c>
      <c r="B1821" s="26">
        <f>(A1821-1)/2000*$C$2</f>
        <v/>
      </c>
      <c r="C1821" s="7">
        <f>INDEX(Bits!$E$25:$E$124,INT(B1821)+1)</f>
        <v/>
      </c>
      <c r="D1821" s="7">
        <f>MAX(1,MIN(INT(B1821/$C$4)+1,$C$5))</f>
        <v/>
      </c>
      <c r="E1821" s="26">
        <f>IF($C$5=0,0,INDEX(Symboles!$G$6:$G$101,D1821))</f>
        <v/>
      </c>
      <c r="F1821" s="26">
        <f>IF($C$5=0,0,INDEX(Symboles!$H$6:$H$101,D1821))</f>
        <v/>
      </c>
      <c r="G1821" s="26">
        <f>COS(2*PI()*$C$3*B1821)</f>
        <v/>
      </c>
      <c r="H1821" s="26">
        <f>SIN(2*PI()*$C$3*B1821)</f>
        <v/>
      </c>
      <c r="I1821" s="26">
        <f>E1821*G1821+F1821*H1821</f>
        <v/>
      </c>
    </row>
    <row r="1822">
      <c r="A1822" s="7" t="n">
        <v>1815</v>
      </c>
      <c r="B1822" s="26">
        <f>(A1822-1)/2000*$C$2</f>
        <v/>
      </c>
      <c r="C1822" s="7">
        <f>INDEX(Bits!$E$25:$E$124,INT(B1822)+1)</f>
        <v/>
      </c>
      <c r="D1822" s="7">
        <f>MAX(1,MIN(INT(B1822/$C$4)+1,$C$5))</f>
        <v/>
      </c>
      <c r="E1822" s="26">
        <f>IF($C$5=0,0,INDEX(Symboles!$G$6:$G$101,D1822))</f>
        <v/>
      </c>
      <c r="F1822" s="26">
        <f>IF($C$5=0,0,INDEX(Symboles!$H$6:$H$101,D1822))</f>
        <v/>
      </c>
      <c r="G1822" s="26">
        <f>COS(2*PI()*$C$3*B1822)</f>
        <v/>
      </c>
      <c r="H1822" s="26">
        <f>SIN(2*PI()*$C$3*B1822)</f>
        <v/>
      </c>
      <c r="I1822" s="26">
        <f>E1822*G1822+F1822*H1822</f>
        <v/>
      </c>
    </row>
    <row r="1823">
      <c r="A1823" s="7" t="n">
        <v>1816</v>
      </c>
      <c r="B1823" s="26">
        <f>(A1823-1)/2000*$C$2</f>
        <v/>
      </c>
      <c r="C1823" s="7">
        <f>INDEX(Bits!$E$25:$E$124,INT(B1823)+1)</f>
        <v/>
      </c>
      <c r="D1823" s="7">
        <f>MAX(1,MIN(INT(B1823/$C$4)+1,$C$5))</f>
        <v/>
      </c>
      <c r="E1823" s="26">
        <f>IF($C$5=0,0,INDEX(Symboles!$G$6:$G$101,D1823))</f>
        <v/>
      </c>
      <c r="F1823" s="26">
        <f>IF($C$5=0,0,INDEX(Symboles!$H$6:$H$101,D1823))</f>
        <v/>
      </c>
      <c r="G1823" s="26">
        <f>COS(2*PI()*$C$3*B1823)</f>
        <v/>
      </c>
      <c r="H1823" s="26">
        <f>SIN(2*PI()*$C$3*B1823)</f>
        <v/>
      </c>
      <c r="I1823" s="26">
        <f>E1823*G1823+F1823*H1823</f>
        <v/>
      </c>
    </row>
    <row r="1824">
      <c r="A1824" s="7" t="n">
        <v>1817</v>
      </c>
      <c r="B1824" s="26">
        <f>(A1824-1)/2000*$C$2</f>
        <v/>
      </c>
      <c r="C1824" s="7">
        <f>INDEX(Bits!$E$25:$E$124,INT(B1824)+1)</f>
        <v/>
      </c>
      <c r="D1824" s="7">
        <f>MAX(1,MIN(INT(B1824/$C$4)+1,$C$5))</f>
        <v/>
      </c>
      <c r="E1824" s="26">
        <f>IF($C$5=0,0,INDEX(Symboles!$G$6:$G$101,D1824))</f>
        <v/>
      </c>
      <c r="F1824" s="26">
        <f>IF($C$5=0,0,INDEX(Symboles!$H$6:$H$101,D1824))</f>
        <v/>
      </c>
      <c r="G1824" s="26">
        <f>COS(2*PI()*$C$3*B1824)</f>
        <v/>
      </c>
      <c r="H1824" s="26">
        <f>SIN(2*PI()*$C$3*B1824)</f>
        <v/>
      </c>
      <c r="I1824" s="26">
        <f>E1824*G1824+F1824*H1824</f>
        <v/>
      </c>
    </row>
    <row r="1825">
      <c r="A1825" s="7" t="n">
        <v>1818</v>
      </c>
      <c r="B1825" s="26">
        <f>(A1825-1)/2000*$C$2</f>
        <v/>
      </c>
      <c r="C1825" s="7">
        <f>INDEX(Bits!$E$25:$E$124,INT(B1825)+1)</f>
        <v/>
      </c>
      <c r="D1825" s="7">
        <f>MAX(1,MIN(INT(B1825/$C$4)+1,$C$5))</f>
        <v/>
      </c>
      <c r="E1825" s="26">
        <f>IF($C$5=0,0,INDEX(Symboles!$G$6:$G$101,D1825))</f>
        <v/>
      </c>
      <c r="F1825" s="26">
        <f>IF($C$5=0,0,INDEX(Symboles!$H$6:$H$101,D1825))</f>
        <v/>
      </c>
      <c r="G1825" s="26">
        <f>COS(2*PI()*$C$3*B1825)</f>
        <v/>
      </c>
      <c r="H1825" s="26">
        <f>SIN(2*PI()*$C$3*B1825)</f>
        <v/>
      </c>
      <c r="I1825" s="26">
        <f>E1825*G1825+F1825*H1825</f>
        <v/>
      </c>
    </row>
    <row r="1826">
      <c r="A1826" s="7" t="n">
        <v>1819</v>
      </c>
      <c r="B1826" s="26">
        <f>(A1826-1)/2000*$C$2</f>
        <v/>
      </c>
      <c r="C1826" s="7">
        <f>INDEX(Bits!$E$25:$E$124,INT(B1826)+1)</f>
        <v/>
      </c>
      <c r="D1826" s="7">
        <f>MAX(1,MIN(INT(B1826/$C$4)+1,$C$5))</f>
        <v/>
      </c>
      <c r="E1826" s="26">
        <f>IF($C$5=0,0,INDEX(Symboles!$G$6:$G$101,D1826))</f>
        <v/>
      </c>
      <c r="F1826" s="26">
        <f>IF($C$5=0,0,INDEX(Symboles!$H$6:$H$101,D1826))</f>
        <v/>
      </c>
      <c r="G1826" s="26">
        <f>COS(2*PI()*$C$3*B1826)</f>
        <v/>
      </c>
      <c r="H1826" s="26">
        <f>SIN(2*PI()*$C$3*B1826)</f>
        <v/>
      </c>
      <c r="I1826" s="26">
        <f>E1826*G1826+F1826*H1826</f>
        <v/>
      </c>
    </row>
    <row r="1827">
      <c r="A1827" s="7" t="n">
        <v>1820</v>
      </c>
      <c r="B1827" s="26">
        <f>(A1827-1)/2000*$C$2</f>
        <v/>
      </c>
      <c r="C1827" s="7">
        <f>INDEX(Bits!$E$25:$E$124,INT(B1827)+1)</f>
        <v/>
      </c>
      <c r="D1827" s="7">
        <f>MAX(1,MIN(INT(B1827/$C$4)+1,$C$5))</f>
        <v/>
      </c>
      <c r="E1827" s="26">
        <f>IF($C$5=0,0,INDEX(Symboles!$G$6:$G$101,D1827))</f>
        <v/>
      </c>
      <c r="F1827" s="26">
        <f>IF($C$5=0,0,INDEX(Symboles!$H$6:$H$101,D1827))</f>
        <v/>
      </c>
      <c r="G1827" s="26">
        <f>COS(2*PI()*$C$3*B1827)</f>
        <v/>
      </c>
      <c r="H1827" s="26">
        <f>SIN(2*PI()*$C$3*B1827)</f>
        <v/>
      </c>
      <c r="I1827" s="26">
        <f>E1827*G1827+F1827*H1827</f>
        <v/>
      </c>
    </row>
    <row r="1828">
      <c r="A1828" s="7" t="n">
        <v>1821</v>
      </c>
      <c r="B1828" s="26">
        <f>(A1828-1)/2000*$C$2</f>
        <v/>
      </c>
      <c r="C1828" s="7">
        <f>INDEX(Bits!$E$25:$E$124,INT(B1828)+1)</f>
        <v/>
      </c>
      <c r="D1828" s="7">
        <f>MAX(1,MIN(INT(B1828/$C$4)+1,$C$5))</f>
        <v/>
      </c>
      <c r="E1828" s="26">
        <f>IF($C$5=0,0,INDEX(Symboles!$G$6:$G$101,D1828))</f>
        <v/>
      </c>
      <c r="F1828" s="26">
        <f>IF($C$5=0,0,INDEX(Symboles!$H$6:$H$101,D1828))</f>
        <v/>
      </c>
      <c r="G1828" s="26">
        <f>COS(2*PI()*$C$3*B1828)</f>
        <v/>
      </c>
      <c r="H1828" s="26">
        <f>SIN(2*PI()*$C$3*B1828)</f>
        <v/>
      </c>
      <c r="I1828" s="26">
        <f>E1828*G1828+F1828*H1828</f>
        <v/>
      </c>
    </row>
    <row r="1829">
      <c r="A1829" s="7" t="n">
        <v>1822</v>
      </c>
      <c r="B1829" s="26">
        <f>(A1829-1)/2000*$C$2</f>
        <v/>
      </c>
      <c r="C1829" s="7">
        <f>INDEX(Bits!$E$25:$E$124,INT(B1829)+1)</f>
        <v/>
      </c>
      <c r="D1829" s="7">
        <f>MAX(1,MIN(INT(B1829/$C$4)+1,$C$5))</f>
        <v/>
      </c>
      <c r="E1829" s="26">
        <f>IF($C$5=0,0,INDEX(Symboles!$G$6:$G$101,D1829))</f>
        <v/>
      </c>
      <c r="F1829" s="26">
        <f>IF($C$5=0,0,INDEX(Symboles!$H$6:$H$101,D1829))</f>
        <v/>
      </c>
      <c r="G1829" s="26">
        <f>COS(2*PI()*$C$3*B1829)</f>
        <v/>
      </c>
      <c r="H1829" s="26">
        <f>SIN(2*PI()*$C$3*B1829)</f>
        <v/>
      </c>
      <c r="I1829" s="26">
        <f>E1829*G1829+F1829*H1829</f>
        <v/>
      </c>
    </row>
    <row r="1830">
      <c r="A1830" s="7" t="n">
        <v>1823</v>
      </c>
      <c r="B1830" s="26">
        <f>(A1830-1)/2000*$C$2</f>
        <v/>
      </c>
      <c r="C1830" s="7">
        <f>INDEX(Bits!$E$25:$E$124,INT(B1830)+1)</f>
        <v/>
      </c>
      <c r="D1830" s="7">
        <f>MAX(1,MIN(INT(B1830/$C$4)+1,$C$5))</f>
        <v/>
      </c>
      <c r="E1830" s="26">
        <f>IF($C$5=0,0,INDEX(Symboles!$G$6:$G$101,D1830))</f>
        <v/>
      </c>
      <c r="F1830" s="26">
        <f>IF($C$5=0,0,INDEX(Symboles!$H$6:$H$101,D1830))</f>
        <v/>
      </c>
      <c r="G1830" s="26">
        <f>COS(2*PI()*$C$3*B1830)</f>
        <v/>
      </c>
      <c r="H1830" s="26">
        <f>SIN(2*PI()*$C$3*B1830)</f>
        <v/>
      </c>
      <c r="I1830" s="26">
        <f>E1830*G1830+F1830*H1830</f>
        <v/>
      </c>
    </row>
    <row r="1831">
      <c r="A1831" s="7" t="n">
        <v>1824</v>
      </c>
      <c r="B1831" s="26">
        <f>(A1831-1)/2000*$C$2</f>
        <v/>
      </c>
      <c r="C1831" s="7">
        <f>INDEX(Bits!$E$25:$E$124,INT(B1831)+1)</f>
        <v/>
      </c>
      <c r="D1831" s="7">
        <f>MAX(1,MIN(INT(B1831/$C$4)+1,$C$5))</f>
        <v/>
      </c>
      <c r="E1831" s="26">
        <f>IF($C$5=0,0,INDEX(Symboles!$G$6:$G$101,D1831))</f>
        <v/>
      </c>
      <c r="F1831" s="26">
        <f>IF($C$5=0,0,INDEX(Symboles!$H$6:$H$101,D1831))</f>
        <v/>
      </c>
      <c r="G1831" s="26">
        <f>COS(2*PI()*$C$3*B1831)</f>
        <v/>
      </c>
      <c r="H1831" s="26">
        <f>SIN(2*PI()*$C$3*B1831)</f>
        <v/>
      </c>
      <c r="I1831" s="26">
        <f>E1831*G1831+F1831*H1831</f>
        <v/>
      </c>
    </row>
    <row r="1832">
      <c r="A1832" s="7" t="n">
        <v>1825</v>
      </c>
      <c r="B1832" s="26">
        <f>(A1832-1)/2000*$C$2</f>
        <v/>
      </c>
      <c r="C1832" s="7">
        <f>INDEX(Bits!$E$25:$E$124,INT(B1832)+1)</f>
        <v/>
      </c>
      <c r="D1832" s="7">
        <f>MAX(1,MIN(INT(B1832/$C$4)+1,$C$5))</f>
        <v/>
      </c>
      <c r="E1832" s="26">
        <f>IF($C$5=0,0,INDEX(Symboles!$G$6:$G$101,D1832))</f>
        <v/>
      </c>
      <c r="F1832" s="26">
        <f>IF($C$5=0,0,INDEX(Symboles!$H$6:$H$101,D1832))</f>
        <v/>
      </c>
      <c r="G1832" s="26">
        <f>COS(2*PI()*$C$3*B1832)</f>
        <v/>
      </c>
      <c r="H1832" s="26">
        <f>SIN(2*PI()*$C$3*B1832)</f>
        <v/>
      </c>
      <c r="I1832" s="26">
        <f>E1832*G1832+F1832*H1832</f>
        <v/>
      </c>
    </row>
    <row r="1833">
      <c r="A1833" s="7" t="n">
        <v>1826</v>
      </c>
      <c r="B1833" s="26">
        <f>(A1833-1)/2000*$C$2</f>
        <v/>
      </c>
      <c r="C1833" s="7">
        <f>INDEX(Bits!$E$25:$E$124,INT(B1833)+1)</f>
        <v/>
      </c>
      <c r="D1833" s="7">
        <f>MAX(1,MIN(INT(B1833/$C$4)+1,$C$5))</f>
        <v/>
      </c>
      <c r="E1833" s="26">
        <f>IF($C$5=0,0,INDEX(Symboles!$G$6:$G$101,D1833))</f>
        <v/>
      </c>
      <c r="F1833" s="26">
        <f>IF($C$5=0,0,INDEX(Symboles!$H$6:$H$101,D1833))</f>
        <v/>
      </c>
      <c r="G1833" s="26">
        <f>COS(2*PI()*$C$3*B1833)</f>
        <v/>
      </c>
      <c r="H1833" s="26">
        <f>SIN(2*PI()*$C$3*B1833)</f>
        <v/>
      </c>
      <c r="I1833" s="26">
        <f>E1833*G1833+F1833*H1833</f>
        <v/>
      </c>
    </row>
    <row r="1834">
      <c r="A1834" s="7" t="n">
        <v>1827</v>
      </c>
      <c r="B1834" s="26">
        <f>(A1834-1)/2000*$C$2</f>
        <v/>
      </c>
      <c r="C1834" s="7">
        <f>INDEX(Bits!$E$25:$E$124,INT(B1834)+1)</f>
        <v/>
      </c>
      <c r="D1834" s="7">
        <f>MAX(1,MIN(INT(B1834/$C$4)+1,$C$5))</f>
        <v/>
      </c>
      <c r="E1834" s="26">
        <f>IF($C$5=0,0,INDEX(Symboles!$G$6:$G$101,D1834))</f>
        <v/>
      </c>
      <c r="F1834" s="26">
        <f>IF($C$5=0,0,INDEX(Symboles!$H$6:$H$101,D1834))</f>
        <v/>
      </c>
      <c r="G1834" s="26">
        <f>COS(2*PI()*$C$3*B1834)</f>
        <v/>
      </c>
      <c r="H1834" s="26">
        <f>SIN(2*PI()*$C$3*B1834)</f>
        <v/>
      </c>
      <c r="I1834" s="26">
        <f>E1834*G1834+F1834*H1834</f>
        <v/>
      </c>
    </row>
    <row r="1835">
      <c r="A1835" s="7" t="n">
        <v>1828</v>
      </c>
      <c r="B1835" s="26">
        <f>(A1835-1)/2000*$C$2</f>
        <v/>
      </c>
      <c r="C1835" s="7">
        <f>INDEX(Bits!$E$25:$E$124,INT(B1835)+1)</f>
        <v/>
      </c>
      <c r="D1835" s="7">
        <f>MAX(1,MIN(INT(B1835/$C$4)+1,$C$5))</f>
        <v/>
      </c>
      <c r="E1835" s="26">
        <f>IF($C$5=0,0,INDEX(Symboles!$G$6:$G$101,D1835))</f>
        <v/>
      </c>
      <c r="F1835" s="26">
        <f>IF($C$5=0,0,INDEX(Symboles!$H$6:$H$101,D1835))</f>
        <v/>
      </c>
      <c r="G1835" s="26">
        <f>COS(2*PI()*$C$3*B1835)</f>
        <v/>
      </c>
      <c r="H1835" s="26">
        <f>SIN(2*PI()*$C$3*B1835)</f>
        <v/>
      </c>
      <c r="I1835" s="26">
        <f>E1835*G1835+F1835*H1835</f>
        <v/>
      </c>
    </row>
    <row r="1836">
      <c r="A1836" s="7" t="n">
        <v>1829</v>
      </c>
      <c r="B1836" s="26">
        <f>(A1836-1)/2000*$C$2</f>
        <v/>
      </c>
      <c r="C1836" s="7">
        <f>INDEX(Bits!$E$25:$E$124,INT(B1836)+1)</f>
        <v/>
      </c>
      <c r="D1836" s="7">
        <f>MAX(1,MIN(INT(B1836/$C$4)+1,$C$5))</f>
        <v/>
      </c>
      <c r="E1836" s="26">
        <f>IF($C$5=0,0,INDEX(Symboles!$G$6:$G$101,D1836))</f>
        <v/>
      </c>
      <c r="F1836" s="26">
        <f>IF($C$5=0,0,INDEX(Symboles!$H$6:$H$101,D1836))</f>
        <v/>
      </c>
      <c r="G1836" s="26">
        <f>COS(2*PI()*$C$3*B1836)</f>
        <v/>
      </c>
      <c r="H1836" s="26">
        <f>SIN(2*PI()*$C$3*B1836)</f>
        <v/>
      </c>
      <c r="I1836" s="26">
        <f>E1836*G1836+F1836*H1836</f>
        <v/>
      </c>
    </row>
    <row r="1837">
      <c r="A1837" s="7" t="n">
        <v>1830</v>
      </c>
      <c r="B1837" s="26">
        <f>(A1837-1)/2000*$C$2</f>
        <v/>
      </c>
      <c r="C1837" s="7">
        <f>INDEX(Bits!$E$25:$E$124,INT(B1837)+1)</f>
        <v/>
      </c>
      <c r="D1837" s="7">
        <f>MAX(1,MIN(INT(B1837/$C$4)+1,$C$5))</f>
        <v/>
      </c>
      <c r="E1837" s="26">
        <f>IF($C$5=0,0,INDEX(Symboles!$G$6:$G$101,D1837))</f>
        <v/>
      </c>
      <c r="F1837" s="26">
        <f>IF($C$5=0,0,INDEX(Symboles!$H$6:$H$101,D1837))</f>
        <v/>
      </c>
      <c r="G1837" s="26">
        <f>COS(2*PI()*$C$3*B1837)</f>
        <v/>
      </c>
      <c r="H1837" s="26">
        <f>SIN(2*PI()*$C$3*B1837)</f>
        <v/>
      </c>
      <c r="I1837" s="26">
        <f>E1837*G1837+F1837*H1837</f>
        <v/>
      </c>
    </row>
    <row r="1838">
      <c r="A1838" s="7" t="n">
        <v>1831</v>
      </c>
      <c r="B1838" s="26">
        <f>(A1838-1)/2000*$C$2</f>
        <v/>
      </c>
      <c r="C1838" s="7">
        <f>INDEX(Bits!$E$25:$E$124,INT(B1838)+1)</f>
        <v/>
      </c>
      <c r="D1838" s="7">
        <f>MAX(1,MIN(INT(B1838/$C$4)+1,$C$5))</f>
        <v/>
      </c>
      <c r="E1838" s="26">
        <f>IF($C$5=0,0,INDEX(Symboles!$G$6:$G$101,D1838))</f>
        <v/>
      </c>
      <c r="F1838" s="26">
        <f>IF($C$5=0,0,INDEX(Symboles!$H$6:$H$101,D1838))</f>
        <v/>
      </c>
      <c r="G1838" s="26">
        <f>COS(2*PI()*$C$3*B1838)</f>
        <v/>
      </c>
      <c r="H1838" s="26">
        <f>SIN(2*PI()*$C$3*B1838)</f>
        <v/>
      </c>
      <c r="I1838" s="26">
        <f>E1838*G1838+F1838*H1838</f>
        <v/>
      </c>
    </row>
    <row r="1839">
      <c r="A1839" s="7" t="n">
        <v>1832</v>
      </c>
      <c r="B1839" s="26">
        <f>(A1839-1)/2000*$C$2</f>
        <v/>
      </c>
      <c r="C1839" s="7">
        <f>INDEX(Bits!$E$25:$E$124,INT(B1839)+1)</f>
        <v/>
      </c>
      <c r="D1839" s="7">
        <f>MAX(1,MIN(INT(B1839/$C$4)+1,$C$5))</f>
        <v/>
      </c>
      <c r="E1839" s="26">
        <f>IF($C$5=0,0,INDEX(Symboles!$G$6:$G$101,D1839))</f>
        <v/>
      </c>
      <c r="F1839" s="26">
        <f>IF($C$5=0,0,INDEX(Symboles!$H$6:$H$101,D1839))</f>
        <v/>
      </c>
      <c r="G1839" s="26">
        <f>COS(2*PI()*$C$3*B1839)</f>
        <v/>
      </c>
      <c r="H1839" s="26">
        <f>SIN(2*PI()*$C$3*B1839)</f>
        <v/>
      </c>
      <c r="I1839" s="26">
        <f>E1839*G1839+F1839*H1839</f>
        <v/>
      </c>
    </row>
    <row r="1840">
      <c r="A1840" s="7" t="n">
        <v>1833</v>
      </c>
      <c r="B1840" s="26">
        <f>(A1840-1)/2000*$C$2</f>
        <v/>
      </c>
      <c r="C1840" s="7">
        <f>INDEX(Bits!$E$25:$E$124,INT(B1840)+1)</f>
        <v/>
      </c>
      <c r="D1840" s="7">
        <f>MAX(1,MIN(INT(B1840/$C$4)+1,$C$5))</f>
        <v/>
      </c>
      <c r="E1840" s="26">
        <f>IF($C$5=0,0,INDEX(Symboles!$G$6:$G$101,D1840))</f>
        <v/>
      </c>
      <c r="F1840" s="26">
        <f>IF($C$5=0,0,INDEX(Symboles!$H$6:$H$101,D1840))</f>
        <v/>
      </c>
      <c r="G1840" s="26">
        <f>COS(2*PI()*$C$3*B1840)</f>
        <v/>
      </c>
      <c r="H1840" s="26">
        <f>SIN(2*PI()*$C$3*B1840)</f>
        <v/>
      </c>
      <c r="I1840" s="26">
        <f>E1840*G1840+F1840*H1840</f>
        <v/>
      </c>
    </row>
    <row r="1841">
      <c r="A1841" s="7" t="n">
        <v>1834</v>
      </c>
      <c r="B1841" s="26">
        <f>(A1841-1)/2000*$C$2</f>
        <v/>
      </c>
      <c r="C1841" s="7">
        <f>INDEX(Bits!$E$25:$E$124,INT(B1841)+1)</f>
        <v/>
      </c>
      <c r="D1841" s="7">
        <f>MAX(1,MIN(INT(B1841/$C$4)+1,$C$5))</f>
        <v/>
      </c>
      <c r="E1841" s="26">
        <f>IF($C$5=0,0,INDEX(Symboles!$G$6:$G$101,D1841))</f>
        <v/>
      </c>
      <c r="F1841" s="26">
        <f>IF($C$5=0,0,INDEX(Symboles!$H$6:$H$101,D1841))</f>
        <v/>
      </c>
      <c r="G1841" s="26">
        <f>COS(2*PI()*$C$3*B1841)</f>
        <v/>
      </c>
      <c r="H1841" s="26">
        <f>SIN(2*PI()*$C$3*B1841)</f>
        <v/>
      </c>
      <c r="I1841" s="26">
        <f>E1841*G1841+F1841*H1841</f>
        <v/>
      </c>
    </row>
    <row r="1842">
      <c r="A1842" s="7" t="n">
        <v>1835</v>
      </c>
      <c r="B1842" s="26">
        <f>(A1842-1)/2000*$C$2</f>
        <v/>
      </c>
      <c r="C1842" s="7">
        <f>INDEX(Bits!$E$25:$E$124,INT(B1842)+1)</f>
        <v/>
      </c>
      <c r="D1842" s="7">
        <f>MAX(1,MIN(INT(B1842/$C$4)+1,$C$5))</f>
        <v/>
      </c>
      <c r="E1842" s="26">
        <f>IF($C$5=0,0,INDEX(Symboles!$G$6:$G$101,D1842))</f>
        <v/>
      </c>
      <c r="F1842" s="26">
        <f>IF($C$5=0,0,INDEX(Symboles!$H$6:$H$101,D1842))</f>
        <v/>
      </c>
      <c r="G1842" s="26">
        <f>COS(2*PI()*$C$3*B1842)</f>
        <v/>
      </c>
      <c r="H1842" s="26">
        <f>SIN(2*PI()*$C$3*B1842)</f>
        <v/>
      </c>
      <c r="I1842" s="26">
        <f>E1842*G1842+F1842*H1842</f>
        <v/>
      </c>
    </row>
    <row r="1843">
      <c r="A1843" s="7" t="n">
        <v>1836</v>
      </c>
      <c r="B1843" s="26">
        <f>(A1843-1)/2000*$C$2</f>
        <v/>
      </c>
      <c r="C1843" s="7">
        <f>INDEX(Bits!$E$25:$E$124,INT(B1843)+1)</f>
        <v/>
      </c>
      <c r="D1843" s="7">
        <f>MAX(1,MIN(INT(B1843/$C$4)+1,$C$5))</f>
        <v/>
      </c>
      <c r="E1843" s="26">
        <f>IF($C$5=0,0,INDEX(Symboles!$G$6:$G$101,D1843))</f>
        <v/>
      </c>
      <c r="F1843" s="26">
        <f>IF($C$5=0,0,INDEX(Symboles!$H$6:$H$101,D1843))</f>
        <v/>
      </c>
      <c r="G1843" s="26">
        <f>COS(2*PI()*$C$3*B1843)</f>
        <v/>
      </c>
      <c r="H1843" s="26">
        <f>SIN(2*PI()*$C$3*B1843)</f>
        <v/>
      </c>
      <c r="I1843" s="26">
        <f>E1843*G1843+F1843*H1843</f>
        <v/>
      </c>
    </row>
    <row r="1844">
      <c r="A1844" s="7" t="n">
        <v>1837</v>
      </c>
      <c r="B1844" s="26">
        <f>(A1844-1)/2000*$C$2</f>
        <v/>
      </c>
      <c r="C1844" s="7">
        <f>INDEX(Bits!$E$25:$E$124,INT(B1844)+1)</f>
        <v/>
      </c>
      <c r="D1844" s="7">
        <f>MAX(1,MIN(INT(B1844/$C$4)+1,$C$5))</f>
        <v/>
      </c>
      <c r="E1844" s="26">
        <f>IF($C$5=0,0,INDEX(Symboles!$G$6:$G$101,D1844))</f>
        <v/>
      </c>
      <c r="F1844" s="26">
        <f>IF($C$5=0,0,INDEX(Symboles!$H$6:$H$101,D1844))</f>
        <v/>
      </c>
      <c r="G1844" s="26">
        <f>COS(2*PI()*$C$3*B1844)</f>
        <v/>
      </c>
      <c r="H1844" s="26">
        <f>SIN(2*PI()*$C$3*B1844)</f>
        <v/>
      </c>
      <c r="I1844" s="26">
        <f>E1844*G1844+F1844*H1844</f>
        <v/>
      </c>
    </row>
    <row r="1845">
      <c r="A1845" s="7" t="n">
        <v>1838</v>
      </c>
      <c r="B1845" s="26">
        <f>(A1845-1)/2000*$C$2</f>
        <v/>
      </c>
      <c r="C1845" s="7">
        <f>INDEX(Bits!$E$25:$E$124,INT(B1845)+1)</f>
        <v/>
      </c>
      <c r="D1845" s="7">
        <f>MAX(1,MIN(INT(B1845/$C$4)+1,$C$5))</f>
        <v/>
      </c>
      <c r="E1845" s="26">
        <f>IF($C$5=0,0,INDEX(Symboles!$G$6:$G$101,D1845))</f>
        <v/>
      </c>
      <c r="F1845" s="26">
        <f>IF($C$5=0,0,INDEX(Symboles!$H$6:$H$101,D1845))</f>
        <v/>
      </c>
      <c r="G1845" s="26">
        <f>COS(2*PI()*$C$3*B1845)</f>
        <v/>
      </c>
      <c r="H1845" s="26">
        <f>SIN(2*PI()*$C$3*B1845)</f>
        <v/>
      </c>
      <c r="I1845" s="26">
        <f>E1845*G1845+F1845*H1845</f>
        <v/>
      </c>
    </row>
    <row r="1846">
      <c r="A1846" s="7" t="n">
        <v>1839</v>
      </c>
      <c r="B1846" s="26">
        <f>(A1846-1)/2000*$C$2</f>
        <v/>
      </c>
      <c r="C1846" s="7">
        <f>INDEX(Bits!$E$25:$E$124,INT(B1846)+1)</f>
        <v/>
      </c>
      <c r="D1846" s="7">
        <f>MAX(1,MIN(INT(B1846/$C$4)+1,$C$5))</f>
        <v/>
      </c>
      <c r="E1846" s="26">
        <f>IF($C$5=0,0,INDEX(Symboles!$G$6:$G$101,D1846))</f>
        <v/>
      </c>
      <c r="F1846" s="26">
        <f>IF($C$5=0,0,INDEX(Symboles!$H$6:$H$101,D1846))</f>
        <v/>
      </c>
      <c r="G1846" s="26">
        <f>COS(2*PI()*$C$3*B1846)</f>
        <v/>
      </c>
      <c r="H1846" s="26">
        <f>SIN(2*PI()*$C$3*B1846)</f>
        <v/>
      </c>
      <c r="I1846" s="26">
        <f>E1846*G1846+F1846*H1846</f>
        <v/>
      </c>
    </row>
    <row r="1847">
      <c r="A1847" s="7" t="n">
        <v>1840</v>
      </c>
      <c r="B1847" s="26">
        <f>(A1847-1)/2000*$C$2</f>
        <v/>
      </c>
      <c r="C1847" s="7">
        <f>INDEX(Bits!$E$25:$E$124,INT(B1847)+1)</f>
        <v/>
      </c>
      <c r="D1847" s="7">
        <f>MAX(1,MIN(INT(B1847/$C$4)+1,$C$5))</f>
        <v/>
      </c>
      <c r="E1847" s="26">
        <f>IF($C$5=0,0,INDEX(Symboles!$G$6:$G$101,D1847))</f>
        <v/>
      </c>
      <c r="F1847" s="26">
        <f>IF($C$5=0,0,INDEX(Symboles!$H$6:$H$101,D1847))</f>
        <v/>
      </c>
      <c r="G1847" s="26">
        <f>COS(2*PI()*$C$3*B1847)</f>
        <v/>
      </c>
      <c r="H1847" s="26">
        <f>SIN(2*PI()*$C$3*B1847)</f>
        <v/>
      </c>
      <c r="I1847" s="26">
        <f>E1847*G1847+F1847*H1847</f>
        <v/>
      </c>
    </row>
    <row r="1848">
      <c r="A1848" s="7" t="n">
        <v>1841</v>
      </c>
      <c r="B1848" s="26">
        <f>(A1848-1)/2000*$C$2</f>
        <v/>
      </c>
      <c r="C1848" s="7">
        <f>INDEX(Bits!$E$25:$E$124,INT(B1848)+1)</f>
        <v/>
      </c>
      <c r="D1848" s="7">
        <f>MAX(1,MIN(INT(B1848/$C$4)+1,$C$5))</f>
        <v/>
      </c>
      <c r="E1848" s="26">
        <f>IF($C$5=0,0,INDEX(Symboles!$G$6:$G$101,D1848))</f>
        <v/>
      </c>
      <c r="F1848" s="26">
        <f>IF($C$5=0,0,INDEX(Symboles!$H$6:$H$101,D1848))</f>
        <v/>
      </c>
      <c r="G1848" s="26">
        <f>COS(2*PI()*$C$3*B1848)</f>
        <v/>
      </c>
      <c r="H1848" s="26">
        <f>SIN(2*PI()*$C$3*B1848)</f>
        <v/>
      </c>
      <c r="I1848" s="26">
        <f>E1848*G1848+F1848*H1848</f>
        <v/>
      </c>
    </row>
    <row r="1849">
      <c r="A1849" s="7" t="n">
        <v>1842</v>
      </c>
      <c r="B1849" s="26">
        <f>(A1849-1)/2000*$C$2</f>
        <v/>
      </c>
      <c r="C1849" s="7">
        <f>INDEX(Bits!$E$25:$E$124,INT(B1849)+1)</f>
        <v/>
      </c>
      <c r="D1849" s="7">
        <f>MAX(1,MIN(INT(B1849/$C$4)+1,$C$5))</f>
        <v/>
      </c>
      <c r="E1849" s="26">
        <f>IF($C$5=0,0,INDEX(Symboles!$G$6:$G$101,D1849))</f>
        <v/>
      </c>
      <c r="F1849" s="26">
        <f>IF($C$5=0,0,INDEX(Symboles!$H$6:$H$101,D1849))</f>
        <v/>
      </c>
      <c r="G1849" s="26">
        <f>COS(2*PI()*$C$3*B1849)</f>
        <v/>
      </c>
      <c r="H1849" s="26">
        <f>SIN(2*PI()*$C$3*B1849)</f>
        <v/>
      </c>
      <c r="I1849" s="26">
        <f>E1849*G1849+F1849*H1849</f>
        <v/>
      </c>
    </row>
    <row r="1850">
      <c r="A1850" s="7" t="n">
        <v>1843</v>
      </c>
      <c r="B1850" s="26">
        <f>(A1850-1)/2000*$C$2</f>
        <v/>
      </c>
      <c r="C1850" s="7">
        <f>INDEX(Bits!$E$25:$E$124,INT(B1850)+1)</f>
        <v/>
      </c>
      <c r="D1850" s="7">
        <f>MAX(1,MIN(INT(B1850/$C$4)+1,$C$5))</f>
        <v/>
      </c>
      <c r="E1850" s="26">
        <f>IF($C$5=0,0,INDEX(Symboles!$G$6:$G$101,D1850))</f>
        <v/>
      </c>
      <c r="F1850" s="26">
        <f>IF($C$5=0,0,INDEX(Symboles!$H$6:$H$101,D1850))</f>
        <v/>
      </c>
      <c r="G1850" s="26">
        <f>COS(2*PI()*$C$3*B1850)</f>
        <v/>
      </c>
      <c r="H1850" s="26">
        <f>SIN(2*PI()*$C$3*B1850)</f>
        <v/>
      </c>
      <c r="I1850" s="26">
        <f>E1850*G1850+F1850*H1850</f>
        <v/>
      </c>
    </row>
    <row r="1851">
      <c r="A1851" s="7" t="n">
        <v>1844</v>
      </c>
      <c r="B1851" s="26">
        <f>(A1851-1)/2000*$C$2</f>
        <v/>
      </c>
      <c r="C1851" s="7">
        <f>INDEX(Bits!$E$25:$E$124,INT(B1851)+1)</f>
        <v/>
      </c>
      <c r="D1851" s="7">
        <f>MAX(1,MIN(INT(B1851/$C$4)+1,$C$5))</f>
        <v/>
      </c>
      <c r="E1851" s="26">
        <f>IF($C$5=0,0,INDEX(Symboles!$G$6:$G$101,D1851))</f>
        <v/>
      </c>
      <c r="F1851" s="26">
        <f>IF($C$5=0,0,INDEX(Symboles!$H$6:$H$101,D1851))</f>
        <v/>
      </c>
      <c r="G1851" s="26">
        <f>COS(2*PI()*$C$3*B1851)</f>
        <v/>
      </c>
      <c r="H1851" s="26">
        <f>SIN(2*PI()*$C$3*B1851)</f>
        <v/>
      </c>
      <c r="I1851" s="26">
        <f>E1851*G1851+F1851*H1851</f>
        <v/>
      </c>
    </row>
    <row r="1852">
      <c r="A1852" s="7" t="n">
        <v>1845</v>
      </c>
      <c r="B1852" s="26">
        <f>(A1852-1)/2000*$C$2</f>
        <v/>
      </c>
      <c r="C1852" s="7">
        <f>INDEX(Bits!$E$25:$E$124,INT(B1852)+1)</f>
        <v/>
      </c>
      <c r="D1852" s="7">
        <f>MAX(1,MIN(INT(B1852/$C$4)+1,$C$5))</f>
        <v/>
      </c>
      <c r="E1852" s="26">
        <f>IF($C$5=0,0,INDEX(Symboles!$G$6:$G$101,D1852))</f>
        <v/>
      </c>
      <c r="F1852" s="26">
        <f>IF($C$5=0,0,INDEX(Symboles!$H$6:$H$101,D1852))</f>
        <v/>
      </c>
      <c r="G1852" s="26">
        <f>COS(2*PI()*$C$3*B1852)</f>
        <v/>
      </c>
      <c r="H1852" s="26">
        <f>SIN(2*PI()*$C$3*B1852)</f>
        <v/>
      </c>
      <c r="I1852" s="26">
        <f>E1852*G1852+F1852*H1852</f>
        <v/>
      </c>
    </row>
    <row r="1853">
      <c r="A1853" s="7" t="n">
        <v>1846</v>
      </c>
      <c r="B1853" s="26">
        <f>(A1853-1)/2000*$C$2</f>
        <v/>
      </c>
      <c r="C1853" s="7">
        <f>INDEX(Bits!$E$25:$E$124,INT(B1853)+1)</f>
        <v/>
      </c>
      <c r="D1853" s="7">
        <f>MAX(1,MIN(INT(B1853/$C$4)+1,$C$5))</f>
        <v/>
      </c>
      <c r="E1853" s="26">
        <f>IF($C$5=0,0,INDEX(Symboles!$G$6:$G$101,D1853))</f>
        <v/>
      </c>
      <c r="F1853" s="26">
        <f>IF($C$5=0,0,INDEX(Symboles!$H$6:$H$101,D1853))</f>
        <v/>
      </c>
      <c r="G1853" s="26">
        <f>COS(2*PI()*$C$3*B1853)</f>
        <v/>
      </c>
      <c r="H1853" s="26">
        <f>SIN(2*PI()*$C$3*B1853)</f>
        <v/>
      </c>
      <c r="I1853" s="26">
        <f>E1853*G1853+F1853*H1853</f>
        <v/>
      </c>
    </row>
    <row r="1854">
      <c r="A1854" s="7" t="n">
        <v>1847</v>
      </c>
      <c r="B1854" s="26">
        <f>(A1854-1)/2000*$C$2</f>
        <v/>
      </c>
      <c r="C1854" s="7">
        <f>INDEX(Bits!$E$25:$E$124,INT(B1854)+1)</f>
        <v/>
      </c>
      <c r="D1854" s="7">
        <f>MAX(1,MIN(INT(B1854/$C$4)+1,$C$5))</f>
        <v/>
      </c>
      <c r="E1854" s="26">
        <f>IF($C$5=0,0,INDEX(Symboles!$G$6:$G$101,D1854))</f>
        <v/>
      </c>
      <c r="F1854" s="26">
        <f>IF($C$5=0,0,INDEX(Symboles!$H$6:$H$101,D1854))</f>
        <v/>
      </c>
      <c r="G1854" s="26">
        <f>COS(2*PI()*$C$3*B1854)</f>
        <v/>
      </c>
      <c r="H1854" s="26">
        <f>SIN(2*PI()*$C$3*B1854)</f>
        <v/>
      </c>
      <c r="I1854" s="26">
        <f>E1854*G1854+F1854*H1854</f>
        <v/>
      </c>
    </row>
    <row r="1855">
      <c r="A1855" s="7" t="n">
        <v>1848</v>
      </c>
      <c r="B1855" s="26">
        <f>(A1855-1)/2000*$C$2</f>
        <v/>
      </c>
      <c r="C1855" s="7">
        <f>INDEX(Bits!$E$25:$E$124,INT(B1855)+1)</f>
        <v/>
      </c>
      <c r="D1855" s="7">
        <f>MAX(1,MIN(INT(B1855/$C$4)+1,$C$5))</f>
        <v/>
      </c>
      <c r="E1855" s="26">
        <f>IF($C$5=0,0,INDEX(Symboles!$G$6:$G$101,D1855))</f>
        <v/>
      </c>
      <c r="F1855" s="26">
        <f>IF($C$5=0,0,INDEX(Symboles!$H$6:$H$101,D1855))</f>
        <v/>
      </c>
      <c r="G1855" s="26">
        <f>COS(2*PI()*$C$3*B1855)</f>
        <v/>
      </c>
      <c r="H1855" s="26">
        <f>SIN(2*PI()*$C$3*B1855)</f>
        <v/>
      </c>
      <c r="I1855" s="26">
        <f>E1855*G1855+F1855*H1855</f>
        <v/>
      </c>
    </row>
    <row r="1856">
      <c r="A1856" s="7" t="n">
        <v>1849</v>
      </c>
      <c r="B1856" s="26">
        <f>(A1856-1)/2000*$C$2</f>
        <v/>
      </c>
      <c r="C1856" s="7">
        <f>INDEX(Bits!$E$25:$E$124,INT(B1856)+1)</f>
        <v/>
      </c>
      <c r="D1856" s="7">
        <f>MAX(1,MIN(INT(B1856/$C$4)+1,$C$5))</f>
        <v/>
      </c>
      <c r="E1856" s="26">
        <f>IF($C$5=0,0,INDEX(Symboles!$G$6:$G$101,D1856))</f>
        <v/>
      </c>
      <c r="F1856" s="26">
        <f>IF($C$5=0,0,INDEX(Symboles!$H$6:$H$101,D1856))</f>
        <v/>
      </c>
      <c r="G1856" s="26">
        <f>COS(2*PI()*$C$3*B1856)</f>
        <v/>
      </c>
      <c r="H1856" s="26">
        <f>SIN(2*PI()*$C$3*B1856)</f>
        <v/>
      </c>
      <c r="I1856" s="26">
        <f>E1856*G1856+F1856*H1856</f>
        <v/>
      </c>
    </row>
    <row r="1857">
      <c r="A1857" s="7" t="n">
        <v>1850</v>
      </c>
      <c r="B1857" s="26">
        <f>(A1857-1)/2000*$C$2</f>
        <v/>
      </c>
      <c r="C1857" s="7">
        <f>INDEX(Bits!$E$25:$E$124,INT(B1857)+1)</f>
        <v/>
      </c>
      <c r="D1857" s="7">
        <f>MAX(1,MIN(INT(B1857/$C$4)+1,$C$5))</f>
        <v/>
      </c>
      <c r="E1857" s="26">
        <f>IF($C$5=0,0,INDEX(Symboles!$G$6:$G$101,D1857))</f>
        <v/>
      </c>
      <c r="F1857" s="26">
        <f>IF($C$5=0,0,INDEX(Symboles!$H$6:$H$101,D1857))</f>
        <v/>
      </c>
      <c r="G1857" s="26">
        <f>COS(2*PI()*$C$3*B1857)</f>
        <v/>
      </c>
      <c r="H1857" s="26">
        <f>SIN(2*PI()*$C$3*B1857)</f>
        <v/>
      </c>
      <c r="I1857" s="26">
        <f>E1857*G1857+F1857*H1857</f>
        <v/>
      </c>
    </row>
    <row r="1858">
      <c r="A1858" s="7" t="n">
        <v>1851</v>
      </c>
      <c r="B1858" s="26">
        <f>(A1858-1)/2000*$C$2</f>
        <v/>
      </c>
      <c r="C1858" s="7">
        <f>INDEX(Bits!$E$25:$E$124,INT(B1858)+1)</f>
        <v/>
      </c>
      <c r="D1858" s="7">
        <f>MAX(1,MIN(INT(B1858/$C$4)+1,$C$5))</f>
        <v/>
      </c>
      <c r="E1858" s="26">
        <f>IF($C$5=0,0,INDEX(Symboles!$G$6:$G$101,D1858))</f>
        <v/>
      </c>
      <c r="F1858" s="26">
        <f>IF($C$5=0,0,INDEX(Symboles!$H$6:$H$101,D1858))</f>
        <v/>
      </c>
      <c r="G1858" s="26">
        <f>COS(2*PI()*$C$3*B1858)</f>
        <v/>
      </c>
      <c r="H1858" s="26">
        <f>SIN(2*PI()*$C$3*B1858)</f>
        <v/>
      </c>
      <c r="I1858" s="26">
        <f>E1858*G1858+F1858*H1858</f>
        <v/>
      </c>
    </row>
    <row r="1859">
      <c r="A1859" s="7" t="n">
        <v>1852</v>
      </c>
      <c r="B1859" s="26">
        <f>(A1859-1)/2000*$C$2</f>
        <v/>
      </c>
      <c r="C1859" s="7">
        <f>INDEX(Bits!$E$25:$E$124,INT(B1859)+1)</f>
        <v/>
      </c>
      <c r="D1859" s="7">
        <f>MAX(1,MIN(INT(B1859/$C$4)+1,$C$5))</f>
        <v/>
      </c>
      <c r="E1859" s="26">
        <f>IF($C$5=0,0,INDEX(Symboles!$G$6:$G$101,D1859))</f>
        <v/>
      </c>
      <c r="F1859" s="26">
        <f>IF($C$5=0,0,INDEX(Symboles!$H$6:$H$101,D1859))</f>
        <v/>
      </c>
      <c r="G1859" s="26">
        <f>COS(2*PI()*$C$3*B1859)</f>
        <v/>
      </c>
      <c r="H1859" s="26">
        <f>SIN(2*PI()*$C$3*B1859)</f>
        <v/>
      </c>
      <c r="I1859" s="26">
        <f>E1859*G1859+F1859*H1859</f>
        <v/>
      </c>
    </row>
    <row r="1860">
      <c r="A1860" s="7" t="n">
        <v>1853</v>
      </c>
      <c r="B1860" s="26">
        <f>(A1860-1)/2000*$C$2</f>
        <v/>
      </c>
      <c r="C1860" s="7">
        <f>INDEX(Bits!$E$25:$E$124,INT(B1860)+1)</f>
        <v/>
      </c>
      <c r="D1860" s="7">
        <f>MAX(1,MIN(INT(B1860/$C$4)+1,$C$5))</f>
        <v/>
      </c>
      <c r="E1860" s="26">
        <f>IF($C$5=0,0,INDEX(Symboles!$G$6:$G$101,D1860))</f>
        <v/>
      </c>
      <c r="F1860" s="26">
        <f>IF($C$5=0,0,INDEX(Symboles!$H$6:$H$101,D1860))</f>
        <v/>
      </c>
      <c r="G1860" s="26">
        <f>COS(2*PI()*$C$3*B1860)</f>
        <v/>
      </c>
      <c r="H1860" s="26">
        <f>SIN(2*PI()*$C$3*B1860)</f>
        <v/>
      </c>
      <c r="I1860" s="26">
        <f>E1860*G1860+F1860*H1860</f>
        <v/>
      </c>
    </row>
    <row r="1861">
      <c r="A1861" s="7" t="n">
        <v>1854</v>
      </c>
      <c r="B1861" s="26">
        <f>(A1861-1)/2000*$C$2</f>
        <v/>
      </c>
      <c r="C1861" s="7">
        <f>INDEX(Bits!$E$25:$E$124,INT(B1861)+1)</f>
        <v/>
      </c>
      <c r="D1861" s="7">
        <f>MAX(1,MIN(INT(B1861/$C$4)+1,$C$5))</f>
        <v/>
      </c>
      <c r="E1861" s="26">
        <f>IF($C$5=0,0,INDEX(Symboles!$G$6:$G$101,D1861))</f>
        <v/>
      </c>
      <c r="F1861" s="26">
        <f>IF($C$5=0,0,INDEX(Symboles!$H$6:$H$101,D1861))</f>
        <v/>
      </c>
      <c r="G1861" s="26">
        <f>COS(2*PI()*$C$3*B1861)</f>
        <v/>
      </c>
      <c r="H1861" s="26">
        <f>SIN(2*PI()*$C$3*B1861)</f>
        <v/>
      </c>
      <c r="I1861" s="26">
        <f>E1861*G1861+F1861*H1861</f>
        <v/>
      </c>
    </row>
    <row r="1862">
      <c r="A1862" s="7" t="n">
        <v>1855</v>
      </c>
      <c r="B1862" s="26">
        <f>(A1862-1)/2000*$C$2</f>
        <v/>
      </c>
      <c r="C1862" s="7">
        <f>INDEX(Bits!$E$25:$E$124,INT(B1862)+1)</f>
        <v/>
      </c>
      <c r="D1862" s="7">
        <f>MAX(1,MIN(INT(B1862/$C$4)+1,$C$5))</f>
        <v/>
      </c>
      <c r="E1862" s="26">
        <f>IF($C$5=0,0,INDEX(Symboles!$G$6:$G$101,D1862))</f>
        <v/>
      </c>
      <c r="F1862" s="26">
        <f>IF($C$5=0,0,INDEX(Symboles!$H$6:$H$101,D1862))</f>
        <v/>
      </c>
      <c r="G1862" s="26">
        <f>COS(2*PI()*$C$3*B1862)</f>
        <v/>
      </c>
      <c r="H1862" s="26">
        <f>SIN(2*PI()*$C$3*B1862)</f>
        <v/>
      </c>
      <c r="I1862" s="26">
        <f>E1862*G1862+F1862*H1862</f>
        <v/>
      </c>
    </row>
    <row r="1863">
      <c r="A1863" s="7" t="n">
        <v>1856</v>
      </c>
      <c r="B1863" s="26">
        <f>(A1863-1)/2000*$C$2</f>
        <v/>
      </c>
      <c r="C1863" s="7">
        <f>INDEX(Bits!$E$25:$E$124,INT(B1863)+1)</f>
        <v/>
      </c>
      <c r="D1863" s="7">
        <f>MAX(1,MIN(INT(B1863/$C$4)+1,$C$5))</f>
        <v/>
      </c>
      <c r="E1863" s="26">
        <f>IF($C$5=0,0,INDEX(Symboles!$G$6:$G$101,D1863))</f>
        <v/>
      </c>
      <c r="F1863" s="26">
        <f>IF($C$5=0,0,INDEX(Symboles!$H$6:$H$101,D1863))</f>
        <v/>
      </c>
      <c r="G1863" s="26">
        <f>COS(2*PI()*$C$3*B1863)</f>
        <v/>
      </c>
      <c r="H1863" s="26">
        <f>SIN(2*PI()*$C$3*B1863)</f>
        <v/>
      </c>
      <c r="I1863" s="26">
        <f>E1863*G1863+F1863*H1863</f>
        <v/>
      </c>
    </row>
    <row r="1864">
      <c r="A1864" s="7" t="n">
        <v>1857</v>
      </c>
      <c r="B1864" s="26">
        <f>(A1864-1)/2000*$C$2</f>
        <v/>
      </c>
      <c r="C1864" s="7">
        <f>INDEX(Bits!$E$25:$E$124,INT(B1864)+1)</f>
        <v/>
      </c>
      <c r="D1864" s="7">
        <f>MAX(1,MIN(INT(B1864/$C$4)+1,$C$5))</f>
        <v/>
      </c>
      <c r="E1864" s="26">
        <f>IF($C$5=0,0,INDEX(Symboles!$G$6:$G$101,D1864))</f>
        <v/>
      </c>
      <c r="F1864" s="26">
        <f>IF($C$5=0,0,INDEX(Symboles!$H$6:$H$101,D1864))</f>
        <v/>
      </c>
      <c r="G1864" s="26">
        <f>COS(2*PI()*$C$3*B1864)</f>
        <v/>
      </c>
      <c r="H1864" s="26">
        <f>SIN(2*PI()*$C$3*B1864)</f>
        <v/>
      </c>
      <c r="I1864" s="26">
        <f>E1864*G1864+F1864*H1864</f>
        <v/>
      </c>
    </row>
    <row r="1865">
      <c r="A1865" s="7" t="n">
        <v>1858</v>
      </c>
      <c r="B1865" s="26">
        <f>(A1865-1)/2000*$C$2</f>
        <v/>
      </c>
      <c r="C1865" s="7">
        <f>INDEX(Bits!$E$25:$E$124,INT(B1865)+1)</f>
        <v/>
      </c>
      <c r="D1865" s="7">
        <f>MAX(1,MIN(INT(B1865/$C$4)+1,$C$5))</f>
        <v/>
      </c>
      <c r="E1865" s="26">
        <f>IF($C$5=0,0,INDEX(Symboles!$G$6:$G$101,D1865))</f>
        <v/>
      </c>
      <c r="F1865" s="26">
        <f>IF($C$5=0,0,INDEX(Symboles!$H$6:$H$101,D1865))</f>
        <v/>
      </c>
      <c r="G1865" s="26">
        <f>COS(2*PI()*$C$3*B1865)</f>
        <v/>
      </c>
      <c r="H1865" s="26">
        <f>SIN(2*PI()*$C$3*B1865)</f>
        <v/>
      </c>
      <c r="I1865" s="26">
        <f>E1865*G1865+F1865*H1865</f>
        <v/>
      </c>
    </row>
    <row r="1866">
      <c r="A1866" s="7" t="n">
        <v>1859</v>
      </c>
      <c r="B1866" s="26">
        <f>(A1866-1)/2000*$C$2</f>
        <v/>
      </c>
      <c r="C1866" s="7">
        <f>INDEX(Bits!$E$25:$E$124,INT(B1866)+1)</f>
        <v/>
      </c>
      <c r="D1866" s="7">
        <f>MAX(1,MIN(INT(B1866/$C$4)+1,$C$5))</f>
        <v/>
      </c>
      <c r="E1866" s="26">
        <f>IF($C$5=0,0,INDEX(Symboles!$G$6:$G$101,D1866))</f>
        <v/>
      </c>
      <c r="F1866" s="26">
        <f>IF($C$5=0,0,INDEX(Symboles!$H$6:$H$101,D1866))</f>
        <v/>
      </c>
      <c r="G1866" s="26">
        <f>COS(2*PI()*$C$3*B1866)</f>
        <v/>
      </c>
      <c r="H1866" s="26">
        <f>SIN(2*PI()*$C$3*B1866)</f>
        <v/>
      </c>
      <c r="I1866" s="26">
        <f>E1866*G1866+F1866*H1866</f>
        <v/>
      </c>
    </row>
    <row r="1867">
      <c r="A1867" s="7" t="n">
        <v>1860</v>
      </c>
      <c r="B1867" s="26">
        <f>(A1867-1)/2000*$C$2</f>
        <v/>
      </c>
      <c r="C1867" s="7">
        <f>INDEX(Bits!$E$25:$E$124,INT(B1867)+1)</f>
        <v/>
      </c>
      <c r="D1867" s="7">
        <f>MAX(1,MIN(INT(B1867/$C$4)+1,$C$5))</f>
        <v/>
      </c>
      <c r="E1867" s="26">
        <f>IF($C$5=0,0,INDEX(Symboles!$G$6:$G$101,D1867))</f>
        <v/>
      </c>
      <c r="F1867" s="26">
        <f>IF($C$5=0,0,INDEX(Symboles!$H$6:$H$101,D1867))</f>
        <v/>
      </c>
      <c r="G1867" s="26">
        <f>COS(2*PI()*$C$3*B1867)</f>
        <v/>
      </c>
      <c r="H1867" s="26">
        <f>SIN(2*PI()*$C$3*B1867)</f>
        <v/>
      </c>
      <c r="I1867" s="26">
        <f>E1867*G1867+F1867*H1867</f>
        <v/>
      </c>
    </row>
    <row r="1868">
      <c r="A1868" s="7" t="n">
        <v>1861</v>
      </c>
      <c r="B1868" s="26">
        <f>(A1868-1)/2000*$C$2</f>
        <v/>
      </c>
      <c r="C1868" s="7">
        <f>INDEX(Bits!$E$25:$E$124,INT(B1868)+1)</f>
        <v/>
      </c>
      <c r="D1868" s="7">
        <f>MAX(1,MIN(INT(B1868/$C$4)+1,$C$5))</f>
        <v/>
      </c>
      <c r="E1868" s="26">
        <f>IF($C$5=0,0,INDEX(Symboles!$G$6:$G$101,D1868))</f>
        <v/>
      </c>
      <c r="F1868" s="26">
        <f>IF($C$5=0,0,INDEX(Symboles!$H$6:$H$101,D1868))</f>
        <v/>
      </c>
      <c r="G1868" s="26">
        <f>COS(2*PI()*$C$3*B1868)</f>
        <v/>
      </c>
      <c r="H1868" s="26">
        <f>SIN(2*PI()*$C$3*B1868)</f>
        <v/>
      </c>
      <c r="I1868" s="26">
        <f>E1868*G1868+F1868*H1868</f>
        <v/>
      </c>
    </row>
    <row r="1869">
      <c r="A1869" s="7" t="n">
        <v>1862</v>
      </c>
      <c r="B1869" s="26">
        <f>(A1869-1)/2000*$C$2</f>
        <v/>
      </c>
      <c r="C1869" s="7">
        <f>INDEX(Bits!$E$25:$E$124,INT(B1869)+1)</f>
        <v/>
      </c>
      <c r="D1869" s="7">
        <f>MAX(1,MIN(INT(B1869/$C$4)+1,$C$5))</f>
        <v/>
      </c>
      <c r="E1869" s="26">
        <f>IF($C$5=0,0,INDEX(Symboles!$G$6:$G$101,D1869))</f>
        <v/>
      </c>
      <c r="F1869" s="26">
        <f>IF($C$5=0,0,INDEX(Symboles!$H$6:$H$101,D1869))</f>
        <v/>
      </c>
      <c r="G1869" s="26">
        <f>COS(2*PI()*$C$3*B1869)</f>
        <v/>
      </c>
      <c r="H1869" s="26">
        <f>SIN(2*PI()*$C$3*B1869)</f>
        <v/>
      </c>
      <c r="I1869" s="26">
        <f>E1869*G1869+F1869*H1869</f>
        <v/>
      </c>
    </row>
    <row r="1870">
      <c r="A1870" s="7" t="n">
        <v>1863</v>
      </c>
      <c r="B1870" s="26">
        <f>(A1870-1)/2000*$C$2</f>
        <v/>
      </c>
      <c r="C1870" s="7">
        <f>INDEX(Bits!$E$25:$E$124,INT(B1870)+1)</f>
        <v/>
      </c>
      <c r="D1870" s="7">
        <f>MAX(1,MIN(INT(B1870/$C$4)+1,$C$5))</f>
        <v/>
      </c>
      <c r="E1870" s="26">
        <f>IF($C$5=0,0,INDEX(Symboles!$G$6:$G$101,D1870))</f>
        <v/>
      </c>
      <c r="F1870" s="26">
        <f>IF($C$5=0,0,INDEX(Symboles!$H$6:$H$101,D1870))</f>
        <v/>
      </c>
      <c r="G1870" s="26">
        <f>COS(2*PI()*$C$3*B1870)</f>
        <v/>
      </c>
      <c r="H1870" s="26">
        <f>SIN(2*PI()*$C$3*B1870)</f>
        <v/>
      </c>
      <c r="I1870" s="26">
        <f>E1870*G1870+F1870*H1870</f>
        <v/>
      </c>
    </row>
    <row r="1871">
      <c r="A1871" s="7" t="n">
        <v>1864</v>
      </c>
      <c r="B1871" s="26">
        <f>(A1871-1)/2000*$C$2</f>
        <v/>
      </c>
      <c r="C1871" s="7">
        <f>INDEX(Bits!$E$25:$E$124,INT(B1871)+1)</f>
        <v/>
      </c>
      <c r="D1871" s="7">
        <f>MAX(1,MIN(INT(B1871/$C$4)+1,$C$5))</f>
        <v/>
      </c>
      <c r="E1871" s="26">
        <f>IF($C$5=0,0,INDEX(Symboles!$G$6:$G$101,D1871))</f>
        <v/>
      </c>
      <c r="F1871" s="26">
        <f>IF($C$5=0,0,INDEX(Symboles!$H$6:$H$101,D1871))</f>
        <v/>
      </c>
      <c r="G1871" s="26">
        <f>COS(2*PI()*$C$3*B1871)</f>
        <v/>
      </c>
      <c r="H1871" s="26">
        <f>SIN(2*PI()*$C$3*B1871)</f>
        <v/>
      </c>
      <c r="I1871" s="26">
        <f>E1871*G1871+F1871*H1871</f>
        <v/>
      </c>
    </row>
    <row r="1872">
      <c r="A1872" s="7" t="n">
        <v>1865</v>
      </c>
      <c r="B1872" s="26">
        <f>(A1872-1)/2000*$C$2</f>
        <v/>
      </c>
      <c r="C1872" s="7">
        <f>INDEX(Bits!$E$25:$E$124,INT(B1872)+1)</f>
        <v/>
      </c>
      <c r="D1872" s="7">
        <f>MAX(1,MIN(INT(B1872/$C$4)+1,$C$5))</f>
        <v/>
      </c>
      <c r="E1872" s="26">
        <f>IF($C$5=0,0,INDEX(Symboles!$G$6:$G$101,D1872))</f>
        <v/>
      </c>
      <c r="F1872" s="26">
        <f>IF($C$5=0,0,INDEX(Symboles!$H$6:$H$101,D1872))</f>
        <v/>
      </c>
      <c r="G1872" s="26">
        <f>COS(2*PI()*$C$3*B1872)</f>
        <v/>
      </c>
      <c r="H1872" s="26">
        <f>SIN(2*PI()*$C$3*B1872)</f>
        <v/>
      </c>
      <c r="I1872" s="26">
        <f>E1872*G1872+F1872*H1872</f>
        <v/>
      </c>
    </row>
    <row r="1873">
      <c r="A1873" s="7" t="n">
        <v>1866</v>
      </c>
      <c r="B1873" s="26">
        <f>(A1873-1)/2000*$C$2</f>
        <v/>
      </c>
      <c r="C1873" s="7">
        <f>INDEX(Bits!$E$25:$E$124,INT(B1873)+1)</f>
        <v/>
      </c>
      <c r="D1873" s="7">
        <f>MAX(1,MIN(INT(B1873/$C$4)+1,$C$5))</f>
        <v/>
      </c>
      <c r="E1873" s="26">
        <f>IF($C$5=0,0,INDEX(Symboles!$G$6:$G$101,D1873))</f>
        <v/>
      </c>
      <c r="F1873" s="26">
        <f>IF($C$5=0,0,INDEX(Symboles!$H$6:$H$101,D1873))</f>
        <v/>
      </c>
      <c r="G1873" s="26">
        <f>COS(2*PI()*$C$3*B1873)</f>
        <v/>
      </c>
      <c r="H1873" s="26">
        <f>SIN(2*PI()*$C$3*B1873)</f>
        <v/>
      </c>
      <c r="I1873" s="26">
        <f>E1873*G1873+F1873*H1873</f>
        <v/>
      </c>
    </row>
    <row r="1874">
      <c r="A1874" s="7" t="n">
        <v>1867</v>
      </c>
      <c r="B1874" s="26">
        <f>(A1874-1)/2000*$C$2</f>
        <v/>
      </c>
      <c r="C1874" s="7">
        <f>INDEX(Bits!$E$25:$E$124,INT(B1874)+1)</f>
        <v/>
      </c>
      <c r="D1874" s="7">
        <f>MAX(1,MIN(INT(B1874/$C$4)+1,$C$5))</f>
        <v/>
      </c>
      <c r="E1874" s="26">
        <f>IF($C$5=0,0,INDEX(Symboles!$G$6:$G$101,D1874))</f>
        <v/>
      </c>
      <c r="F1874" s="26">
        <f>IF($C$5=0,0,INDEX(Symboles!$H$6:$H$101,D1874))</f>
        <v/>
      </c>
      <c r="G1874" s="26">
        <f>COS(2*PI()*$C$3*B1874)</f>
        <v/>
      </c>
      <c r="H1874" s="26">
        <f>SIN(2*PI()*$C$3*B1874)</f>
        <v/>
      </c>
      <c r="I1874" s="26">
        <f>E1874*G1874+F1874*H1874</f>
        <v/>
      </c>
    </row>
    <row r="1875">
      <c r="A1875" s="7" t="n">
        <v>1868</v>
      </c>
      <c r="B1875" s="26">
        <f>(A1875-1)/2000*$C$2</f>
        <v/>
      </c>
      <c r="C1875" s="7">
        <f>INDEX(Bits!$E$25:$E$124,INT(B1875)+1)</f>
        <v/>
      </c>
      <c r="D1875" s="7">
        <f>MAX(1,MIN(INT(B1875/$C$4)+1,$C$5))</f>
        <v/>
      </c>
      <c r="E1875" s="26">
        <f>IF($C$5=0,0,INDEX(Symboles!$G$6:$G$101,D1875))</f>
        <v/>
      </c>
      <c r="F1875" s="26">
        <f>IF($C$5=0,0,INDEX(Symboles!$H$6:$H$101,D1875))</f>
        <v/>
      </c>
      <c r="G1875" s="26">
        <f>COS(2*PI()*$C$3*B1875)</f>
        <v/>
      </c>
      <c r="H1875" s="26">
        <f>SIN(2*PI()*$C$3*B1875)</f>
        <v/>
      </c>
      <c r="I1875" s="26">
        <f>E1875*G1875+F1875*H1875</f>
        <v/>
      </c>
    </row>
    <row r="1876">
      <c r="A1876" s="7" t="n">
        <v>1869</v>
      </c>
      <c r="B1876" s="26">
        <f>(A1876-1)/2000*$C$2</f>
        <v/>
      </c>
      <c r="C1876" s="7">
        <f>INDEX(Bits!$E$25:$E$124,INT(B1876)+1)</f>
        <v/>
      </c>
      <c r="D1876" s="7">
        <f>MAX(1,MIN(INT(B1876/$C$4)+1,$C$5))</f>
        <v/>
      </c>
      <c r="E1876" s="26">
        <f>IF($C$5=0,0,INDEX(Symboles!$G$6:$G$101,D1876))</f>
        <v/>
      </c>
      <c r="F1876" s="26">
        <f>IF($C$5=0,0,INDEX(Symboles!$H$6:$H$101,D1876))</f>
        <v/>
      </c>
      <c r="G1876" s="26">
        <f>COS(2*PI()*$C$3*B1876)</f>
        <v/>
      </c>
      <c r="H1876" s="26">
        <f>SIN(2*PI()*$C$3*B1876)</f>
        <v/>
      </c>
      <c r="I1876" s="26">
        <f>E1876*G1876+F1876*H1876</f>
        <v/>
      </c>
    </row>
    <row r="1877">
      <c r="A1877" s="7" t="n">
        <v>1870</v>
      </c>
      <c r="B1877" s="26">
        <f>(A1877-1)/2000*$C$2</f>
        <v/>
      </c>
      <c r="C1877" s="7">
        <f>INDEX(Bits!$E$25:$E$124,INT(B1877)+1)</f>
        <v/>
      </c>
      <c r="D1877" s="7">
        <f>MAX(1,MIN(INT(B1877/$C$4)+1,$C$5))</f>
        <v/>
      </c>
      <c r="E1877" s="26">
        <f>IF($C$5=0,0,INDEX(Symboles!$G$6:$G$101,D1877))</f>
        <v/>
      </c>
      <c r="F1877" s="26">
        <f>IF($C$5=0,0,INDEX(Symboles!$H$6:$H$101,D1877))</f>
        <v/>
      </c>
      <c r="G1877" s="26">
        <f>COS(2*PI()*$C$3*B1877)</f>
        <v/>
      </c>
      <c r="H1877" s="26">
        <f>SIN(2*PI()*$C$3*B1877)</f>
        <v/>
      </c>
      <c r="I1877" s="26">
        <f>E1877*G1877+F1877*H1877</f>
        <v/>
      </c>
    </row>
    <row r="1878">
      <c r="A1878" s="7" t="n">
        <v>1871</v>
      </c>
      <c r="B1878" s="26">
        <f>(A1878-1)/2000*$C$2</f>
        <v/>
      </c>
      <c r="C1878" s="7">
        <f>INDEX(Bits!$E$25:$E$124,INT(B1878)+1)</f>
        <v/>
      </c>
      <c r="D1878" s="7">
        <f>MAX(1,MIN(INT(B1878/$C$4)+1,$C$5))</f>
        <v/>
      </c>
      <c r="E1878" s="26">
        <f>IF($C$5=0,0,INDEX(Symboles!$G$6:$G$101,D1878))</f>
        <v/>
      </c>
      <c r="F1878" s="26">
        <f>IF($C$5=0,0,INDEX(Symboles!$H$6:$H$101,D1878))</f>
        <v/>
      </c>
      <c r="G1878" s="26">
        <f>COS(2*PI()*$C$3*B1878)</f>
        <v/>
      </c>
      <c r="H1878" s="26">
        <f>SIN(2*PI()*$C$3*B1878)</f>
        <v/>
      </c>
      <c r="I1878" s="26">
        <f>E1878*G1878+F1878*H1878</f>
        <v/>
      </c>
    </row>
    <row r="1879">
      <c r="A1879" s="7" t="n">
        <v>1872</v>
      </c>
      <c r="B1879" s="26">
        <f>(A1879-1)/2000*$C$2</f>
        <v/>
      </c>
      <c r="C1879" s="7">
        <f>INDEX(Bits!$E$25:$E$124,INT(B1879)+1)</f>
        <v/>
      </c>
      <c r="D1879" s="7">
        <f>MAX(1,MIN(INT(B1879/$C$4)+1,$C$5))</f>
        <v/>
      </c>
      <c r="E1879" s="26">
        <f>IF($C$5=0,0,INDEX(Symboles!$G$6:$G$101,D1879))</f>
        <v/>
      </c>
      <c r="F1879" s="26">
        <f>IF($C$5=0,0,INDEX(Symboles!$H$6:$H$101,D1879))</f>
        <v/>
      </c>
      <c r="G1879" s="26">
        <f>COS(2*PI()*$C$3*B1879)</f>
        <v/>
      </c>
      <c r="H1879" s="26">
        <f>SIN(2*PI()*$C$3*B1879)</f>
        <v/>
      </c>
      <c r="I1879" s="26">
        <f>E1879*G1879+F1879*H1879</f>
        <v/>
      </c>
    </row>
    <row r="1880">
      <c r="A1880" s="7" t="n">
        <v>1873</v>
      </c>
      <c r="B1880" s="26">
        <f>(A1880-1)/2000*$C$2</f>
        <v/>
      </c>
      <c r="C1880" s="7">
        <f>INDEX(Bits!$E$25:$E$124,INT(B1880)+1)</f>
        <v/>
      </c>
      <c r="D1880" s="7">
        <f>MAX(1,MIN(INT(B1880/$C$4)+1,$C$5))</f>
        <v/>
      </c>
      <c r="E1880" s="26">
        <f>IF($C$5=0,0,INDEX(Symboles!$G$6:$G$101,D1880))</f>
        <v/>
      </c>
      <c r="F1880" s="26">
        <f>IF($C$5=0,0,INDEX(Symboles!$H$6:$H$101,D1880))</f>
        <v/>
      </c>
      <c r="G1880" s="26">
        <f>COS(2*PI()*$C$3*B1880)</f>
        <v/>
      </c>
      <c r="H1880" s="26">
        <f>SIN(2*PI()*$C$3*B1880)</f>
        <v/>
      </c>
      <c r="I1880" s="26">
        <f>E1880*G1880+F1880*H1880</f>
        <v/>
      </c>
    </row>
    <row r="1881">
      <c r="A1881" s="7" t="n">
        <v>1874</v>
      </c>
      <c r="B1881" s="26">
        <f>(A1881-1)/2000*$C$2</f>
        <v/>
      </c>
      <c r="C1881" s="7">
        <f>INDEX(Bits!$E$25:$E$124,INT(B1881)+1)</f>
        <v/>
      </c>
      <c r="D1881" s="7">
        <f>MAX(1,MIN(INT(B1881/$C$4)+1,$C$5))</f>
        <v/>
      </c>
      <c r="E1881" s="26">
        <f>IF($C$5=0,0,INDEX(Symboles!$G$6:$G$101,D1881))</f>
        <v/>
      </c>
      <c r="F1881" s="26">
        <f>IF($C$5=0,0,INDEX(Symboles!$H$6:$H$101,D1881))</f>
        <v/>
      </c>
      <c r="G1881" s="26">
        <f>COS(2*PI()*$C$3*B1881)</f>
        <v/>
      </c>
      <c r="H1881" s="26">
        <f>SIN(2*PI()*$C$3*B1881)</f>
        <v/>
      </c>
      <c r="I1881" s="26">
        <f>E1881*G1881+F1881*H1881</f>
        <v/>
      </c>
    </row>
    <row r="1882">
      <c r="A1882" s="7" t="n">
        <v>1875</v>
      </c>
      <c r="B1882" s="26">
        <f>(A1882-1)/2000*$C$2</f>
        <v/>
      </c>
      <c r="C1882" s="7">
        <f>INDEX(Bits!$E$25:$E$124,INT(B1882)+1)</f>
        <v/>
      </c>
      <c r="D1882" s="7">
        <f>MAX(1,MIN(INT(B1882/$C$4)+1,$C$5))</f>
        <v/>
      </c>
      <c r="E1882" s="26">
        <f>IF($C$5=0,0,INDEX(Symboles!$G$6:$G$101,D1882))</f>
        <v/>
      </c>
      <c r="F1882" s="26">
        <f>IF($C$5=0,0,INDEX(Symboles!$H$6:$H$101,D1882))</f>
        <v/>
      </c>
      <c r="G1882" s="26">
        <f>COS(2*PI()*$C$3*B1882)</f>
        <v/>
      </c>
      <c r="H1882" s="26">
        <f>SIN(2*PI()*$C$3*B1882)</f>
        <v/>
      </c>
      <c r="I1882" s="26">
        <f>E1882*G1882+F1882*H1882</f>
        <v/>
      </c>
    </row>
    <row r="1883">
      <c r="A1883" s="7" t="n">
        <v>1876</v>
      </c>
      <c r="B1883" s="26">
        <f>(A1883-1)/2000*$C$2</f>
        <v/>
      </c>
      <c r="C1883" s="7">
        <f>INDEX(Bits!$E$25:$E$124,INT(B1883)+1)</f>
        <v/>
      </c>
      <c r="D1883" s="7">
        <f>MAX(1,MIN(INT(B1883/$C$4)+1,$C$5))</f>
        <v/>
      </c>
      <c r="E1883" s="26">
        <f>IF($C$5=0,0,INDEX(Symboles!$G$6:$G$101,D1883))</f>
        <v/>
      </c>
      <c r="F1883" s="26">
        <f>IF($C$5=0,0,INDEX(Symboles!$H$6:$H$101,D1883))</f>
        <v/>
      </c>
      <c r="G1883" s="26">
        <f>COS(2*PI()*$C$3*B1883)</f>
        <v/>
      </c>
      <c r="H1883" s="26">
        <f>SIN(2*PI()*$C$3*B1883)</f>
        <v/>
      </c>
      <c r="I1883" s="26">
        <f>E1883*G1883+F1883*H1883</f>
        <v/>
      </c>
    </row>
    <row r="1884">
      <c r="A1884" s="7" t="n">
        <v>1877</v>
      </c>
      <c r="B1884" s="26">
        <f>(A1884-1)/2000*$C$2</f>
        <v/>
      </c>
      <c r="C1884" s="7">
        <f>INDEX(Bits!$E$25:$E$124,INT(B1884)+1)</f>
        <v/>
      </c>
      <c r="D1884" s="7">
        <f>MAX(1,MIN(INT(B1884/$C$4)+1,$C$5))</f>
        <v/>
      </c>
      <c r="E1884" s="26">
        <f>IF($C$5=0,0,INDEX(Symboles!$G$6:$G$101,D1884))</f>
        <v/>
      </c>
      <c r="F1884" s="26">
        <f>IF($C$5=0,0,INDEX(Symboles!$H$6:$H$101,D1884))</f>
        <v/>
      </c>
      <c r="G1884" s="26">
        <f>COS(2*PI()*$C$3*B1884)</f>
        <v/>
      </c>
      <c r="H1884" s="26">
        <f>SIN(2*PI()*$C$3*B1884)</f>
        <v/>
      </c>
      <c r="I1884" s="26">
        <f>E1884*G1884+F1884*H1884</f>
        <v/>
      </c>
    </row>
    <row r="1885">
      <c r="A1885" s="7" t="n">
        <v>1878</v>
      </c>
      <c r="B1885" s="26">
        <f>(A1885-1)/2000*$C$2</f>
        <v/>
      </c>
      <c r="C1885" s="7">
        <f>INDEX(Bits!$E$25:$E$124,INT(B1885)+1)</f>
        <v/>
      </c>
      <c r="D1885" s="7">
        <f>MAX(1,MIN(INT(B1885/$C$4)+1,$C$5))</f>
        <v/>
      </c>
      <c r="E1885" s="26">
        <f>IF($C$5=0,0,INDEX(Symboles!$G$6:$G$101,D1885))</f>
        <v/>
      </c>
      <c r="F1885" s="26">
        <f>IF($C$5=0,0,INDEX(Symboles!$H$6:$H$101,D1885))</f>
        <v/>
      </c>
      <c r="G1885" s="26">
        <f>COS(2*PI()*$C$3*B1885)</f>
        <v/>
      </c>
      <c r="H1885" s="26">
        <f>SIN(2*PI()*$C$3*B1885)</f>
        <v/>
      </c>
      <c r="I1885" s="26">
        <f>E1885*G1885+F1885*H1885</f>
        <v/>
      </c>
    </row>
    <row r="1886">
      <c r="A1886" s="7" t="n">
        <v>1879</v>
      </c>
      <c r="B1886" s="26">
        <f>(A1886-1)/2000*$C$2</f>
        <v/>
      </c>
      <c r="C1886" s="7">
        <f>INDEX(Bits!$E$25:$E$124,INT(B1886)+1)</f>
        <v/>
      </c>
      <c r="D1886" s="7">
        <f>MAX(1,MIN(INT(B1886/$C$4)+1,$C$5))</f>
        <v/>
      </c>
      <c r="E1886" s="26">
        <f>IF($C$5=0,0,INDEX(Symboles!$G$6:$G$101,D1886))</f>
        <v/>
      </c>
      <c r="F1886" s="26">
        <f>IF($C$5=0,0,INDEX(Symboles!$H$6:$H$101,D1886))</f>
        <v/>
      </c>
      <c r="G1886" s="26">
        <f>COS(2*PI()*$C$3*B1886)</f>
        <v/>
      </c>
      <c r="H1886" s="26">
        <f>SIN(2*PI()*$C$3*B1886)</f>
        <v/>
      </c>
      <c r="I1886" s="26">
        <f>E1886*G1886+F1886*H1886</f>
        <v/>
      </c>
    </row>
    <row r="1887">
      <c r="A1887" s="7" t="n">
        <v>1880</v>
      </c>
      <c r="B1887" s="26">
        <f>(A1887-1)/2000*$C$2</f>
        <v/>
      </c>
      <c r="C1887" s="7">
        <f>INDEX(Bits!$E$25:$E$124,INT(B1887)+1)</f>
        <v/>
      </c>
      <c r="D1887" s="7">
        <f>MAX(1,MIN(INT(B1887/$C$4)+1,$C$5))</f>
        <v/>
      </c>
      <c r="E1887" s="26">
        <f>IF($C$5=0,0,INDEX(Symboles!$G$6:$G$101,D1887))</f>
        <v/>
      </c>
      <c r="F1887" s="26">
        <f>IF($C$5=0,0,INDEX(Symboles!$H$6:$H$101,D1887))</f>
        <v/>
      </c>
      <c r="G1887" s="26">
        <f>COS(2*PI()*$C$3*B1887)</f>
        <v/>
      </c>
      <c r="H1887" s="26">
        <f>SIN(2*PI()*$C$3*B1887)</f>
        <v/>
      </c>
      <c r="I1887" s="26">
        <f>E1887*G1887+F1887*H1887</f>
        <v/>
      </c>
    </row>
    <row r="1888">
      <c r="A1888" s="7" t="n">
        <v>1881</v>
      </c>
      <c r="B1888" s="26">
        <f>(A1888-1)/2000*$C$2</f>
        <v/>
      </c>
      <c r="C1888" s="7">
        <f>INDEX(Bits!$E$25:$E$124,INT(B1888)+1)</f>
        <v/>
      </c>
      <c r="D1888" s="7">
        <f>MAX(1,MIN(INT(B1888/$C$4)+1,$C$5))</f>
        <v/>
      </c>
      <c r="E1888" s="26">
        <f>IF($C$5=0,0,INDEX(Symboles!$G$6:$G$101,D1888))</f>
        <v/>
      </c>
      <c r="F1888" s="26">
        <f>IF($C$5=0,0,INDEX(Symboles!$H$6:$H$101,D1888))</f>
        <v/>
      </c>
      <c r="G1888" s="26">
        <f>COS(2*PI()*$C$3*B1888)</f>
        <v/>
      </c>
      <c r="H1888" s="26">
        <f>SIN(2*PI()*$C$3*B1888)</f>
        <v/>
      </c>
      <c r="I1888" s="26">
        <f>E1888*G1888+F1888*H1888</f>
        <v/>
      </c>
    </row>
    <row r="1889">
      <c r="A1889" s="7" t="n">
        <v>1882</v>
      </c>
      <c r="B1889" s="26">
        <f>(A1889-1)/2000*$C$2</f>
        <v/>
      </c>
      <c r="C1889" s="7">
        <f>INDEX(Bits!$E$25:$E$124,INT(B1889)+1)</f>
        <v/>
      </c>
      <c r="D1889" s="7">
        <f>MAX(1,MIN(INT(B1889/$C$4)+1,$C$5))</f>
        <v/>
      </c>
      <c r="E1889" s="26">
        <f>IF($C$5=0,0,INDEX(Symboles!$G$6:$G$101,D1889))</f>
        <v/>
      </c>
      <c r="F1889" s="26">
        <f>IF($C$5=0,0,INDEX(Symboles!$H$6:$H$101,D1889))</f>
        <v/>
      </c>
      <c r="G1889" s="26">
        <f>COS(2*PI()*$C$3*B1889)</f>
        <v/>
      </c>
      <c r="H1889" s="26">
        <f>SIN(2*PI()*$C$3*B1889)</f>
        <v/>
      </c>
      <c r="I1889" s="26">
        <f>E1889*G1889+F1889*H1889</f>
        <v/>
      </c>
    </row>
    <row r="1890">
      <c r="A1890" s="7" t="n">
        <v>1883</v>
      </c>
      <c r="B1890" s="26">
        <f>(A1890-1)/2000*$C$2</f>
        <v/>
      </c>
      <c r="C1890" s="7">
        <f>INDEX(Bits!$E$25:$E$124,INT(B1890)+1)</f>
        <v/>
      </c>
      <c r="D1890" s="7">
        <f>MAX(1,MIN(INT(B1890/$C$4)+1,$C$5))</f>
        <v/>
      </c>
      <c r="E1890" s="26">
        <f>IF($C$5=0,0,INDEX(Symboles!$G$6:$G$101,D1890))</f>
        <v/>
      </c>
      <c r="F1890" s="26">
        <f>IF($C$5=0,0,INDEX(Symboles!$H$6:$H$101,D1890))</f>
        <v/>
      </c>
      <c r="G1890" s="26">
        <f>COS(2*PI()*$C$3*B1890)</f>
        <v/>
      </c>
      <c r="H1890" s="26">
        <f>SIN(2*PI()*$C$3*B1890)</f>
        <v/>
      </c>
      <c r="I1890" s="26">
        <f>E1890*G1890+F1890*H1890</f>
        <v/>
      </c>
    </row>
    <row r="1891">
      <c r="A1891" s="7" t="n">
        <v>1884</v>
      </c>
      <c r="B1891" s="26">
        <f>(A1891-1)/2000*$C$2</f>
        <v/>
      </c>
      <c r="C1891" s="7">
        <f>INDEX(Bits!$E$25:$E$124,INT(B1891)+1)</f>
        <v/>
      </c>
      <c r="D1891" s="7">
        <f>MAX(1,MIN(INT(B1891/$C$4)+1,$C$5))</f>
        <v/>
      </c>
      <c r="E1891" s="26">
        <f>IF($C$5=0,0,INDEX(Symboles!$G$6:$G$101,D1891))</f>
        <v/>
      </c>
      <c r="F1891" s="26">
        <f>IF($C$5=0,0,INDEX(Symboles!$H$6:$H$101,D1891))</f>
        <v/>
      </c>
      <c r="G1891" s="26">
        <f>COS(2*PI()*$C$3*B1891)</f>
        <v/>
      </c>
      <c r="H1891" s="26">
        <f>SIN(2*PI()*$C$3*B1891)</f>
        <v/>
      </c>
      <c r="I1891" s="26">
        <f>E1891*G1891+F1891*H1891</f>
        <v/>
      </c>
    </row>
    <row r="1892">
      <c r="A1892" s="7" t="n">
        <v>1885</v>
      </c>
      <c r="B1892" s="26">
        <f>(A1892-1)/2000*$C$2</f>
        <v/>
      </c>
      <c r="C1892" s="7">
        <f>INDEX(Bits!$E$25:$E$124,INT(B1892)+1)</f>
        <v/>
      </c>
      <c r="D1892" s="7">
        <f>MAX(1,MIN(INT(B1892/$C$4)+1,$C$5))</f>
        <v/>
      </c>
      <c r="E1892" s="26">
        <f>IF($C$5=0,0,INDEX(Symboles!$G$6:$G$101,D1892))</f>
        <v/>
      </c>
      <c r="F1892" s="26">
        <f>IF($C$5=0,0,INDEX(Symboles!$H$6:$H$101,D1892))</f>
        <v/>
      </c>
      <c r="G1892" s="26">
        <f>COS(2*PI()*$C$3*B1892)</f>
        <v/>
      </c>
      <c r="H1892" s="26">
        <f>SIN(2*PI()*$C$3*B1892)</f>
        <v/>
      </c>
      <c r="I1892" s="26">
        <f>E1892*G1892+F1892*H1892</f>
        <v/>
      </c>
    </row>
    <row r="1893">
      <c r="A1893" s="7" t="n">
        <v>1886</v>
      </c>
      <c r="B1893" s="26">
        <f>(A1893-1)/2000*$C$2</f>
        <v/>
      </c>
      <c r="C1893" s="7">
        <f>INDEX(Bits!$E$25:$E$124,INT(B1893)+1)</f>
        <v/>
      </c>
      <c r="D1893" s="7">
        <f>MAX(1,MIN(INT(B1893/$C$4)+1,$C$5))</f>
        <v/>
      </c>
      <c r="E1893" s="26">
        <f>IF($C$5=0,0,INDEX(Symboles!$G$6:$G$101,D1893))</f>
        <v/>
      </c>
      <c r="F1893" s="26">
        <f>IF($C$5=0,0,INDEX(Symboles!$H$6:$H$101,D1893))</f>
        <v/>
      </c>
      <c r="G1893" s="26">
        <f>COS(2*PI()*$C$3*B1893)</f>
        <v/>
      </c>
      <c r="H1893" s="26">
        <f>SIN(2*PI()*$C$3*B1893)</f>
        <v/>
      </c>
      <c r="I1893" s="26">
        <f>E1893*G1893+F1893*H1893</f>
        <v/>
      </c>
    </row>
    <row r="1894">
      <c r="A1894" s="7" t="n">
        <v>1887</v>
      </c>
      <c r="B1894" s="26">
        <f>(A1894-1)/2000*$C$2</f>
        <v/>
      </c>
      <c r="C1894" s="7">
        <f>INDEX(Bits!$E$25:$E$124,INT(B1894)+1)</f>
        <v/>
      </c>
      <c r="D1894" s="7">
        <f>MAX(1,MIN(INT(B1894/$C$4)+1,$C$5))</f>
        <v/>
      </c>
      <c r="E1894" s="26">
        <f>IF($C$5=0,0,INDEX(Symboles!$G$6:$G$101,D1894))</f>
        <v/>
      </c>
      <c r="F1894" s="26">
        <f>IF($C$5=0,0,INDEX(Symboles!$H$6:$H$101,D1894))</f>
        <v/>
      </c>
      <c r="G1894" s="26">
        <f>COS(2*PI()*$C$3*B1894)</f>
        <v/>
      </c>
      <c r="H1894" s="26">
        <f>SIN(2*PI()*$C$3*B1894)</f>
        <v/>
      </c>
      <c r="I1894" s="26">
        <f>E1894*G1894+F1894*H1894</f>
        <v/>
      </c>
    </row>
    <row r="1895">
      <c r="A1895" s="7" t="n">
        <v>1888</v>
      </c>
      <c r="B1895" s="26">
        <f>(A1895-1)/2000*$C$2</f>
        <v/>
      </c>
      <c r="C1895" s="7">
        <f>INDEX(Bits!$E$25:$E$124,INT(B1895)+1)</f>
        <v/>
      </c>
      <c r="D1895" s="7">
        <f>MAX(1,MIN(INT(B1895/$C$4)+1,$C$5))</f>
        <v/>
      </c>
      <c r="E1895" s="26">
        <f>IF($C$5=0,0,INDEX(Symboles!$G$6:$G$101,D1895))</f>
        <v/>
      </c>
      <c r="F1895" s="26">
        <f>IF($C$5=0,0,INDEX(Symboles!$H$6:$H$101,D1895))</f>
        <v/>
      </c>
      <c r="G1895" s="26">
        <f>COS(2*PI()*$C$3*B1895)</f>
        <v/>
      </c>
      <c r="H1895" s="26">
        <f>SIN(2*PI()*$C$3*B1895)</f>
        <v/>
      </c>
      <c r="I1895" s="26">
        <f>E1895*G1895+F1895*H1895</f>
        <v/>
      </c>
    </row>
    <row r="1896">
      <c r="A1896" s="7" t="n">
        <v>1889</v>
      </c>
      <c r="B1896" s="26">
        <f>(A1896-1)/2000*$C$2</f>
        <v/>
      </c>
      <c r="C1896" s="7">
        <f>INDEX(Bits!$E$25:$E$124,INT(B1896)+1)</f>
        <v/>
      </c>
      <c r="D1896" s="7">
        <f>MAX(1,MIN(INT(B1896/$C$4)+1,$C$5))</f>
        <v/>
      </c>
      <c r="E1896" s="26">
        <f>IF($C$5=0,0,INDEX(Symboles!$G$6:$G$101,D1896))</f>
        <v/>
      </c>
      <c r="F1896" s="26">
        <f>IF($C$5=0,0,INDEX(Symboles!$H$6:$H$101,D1896))</f>
        <v/>
      </c>
      <c r="G1896" s="26">
        <f>COS(2*PI()*$C$3*B1896)</f>
        <v/>
      </c>
      <c r="H1896" s="26">
        <f>SIN(2*PI()*$C$3*B1896)</f>
        <v/>
      </c>
      <c r="I1896" s="26">
        <f>E1896*G1896+F1896*H1896</f>
        <v/>
      </c>
    </row>
    <row r="1897">
      <c r="A1897" s="7" t="n">
        <v>1890</v>
      </c>
      <c r="B1897" s="26">
        <f>(A1897-1)/2000*$C$2</f>
        <v/>
      </c>
      <c r="C1897" s="7">
        <f>INDEX(Bits!$E$25:$E$124,INT(B1897)+1)</f>
        <v/>
      </c>
      <c r="D1897" s="7">
        <f>MAX(1,MIN(INT(B1897/$C$4)+1,$C$5))</f>
        <v/>
      </c>
      <c r="E1897" s="26">
        <f>IF($C$5=0,0,INDEX(Symboles!$G$6:$G$101,D1897))</f>
        <v/>
      </c>
      <c r="F1897" s="26">
        <f>IF($C$5=0,0,INDEX(Symboles!$H$6:$H$101,D1897))</f>
        <v/>
      </c>
      <c r="G1897" s="26">
        <f>COS(2*PI()*$C$3*B1897)</f>
        <v/>
      </c>
      <c r="H1897" s="26">
        <f>SIN(2*PI()*$C$3*B1897)</f>
        <v/>
      </c>
      <c r="I1897" s="26">
        <f>E1897*G1897+F1897*H1897</f>
        <v/>
      </c>
    </row>
    <row r="1898">
      <c r="A1898" s="7" t="n">
        <v>1891</v>
      </c>
      <c r="B1898" s="26">
        <f>(A1898-1)/2000*$C$2</f>
        <v/>
      </c>
      <c r="C1898" s="7">
        <f>INDEX(Bits!$E$25:$E$124,INT(B1898)+1)</f>
        <v/>
      </c>
      <c r="D1898" s="7">
        <f>MAX(1,MIN(INT(B1898/$C$4)+1,$C$5))</f>
        <v/>
      </c>
      <c r="E1898" s="26">
        <f>IF($C$5=0,0,INDEX(Symboles!$G$6:$G$101,D1898))</f>
        <v/>
      </c>
      <c r="F1898" s="26">
        <f>IF($C$5=0,0,INDEX(Symboles!$H$6:$H$101,D1898))</f>
        <v/>
      </c>
      <c r="G1898" s="26">
        <f>COS(2*PI()*$C$3*B1898)</f>
        <v/>
      </c>
      <c r="H1898" s="26">
        <f>SIN(2*PI()*$C$3*B1898)</f>
        <v/>
      </c>
      <c r="I1898" s="26">
        <f>E1898*G1898+F1898*H1898</f>
        <v/>
      </c>
    </row>
    <row r="1899">
      <c r="A1899" s="7" t="n">
        <v>1892</v>
      </c>
      <c r="B1899" s="26">
        <f>(A1899-1)/2000*$C$2</f>
        <v/>
      </c>
      <c r="C1899" s="7">
        <f>INDEX(Bits!$E$25:$E$124,INT(B1899)+1)</f>
        <v/>
      </c>
      <c r="D1899" s="7">
        <f>MAX(1,MIN(INT(B1899/$C$4)+1,$C$5))</f>
        <v/>
      </c>
      <c r="E1899" s="26">
        <f>IF($C$5=0,0,INDEX(Symboles!$G$6:$G$101,D1899))</f>
        <v/>
      </c>
      <c r="F1899" s="26">
        <f>IF($C$5=0,0,INDEX(Symboles!$H$6:$H$101,D1899))</f>
        <v/>
      </c>
      <c r="G1899" s="26">
        <f>COS(2*PI()*$C$3*B1899)</f>
        <v/>
      </c>
      <c r="H1899" s="26">
        <f>SIN(2*PI()*$C$3*B1899)</f>
        <v/>
      </c>
      <c r="I1899" s="26">
        <f>E1899*G1899+F1899*H1899</f>
        <v/>
      </c>
    </row>
    <row r="1900">
      <c r="A1900" s="7" t="n">
        <v>1893</v>
      </c>
      <c r="B1900" s="26">
        <f>(A1900-1)/2000*$C$2</f>
        <v/>
      </c>
      <c r="C1900" s="7">
        <f>INDEX(Bits!$E$25:$E$124,INT(B1900)+1)</f>
        <v/>
      </c>
      <c r="D1900" s="7">
        <f>MAX(1,MIN(INT(B1900/$C$4)+1,$C$5))</f>
        <v/>
      </c>
      <c r="E1900" s="26">
        <f>IF($C$5=0,0,INDEX(Symboles!$G$6:$G$101,D1900))</f>
        <v/>
      </c>
      <c r="F1900" s="26">
        <f>IF($C$5=0,0,INDEX(Symboles!$H$6:$H$101,D1900))</f>
        <v/>
      </c>
      <c r="G1900" s="26">
        <f>COS(2*PI()*$C$3*B1900)</f>
        <v/>
      </c>
      <c r="H1900" s="26">
        <f>SIN(2*PI()*$C$3*B1900)</f>
        <v/>
      </c>
      <c r="I1900" s="26">
        <f>E1900*G1900+F1900*H1900</f>
        <v/>
      </c>
    </row>
    <row r="1901">
      <c r="A1901" s="7" t="n">
        <v>1894</v>
      </c>
      <c r="B1901" s="26">
        <f>(A1901-1)/2000*$C$2</f>
        <v/>
      </c>
      <c r="C1901" s="7">
        <f>INDEX(Bits!$E$25:$E$124,INT(B1901)+1)</f>
        <v/>
      </c>
      <c r="D1901" s="7">
        <f>MAX(1,MIN(INT(B1901/$C$4)+1,$C$5))</f>
        <v/>
      </c>
      <c r="E1901" s="26">
        <f>IF($C$5=0,0,INDEX(Symboles!$G$6:$G$101,D1901))</f>
        <v/>
      </c>
      <c r="F1901" s="26">
        <f>IF($C$5=0,0,INDEX(Symboles!$H$6:$H$101,D1901))</f>
        <v/>
      </c>
      <c r="G1901" s="26">
        <f>COS(2*PI()*$C$3*B1901)</f>
        <v/>
      </c>
      <c r="H1901" s="26">
        <f>SIN(2*PI()*$C$3*B1901)</f>
        <v/>
      </c>
      <c r="I1901" s="26">
        <f>E1901*G1901+F1901*H1901</f>
        <v/>
      </c>
    </row>
    <row r="1902">
      <c r="A1902" s="7" t="n">
        <v>1895</v>
      </c>
      <c r="B1902" s="26">
        <f>(A1902-1)/2000*$C$2</f>
        <v/>
      </c>
      <c r="C1902" s="7">
        <f>INDEX(Bits!$E$25:$E$124,INT(B1902)+1)</f>
        <v/>
      </c>
      <c r="D1902" s="7">
        <f>MAX(1,MIN(INT(B1902/$C$4)+1,$C$5))</f>
        <v/>
      </c>
      <c r="E1902" s="26">
        <f>IF($C$5=0,0,INDEX(Symboles!$G$6:$G$101,D1902))</f>
        <v/>
      </c>
      <c r="F1902" s="26">
        <f>IF($C$5=0,0,INDEX(Symboles!$H$6:$H$101,D1902))</f>
        <v/>
      </c>
      <c r="G1902" s="26">
        <f>COS(2*PI()*$C$3*B1902)</f>
        <v/>
      </c>
      <c r="H1902" s="26">
        <f>SIN(2*PI()*$C$3*B1902)</f>
        <v/>
      </c>
      <c r="I1902" s="26">
        <f>E1902*G1902+F1902*H1902</f>
        <v/>
      </c>
    </row>
    <row r="1903">
      <c r="A1903" s="7" t="n">
        <v>1896</v>
      </c>
      <c r="B1903" s="26">
        <f>(A1903-1)/2000*$C$2</f>
        <v/>
      </c>
      <c r="C1903" s="7">
        <f>INDEX(Bits!$E$25:$E$124,INT(B1903)+1)</f>
        <v/>
      </c>
      <c r="D1903" s="7">
        <f>MAX(1,MIN(INT(B1903/$C$4)+1,$C$5))</f>
        <v/>
      </c>
      <c r="E1903" s="26">
        <f>IF($C$5=0,0,INDEX(Symboles!$G$6:$G$101,D1903))</f>
        <v/>
      </c>
      <c r="F1903" s="26">
        <f>IF($C$5=0,0,INDEX(Symboles!$H$6:$H$101,D1903))</f>
        <v/>
      </c>
      <c r="G1903" s="26">
        <f>COS(2*PI()*$C$3*B1903)</f>
        <v/>
      </c>
      <c r="H1903" s="26">
        <f>SIN(2*PI()*$C$3*B1903)</f>
        <v/>
      </c>
      <c r="I1903" s="26">
        <f>E1903*G1903+F1903*H1903</f>
        <v/>
      </c>
    </row>
    <row r="1904">
      <c r="A1904" s="7" t="n">
        <v>1897</v>
      </c>
      <c r="B1904" s="26">
        <f>(A1904-1)/2000*$C$2</f>
        <v/>
      </c>
      <c r="C1904" s="7">
        <f>INDEX(Bits!$E$25:$E$124,INT(B1904)+1)</f>
        <v/>
      </c>
      <c r="D1904" s="7">
        <f>MAX(1,MIN(INT(B1904/$C$4)+1,$C$5))</f>
        <v/>
      </c>
      <c r="E1904" s="26">
        <f>IF($C$5=0,0,INDEX(Symboles!$G$6:$G$101,D1904))</f>
        <v/>
      </c>
      <c r="F1904" s="26">
        <f>IF($C$5=0,0,INDEX(Symboles!$H$6:$H$101,D1904))</f>
        <v/>
      </c>
      <c r="G1904" s="26">
        <f>COS(2*PI()*$C$3*B1904)</f>
        <v/>
      </c>
      <c r="H1904" s="26">
        <f>SIN(2*PI()*$C$3*B1904)</f>
        <v/>
      </c>
      <c r="I1904" s="26">
        <f>E1904*G1904+F1904*H1904</f>
        <v/>
      </c>
    </row>
    <row r="1905">
      <c r="A1905" s="7" t="n">
        <v>1898</v>
      </c>
      <c r="B1905" s="26">
        <f>(A1905-1)/2000*$C$2</f>
        <v/>
      </c>
      <c r="C1905" s="7">
        <f>INDEX(Bits!$E$25:$E$124,INT(B1905)+1)</f>
        <v/>
      </c>
      <c r="D1905" s="7">
        <f>MAX(1,MIN(INT(B1905/$C$4)+1,$C$5))</f>
        <v/>
      </c>
      <c r="E1905" s="26">
        <f>IF($C$5=0,0,INDEX(Symboles!$G$6:$G$101,D1905))</f>
        <v/>
      </c>
      <c r="F1905" s="26">
        <f>IF($C$5=0,0,INDEX(Symboles!$H$6:$H$101,D1905))</f>
        <v/>
      </c>
      <c r="G1905" s="26">
        <f>COS(2*PI()*$C$3*B1905)</f>
        <v/>
      </c>
      <c r="H1905" s="26">
        <f>SIN(2*PI()*$C$3*B1905)</f>
        <v/>
      </c>
      <c r="I1905" s="26">
        <f>E1905*G1905+F1905*H1905</f>
        <v/>
      </c>
    </row>
    <row r="1906">
      <c r="A1906" s="7" t="n">
        <v>1899</v>
      </c>
      <c r="B1906" s="26">
        <f>(A1906-1)/2000*$C$2</f>
        <v/>
      </c>
      <c r="C1906" s="7">
        <f>INDEX(Bits!$E$25:$E$124,INT(B1906)+1)</f>
        <v/>
      </c>
      <c r="D1906" s="7">
        <f>MAX(1,MIN(INT(B1906/$C$4)+1,$C$5))</f>
        <v/>
      </c>
      <c r="E1906" s="26">
        <f>IF($C$5=0,0,INDEX(Symboles!$G$6:$G$101,D1906))</f>
        <v/>
      </c>
      <c r="F1906" s="26">
        <f>IF($C$5=0,0,INDEX(Symboles!$H$6:$H$101,D1906))</f>
        <v/>
      </c>
      <c r="G1906" s="26">
        <f>COS(2*PI()*$C$3*B1906)</f>
        <v/>
      </c>
      <c r="H1906" s="26">
        <f>SIN(2*PI()*$C$3*B1906)</f>
        <v/>
      </c>
      <c r="I1906" s="26">
        <f>E1906*G1906+F1906*H1906</f>
        <v/>
      </c>
    </row>
    <row r="1907">
      <c r="A1907" s="7" t="n">
        <v>1900</v>
      </c>
      <c r="B1907" s="26">
        <f>(A1907-1)/2000*$C$2</f>
        <v/>
      </c>
      <c r="C1907" s="7">
        <f>INDEX(Bits!$E$25:$E$124,INT(B1907)+1)</f>
        <v/>
      </c>
      <c r="D1907" s="7">
        <f>MAX(1,MIN(INT(B1907/$C$4)+1,$C$5))</f>
        <v/>
      </c>
      <c r="E1907" s="26">
        <f>IF($C$5=0,0,INDEX(Symboles!$G$6:$G$101,D1907))</f>
        <v/>
      </c>
      <c r="F1907" s="26">
        <f>IF($C$5=0,0,INDEX(Symboles!$H$6:$H$101,D1907))</f>
        <v/>
      </c>
      <c r="G1907" s="26">
        <f>COS(2*PI()*$C$3*B1907)</f>
        <v/>
      </c>
      <c r="H1907" s="26">
        <f>SIN(2*PI()*$C$3*B1907)</f>
        <v/>
      </c>
      <c r="I1907" s="26">
        <f>E1907*G1907+F1907*H1907</f>
        <v/>
      </c>
    </row>
    <row r="1908">
      <c r="A1908" s="7" t="n">
        <v>1901</v>
      </c>
      <c r="B1908" s="26">
        <f>(A1908-1)/2000*$C$2</f>
        <v/>
      </c>
      <c r="C1908" s="7">
        <f>INDEX(Bits!$E$25:$E$124,INT(B1908)+1)</f>
        <v/>
      </c>
      <c r="D1908" s="7">
        <f>MAX(1,MIN(INT(B1908/$C$4)+1,$C$5))</f>
        <v/>
      </c>
      <c r="E1908" s="26">
        <f>IF($C$5=0,0,INDEX(Symboles!$G$6:$G$101,D1908))</f>
        <v/>
      </c>
      <c r="F1908" s="26">
        <f>IF($C$5=0,0,INDEX(Symboles!$H$6:$H$101,D1908))</f>
        <v/>
      </c>
      <c r="G1908" s="26">
        <f>COS(2*PI()*$C$3*B1908)</f>
        <v/>
      </c>
      <c r="H1908" s="26">
        <f>SIN(2*PI()*$C$3*B1908)</f>
        <v/>
      </c>
      <c r="I1908" s="26">
        <f>E1908*G1908+F1908*H1908</f>
        <v/>
      </c>
    </row>
    <row r="1909">
      <c r="A1909" s="7" t="n">
        <v>1902</v>
      </c>
      <c r="B1909" s="26">
        <f>(A1909-1)/2000*$C$2</f>
        <v/>
      </c>
      <c r="C1909" s="7">
        <f>INDEX(Bits!$E$25:$E$124,INT(B1909)+1)</f>
        <v/>
      </c>
      <c r="D1909" s="7">
        <f>MAX(1,MIN(INT(B1909/$C$4)+1,$C$5))</f>
        <v/>
      </c>
      <c r="E1909" s="26">
        <f>IF($C$5=0,0,INDEX(Symboles!$G$6:$G$101,D1909))</f>
        <v/>
      </c>
      <c r="F1909" s="26">
        <f>IF($C$5=0,0,INDEX(Symboles!$H$6:$H$101,D1909))</f>
        <v/>
      </c>
      <c r="G1909" s="26">
        <f>COS(2*PI()*$C$3*B1909)</f>
        <v/>
      </c>
      <c r="H1909" s="26">
        <f>SIN(2*PI()*$C$3*B1909)</f>
        <v/>
      </c>
      <c r="I1909" s="26">
        <f>E1909*G1909+F1909*H1909</f>
        <v/>
      </c>
    </row>
    <row r="1910">
      <c r="A1910" s="7" t="n">
        <v>1903</v>
      </c>
      <c r="B1910" s="26">
        <f>(A1910-1)/2000*$C$2</f>
        <v/>
      </c>
      <c r="C1910" s="7">
        <f>INDEX(Bits!$E$25:$E$124,INT(B1910)+1)</f>
        <v/>
      </c>
      <c r="D1910" s="7">
        <f>MAX(1,MIN(INT(B1910/$C$4)+1,$C$5))</f>
        <v/>
      </c>
      <c r="E1910" s="26">
        <f>IF($C$5=0,0,INDEX(Symboles!$G$6:$G$101,D1910))</f>
        <v/>
      </c>
      <c r="F1910" s="26">
        <f>IF($C$5=0,0,INDEX(Symboles!$H$6:$H$101,D1910))</f>
        <v/>
      </c>
      <c r="G1910" s="26">
        <f>COS(2*PI()*$C$3*B1910)</f>
        <v/>
      </c>
      <c r="H1910" s="26">
        <f>SIN(2*PI()*$C$3*B1910)</f>
        <v/>
      </c>
      <c r="I1910" s="26">
        <f>E1910*G1910+F1910*H1910</f>
        <v/>
      </c>
    </row>
    <row r="1911">
      <c r="A1911" s="7" t="n">
        <v>1904</v>
      </c>
      <c r="B1911" s="26">
        <f>(A1911-1)/2000*$C$2</f>
        <v/>
      </c>
      <c r="C1911" s="7">
        <f>INDEX(Bits!$E$25:$E$124,INT(B1911)+1)</f>
        <v/>
      </c>
      <c r="D1911" s="7">
        <f>MAX(1,MIN(INT(B1911/$C$4)+1,$C$5))</f>
        <v/>
      </c>
      <c r="E1911" s="26">
        <f>IF($C$5=0,0,INDEX(Symboles!$G$6:$G$101,D1911))</f>
        <v/>
      </c>
      <c r="F1911" s="26">
        <f>IF($C$5=0,0,INDEX(Symboles!$H$6:$H$101,D1911))</f>
        <v/>
      </c>
      <c r="G1911" s="26">
        <f>COS(2*PI()*$C$3*B1911)</f>
        <v/>
      </c>
      <c r="H1911" s="26">
        <f>SIN(2*PI()*$C$3*B1911)</f>
        <v/>
      </c>
      <c r="I1911" s="26">
        <f>E1911*G1911+F1911*H1911</f>
        <v/>
      </c>
    </row>
    <row r="1912">
      <c r="A1912" s="7" t="n">
        <v>1905</v>
      </c>
      <c r="B1912" s="26">
        <f>(A1912-1)/2000*$C$2</f>
        <v/>
      </c>
      <c r="C1912" s="7">
        <f>INDEX(Bits!$E$25:$E$124,INT(B1912)+1)</f>
        <v/>
      </c>
      <c r="D1912" s="7">
        <f>MAX(1,MIN(INT(B1912/$C$4)+1,$C$5))</f>
        <v/>
      </c>
      <c r="E1912" s="26">
        <f>IF($C$5=0,0,INDEX(Symboles!$G$6:$G$101,D1912))</f>
        <v/>
      </c>
      <c r="F1912" s="26">
        <f>IF($C$5=0,0,INDEX(Symboles!$H$6:$H$101,D1912))</f>
        <v/>
      </c>
      <c r="G1912" s="26">
        <f>COS(2*PI()*$C$3*B1912)</f>
        <v/>
      </c>
      <c r="H1912" s="26">
        <f>SIN(2*PI()*$C$3*B1912)</f>
        <v/>
      </c>
      <c r="I1912" s="26">
        <f>E1912*G1912+F1912*H1912</f>
        <v/>
      </c>
    </row>
    <row r="1913">
      <c r="A1913" s="7" t="n">
        <v>1906</v>
      </c>
      <c r="B1913" s="26">
        <f>(A1913-1)/2000*$C$2</f>
        <v/>
      </c>
      <c r="C1913" s="7">
        <f>INDEX(Bits!$E$25:$E$124,INT(B1913)+1)</f>
        <v/>
      </c>
      <c r="D1913" s="7">
        <f>MAX(1,MIN(INT(B1913/$C$4)+1,$C$5))</f>
        <v/>
      </c>
      <c r="E1913" s="26">
        <f>IF($C$5=0,0,INDEX(Symboles!$G$6:$G$101,D1913))</f>
        <v/>
      </c>
      <c r="F1913" s="26">
        <f>IF($C$5=0,0,INDEX(Symboles!$H$6:$H$101,D1913))</f>
        <v/>
      </c>
      <c r="G1913" s="26">
        <f>COS(2*PI()*$C$3*B1913)</f>
        <v/>
      </c>
      <c r="H1913" s="26">
        <f>SIN(2*PI()*$C$3*B1913)</f>
        <v/>
      </c>
      <c r="I1913" s="26">
        <f>E1913*G1913+F1913*H1913</f>
        <v/>
      </c>
    </row>
    <row r="1914">
      <c r="A1914" s="7" t="n">
        <v>1907</v>
      </c>
      <c r="B1914" s="26">
        <f>(A1914-1)/2000*$C$2</f>
        <v/>
      </c>
      <c r="C1914" s="7">
        <f>INDEX(Bits!$E$25:$E$124,INT(B1914)+1)</f>
        <v/>
      </c>
      <c r="D1914" s="7">
        <f>MAX(1,MIN(INT(B1914/$C$4)+1,$C$5))</f>
        <v/>
      </c>
      <c r="E1914" s="26">
        <f>IF($C$5=0,0,INDEX(Symboles!$G$6:$G$101,D1914))</f>
        <v/>
      </c>
      <c r="F1914" s="26">
        <f>IF($C$5=0,0,INDEX(Symboles!$H$6:$H$101,D1914))</f>
        <v/>
      </c>
      <c r="G1914" s="26">
        <f>COS(2*PI()*$C$3*B1914)</f>
        <v/>
      </c>
      <c r="H1914" s="26">
        <f>SIN(2*PI()*$C$3*B1914)</f>
        <v/>
      </c>
      <c r="I1914" s="26">
        <f>E1914*G1914+F1914*H1914</f>
        <v/>
      </c>
    </row>
    <row r="1915">
      <c r="A1915" s="7" t="n">
        <v>1908</v>
      </c>
      <c r="B1915" s="26">
        <f>(A1915-1)/2000*$C$2</f>
        <v/>
      </c>
      <c r="C1915" s="7">
        <f>INDEX(Bits!$E$25:$E$124,INT(B1915)+1)</f>
        <v/>
      </c>
      <c r="D1915" s="7">
        <f>MAX(1,MIN(INT(B1915/$C$4)+1,$C$5))</f>
        <v/>
      </c>
      <c r="E1915" s="26">
        <f>IF($C$5=0,0,INDEX(Symboles!$G$6:$G$101,D1915))</f>
        <v/>
      </c>
      <c r="F1915" s="26">
        <f>IF($C$5=0,0,INDEX(Symboles!$H$6:$H$101,D1915))</f>
        <v/>
      </c>
      <c r="G1915" s="26">
        <f>COS(2*PI()*$C$3*B1915)</f>
        <v/>
      </c>
      <c r="H1915" s="26">
        <f>SIN(2*PI()*$C$3*B1915)</f>
        <v/>
      </c>
      <c r="I1915" s="26">
        <f>E1915*G1915+F1915*H1915</f>
        <v/>
      </c>
    </row>
    <row r="1916">
      <c r="A1916" s="7" t="n">
        <v>1909</v>
      </c>
      <c r="B1916" s="26">
        <f>(A1916-1)/2000*$C$2</f>
        <v/>
      </c>
      <c r="C1916" s="7">
        <f>INDEX(Bits!$E$25:$E$124,INT(B1916)+1)</f>
        <v/>
      </c>
      <c r="D1916" s="7">
        <f>MAX(1,MIN(INT(B1916/$C$4)+1,$C$5))</f>
        <v/>
      </c>
      <c r="E1916" s="26">
        <f>IF($C$5=0,0,INDEX(Symboles!$G$6:$G$101,D1916))</f>
        <v/>
      </c>
      <c r="F1916" s="26">
        <f>IF($C$5=0,0,INDEX(Symboles!$H$6:$H$101,D1916))</f>
        <v/>
      </c>
      <c r="G1916" s="26">
        <f>COS(2*PI()*$C$3*B1916)</f>
        <v/>
      </c>
      <c r="H1916" s="26">
        <f>SIN(2*PI()*$C$3*B1916)</f>
        <v/>
      </c>
      <c r="I1916" s="26">
        <f>E1916*G1916+F1916*H1916</f>
        <v/>
      </c>
    </row>
    <row r="1917">
      <c r="A1917" s="7" t="n">
        <v>1910</v>
      </c>
      <c r="B1917" s="26">
        <f>(A1917-1)/2000*$C$2</f>
        <v/>
      </c>
      <c r="C1917" s="7">
        <f>INDEX(Bits!$E$25:$E$124,INT(B1917)+1)</f>
        <v/>
      </c>
      <c r="D1917" s="7">
        <f>MAX(1,MIN(INT(B1917/$C$4)+1,$C$5))</f>
        <v/>
      </c>
      <c r="E1917" s="26">
        <f>IF($C$5=0,0,INDEX(Symboles!$G$6:$G$101,D1917))</f>
        <v/>
      </c>
      <c r="F1917" s="26">
        <f>IF($C$5=0,0,INDEX(Symboles!$H$6:$H$101,D1917))</f>
        <v/>
      </c>
      <c r="G1917" s="26">
        <f>COS(2*PI()*$C$3*B1917)</f>
        <v/>
      </c>
      <c r="H1917" s="26">
        <f>SIN(2*PI()*$C$3*B1917)</f>
        <v/>
      </c>
      <c r="I1917" s="26">
        <f>E1917*G1917+F1917*H1917</f>
        <v/>
      </c>
    </row>
    <row r="1918">
      <c r="A1918" s="7" t="n">
        <v>1911</v>
      </c>
      <c r="B1918" s="26">
        <f>(A1918-1)/2000*$C$2</f>
        <v/>
      </c>
      <c r="C1918" s="7">
        <f>INDEX(Bits!$E$25:$E$124,INT(B1918)+1)</f>
        <v/>
      </c>
      <c r="D1918" s="7">
        <f>MAX(1,MIN(INT(B1918/$C$4)+1,$C$5))</f>
        <v/>
      </c>
      <c r="E1918" s="26">
        <f>IF($C$5=0,0,INDEX(Symboles!$G$6:$G$101,D1918))</f>
        <v/>
      </c>
      <c r="F1918" s="26">
        <f>IF($C$5=0,0,INDEX(Symboles!$H$6:$H$101,D1918))</f>
        <v/>
      </c>
      <c r="G1918" s="26">
        <f>COS(2*PI()*$C$3*B1918)</f>
        <v/>
      </c>
      <c r="H1918" s="26">
        <f>SIN(2*PI()*$C$3*B1918)</f>
        <v/>
      </c>
      <c r="I1918" s="26">
        <f>E1918*G1918+F1918*H1918</f>
        <v/>
      </c>
    </row>
    <row r="1919">
      <c r="A1919" s="7" t="n">
        <v>1912</v>
      </c>
      <c r="B1919" s="26">
        <f>(A1919-1)/2000*$C$2</f>
        <v/>
      </c>
      <c r="C1919" s="7">
        <f>INDEX(Bits!$E$25:$E$124,INT(B1919)+1)</f>
        <v/>
      </c>
      <c r="D1919" s="7">
        <f>MAX(1,MIN(INT(B1919/$C$4)+1,$C$5))</f>
        <v/>
      </c>
      <c r="E1919" s="26">
        <f>IF($C$5=0,0,INDEX(Symboles!$G$6:$G$101,D1919))</f>
        <v/>
      </c>
      <c r="F1919" s="26">
        <f>IF($C$5=0,0,INDEX(Symboles!$H$6:$H$101,D1919))</f>
        <v/>
      </c>
      <c r="G1919" s="26">
        <f>COS(2*PI()*$C$3*B1919)</f>
        <v/>
      </c>
      <c r="H1919" s="26">
        <f>SIN(2*PI()*$C$3*B1919)</f>
        <v/>
      </c>
      <c r="I1919" s="26">
        <f>E1919*G1919+F1919*H1919</f>
        <v/>
      </c>
    </row>
    <row r="1920">
      <c r="A1920" s="7" t="n">
        <v>1913</v>
      </c>
      <c r="B1920" s="26">
        <f>(A1920-1)/2000*$C$2</f>
        <v/>
      </c>
      <c r="C1920" s="7">
        <f>INDEX(Bits!$E$25:$E$124,INT(B1920)+1)</f>
        <v/>
      </c>
      <c r="D1920" s="7">
        <f>MAX(1,MIN(INT(B1920/$C$4)+1,$C$5))</f>
        <v/>
      </c>
      <c r="E1920" s="26">
        <f>IF($C$5=0,0,INDEX(Symboles!$G$6:$G$101,D1920))</f>
        <v/>
      </c>
      <c r="F1920" s="26">
        <f>IF($C$5=0,0,INDEX(Symboles!$H$6:$H$101,D1920))</f>
        <v/>
      </c>
      <c r="G1920" s="26">
        <f>COS(2*PI()*$C$3*B1920)</f>
        <v/>
      </c>
      <c r="H1920" s="26">
        <f>SIN(2*PI()*$C$3*B1920)</f>
        <v/>
      </c>
      <c r="I1920" s="26">
        <f>E1920*G1920+F1920*H1920</f>
        <v/>
      </c>
    </row>
    <row r="1921">
      <c r="A1921" s="7" t="n">
        <v>1914</v>
      </c>
      <c r="B1921" s="26">
        <f>(A1921-1)/2000*$C$2</f>
        <v/>
      </c>
      <c r="C1921" s="7">
        <f>INDEX(Bits!$E$25:$E$124,INT(B1921)+1)</f>
        <v/>
      </c>
      <c r="D1921" s="7">
        <f>MAX(1,MIN(INT(B1921/$C$4)+1,$C$5))</f>
        <v/>
      </c>
      <c r="E1921" s="26">
        <f>IF($C$5=0,0,INDEX(Symboles!$G$6:$G$101,D1921))</f>
        <v/>
      </c>
      <c r="F1921" s="26">
        <f>IF($C$5=0,0,INDEX(Symboles!$H$6:$H$101,D1921))</f>
        <v/>
      </c>
      <c r="G1921" s="26">
        <f>COS(2*PI()*$C$3*B1921)</f>
        <v/>
      </c>
      <c r="H1921" s="26">
        <f>SIN(2*PI()*$C$3*B1921)</f>
        <v/>
      </c>
      <c r="I1921" s="26">
        <f>E1921*G1921+F1921*H1921</f>
        <v/>
      </c>
    </row>
    <row r="1922">
      <c r="A1922" s="7" t="n">
        <v>1915</v>
      </c>
      <c r="B1922" s="26">
        <f>(A1922-1)/2000*$C$2</f>
        <v/>
      </c>
      <c r="C1922" s="7">
        <f>INDEX(Bits!$E$25:$E$124,INT(B1922)+1)</f>
        <v/>
      </c>
      <c r="D1922" s="7">
        <f>MAX(1,MIN(INT(B1922/$C$4)+1,$C$5))</f>
        <v/>
      </c>
      <c r="E1922" s="26">
        <f>IF($C$5=0,0,INDEX(Symboles!$G$6:$G$101,D1922))</f>
        <v/>
      </c>
      <c r="F1922" s="26">
        <f>IF($C$5=0,0,INDEX(Symboles!$H$6:$H$101,D1922))</f>
        <v/>
      </c>
      <c r="G1922" s="26">
        <f>COS(2*PI()*$C$3*B1922)</f>
        <v/>
      </c>
      <c r="H1922" s="26">
        <f>SIN(2*PI()*$C$3*B1922)</f>
        <v/>
      </c>
      <c r="I1922" s="26">
        <f>E1922*G1922+F1922*H1922</f>
        <v/>
      </c>
    </row>
    <row r="1923">
      <c r="A1923" s="7" t="n">
        <v>1916</v>
      </c>
      <c r="B1923" s="26">
        <f>(A1923-1)/2000*$C$2</f>
        <v/>
      </c>
      <c r="C1923" s="7">
        <f>INDEX(Bits!$E$25:$E$124,INT(B1923)+1)</f>
        <v/>
      </c>
      <c r="D1923" s="7">
        <f>MAX(1,MIN(INT(B1923/$C$4)+1,$C$5))</f>
        <v/>
      </c>
      <c r="E1923" s="26">
        <f>IF($C$5=0,0,INDEX(Symboles!$G$6:$G$101,D1923))</f>
        <v/>
      </c>
      <c r="F1923" s="26">
        <f>IF($C$5=0,0,INDEX(Symboles!$H$6:$H$101,D1923))</f>
        <v/>
      </c>
      <c r="G1923" s="26">
        <f>COS(2*PI()*$C$3*B1923)</f>
        <v/>
      </c>
      <c r="H1923" s="26">
        <f>SIN(2*PI()*$C$3*B1923)</f>
        <v/>
      </c>
      <c r="I1923" s="26">
        <f>E1923*G1923+F1923*H1923</f>
        <v/>
      </c>
    </row>
    <row r="1924">
      <c r="A1924" s="7" t="n">
        <v>1917</v>
      </c>
      <c r="B1924" s="26">
        <f>(A1924-1)/2000*$C$2</f>
        <v/>
      </c>
      <c r="C1924" s="7">
        <f>INDEX(Bits!$E$25:$E$124,INT(B1924)+1)</f>
        <v/>
      </c>
      <c r="D1924" s="7">
        <f>MAX(1,MIN(INT(B1924/$C$4)+1,$C$5))</f>
        <v/>
      </c>
      <c r="E1924" s="26">
        <f>IF($C$5=0,0,INDEX(Symboles!$G$6:$G$101,D1924))</f>
        <v/>
      </c>
      <c r="F1924" s="26">
        <f>IF($C$5=0,0,INDEX(Symboles!$H$6:$H$101,D1924))</f>
        <v/>
      </c>
      <c r="G1924" s="26">
        <f>COS(2*PI()*$C$3*B1924)</f>
        <v/>
      </c>
      <c r="H1924" s="26">
        <f>SIN(2*PI()*$C$3*B1924)</f>
        <v/>
      </c>
      <c r="I1924" s="26">
        <f>E1924*G1924+F1924*H1924</f>
        <v/>
      </c>
    </row>
    <row r="1925">
      <c r="A1925" s="7" t="n">
        <v>1918</v>
      </c>
      <c r="B1925" s="26">
        <f>(A1925-1)/2000*$C$2</f>
        <v/>
      </c>
      <c r="C1925" s="7">
        <f>INDEX(Bits!$E$25:$E$124,INT(B1925)+1)</f>
        <v/>
      </c>
      <c r="D1925" s="7">
        <f>MAX(1,MIN(INT(B1925/$C$4)+1,$C$5))</f>
        <v/>
      </c>
      <c r="E1925" s="26">
        <f>IF($C$5=0,0,INDEX(Symboles!$G$6:$G$101,D1925))</f>
        <v/>
      </c>
      <c r="F1925" s="26">
        <f>IF($C$5=0,0,INDEX(Symboles!$H$6:$H$101,D1925))</f>
        <v/>
      </c>
      <c r="G1925" s="26">
        <f>COS(2*PI()*$C$3*B1925)</f>
        <v/>
      </c>
      <c r="H1925" s="26">
        <f>SIN(2*PI()*$C$3*B1925)</f>
        <v/>
      </c>
      <c r="I1925" s="26">
        <f>E1925*G1925+F1925*H1925</f>
        <v/>
      </c>
    </row>
    <row r="1926">
      <c r="A1926" s="7" t="n">
        <v>1919</v>
      </c>
      <c r="B1926" s="26">
        <f>(A1926-1)/2000*$C$2</f>
        <v/>
      </c>
      <c r="C1926" s="7">
        <f>INDEX(Bits!$E$25:$E$124,INT(B1926)+1)</f>
        <v/>
      </c>
      <c r="D1926" s="7">
        <f>MAX(1,MIN(INT(B1926/$C$4)+1,$C$5))</f>
        <v/>
      </c>
      <c r="E1926" s="26">
        <f>IF($C$5=0,0,INDEX(Symboles!$G$6:$G$101,D1926))</f>
        <v/>
      </c>
      <c r="F1926" s="26">
        <f>IF($C$5=0,0,INDEX(Symboles!$H$6:$H$101,D1926))</f>
        <v/>
      </c>
      <c r="G1926" s="26">
        <f>COS(2*PI()*$C$3*B1926)</f>
        <v/>
      </c>
      <c r="H1926" s="26">
        <f>SIN(2*PI()*$C$3*B1926)</f>
        <v/>
      </c>
      <c r="I1926" s="26">
        <f>E1926*G1926+F1926*H1926</f>
        <v/>
      </c>
    </row>
    <row r="1927">
      <c r="A1927" s="7" t="n">
        <v>1920</v>
      </c>
      <c r="B1927" s="26">
        <f>(A1927-1)/2000*$C$2</f>
        <v/>
      </c>
      <c r="C1927" s="7">
        <f>INDEX(Bits!$E$25:$E$124,INT(B1927)+1)</f>
        <v/>
      </c>
      <c r="D1927" s="7">
        <f>MAX(1,MIN(INT(B1927/$C$4)+1,$C$5))</f>
        <v/>
      </c>
      <c r="E1927" s="26">
        <f>IF($C$5=0,0,INDEX(Symboles!$G$6:$G$101,D1927))</f>
        <v/>
      </c>
      <c r="F1927" s="26">
        <f>IF($C$5=0,0,INDEX(Symboles!$H$6:$H$101,D1927))</f>
        <v/>
      </c>
      <c r="G1927" s="26">
        <f>COS(2*PI()*$C$3*B1927)</f>
        <v/>
      </c>
      <c r="H1927" s="26">
        <f>SIN(2*PI()*$C$3*B1927)</f>
        <v/>
      </c>
      <c r="I1927" s="26">
        <f>E1927*G1927+F1927*H1927</f>
        <v/>
      </c>
    </row>
    <row r="1928">
      <c r="A1928" s="7" t="n">
        <v>1921</v>
      </c>
      <c r="B1928" s="26">
        <f>(A1928-1)/2000*$C$2</f>
        <v/>
      </c>
      <c r="C1928" s="7">
        <f>INDEX(Bits!$E$25:$E$124,INT(B1928)+1)</f>
        <v/>
      </c>
      <c r="D1928" s="7">
        <f>MAX(1,MIN(INT(B1928/$C$4)+1,$C$5))</f>
        <v/>
      </c>
      <c r="E1928" s="26">
        <f>IF($C$5=0,0,INDEX(Symboles!$G$6:$G$101,D1928))</f>
        <v/>
      </c>
      <c r="F1928" s="26">
        <f>IF($C$5=0,0,INDEX(Symboles!$H$6:$H$101,D1928))</f>
        <v/>
      </c>
      <c r="G1928" s="26">
        <f>COS(2*PI()*$C$3*B1928)</f>
        <v/>
      </c>
      <c r="H1928" s="26">
        <f>SIN(2*PI()*$C$3*B1928)</f>
        <v/>
      </c>
      <c r="I1928" s="26">
        <f>E1928*G1928+F1928*H1928</f>
        <v/>
      </c>
    </row>
    <row r="1929">
      <c r="A1929" s="7" t="n">
        <v>1922</v>
      </c>
      <c r="B1929" s="26">
        <f>(A1929-1)/2000*$C$2</f>
        <v/>
      </c>
      <c r="C1929" s="7">
        <f>INDEX(Bits!$E$25:$E$124,INT(B1929)+1)</f>
        <v/>
      </c>
      <c r="D1929" s="7">
        <f>MAX(1,MIN(INT(B1929/$C$4)+1,$C$5))</f>
        <v/>
      </c>
      <c r="E1929" s="26">
        <f>IF($C$5=0,0,INDEX(Symboles!$G$6:$G$101,D1929))</f>
        <v/>
      </c>
      <c r="F1929" s="26">
        <f>IF($C$5=0,0,INDEX(Symboles!$H$6:$H$101,D1929))</f>
        <v/>
      </c>
      <c r="G1929" s="26">
        <f>COS(2*PI()*$C$3*B1929)</f>
        <v/>
      </c>
      <c r="H1929" s="26">
        <f>SIN(2*PI()*$C$3*B1929)</f>
        <v/>
      </c>
      <c r="I1929" s="26">
        <f>E1929*G1929+F1929*H1929</f>
        <v/>
      </c>
    </row>
    <row r="1930">
      <c r="A1930" s="7" t="n">
        <v>1923</v>
      </c>
      <c r="B1930" s="26">
        <f>(A1930-1)/2000*$C$2</f>
        <v/>
      </c>
      <c r="C1930" s="7">
        <f>INDEX(Bits!$E$25:$E$124,INT(B1930)+1)</f>
        <v/>
      </c>
      <c r="D1930" s="7">
        <f>MAX(1,MIN(INT(B1930/$C$4)+1,$C$5))</f>
        <v/>
      </c>
      <c r="E1930" s="26">
        <f>IF($C$5=0,0,INDEX(Symboles!$G$6:$G$101,D1930))</f>
        <v/>
      </c>
      <c r="F1930" s="26">
        <f>IF($C$5=0,0,INDEX(Symboles!$H$6:$H$101,D1930))</f>
        <v/>
      </c>
      <c r="G1930" s="26">
        <f>COS(2*PI()*$C$3*B1930)</f>
        <v/>
      </c>
      <c r="H1930" s="26">
        <f>SIN(2*PI()*$C$3*B1930)</f>
        <v/>
      </c>
      <c r="I1930" s="26">
        <f>E1930*G1930+F1930*H1930</f>
        <v/>
      </c>
    </row>
    <row r="1931">
      <c r="A1931" s="7" t="n">
        <v>1924</v>
      </c>
      <c r="B1931" s="26">
        <f>(A1931-1)/2000*$C$2</f>
        <v/>
      </c>
      <c r="C1931" s="7">
        <f>INDEX(Bits!$E$25:$E$124,INT(B1931)+1)</f>
        <v/>
      </c>
      <c r="D1931" s="7">
        <f>MAX(1,MIN(INT(B1931/$C$4)+1,$C$5))</f>
        <v/>
      </c>
      <c r="E1931" s="26">
        <f>IF($C$5=0,0,INDEX(Symboles!$G$6:$G$101,D1931))</f>
        <v/>
      </c>
      <c r="F1931" s="26">
        <f>IF($C$5=0,0,INDEX(Symboles!$H$6:$H$101,D1931))</f>
        <v/>
      </c>
      <c r="G1931" s="26">
        <f>COS(2*PI()*$C$3*B1931)</f>
        <v/>
      </c>
      <c r="H1931" s="26">
        <f>SIN(2*PI()*$C$3*B1931)</f>
        <v/>
      </c>
      <c r="I1931" s="26">
        <f>E1931*G1931+F1931*H1931</f>
        <v/>
      </c>
    </row>
    <row r="1932">
      <c r="A1932" s="7" t="n">
        <v>1925</v>
      </c>
      <c r="B1932" s="26">
        <f>(A1932-1)/2000*$C$2</f>
        <v/>
      </c>
      <c r="C1932" s="7">
        <f>INDEX(Bits!$E$25:$E$124,INT(B1932)+1)</f>
        <v/>
      </c>
      <c r="D1932" s="7">
        <f>MAX(1,MIN(INT(B1932/$C$4)+1,$C$5))</f>
        <v/>
      </c>
      <c r="E1932" s="26">
        <f>IF($C$5=0,0,INDEX(Symboles!$G$6:$G$101,D1932))</f>
        <v/>
      </c>
      <c r="F1932" s="26">
        <f>IF($C$5=0,0,INDEX(Symboles!$H$6:$H$101,D1932))</f>
        <v/>
      </c>
      <c r="G1932" s="26">
        <f>COS(2*PI()*$C$3*B1932)</f>
        <v/>
      </c>
      <c r="H1932" s="26">
        <f>SIN(2*PI()*$C$3*B1932)</f>
        <v/>
      </c>
      <c r="I1932" s="26">
        <f>E1932*G1932+F1932*H1932</f>
        <v/>
      </c>
    </row>
    <row r="1933">
      <c r="A1933" s="7" t="n">
        <v>1926</v>
      </c>
      <c r="B1933" s="26">
        <f>(A1933-1)/2000*$C$2</f>
        <v/>
      </c>
      <c r="C1933" s="7">
        <f>INDEX(Bits!$E$25:$E$124,INT(B1933)+1)</f>
        <v/>
      </c>
      <c r="D1933" s="7">
        <f>MAX(1,MIN(INT(B1933/$C$4)+1,$C$5))</f>
        <v/>
      </c>
      <c r="E1933" s="26">
        <f>IF($C$5=0,0,INDEX(Symboles!$G$6:$G$101,D1933))</f>
        <v/>
      </c>
      <c r="F1933" s="26">
        <f>IF($C$5=0,0,INDEX(Symboles!$H$6:$H$101,D1933))</f>
        <v/>
      </c>
      <c r="G1933" s="26">
        <f>COS(2*PI()*$C$3*B1933)</f>
        <v/>
      </c>
      <c r="H1933" s="26">
        <f>SIN(2*PI()*$C$3*B1933)</f>
        <v/>
      </c>
      <c r="I1933" s="26">
        <f>E1933*G1933+F1933*H1933</f>
        <v/>
      </c>
    </row>
    <row r="1934">
      <c r="A1934" s="7" t="n">
        <v>1927</v>
      </c>
      <c r="B1934" s="26">
        <f>(A1934-1)/2000*$C$2</f>
        <v/>
      </c>
      <c r="C1934" s="7">
        <f>INDEX(Bits!$E$25:$E$124,INT(B1934)+1)</f>
        <v/>
      </c>
      <c r="D1934" s="7">
        <f>MAX(1,MIN(INT(B1934/$C$4)+1,$C$5))</f>
        <v/>
      </c>
      <c r="E1934" s="26">
        <f>IF($C$5=0,0,INDEX(Symboles!$G$6:$G$101,D1934))</f>
        <v/>
      </c>
      <c r="F1934" s="26">
        <f>IF($C$5=0,0,INDEX(Symboles!$H$6:$H$101,D1934))</f>
        <v/>
      </c>
      <c r="G1934" s="26">
        <f>COS(2*PI()*$C$3*B1934)</f>
        <v/>
      </c>
      <c r="H1934" s="26">
        <f>SIN(2*PI()*$C$3*B1934)</f>
        <v/>
      </c>
      <c r="I1934" s="26">
        <f>E1934*G1934+F1934*H1934</f>
        <v/>
      </c>
    </row>
    <row r="1935">
      <c r="A1935" s="7" t="n">
        <v>1928</v>
      </c>
      <c r="B1935" s="26">
        <f>(A1935-1)/2000*$C$2</f>
        <v/>
      </c>
      <c r="C1935" s="7">
        <f>INDEX(Bits!$E$25:$E$124,INT(B1935)+1)</f>
        <v/>
      </c>
      <c r="D1935" s="7">
        <f>MAX(1,MIN(INT(B1935/$C$4)+1,$C$5))</f>
        <v/>
      </c>
      <c r="E1935" s="26">
        <f>IF($C$5=0,0,INDEX(Symboles!$G$6:$G$101,D1935))</f>
        <v/>
      </c>
      <c r="F1935" s="26">
        <f>IF($C$5=0,0,INDEX(Symboles!$H$6:$H$101,D1935))</f>
        <v/>
      </c>
      <c r="G1935" s="26">
        <f>COS(2*PI()*$C$3*B1935)</f>
        <v/>
      </c>
      <c r="H1935" s="26">
        <f>SIN(2*PI()*$C$3*B1935)</f>
        <v/>
      </c>
      <c r="I1935" s="26">
        <f>E1935*G1935+F1935*H1935</f>
        <v/>
      </c>
    </row>
    <row r="1936">
      <c r="A1936" s="7" t="n">
        <v>1929</v>
      </c>
      <c r="B1936" s="26">
        <f>(A1936-1)/2000*$C$2</f>
        <v/>
      </c>
      <c r="C1936" s="7">
        <f>INDEX(Bits!$E$25:$E$124,INT(B1936)+1)</f>
        <v/>
      </c>
      <c r="D1936" s="7">
        <f>MAX(1,MIN(INT(B1936/$C$4)+1,$C$5))</f>
        <v/>
      </c>
      <c r="E1936" s="26">
        <f>IF($C$5=0,0,INDEX(Symboles!$G$6:$G$101,D1936))</f>
        <v/>
      </c>
      <c r="F1936" s="26">
        <f>IF($C$5=0,0,INDEX(Symboles!$H$6:$H$101,D1936))</f>
        <v/>
      </c>
      <c r="G1936" s="26">
        <f>COS(2*PI()*$C$3*B1936)</f>
        <v/>
      </c>
      <c r="H1936" s="26">
        <f>SIN(2*PI()*$C$3*B1936)</f>
        <v/>
      </c>
      <c r="I1936" s="26">
        <f>E1936*G1936+F1936*H1936</f>
        <v/>
      </c>
    </row>
    <row r="1937">
      <c r="A1937" s="7" t="n">
        <v>1930</v>
      </c>
      <c r="B1937" s="26">
        <f>(A1937-1)/2000*$C$2</f>
        <v/>
      </c>
      <c r="C1937" s="7">
        <f>INDEX(Bits!$E$25:$E$124,INT(B1937)+1)</f>
        <v/>
      </c>
      <c r="D1937" s="7">
        <f>MAX(1,MIN(INT(B1937/$C$4)+1,$C$5))</f>
        <v/>
      </c>
      <c r="E1937" s="26">
        <f>IF($C$5=0,0,INDEX(Symboles!$G$6:$G$101,D1937))</f>
        <v/>
      </c>
      <c r="F1937" s="26">
        <f>IF($C$5=0,0,INDEX(Symboles!$H$6:$H$101,D1937))</f>
        <v/>
      </c>
      <c r="G1937" s="26">
        <f>COS(2*PI()*$C$3*B1937)</f>
        <v/>
      </c>
      <c r="H1937" s="26">
        <f>SIN(2*PI()*$C$3*B1937)</f>
        <v/>
      </c>
      <c r="I1937" s="26">
        <f>E1937*G1937+F1937*H1937</f>
        <v/>
      </c>
    </row>
    <row r="1938">
      <c r="A1938" s="7" t="n">
        <v>1931</v>
      </c>
      <c r="B1938" s="26">
        <f>(A1938-1)/2000*$C$2</f>
        <v/>
      </c>
      <c r="C1938" s="7">
        <f>INDEX(Bits!$E$25:$E$124,INT(B1938)+1)</f>
        <v/>
      </c>
      <c r="D1938" s="7">
        <f>MAX(1,MIN(INT(B1938/$C$4)+1,$C$5))</f>
        <v/>
      </c>
      <c r="E1938" s="26">
        <f>IF($C$5=0,0,INDEX(Symboles!$G$6:$G$101,D1938))</f>
        <v/>
      </c>
      <c r="F1938" s="26">
        <f>IF($C$5=0,0,INDEX(Symboles!$H$6:$H$101,D1938))</f>
        <v/>
      </c>
      <c r="G1938" s="26">
        <f>COS(2*PI()*$C$3*B1938)</f>
        <v/>
      </c>
      <c r="H1938" s="26">
        <f>SIN(2*PI()*$C$3*B1938)</f>
        <v/>
      </c>
      <c r="I1938" s="26">
        <f>E1938*G1938+F1938*H1938</f>
        <v/>
      </c>
    </row>
    <row r="1939">
      <c r="A1939" s="7" t="n">
        <v>1932</v>
      </c>
      <c r="B1939" s="26">
        <f>(A1939-1)/2000*$C$2</f>
        <v/>
      </c>
      <c r="C1939" s="7">
        <f>INDEX(Bits!$E$25:$E$124,INT(B1939)+1)</f>
        <v/>
      </c>
      <c r="D1939" s="7">
        <f>MAX(1,MIN(INT(B1939/$C$4)+1,$C$5))</f>
        <v/>
      </c>
      <c r="E1939" s="26">
        <f>IF($C$5=0,0,INDEX(Symboles!$G$6:$G$101,D1939))</f>
        <v/>
      </c>
      <c r="F1939" s="26">
        <f>IF($C$5=0,0,INDEX(Symboles!$H$6:$H$101,D1939))</f>
        <v/>
      </c>
      <c r="G1939" s="26">
        <f>COS(2*PI()*$C$3*B1939)</f>
        <v/>
      </c>
      <c r="H1939" s="26">
        <f>SIN(2*PI()*$C$3*B1939)</f>
        <v/>
      </c>
      <c r="I1939" s="26">
        <f>E1939*G1939+F1939*H1939</f>
        <v/>
      </c>
    </row>
    <row r="1940">
      <c r="A1940" s="7" t="n">
        <v>1933</v>
      </c>
      <c r="B1940" s="26">
        <f>(A1940-1)/2000*$C$2</f>
        <v/>
      </c>
      <c r="C1940" s="7">
        <f>INDEX(Bits!$E$25:$E$124,INT(B1940)+1)</f>
        <v/>
      </c>
      <c r="D1940" s="7">
        <f>MAX(1,MIN(INT(B1940/$C$4)+1,$C$5))</f>
        <v/>
      </c>
      <c r="E1940" s="26">
        <f>IF($C$5=0,0,INDEX(Symboles!$G$6:$G$101,D1940))</f>
        <v/>
      </c>
      <c r="F1940" s="26">
        <f>IF($C$5=0,0,INDEX(Symboles!$H$6:$H$101,D1940))</f>
        <v/>
      </c>
      <c r="G1940" s="26">
        <f>COS(2*PI()*$C$3*B1940)</f>
        <v/>
      </c>
      <c r="H1940" s="26">
        <f>SIN(2*PI()*$C$3*B1940)</f>
        <v/>
      </c>
      <c r="I1940" s="26">
        <f>E1940*G1940+F1940*H1940</f>
        <v/>
      </c>
    </row>
    <row r="1941">
      <c r="A1941" s="7" t="n">
        <v>1934</v>
      </c>
      <c r="B1941" s="26">
        <f>(A1941-1)/2000*$C$2</f>
        <v/>
      </c>
      <c r="C1941" s="7">
        <f>INDEX(Bits!$E$25:$E$124,INT(B1941)+1)</f>
        <v/>
      </c>
      <c r="D1941" s="7">
        <f>MAX(1,MIN(INT(B1941/$C$4)+1,$C$5))</f>
        <v/>
      </c>
      <c r="E1941" s="26">
        <f>IF($C$5=0,0,INDEX(Symboles!$G$6:$G$101,D1941))</f>
        <v/>
      </c>
      <c r="F1941" s="26">
        <f>IF($C$5=0,0,INDEX(Symboles!$H$6:$H$101,D1941))</f>
        <v/>
      </c>
      <c r="G1941" s="26">
        <f>COS(2*PI()*$C$3*B1941)</f>
        <v/>
      </c>
      <c r="H1941" s="26">
        <f>SIN(2*PI()*$C$3*B1941)</f>
        <v/>
      </c>
      <c r="I1941" s="26">
        <f>E1941*G1941+F1941*H1941</f>
        <v/>
      </c>
    </row>
    <row r="1942">
      <c r="A1942" s="7" t="n">
        <v>1935</v>
      </c>
      <c r="B1942" s="26">
        <f>(A1942-1)/2000*$C$2</f>
        <v/>
      </c>
      <c r="C1942" s="7">
        <f>INDEX(Bits!$E$25:$E$124,INT(B1942)+1)</f>
        <v/>
      </c>
      <c r="D1942" s="7">
        <f>MAX(1,MIN(INT(B1942/$C$4)+1,$C$5))</f>
        <v/>
      </c>
      <c r="E1942" s="26">
        <f>IF($C$5=0,0,INDEX(Symboles!$G$6:$G$101,D1942))</f>
        <v/>
      </c>
      <c r="F1942" s="26">
        <f>IF($C$5=0,0,INDEX(Symboles!$H$6:$H$101,D1942))</f>
        <v/>
      </c>
      <c r="G1942" s="26">
        <f>COS(2*PI()*$C$3*B1942)</f>
        <v/>
      </c>
      <c r="H1942" s="26">
        <f>SIN(2*PI()*$C$3*B1942)</f>
        <v/>
      </c>
      <c r="I1942" s="26">
        <f>E1942*G1942+F1942*H1942</f>
        <v/>
      </c>
    </row>
    <row r="1943">
      <c r="A1943" s="7" t="n">
        <v>1936</v>
      </c>
      <c r="B1943" s="26">
        <f>(A1943-1)/2000*$C$2</f>
        <v/>
      </c>
      <c r="C1943" s="7">
        <f>INDEX(Bits!$E$25:$E$124,INT(B1943)+1)</f>
        <v/>
      </c>
      <c r="D1943" s="7">
        <f>MAX(1,MIN(INT(B1943/$C$4)+1,$C$5))</f>
        <v/>
      </c>
      <c r="E1943" s="26">
        <f>IF($C$5=0,0,INDEX(Symboles!$G$6:$G$101,D1943))</f>
        <v/>
      </c>
      <c r="F1943" s="26">
        <f>IF($C$5=0,0,INDEX(Symboles!$H$6:$H$101,D1943))</f>
        <v/>
      </c>
      <c r="G1943" s="26">
        <f>COS(2*PI()*$C$3*B1943)</f>
        <v/>
      </c>
      <c r="H1943" s="26">
        <f>SIN(2*PI()*$C$3*B1943)</f>
        <v/>
      </c>
      <c r="I1943" s="26">
        <f>E1943*G1943+F1943*H1943</f>
        <v/>
      </c>
    </row>
    <row r="1944">
      <c r="A1944" s="7" t="n">
        <v>1937</v>
      </c>
      <c r="B1944" s="26">
        <f>(A1944-1)/2000*$C$2</f>
        <v/>
      </c>
      <c r="C1944" s="7">
        <f>INDEX(Bits!$E$25:$E$124,INT(B1944)+1)</f>
        <v/>
      </c>
      <c r="D1944" s="7">
        <f>MAX(1,MIN(INT(B1944/$C$4)+1,$C$5))</f>
        <v/>
      </c>
      <c r="E1944" s="26">
        <f>IF($C$5=0,0,INDEX(Symboles!$G$6:$G$101,D1944))</f>
        <v/>
      </c>
      <c r="F1944" s="26">
        <f>IF($C$5=0,0,INDEX(Symboles!$H$6:$H$101,D1944))</f>
        <v/>
      </c>
      <c r="G1944" s="26">
        <f>COS(2*PI()*$C$3*B1944)</f>
        <v/>
      </c>
      <c r="H1944" s="26">
        <f>SIN(2*PI()*$C$3*B1944)</f>
        <v/>
      </c>
      <c r="I1944" s="26">
        <f>E1944*G1944+F1944*H1944</f>
        <v/>
      </c>
    </row>
    <row r="1945">
      <c r="A1945" s="7" t="n">
        <v>1938</v>
      </c>
      <c r="B1945" s="26">
        <f>(A1945-1)/2000*$C$2</f>
        <v/>
      </c>
      <c r="C1945" s="7">
        <f>INDEX(Bits!$E$25:$E$124,INT(B1945)+1)</f>
        <v/>
      </c>
      <c r="D1945" s="7">
        <f>MAX(1,MIN(INT(B1945/$C$4)+1,$C$5))</f>
        <v/>
      </c>
      <c r="E1945" s="26">
        <f>IF($C$5=0,0,INDEX(Symboles!$G$6:$G$101,D1945))</f>
        <v/>
      </c>
      <c r="F1945" s="26">
        <f>IF($C$5=0,0,INDEX(Symboles!$H$6:$H$101,D1945))</f>
        <v/>
      </c>
      <c r="G1945" s="26">
        <f>COS(2*PI()*$C$3*B1945)</f>
        <v/>
      </c>
      <c r="H1945" s="26">
        <f>SIN(2*PI()*$C$3*B1945)</f>
        <v/>
      </c>
      <c r="I1945" s="26">
        <f>E1945*G1945+F1945*H1945</f>
        <v/>
      </c>
    </row>
    <row r="1946">
      <c r="A1946" s="7" t="n">
        <v>1939</v>
      </c>
      <c r="B1946" s="26">
        <f>(A1946-1)/2000*$C$2</f>
        <v/>
      </c>
      <c r="C1946" s="7">
        <f>INDEX(Bits!$E$25:$E$124,INT(B1946)+1)</f>
        <v/>
      </c>
      <c r="D1946" s="7">
        <f>MAX(1,MIN(INT(B1946/$C$4)+1,$C$5))</f>
        <v/>
      </c>
      <c r="E1946" s="26">
        <f>IF($C$5=0,0,INDEX(Symboles!$G$6:$G$101,D1946))</f>
        <v/>
      </c>
      <c r="F1946" s="26">
        <f>IF($C$5=0,0,INDEX(Symboles!$H$6:$H$101,D1946))</f>
        <v/>
      </c>
      <c r="G1946" s="26">
        <f>COS(2*PI()*$C$3*B1946)</f>
        <v/>
      </c>
      <c r="H1946" s="26">
        <f>SIN(2*PI()*$C$3*B1946)</f>
        <v/>
      </c>
      <c r="I1946" s="26">
        <f>E1946*G1946+F1946*H1946</f>
        <v/>
      </c>
    </row>
    <row r="1947">
      <c r="A1947" s="7" t="n">
        <v>1940</v>
      </c>
      <c r="B1947" s="26">
        <f>(A1947-1)/2000*$C$2</f>
        <v/>
      </c>
      <c r="C1947" s="7">
        <f>INDEX(Bits!$E$25:$E$124,INT(B1947)+1)</f>
        <v/>
      </c>
      <c r="D1947" s="7">
        <f>MAX(1,MIN(INT(B1947/$C$4)+1,$C$5))</f>
        <v/>
      </c>
      <c r="E1947" s="26">
        <f>IF($C$5=0,0,INDEX(Symboles!$G$6:$G$101,D1947))</f>
        <v/>
      </c>
      <c r="F1947" s="26">
        <f>IF($C$5=0,0,INDEX(Symboles!$H$6:$H$101,D1947))</f>
        <v/>
      </c>
      <c r="G1947" s="26">
        <f>COS(2*PI()*$C$3*B1947)</f>
        <v/>
      </c>
      <c r="H1947" s="26">
        <f>SIN(2*PI()*$C$3*B1947)</f>
        <v/>
      </c>
      <c r="I1947" s="26">
        <f>E1947*G1947+F1947*H1947</f>
        <v/>
      </c>
    </row>
    <row r="1948">
      <c r="A1948" s="7" t="n">
        <v>1941</v>
      </c>
      <c r="B1948" s="26">
        <f>(A1948-1)/2000*$C$2</f>
        <v/>
      </c>
      <c r="C1948" s="7">
        <f>INDEX(Bits!$E$25:$E$124,INT(B1948)+1)</f>
        <v/>
      </c>
      <c r="D1948" s="7">
        <f>MAX(1,MIN(INT(B1948/$C$4)+1,$C$5))</f>
        <v/>
      </c>
      <c r="E1948" s="26">
        <f>IF($C$5=0,0,INDEX(Symboles!$G$6:$G$101,D1948))</f>
        <v/>
      </c>
      <c r="F1948" s="26">
        <f>IF($C$5=0,0,INDEX(Symboles!$H$6:$H$101,D1948))</f>
        <v/>
      </c>
      <c r="G1948" s="26">
        <f>COS(2*PI()*$C$3*B1948)</f>
        <v/>
      </c>
      <c r="H1948" s="26">
        <f>SIN(2*PI()*$C$3*B1948)</f>
        <v/>
      </c>
      <c r="I1948" s="26">
        <f>E1948*G1948+F1948*H1948</f>
        <v/>
      </c>
    </row>
    <row r="1949">
      <c r="A1949" s="7" t="n">
        <v>1942</v>
      </c>
      <c r="B1949" s="26">
        <f>(A1949-1)/2000*$C$2</f>
        <v/>
      </c>
      <c r="C1949" s="7">
        <f>INDEX(Bits!$E$25:$E$124,INT(B1949)+1)</f>
        <v/>
      </c>
      <c r="D1949" s="7">
        <f>MAX(1,MIN(INT(B1949/$C$4)+1,$C$5))</f>
        <v/>
      </c>
      <c r="E1949" s="26">
        <f>IF($C$5=0,0,INDEX(Symboles!$G$6:$G$101,D1949))</f>
        <v/>
      </c>
      <c r="F1949" s="26">
        <f>IF($C$5=0,0,INDEX(Symboles!$H$6:$H$101,D1949))</f>
        <v/>
      </c>
      <c r="G1949" s="26">
        <f>COS(2*PI()*$C$3*B1949)</f>
        <v/>
      </c>
      <c r="H1949" s="26">
        <f>SIN(2*PI()*$C$3*B1949)</f>
        <v/>
      </c>
      <c r="I1949" s="26">
        <f>E1949*G1949+F1949*H1949</f>
        <v/>
      </c>
    </row>
    <row r="1950">
      <c r="A1950" s="7" t="n">
        <v>1943</v>
      </c>
      <c r="B1950" s="26">
        <f>(A1950-1)/2000*$C$2</f>
        <v/>
      </c>
      <c r="C1950" s="7">
        <f>INDEX(Bits!$E$25:$E$124,INT(B1950)+1)</f>
        <v/>
      </c>
      <c r="D1950" s="7">
        <f>MAX(1,MIN(INT(B1950/$C$4)+1,$C$5))</f>
        <v/>
      </c>
      <c r="E1950" s="26">
        <f>IF($C$5=0,0,INDEX(Symboles!$G$6:$G$101,D1950))</f>
        <v/>
      </c>
      <c r="F1950" s="26">
        <f>IF($C$5=0,0,INDEX(Symboles!$H$6:$H$101,D1950))</f>
        <v/>
      </c>
      <c r="G1950" s="26">
        <f>COS(2*PI()*$C$3*B1950)</f>
        <v/>
      </c>
      <c r="H1950" s="26">
        <f>SIN(2*PI()*$C$3*B1950)</f>
        <v/>
      </c>
      <c r="I1950" s="26">
        <f>E1950*G1950+F1950*H1950</f>
        <v/>
      </c>
    </row>
    <row r="1951">
      <c r="A1951" s="7" t="n">
        <v>1944</v>
      </c>
      <c r="B1951" s="26">
        <f>(A1951-1)/2000*$C$2</f>
        <v/>
      </c>
      <c r="C1951" s="7">
        <f>INDEX(Bits!$E$25:$E$124,INT(B1951)+1)</f>
        <v/>
      </c>
      <c r="D1951" s="7">
        <f>MAX(1,MIN(INT(B1951/$C$4)+1,$C$5))</f>
        <v/>
      </c>
      <c r="E1951" s="26">
        <f>IF($C$5=0,0,INDEX(Symboles!$G$6:$G$101,D1951))</f>
        <v/>
      </c>
      <c r="F1951" s="26">
        <f>IF($C$5=0,0,INDEX(Symboles!$H$6:$H$101,D1951))</f>
        <v/>
      </c>
      <c r="G1951" s="26">
        <f>COS(2*PI()*$C$3*B1951)</f>
        <v/>
      </c>
      <c r="H1951" s="26">
        <f>SIN(2*PI()*$C$3*B1951)</f>
        <v/>
      </c>
      <c r="I1951" s="26">
        <f>E1951*G1951+F1951*H1951</f>
        <v/>
      </c>
    </row>
    <row r="1952">
      <c r="A1952" s="7" t="n">
        <v>1945</v>
      </c>
      <c r="B1952" s="26">
        <f>(A1952-1)/2000*$C$2</f>
        <v/>
      </c>
      <c r="C1952" s="7">
        <f>INDEX(Bits!$E$25:$E$124,INT(B1952)+1)</f>
        <v/>
      </c>
      <c r="D1952" s="7">
        <f>MAX(1,MIN(INT(B1952/$C$4)+1,$C$5))</f>
        <v/>
      </c>
      <c r="E1952" s="26">
        <f>IF($C$5=0,0,INDEX(Symboles!$G$6:$G$101,D1952))</f>
        <v/>
      </c>
      <c r="F1952" s="26">
        <f>IF($C$5=0,0,INDEX(Symboles!$H$6:$H$101,D1952))</f>
        <v/>
      </c>
      <c r="G1952" s="26">
        <f>COS(2*PI()*$C$3*B1952)</f>
        <v/>
      </c>
      <c r="H1952" s="26">
        <f>SIN(2*PI()*$C$3*B1952)</f>
        <v/>
      </c>
      <c r="I1952" s="26">
        <f>E1952*G1952+F1952*H1952</f>
        <v/>
      </c>
    </row>
    <row r="1953">
      <c r="A1953" s="7" t="n">
        <v>1946</v>
      </c>
      <c r="B1953" s="26">
        <f>(A1953-1)/2000*$C$2</f>
        <v/>
      </c>
      <c r="C1953" s="7">
        <f>INDEX(Bits!$E$25:$E$124,INT(B1953)+1)</f>
        <v/>
      </c>
      <c r="D1953" s="7">
        <f>MAX(1,MIN(INT(B1953/$C$4)+1,$C$5))</f>
        <v/>
      </c>
      <c r="E1953" s="26">
        <f>IF($C$5=0,0,INDEX(Symboles!$G$6:$G$101,D1953))</f>
        <v/>
      </c>
      <c r="F1953" s="26">
        <f>IF($C$5=0,0,INDEX(Symboles!$H$6:$H$101,D1953))</f>
        <v/>
      </c>
      <c r="G1953" s="26">
        <f>COS(2*PI()*$C$3*B1953)</f>
        <v/>
      </c>
      <c r="H1953" s="26">
        <f>SIN(2*PI()*$C$3*B1953)</f>
        <v/>
      </c>
      <c r="I1953" s="26">
        <f>E1953*G1953+F1953*H1953</f>
        <v/>
      </c>
    </row>
    <row r="1954">
      <c r="A1954" s="7" t="n">
        <v>1947</v>
      </c>
      <c r="B1954" s="26">
        <f>(A1954-1)/2000*$C$2</f>
        <v/>
      </c>
      <c r="C1954" s="7">
        <f>INDEX(Bits!$E$25:$E$124,INT(B1954)+1)</f>
        <v/>
      </c>
      <c r="D1954" s="7">
        <f>MAX(1,MIN(INT(B1954/$C$4)+1,$C$5))</f>
        <v/>
      </c>
      <c r="E1954" s="26">
        <f>IF($C$5=0,0,INDEX(Symboles!$G$6:$G$101,D1954))</f>
        <v/>
      </c>
      <c r="F1954" s="26">
        <f>IF($C$5=0,0,INDEX(Symboles!$H$6:$H$101,D1954))</f>
        <v/>
      </c>
      <c r="G1954" s="26">
        <f>COS(2*PI()*$C$3*B1954)</f>
        <v/>
      </c>
      <c r="H1954" s="26">
        <f>SIN(2*PI()*$C$3*B1954)</f>
        <v/>
      </c>
      <c r="I1954" s="26">
        <f>E1954*G1954+F1954*H1954</f>
        <v/>
      </c>
    </row>
    <row r="1955">
      <c r="A1955" s="7" t="n">
        <v>1948</v>
      </c>
      <c r="B1955" s="26">
        <f>(A1955-1)/2000*$C$2</f>
        <v/>
      </c>
      <c r="C1955" s="7">
        <f>INDEX(Bits!$E$25:$E$124,INT(B1955)+1)</f>
        <v/>
      </c>
      <c r="D1955" s="7">
        <f>MAX(1,MIN(INT(B1955/$C$4)+1,$C$5))</f>
        <v/>
      </c>
      <c r="E1955" s="26">
        <f>IF($C$5=0,0,INDEX(Symboles!$G$6:$G$101,D1955))</f>
        <v/>
      </c>
      <c r="F1955" s="26">
        <f>IF($C$5=0,0,INDEX(Symboles!$H$6:$H$101,D1955))</f>
        <v/>
      </c>
      <c r="G1955" s="26">
        <f>COS(2*PI()*$C$3*B1955)</f>
        <v/>
      </c>
      <c r="H1955" s="26">
        <f>SIN(2*PI()*$C$3*B1955)</f>
        <v/>
      </c>
      <c r="I1955" s="26">
        <f>E1955*G1955+F1955*H1955</f>
        <v/>
      </c>
    </row>
    <row r="1956">
      <c r="A1956" s="7" t="n">
        <v>1949</v>
      </c>
      <c r="B1956" s="26">
        <f>(A1956-1)/2000*$C$2</f>
        <v/>
      </c>
      <c r="C1956" s="7">
        <f>INDEX(Bits!$E$25:$E$124,INT(B1956)+1)</f>
        <v/>
      </c>
      <c r="D1956" s="7">
        <f>MAX(1,MIN(INT(B1956/$C$4)+1,$C$5))</f>
        <v/>
      </c>
      <c r="E1956" s="26">
        <f>IF($C$5=0,0,INDEX(Symboles!$G$6:$G$101,D1956))</f>
        <v/>
      </c>
      <c r="F1956" s="26">
        <f>IF($C$5=0,0,INDEX(Symboles!$H$6:$H$101,D1956))</f>
        <v/>
      </c>
      <c r="G1956" s="26">
        <f>COS(2*PI()*$C$3*B1956)</f>
        <v/>
      </c>
      <c r="H1956" s="26">
        <f>SIN(2*PI()*$C$3*B1956)</f>
        <v/>
      </c>
      <c r="I1956" s="26">
        <f>E1956*G1956+F1956*H1956</f>
        <v/>
      </c>
    </row>
    <row r="1957">
      <c r="A1957" s="7" t="n">
        <v>1950</v>
      </c>
      <c r="B1957" s="26">
        <f>(A1957-1)/2000*$C$2</f>
        <v/>
      </c>
      <c r="C1957" s="7">
        <f>INDEX(Bits!$E$25:$E$124,INT(B1957)+1)</f>
        <v/>
      </c>
      <c r="D1957" s="7">
        <f>MAX(1,MIN(INT(B1957/$C$4)+1,$C$5))</f>
        <v/>
      </c>
      <c r="E1957" s="26">
        <f>IF($C$5=0,0,INDEX(Symboles!$G$6:$G$101,D1957))</f>
        <v/>
      </c>
      <c r="F1957" s="26">
        <f>IF($C$5=0,0,INDEX(Symboles!$H$6:$H$101,D1957))</f>
        <v/>
      </c>
      <c r="G1957" s="26">
        <f>COS(2*PI()*$C$3*B1957)</f>
        <v/>
      </c>
      <c r="H1957" s="26">
        <f>SIN(2*PI()*$C$3*B1957)</f>
        <v/>
      </c>
      <c r="I1957" s="26">
        <f>E1957*G1957+F1957*H1957</f>
        <v/>
      </c>
    </row>
    <row r="1958">
      <c r="A1958" s="7" t="n">
        <v>1951</v>
      </c>
      <c r="B1958" s="26">
        <f>(A1958-1)/2000*$C$2</f>
        <v/>
      </c>
      <c r="C1958" s="7">
        <f>INDEX(Bits!$E$25:$E$124,INT(B1958)+1)</f>
        <v/>
      </c>
      <c r="D1958" s="7">
        <f>MAX(1,MIN(INT(B1958/$C$4)+1,$C$5))</f>
        <v/>
      </c>
      <c r="E1958" s="26">
        <f>IF($C$5=0,0,INDEX(Symboles!$G$6:$G$101,D1958))</f>
        <v/>
      </c>
      <c r="F1958" s="26">
        <f>IF($C$5=0,0,INDEX(Symboles!$H$6:$H$101,D1958))</f>
        <v/>
      </c>
      <c r="G1958" s="26">
        <f>COS(2*PI()*$C$3*B1958)</f>
        <v/>
      </c>
      <c r="H1958" s="26">
        <f>SIN(2*PI()*$C$3*B1958)</f>
        <v/>
      </c>
      <c r="I1958" s="26">
        <f>E1958*G1958+F1958*H1958</f>
        <v/>
      </c>
    </row>
    <row r="1959">
      <c r="A1959" s="7" t="n">
        <v>1952</v>
      </c>
      <c r="B1959" s="26">
        <f>(A1959-1)/2000*$C$2</f>
        <v/>
      </c>
      <c r="C1959" s="7">
        <f>INDEX(Bits!$E$25:$E$124,INT(B1959)+1)</f>
        <v/>
      </c>
      <c r="D1959" s="7">
        <f>MAX(1,MIN(INT(B1959/$C$4)+1,$C$5))</f>
        <v/>
      </c>
      <c r="E1959" s="26">
        <f>IF($C$5=0,0,INDEX(Symboles!$G$6:$G$101,D1959))</f>
        <v/>
      </c>
      <c r="F1959" s="26">
        <f>IF($C$5=0,0,INDEX(Symboles!$H$6:$H$101,D1959))</f>
        <v/>
      </c>
      <c r="G1959" s="26">
        <f>COS(2*PI()*$C$3*B1959)</f>
        <v/>
      </c>
      <c r="H1959" s="26">
        <f>SIN(2*PI()*$C$3*B1959)</f>
        <v/>
      </c>
      <c r="I1959" s="26">
        <f>E1959*G1959+F1959*H1959</f>
        <v/>
      </c>
    </row>
    <row r="1960">
      <c r="A1960" s="7" t="n">
        <v>1953</v>
      </c>
      <c r="B1960" s="26">
        <f>(A1960-1)/2000*$C$2</f>
        <v/>
      </c>
      <c r="C1960" s="7">
        <f>INDEX(Bits!$E$25:$E$124,INT(B1960)+1)</f>
        <v/>
      </c>
      <c r="D1960" s="7">
        <f>MAX(1,MIN(INT(B1960/$C$4)+1,$C$5))</f>
        <v/>
      </c>
      <c r="E1960" s="26">
        <f>IF($C$5=0,0,INDEX(Symboles!$G$6:$G$101,D1960))</f>
        <v/>
      </c>
      <c r="F1960" s="26">
        <f>IF($C$5=0,0,INDEX(Symboles!$H$6:$H$101,D1960))</f>
        <v/>
      </c>
      <c r="G1960" s="26">
        <f>COS(2*PI()*$C$3*B1960)</f>
        <v/>
      </c>
      <c r="H1960" s="26">
        <f>SIN(2*PI()*$C$3*B1960)</f>
        <v/>
      </c>
      <c r="I1960" s="26">
        <f>E1960*G1960+F1960*H1960</f>
        <v/>
      </c>
    </row>
    <row r="1961">
      <c r="A1961" s="7" t="n">
        <v>1954</v>
      </c>
      <c r="B1961" s="26">
        <f>(A1961-1)/2000*$C$2</f>
        <v/>
      </c>
      <c r="C1961" s="7">
        <f>INDEX(Bits!$E$25:$E$124,INT(B1961)+1)</f>
        <v/>
      </c>
      <c r="D1961" s="7">
        <f>MAX(1,MIN(INT(B1961/$C$4)+1,$C$5))</f>
        <v/>
      </c>
      <c r="E1961" s="26">
        <f>IF($C$5=0,0,INDEX(Symboles!$G$6:$G$101,D1961))</f>
        <v/>
      </c>
      <c r="F1961" s="26">
        <f>IF($C$5=0,0,INDEX(Symboles!$H$6:$H$101,D1961))</f>
        <v/>
      </c>
      <c r="G1961" s="26">
        <f>COS(2*PI()*$C$3*B1961)</f>
        <v/>
      </c>
      <c r="H1961" s="26">
        <f>SIN(2*PI()*$C$3*B1961)</f>
        <v/>
      </c>
      <c r="I1961" s="26">
        <f>E1961*G1961+F1961*H1961</f>
        <v/>
      </c>
    </row>
    <row r="1962">
      <c r="A1962" s="7" t="n">
        <v>1955</v>
      </c>
      <c r="B1962" s="26">
        <f>(A1962-1)/2000*$C$2</f>
        <v/>
      </c>
      <c r="C1962" s="7">
        <f>INDEX(Bits!$E$25:$E$124,INT(B1962)+1)</f>
        <v/>
      </c>
      <c r="D1962" s="7">
        <f>MAX(1,MIN(INT(B1962/$C$4)+1,$C$5))</f>
        <v/>
      </c>
      <c r="E1962" s="26">
        <f>IF($C$5=0,0,INDEX(Symboles!$G$6:$G$101,D1962))</f>
        <v/>
      </c>
      <c r="F1962" s="26">
        <f>IF($C$5=0,0,INDEX(Symboles!$H$6:$H$101,D1962))</f>
        <v/>
      </c>
      <c r="G1962" s="26">
        <f>COS(2*PI()*$C$3*B1962)</f>
        <v/>
      </c>
      <c r="H1962" s="26">
        <f>SIN(2*PI()*$C$3*B1962)</f>
        <v/>
      </c>
      <c r="I1962" s="26">
        <f>E1962*G1962+F1962*H1962</f>
        <v/>
      </c>
    </row>
    <row r="1963">
      <c r="A1963" s="7" t="n">
        <v>1956</v>
      </c>
      <c r="B1963" s="26">
        <f>(A1963-1)/2000*$C$2</f>
        <v/>
      </c>
      <c r="C1963" s="7">
        <f>INDEX(Bits!$E$25:$E$124,INT(B1963)+1)</f>
        <v/>
      </c>
      <c r="D1963" s="7">
        <f>MAX(1,MIN(INT(B1963/$C$4)+1,$C$5))</f>
        <v/>
      </c>
      <c r="E1963" s="26">
        <f>IF($C$5=0,0,INDEX(Symboles!$G$6:$G$101,D1963))</f>
        <v/>
      </c>
      <c r="F1963" s="26">
        <f>IF($C$5=0,0,INDEX(Symboles!$H$6:$H$101,D1963))</f>
        <v/>
      </c>
      <c r="G1963" s="26">
        <f>COS(2*PI()*$C$3*B1963)</f>
        <v/>
      </c>
      <c r="H1963" s="26">
        <f>SIN(2*PI()*$C$3*B1963)</f>
        <v/>
      </c>
      <c r="I1963" s="26">
        <f>E1963*G1963+F1963*H1963</f>
        <v/>
      </c>
    </row>
    <row r="1964">
      <c r="A1964" s="7" t="n">
        <v>1957</v>
      </c>
      <c r="B1964" s="26">
        <f>(A1964-1)/2000*$C$2</f>
        <v/>
      </c>
      <c r="C1964" s="7">
        <f>INDEX(Bits!$E$25:$E$124,INT(B1964)+1)</f>
        <v/>
      </c>
      <c r="D1964" s="7">
        <f>MAX(1,MIN(INT(B1964/$C$4)+1,$C$5))</f>
        <v/>
      </c>
      <c r="E1964" s="26">
        <f>IF($C$5=0,0,INDEX(Symboles!$G$6:$G$101,D1964))</f>
        <v/>
      </c>
      <c r="F1964" s="26">
        <f>IF($C$5=0,0,INDEX(Symboles!$H$6:$H$101,D1964))</f>
        <v/>
      </c>
      <c r="G1964" s="26">
        <f>COS(2*PI()*$C$3*B1964)</f>
        <v/>
      </c>
      <c r="H1964" s="26">
        <f>SIN(2*PI()*$C$3*B1964)</f>
        <v/>
      </c>
      <c r="I1964" s="26">
        <f>E1964*G1964+F1964*H1964</f>
        <v/>
      </c>
    </row>
    <row r="1965">
      <c r="A1965" s="7" t="n">
        <v>1958</v>
      </c>
      <c r="B1965" s="26">
        <f>(A1965-1)/2000*$C$2</f>
        <v/>
      </c>
      <c r="C1965" s="7">
        <f>INDEX(Bits!$E$25:$E$124,INT(B1965)+1)</f>
        <v/>
      </c>
      <c r="D1965" s="7">
        <f>MAX(1,MIN(INT(B1965/$C$4)+1,$C$5))</f>
        <v/>
      </c>
      <c r="E1965" s="26">
        <f>IF($C$5=0,0,INDEX(Symboles!$G$6:$G$101,D1965))</f>
        <v/>
      </c>
      <c r="F1965" s="26">
        <f>IF($C$5=0,0,INDEX(Symboles!$H$6:$H$101,D1965))</f>
        <v/>
      </c>
      <c r="G1965" s="26">
        <f>COS(2*PI()*$C$3*B1965)</f>
        <v/>
      </c>
      <c r="H1965" s="26">
        <f>SIN(2*PI()*$C$3*B1965)</f>
        <v/>
      </c>
      <c r="I1965" s="26">
        <f>E1965*G1965+F1965*H1965</f>
        <v/>
      </c>
    </row>
    <row r="1966">
      <c r="A1966" s="7" t="n">
        <v>1959</v>
      </c>
      <c r="B1966" s="26">
        <f>(A1966-1)/2000*$C$2</f>
        <v/>
      </c>
      <c r="C1966" s="7">
        <f>INDEX(Bits!$E$25:$E$124,INT(B1966)+1)</f>
        <v/>
      </c>
      <c r="D1966" s="7">
        <f>MAX(1,MIN(INT(B1966/$C$4)+1,$C$5))</f>
        <v/>
      </c>
      <c r="E1966" s="26">
        <f>IF($C$5=0,0,INDEX(Symboles!$G$6:$G$101,D1966))</f>
        <v/>
      </c>
      <c r="F1966" s="26">
        <f>IF($C$5=0,0,INDEX(Symboles!$H$6:$H$101,D1966))</f>
        <v/>
      </c>
      <c r="G1966" s="26">
        <f>COS(2*PI()*$C$3*B1966)</f>
        <v/>
      </c>
      <c r="H1966" s="26">
        <f>SIN(2*PI()*$C$3*B1966)</f>
        <v/>
      </c>
      <c r="I1966" s="26">
        <f>E1966*G1966+F1966*H1966</f>
        <v/>
      </c>
    </row>
    <row r="1967">
      <c r="A1967" s="7" t="n">
        <v>1960</v>
      </c>
      <c r="B1967" s="26">
        <f>(A1967-1)/2000*$C$2</f>
        <v/>
      </c>
      <c r="C1967" s="7">
        <f>INDEX(Bits!$E$25:$E$124,INT(B1967)+1)</f>
        <v/>
      </c>
      <c r="D1967" s="7">
        <f>MAX(1,MIN(INT(B1967/$C$4)+1,$C$5))</f>
        <v/>
      </c>
      <c r="E1967" s="26">
        <f>IF($C$5=0,0,INDEX(Symboles!$G$6:$G$101,D1967))</f>
        <v/>
      </c>
      <c r="F1967" s="26">
        <f>IF($C$5=0,0,INDEX(Symboles!$H$6:$H$101,D1967))</f>
        <v/>
      </c>
      <c r="G1967" s="26">
        <f>COS(2*PI()*$C$3*B1967)</f>
        <v/>
      </c>
      <c r="H1967" s="26">
        <f>SIN(2*PI()*$C$3*B1967)</f>
        <v/>
      </c>
      <c r="I1967" s="26">
        <f>E1967*G1967+F1967*H1967</f>
        <v/>
      </c>
    </row>
    <row r="1968">
      <c r="A1968" s="7" t="n">
        <v>1961</v>
      </c>
      <c r="B1968" s="26">
        <f>(A1968-1)/2000*$C$2</f>
        <v/>
      </c>
      <c r="C1968" s="7">
        <f>INDEX(Bits!$E$25:$E$124,INT(B1968)+1)</f>
        <v/>
      </c>
      <c r="D1968" s="7">
        <f>MAX(1,MIN(INT(B1968/$C$4)+1,$C$5))</f>
        <v/>
      </c>
      <c r="E1968" s="26">
        <f>IF($C$5=0,0,INDEX(Symboles!$G$6:$G$101,D1968))</f>
        <v/>
      </c>
      <c r="F1968" s="26">
        <f>IF($C$5=0,0,INDEX(Symboles!$H$6:$H$101,D1968))</f>
        <v/>
      </c>
      <c r="G1968" s="26">
        <f>COS(2*PI()*$C$3*B1968)</f>
        <v/>
      </c>
      <c r="H1968" s="26">
        <f>SIN(2*PI()*$C$3*B1968)</f>
        <v/>
      </c>
      <c r="I1968" s="26">
        <f>E1968*G1968+F1968*H1968</f>
        <v/>
      </c>
    </row>
    <row r="1969">
      <c r="A1969" s="7" t="n">
        <v>1962</v>
      </c>
      <c r="B1969" s="26">
        <f>(A1969-1)/2000*$C$2</f>
        <v/>
      </c>
      <c r="C1969" s="7">
        <f>INDEX(Bits!$E$25:$E$124,INT(B1969)+1)</f>
        <v/>
      </c>
      <c r="D1969" s="7">
        <f>MAX(1,MIN(INT(B1969/$C$4)+1,$C$5))</f>
        <v/>
      </c>
      <c r="E1969" s="26">
        <f>IF($C$5=0,0,INDEX(Symboles!$G$6:$G$101,D1969))</f>
        <v/>
      </c>
      <c r="F1969" s="26">
        <f>IF($C$5=0,0,INDEX(Symboles!$H$6:$H$101,D1969))</f>
        <v/>
      </c>
      <c r="G1969" s="26">
        <f>COS(2*PI()*$C$3*B1969)</f>
        <v/>
      </c>
      <c r="H1969" s="26">
        <f>SIN(2*PI()*$C$3*B1969)</f>
        <v/>
      </c>
      <c r="I1969" s="26">
        <f>E1969*G1969+F1969*H1969</f>
        <v/>
      </c>
    </row>
    <row r="1970">
      <c r="A1970" s="7" t="n">
        <v>1963</v>
      </c>
      <c r="B1970" s="26">
        <f>(A1970-1)/2000*$C$2</f>
        <v/>
      </c>
      <c r="C1970" s="7">
        <f>INDEX(Bits!$E$25:$E$124,INT(B1970)+1)</f>
        <v/>
      </c>
      <c r="D1970" s="7">
        <f>MAX(1,MIN(INT(B1970/$C$4)+1,$C$5))</f>
        <v/>
      </c>
      <c r="E1970" s="26">
        <f>IF($C$5=0,0,INDEX(Symboles!$G$6:$G$101,D1970))</f>
        <v/>
      </c>
      <c r="F1970" s="26">
        <f>IF($C$5=0,0,INDEX(Symboles!$H$6:$H$101,D1970))</f>
        <v/>
      </c>
      <c r="G1970" s="26">
        <f>COS(2*PI()*$C$3*B1970)</f>
        <v/>
      </c>
      <c r="H1970" s="26">
        <f>SIN(2*PI()*$C$3*B1970)</f>
        <v/>
      </c>
      <c r="I1970" s="26">
        <f>E1970*G1970+F1970*H1970</f>
        <v/>
      </c>
    </row>
    <row r="1971">
      <c r="A1971" s="7" t="n">
        <v>1964</v>
      </c>
      <c r="B1971" s="26">
        <f>(A1971-1)/2000*$C$2</f>
        <v/>
      </c>
      <c r="C1971" s="7">
        <f>INDEX(Bits!$E$25:$E$124,INT(B1971)+1)</f>
        <v/>
      </c>
      <c r="D1971" s="7">
        <f>MAX(1,MIN(INT(B1971/$C$4)+1,$C$5))</f>
        <v/>
      </c>
      <c r="E1971" s="26">
        <f>IF($C$5=0,0,INDEX(Symboles!$G$6:$G$101,D1971))</f>
        <v/>
      </c>
      <c r="F1971" s="26">
        <f>IF($C$5=0,0,INDEX(Symboles!$H$6:$H$101,D1971))</f>
        <v/>
      </c>
      <c r="G1971" s="26">
        <f>COS(2*PI()*$C$3*B1971)</f>
        <v/>
      </c>
      <c r="H1971" s="26">
        <f>SIN(2*PI()*$C$3*B1971)</f>
        <v/>
      </c>
      <c r="I1971" s="26">
        <f>E1971*G1971+F1971*H1971</f>
        <v/>
      </c>
    </row>
    <row r="1972">
      <c r="A1972" s="7" t="n">
        <v>1965</v>
      </c>
      <c r="B1972" s="26">
        <f>(A1972-1)/2000*$C$2</f>
        <v/>
      </c>
      <c r="C1972" s="7">
        <f>INDEX(Bits!$E$25:$E$124,INT(B1972)+1)</f>
        <v/>
      </c>
      <c r="D1972" s="7">
        <f>MAX(1,MIN(INT(B1972/$C$4)+1,$C$5))</f>
        <v/>
      </c>
      <c r="E1972" s="26">
        <f>IF($C$5=0,0,INDEX(Symboles!$G$6:$G$101,D1972))</f>
        <v/>
      </c>
      <c r="F1972" s="26">
        <f>IF($C$5=0,0,INDEX(Symboles!$H$6:$H$101,D1972))</f>
        <v/>
      </c>
      <c r="G1972" s="26">
        <f>COS(2*PI()*$C$3*B1972)</f>
        <v/>
      </c>
      <c r="H1972" s="26">
        <f>SIN(2*PI()*$C$3*B1972)</f>
        <v/>
      </c>
      <c r="I1972" s="26">
        <f>E1972*G1972+F1972*H1972</f>
        <v/>
      </c>
    </row>
    <row r="1973">
      <c r="A1973" s="7" t="n">
        <v>1966</v>
      </c>
      <c r="B1973" s="26">
        <f>(A1973-1)/2000*$C$2</f>
        <v/>
      </c>
      <c r="C1973" s="7">
        <f>INDEX(Bits!$E$25:$E$124,INT(B1973)+1)</f>
        <v/>
      </c>
      <c r="D1973" s="7">
        <f>MAX(1,MIN(INT(B1973/$C$4)+1,$C$5))</f>
        <v/>
      </c>
      <c r="E1973" s="26">
        <f>IF($C$5=0,0,INDEX(Symboles!$G$6:$G$101,D1973))</f>
        <v/>
      </c>
      <c r="F1973" s="26">
        <f>IF($C$5=0,0,INDEX(Symboles!$H$6:$H$101,D1973))</f>
        <v/>
      </c>
      <c r="G1973" s="26">
        <f>COS(2*PI()*$C$3*B1973)</f>
        <v/>
      </c>
      <c r="H1973" s="26">
        <f>SIN(2*PI()*$C$3*B1973)</f>
        <v/>
      </c>
      <c r="I1973" s="26">
        <f>E1973*G1973+F1973*H1973</f>
        <v/>
      </c>
    </row>
    <row r="1974">
      <c r="A1974" s="7" t="n">
        <v>1967</v>
      </c>
      <c r="B1974" s="26">
        <f>(A1974-1)/2000*$C$2</f>
        <v/>
      </c>
      <c r="C1974" s="7">
        <f>INDEX(Bits!$E$25:$E$124,INT(B1974)+1)</f>
        <v/>
      </c>
      <c r="D1974" s="7">
        <f>MAX(1,MIN(INT(B1974/$C$4)+1,$C$5))</f>
        <v/>
      </c>
      <c r="E1974" s="26">
        <f>IF($C$5=0,0,INDEX(Symboles!$G$6:$G$101,D1974))</f>
        <v/>
      </c>
      <c r="F1974" s="26">
        <f>IF($C$5=0,0,INDEX(Symboles!$H$6:$H$101,D1974))</f>
        <v/>
      </c>
      <c r="G1974" s="26">
        <f>COS(2*PI()*$C$3*B1974)</f>
        <v/>
      </c>
      <c r="H1974" s="26">
        <f>SIN(2*PI()*$C$3*B1974)</f>
        <v/>
      </c>
      <c r="I1974" s="26">
        <f>E1974*G1974+F1974*H1974</f>
        <v/>
      </c>
    </row>
    <row r="1975">
      <c r="A1975" s="7" t="n">
        <v>1968</v>
      </c>
      <c r="B1975" s="26">
        <f>(A1975-1)/2000*$C$2</f>
        <v/>
      </c>
      <c r="C1975" s="7">
        <f>INDEX(Bits!$E$25:$E$124,INT(B1975)+1)</f>
        <v/>
      </c>
      <c r="D1975" s="7">
        <f>MAX(1,MIN(INT(B1975/$C$4)+1,$C$5))</f>
        <v/>
      </c>
      <c r="E1975" s="26">
        <f>IF($C$5=0,0,INDEX(Symboles!$G$6:$G$101,D1975))</f>
        <v/>
      </c>
      <c r="F1975" s="26">
        <f>IF($C$5=0,0,INDEX(Symboles!$H$6:$H$101,D1975))</f>
        <v/>
      </c>
      <c r="G1975" s="26">
        <f>COS(2*PI()*$C$3*B1975)</f>
        <v/>
      </c>
      <c r="H1975" s="26">
        <f>SIN(2*PI()*$C$3*B1975)</f>
        <v/>
      </c>
      <c r="I1975" s="26">
        <f>E1975*G1975+F1975*H1975</f>
        <v/>
      </c>
    </row>
    <row r="1976">
      <c r="A1976" s="7" t="n">
        <v>1969</v>
      </c>
      <c r="B1976" s="26">
        <f>(A1976-1)/2000*$C$2</f>
        <v/>
      </c>
      <c r="C1976" s="7">
        <f>INDEX(Bits!$E$25:$E$124,INT(B1976)+1)</f>
        <v/>
      </c>
      <c r="D1976" s="7">
        <f>MAX(1,MIN(INT(B1976/$C$4)+1,$C$5))</f>
        <v/>
      </c>
      <c r="E1976" s="26">
        <f>IF($C$5=0,0,INDEX(Symboles!$G$6:$G$101,D1976))</f>
        <v/>
      </c>
      <c r="F1976" s="26">
        <f>IF($C$5=0,0,INDEX(Symboles!$H$6:$H$101,D1976))</f>
        <v/>
      </c>
      <c r="G1976" s="26">
        <f>COS(2*PI()*$C$3*B1976)</f>
        <v/>
      </c>
      <c r="H1976" s="26">
        <f>SIN(2*PI()*$C$3*B1976)</f>
        <v/>
      </c>
      <c r="I1976" s="26">
        <f>E1976*G1976+F1976*H1976</f>
        <v/>
      </c>
    </row>
    <row r="1977">
      <c r="A1977" s="7" t="n">
        <v>1970</v>
      </c>
      <c r="B1977" s="26">
        <f>(A1977-1)/2000*$C$2</f>
        <v/>
      </c>
      <c r="C1977" s="7">
        <f>INDEX(Bits!$E$25:$E$124,INT(B1977)+1)</f>
        <v/>
      </c>
      <c r="D1977" s="7">
        <f>MAX(1,MIN(INT(B1977/$C$4)+1,$C$5))</f>
        <v/>
      </c>
      <c r="E1977" s="26">
        <f>IF($C$5=0,0,INDEX(Symboles!$G$6:$G$101,D1977))</f>
        <v/>
      </c>
      <c r="F1977" s="26">
        <f>IF($C$5=0,0,INDEX(Symboles!$H$6:$H$101,D1977))</f>
        <v/>
      </c>
      <c r="G1977" s="26">
        <f>COS(2*PI()*$C$3*B1977)</f>
        <v/>
      </c>
      <c r="H1977" s="26">
        <f>SIN(2*PI()*$C$3*B1977)</f>
        <v/>
      </c>
      <c r="I1977" s="26">
        <f>E1977*G1977+F1977*H1977</f>
        <v/>
      </c>
    </row>
    <row r="1978">
      <c r="A1978" s="7" t="n">
        <v>1971</v>
      </c>
      <c r="B1978" s="26">
        <f>(A1978-1)/2000*$C$2</f>
        <v/>
      </c>
      <c r="C1978" s="7">
        <f>INDEX(Bits!$E$25:$E$124,INT(B1978)+1)</f>
        <v/>
      </c>
      <c r="D1978" s="7">
        <f>MAX(1,MIN(INT(B1978/$C$4)+1,$C$5))</f>
        <v/>
      </c>
      <c r="E1978" s="26">
        <f>IF($C$5=0,0,INDEX(Symboles!$G$6:$G$101,D1978))</f>
        <v/>
      </c>
      <c r="F1978" s="26">
        <f>IF($C$5=0,0,INDEX(Symboles!$H$6:$H$101,D1978))</f>
        <v/>
      </c>
      <c r="G1978" s="26">
        <f>COS(2*PI()*$C$3*B1978)</f>
        <v/>
      </c>
      <c r="H1978" s="26">
        <f>SIN(2*PI()*$C$3*B1978)</f>
        <v/>
      </c>
      <c r="I1978" s="26">
        <f>E1978*G1978+F1978*H1978</f>
        <v/>
      </c>
    </row>
    <row r="1979">
      <c r="A1979" s="7" t="n">
        <v>1972</v>
      </c>
      <c r="B1979" s="26">
        <f>(A1979-1)/2000*$C$2</f>
        <v/>
      </c>
      <c r="C1979" s="7">
        <f>INDEX(Bits!$E$25:$E$124,INT(B1979)+1)</f>
        <v/>
      </c>
      <c r="D1979" s="7">
        <f>MAX(1,MIN(INT(B1979/$C$4)+1,$C$5))</f>
        <v/>
      </c>
      <c r="E1979" s="26">
        <f>IF($C$5=0,0,INDEX(Symboles!$G$6:$G$101,D1979))</f>
        <v/>
      </c>
      <c r="F1979" s="26">
        <f>IF($C$5=0,0,INDEX(Symboles!$H$6:$H$101,D1979))</f>
        <v/>
      </c>
      <c r="G1979" s="26">
        <f>COS(2*PI()*$C$3*B1979)</f>
        <v/>
      </c>
      <c r="H1979" s="26">
        <f>SIN(2*PI()*$C$3*B1979)</f>
        <v/>
      </c>
      <c r="I1979" s="26">
        <f>E1979*G1979+F1979*H1979</f>
        <v/>
      </c>
    </row>
    <row r="1980">
      <c r="A1980" s="7" t="n">
        <v>1973</v>
      </c>
      <c r="B1980" s="26">
        <f>(A1980-1)/2000*$C$2</f>
        <v/>
      </c>
      <c r="C1980" s="7">
        <f>INDEX(Bits!$E$25:$E$124,INT(B1980)+1)</f>
        <v/>
      </c>
      <c r="D1980" s="7">
        <f>MAX(1,MIN(INT(B1980/$C$4)+1,$C$5))</f>
        <v/>
      </c>
      <c r="E1980" s="26">
        <f>IF($C$5=0,0,INDEX(Symboles!$G$6:$G$101,D1980))</f>
        <v/>
      </c>
      <c r="F1980" s="26">
        <f>IF($C$5=0,0,INDEX(Symboles!$H$6:$H$101,D1980))</f>
        <v/>
      </c>
      <c r="G1980" s="26">
        <f>COS(2*PI()*$C$3*B1980)</f>
        <v/>
      </c>
      <c r="H1980" s="26">
        <f>SIN(2*PI()*$C$3*B1980)</f>
        <v/>
      </c>
      <c r="I1980" s="26">
        <f>E1980*G1980+F1980*H1980</f>
        <v/>
      </c>
    </row>
    <row r="1981">
      <c r="A1981" s="7" t="n">
        <v>1974</v>
      </c>
      <c r="B1981" s="26">
        <f>(A1981-1)/2000*$C$2</f>
        <v/>
      </c>
      <c r="C1981" s="7">
        <f>INDEX(Bits!$E$25:$E$124,INT(B1981)+1)</f>
        <v/>
      </c>
      <c r="D1981" s="7">
        <f>MAX(1,MIN(INT(B1981/$C$4)+1,$C$5))</f>
        <v/>
      </c>
      <c r="E1981" s="26">
        <f>IF($C$5=0,0,INDEX(Symboles!$G$6:$G$101,D1981))</f>
        <v/>
      </c>
      <c r="F1981" s="26">
        <f>IF($C$5=0,0,INDEX(Symboles!$H$6:$H$101,D1981))</f>
        <v/>
      </c>
      <c r="G1981" s="26">
        <f>COS(2*PI()*$C$3*B1981)</f>
        <v/>
      </c>
      <c r="H1981" s="26">
        <f>SIN(2*PI()*$C$3*B1981)</f>
        <v/>
      </c>
      <c r="I1981" s="26">
        <f>E1981*G1981+F1981*H1981</f>
        <v/>
      </c>
    </row>
    <row r="1982">
      <c r="A1982" s="7" t="n">
        <v>1975</v>
      </c>
      <c r="B1982" s="26">
        <f>(A1982-1)/2000*$C$2</f>
        <v/>
      </c>
      <c r="C1982" s="7">
        <f>INDEX(Bits!$E$25:$E$124,INT(B1982)+1)</f>
        <v/>
      </c>
      <c r="D1982" s="7">
        <f>MAX(1,MIN(INT(B1982/$C$4)+1,$C$5))</f>
        <v/>
      </c>
      <c r="E1982" s="26">
        <f>IF($C$5=0,0,INDEX(Symboles!$G$6:$G$101,D1982))</f>
        <v/>
      </c>
      <c r="F1982" s="26">
        <f>IF($C$5=0,0,INDEX(Symboles!$H$6:$H$101,D1982))</f>
        <v/>
      </c>
      <c r="G1982" s="26">
        <f>COS(2*PI()*$C$3*B1982)</f>
        <v/>
      </c>
      <c r="H1982" s="26">
        <f>SIN(2*PI()*$C$3*B1982)</f>
        <v/>
      </c>
      <c r="I1982" s="26">
        <f>E1982*G1982+F1982*H1982</f>
        <v/>
      </c>
    </row>
    <row r="1983">
      <c r="A1983" s="7" t="n">
        <v>1976</v>
      </c>
      <c r="B1983" s="26">
        <f>(A1983-1)/2000*$C$2</f>
        <v/>
      </c>
      <c r="C1983" s="7">
        <f>INDEX(Bits!$E$25:$E$124,INT(B1983)+1)</f>
        <v/>
      </c>
      <c r="D1983" s="7">
        <f>MAX(1,MIN(INT(B1983/$C$4)+1,$C$5))</f>
        <v/>
      </c>
      <c r="E1983" s="26">
        <f>IF($C$5=0,0,INDEX(Symboles!$G$6:$G$101,D1983))</f>
        <v/>
      </c>
      <c r="F1983" s="26">
        <f>IF($C$5=0,0,INDEX(Symboles!$H$6:$H$101,D1983))</f>
        <v/>
      </c>
      <c r="G1983" s="26">
        <f>COS(2*PI()*$C$3*B1983)</f>
        <v/>
      </c>
      <c r="H1983" s="26">
        <f>SIN(2*PI()*$C$3*B1983)</f>
        <v/>
      </c>
      <c r="I1983" s="26">
        <f>E1983*G1983+F1983*H1983</f>
        <v/>
      </c>
    </row>
    <row r="1984">
      <c r="A1984" s="7" t="n">
        <v>1977</v>
      </c>
      <c r="B1984" s="26">
        <f>(A1984-1)/2000*$C$2</f>
        <v/>
      </c>
      <c r="C1984" s="7">
        <f>INDEX(Bits!$E$25:$E$124,INT(B1984)+1)</f>
        <v/>
      </c>
      <c r="D1984" s="7">
        <f>MAX(1,MIN(INT(B1984/$C$4)+1,$C$5))</f>
        <v/>
      </c>
      <c r="E1984" s="26">
        <f>IF($C$5=0,0,INDEX(Symboles!$G$6:$G$101,D1984))</f>
        <v/>
      </c>
      <c r="F1984" s="26">
        <f>IF($C$5=0,0,INDEX(Symboles!$H$6:$H$101,D1984))</f>
        <v/>
      </c>
      <c r="G1984" s="26">
        <f>COS(2*PI()*$C$3*B1984)</f>
        <v/>
      </c>
      <c r="H1984" s="26">
        <f>SIN(2*PI()*$C$3*B1984)</f>
        <v/>
      </c>
      <c r="I1984" s="26">
        <f>E1984*G1984+F1984*H1984</f>
        <v/>
      </c>
    </row>
    <row r="1985">
      <c r="A1985" s="7" t="n">
        <v>1978</v>
      </c>
      <c r="B1985" s="26">
        <f>(A1985-1)/2000*$C$2</f>
        <v/>
      </c>
      <c r="C1985" s="7">
        <f>INDEX(Bits!$E$25:$E$124,INT(B1985)+1)</f>
        <v/>
      </c>
      <c r="D1985" s="7">
        <f>MAX(1,MIN(INT(B1985/$C$4)+1,$C$5))</f>
        <v/>
      </c>
      <c r="E1985" s="26">
        <f>IF($C$5=0,0,INDEX(Symboles!$G$6:$G$101,D1985))</f>
        <v/>
      </c>
      <c r="F1985" s="26">
        <f>IF($C$5=0,0,INDEX(Symboles!$H$6:$H$101,D1985))</f>
        <v/>
      </c>
      <c r="G1985" s="26">
        <f>COS(2*PI()*$C$3*B1985)</f>
        <v/>
      </c>
      <c r="H1985" s="26">
        <f>SIN(2*PI()*$C$3*B1985)</f>
        <v/>
      </c>
      <c r="I1985" s="26">
        <f>E1985*G1985+F1985*H1985</f>
        <v/>
      </c>
    </row>
    <row r="1986">
      <c r="A1986" s="7" t="n">
        <v>1979</v>
      </c>
      <c r="B1986" s="26">
        <f>(A1986-1)/2000*$C$2</f>
        <v/>
      </c>
      <c r="C1986" s="7">
        <f>INDEX(Bits!$E$25:$E$124,INT(B1986)+1)</f>
        <v/>
      </c>
      <c r="D1986" s="7">
        <f>MAX(1,MIN(INT(B1986/$C$4)+1,$C$5))</f>
        <v/>
      </c>
      <c r="E1986" s="26">
        <f>IF($C$5=0,0,INDEX(Symboles!$G$6:$G$101,D1986))</f>
        <v/>
      </c>
      <c r="F1986" s="26">
        <f>IF($C$5=0,0,INDEX(Symboles!$H$6:$H$101,D1986))</f>
        <v/>
      </c>
      <c r="G1986" s="26">
        <f>COS(2*PI()*$C$3*B1986)</f>
        <v/>
      </c>
      <c r="H1986" s="26">
        <f>SIN(2*PI()*$C$3*B1986)</f>
        <v/>
      </c>
      <c r="I1986" s="26">
        <f>E1986*G1986+F1986*H1986</f>
        <v/>
      </c>
    </row>
    <row r="1987">
      <c r="A1987" s="7" t="n">
        <v>1980</v>
      </c>
      <c r="B1987" s="26">
        <f>(A1987-1)/2000*$C$2</f>
        <v/>
      </c>
      <c r="C1987" s="7">
        <f>INDEX(Bits!$E$25:$E$124,INT(B1987)+1)</f>
        <v/>
      </c>
      <c r="D1987" s="7">
        <f>MAX(1,MIN(INT(B1987/$C$4)+1,$C$5))</f>
        <v/>
      </c>
      <c r="E1987" s="26">
        <f>IF($C$5=0,0,INDEX(Symboles!$G$6:$G$101,D1987))</f>
        <v/>
      </c>
      <c r="F1987" s="26">
        <f>IF($C$5=0,0,INDEX(Symboles!$H$6:$H$101,D1987))</f>
        <v/>
      </c>
      <c r="G1987" s="26">
        <f>COS(2*PI()*$C$3*B1987)</f>
        <v/>
      </c>
      <c r="H1987" s="26">
        <f>SIN(2*PI()*$C$3*B1987)</f>
        <v/>
      </c>
      <c r="I1987" s="26">
        <f>E1987*G1987+F1987*H1987</f>
        <v/>
      </c>
    </row>
    <row r="1988">
      <c r="A1988" s="7" t="n">
        <v>1981</v>
      </c>
      <c r="B1988" s="26">
        <f>(A1988-1)/2000*$C$2</f>
        <v/>
      </c>
      <c r="C1988" s="7">
        <f>INDEX(Bits!$E$25:$E$124,INT(B1988)+1)</f>
        <v/>
      </c>
      <c r="D1988" s="7">
        <f>MAX(1,MIN(INT(B1988/$C$4)+1,$C$5))</f>
        <v/>
      </c>
      <c r="E1988" s="26">
        <f>IF($C$5=0,0,INDEX(Symboles!$G$6:$G$101,D1988))</f>
        <v/>
      </c>
      <c r="F1988" s="26">
        <f>IF($C$5=0,0,INDEX(Symboles!$H$6:$H$101,D1988))</f>
        <v/>
      </c>
      <c r="G1988" s="26">
        <f>COS(2*PI()*$C$3*B1988)</f>
        <v/>
      </c>
      <c r="H1988" s="26">
        <f>SIN(2*PI()*$C$3*B1988)</f>
        <v/>
      </c>
      <c r="I1988" s="26">
        <f>E1988*G1988+F1988*H1988</f>
        <v/>
      </c>
    </row>
    <row r="1989">
      <c r="A1989" s="7" t="n">
        <v>1982</v>
      </c>
      <c r="B1989" s="26">
        <f>(A1989-1)/2000*$C$2</f>
        <v/>
      </c>
      <c r="C1989" s="7">
        <f>INDEX(Bits!$E$25:$E$124,INT(B1989)+1)</f>
        <v/>
      </c>
      <c r="D1989" s="7">
        <f>MAX(1,MIN(INT(B1989/$C$4)+1,$C$5))</f>
        <v/>
      </c>
      <c r="E1989" s="26">
        <f>IF($C$5=0,0,INDEX(Symboles!$G$6:$G$101,D1989))</f>
        <v/>
      </c>
      <c r="F1989" s="26">
        <f>IF($C$5=0,0,INDEX(Symboles!$H$6:$H$101,D1989))</f>
        <v/>
      </c>
      <c r="G1989" s="26">
        <f>COS(2*PI()*$C$3*B1989)</f>
        <v/>
      </c>
      <c r="H1989" s="26">
        <f>SIN(2*PI()*$C$3*B1989)</f>
        <v/>
      </c>
      <c r="I1989" s="26">
        <f>E1989*G1989+F1989*H1989</f>
        <v/>
      </c>
    </row>
    <row r="1990">
      <c r="A1990" s="7" t="n">
        <v>1983</v>
      </c>
      <c r="B1990" s="26">
        <f>(A1990-1)/2000*$C$2</f>
        <v/>
      </c>
      <c r="C1990" s="7">
        <f>INDEX(Bits!$E$25:$E$124,INT(B1990)+1)</f>
        <v/>
      </c>
      <c r="D1990" s="7">
        <f>MAX(1,MIN(INT(B1990/$C$4)+1,$C$5))</f>
        <v/>
      </c>
      <c r="E1990" s="26">
        <f>IF($C$5=0,0,INDEX(Symboles!$G$6:$G$101,D1990))</f>
        <v/>
      </c>
      <c r="F1990" s="26">
        <f>IF($C$5=0,0,INDEX(Symboles!$H$6:$H$101,D1990))</f>
        <v/>
      </c>
      <c r="G1990" s="26">
        <f>COS(2*PI()*$C$3*B1990)</f>
        <v/>
      </c>
      <c r="H1990" s="26">
        <f>SIN(2*PI()*$C$3*B1990)</f>
        <v/>
      </c>
      <c r="I1990" s="26">
        <f>E1990*G1990+F1990*H1990</f>
        <v/>
      </c>
    </row>
    <row r="1991">
      <c r="A1991" s="7" t="n">
        <v>1984</v>
      </c>
      <c r="B1991" s="26">
        <f>(A1991-1)/2000*$C$2</f>
        <v/>
      </c>
      <c r="C1991" s="7">
        <f>INDEX(Bits!$E$25:$E$124,INT(B1991)+1)</f>
        <v/>
      </c>
      <c r="D1991" s="7">
        <f>MAX(1,MIN(INT(B1991/$C$4)+1,$C$5))</f>
        <v/>
      </c>
      <c r="E1991" s="26">
        <f>IF($C$5=0,0,INDEX(Symboles!$G$6:$G$101,D1991))</f>
        <v/>
      </c>
      <c r="F1991" s="26">
        <f>IF($C$5=0,0,INDEX(Symboles!$H$6:$H$101,D1991))</f>
        <v/>
      </c>
      <c r="G1991" s="26">
        <f>COS(2*PI()*$C$3*B1991)</f>
        <v/>
      </c>
      <c r="H1991" s="26">
        <f>SIN(2*PI()*$C$3*B1991)</f>
        <v/>
      </c>
      <c r="I1991" s="26">
        <f>E1991*G1991+F1991*H1991</f>
        <v/>
      </c>
    </row>
    <row r="1992">
      <c r="A1992" s="7" t="n">
        <v>1985</v>
      </c>
      <c r="B1992" s="26">
        <f>(A1992-1)/2000*$C$2</f>
        <v/>
      </c>
      <c r="C1992" s="7">
        <f>INDEX(Bits!$E$25:$E$124,INT(B1992)+1)</f>
        <v/>
      </c>
      <c r="D1992" s="7">
        <f>MAX(1,MIN(INT(B1992/$C$4)+1,$C$5))</f>
        <v/>
      </c>
      <c r="E1992" s="26">
        <f>IF($C$5=0,0,INDEX(Symboles!$G$6:$G$101,D1992))</f>
        <v/>
      </c>
      <c r="F1992" s="26">
        <f>IF($C$5=0,0,INDEX(Symboles!$H$6:$H$101,D1992))</f>
        <v/>
      </c>
      <c r="G1992" s="26">
        <f>COS(2*PI()*$C$3*B1992)</f>
        <v/>
      </c>
      <c r="H1992" s="26">
        <f>SIN(2*PI()*$C$3*B1992)</f>
        <v/>
      </c>
      <c r="I1992" s="26">
        <f>E1992*G1992+F1992*H1992</f>
        <v/>
      </c>
    </row>
    <row r="1993">
      <c r="A1993" s="7" t="n">
        <v>1986</v>
      </c>
      <c r="B1993" s="26">
        <f>(A1993-1)/2000*$C$2</f>
        <v/>
      </c>
      <c r="C1993" s="7">
        <f>INDEX(Bits!$E$25:$E$124,INT(B1993)+1)</f>
        <v/>
      </c>
      <c r="D1993" s="7">
        <f>MAX(1,MIN(INT(B1993/$C$4)+1,$C$5))</f>
        <v/>
      </c>
      <c r="E1993" s="26">
        <f>IF($C$5=0,0,INDEX(Symboles!$G$6:$G$101,D1993))</f>
        <v/>
      </c>
      <c r="F1993" s="26">
        <f>IF($C$5=0,0,INDEX(Symboles!$H$6:$H$101,D1993))</f>
        <v/>
      </c>
      <c r="G1993" s="26">
        <f>COS(2*PI()*$C$3*B1993)</f>
        <v/>
      </c>
      <c r="H1993" s="26">
        <f>SIN(2*PI()*$C$3*B1993)</f>
        <v/>
      </c>
      <c r="I1993" s="26">
        <f>E1993*G1993+F1993*H1993</f>
        <v/>
      </c>
    </row>
    <row r="1994">
      <c r="A1994" s="7" t="n">
        <v>1987</v>
      </c>
      <c r="B1994" s="26">
        <f>(A1994-1)/2000*$C$2</f>
        <v/>
      </c>
      <c r="C1994" s="7">
        <f>INDEX(Bits!$E$25:$E$124,INT(B1994)+1)</f>
        <v/>
      </c>
      <c r="D1994" s="7">
        <f>MAX(1,MIN(INT(B1994/$C$4)+1,$C$5))</f>
        <v/>
      </c>
      <c r="E1994" s="26">
        <f>IF($C$5=0,0,INDEX(Symboles!$G$6:$G$101,D1994))</f>
        <v/>
      </c>
      <c r="F1994" s="26">
        <f>IF($C$5=0,0,INDEX(Symboles!$H$6:$H$101,D1994))</f>
        <v/>
      </c>
      <c r="G1994" s="26">
        <f>COS(2*PI()*$C$3*B1994)</f>
        <v/>
      </c>
      <c r="H1994" s="26">
        <f>SIN(2*PI()*$C$3*B1994)</f>
        <v/>
      </c>
      <c r="I1994" s="26">
        <f>E1994*G1994+F1994*H1994</f>
        <v/>
      </c>
    </row>
    <row r="1995">
      <c r="A1995" s="7" t="n">
        <v>1988</v>
      </c>
      <c r="B1995" s="26">
        <f>(A1995-1)/2000*$C$2</f>
        <v/>
      </c>
      <c r="C1995" s="7">
        <f>INDEX(Bits!$E$25:$E$124,INT(B1995)+1)</f>
        <v/>
      </c>
      <c r="D1995" s="7">
        <f>MAX(1,MIN(INT(B1995/$C$4)+1,$C$5))</f>
        <v/>
      </c>
      <c r="E1995" s="26">
        <f>IF($C$5=0,0,INDEX(Symboles!$G$6:$G$101,D1995))</f>
        <v/>
      </c>
      <c r="F1995" s="26">
        <f>IF($C$5=0,0,INDEX(Symboles!$H$6:$H$101,D1995))</f>
        <v/>
      </c>
      <c r="G1995" s="26">
        <f>COS(2*PI()*$C$3*B1995)</f>
        <v/>
      </c>
      <c r="H1995" s="26">
        <f>SIN(2*PI()*$C$3*B1995)</f>
        <v/>
      </c>
      <c r="I1995" s="26">
        <f>E1995*G1995+F1995*H1995</f>
        <v/>
      </c>
    </row>
    <row r="1996">
      <c r="A1996" s="7" t="n">
        <v>1989</v>
      </c>
      <c r="B1996" s="26">
        <f>(A1996-1)/2000*$C$2</f>
        <v/>
      </c>
      <c r="C1996" s="7">
        <f>INDEX(Bits!$E$25:$E$124,INT(B1996)+1)</f>
        <v/>
      </c>
      <c r="D1996" s="7">
        <f>MAX(1,MIN(INT(B1996/$C$4)+1,$C$5))</f>
        <v/>
      </c>
      <c r="E1996" s="26">
        <f>IF($C$5=0,0,INDEX(Symboles!$G$6:$G$101,D1996))</f>
        <v/>
      </c>
      <c r="F1996" s="26">
        <f>IF($C$5=0,0,INDEX(Symboles!$H$6:$H$101,D1996))</f>
        <v/>
      </c>
      <c r="G1996" s="26">
        <f>COS(2*PI()*$C$3*B1996)</f>
        <v/>
      </c>
      <c r="H1996" s="26">
        <f>SIN(2*PI()*$C$3*B1996)</f>
        <v/>
      </c>
      <c r="I1996" s="26">
        <f>E1996*G1996+F1996*H1996</f>
        <v/>
      </c>
    </row>
    <row r="1997">
      <c r="A1997" s="7" t="n">
        <v>1990</v>
      </c>
      <c r="B1997" s="26">
        <f>(A1997-1)/2000*$C$2</f>
        <v/>
      </c>
      <c r="C1997" s="7">
        <f>INDEX(Bits!$E$25:$E$124,INT(B1997)+1)</f>
        <v/>
      </c>
      <c r="D1997" s="7">
        <f>MAX(1,MIN(INT(B1997/$C$4)+1,$C$5))</f>
        <v/>
      </c>
      <c r="E1997" s="26">
        <f>IF($C$5=0,0,INDEX(Symboles!$G$6:$G$101,D1997))</f>
        <v/>
      </c>
      <c r="F1997" s="26">
        <f>IF($C$5=0,0,INDEX(Symboles!$H$6:$H$101,D1997))</f>
        <v/>
      </c>
      <c r="G1997" s="26">
        <f>COS(2*PI()*$C$3*B1997)</f>
        <v/>
      </c>
      <c r="H1997" s="26">
        <f>SIN(2*PI()*$C$3*B1997)</f>
        <v/>
      </c>
      <c r="I1997" s="26">
        <f>E1997*G1997+F1997*H1997</f>
        <v/>
      </c>
    </row>
    <row r="1998">
      <c r="A1998" s="7" t="n">
        <v>1991</v>
      </c>
      <c r="B1998" s="26">
        <f>(A1998-1)/2000*$C$2</f>
        <v/>
      </c>
      <c r="C1998" s="7">
        <f>INDEX(Bits!$E$25:$E$124,INT(B1998)+1)</f>
        <v/>
      </c>
      <c r="D1998" s="7">
        <f>MAX(1,MIN(INT(B1998/$C$4)+1,$C$5))</f>
        <v/>
      </c>
      <c r="E1998" s="26">
        <f>IF($C$5=0,0,INDEX(Symboles!$G$6:$G$101,D1998))</f>
        <v/>
      </c>
      <c r="F1998" s="26">
        <f>IF($C$5=0,0,INDEX(Symboles!$H$6:$H$101,D1998))</f>
        <v/>
      </c>
      <c r="G1998" s="26">
        <f>COS(2*PI()*$C$3*B1998)</f>
        <v/>
      </c>
      <c r="H1998" s="26">
        <f>SIN(2*PI()*$C$3*B1998)</f>
        <v/>
      </c>
      <c r="I1998" s="26">
        <f>E1998*G1998+F1998*H1998</f>
        <v/>
      </c>
    </row>
    <row r="1999">
      <c r="A1999" s="7" t="n">
        <v>1992</v>
      </c>
      <c r="B1999" s="26">
        <f>(A1999-1)/2000*$C$2</f>
        <v/>
      </c>
      <c r="C1999" s="7">
        <f>INDEX(Bits!$E$25:$E$124,INT(B1999)+1)</f>
        <v/>
      </c>
      <c r="D1999" s="7">
        <f>MAX(1,MIN(INT(B1999/$C$4)+1,$C$5))</f>
        <v/>
      </c>
      <c r="E1999" s="26">
        <f>IF($C$5=0,0,INDEX(Symboles!$G$6:$G$101,D1999))</f>
        <v/>
      </c>
      <c r="F1999" s="26">
        <f>IF($C$5=0,0,INDEX(Symboles!$H$6:$H$101,D1999))</f>
        <v/>
      </c>
      <c r="G1999" s="26">
        <f>COS(2*PI()*$C$3*B1999)</f>
        <v/>
      </c>
      <c r="H1999" s="26">
        <f>SIN(2*PI()*$C$3*B1999)</f>
        <v/>
      </c>
      <c r="I1999" s="26">
        <f>E1999*G1999+F1999*H1999</f>
        <v/>
      </c>
    </row>
    <row r="2000">
      <c r="A2000" s="7" t="n">
        <v>1993</v>
      </c>
      <c r="B2000" s="26">
        <f>(A2000-1)/2000*$C$2</f>
        <v/>
      </c>
      <c r="C2000" s="7">
        <f>INDEX(Bits!$E$25:$E$124,INT(B2000)+1)</f>
        <v/>
      </c>
      <c r="D2000" s="7">
        <f>MAX(1,MIN(INT(B2000/$C$4)+1,$C$5))</f>
        <v/>
      </c>
      <c r="E2000" s="26">
        <f>IF($C$5=0,0,INDEX(Symboles!$G$6:$G$101,D2000))</f>
        <v/>
      </c>
      <c r="F2000" s="26">
        <f>IF($C$5=0,0,INDEX(Symboles!$H$6:$H$101,D2000))</f>
        <v/>
      </c>
      <c r="G2000" s="26">
        <f>COS(2*PI()*$C$3*B2000)</f>
        <v/>
      </c>
      <c r="H2000" s="26">
        <f>SIN(2*PI()*$C$3*B2000)</f>
        <v/>
      </c>
      <c r="I2000" s="26">
        <f>E2000*G2000+F2000*H2000</f>
        <v/>
      </c>
    </row>
    <row r="2001">
      <c r="A2001" s="7" t="n">
        <v>1994</v>
      </c>
      <c r="B2001" s="26">
        <f>(A2001-1)/2000*$C$2</f>
        <v/>
      </c>
      <c r="C2001" s="7">
        <f>INDEX(Bits!$E$25:$E$124,INT(B2001)+1)</f>
        <v/>
      </c>
      <c r="D2001" s="7">
        <f>MAX(1,MIN(INT(B2001/$C$4)+1,$C$5))</f>
        <v/>
      </c>
      <c r="E2001" s="26">
        <f>IF($C$5=0,0,INDEX(Symboles!$G$6:$G$101,D2001))</f>
        <v/>
      </c>
      <c r="F2001" s="26">
        <f>IF($C$5=0,0,INDEX(Symboles!$H$6:$H$101,D2001))</f>
        <v/>
      </c>
      <c r="G2001" s="26">
        <f>COS(2*PI()*$C$3*B2001)</f>
        <v/>
      </c>
      <c r="H2001" s="26">
        <f>SIN(2*PI()*$C$3*B2001)</f>
        <v/>
      </c>
      <c r="I2001" s="26">
        <f>E2001*G2001+F2001*H2001</f>
        <v/>
      </c>
    </row>
    <row r="2002">
      <c r="A2002" s="7" t="n">
        <v>1995</v>
      </c>
      <c r="B2002" s="26">
        <f>(A2002-1)/2000*$C$2</f>
        <v/>
      </c>
      <c r="C2002" s="7">
        <f>INDEX(Bits!$E$25:$E$124,INT(B2002)+1)</f>
        <v/>
      </c>
      <c r="D2002" s="7">
        <f>MAX(1,MIN(INT(B2002/$C$4)+1,$C$5))</f>
        <v/>
      </c>
      <c r="E2002" s="26">
        <f>IF($C$5=0,0,INDEX(Symboles!$G$6:$G$101,D2002))</f>
        <v/>
      </c>
      <c r="F2002" s="26">
        <f>IF($C$5=0,0,INDEX(Symboles!$H$6:$H$101,D2002))</f>
        <v/>
      </c>
      <c r="G2002" s="26">
        <f>COS(2*PI()*$C$3*B2002)</f>
        <v/>
      </c>
      <c r="H2002" s="26">
        <f>SIN(2*PI()*$C$3*B2002)</f>
        <v/>
      </c>
      <c r="I2002" s="26">
        <f>E2002*G2002+F2002*H2002</f>
        <v/>
      </c>
    </row>
    <row r="2003">
      <c r="A2003" s="7" t="n">
        <v>1996</v>
      </c>
      <c r="B2003" s="26">
        <f>(A2003-1)/2000*$C$2</f>
        <v/>
      </c>
      <c r="C2003" s="7">
        <f>INDEX(Bits!$E$25:$E$124,INT(B2003)+1)</f>
        <v/>
      </c>
      <c r="D2003" s="7">
        <f>MAX(1,MIN(INT(B2003/$C$4)+1,$C$5))</f>
        <v/>
      </c>
      <c r="E2003" s="26">
        <f>IF($C$5=0,0,INDEX(Symboles!$G$6:$G$101,D2003))</f>
        <v/>
      </c>
      <c r="F2003" s="26">
        <f>IF($C$5=0,0,INDEX(Symboles!$H$6:$H$101,D2003))</f>
        <v/>
      </c>
      <c r="G2003" s="26">
        <f>COS(2*PI()*$C$3*B2003)</f>
        <v/>
      </c>
      <c r="H2003" s="26">
        <f>SIN(2*PI()*$C$3*B2003)</f>
        <v/>
      </c>
      <c r="I2003" s="26">
        <f>E2003*G2003+F2003*H2003</f>
        <v/>
      </c>
    </row>
    <row r="2004">
      <c r="A2004" s="7" t="n">
        <v>1997</v>
      </c>
      <c r="B2004" s="26">
        <f>(A2004-1)/2000*$C$2</f>
        <v/>
      </c>
      <c r="C2004" s="7">
        <f>INDEX(Bits!$E$25:$E$124,INT(B2004)+1)</f>
        <v/>
      </c>
      <c r="D2004" s="7">
        <f>MAX(1,MIN(INT(B2004/$C$4)+1,$C$5))</f>
        <v/>
      </c>
      <c r="E2004" s="26">
        <f>IF($C$5=0,0,INDEX(Symboles!$G$6:$G$101,D2004))</f>
        <v/>
      </c>
      <c r="F2004" s="26">
        <f>IF($C$5=0,0,INDEX(Symboles!$H$6:$H$101,D2004))</f>
        <v/>
      </c>
      <c r="G2004" s="26">
        <f>COS(2*PI()*$C$3*B2004)</f>
        <v/>
      </c>
      <c r="H2004" s="26">
        <f>SIN(2*PI()*$C$3*B2004)</f>
        <v/>
      </c>
      <c r="I2004" s="26">
        <f>E2004*G2004+F2004*H2004</f>
        <v/>
      </c>
    </row>
    <row r="2005">
      <c r="A2005" s="7" t="n">
        <v>1998</v>
      </c>
      <c r="B2005" s="26">
        <f>(A2005-1)/2000*$C$2</f>
        <v/>
      </c>
      <c r="C2005" s="7">
        <f>INDEX(Bits!$E$25:$E$124,INT(B2005)+1)</f>
        <v/>
      </c>
      <c r="D2005" s="7">
        <f>MAX(1,MIN(INT(B2005/$C$4)+1,$C$5))</f>
        <v/>
      </c>
      <c r="E2005" s="26">
        <f>IF($C$5=0,0,INDEX(Symboles!$G$6:$G$101,D2005))</f>
        <v/>
      </c>
      <c r="F2005" s="26">
        <f>IF($C$5=0,0,INDEX(Symboles!$H$6:$H$101,D2005))</f>
        <v/>
      </c>
      <c r="G2005" s="26">
        <f>COS(2*PI()*$C$3*B2005)</f>
        <v/>
      </c>
      <c r="H2005" s="26">
        <f>SIN(2*PI()*$C$3*B2005)</f>
        <v/>
      </c>
      <c r="I2005" s="26">
        <f>E2005*G2005+F2005*H2005</f>
        <v/>
      </c>
    </row>
    <row r="2006">
      <c r="A2006" s="7" t="n">
        <v>1999</v>
      </c>
      <c r="B2006" s="26">
        <f>(A2006-1)/2000*$C$2</f>
        <v/>
      </c>
      <c r="C2006" s="7">
        <f>INDEX(Bits!$E$25:$E$124,INT(B2006)+1)</f>
        <v/>
      </c>
      <c r="D2006" s="7">
        <f>MAX(1,MIN(INT(B2006/$C$4)+1,$C$5))</f>
        <v/>
      </c>
      <c r="E2006" s="26">
        <f>IF($C$5=0,0,INDEX(Symboles!$G$6:$G$101,D2006))</f>
        <v/>
      </c>
      <c r="F2006" s="26">
        <f>IF($C$5=0,0,INDEX(Symboles!$H$6:$H$101,D2006))</f>
        <v/>
      </c>
      <c r="G2006" s="26">
        <f>COS(2*PI()*$C$3*B2006)</f>
        <v/>
      </c>
      <c r="H2006" s="26">
        <f>SIN(2*PI()*$C$3*B2006)</f>
        <v/>
      </c>
      <c r="I2006" s="26">
        <f>E2006*G2006+F2006*H2006</f>
        <v/>
      </c>
    </row>
    <row r="2007">
      <c r="A2007" s="7" t="n">
        <v>2000</v>
      </c>
      <c r="B2007" s="26">
        <f>(A2007-1)/2000*$C$2</f>
        <v/>
      </c>
      <c r="C2007" s="7">
        <f>INDEX(Bits!$E$25:$E$124,INT(B2007)+1)</f>
        <v/>
      </c>
      <c r="D2007" s="7">
        <f>MAX(1,MIN(INT(B2007/$C$4)+1,$C$5))</f>
        <v/>
      </c>
      <c r="E2007" s="26">
        <f>IF($C$5=0,0,INDEX(Symboles!$G$6:$G$101,D2007))</f>
        <v/>
      </c>
      <c r="F2007" s="26">
        <f>IF($C$5=0,0,INDEX(Symboles!$H$6:$H$101,D2007))</f>
        <v/>
      </c>
      <c r="G2007" s="26">
        <f>COS(2*PI()*$C$3*B2007)</f>
        <v/>
      </c>
      <c r="H2007" s="26">
        <f>SIN(2*PI()*$C$3*B2007)</f>
        <v/>
      </c>
      <c r="I2007" s="26">
        <f>E2007*G2007+F2007*H2007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Z42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7" t="inlineStr">
        <is>
          <t>Diagramme de l'œil — bande de base I(t) et Q(t) mise en forme</t>
        </is>
      </c>
    </row>
    <row r="2">
      <c r="A2" s="16" t="inlineStr">
        <is>
          <t>Chaque trace = fenêtre de 2 symboles centrée sur un instant d'échantillonnage (x = 0). 16 éch./symbole, filtre tronqué à ±4 symboles, message répété de façon cyclique. 99 = trace inutilisée (hors graphique).</t>
        </is>
      </c>
    </row>
    <row r="3">
      <c r="A3" s="4" t="inlineStr">
        <is>
          <t>Nb symboles N</t>
        </is>
      </c>
      <c r="B3" s="7">
        <f>'Tableau_de_bord'!C14</f>
        <v/>
      </c>
      <c r="D3" s="4" t="inlineStr">
        <is>
          <t>Filtres</t>
        </is>
      </c>
      <c r="E3" s="7" t="inlineStr">
        <is>
          <t>Rectangulaire (NRZ)</t>
        </is>
      </c>
    </row>
    <row r="4">
      <c r="A4" s="4" t="inlineStr">
        <is>
          <t>N° filtre</t>
        </is>
      </c>
      <c r="B4" s="7">
        <f>MATCH('Tableau_de_bord'!L51,$E$3:$E$4,0)</f>
        <v/>
      </c>
      <c r="E4" s="7" t="inlineStr">
        <is>
          <t>Cosinus surélevé</t>
        </is>
      </c>
    </row>
    <row r="5">
      <c r="A5" s="4" t="inlineStr">
        <is>
          <t>Roll-off α</t>
        </is>
      </c>
      <c r="B5" s="7">
        <f>'Tableau_de_bord'!L52</f>
        <v/>
      </c>
    </row>
    <row r="6">
      <c r="A6" s="4" t="inlineStr">
        <is>
          <t>Bruit σ (par voie)</t>
        </is>
      </c>
      <c r="B6" s="7">
        <f>'Tableau_de_bord'!L53</f>
        <v/>
      </c>
    </row>
    <row r="7"/>
    <row r="8">
      <c r="P8" s="3" t="inlineStr">
        <is>
          <t>Voie I</t>
        </is>
      </c>
      <c r="DI8" s="3" t="inlineStr">
        <is>
          <t>Voie Q</t>
        </is>
      </c>
    </row>
    <row r="9">
      <c r="A9" s="20" t="inlineStr">
        <is>
          <t>i</t>
        </is>
      </c>
      <c r="B9" s="20" t="inlineStr">
        <is>
          <t>x (en T)</t>
        </is>
      </c>
      <c r="C9" s="20" t="inlineStr">
        <is>
          <t>c_i</t>
        </is>
      </c>
      <c r="D9" s="20" t="inlineStr">
        <is>
          <t>r_i</t>
        </is>
      </c>
      <c r="E9" s="20" t="inlineStr">
        <is>
          <t>h(j=-4)</t>
        </is>
      </c>
      <c r="F9" s="20" t="inlineStr">
        <is>
          <t>h(j=-3)</t>
        </is>
      </c>
      <c r="G9" s="20" t="inlineStr">
        <is>
          <t>h(j=-2)</t>
        </is>
      </c>
      <c r="H9" s="20" t="inlineStr">
        <is>
          <t>h(j=-1)</t>
        </is>
      </c>
      <c r="I9" s="20" t="inlineStr">
        <is>
          <t>h(j=0)</t>
        </is>
      </c>
      <c r="J9" s="20" t="inlineStr">
        <is>
          <t>h(j=1)</t>
        </is>
      </c>
      <c r="K9" s="20" t="inlineStr">
        <is>
          <t>h(j=2)</t>
        </is>
      </c>
      <c r="L9" s="20" t="inlineStr">
        <is>
          <t>h(j=3)</t>
        </is>
      </c>
      <c r="M9" s="20" t="inlineStr">
        <is>
          <t>h(j=4)</t>
        </is>
      </c>
      <c r="P9" s="27" t="inlineStr">
        <is>
          <t>trace 1</t>
        </is>
      </c>
      <c r="Q9" s="27" t="inlineStr">
        <is>
          <t>trace 2</t>
        </is>
      </c>
      <c r="R9" s="27" t="inlineStr">
        <is>
          <t>trace 3</t>
        </is>
      </c>
      <c r="S9" s="27" t="inlineStr">
        <is>
          <t>trace 4</t>
        </is>
      </c>
      <c r="T9" s="27" t="inlineStr">
        <is>
          <t>trace 5</t>
        </is>
      </c>
      <c r="U9" s="27" t="inlineStr">
        <is>
          <t>trace 6</t>
        </is>
      </c>
      <c r="V9" s="27" t="inlineStr">
        <is>
          <t>trace 7</t>
        </is>
      </c>
      <c r="W9" s="27" t="inlineStr">
        <is>
          <t>trace 8</t>
        </is>
      </c>
      <c r="X9" s="27" t="inlineStr">
        <is>
          <t>trace 9</t>
        </is>
      </c>
      <c r="Y9" s="27" t="inlineStr">
        <is>
          <t>trace 10</t>
        </is>
      </c>
      <c r="Z9" s="27" t="inlineStr">
        <is>
          <t>trace 11</t>
        </is>
      </c>
      <c r="AA9" s="27" t="inlineStr">
        <is>
          <t>trace 12</t>
        </is>
      </c>
      <c r="AB9" s="27" t="inlineStr">
        <is>
          <t>trace 13</t>
        </is>
      </c>
      <c r="AC9" s="27" t="inlineStr">
        <is>
          <t>trace 14</t>
        </is>
      </c>
      <c r="AD9" s="27" t="inlineStr">
        <is>
          <t>trace 15</t>
        </is>
      </c>
      <c r="AE9" s="27" t="inlineStr">
        <is>
          <t>trace 16</t>
        </is>
      </c>
      <c r="AF9" s="27" t="inlineStr">
        <is>
          <t>trace 17</t>
        </is>
      </c>
      <c r="AG9" s="27" t="inlineStr">
        <is>
          <t>trace 18</t>
        </is>
      </c>
      <c r="AH9" s="27" t="inlineStr">
        <is>
          <t>trace 19</t>
        </is>
      </c>
      <c r="AI9" s="27" t="inlineStr">
        <is>
          <t>trace 20</t>
        </is>
      </c>
      <c r="AJ9" s="27" t="inlineStr">
        <is>
          <t>trace 21</t>
        </is>
      </c>
      <c r="AK9" s="27" t="inlineStr">
        <is>
          <t>trace 22</t>
        </is>
      </c>
      <c r="AL9" s="27" t="inlineStr">
        <is>
          <t>trace 23</t>
        </is>
      </c>
      <c r="AM9" s="27" t="inlineStr">
        <is>
          <t>trace 24</t>
        </is>
      </c>
      <c r="AN9" s="27" t="inlineStr">
        <is>
          <t>trace 25</t>
        </is>
      </c>
      <c r="AO9" s="27" t="inlineStr">
        <is>
          <t>trace 26</t>
        </is>
      </c>
      <c r="AP9" s="27" t="inlineStr">
        <is>
          <t>trace 27</t>
        </is>
      </c>
      <c r="AQ9" s="27" t="inlineStr">
        <is>
          <t>trace 28</t>
        </is>
      </c>
      <c r="AR9" s="27" t="inlineStr">
        <is>
          <t>trace 29</t>
        </is>
      </c>
      <c r="AS9" s="27" t="inlineStr">
        <is>
          <t>trace 30</t>
        </is>
      </c>
      <c r="AT9" s="27" t="inlineStr">
        <is>
          <t>trace 31</t>
        </is>
      </c>
      <c r="AU9" s="27" t="inlineStr">
        <is>
          <t>trace 32</t>
        </is>
      </c>
      <c r="AV9" s="27" t="inlineStr">
        <is>
          <t>trace 33</t>
        </is>
      </c>
      <c r="AW9" s="27" t="inlineStr">
        <is>
          <t>trace 34</t>
        </is>
      </c>
      <c r="AX9" s="27" t="inlineStr">
        <is>
          <t>trace 35</t>
        </is>
      </c>
      <c r="AY9" s="27" t="inlineStr">
        <is>
          <t>trace 36</t>
        </is>
      </c>
      <c r="AZ9" s="27" t="inlineStr">
        <is>
          <t>trace 37</t>
        </is>
      </c>
      <c r="BA9" s="27" t="inlineStr">
        <is>
          <t>trace 38</t>
        </is>
      </c>
      <c r="BB9" s="27" t="inlineStr">
        <is>
          <t>trace 39</t>
        </is>
      </c>
      <c r="BC9" s="27" t="inlineStr">
        <is>
          <t>trace 40</t>
        </is>
      </c>
      <c r="BD9" s="27" t="inlineStr">
        <is>
          <t>trace 41</t>
        </is>
      </c>
      <c r="BE9" s="27" t="inlineStr">
        <is>
          <t>trace 42</t>
        </is>
      </c>
      <c r="BF9" s="27" t="inlineStr">
        <is>
          <t>trace 43</t>
        </is>
      </c>
      <c r="BG9" s="27" t="inlineStr">
        <is>
          <t>trace 44</t>
        </is>
      </c>
      <c r="BH9" s="27" t="inlineStr">
        <is>
          <t>trace 45</t>
        </is>
      </c>
      <c r="BI9" s="27" t="inlineStr">
        <is>
          <t>trace 46</t>
        </is>
      </c>
      <c r="BJ9" s="27" t="inlineStr">
        <is>
          <t>trace 47</t>
        </is>
      </c>
      <c r="BK9" s="27" t="inlineStr">
        <is>
          <t>trace 48</t>
        </is>
      </c>
      <c r="BL9" s="27" t="inlineStr">
        <is>
          <t>trace 49</t>
        </is>
      </c>
      <c r="BM9" s="27" t="inlineStr">
        <is>
          <t>trace 50</t>
        </is>
      </c>
      <c r="BN9" s="27" t="inlineStr">
        <is>
          <t>trace 51</t>
        </is>
      </c>
      <c r="BO9" s="27" t="inlineStr">
        <is>
          <t>trace 52</t>
        </is>
      </c>
      <c r="BP9" s="27" t="inlineStr">
        <is>
          <t>trace 53</t>
        </is>
      </c>
      <c r="BQ9" s="27" t="inlineStr">
        <is>
          <t>trace 54</t>
        </is>
      </c>
      <c r="BR9" s="27" t="inlineStr">
        <is>
          <t>trace 55</t>
        </is>
      </c>
      <c r="BS9" s="27" t="inlineStr">
        <is>
          <t>trace 56</t>
        </is>
      </c>
      <c r="BT9" s="27" t="inlineStr">
        <is>
          <t>trace 57</t>
        </is>
      </c>
      <c r="BU9" s="27" t="inlineStr">
        <is>
          <t>trace 58</t>
        </is>
      </c>
      <c r="BV9" s="27" t="inlineStr">
        <is>
          <t>trace 59</t>
        </is>
      </c>
      <c r="BW9" s="27" t="inlineStr">
        <is>
          <t>trace 60</t>
        </is>
      </c>
      <c r="BX9" s="27" t="inlineStr">
        <is>
          <t>trace 61</t>
        </is>
      </c>
      <c r="BY9" s="27" t="inlineStr">
        <is>
          <t>trace 62</t>
        </is>
      </c>
      <c r="BZ9" s="27" t="inlineStr">
        <is>
          <t>trace 63</t>
        </is>
      </c>
      <c r="CA9" s="27" t="inlineStr">
        <is>
          <t>trace 64</t>
        </is>
      </c>
      <c r="CB9" s="27" t="inlineStr">
        <is>
          <t>trace 65</t>
        </is>
      </c>
      <c r="CC9" s="27" t="inlineStr">
        <is>
          <t>trace 66</t>
        </is>
      </c>
      <c r="CD9" s="27" t="inlineStr">
        <is>
          <t>trace 67</t>
        </is>
      </c>
      <c r="CE9" s="27" t="inlineStr">
        <is>
          <t>trace 68</t>
        </is>
      </c>
      <c r="CF9" s="27" t="inlineStr">
        <is>
          <t>trace 69</t>
        </is>
      </c>
      <c r="CG9" s="27" t="inlineStr">
        <is>
          <t>trace 70</t>
        </is>
      </c>
      <c r="CH9" s="27" t="inlineStr">
        <is>
          <t>trace 71</t>
        </is>
      </c>
      <c r="CI9" s="27" t="inlineStr">
        <is>
          <t>trace 72</t>
        </is>
      </c>
      <c r="CJ9" s="27" t="inlineStr">
        <is>
          <t>trace 73</t>
        </is>
      </c>
      <c r="CK9" s="27" t="inlineStr">
        <is>
          <t>trace 74</t>
        </is>
      </c>
      <c r="CL9" s="27" t="inlineStr">
        <is>
          <t>trace 75</t>
        </is>
      </c>
      <c r="CM9" s="27" t="inlineStr">
        <is>
          <t>trace 76</t>
        </is>
      </c>
      <c r="CN9" s="27" t="inlineStr">
        <is>
          <t>trace 77</t>
        </is>
      </c>
      <c r="CO9" s="27" t="inlineStr">
        <is>
          <t>trace 78</t>
        </is>
      </c>
      <c r="CP9" s="27" t="inlineStr">
        <is>
          <t>trace 79</t>
        </is>
      </c>
      <c r="CQ9" s="27" t="inlineStr">
        <is>
          <t>trace 80</t>
        </is>
      </c>
      <c r="CR9" s="27" t="inlineStr">
        <is>
          <t>trace 81</t>
        </is>
      </c>
      <c r="CS9" s="27" t="inlineStr">
        <is>
          <t>trace 82</t>
        </is>
      </c>
      <c r="CT9" s="27" t="inlineStr">
        <is>
          <t>trace 83</t>
        </is>
      </c>
      <c r="CU9" s="27" t="inlineStr">
        <is>
          <t>trace 84</t>
        </is>
      </c>
      <c r="CV9" s="27" t="inlineStr">
        <is>
          <t>trace 85</t>
        </is>
      </c>
      <c r="CW9" s="27" t="inlineStr">
        <is>
          <t>trace 86</t>
        </is>
      </c>
      <c r="CX9" s="27" t="inlineStr">
        <is>
          <t>trace 87</t>
        </is>
      </c>
      <c r="CY9" s="27" t="inlineStr">
        <is>
          <t>trace 88</t>
        </is>
      </c>
      <c r="CZ9" s="27" t="inlineStr">
        <is>
          <t>trace 89</t>
        </is>
      </c>
      <c r="DA9" s="27" t="inlineStr">
        <is>
          <t>trace 90</t>
        </is>
      </c>
      <c r="DB9" s="27" t="inlineStr">
        <is>
          <t>trace 91</t>
        </is>
      </c>
      <c r="DC9" s="27" t="inlineStr">
        <is>
          <t>trace 92</t>
        </is>
      </c>
      <c r="DD9" s="27" t="inlineStr">
        <is>
          <t>trace 93</t>
        </is>
      </c>
      <c r="DE9" s="27" t="inlineStr">
        <is>
          <t>trace 94</t>
        </is>
      </c>
      <c r="DF9" s="27" t="inlineStr">
        <is>
          <t>trace 95</t>
        </is>
      </c>
      <c r="DG9" s="27" t="inlineStr">
        <is>
          <t>trace 96</t>
        </is>
      </c>
      <c r="DI9" s="27" t="inlineStr">
        <is>
          <t>trace 1</t>
        </is>
      </c>
      <c r="DJ9" s="27" t="inlineStr">
        <is>
          <t>trace 2</t>
        </is>
      </c>
      <c r="DK9" s="27" t="inlineStr">
        <is>
          <t>trace 3</t>
        </is>
      </c>
      <c r="DL9" s="27" t="inlineStr">
        <is>
          <t>trace 4</t>
        </is>
      </c>
      <c r="DM9" s="27" t="inlineStr">
        <is>
          <t>trace 5</t>
        </is>
      </c>
      <c r="DN9" s="27" t="inlineStr">
        <is>
          <t>trace 6</t>
        </is>
      </c>
      <c r="DO9" s="27" t="inlineStr">
        <is>
          <t>trace 7</t>
        </is>
      </c>
      <c r="DP9" s="27" t="inlineStr">
        <is>
          <t>trace 8</t>
        </is>
      </c>
      <c r="DQ9" s="27" t="inlineStr">
        <is>
          <t>trace 9</t>
        </is>
      </c>
      <c r="DR9" s="27" t="inlineStr">
        <is>
          <t>trace 10</t>
        </is>
      </c>
      <c r="DS9" s="27" t="inlineStr">
        <is>
          <t>trace 11</t>
        </is>
      </c>
      <c r="DT9" s="27" t="inlineStr">
        <is>
          <t>trace 12</t>
        </is>
      </c>
      <c r="DU9" s="27" t="inlineStr">
        <is>
          <t>trace 13</t>
        </is>
      </c>
      <c r="DV9" s="27" t="inlineStr">
        <is>
          <t>trace 14</t>
        </is>
      </c>
      <c r="DW9" s="27" t="inlineStr">
        <is>
          <t>trace 15</t>
        </is>
      </c>
      <c r="DX9" s="27" t="inlineStr">
        <is>
          <t>trace 16</t>
        </is>
      </c>
      <c r="DY9" s="27" t="inlineStr">
        <is>
          <t>trace 17</t>
        </is>
      </c>
      <c r="DZ9" s="27" t="inlineStr">
        <is>
          <t>trace 18</t>
        </is>
      </c>
      <c r="EA9" s="27" t="inlineStr">
        <is>
          <t>trace 19</t>
        </is>
      </c>
      <c r="EB9" s="27" t="inlineStr">
        <is>
          <t>trace 20</t>
        </is>
      </c>
      <c r="EC9" s="27" t="inlineStr">
        <is>
          <t>trace 21</t>
        </is>
      </c>
      <c r="ED9" s="27" t="inlineStr">
        <is>
          <t>trace 22</t>
        </is>
      </c>
      <c r="EE9" s="27" t="inlineStr">
        <is>
          <t>trace 23</t>
        </is>
      </c>
      <c r="EF9" s="27" t="inlineStr">
        <is>
          <t>trace 24</t>
        </is>
      </c>
      <c r="EG9" s="27" t="inlineStr">
        <is>
          <t>trace 25</t>
        </is>
      </c>
      <c r="EH9" s="27" t="inlineStr">
        <is>
          <t>trace 26</t>
        </is>
      </c>
      <c r="EI9" s="27" t="inlineStr">
        <is>
          <t>trace 27</t>
        </is>
      </c>
      <c r="EJ9" s="27" t="inlineStr">
        <is>
          <t>trace 28</t>
        </is>
      </c>
      <c r="EK9" s="27" t="inlineStr">
        <is>
          <t>trace 29</t>
        </is>
      </c>
      <c r="EL9" s="27" t="inlineStr">
        <is>
          <t>trace 30</t>
        </is>
      </c>
      <c r="EM9" s="27" t="inlineStr">
        <is>
          <t>trace 31</t>
        </is>
      </c>
      <c r="EN9" s="27" t="inlineStr">
        <is>
          <t>trace 32</t>
        </is>
      </c>
      <c r="EO9" s="27" t="inlineStr">
        <is>
          <t>trace 33</t>
        </is>
      </c>
      <c r="EP9" s="27" t="inlineStr">
        <is>
          <t>trace 34</t>
        </is>
      </c>
      <c r="EQ9" s="27" t="inlineStr">
        <is>
          <t>trace 35</t>
        </is>
      </c>
      <c r="ER9" s="27" t="inlineStr">
        <is>
          <t>trace 36</t>
        </is>
      </c>
      <c r="ES9" s="27" t="inlineStr">
        <is>
          <t>trace 37</t>
        </is>
      </c>
      <c r="ET9" s="27" t="inlineStr">
        <is>
          <t>trace 38</t>
        </is>
      </c>
      <c r="EU9" s="27" t="inlineStr">
        <is>
          <t>trace 39</t>
        </is>
      </c>
      <c r="EV9" s="27" t="inlineStr">
        <is>
          <t>trace 40</t>
        </is>
      </c>
      <c r="EW9" s="27" t="inlineStr">
        <is>
          <t>trace 41</t>
        </is>
      </c>
      <c r="EX9" s="27" t="inlineStr">
        <is>
          <t>trace 42</t>
        </is>
      </c>
      <c r="EY9" s="27" t="inlineStr">
        <is>
          <t>trace 43</t>
        </is>
      </c>
      <c r="EZ9" s="27" t="inlineStr">
        <is>
          <t>trace 44</t>
        </is>
      </c>
      <c r="FA9" s="27" t="inlineStr">
        <is>
          <t>trace 45</t>
        </is>
      </c>
      <c r="FB9" s="27" t="inlineStr">
        <is>
          <t>trace 46</t>
        </is>
      </c>
      <c r="FC9" s="27" t="inlineStr">
        <is>
          <t>trace 47</t>
        </is>
      </c>
      <c r="FD9" s="27" t="inlineStr">
        <is>
          <t>trace 48</t>
        </is>
      </c>
      <c r="FE9" s="27" t="inlineStr">
        <is>
          <t>trace 49</t>
        </is>
      </c>
      <c r="FF9" s="27" t="inlineStr">
        <is>
          <t>trace 50</t>
        </is>
      </c>
      <c r="FG9" s="27" t="inlineStr">
        <is>
          <t>trace 51</t>
        </is>
      </c>
      <c r="FH9" s="27" t="inlineStr">
        <is>
          <t>trace 52</t>
        </is>
      </c>
      <c r="FI9" s="27" t="inlineStr">
        <is>
          <t>trace 53</t>
        </is>
      </c>
      <c r="FJ9" s="27" t="inlineStr">
        <is>
          <t>trace 54</t>
        </is>
      </c>
      <c r="FK9" s="27" t="inlineStr">
        <is>
          <t>trace 55</t>
        </is>
      </c>
      <c r="FL9" s="27" t="inlineStr">
        <is>
          <t>trace 56</t>
        </is>
      </c>
      <c r="FM9" s="27" t="inlineStr">
        <is>
          <t>trace 57</t>
        </is>
      </c>
      <c r="FN9" s="27" t="inlineStr">
        <is>
          <t>trace 58</t>
        </is>
      </c>
      <c r="FO9" s="27" t="inlineStr">
        <is>
          <t>trace 59</t>
        </is>
      </c>
      <c r="FP9" s="27" t="inlineStr">
        <is>
          <t>trace 60</t>
        </is>
      </c>
      <c r="FQ9" s="27" t="inlineStr">
        <is>
          <t>trace 61</t>
        </is>
      </c>
      <c r="FR9" s="27" t="inlineStr">
        <is>
          <t>trace 62</t>
        </is>
      </c>
      <c r="FS9" s="27" t="inlineStr">
        <is>
          <t>trace 63</t>
        </is>
      </c>
      <c r="FT9" s="27" t="inlineStr">
        <is>
          <t>trace 64</t>
        </is>
      </c>
      <c r="FU9" s="27" t="inlineStr">
        <is>
          <t>trace 65</t>
        </is>
      </c>
      <c r="FV9" s="27" t="inlineStr">
        <is>
          <t>trace 66</t>
        </is>
      </c>
      <c r="FW9" s="27" t="inlineStr">
        <is>
          <t>trace 67</t>
        </is>
      </c>
      <c r="FX9" s="27" t="inlineStr">
        <is>
          <t>trace 68</t>
        </is>
      </c>
      <c r="FY9" s="27" t="inlineStr">
        <is>
          <t>trace 69</t>
        </is>
      </c>
      <c r="FZ9" s="27" t="inlineStr">
        <is>
          <t>trace 70</t>
        </is>
      </c>
      <c r="GA9" s="27" t="inlineStr">
        <is>
          <t>trace 71</t>
        </is>
      </c>
      <c r="GB9" s="27" t="inlineStr">
        <is>
          <t>trace 72</t>
        </is>
      </c>
      <c r="GC9" s="27" t="inlineStr">
        <is>
          <t>trace 73</t>
        </is>
      </c>
      <c r="GD9" s="27" t="inlineStr">
        <is>
          <t>trace 74</t>
        </is>
      </c>
      <c r="GE9" s="27" t="inlineStr">
        <is>
          <t>trace 75</t>
        </is>
      </c>
      <c r="GF9" s="27" t="inlineStr">
        <is>
          <t>trace 76</t>
        </is>
      </c>
      <c r="GG9" s="27" t="inlineStr">
        <is>
          <t>trace 77</t>
        </is>
      </c>
      <c r="GH9" s="27" t="inlineStr">
        <is>
          <t>trace 78</t>
        </is>
      </c>
      <c r="GI9" s="27" t="inlineStr">
        <is>
          <t>trace 79</t>
        </is>
      </c>
      <c r="GJ9" s="27" t="inlineStr">
        <is>
          <t>trace 80</t>
        </is>
      </c>
      <c r="GK9" s="27" t="inlineStr">
        <is>
          <t>trace 81</t>
        </is>
      </c>
      <c r="GL9" s="27" t="inlineStr">
        <is>
          <t>trace 82</t>
        </is>
      </c>
      <c r="GM9" s="27" t="inlineStr">
        <is>
          <t>trace 83</t>
        </is>
      </c>
      <c r="GN9" s="27" t="inlineStr">
        <is>
          <t>trace 84</t>
        </is>
      </c>
      <c r="GO9" s="27" t="inlineStr">
        <is>
          <t>trace 85</t>
        </is>
      </c>
      <c r="GP9" s="27" t="inlineStr">
        <is>
          <t>trace 86</t>
        </is>
      </c>
      <c r="GQ9" s="27" t="inlineStr">
        <is>
          <t>trace 87</t>
        </is>
      </c>
      <c r="GR9" s="27" t="inlineStr">
        <is>
          <t>trace 88</t>
        </is>
      </c>
      <c r="GS9" s="27" t="inlineStr">
        <is>
          <t>trace 89</t>
        </is>
      </c>
      <c r="GT9" s="27" t="inlineStr">
        <is>
          <t>trace 90</t>
        </is>
      </c>
      <c r="GU9" s="27" t="inlineStr">
        <is>
          <t>trace 91</t>
        </is>
      </c>
      <c r="GV9" s="27" t="inlineStr">
        <is>
          <t>trace 92</t>
        </is>
      </c>
      <c r="GW9" s="27" t="inlineStr">
        <is>
          <t>trace 93</t>
        </is>
      </c>
      <c r="GX9" s="27" t="inlineStr">
        <is>
          <t>trace 94</t>
        </is>
      </c>
      <c r="GY9" s="27" t="inlineStr">
        <is>
          <t>trace 95</t>
        </is>
      </c>
      <c r="GZ9" s="27" t="inlineStr">
        <is>
          <t>trace 96</t>
        </is>
      </c>
    </row>
    <row r="10">
      <c r="A10" s="28" t="n">
        <v>0</v>
      </c>
      <c r="B10" s="28" t="n">
        <v>-1</v>
      </c>
      <c r="C10" s="28" t="n">
        <v>-1</v>
      </c>
      <c r="D10" s="28" t="n">
        <v>8</v>
      </c>
      <c r="E10" s="29">
        <f>IF($B$4=1,0,IF(ABS(1-(2*$B$5*4.0)^2)&lt;0.000001,PI()/4*SIN(PI()/(2*$B$5))/(PI()/(2*$B$5)),SIN(PI()*4.0)/(PI()*4.0)*COS(PI()*$B$5*4.0)/(1-(2*$B$5*4.0)^2)))</f>
        <v/>
      </c>
      <c r="F10" s="29">
        <f>IF($B$4=1,0,IF(ABS(1-(2*$B$5*3.0)^2)&lt;0.000001,PI()/4*SIN(PI()/(2*$B$5))/(PI()/(2*$B$5)),SIN(PI()*3.0)/(PI()*3.0)*COS(PI()*$B$5*3.0)/(1-(2*$B$5*3.0)^2)))</f>
        <v/>
      </c>
      <c r="G10" s="29">
        <f>IF($B$4=1,0,IF(ABS(1-(2*$B$5*2.0)^2)&lt;0.000001,PI()/4*SIN(PI()/(2*$B$5))/(PI()/(2*$B$5)),SIN(PI()*2.0)/(PI()*2.0)*COS(PI()*$B$5*2.0)/(1-(2*$B$5*2.0)^2)))</f>
        <v/>
      </c>
      <c r="H10" s="29">
        <f>IF($B$4=1,0,IF(ABS(1-(2*$B$5*1.0)^2)&lt;0.000001,PI()/4*SIN(PI()/(2*$B$5))/(PI()/(2*$B$5)),SIN(PI()*1.0)/(PI()*1.0)*COS(PI()*$B$5*1.0)/(1-(2*$B$5*1.0)^2)))</f>
        <v/>
      </c>
      <c r="I10" s="29">
        <f>IF($B$4=1,1,1)</f>
        <v/>
      </c>
      <c r="J10" s="29">
        <f>IF($B$4=1,0,IF(ABS(1-(2*$B$5*-1.0)^2)&lt;0.000001,PI()/4*SIN(PI()/(2*$B$5))/(PI()/(2*$B$5)),SIN(PI()*-1.0)/(PI()*-1.0)*COS(PI()*$B$5*-1.0)/(1-(2*$B$5*-1.0)^2)))</f>
        <v/>
      </c>
      <c r="K10" s="29">
        <f>IF($B$4=1,0,IF(ABS(1-(2*$B$5*-2.0)^2)&lt;0.000001,PI()/4*SIN(PI()/(2*$B$5))/(PI()/(2*$B$5)),SIN(PI()*-2.0)/(PI()*-2.0)*COS(PI()*$B$5*-2.0)/(1-(2*$B$5*-2.0)^2)))</f>
        <v/>
      </c>
      <c r="L10" s="29">
        <f>IF($B$4=1,0,IF(ABS(1-(2*$B$5*-3.0)^2)&lt;0.000001,PI()/4*SIN(PI()/(2*$B$5))/(PI()/(2*$B$5)),SIN(PI()*-3.0)/(PI()*-3.0)*COS(PI()*$B$5*-3.0)/(1-(2*$B$5*-3.0)^2)))</f>
        <v/>
      </c>
      <c r="M10" s="29">
        <f>IF($B$4=1,0,IF(ABS(1-(2*$B$5*-4.0)^2)&lt;0.000001,PI()/4*SIN(PI()/(2*$B$5))/(PI()/(2*$B$5)),SIN(PI()*-4.0)/(PI()*-4.0)*COS(PI()*$B$5*-4.0)/(1-(2*$B$5*-4.0)^2)))</f>
        <v/>
      </c>
      <c r="P10" s="30">
        <f>IF(1&gt;$B$3,99,INDEX(Symboles!$G$6:$G$101,MOD(0+$C10+(-4),$B$3)+1)*E10+INDEX(Symboles!$G$6:$G$101,MOD(0+$C10+(-3),$B$3)+1)*F10+INDEX(Symboles!$G$6:$G$101,MOD(0+$C10+(-2),$B$3)+1)*G10+INDEX(Symboles!$G$6:$G$101,MOD(0+$C10+(-1),$B$3)+1)*H10+INDEX(Symboles!$G$6:$G$101,MOD(0+$C10+(0),$B$3)+1)*I10+INDEX(Symboles!$G$6:$G$101,MOD(0+$C10+(1),$B$3)+1)*J10+INDEX(Symboles!$G$6:$G$101,MOD(0+$C10+(2),$B$3)+1)*K10+INDEX(Symboles!$G$6:$G$101,MOD(0+$C10+(3),$B$3)+1)*L10+INDEX(Symboles!$G$6:$G$101,MOD(0+$C10+(4),$B$3)+1)*M10+IF($B$6=0,0,$B$6*NORMSINV(0.000001+0.999998*RAND())))</f>
        <v/>
      </c>
      <c r="Q10" s="30">
        <f>IF(2&gt;$B$3,99,INDEX(Symboles!$G$6:$G$101,MOD(1+$C10+(-4),$B$3)+1)*E10+INDEX(Symboles!$G$6:$G$101,MOD(1+$C10+(-3),$B$3)+1)*F10+INDEX(Symboles!$G$6:$G$101,MOD(1+$C10+(-2),$B$3)+1)*G10+INDEX(Symboles!$G$6:$G$101,MOD(1+$C10+(-1),$B$3)+1)*H10+INDEX(Symboles!$G$6:$G$101,MOD(1+$C10+(0),$B$3)+1)*I10+INDEX(Symboles!$G$6:$G$101,MOD(1+$C10+(1),$B$3)+1)*J10+INDEX(Symboles!$G$6:$G$101,MOD(1+$C10+(2),$B$3)+1)*K10+INDEX(Symboles!$G$6:$G$101,MOD(1+$C10+(3),$B$3)+1)*L10+INDEX(Symboles!$G$6:$G$101,MOD(1+$C10+(4),$B$3)+1)*M10+IF($B$6=0,0,$B$6*NORMSINV(0.000001+0.999998*RAND())))</f>
        <v/>
      </c>
      <c r="R10" s="30">
        <f>IF(3&gt;$B$3,99,INDEX(Symboles!$G$6:$G$101,MOD(2+$C10+(-4),$B$3)+1)*E10+INDEX(Symboles!$G$6:$G$101,MOD(2+$C10+(-3),$B$3)+1)*F10+INDEX(Symboles!$G$6:$G$101,MOD(2+$C10+(-2),$B$3)+1)*G10+INDEX(Symboles!$G$6:$G$101,MOD(2+$C10+(-1),$B$3)+1)*H10+INDEX(Symboles!$G$6:$G$101,MOD(2+$C10+(0),$B$3)+1)*I10+INDEX(Symboles!$G$6:$G$101,MOD(2+$C10+(1),$B$3)+1)*J10+INDEX(Symboles!$G$6:$G$101,MOD(2+$C10+(2),$B$3)+1)*K10+INDEX(Symboles!$G$6:$G$101,MOD(2+$C10+(3),$B$3)+1)*L10+INDEX(Symboles!$G$6:$G$101,MOD(2+$C10+(4),$B$3)+1)*M10+IF($B$6=0,0,$B$6*NORMSINV(0.000001+0.999998*RAND())))</f>
        <v/>
      </c>
      <c r="S10" s="30">
        <f>IF(4&gt;$B$3,99,INDEX(Symboles!$G$6:$G$101,MOD(3+$C10+(-4),$B$3)+1)*E10+INDEX(Symboles!$G$6:$G$101,MOD(3+$C10+(-3),$B$3)+1)*F10+INDEX(Symboles!$G$6:$G$101,MOD(3+$C10+(-2),$B$3)+1)*G10+INDEX(Symboles!$G$6:$G$101,MOD(3+$C10+(-1),$B$3)+1)*H10+INDEX(Symboles!$G$6:$G$101,MOD(3+$C10+(0),$B$3)+1)*I10+INDEX(Symboles!$G$6:$G$101,MOD(3+$C10+(1),$B$3)+1)*J10+INDEX(Symboles!$G$6:$G$101,MOD(3+$C10+(2),$B$3)+1)*K10+INDEX(Symboles!$G$6:$G$101,MOD(3+$C10+(3),$B$3)+1)*L10+INDEX(Symboles!$G$6:$G$101,MOD(3+$C10+(4),$B$3)+1)*M10+IF($B$6=0,0,$B$6*NORMSINV(0.000001+0.999998*RAND())))</f>
        <v/>
      </c>
      <c r="T10" s="30">
        <f>IF(5&gt;$B$3,99,INDEX(Symboles!$G$6:$G$101,MOD(4+$C10+(-4),$B$3)+1)*E10+INDEX(Symboles!$G$6:$G$101,MOD(4+$C10+(-3),$B$3)+1)*F10+INDEX(Symboles!$G$6:$G$101,MOD(4+$C10+(-2),$B$3)+1)*G10+INDEX(Symboles!$G$6:$G$101,MOD(4+$C10+(-1),$B$3)+1)*H10+INDEX(Symboles!$G$6:$G$101,MOD(4+$C10+(0),$B$3)+1)*I10+INDEX(Symboles!$G$6:$G$101,MOD(4+$C10+(1),$B$3)+1)*J10+INDEX(Symboles!$G$6:$G$101,MOD(4+$C10+(2),$B$3)+1)*K10+INDEX(Symboles!$G$6:$G$101,MOD(4+$C10+(3),$B$3)+1)*L10+INDEX(Symboles!$G$6:$G$101,MOD(4+$C10+(4),$B$3)+1)*M10+IF($B$6=0,0,$B$6*NORMSINV(0.000001+0.999998*RAND())))</f>
        <v/>
      </c>
      <c r="U10" s="30">
        <f>IF(6&gt;$B$3,99,INDEX(Symboles!$G$6:$G$101,MOD(5+$C10+(-4),$B$3)+1)*E10+INDEX(Symboles!$G$6:$G$101,MOD(5+$C10+(-3),$B$3)+1)*F10+INDEX(Symboles!$G$6:$G$101,MOD(5+$C10+(-2),$B$3)+1)*G10+INDEX(Symboles!$G$6:$G$101,MOD(5+$C10+(-1),$B$3)+1)*H10+INDEX(Symboles!$G$6:$G$101,MOD(5+$C10+(0),$B$3)+1)*I10+INDEX(Symboles!$G$6:$G$101,MOD(5+$C10+(1),$B$3)+1)*J10+INDEX(Symboles!$G$6:$G$101,MOD(5+$C10+(2),$B$3)+1)*K10+INDEX(Symboles!$G$6:$G$101,MOD(5+$C10+(3),$B$3)+1)*L10+INDEX(Symboles!$G$6:$G$101,MOD(5+$C10+(4),$B$3)+1)*M10+IF($B$6=0,0,$B$6*NORMSINV(0.000001+0.999998*RAND())))</f>
        <v/>
      </c>
      <c r="V10" s="30">
        <f>IF(7&gt;$B$3,99,INDEX(Symboles!$G$6:$G$101,MOD(6+$C10+(-4),$B$3)+1)*E10+INDEX(Symboles!$G$6:$G$101,MOD(6+$C10+(-3),$B$3)+1)*F10+INDEX(Symboles!$G$6:$G$101,MOD(6+$C10+(-2),$B$3)+1)*G10+INDEX(Symboles!$G$6:$G$101,MOD(6+$C10+(-1),$B$3)+1)*H10+INDEX(Symboles!$G$6:$G$101,MOD(6+$C10+(0),$B$3)+1)*I10+INDEX(Symboles!$G$6:$G$101,MOD(6+$C10+(1),$B$3)+1)*J10+INDEX(Symboles!$G$6:$G$101,MOD(6+$C10+(2),$B$3)+1)*K10+INDEX(Symboles!$G$6:$G$101,MOD(6+$C10+(3),$B$3)+1)*L10+INDEX(Symboles!$G$6:$G$101,MOD(6+$C10+(4),$B$3)+1)*M10+IF($B$6=0,0,$B$6*NORMSINV(0.000001+0.999998*RAND())))</f>
        <v/>
      </c>
      <c r="W10" s="30">
        <f>IF(8&gt;$B$3,99,INDEX(Symboles!$G$6:$G$101,MOD(7+$C10+(-4),$B$3)+1)*E10+INDEX(Symboles!$G$6:$G$101,MOD(7+$C10+(-3),$B$3)+1)*F10+INDEX(Symboles!$G$6:$G$101,MOD(7+$C10+(-2),$B$3)+1)*G10+INDEX(Symboles!$G$6:$G$101,MOD(7+$C10+(-1),$B$3)+1)*H10+INDEX(Symboles!$G$6:$G$101,MOD(7+$C10+(0),$B$3)+1)*I10+INDEX(Symboles!$G$6:$G$101,MOD(7+$C10+(1),$B$3)+1)*J10+INDEX(Symboles!$G$6:$G$101,MOD(7+$C10+(2),$B$3)+1)*K10+INDEX(Symboles!$G$6:$G$101,MOD(7+$C10+(3),$B$3)+1)*L10+INDEX(Symboles!$G$6:$G$101,MOD(7+$C10+(4),$B$3)+1)*M10+IF($B$6=0,0,$B$6*NORMSINV(0.000001+0.999998*RAND())))</f>
        <v/>
      </c>
      <c r="X10" s="30">
        <f>IF(9&gt;$B$3,99,INDEX(Symboles!$G$6:$G$101,MOD(8+$C10+(-4),$B$3)+1)*E10+INDEX(Symboles!$G$6:$G$101,MOD(8+$C10+(-3),$B$3)+1)*F10+INDEX(Symboles!$G$6:$G$101,MOD(8+$C10+(-2),$B$3)+1)*G10+INDEX(Symboles!$G$6:$G$101,MOD(8+$C10+(-1),$B$3)+1)*H10+INDEX(Symboles!$G$6:$G$101,MOD(8+$C10+(0),$B$3)+1)*I10+INDEX(Symboles!$G$6:$G$101,MOD(8+$C10+(1),$B$3)+1)*J10+INDEX(Symboles!$G$6:$G$101,MOD(8+$C10+(2),$B$3)+1)*K10+INDEX(Symboles!$G$6:$G$101,MOD(8+$C10+(3),$B$3)+1)*L10+INDEX(Symboles!$G$6:$G$101,MOD(8+$C10+(4),$B$3)+1)*M10+IF($B$6=0,0,$B$6*NORMSINV(0.000001+0.999998*RAND())))</f>
        <v/>
      </c>
      <c r="Y10" s="30">
        <f>IF(10&gt;$B$3,99,INDEX(Symboles!$G$6:$G$101,MOD(9+$C10+(-4),$B$3)+1)*E10+INDEX(Symboles!$G$6:$G$101,MOD(9+$C10+(-3),$B$3)+1)*F10+INDEX(Symboles!$G$6:$G$101,MOD(9+$C10+(-2),$B$3)+1)*G10+INDEX(Symboles!$G$6:$G$101,MOD(9+$C10+(-1),$B$3)+1)*H10+INDEX(Symboles!$G$6:$G$101,MOD(9+$C10+(0),$B$3)+1)*I10+INDEX(Symboles!$G$6:$G$101,MOD(9+$C10+(1),$B$3)+1)*J10+INDEX(Symboles!$G$6:$G$101,MOD(9+$C10+(2),$B$3)+1)*K10+INDEX(Symboles!$G$6:$G$101,MOD(9+$C10+(3),$B$3)+1)*L10+INDEX(Symboles!$G$6:$G$101,MOD(9+$C10+(4),$B$3)+1)*M10+IF($B$6=0,0,$B$6*NORMSINV(0.000001+0.999998*RAND())))</f>
        <v/>
      </c>
      <c r="Z10" s="30">
        <f>IF(11&gt;$B$3,99,INDEX(Symboles!$G$6:$G$101,MOD(10+$C10+(-4),$B$3)+1)*E10+INDEX(Symboles!$G$6:$G$101,MOD(10+$C10+(-3),$B$3)+1)*F10+INDEX(Symboles!$G$6:$G$101,MOD(10+$C10+(-2),$B$3)+1)*G10+INDEX(Symboles!$G$6:$G$101,MOD(10+$C10+(-1),$B$3)+1)*H10+INDEX(Symboles!$G$6:$G$101,MOD(10+$C10+(0),$B$3)+1)*I10+INDEX(Symboles!$G$6:$G$101,MOD(10+$C10+(1),$B$3)+1)*J10+INDEX(Symboles!$G$6:$G$101,MOD(10+$C10+(2),$B$3)+1)*K10+INDEX(Symboles!$G$6:$G$101,MOD(10+$C10+(3),$B$3)+1)*L10+INDEX(Symboles!$G$6:$G$101,MOD(10+$C10+(4),$B$3)+1)*M10+IF($B$6=0,0,$B$6*NORMSINV(0.000001+0.999998*RAND())))</f>
        <v/>
      </c>
      <c r="AA10" s="30">
        <f>IF(12&gt;$B$3,99,INDEX(Symboles!$G$6:$G$101,MOD(11+$C10+(-4),$B$3)+1)*E10+INDEX(Symboles!$G$6:$G$101,MOD(11+$C10+(-3),$B$3)+1)*F10+INDEX(Symboles!$G$6:$G$101,MOD(11+$C10+(-2),$B$3)+1)*G10+INDEX(Symboles!$G$6:$G$101,MOD(11+$C10+(-1),$B$3)+1)*H10+INDEX(Symboles!$G$6:$G$101,MOD(11+$C10+(0),$B$3)+1)*I10+INDEX(Symboles!$G$6:$G$101,MOD(11+$C10+(1),$B$3)+1)*J10+INDEX(Symboles!$G$6:$G$101,MOD(11+$C10+(2),$B$3)+1)*K10+INDEX(Symboles!$G$6:$G$101,MOD(11+$C10+(3),$B$3)+1)*L10+INDEX(Symboles!$G$6:$G$101,MOD(11+$C10+(4),$B$3)+1)*M10+IF($B$6=0,0,$B$6*NORMSINV(0.000001+0.999998*RAND())))</f>
        <v/>
      </c>
      <c r="AB10" s="30">
        <f>IF(13&gt;$B$3,99,INDEX(Symboles!$G$6:$G$101,MOD(12+$C10+(-4),$B$3)+1)*E10+INDEX(Symboles!$G$6:$G$101,MOD(12+$C10+(-3),$B$3)+1)*F10+INDEX(Symboles!$G$6:$G$101,MOD(12+$C10+(-2),$B$3)+1)*G10+INDEX(Symboles!$G$6:$G$101,MOD(12+$C10+(-1),$B$3)+1)*H10+INDEX(Symboles!$G$6:$G$101,MOD(12+$C10+(0),$B$3)+1)*I10+INDEX(Symboles!$G$6:$G$101,MOD(12+$C10+(1),$B$3)+1)*J10+INDEX(Symboles!$G$6:$G$101,MOD(12+$C10+(2),$B$3)+1)*K10+INDEX(Symboles!$G$6:$G$101,MOD(12+$C10+(3),$B$3)+1)*L10+INDEX(Symboles!$G$6:$G$101,MOD(12+$C10+(4),$B$3)+1)*M10+IF($B$6=0,0,$B$6*NORMSINV(0.000001+0.999998*RAND())))</f>
        <v/>
      </c>
      <c r="AC10" s="30">
        <f>IF(14&gt;$B$3,99,INDEX(Symboles!$G$6:$G$101,MOD(13+$C10+(-4),$B$3)+1)*E10+INDEX(Symboles!$G$6:$G$101,MOD(13+$C10+(-3),$B$3)+1)*F10+INDEX(Symboles!$G$6:$G$101,MOD(13+$C10+(-2),$B$3)+1)*G10+INDEX(Symboles!$G$6:$G$101,MOD(13+$C10+(-1),$B$3)+1)*H10+INDEX(Symboles!$G$6:$G$101,MOD(13+$C10+(0),$B$3)+1)*I10+INDEX(Symboles!$G$6:$G$101,MOD(13+$C10+(1),$B$3)+1)*J10+INDEX(Symboles!$G$6:$G$101,MOD(13+$C10+(2),$B$3)+1)*K10+INDEX(Symboles!$G$6:$G$101,MOD(13+$C10+(3),$B$3)+1)*L10+INDEX(Symboles!$G$6:$G$101,MOD(13+$C10+(4),$B$3)+1)*M10+IF($B$6=0,0,$B$6*NORMSINV(0.000001+0.999998*RAND())))</f>
        <v/>
      </c>
      <c r="AD10" s="30">
        <f>IF(15&gt;$B$3,99,INDEX(Symboles!$G$6:$G$101,MOD(14+$C10+(-4),$B$3)+1)*E10+INDEX(Symboles!$G$6:$G$101,MOD(14+$C10+(-3),$B$3)+1)*F10+INDEX(Symboles!$G$6:$G$101,MOD(14+$C10+(-2),$B$3)+1)*G10+INDEX(Symboles!$G$6:$G$101,MOD(14+$C10+(-1),$B$3)+1)*H10+INDEX(Symboles!$G$6:$G$101,MOD(14+$C10+(0),$B$3)+1)*I10+INDEX(Symboles!$G$6:$G$101,MOD(14+$C10+(1),$B$3)+1)*J10+INDEX(Symboles!$G$6:$G$101,MOD(14+$C10+(2),$B$3)+1)*K10+INDEX(Symboles!$G$6:$G$101,MOD(14+$C10+(3),$B$3)+1)*L10+INDEX(Symboles!$G$6:$G$101,MOD(14+$C10+(4),$B$3)+1)*M10+IF($B$6=0,0,$B$6*NORMSINV(0.000001+0.999998*RAND())))</f>
        <v/>
      </c>
      <c r="AE10" s="30">
        <f>IF(16&gt;$B$3,99,INDEX(Symboles!$G$6:$G$101,MOD(15+$C10+(-4),$B$3)+1)*E10+INDEX(Symboles!$G$6:$G$101,MOD(15+$C10+(-3),$B$3)+1)*F10+INDEX(Symboles!$G$6:$G$101,MOD(15+$C10+(-2),$B$3)+1)*G10+INDEX(Symboles!$G$6:$G$101,MOD(15+$C10+(-1),$B$3)+1)*H10+INDEX(Symboles!$G$6:$G$101,MOD(15+$C10+(0),$B$3)+1)*I10+INDEX(Symboles!$G$6:$G$101,MOD(15+$C10+(1),$B$3)+1)*J10+INDEX(Symboles!$G$6:$G$101,MOD(15+$C10+(2),$B$3)+1)*K10+INDEX(Symboles!$G$6:$G$101,MOD(15+$C10+(3),$B$3)+1)*L10+INDEX(Symboles!$G$6:$G$101,MOD(15+$C10+(4),$B$3)+1)*M10+IF($B$6=0,0,$B$6*NORMSINV(0.000001+0.999998*RAND())))</f>
        <v/>
      </c>
      <c r="AF10" s="30">
        <f>IF(17&gt;$B$3,99,INDEX(Symboles!$G$6:$G$101,MOD(16+$C10+(-4),$B$3)+1)*E10+INDEX(Symboles!$G$6:$G$101,MOD(16+$C10+(-3),$B$3)+1)*F10+INDEX(Symboles!$G$6:$G$101,MOD(16+$C10+(-2),$B$3)+1)*G10+INDEX(Symboles!$G$6:$G$101,MOD(16+$C10+(-1),$B$3)+1)*H10+INDEX(Symboles!$G$6:$G$101,MOD(16+$C10+(0),$B$3)+1)*I10+INDEX(Symboles!$G$6:$G$101,MOD(16+$C10+(1),$B$3)+1)*J10+INDEX(Symboles!$G$6:$G$101,MOD(16+$C10+(2),$B$3)+1)*K10+INDEX(Symboles!$G$6:$G$101,MOD(16+$C10+(3),$B$3)+1)*L10+INDEX(Symboles!$G$6:$G$101,MOD(16+$C10+(4),$B$3)+1)*M10+IF($B$6=0,0,$B$6*NORMSINV(0.000001+0.999998*RAND())))</f>
        <v/>
      </c>
      <c r="AG10" s="30">
        <f>IF(18&gt;$B$3,99,INDEX(Symboles!$G$6:$G$101,MOD(17+$C10+(-4),$B$3)+1)*E10+INDEX(Symboles!$G$6:$G$101,MOD(17+$C10+(-3),$B$3)+1)*F10+INDEX(Symboles!$G$6:$G$101,MOD(17+$C10+(-2),$B$3)+1)*G10+INDEX(Symboles!$G$6:$G$101,MOD(17+$C10+(-1),$B$3)+1)*H10+INDEX(Symboles!$G$6:$G$101,MOD(17+$C10+(0),$B$3)+1)*I10+INDEX(Symboles!$G$6:$G$101,MOD(17+$C10+(1),$B$3)+1)*J10+INDEX(Symboles!$G$6:$G$101,MOD(17+$C10+(2),$B$3)+1)*K10+INDEX(Symboles!$G$6:$G$101,MOD(17+$C10+(3),$B$3)+1)*L10+INDEX(Symboles!$G$6:$G$101,MOD(17+$C10+(4),$B$3)+1)*M10+IF($B$6=0,0,$B$6*NORMSINV(0.000001+0.999998*RAND())))</f>
        <v/>
      </c>
      <c r="AH10" s="30">
        <f>IF(19&gt;$B$3,99,INDEX(Symboles!$G$6:$G$101,MOD(18+$C10+(-4),$B$3)+1)*E10+INDEX(Symboles!$G$6:$G$101,MOD(18+$C10+(-3),$B$3)+1)*F10+INDEX(Symboles!$G$6:$G$101,MOD(18+$C10+(-2),$B$3)+1)*G10+INDEX(Symboles!$G$6:$G$101,MOD(18+$C10+(-1),$B$3)+1)*H10+INDEX(Symboles!$G$6:$G$101,MOD(18+$C10+(0),$B$3)+1)*I10+INDEX(Symboles!$G$6:$G$101,MOD(18+$C10+(1),$B$3)+1)*J10+INDEX(Symboles!$G$6:$G$101,MOD(18+$C10+(2),$B$3)+1)*K10+INDEX(Symboles!$G$6:$G$101,MOD(18+$C10+(3),$B$3)+1)*L10+INDEX(Symboles!$G$6:$G$101,MOD(18+$C10+(4),$B$3)+1)*M10+IF($B$6=0,0,$B$6*NORMSINV(0.000001+0.999998*RAND())))</f>
        <v/>
      </c>
      <c r="AI10" s="30">
        <f>IF(20&gt;$B$3,99,INDEX(Symboles!$G$6:$G$101,MOD(19+$C10+(-4),$B$3)+1)*E10+INDEX(Symboles!$G$6:$G$101,MOD(19+$C10+(-3),$B$3)+1)*F10+INDEX(Symboles!$G$6:$G$101,MOD(19+$C10+(-2),$B$3)+1)*G10+INDEX(Symboles!$G$6:$G$101,MOD(19+$C10+(-1),$B$3)+1)*H10+INDEX(Symboles!$G$6:$G$101,MOD(19+$C10+(0),$B$3)+1)*I10+INDEX(Symboles!$G$6:$G$101,MOD(19+$C10+(1),$B$3)+1)*J10+INDEX(Symboles!$G$6:$G$101,MOD(19+$C10+(2),$B$3)+1)*K10+INDEX(Symboles!$G$6:$G$101,MOD(19+$C10+(3),$B$3)+1)*L10+INDEX(Symboles!$G$6:$G$101,MOD(19+$C10+(4),$B$3)+1)*M10+IF($B$6=0,0,$B$6*NORMSINV(0.000001+0.999998*RAND())))</f>
        <v/>
      </c>
      <c r="AJ10" s="30">
        <f>IF(21&gt;$B$3,99,INDEX(Symboles!$G$6:$G$101,MOD(20+$C10+(-4),$B$3)+1)*E10+INDEX(Symboles!$G$6:$G$101,MOD(20+$C10+(-3),$B$3)+1)*F10+INDEX(Symboles!$G$6:$G$101,MOD(20+$C10+(-2),$B$3)+1)*G10+INDEX(Symboles!$G$6:$G$101,MOD(20+$C10+(-1),$B$3)+1)*H10+INDEX(Symboles!$G$6:$G$101,MOD(20+$C10+(0),$B$3)+1)*I10+INDEX(Symboles!$G$6:$G$101,MOD(20+$C10+(1),$B$3)+1)*J10+INDEX(Symboles!$G$6:$G$101,MOD(20+$C10+(2),$B$3)+1)*K10+INDEX(Symboles!$G$6:$G$101,MOD(20+$C10+(3),$B$3)+1)*L10+INDEX(Symboles!$G$6:$G$101,MOD(20+$C10+(4),$B$3)+1)*M10+IF($B$6=0,0,$B$6*NORMSINV(0.000001+0.999998*RAND())))</f>
        <v/>
      </c>
      <c r="AK10" s="30">
        <f>IF(22&gt;$B$3,99,INDEX(Symboles!$G$6:$G$101,MOD(21+$C10+(-4),$B$3)+1)*E10+INDEX(Symboles!$G$6:$G$101,MOD(21+$C10+(-3),$B$3)+1)*F10+INDEX(Symboles!$G$6:$G$101,MOD(21+$C10+(-2),$B$3)+1)*G10+INDEX(Symboles!$G$6:$G$101,MOD(21+$C10+(-1),$B$3)+1)*H10+INDEX(Symboles!$G$6:$G$101,MOD(21+$C10+(0),$B$3)+1)*I10+INDEX(Symboles!$G$6:$G$101,MOD(21+$C10+(1),$B$3)+1)*J10+INDEX(Symboles!$G$6:$G$101,MOD(21+$C10+(2),$B$3)+1)*K10+INDEX(Symboles!$G$6:$G$101,MOD(21+$C10+(3),$B$3)+1)*L10+INDEX(Symboles!$G$6:$G$101,MOD(21+$C10+(4),$B$3)+1)*M10+IF($B$6=0,0,$B$6*NORMSINV(0.000001+0.999998*RAND())))</f>
        <v/>
      </c>
      <c r="AL10" s="30">
        <f>IF(23&gt;$B$3,99,INDEX(Symboles!$G$6:$G$101,MOD(22+$C10+(-4),$B$3)+1)*E10+INDEX(Symboles!$G$6:$G$101,MOD(22+$C10+(-3),$B$3)+1)*F10+INDEX(Symboles!$G$6:$G$101,MOD(22+$C10+(-2),$B$3)+1)*G10+INDEX(Symboles!$G$6:$G$101,MOD(22+$C10+(-1),$B$3)+1)*H10+INDEX(Symboles!$G$6:$G$101,MOD(22+$C10+(0),$B$3)+1)*I10+INDEX(Symboles!$G$6:$G$101,MOD(22+$C10+(1),$B$3)+1)*J10+INDEX(Symboles!$G$6:$G$101,MOD(22+$C10+(2),$B$3)+1)*K10+INDEX(Symboles!$G$6:$G$101,MOD(22+$C10+(3),$B$3)+1)*L10+INDEX(Symboles!$G$6:$G$101,MOD(22+$C10+(4),$B$3)+1)*M10+IF($B$6=0,0,$B$6*NORMSINV(0.000001+0.999998*RAND())))</f>
        <v/>
      </c>
      <c r="AM10" s="30">
        <f>IF(24&gt;$B$3,99,INDEX(Symboles!$G$6:$G$101,MOD(23+$C10+(-4),$B$3)+1)*E10+INDEX(Symboles!$G$6:$G$101,MOD(23+$C10+(-3),$B$3)+1)*F10+INDEX(Symboles!$G$6:$G$101,MOD(23+$C10+(-2),$B$3)+1)*G10+INDEX(Symboles!$G$6:$G$101,MOD(23+$C10+(-1),$B$3)+1)*H10+INDEX(Symboles!$G$6:$G$101,MOD(23+$C10+(0),$B$3)+1)*I10+INDEX(Symboles!$G$6:$G$101,MOD(23+$C10+(1),$B$3)+1)*J10+INDEX(Symboles!$G$6:$G$101,MOD(23+$C10+(2),$B$3)+1)*K10+INDEX(Symboles!$G$6:$G$101,MOD(23+$C10+(3),$B$3)+1)*L10+INDEX(Symboles!$G$6:$G$101,MOD(23+$C10+(4),$B$3)+1)*M10+IF($B$6=0,0,$B$6*NORMSINV(0.000001+0.999998*RAND())))</f>
        <v/>
      </c>
      <c r="AN10" s="30">
        <f>IF(25&gt;$B$3,99,INDEX(Symboles!$G$6:$G$101,MOD(24+$C10+(-4),$B$3)+1)*E10+INDEX(Symboles!$G$6:$G$101,MOD(24+$C10+(-3),$B$3)+1)*F10+INDEX(Symboles!$G$6:$G$101,MOD(24+$C10+(-2),$B$3)+1)*G10+INDEX(Symboles!$G$6:$G$101,MOD(24+$C10+(-1),$B$3)+1)*H10+INDEX(Symboles!$G$6:$G$101,MOD(24+$C10+(0),$B$3)+1)*I10+INDEX(Symboles!$G$6:$G$101,MOD(24+$C10+(1),$B$3)+1)*J10+INDEX(Symboles!$G$6:$G$101,MOD(24+$C10+(2),$B$3)+1)*K10+INDEX(Symboles!$G$6:$G$101,MOD(24+$C10+(3),$B$3)+1)*L10+INDEX(Symboles!$G$6:$G$101,MOD(24+$C10+(4),$B$3)+1)*M10+IF($B$6=0,0,$B$6*NORMSINV(0.000001+0.999998*RAND())))</f>
        <v/>
      </c>
      <c r="AO10" s="30">
        <f>IF(26&gt;$B$3,99,INDEX(Symboles!$G$6:$G$101,MOD(25+$C10+(-4),$B$3)+1)*E10+INDEX(Symboles!$G$6:$G$101,MOD(25+$C10+(-3),$B$3)+1)*F10+INDEX(Symboles!$G$6:$G$101,MOD(25+$C10+(-2),$B$3)+1)*G10+INDEX(Symboles!$G$6:$G$101,MOD(25+$C10+(-1),$B$3)+1)*H10+INDEX(Symboles!$G$6:$G$101,MOD(25+$C10+(0),$B$3)+1)*I10+INDEX(Symboles!$G$6:$G$101,MOD(25+$C10+(1),$B$3)+1)*J10+INDEX(Symboles!$G$6:$G$101,MOD(25+$C10+(2),$B$3)+1)*K10+INDEX(Symboles!$G$6:$G$101,MOD(25+$C10+(3),$B$3)+1)*L10+INDEX(Symboles!$G$6:$G$101,MOD(25+$C10+(4),$B$3)+1)*M10+IF($B$6=0,0,$B$6*NORMSINV(0.000001+0.999998*RAND())))</f>
        <v/>
      </c>
      <c r="AP10" s="30">
        <f>IF(27&gt;$B$3,99,INDEX(Symboles!$G$6:$G$101,MOD(26+$C10+(-4),$B$3)+1)*E10+INDEX(Symboles!$G$6:$G$101,MOD(26+$C10+(-3),$B$3)+1)*F10+INDEX(Symboles!$G$6:$G$101,MOD(26+$C10+(-2),$B$3)+1)*G10+INDEX(Symboles!$G$6:$G$101,MOD(26+$C10+(-1),$B$3)+1)*H10+INDEX(Symboles!$G$6:$G$101,MOD(26+$C10+(0),$B$3)+1)*I10+INDEX(Symboles!$G$6:$G$101,MOD(26+$C10+(1),$B$3)+1)*J10+INDEX(Symboles!$G$6:$G$101,MOD(26+$C10+(2),$B$3)+1)*K10+INDEX(Symboles!$G$6:$G$101,MOD(26+$C10+(3),$B$3)+1)*L10+INDEX(Symboles!$G$6:$G$101,MOD(26+$C10+(4),$B$3)+1)*M10+IF($B$6=0,0,$B$6*NORMSINV(0.000001+0.999998*RAND())))</f>
        <v/>
      </c>
      <c r="AQ10" s="30">
        <f>IF(28&gt;$B$3,99,INDEX(Symboles!$G$6:$G$101,MOD(27+$C10+(-4),$B$3)+1)*E10+INDEX(Symboles!$G$6:$G$101,MOD(27+$C10+(-3),$B$3)+1)*F10+INDEX(Symboles!$G$6:$G$101,MOD(27+$C10+(-2),$B$3)+1)*G10+INDEX(Symboles!$G$6:$G$101,MOD(27+$C10+(-1),$B$3)+1)*H10+INDEX(Symboles!$G$6:$G$101,MOD(27+$C10+(0),$B$3)+1)*I10+INDEX(Symboles!$G$6:$G$101,MOD(27+$C10+(1),$B$3)+1)*J10+INDEX(Symboles!$G$6:$G$101,MOD(27+$C10+(2),$B$3)+1)*K10+INDEX(Symboles!$G$6:$G$101,MOD(27+$C10+(3),$B$3)+1)*L10+INDEX(Symboles!$G$6:$G$101,MOD(27+$C10+(4),$B$3)+1)*M10+IF($B$6=0,0,$B$6*NORMSINV(0.000001+0.999998*RAND())))</f>
        <v/>
      </c>
      <c r="AR10" s="30">
        <f>IF(29&gt;$B$3,99,INDEX(Symboles!$G$6:$G$101,MOD(28+$C10+(-4),$B$3)+1)*E10+INDEX(Symboles!$G$6:$G$101,MOD(28+$C10+(-3),$B$3)+1)*F10+INDEX(Symboles!$G$6:$G$101,MOD(28+$C10+(-2),$B$3)+1)*G10+INDEX(Symboles!$G$6:$G$101,MOD(28+$C10+(-1),$B$3)+1)*H10+INDEX(Symboles!$G$6:$G$101,MOD(28+$C10+(0),$B$3)+1)*I10+INDEX(Symboles!$G$6:$G$101,MOD(28+$C10+(1),$B$3)+1)*J10+INDEX(Symboles!$G$6:$G$101,MOD(28+$C10+(2),$B$3)+1)*K10+INDEX(Symboles!$G$6:$G$101,MOD(28+$C10+(3),$B$3)+1)*L10+INDEX(Symboles!$G$6:$G$101,MOD(28+$C10+(4),$B$3)+1)*M10+IF($B$6=0,0,$B$6*NORMSINV(0.000001+0.999998*RAND())))</f>
        <v/>
      </c>
      <c r="AS10" s="30">
        <f>IF(30&gt;$B$3,99,INDEX(Symboles!$G$6:$G$101,MOD(29+$C10+(-4),$B$3)+1)*E10+INDEX(Symboles!$G$6:$G$101,MOD(29+$C10+(-3),$B$3)+1)*F10+INDEX(Symboles!$G$6:$G$101,MOD(29+$C10+(-2),$B$3)+1)*G10+INDEX(Symboles!$G$6:$G$101,MOD(29+$C10+(-1),$B$3)+1)*H10+INDEX(Symboles!$G$6:$G$101,MOD(29+$C10+(0),$B$3)+1)*I10+INDEX(Symboles!$G$6:$G$101,MOD(29+$C10+(1),$B$3)+1)*J10+INDEX(Symboles!$G$6:$G$101,MOD(29+$C10+(2),$B$3)+1)*K10+INDEX(Symboles!$G$6:$G$101,MOD(29+$C10+(3),$B$3)+1)*L10+INDEX(Symboles!$G$6:$G$101,MOD(29+$C10+(4),$B$3)+1)*M10+IF($B$6=0,0,$B$6*NORMSINV(0.000001+0.999998*RAND())))</f>
        <v/>
      </c>
      <c r="AT10" s="30">
        <f>IF(31&gt;$B$3,99,INDEX(Symboles!$G$6:$G$101,MOD(30+$C10+(-4),$B$3)+1)*E10+INDEX(Symboles!$G$6:$G$101,MOD(30+$C10+(-3),$B$3)+1)*F10+INDEX(Symboles!$G$6:$G$101,MOD(30+$C10+(-2),$B$3)+1)*G10+INDEX(Symboles!$G$6:$G$101,MOD(30+$C10+(-1),$B$3)+1)*H10+INDEX(Symboles!$G$6:$G$101,MOD(30+$C10+(0),$B$3)+1)*I10+INDEX(Symboles!$G$6:$G$101,MOD(30+$C10+(1),$B$3)+1)*J10+INDEX(Symboles!$G$6:$G$101,MOD(30+$C10+(2),$B$3)+1)*K10+INDEX(Symboles!$G$6:$G$101,MOD(30+$C10+(3),$B$3)+1)*L10+INDEX(Symboles!$G$6:$G$101,MOD(30+$C10+(4),$B$3)+1)*M10+IF($B$6=0,0,$B$6*NORMSINV(0.000001+0.999998*RAND())))</f>
        <v/>
      </c>
      <c r="AU10" s="30">
        <f>IF(32&gt;$B$3,99,INDEX(Symboles!$G$6:$G$101,MOD(31+$C10+(-4),$B$3)+1)*E10+INDEX(Symboles!$G$6:$G$101,MOD(31+$C10+(-3),$B$3)+1)*F10+INDEX(Symboles!$G$6:$G$101,MOD(31+$C10+(-2),$B$3)+1)*G10+INDEX(Symboles!$G$6:$G$101,MOD(31+$C10+(-1),$B$3)+1)*H10+INDEX(Symboles!$G$6:$G$101,MOD(31+$C10+(0),$B$3)+1)*I10+INDEX(Symboles!$G$6:$G$101,MOD(31+$C10+(1),$B$3)+1)*J10+INDEX(Symboles!$G$6:$G$101,MOD(31+$C10+(2),$B$3)+1)*K10+INDEX(Symboles!$G$6:$G$101,MOD(31+$C10+(3),$B$3)+1)*L10+INDEX(Symboles!$G$6:$G$101,MOD(31+$C10+(4),$B$3)+1)*M10+IF($B$6=0,0,$B$6*NORMSINV(0.000001+0.999998*RAND())))</f>
        <v/>
      </c>
      <c r="AV10" s="30">
        <f>IF(33&gt;$B$3,99,INDEX(Symboles!$G$6:$G$101,MOD(32+$C10+(-4),$B$3)+1)*E10+INDEX(Symboles!$G$6:$G$101,MOD(32+$C10+(-3),$B$3)+1)*F10+INDEX(Symboles!$G$6:$G$101,MOD(32+$C10+(-2),$B$3)+1)*G10+INDEX(Symboles!$G$6:$G$101,MOD(32+$C10+(-1),$B$3)+1)*H10+INDEX(Symboles!$G$6:$G$101,MOD(32+$C10+(0),$B$3)+1)*I10+INDEX(Symboles!$G$6:$G$101,MOD(32+$C10+(1),$B$3)+1)*J10+INDEX(Symboles!$G$6:$G$101,MOD(32+$C10+(2),$B$3)+1)*K10+INDEX(Symboles!$G$6:$G$101,MOD(32+$C10+(3),$B$3)+1)*L10+INDEX(Symboles!$G$6:$G$101,MOD(32+$C10+(4),$B$3)+1)*M10+IF($B$6=0,0,$B$6*NORMSINV(0.000001+0.999998*RAND())))</f>
        <v/>
      </c>
      <c r="AW10" s="30">
        <f>IF(34&gt;$B$3,99,INDEX(Symboles!$G$6:$G$101,MOD(33+$C10+(-4),$B$3)+1)*E10+INDEX(Symboles!$G$6:$G$101,MOD(33+$C10+(-3),$B$3)+1)*F10+INDEX(Symboles!$G$6:$G$101,MOD(33+$C10+(-2),$B$3)+1)*G10+INDEX(Symboles!$G$6:$G$101,MOD(33+$C10+(-1),$B$3)+1)*H10+INDEX(Symboles!$G$6:$G$101,MOD(33+$C10+(0),$B$3)+1)*I10+INDEX(Symboles!$G$6:$G$101,MOD(33+$C10+(1),$B$3)+1)*J10+INDEX(Symboles!$G$6:$G$101,MOD(33+$C10+(2),$B$3)+1)*K10+INDEX(Symboles!$G$6:$G$101,MOD(33+$C10+(3),$B$3)+1)*L10+INDEX(Symboles!$G$6:$G$101,MOD(33+$C10+(4),$B$3)+1)*M10+IF($B$6=0,0,$B$6*NORMSINV(0.000001+0.999998*RAND())))</f>
        <v/>
      </c>
      <c r="AX10" s="30">
        <f>IF(35&gt;$B$3,99,INDEX(Symboles!$G$6:$G$101,MOD(34+$C10+(-4),$B$3)+1)*E10+INDEX(Symboles!$G$6:$G$101,MOD(34+$C10+(-3),$B$3)+1)*F10+INDEX(Symboles!$G$6:$G$101,MOD(34+$C10+(-2),$B$3)+1)*G10+INDEX(Symboles!$G$6:$G$101,MOD(34+$C10+(-1),$B$3)+1)*H10+INDEX(Symboles!$G$6:$G$101,MOD(34+$C10+(0),$B$3)+1)*I10+INDEX(Symboles!$G$6:$G$101,MOD(34+$C10+(1),$B$3)+1)*J10+INDEX(Symboles!$G$6:$G$101,MOD(34+$C10+(2),$B$3)+1)*K10+INDEX(Symboles!$G$6:$G$101,MOD(34+$C10+(3),$B$3)+1)*L10+INDEX(Symboles!$G$6:$G$101,MOD(34+$C10+(4),$B$3)+1)*M10+IF($B$6=0,0,$B$6*NORMSINV(0.000001+0.999998*RAND())))</f>
        <v/>
      </c>
      <c r="AY10" s="30">
        <f>IF(36&gt;$B$3,99,INDEX(Symboles!$G$6:$G$101,MOD(35+$C10+(-4),$B$3)+1)*E10+INDEX(Symboles!$G$6:$G$101,MOD(35+$C10+(-3),$B$3)+1)*F10+INDEX(Symboles!$G$6:$G$101,MOD(35+$C10+(-2),$B$3)+1)*G10+INDEX(Symboles!$G$6:$G$101,MOD(35+$C10+(-1),$B$3)+1)*H10+INDEX(Symboles!$G$6:$G$101,MOD(35+$C10+(0),$B$3)+1)*I10+INDEX(Symboles!$G$6:$G$101,MOD(35+$C10+(1),$B$3)+1)*J10+INDEX(Symboles!$G$6:$G$101,MOD(35+$C10+(2),$B$3)+1)*K10+INDEX(Symboles!$G$6:$G$101,MOD(35+$C10+(3),$B$3)+1)*L10+INDEX(Symboles!$G$6:$G$101,MOD(35+$C10+(4),$B$3)+1)*M10+IF($B$6=0,0,$B$6*NORMSINV(0.000001+0.999998*RAND())))</f>
        <v/>
      </c>
      <c r="AZ10" s="30">
        <f>IF(37&gt;$B$3,99,INDEX(Symboles!$G$6:$G$101,MOD(36+$C10+(-4),$B$3)+1)*E10+INDEX(Symboles!$G$6:$G$101,MOD(36+$C10+(-3),$B$3)+1)*F10+INDEX(Symboles!$G$6:$G$101,MOD(36+$C10+(-2),$B$3)+1)*G10+INDEX(Symboles!$G$6:$G$101,MOD(36+$C10+(-1),$B$3)+1)*H10+INDEX(Symboles!$G$6:$G$101,MOD(36+$C10+(0),$B$3)+1)*I10+INDEX(Symboles!$G$6:$G$101,MOD(36+$C10+(1),$B$3)+1)*J10+INDEX(Symboles!$G$6:$G$101,MOD(36+$C10+(2),$B$3)+1)*K10+INDEX(Symboles!$G$6:$G$101,MOD(36+$C10+(3),$B$3)+1)*L10+INDEX(Symboles!$G$6:$G$101,MOD(36+$C10+(4),$B$3)+1)*M10+IF($B$6=0,0,$B$6*NORMSINV(0.000001+0.999998*RAND())))</f>
        <v/>
      </c>
      <c r="BA10" s="30">
        <f>IF(38&gt;$B$3,99,INDEX(Symboles!$G$6:$G$101,MOD(37+$C10+(-4),$B$3)+1)*E10+INDEX(Symboles!$G$6:$G$101,MOD(37+$C10+(-3),$B$3)+1)*F10+INDEX(Symboles!$G$6:$G$101,MOD(37+$C10+(-2),$B$3)+1)*G10+INDEX(Symboles!$G$6:$G$101,MOD(37+$C10+(-1),$B$3)+1)*H10+INDEX(Symboles!$G$6:$G$101,MOD(37+$C10+(0),$B$3)+1)*I10+INDEX(Symboles!$G$6:$G$101,MOD(37+$C10+(1),$B$3)+1)*J10+INDEX(Symboles!$G$6:$G$101,MOD(37+$C10+(2),$B$3)+1)*K10+INDEX(Symboles!$G$6:$G$101,MOD(37+$C10+(3),$B$3)+1)*L10+INDEX(Symboles!$G$6:$G$101,MOD(37+$C10+(4),$B$3)+1)*M10+IF($B$6=0,0,$B$6*NORMSINV(0.000001+0.999998*RAND())))</f>
        <v/>
      </c>
      <c r="BB10" s="30">
        <f>IF(39&gt;$B$3,99,INDEX(Symboles!$G$6:$G$101,MOD(38+$C10+(-4),$B$3)+1)*E10+INDEX(Symboles!$G$6:$G$101,MOD(38+$C10+(-3),$B$3)+1)*F10+INDEX(Symboles!$G$6:$G$101,MOD(38+$C10+(-2),$B$3)+1)*G10+INDEX(Symboles!$G$6:$G$101,MOD(38+$C10+(-1),$B$3)+1)*H10+INDEX(Symboles!$G$6:$G$101,MOD(38+$C10+(0),$B$3)+1)*I10+INDEX(Symboles!$G$6:$G$101,MOD(38+$C10+(1),$B$3)+1)*J10+INDEX(Symboles!$G$6:$G$101,MOD(38+$C10+(2),$B$3)+1)*K10+INDEX(Symboles!$G$6:$G$101,MOD(38+$C10+(3),$B$3)+1)*L10+INDEX(Symboles!$G$6:$G$101,MOD(38+$C10+(4),$B$3)+1)*M10+IF($B$6=0,0,$B$6*NORMSINV(0.000001+0.999998*RAND())))</f>
        <v/>
      </c>
      <c r="BC10" s="30">
        <f>IF(40&gt;$B$3,99,INDEX(Symboles!$G$6:$G$101,MOD(39+$C10+(-4),$B$3)+1)*E10+INDEX(Symboles!$G$6:$G$101,MOD(39+$C10+(-3),$B$3)+1)*F10+INDEX(Symboles!$G$6:$G$101,MOD(39+$C10+(-2),$B$3)+1)*G10+INDEX(Symboles!$G$6:$G$101,MOD(39+$C10+(-1),$B$3)+1)*H10+INDEX(Symboles!$G$6:$G$101,MOD(39+$C10+(0),$B$3)+1)*I10+INDEX(Symboles!$G$6:$G$101,MOD(39+$C10+(1),$B$3)+1)*J10+INDEX(Symboles!$G$6:$G$101,MOD(39+$C10+(2),$B$3)+1)*K10+INDEX(Symboles!$G$6:$G$101,MOD(39+$C10+(3),$B$3)+1)*L10+INDEX(Symboles!$G$6:$G$101,MOD(39+$C10+(4),$B$3)+1)*M10+IF($B$6=0,0,$B$6*NORMSINV(0.000001+0.999998*RAND())))</f>
        <v/>
      </c>
      <c r="BD10" s="30">
        <f>IF(41&gt;$B$3,99,INDEX(Symboles!$G$6:$G$101,MOD(40+$C10+(-4),$B$3)+1)*E10+INDEX(Symboles!$G$6:$G$101,MOD(40+$C10+(-3),$B$3)+1)*F10+INDEX(Symboles!$G$6:$G$101,MOD(40+$C10+(-2),$B$3)+1)*G10+INDEX(Symboles!$G$6:$G$101,MOD(40+$C10+(-1),$B$3)+1)*H10+INDEX(Symboles!$G$6:$G$101,MOD(40+$C10+(0),$B$3)+1)*I10+INDEX(Symboles!$G$6:$G$101,MOD(40+$C10+(1),$B$3)+1)*J10+INDEX(Symboles!$G$6:$G$101,MOD(40+$C10+(2),$B$3)+1)*K10+INDEX(Symboles!$G$6:$G$101,MOD(40+$C10+(3),$B$3)+1)*L10+INDEX(Symboles!$G$6:$G$101,MOD(40+$C10+(4),$B$3)+1)*M10+IF($B$6=0,0,$B$6*NORMSINV(0.000001+0.999998*RAND())))</f>
        <v/>
      </c>
      <c r="BE10" s="30">
        <f>IF(42&gt;$B$3,99,INDEX(Symboles!$G$6:$G$101,MOD(41+$C10+(-4),$B$3)+1)*E10+INDEX(Symboles!$G$6:$G$101,MOD(41+$C10+(-3),$B$3)+1)*F10+INDEX(Symboles!$G$6:$G$101,MOD(41+$C10+(-2),$B$3)+1)*G10+INDEX(Symboles!$G$6:$G$101,MOD(41+$C10+(-1),$B$3)+1)*H10+INDEX(Symboles!$G$6:$G$101,MOD(41+$C10+(0),$B$3)+1)*I10+INDEX(Symboles!$G$6:$G$101,MOD(41+$C10+(1),$B$3)+1)*J10+INDEX(Symboles!$G$6:$G$101,MOD(41+$C10+(2),$B$3)+1)*K10+INDEX(Symboles!$G$6:$G$101,MOD(41+$C10+(3),$B$3)+1)*L10+INDEX(Symboles!$G$6:$G$101,MOD(41+$C10+(4),$B$3)+1)*M10+IF($B$6=0,0,$B$6*NORMSINV(0.000001+0.999998*RAND())))</f>
        <v/>
      </c>
      <c r="BF10" s="30">
        <f>IF(43&gt;$B$3,99,INDEX(Symboles!$G$6:$G$101,MOD(42+$C10+(-4),$B$3)+1)*E10+INDEX(Symboles!$G$6:$G$101,MOD(42+$C10+(-3),$B$3)+1)*F10+INDEX(Symboles!$G$6:$G$101,MOD(42+$C10+(-2),$B$3)+1)*G10+INDEX(Symboles!$G$6:$G$101,MOD(42+$C10+(-1),$B$3)+1)*H10+INDEX(Symboles!$G$6:$G$101,MOD(42+$C10+(0),$B$3)+1)*I10+INDEX(Symboles!$G$6:$G$101,MOD(42+$C10+(1),$B$3)+1)*J10+INDEX(Symboles!$G$6:$G$101,MOD(42+$C10+(2),$B$3)+1)*K10+INDEX(Symboles!$G$6:$G$101,MOD(42+$C10+(3),$B$3)+1)*L10+INDEX(Symboles!$G$6:$G$101,MOD(42+$C10+(4),$B$3)+1)*M10+IF($B$6=0,0,$B$6*NORMSINV(0.000001+0.999998*RAND())))</f>
        <v/>
      </c>
      <c r="BG10" s="30">
        <f>IF(44&gt;$B$3,99,INDEX(Symboles!$G$6:$G$101,MOD(43+$C10+(-4),$B$3)+1)*E10+INDEX(Symboles!$G$6:$G$101,MOD(43+$C10+(-3),$B$3)+1)*F10+INDEX(Symboles!$G$6:$G$101,MOD(43+$C10+(-2),$B$3)+1)*G10+INDEX(Symboles!$G$6:$G$101,MOD(43+$C10+(-1),$B$3)+1)*H10+INDEX(Symboles!$G$6:$G$101,MOD(43+$C10+(0),$B$3)+1)*I10+INDEX(Symboles!$G$6:$G$101,MOD(43+$C10+(1),$B$3)+1)*J10+INDEX(Symboles!$G$6:$G$101,MOD(43+$C10+(2),$B$3)+1)*K10+INDEX(Symboles!$G$6:$G$101,MOD(43+$C10+(3),$B$3)+1)*L10+INDEX(Symboles!$G$6:$G$101,MOD(43+$C10+(4),$B$3)+1)*M10+IF($B$6=0,0,$B$6*NORMSINV(0.000001+0.999998*RAND())))</f>
        <v/>
      </c>
      <c r="BH10" s="30">
        <f>IF(45&gt;$B$3,99,INDEX(Symboles!$G$6:$G$101,MOD(44+$C10+(-4),$B$3)+1)*E10+INDEX(Symboles!$G$6:$G$101,MOD(44+$C10+(-3),$B$3)+1)*F10+INDEX(Symboles!$G$6:$G$101,MOD(44+$C10+(-2),$B$3)+1)*G10+INDEX(Symboles!$G$6:$G$101,MOD(44+$C10+(-1),$B$3)+1)*H10+INDEX(Symboles!$G$6:$G$101,MOD(44+$C10+(0),$B$3)+1)*I10+INDEX(Symboles!$G$6:$G$101,MOD(44+$C10+(1),$B$3)+1)*J10+INDEX(Symboles!$G$6:$G$101,MOD(44+$C10+(2),$B$3)+1)*K10+INDEX(Symboles!$G$6:$G$101,MOD(44+$C10+(3),$B$3)+1)*L10+INDEX(Symboles!$G$6:$G$101,MOD(44+$C10+(4),$B$3)+1)*M10+IF($B$6=0,0,$B$6*NORMSINV(0.000001+0.999998*RAND())))</f>
        <v/>
      </c>
      <c r="BI10" s="30">
        <f>IF(46&gt;$B$3,99,INDEX(Symboles!$G$6:$G$101,MOD(45+$C10+(-4),$B$3)+1)*E10+INDEX(Symboles!$G$6:$G$101,MOD(45+$C10+(-3),$B$3)+1)*F10+INDEX(Symboles!$G$6:$G$101,MOD(45+$C10+(-2),$B$3)+1)*G10+INDEX(Symboles!$G$6:$G$101,MOD(45+$C10+(-1),$B$3)+1)*H10+INDEX(Symboles!$G$6:$G$101,MOD(45+$C10+(0),$B$3)+1)*I10+INDEX(Symboles!$G$6:$G$101,MOD(45+$C10+(1),$B$3)+1)*J10+INDEX(Symboles!$G$6:$G$101,MOD(45+$C10+(2),$B$3)+1)*K10+INDEX(Symboles!$G$6:$G$101,MOD(45+$C10+(3),$B$3)+1)*L10+INDEX(Symboles!$G$6:$G$101,MOD(45+$C10+(4),$B$3)+1)*M10+IF($B$6=0,0,$B$6*NORMSINV(0.000001+0.999998*RAND())))</f>
        <v/>
      </c>
      <c r="BJ10" s="30">
        <f>IF(47&gt;$B$3,99,INDEX(Symboles!$G$6:$G$101,MOD(46+$C10+(-4),$B$3)+1)*E10+INDEX(Symboles!$G$6:$G$101,MOD(46+$C10+(-3),$B$3)+1)*F10+INDEX(Symboles!$G$6:$G$101,MOD(46+$C10+(-2),$B$3)+1)*G10+INDEX(Symboles!$G$6:$G$101,MOD(46+$C10+(-1),$B$3)+1)*H10+INDEX(Symboles!$G$6:$G$101,MOD(46+$C10+(0),$B$3)+1)*I10+INDEX(Symboles!$G$6:$G$101,MOD(46+$C10+(1),$B$3)+1)*J10+INDEX(Symboles!$G$6:$G$101,MOD(46+$C10+(2),$B$3)+1)*K10+INDEX(Symboles!$G$6:$G$101,MOD(46+$C10+(3),$B$3)+1)*L10+INDEX(Symboles!$G$6:$G$101,MOD(46+$C10+(4),$B$3)+1)*M10+IF($B$6=0,0,$B$6*NORMSINV(0.000001+0.999998*RAND())))</f>
        <v/>
      </c>
      <c r="BK10" s="30">
        <f>IF(48&gt;$B$3,99,INDEX(Symboles!$G$6:$G$101,MOD(47+$C10+(-4),$B$3)+1)*E10+INDEX(Symboles!$G$6:$G$101,MOD(47+$C10+(-3),$B$3)+1)*F10+INDEX(Symboles!$G$6:$G$101,MOD(47+$C10+(-2),$B$3)+1)*G10+INDEX(Symboles!$G$6:$G$101,MOD(47+$C10+(-1),$B$3)+1)*H10+INDEX(Symboles!$G$6:$G$101,MOD(47+$C10+(0),$B$3)+1)*I10+INDEX(Symboles!$G$6:$G$101,MOD(47+$C10+(1),$B$3)+1)*J10+INDEX(Symboles!$G$6:$G$101,MOD(47+$C10+(2),$B$3)+1)*K10+INDEX(Symboles!$G$6:$G$101,MOD(47+$C10+(3),$B$3)+1)*L10+INDEX(Symboles!$G$6:$G$101,MOD(47+$C10+(4),$B$3)+1)*M10+IF($B$6=0,0,$B$6*NORMSINV(0.000001+0.999998*RAND())))</f>
        <v/>
      </c>
      <c r="BL10" s="30">
        <f>IF(49&gt;$B$3,99,INDEX(Symboles!$G$6:$G$101,MOD(48+$C10+(-4),$B$3)+1)*E10+INDEX(Symboles!$G$6:$G$101,MOD(48+$C10+(-3),$B$3)+1)*F10+INDEX(Symboles!$G$6:$G$101,MOD(48+$C10+(-2),$B$3)+1)*G10+INDEX(Symboles!$G$6:$G$101,MOD(48+$C10+(-1),$B$3)+1)*H10+INDEX(Symboles!$G$6:$G$101,MOD(48+$C10+(0),$B$3)+1)*I10+INDEX(Symboles!$G$6:$G$101,MOD(48+$C10+(1),$B$3)+1)*J10+INDEX(Symboles!$G$6:$G$101,MOD(48+$C10+(2),$B$3)+1)*K10+INDEX(Symboles!$G$6:$G$101,MOD(48+$C10+(3),$B$3)+1)*L10+INDEX(Symboles!$G$6:$G$101,MOD(48+$C10+(4),$B$3)+1)*M10+IF($B$6=0,0,$B$6*NORMSINV(0.000001+0.999998*RAND())))</f>
        <v/>
      </c>
      <c r="BM10" s="30">
        <f>IF(50&gt;$B$3,99,INDEX(Symboles!$G$6:$G$101,MOD(49+$C10+(-4),$B$3)+1)*E10+INDEX(Symboles!$G$6:$G$101,MOD(49+$C10+(-3),$B$3)+1)*F10+INDEX(Symboles!$G$6:$G$101,MOD(49+$C10+(-2),$B$3)+1)*G10+INDEX(Symboles!$G$6:$G$101,MOD(49+$C10+(-1),$B$3)+1)*H10+INDEX(Symboles!$G$6:$G$101,MOD(49+$C10+(0),$B$3)+1)*I10+INDEX(Symboles!$G$6:$G$101,MOD(49+$C10+(1),$B$3)+1)*J10+INDEX(Symboles!$G$6:$G$101,MOD(49+$C10+(2),$B$3)+1)*K10+INDEX(Symboles!$G$6:$G$101,MOD(49+$C10+(3),$B$3)+1)*L10+INDEX(Symboles!$G$6:$G$101,MOD(49+$C10+(4),$B$3)+1)*M10+IF($B$6=0,0,$B$6*NORMSINV(0.000001+0.999998*RAND())))</f>
        <v/>
      </c>
      <c r="BN10" s="30">
        <f>IF(51&gt;$B$3,99,INDEX(Symboles!$G$6:$G$101,MOD(50+$C10+(-4),$B$3)+1)*E10+INDEX(Symboles!$G$6:$G$101,MOD(50+$C10+(-3),$B$3)+1)*F10+INDEX(Symboles!$G$6:$G$101,MOD(50+$C10+(-2),$B$3)+1)*G10+INDEX(Symboles!$G$6:$G$101,MOD(50+$C10+(-1),$B$3)+1)*H10+INDEX(Symboles!$G$6:$G$101,MOD(50+$C10+(0),$B$3)+1)*I10+INDEX(Symboles!$G$6:$G$101,MOD(50+$C10+(1),$B$3)+1)*J10+INDEX(Symboles!$G$6:$G$101,MOD(50+$C10+(2),$B$3)+1)*K10+INDEX(Symboles!$G$6:$G$101,MOD(50+$C10+(3),$B$3)+1)*L10+INDEX(Symboles!$G$6:$G$101,MOD(50+$C10+(4),$B$3)+1)*M10+IF($B$6=0,0,$B$6*NORMSINV(0.000001+0.999998*RAND())))</f>
        <v/>
      </c>
      <c r="BO10" s="30">
        <f>IF(52&gt;$B$3,99,INDEX(Symboles!$G$6:$G$101,MOD(51+$C10+(-4),$B$3)+1)*E10+INDEX(Symboles!$G$6:$G$101,MOD(51+$C10+(-3),$B$3)+1)*F10+INDEX(Symboles!$G$6:$G$101,MOD(51+$C10+(-2),$B$3)+1)*G10+INDEX(Symboles!$G$6:$G$101,MOD(51+$C10+(-1),$B$3)+1)*H10+INDEX(Symboles!$G$6:$G$101,MOD(51+$C10+(0),$B$3)+1)*I10+INDEX(Symboles!$G$6:$G$101,MOD(51+$C10+(1),$B$3)+1)*J10+INDEX(Symboles!$G$6:$G$101,MOD(51+$C10+(2),$B$3)+1)*K10+INDEX(Symboles!$G$6:$G$101,MOD(51+$C10+(3),$B$3)+1)*L10+INDEX(Symboles!$G$6:$G$101,MOD(51+$C10+(4),$B$3)+1)*M10+IF($B$6=0,0,$B$6*NORMSINV(0.000001+0.999998*RAND())))</f>
        <v/>
      </c>
      <c r="BP10" s="30">
        <f>IF(53&gt;$B$3,99,INDEX(Symboles!$G$6:$G$101,MOD(52+$C10+(-4),$B$3)+1)*E10+INDEX(Symboles!$G$6:$G$101,MOD(52+$C10+(-3),$B$3)+1)*F10+INDEX(Symboles!$G$6:$G$101,MOD(52+$C10+(-2),$B$3)+1)*G10+INDEX(Symboles!$G$6:$G$101,MOD(52+$C10+(-1),$B$3)+1)*H10+INDEX(Symboles!$G$6:$G$101,MOD(52+$C10+(0),$B$3)+1)*I10+INDEX(Symboles!$G$6:$G$101,MOD(52+$C10+(1),$B$3)+1)*J10+INDEX(Symboles!$G$6:$G$101,MOD(52+$C10+(2),$B$3)+1)*K10+INDEX(Symboles!$G$6:$G$101,MOD(52+$C10+(3),$B$3)+1)*L10+INDEX(Symboles!$G$6:$G$101,MOD(52+$C10+(4),$B$3)+1)*M10+IF($B$6=0,0,$B$6*NORMSINV(0.000001+0.999998*RAND())))</f>
        <v/>
      </c>
      <c r="BQ10" s="30">
        <f>IF(54&gt;$B$3,99,INDEX(Symboles!$G$6:$G$101,MOD(53+$C10+(-4),$B$3)+1)*E10+INDEX(Symboles!$G$6:$G$101,MOD(53+$C10+(-3),$B$3)+1)*F10+INDEX(Symboles!$G$6:$G$101,MOD(53+$C10+(-2),$B$3)+1)*G10+INDEX(Symboles!$G$6:$G$101,MOD(53+$C10+(-1),$B$3)+1)*H10+INDEX(Symboles!$G$6:$G$101,MOD(53+$C10+(0),$B$3)+1)*I10+INDEX(Symboles!$G$6:$G$101,MOD(53+$C10+(1),$B$3)+1)*J10+INDEX(Symboles!$G$6:$G$101,MOD(53+$C10+(2),$B$3)+1)*K10+INDEX(Symboles!$G$6:$G$101,MOD(53+$C10+(3),$B$3)+1)*L10+INDEX(Symboles!$G$6:$G$101,MOD(53+$C10+(4),$B$3)+1)*M10+IF($B$6=0,0,$B$6*NORMSINV(0.000001+0.999998*RAND())))</f>
        <v/>
      </c>
      <c r="BR10" s="30">
        <f>IF(55&gt;$B$3,99,INDEX(Symboles!$G$6:$G$101,MOD(54+$C10+(-4),$B$3)+1)*E10+INDEX(Symboles!$G$6:$G$101,MOD(54+$C10+(-3),$B$3)+1)*F10+INDEX(Symboles!$G$6:$G$101,MOD(54+$C10+(-2),$B$3)+1)*G10+INDEX(Symboles!$G$6:$G$101,MOD(54+$C10+(-1),$B$3)+1)*H10+INDEX(Symboles!$G$6:$G$101,MOD(54+$C10+(0),$B$3)+1)*I10+INDEX(Symboles!$G$6:$G$101,MOD(54+$C10+(1),$B$3)+1)*J10+INDEX(Symboles!$G$6:$G$101,MOD(54+$C10+(2),$B$3)+1)*K10+INDEX(Symboles!$G$6:$G$101,MOD(54+$C10+(3),$B$3)+1)*L10+INDEX(Symboles!$G$6:$G$101,MOD(54+$C10+(4),$B$3)+1)*M10+IF($B$6=0,0,$B$6*NORMSINV(0.000001+0.999998*RAND())))</f>
        <v/>
      </c>
      <c r="BS10" s="30">
        <f>IF(56&gt;$B$3,99,INDEX(Symboles!$G$6:$G$101,MOD(55+$C10+(-4),$B$3)+1)*E10+INDEX(Symboles!$G$6:$G$101,MOD(55+$C10+(-3),$B$3)+1)*F10+INDEX(Symboles!$G$6:$G$101,MOD(55+$C10+(-2),$B$3)+1)*G10+INDEX(Symboles!$G$6:$G$101,MOD(55+$C10+(-1),$B$3)+1)*H10+INDEX(Symboles!$G$6:$G$101,MOD(55+$C10+(0),$B$3)+1)*I10+INDEX(Symboles!$G$6:$G$101,MOD(55+$C10+(1),$B$3)+1)*J10+INDEX(Symboles!$G$6:$G$101,MOD(55+$C10+(2),$B$3)+1)*K10+INDEX(Symboles!$G$6:$G$101,MOD(55+$C10+(3),$B$3)+1)*L10+INDEX(Symboles!$G$6:$G$101,MOD(55+$C10+(4),$B$3)+1)*M10+IF($B$6=0,0,$B$6*NORMSINV(0.000001+0.999998*RAND())))</f>
        <v/>
      </c>
      <c r="BT10" s="30">
        <f>IF(57&gt;$B$3,99,INDEX(Symboles!$G$6:$G$101,MOD(56+$C10+(-4),$B$3)+1)*E10+INDEX(Symboles!$G$6:$G$101,MOD(56+$C10+(-3),$B$3)+1)*F10+INDEX(Symboles!$G$6:$G$101,MOD(56+$C10+(-2),$B$3)+1)*G10+INDEX(Symboles!$G$6:$G$101,MOD(56+$C10+(-1),$B$3)+1)*H10+INDEX(Symboles!$G$6:$G$101,MOD(56+$C10+(0),$B$3)+1)*I10+INDEX(Symboles!$G$6:$G$101,MOD(56+$C10+(1),$B$3)+1)*J10+INDEX(Symboles!$G$6:$G$101,MOD(56+$C10+(2),$B$3)+1)*K10+INDEX(Symboles!$G$6:$G$101,MOD(56+$C10+(3),$B$3)+1)*L10+INDEX(Symboles!$G$6:$G$101,MOD(56+$C10+(4),$B$3)+1)*M10+IF($B$6=0,0,$B$6*NORMSINV(0.000001+0.999998*RAND())))</f>
        <v/>
      </c>
      <c r="BU10" s="30">
        <f>IF(58&gt;$B$3,99,INDEX(Symboles!$G$6:$G$101,MOD(57+$C10+(-4),$B$3)+1)*E10+INDEX(Symboles!$G$6:$G$101,MOD(57+$C10+(-3),$B$3)+1)*F10+INDEX(Symboles!$G$6:$G$101,MOD(57+$C10+(-2),$B$3)+1)*G10+INDEX(Symboles!$G$6:$G$101,MOD(57+$C10+(-1),$B$3)+1)*H10+INDEX(Symboles!$G$6:$G$101,MOD(57+$C10+(0),$B$3)+1)*I10+INDEX(Symboles!$G$6:$G$101,MOD(57+$C10+(1),$B$3)+1)*J10+INDEX(Symboles!$G$6:$G$101,MOD(57+$C10+(2),$B$3)+1)*K10+INDEX(Symboles!$G$6:$G$101,MOD(57+$C10+(3),$B$3)+1)*L10+INDEX(Symboles!$G$6:$G$101,MOD(57+$C10+(4),$B$3)+1)*M10+IF($B$6=0,0,$B$6*NORMSINV(0.000001+0.999998*RAND())))</f>
        <v/>
      </c>
      <c r="BV10" s="30">
        <f>IF(59&gt;$B$3,99,INDEX(Symboles!$G$6:$G$101,MOD(58+$C10+(-4),$B$3)+1)*E10+INDEX(Symboles!$G$6:$G$101,MOD(58+$C10+(-3),$B$3)+1)*F10+INDEX(Symboles!$G$6:$G$101,MOD(58+$C10+(-2),$B$3)+1)*G10+INDEX(Symboles!$G$6:$G$101,MOD(58+$C10+(-1),$B$3)+1)*H10+INDEX(Symboles!$G$6:$G$101,MOD(58+$C10+(0),$B$3)+1)*I10+INDEX(Symboles!$G$6:$G$101,MOD(58+$C10+(1),$B$3)+1)*J10+INDEX(Symboles!$G$6:$G$101,MOD(58+$C10+(2),$B$3)+1)*K10+INDEX(Symboles!$G$6:$G$101,MOD(58+$C10+(3),$B$3)+1)*L10+INDEX(Symboles!$G$6:$G$101,MOD(58+$C10+(4),$B$3)+1)*M10+IF($B$6=0,0,$B$6*NORMSINV(0.000001+0.999998*RAND())))</f>
        <v/>
      </c>
      <c r="BW10" s="30">
        <f>IF(60&gt;$B$3,99,INDEX(Symboles!$G$6:$G$101,MOD(59+$C10+(-4),$B$3)+1)*E10+INDEX(Symboles!$G$6:$G$101,MOD(59+$C10+(-3),$B$3)+1)*F10+INDEX(Symboles!$G$6:$G$101,MOD(59+$C10+(-2),$B$3)+1)*G10+INDEX(Symboles!$G$6:$G$101,MOD(59+$C10+(-1),$B$3)+1)*H10+INDEX(Symboles!$G$6:$G$101,MOD(59+$C10+(0),$B$3)+1)*I10+INDEX(Symboles!$G$6:$G$101,MOD(59+$C10+(1),$B$3)+1)*J10+INDEX(Symboles!$G$6:$G$101,MOD(59+$C10+(2),$B$3)+1)*K10+INDEX(Symboles!$G$6:$G$101,MOD(59+$C10+(3),$B$3)+1)*L10+INDEX(Symboles!$G$6:$G$101,MOD(59+$C10+(4),$B$3)+1)*M10+IF($B$6=0,0,$B$6*NORMSINV(0.000001+0.999998*RAND())))</f>
        <v/>
      </c>
      <c r="BX10" s="30">
        <f>IF(61&gt;$B$3,99,INDEX(Symboles!$G$6:$G$101,MOD(60+$C10+(-4),$B$3)+1)*E10+INDEX(Symboles!$G$6:$G$101,MOD(60+$C10+(-3),$B$3)+1)*F10+INDEX(Symboles!$G$6:$G$101,MOD(60+$C10+(-2),$B$3)+1)*G10+INDEX(Symboles!$G$6:$G$101,MOD(60+$C10+(-1),$B$3)+1)*H10+INDEX(Symboles!$G$6:$G$101,MOD(60+$C10+(0),$B$3)+1)*I10+INDEX(Symboles!$G$6:$G$101,MOD(60+$C10+(1),$B$3)+1)*J10+INDEX(Symboles!$G$6:$G$101,MOD(60+$C10+(2),$B$3)+1)*K10+INDEX(Symboles!$G$6:$G$101,MOD(60+$C10+(3),$B$3)+1)*L10+INDEX(Symboles!$G$6:$G$101,MOD(60+$C10+(4),$B$3)+1)*M10+IF($B$6=0,0,$B$6*NORMSINV(0.000001+0.999998*RAND())))</f>
        <v/>
      </c>
      <c r="BY10" s="30">
        <f>IF(62&gt;$B$3,99,INDEX(Symboles!$G$6:$G$101,MOD(61+$C10+(-4),$B$3)+1)*E10+INDEX(Symboles!$G$6:$G$101,MOD(61+$C10+(-3),$B$3)+1)*F10+INDEX(Symboles!$G$6:$G$101,MOD(61+$C10+(-2),$B$3)+1)*G10+INDEX(Symboles!$G$6:$G$101,MOD(61+$C10+(-1),$B$3)+1)*H10+INDEX(Symboles!$G$6:$G$101,MOD(61+$C10+(0),$B$3)+1)*I10+INDEX(Symboles!$G$6:$G$101,MOD(61+$C10+(1),$B$3)+1)*J10+INDEX(Symboles!$G$6:$G$101,MOD(61+$C10+(2),$B$3)+1)*K10+INDEX(Symboles!$G$6:$G$101,MOD(61+$C10+(3),$B$3)+1)*L10+INDEX(Symboles!$G$6:$G$101,MOD(61+$C10+(4),$B$3)+1)*M10+IF($B$6=0,0,$B$6*NORMSINV(0.000001+0.999998*RAND())))</f>
        <v/>
      </c>
      <c r="BZ10" s="30">
        <f>IF(63&gt;$B$3,99,INDEX(Symboles!$G$6:$G$101,MOD(62+$C10+(-4),$B$3)+1)*E10+INDEX(Symboles!$G$6:$G$101,MOD(62+$C10+(-3),$B$3)+1)*F10+INDEX(Symboles!$G$6:$G$101,MOD(62+$C10+(-2),$B$3)+1)*G10+INDEX(Symboles!$G$6:$G$101,MOD(62+$C10+(-1),$B$3)+1)*H10+INDEX(Symboles!$G$6:$G$101,MOD(62+$C10+(0),$B$3)+1)*I10+INDEX(Symboles!$G$6:$G$101,MOD(62+$C10+(1),$B$3)+1)*J10+INDEX(Symboles!$G$6:$G$101,MOD(62+$C10+(2),$B$3)+1)*K10+INDEX(Symboles!$G$6:$G$101,MOD(62+$C10+(3),$B$3)+1)*L10+INDEX(Symboles!$G$6:$G$101,MOD(62+$C10+(4),$B$3)+1)*M10+IF($B$6=0,0,$B$6*NORMSINV(0.000001+0.999998*RAND())))</f>
        <v/>
      </c>
      <c r="CA10" s="30">
        <f>IF(64&gt;$B$3,99,INDEX(Symboles!$G$6:$G$101,MOD(63+$C10+(-4),$B$3)+1)*E10+INDEX(Symboles!$G$6:$G$101,MOD(63+$C10+(-3),$B$3)+1)*F10+INDEX(Symboles!$G$6:$G$101,MOD(63+$C10+(-2),$B$3)+1)*G10+INDEX(Symboles!$G$6:$G$101,MOD(63+$C10+(-1),$B$3)+1)*H10+INDEX(Symboles!$G$6:$G$101,MOD(63+$C10+(0),$B$3)+1)*I10+INDEX(Symboles!$G$6:$G$101,MOD(63+$C10+(1),$B$3)+1)*J10+INDEX(Symboles!$G$6:$G$101,MOD(63+$C10+(2),$B$3)+1)*K10+INDEX(Symboles!$G$6:$G$101,MOD(63+$C10+(3),$B$3)+1)*L10+INDEX(Symboles!$G$6:$G$101,MOD(63+$C10+(4),$B$3)+1)*M10+IF($B$6=0,0,$B$6*NORMSINV(0.000001+0.999998*RAND())))</f>
        <v/>
      </c>
      <c r="CB10" s="30">
        <f>IF(65&gt;$B$3,99,INDEX(Symboles!$G$6:$G$101,MOD(64+$C10+(-4),$B$3)+1)*E10+INDEX(Symboles!$G$6:$G$101,MOD(64+$C10+(-3),$B$3)+1)*F10+INDEX(Symboles!$G$6:$G$101,MOD(64+$C10+(-2),$B$3)+1)*G10+INDEX(Symboles!$G$6:$G$101,MOD(64+$C10+(-1),$B$3)+1)*H10+INDEX(Symboles!$G$6:$G$101,MOD(64+$C10+(0),$B$3)+1)*I10+INDEX(Symboles!$G$6:$G$101,MOD(64+$C10+(1),$B$3)+1)*J10+INDEX(Symboles!$G$6:$G$101,MOD(64+$C10+(2),$B$3)+1)*K10+INDEX(Symboles!$G$6:$G$101,MOD(64+$C10+(3),$B$3)+1)*L10+INDEX(Symboles!$G$6:$G$101,MOD(64+$C10+(4),$B$3)+1)*M10+IF($B$6=0,0,$B$6*NORMSINV(0.000001+0.999998*RAND())))</f>
        <v/>
      </c>
      <c r="CC10" s="30">
        <f>IF(66&gt;$B$3,99,INDEX(Symboles!$G$6:$G$101,MOD(65+$C10+(-4),$B$3)+1)*E10+INDEX(Symboles!$G$6:$G$101,MOD(65+$C10+(-3),$B$3)+1)*F10+INDEX(Symboles!$G$6:$G$101,MOD(65+$C10+(-2),$B$3)+1)*G10+INDEX(Symboles!$G$6:$G$101,MOD(65+$C10+(-1),$B$3)+1)*H10+INDEX(Symboles!$G$6:$G$101,MOD(65+$C10+(0),$B$3)+1)*I10+INDEX(Symboles!$G$6:$G$101,MOD(65+$C10+(1),$B$3)+1)*J10+INDEX(Symboles!$G$6:$G$101,MOD(65+$C10+(2),$B$3)+1)*K10+INDEX(Symboles!$G$6:$G$101,MOD(65+$C10+(3),$B$3)+1)*L10+INDEX(Symboles!$G$6:$G$101,MOD(65+$C10+(4),$B$3)+1)*M10+IF($B$6=0,0,$B$6*NORMSINV(0.000001+0.999998*RAND())))</f>
        <v/>
      </c>
      <c r="CD10" s="30">
        <f>IF(67&gt;$B$3,99,INDEX(Symboles!$G$6:$G$101,MOD(66+$C10+(-4),$B$3)+1)*E10+INDEX(Symboles!$G$6:$G$101,MOD(66+$C10+(-3),$B$3)+1)*F10+INDEX(Symboles!$G$6:$G$101,MOD(66+$C10+(-2),$B$3)+1)*G10+INDEX(Symboles!$G$6:$G$101,MOD(66+$C10+(-1),$B$3)+1)*H10+INDEX(Symboles!$G$6:$G$101,MOD(66+$C10+(0),$B$3)+1)*I10+INDEX(Symboles!$G$6:$G$101,MOD(66+$C10+(1),$B$3)+1)*J10+INDEX(Symboles!$G$6:$G$101,MOD(66+$C10+(2),$B$3)+1)*K10+INDEX(Symboles!$G$6:$G$101,MOD(66+$C10+(3),$B$3)+1)*L10+INDEX(Symboles!$G$6:$G$101,MOD(66+$C10+(4),$B$3)+1)*M10+IF($B$6=0,0,$B$6*NORMSINV(0.000001+0.999998*RAND())))</f>
        <v/>
      </c>
      <c r="CE10" s="30">
        <f>IF(68&gt;$B$3,99,INDEX(Symboles!$G$6:$G$101,MOD(67+$C10+(-4),$B$3)+1)*E10+INDEX(Symboles!$G$6:$G$101,MOD(67+$C10+(-3),$B$3)+1)*F10+INDEX(Symboles!$G$6:$G$101,MOD(67+$C10+(-2),$B$3)+1)*G10+INDEX(Symboles!$G$6:$G$101,MOD(67+$C10+(-1),$B$3)+1)*H10+INDEX(Symboles!$G$6:$G$101,MOD(67+$C10+(0),$B$3)+1)*I10+INDEX(Symboles!$G$6:$G$101,MOD(67+$C10+(1),$B$3)+1)*J10+INDEX(Symboles!$G$6:$G$101,MOD(67+$C10+(2),$B$3)+1)*K10+INDEX(Symboles!$G$6:$G$101,MOD(67+$C10+(3),$B$3)+1)*L10+INDEX(Symboles!$G$6:$G$101,MOD(67+$C10+(4),$B$3)+1)*M10+IF($B$6=0,0,$B$6*NORMSINV(0.000001+0.999998*RAND())))</f>
        <v/>
      </c>
      <c r="CF10" s="30">
        <f>IF(69&gt;$B$3,99,INDEX(Symboles!$G$6:$G$101,MOD(68+$C10+(-4),$B$3)+1)*E10+INDEX(Symboles!$G$6:$G$101,MOD(68+$C10+(-3),$B$3)+1)*F10+INDEX(Symboles!$G$6:$G$101,MOD(68+$C10+(-2),$B$3)+1)*G10+INDEX(Symboles!$G$6:$G$101,MOD(68+$C10+(-1),$B$3)+1)*H10+INDEX(Symboles!$G$6:$G$101,MOD(68+$C10+(0),$B$3)+1)*I10+INDEX(Symboles!$G$6:$G$101,MOD(68+$C10+(1),$B$3)+1)*J10+INDEX(Symboles!$G$6:$G$101,MOD(68+$C10+(2),$B$3)+1)*K10+INDEX(Symboles!$G$6:$G$101,MOD(68+$C10+(3),$B$3)+1)*L10+INDEX(Symboles!$G$6:$G$101,MOD(68+$C10+(4),$B$3)+1)*M10+IF($B$6=0,0,$B$6*NORMSINV(0.000001+0.999998*RAND())))</f>
        <v/>
      </c>
      <c r="CG10" s="30">
        <f>IF(70&gt;$B$3,99,INDEX(Symboles!$G$6:$G$101,MOD(69+$C10+(-4),$B$3)+1)*E10+INDEX(Symboles!$G$6:$G$101,MOD(69+$C10+(-3),$B$3)+1)*F10+INDEX(Symboles!$G$6:$G$101,MOD(69+$C10+(-2),$B$3)+1)*G10+INDEX(Symboles!$G$6:$G$101,MOD(69+$C10+(-1),$B$3)+1)*H10+INDEX(Symboles!$G$6:$G$101,MOD(69+$C10+(0),$B$3)+1)*I10+INDEX(Symboles!$G$6:$G$101,MOD(69+$C10+(1),$B$3)+1)*J10+INDEX(Symboles!$G$6:$G$101,MOD(69+$C10+(2),$B$3)+1)*K10+INDEX(Symboles!$G$6:$G$101,MOD(69+$C10+(3),$B$3)+1)*L10+INDEX(Symboles!$G$6:$G$101,MOD(69+$C10+(4),$B$3)+1)*M10+IF($B$6=0,0,$B$6*NORMSINV(0.000001+0.999998*RAND())))</f>
        <v/>
      </c>
      <c r="CH10" s="30">
        <f>IF(71&gt;$B$3,99,INDEX(Symboles!$G$6:$G$101,MOD(70+$C10+(-4),$B$3)+1)*E10+INDEX(Symboles!$G$6:$G$101,MOD(70+$C10+(-3),$B$3)+1)*F10+INDEX(Symboles!$G$6:$G$101,MOD(70+$C10+(-2),$B$3)+1)*G10+INDEX(Symboles!$G$6:$G$101,MOD(70+$C10+(-1),$B$3)+1)*H10+INDEX(Symboles!$G$6:$G$101,MOD(70+$C10+(0),$B$3)+1)*I10+INDEX(Symboles!$G$6:$G$101,MOD(70+$C10+(1),$B$3)+1)*J10+INDEX(Symboles!$G$6:$G$101,MOD(70+$C10+(2),$B$3)+1)*K10+INDEX(Symboles!$G$6:$G$101,MOD(70+$C10+(3),$B$3)+1)*L10+INDEX(Symboles!$G$6:$G$101,MOD(70+$C10+(4),$B$3)+1)*M10+IF($B$6=0,0,$B$6*NORMSINV(0.000001+0.999998*RAND())))</f>
        <v/>
      </c>
      <c r="CI10" s="30">
        <f>IF(72&gt;$B$3,99,INDEX(Symboles!$G$6:$G$101,MOD(71+$C10+(-4),$B$3)+1)*E10+INDEX(Symboles!$G$6:$G$101,MOD(71+$C10+(-3),$B$3)+1)*F10+INDEX(Symboles!$G$6:$G$101,MOD(71+$C10+(-2),$B$3)+1)*G10+INDEX(Symboles!$G$6:$G$101,MOD(71+$C10+(-1),$B$3)+1)*H10+INDEX(Symboles!$G$6:$G$101,MOD(71+$C10+(0),$B$3)+1)*I10+INDEX(Symboles!$G$6:$G$101,MOD(71+$C10+(1),$B$3)+1)*J10+INDEX(Symboles!$G$6:$G$101,MOD(71+$C10+(2),$B$3)+1)*K10+INDEX(Symboles!$G$6:$G$101,MOD(71+$C10+(3),$B$3)+1)*L10+INDEX(Symboles!$G$6:$G$101,MOD(71+$C10+(4),$B$3)+1)*M10+IF($B$6=0,0,$B$6*NORMSINV(0.000001+0.999998*RAND())))</f>
        <v/>
      </c>
      <c r="CJ10" s="30">
        <f>IF(73&gt;$B$3,99,INDEX(Symboles!$G$6:$G$101,MOD(72+$C10+(-4),$B$3)+1)*E10+INDEX(Symboles!$G$6:$G$101,MOD(72+$C10+(-3),$B$3)+1)*F10+INDEX(Symboles!$G$6:$G$101,MOD(72+$C10+(-2),$B$3)+1)*G10+INDEX(Symboles!$G$6:$G$101,MOD(72+$C10+(-1),$B$3)+1)*H10+INDEX(Symboles!$G$6:$G$101,MOD(72+$C10+(0),$B$3)+1)*I10+INDEX(Symboles!$G$6:$G$101,MOD(72+$C10+(1),$B$3)+1)*J10+INDEX(Symboles!$G$6:$G$101,MOD(72+$C10+(2),$B$3)+1)*K10+INDEX(Symboles!$G$6:$G$101,MOD(72+$C10+(3),$B$3)+1)*L10+INDEX(Symboles!$G$6:$G$101,MOD(72+$C10+(4),$B$3)+1)*M10+IF($B$6=0,0,$B$6*NORMSINV(0.000001+0.999998*RAND())))</f>
        <v/>
      </c>
      <c r="CK10" s="30">
        <f>IF(74&gt;$B$3,99,INDEX(Symboles!$G$6:$G$101,MOD(73+$C10+(-4),$B$3)+1)*E10+INDEX(Symboles!$G$6:$G$101,MOD(73+$C10+(-3),$B$3)+1)*F10+INDEX(Symboles!$G$6:$G$101,MOD(73+$C10+(-2),$B$3)+1)*G10+INDEX(Symboles!$G$6:$G$101,MOD(73+$C10+(-1),$B$3)+1)*H10+INDEX(Symboles!$G$6:$G$101,MOD(73+$C10+(0),$B$3)+1)*I10+INDEX(Symboles!$G$6:$G$101,MOD(73+$C10+(1),$B$3)+1)*J10+INDEX(Symboles!$G$6:$G$101,MOD(73+$C10+(2),$B$3)+1)*K10+INDEX(Symboles!$G$6:$G$101,MOD(73+$C10+(3),$B$3)+1)*L10+INDEX(Symboles!$G$6:$G$101,MOD(73+$C10+(4),$B$3)+1)*M10+IF($B$6=0,0,$B$6*NORMSINV(0.000001+0.999998*RAND())))</f>
        <v/>
      </c>
      <c r="CL10" s="30">
        <f>IF(75&gt;$B$3,99,INDEX(Symboles!$G$6:$G$101,MOD(74+$C10+(-4),$B$3)+1)*E10+INDEX(Symboles!$G$6:$G$101,MOD(74+$C10+(-3),$B$3)+1)*F10+INDEX(Symboles!$G$6:$G$101,MOD(74+$C10+(-2),$B$3)+1)*G10+INDEX(Symboles!$G$6:$G$101,MOD(74+$C10+(-1),$B$3)+1)*H10+INDEX(Symboles!$G$6:$G$101,MOD(74+$C10+(0),$B$3)+1)*I10+INDEX(Symboles!$G$6:$G$101,MOD(74+$C10+(1),$B$3)+1)*J10+INDEX(Symboles!$G$6:$G$101,MOD(74+$C10+(2),$B$3)+1)*K10+INDEX(Symboles!$G$6:$G$101,MOD(74+$C10+(3),$B$3)+1)*L10+INDEX(Symboles!$G$6:$G$101,MOD(74+$C10+(4),$B$3)+1)*M10+IF($B$6=0,0,$B$6*NORMSINV(0.000001+0.999998*RAND())))</f>
        <v/>
      </c>
      <c r="CM10" s="30">
        <f>IF(76&gt;$B$3,99,INDEX(Symboles!$G$6:$G$101,MOD(75+$C10+(-4),$B$3)+1)*E10+INDEX(Symboles!$G$6:$G$101,MOD(75+$C10+(-3),$B$3)+1)*F10+INDEX(Symboles!$G$6:$G$101,MOD(75+$C10+(-2),$B$3)+1)*G10+INDEX(Symboles!$G$6:$G$101,MOD(75+$C10+(-1),$B$3)+1)*H10+INDEX(Symboles!$G$6:$G$101,MOD(75+$C10+(0),$B$3)+1)*I10+INDEX(Symboles!$G$6:$G$101,MOD(75+$C10+(1),$B$3)+1)*J10+INDEX(Symboles!$G$6:$G$101,MOD(75+$C10+(2),$B$3)+1)*K10+INDEX(Symboles!$G$6:$G$101,MOD(75+$C10+(3),$B$3)+1)*L10+INDEX(Symboles!$G$6:$G$101,MOD(75+$C10+(4),$B$3)+1)*M10+IF($B$6=0,0,$B$6*NORMSINV(0.000001+0.999998*RAND())))</f>
        <v/>
      </c>
      <c r="CN10" s="30">
        <f>IF(77&gt;$B$3,99,INDEX(Symboles!$G$6:$G$101,MOD(76+$C10+(-4),$B$3)+1)*E10+INDEX(Symboles!$G$6:$G$101,MOD(76+$C10+(-3),$B$3)+1)*F10+INDEX(Symboles!$G$6:$G$101,MOD(76+$C10+(-2),$B$3)+1)*G10+INDEX(Symboles!$G$6:$G$101,MOD(76+$C10+(-1),$B$3)+1)*H10+INDEX(Symboles!$G$6:$G$101,MOD(76+$C10+(0),$B$3)+1)*I10+INDEX(Symboles!$G$6:$G$101,MOD(76+$C10+(1),$B$3)+1)*J10+INDEX(Symboles!$G$6:$G$101,MOD(76+$C10+(2),$B$3)+1)*K10+INDEX(Symboles!$G$6:$G$101,MOD(76+$C10+(3),$B$3)+1)*L10+INDEX(Symboles!$G$6:$G$101,MOD(76+$C10+(4),$B$3)+1)*M10+IF($B$6=0,0,$B$6*NORMSINV(0.000001+0.999998*RAND())))</f>
        <v/>
      </c>
      <c r="CO10" s="30">
        <f>IF(78&gt;$B$3,99,INDEX(Symboles!$G$6:$G$101,MOD(77+$C10+(-4),$B$3)+1)*E10+INDEX(Symboles!$G$6:$G$101,MOD(77+$C10+(-3),$B$3)+1)*F10+INDEX(Symboles!$G$6:$G$101,MOD(77+$C10+(-2),$B$3)+1)*G10+INDEX(Symboles!$G$6:$G$101,MOD(77+$C10+(-1),$B$3)+1)*H10+INDEX(Symboles!$G$6:$G$101,MOD(77+$C10+(0),$B$3)+1)*I10+INDEX(Symboles!$G$6:$G$101,MOD(77+$C10+(1),$B$3)+1)*J10+INDEX(Symboles!$G$6:$G$101,MOD(77+$C10+(2),$B$3)+1)*K10+INDEX(Symboles!$G$6:$G$101,MOD(77+$C10+(3),$B$3)+1)*L10+INDEX(Symboles!$G$6:$G$101,MOD(77+$C10+(4),$B$3)+1)*M10+IF($B$6=0,0,$B$6*NORMSINV(0.000001+0.999998*RAND())))</f>
        <v/>
      </c>
      <c r="CP10" s="30">
        <f>IF(79&gt;$B$3,99,INDEX(Symboles!$G$6:$G$101,MOD(78+$C10+(-4),$B$3)+1)*E10+INDEX(Symboles!$G$6:$G$101,MOD(78+$C10+(-3),$B$3)+1)*F10+INDEX(Symboles!$G$6:$G$101,MOD(78+$C10+(-2),$B$3)+1)*G10+INDEX(Symboles!$G$6:$G$101,MOD(78+$C10+(-1),$B$3)+1)*H10+INDEX(Symboles!$G$6:$G$101,MOD(78+$C10+(0),$B$3)+1)*I10+INDEX(Symboles!$G$6:$G$101,MOD(78+$C10+(1),$B$3)+1)*J10+INDEX(Symboles!$G$6:$G$101,MOD(78+$C10+(2),$B$3)+1)*K10+INDEX(Symboles!$G$6:$G$101,MOD(78+$C10+(3),$B$3)+1)*L10+INDEX(Symboles!$G$6:$G$101,MOD(78+$C10+(4),$B$3)+1)*M10+IF($B$6=0,0,$B$6*NORMSINV(0.000001+0.999998*RAND())))</f>
        <v/>
      </c>
      <c r="CQ10" s="30">
        <f>IF(80&gt;$B$3,99,INDEX(Symboles!$G$6:$G$101,MOD(79+$C10+(-4),$B$3)+1)*E10+INDEX(Symboles!$G$6:$G$101,MOD(79+$C10+(-3),$B$3)+1)*F10+INDEX(Symboles!$G$6:$G$101,MOD(79+$C10+(-2),$B$3)+1)*G10+INDEX(Symboles!$G$6:$G$101,MOD(79+$C10+(-1),$B$3)+1)*H10+INDEX(Symboles!$G$6:$G$101,MOD(79+$C10+(0),$B$3)+1)*I10+INDEX(Symboles!$G$6:$G$101,MOD(79+$C10+(1),$B$3)+1)*J10+INDEX(Symboles!$G$6:$G$101,MOD(79+$C10+(2),$B$3)+1)*K10+INDEX(Symboles!$G$6:$G$101,MOD(79+$C10+(3),$B$3)+1)*L10+INDEX(Symboles!$G$6:$G$101,MOD(79+$C10+(4),$B$3)+1)*M10+IF($B$6=0,0,$B$6*NORMSINV(0.000001+0.999998*RAND())))</f>
        <v/>
      </c>
      <c r="CR10" s="30">
        <f>IF(81&gt;$B$3,99,INDEX(Symboles!$G$6:$G$101,MOD(80+$C10+(-4),$B$3)+1)*E10+INDEX(Symboles!$G$6:$G$101,MOD(80+$C10+(-3),$B$3)+1)*F10+INDEX(Symboles!$G$6:$G$101,MOD(80+$C10+(-2),$B$3)+1)*G10+INDEX(Symboles!$G$6:$G$101,MOD(80+$C10+(-1),$B$3)+1)*H10+INDEX(Symboles!$G$6:$G$101,MOD(80+$C10+(0),$B$3)+1)*I10+INDEX(Symboles!$G$6:$G$101,MOD(80+$C10+(1),$B$3)+1)*J10+INDEX(Symboles!$G$6:$G$101,MOD(80+$C10+(2),$B$3)+1)*K10+INDEX(Symboles!$G$6:$G$101,MOD(80+$C10+(3),$B$3)+1)*L10+INDEX(Symboles!$G$6:$G$101,MOD(80+$C10+(4),$B$3)+1)*M10+IF($B$6=0,0,$B$6*NORMSINV(0.000001+0.999998*RAND())))</f>
        <v/>
      </c>
      <c r="CS10" s="30">
        <f>IF(82&gt;$B$3,99,INDEX(Symboles!$G$6:$G$101,MOD(81+$C10+(-4),$B$3)+1)*E10+INDEX(Symboles!$G$6:$G$101,MOD(81+$C10+(-3),$B$3)+1)*F10+INDEX(Symboles!$G$6:$G$101,MOD(81+$C10+(-2),$B$3)+1)*G10+INDEX(Symboles!$G$6:$G$101,MOD(81+$C10+(-1),$B$3)+1)*H10+INDEX(Symboles!$G$6:$G$101,MOD(81+$C10+(0),$B$3)+1)*I10+INDEX(Symboles!$G$6:$G$101,MOD(81+$C10+(1),$B$3)+1)*J10+INDEX(Symboles!$G$6:$G$101,MOD(81+$C10+(2),$B$3)+1)*K10+INDEX(Symboles!$G$6:$G$101,MOD(81+$C10+(3),$B$3)+1)*L10+INDEX(Symboles!$G$6:$G$101,MOD(81+$C10+(4),$B$3)+1)*M10+IF($B$6=0,0,$B$6*NORMSINV(0.000001+0.999998*RAND())))</f>
        <v/>
      </c>
      <c r="CT10" s="30">
        <f>IF(83&gt;$B$3,99,INDEX(Symboles!$G$6:$G$101,MOD(82+$C10+(-4),$B$3)+1)*E10+INDEX(Symboles!$G$6:$G$101,MOD(82+$C10+(-3),$B$3)+1)*F10+INDEX(Symboles!$G$6:$G$101,MOD(82+$C10+(-2),$B$3)+1)*G10+INDEX(Symboles!$G$6:$G$101,MOD(82+$C10+(-1),$B$3)+1)*H10+INDEX(Symboles!$G$6:$G$101,MOD(82+$C10+(0),$B$3)+1)*I10+INDEX(Symboles!$G$6:$G$101,MOD(82+$C10+(1),$B$3)+1)*J10+INDEX(Symboles!$G$6:$G$101,MOD(82+$C10+(2),$B$3)+1)*K10+INDEX(Symboles!$G$6:$G$101,MOD(82+$C10+(3),$B$3)+1)*L10+INDEX(Symboles!$G$6:$G$101,MOD(82+$C10+(4),$B$3)+1)*M10+IF($B$6=0,0,$B$6*NORMSINV(0.000001+0.999998*RAND())))</f>
        <v/>
      </c>
      <c r="CU10" s="30">
        <f>IF(84&gt;$B$3,99,INDEX(Symboles!$G$6:$G$101,MOD(83+$C10+(-4),$B$3)+1)*E10+INDEX(Symboles!$G$6:$G$101,MOD(83+$C10+(-3),$B$3)+1)*F10+INDEX(Symboles!$G$6:$G$101,MOD(83+$C10+(-2),$B$3)+1)*G10+INDEX(Symboles!$G$6:$G$101,MOD(83+$C10+(-1),$B$3)+1)*H10+INDEX(Symboles!$G$6:$G$101,MOD(83+$C10+(0),$B$3)+1)*I10+INDEX(Symboles!$G$6:$G$101,MOD(83+$C10+(1),$B$3)+1)*J10+INDEX(Symboles!$G$6:$G$101,MOD(83+$C10+(2),$B$3)+1)*K10+INDEX(Symboles!$G$6:$G$101,MOD(83+$C10+(3),$B$3)+1)*L10+INDEX(Symboles!$G$6:$G$101,MOD(83+$C10+(4),$B$3)+1)*M10+IF($B$6=0,0,$B$6*NORMSINV(0.000001+0.999998*RAND())))</f>
        <v/>
      </c>
      <c r="CV10" s="30">
        <f>IF(85&gt;$B$3,99,INDEX(Symboles!$G$6:$G$101,MOD(84+$C10+(-4),$B$3)+1)*E10+INDEX(Symboles!$G$6:$G$101,MOD(84+$C10+(-3),$B$3)+1)*F10+INDEX(Symboles!$G$6:$G$101,MOD(84+$C10+(-2),$B$3)+1)*G10+INDEX(Symboles!$G$6:$G$101,MOD(84+$C10+(-1),$B$3)+1)*H10+INDEX(Symboles!$G$6:$G$101,MOD(84+$C10+(0),$B$3)+1)*I10+INDEX(Symboles!$G$6:$G$101,MOD(84+$C10+(1),$B$3)+1)*J10+INDEX(Symboles!$G$6:$G$101,MOD(84+$C10+(2),$B$3)+1)*K10+INDEX(Symboles!$G$6:$G$101,MOD(84+$C10+(3),$B$3)+1)*L10+INDEX(Symboles!$G$6:$G$101,MOD(84+$C10+(4),$B$3)+1)*M10+IF($B$6=0,0,$B$6*NORMSINV(0.000001+0.999998*RAND())))</f>
        <v/>
      </c>
      <c r="CW10" s="30">
        <f>IF(86&gt;$B$3,99,INDEX(Symboles!$G$6:$G$101,MOD(85+$C10+(-4),$B$3)+1)*E10+INDEX(Symboles!$G$6:$G$101,MOD(85+$C10+(-3),$B$3)+1)*F10+INDEX(Symboles!$G$6:$G$101,MOD(85+$C10+(-2),$B$3)+1)*G10+INDEX(Symboles!$G$6:$G$101,MOD(85+$C10+(-1),$B$3)+1)*H10+INDEX(Symboles!$G$6:$G$101,MOD(85+$C10+(0),$B$3)+1)*I10+INDEX(Symboles!$G$6:$G$101,MOD(85+$C10+(1),$B$3)+1)*J10+INDEX(Symboles!$G$6:$G$101,MOD(85+$C10+(2),$B$3)+1)*K10+INDEX(Symboles!$G$6:$G$101,MOD(85+$C10+(3),$B$3)+1)*L10+INDEX(Symboles!$G$6:$G$101,MOD(85+$C10+(4),$B$3)+1)*M10+IF($B$6=0,0,$B$6*NORMSINV(0.000001+0.999998*RAND())))</f>
        <v/>
      </c>
      <c r="CX10" s="30">
        <f>IF(87&gt;$B$3,99,INDEX(Symboles!$G$6:$G$101,MOD(86+$C10+(-4),$B$3)+1)*E10+INDEX(Symboles!$G$6:$G$101,MOD(86+$C10+(-3),$B$3)+1)*F10+INDEX(Symboles!$G$6:$G$101,MOD(86+$C10+(-2),$B$3)+1)*G10+INDEX(Symboles!$G$6:$G$101,MOD(86+$C10+(-1),$B$3)+1)*H10+INDEX(Symboles!$G$6:$G$101,MOD(86+$C10+(0),$B$3)+1)*I10+INDEX(Symboles!$G$6:$G$101,MOD(86+$C10+(1),$B$3)+1)*J10+INDEX(Symboles!$G$6:$G$101,MOD(86+$C10+(2),$B$3)+1)*K10+INDEX(Symboles!$G$6:$G$101,MOD(86+$C10+(3),$B$3)+1)*L10+INDEX(Symboles!$G$6:$G$101,MOD(86+$C10+(4),$B$3)+1)*M10+IF($B$6=0,0,$B$6*NORMSINV(0.000001+0.999998*RAND())))</f>
        <v/>
      </c>
      <c r="CY10" s="30">
        <f>IF(88&gt;$B$3,99,INDEX(Symboles!$G$6:$G$101,MOD(87+$C10+(-4),$B$3)+1)*E10+INDEX(Symboles!$G$6:$G$101,MOD(87+$C10+(-3),$B$3)+1)*F10+INDEX(Symboles!$G$6:$G$101,MOD(87+$C10+(-2),$B$3)+1)*G10+INDEX(Symboles!$G$6:$G$101,MOD(87+$C10+(-1),$B$3)+1)*H10+INDEX(Symboles!$G$6:$G$101,MOD(87+$C10+(0),$B$3)+1)*I10+INDEX(Symboles!$G$6:$G$101,MOD(87+$C10+(1),$B$3)+1)*J10+INDEX(Symboles!$G$6:$G$101,MOD(87+$C10+(2),$B$3)+1)*K10+INDEX(Symboles!$G$6:$G$101,MOD(87+$C10+(3),$B$3)+1)*L10+INDEX(Symboles!$G$6:$G$101,MOD(87+$C10+(4),$B$3)+1)*M10+IF($B$6=0,0,$B$6*NORMSINV(0.000001+0.999998*RAND())))</f>
        <v/>
      </c>
      <c r="CZ10" s="30">
        <f>IF(89&gt;$B$3,99,INDEX(Symboles!$G$6:$G$101,MOD(88+$C10+(-4),$B$3)+1)*E10+INDEX(Symboles!$G$6:$G$101,MOD(88+$C10+(-3),$B$3)+1)*F10+INDEX(Symboles!$G$6:$G$101,MOD(88+$C10+(-2),$B$3)+1)*G10+INDEX(Symboles!$G$6:$G$101,MOD(88+$C10+(-1),$B$3)+1)*H10+INDEX(Symboles!$G$6:$G$101,MOD(88+$C10+(0),$B$3)+1)*I10+INDEX(Symboles!$G$6:$G$101,MOD(88+$C10+(1),$B$3)+1)*J10+INDEX(Symboles!$G$6:$G$101,MOD(88+$C10+(2),$B$3)+1)*K10+INDEX(Symboles!$G$6:$G$101,MOD(88+$C10+(3),$B$3)+1)*L10+INDEX(Symboles!$G$6:$G$101,MOD(88+$C10+(4),$B$3)+1)*M10+IF($B$6=0,0,$B$6*NORMSINV(0.000001+0.999998*RAND())))</f>
        <v/>
      </c>
      <c r="DA10" s="30">
        <f>IF(90&gt;$B$3,99,INDEX(Symboles!$G$6:$G$101,MOD(89+$C10+(-4),$B$3)+1)*E10+INDEX(Symboles!$G$6:$G$101,MOD(89+$C10+(-3),$B$3)+1)*F10+INDEX(Symboles!$G$6:$G$101,MOD(89+$C10+(-2),$B$3)+1)*G10+INDEX(Symboles!$G$6:$G$101,MOD(89+$C10+(-1),$B$3)+1)*H10+INDEX(Symboles!$G$6:$G$101,MOD(89+$C10+(0),$B$3)+1)*I10+INDEX(Symboles!$G$6:$G$101,MOD(89+$C10+(1),$B$3)+1)*J10+INDEX(Symboles!$G$6:$G$101,MOD(89+$C10+(2),$B$3)+1)*K10+INDEX(Symboles!$G$6:$G$101,MOD(89+$C10+(3),$B$3)+1)*L10+INDEX(Symboles!$G$6:$G$101,MOD(89+$C10+(4),$B$3)+1)*M10+IF($B$6=0,0,$B$6*NORMSINV(0.000001+0.999998*RAND())))</f>
        <v/>
      </c>
      <c r="DB10" s="30">
        <f>IF(91&gt;$B$3,99,INDEX(Symboles!$G$6:$G$101,MOD(90+$C10+(-4),$B$3)+1)*E10+INDEX(Symboles!$G$6:$G$101,MOD(90+$C10+(-3),$B$3)+1)*F10+INDEX(Symboles!$G$6:$G$101,MOD(90+$C10+(-2),$B$3)+1)*G10+INDEX(Symboles!$G$6:$G$101,MOD(90+$C10+(-1),$B$3)+1)*H10+INDEX(Symboles!$G$6:$G$101,MOD(90+$C10+(0),$B$3)+1)*I10+INDEX(Symboles!$G$6:$G$101,MOD(90+$C10+(1),$B$3)+1)*J10+INDEX(Symboles!$G$6:$G$101,MOD(90+$C10+(2),$B$3)+1)*K10+INDEX(Symboles!$G$6:$G$101,MOD(90+$C10+(3),$B$3)+1)*L10+INDEX(Symboles!$G$6:$G$101,MOD(90+$C10+(4),$B$3)+1)*M10+IF($B$6=0,0,$B$6*NORMSINV(0.000001+0.999998*RAND())))</f>
        <v/>
      </c>
      <c r="DC10" s="30">
        <f>IF(92&gt;$B$3,99,INDEX(Symboles!$G$6:$G$101,MOD(91+$C10+(-4),$B$3)+1)*E10+INDEX(Symboles!$G$6:$G$101,MOD(91+$C10+(-3),$B$3)+1)*F10+INDEX(Symboles!$G$6:$G$101,MOD(91+$C10+(-2),$B$3)+1)*G10+INDEX(Symboles!$G$6:$G$101,MOD(91+$C10+(-1),$B$3)+1)*H10+INDEX(Symboles!$G$6:$G$101,MOD(91+$C10+(0),$B$3)+1)*I10+INDEX(Symboles!$G$6:$G$101,MOD(91+$C10+(1),$B$3)+1)*J10+INDEX(Symboles!$G$6:$G$101,MOD(91+$C10+(2),$B$3)+1)*K10+INDEX(Symboles!$G$6:$G$101,MOD(91+$C10+(3),$B$3)+1)*L10+INDEX(Symboles!$G$6:$G$101,MOD(91+$C10+(4),$B$3)+1)*M10+IF($B$6=0,0,$B$6*NORMSINV(0.000001+0.999998*RAND())))</f>
        <v/>
      </c>
      <c r="DD10" s="30">
        <f>IF(93&gt;$B$3,99,INDEX(Symboles!$G$6:$G$101,MOD(92+$C10+(-4),$B$3)+1)*E10+INDEX(Symboles!$G$6:$G$101,MOD(92+$C10+(-3),$B$3)+1)*F10+INDEX(Symboles!$G$6:$G$101,MOD(92+$C10+(-2),$B$3)+1)*G10+INDEX(Symboles!$G$6:$G$101,MOD(92+$C10+(-1),$B$3)+1)*H10+INDEX(Symboles!$G$6:$G$101,MOD(92+$C10+(0),$B$3)+1)*I10+INDEX(Symboles!$G$6:$G$101,MOD(92+$C10+(1),$B$3)+1)*J10+INDEX(Symboles!$G$6:$G$101,MOD(92+$C10+(2),$B$3)+1)*K10+INDEX(Symboles!$G$6:$G$101,MOD(92+$C10+(3),$B$3)+1)*L10+INDEX(Symboles!$G$6:$G$101,MOD(92+$C10+(4),$B$3)+1)*M10+IF($B$6=0,0,$B$6*NORMSINV(0.000001+0.999998*RAND())))</f>
        <v/>
      </c>
      <c r="DE10" s="30">
        <f>IF(94&gt;$B$3,99,INDEX(Symboles!$G$6:$G$101,MOD(93+$C10+(-4),$B$3)+1)*E10+INDEX(Symboles!$G$6:$G$101,MOD(93+$C10+(-3),$B$3)+1)*F10+INDEX(Symboles!$G$6:$G$101,MOD(93+$C10+(-2),$B$3)+1)*G10+INDEX(Symboles!$G$6:$G$101,MOD(93+$C10+(-1),$B$3)+1)*H10+INDEX(Symboles!$G$6:$G$101,MOD(93+$C10+(0),$B$3)+1)*I10+INDEX(Symboles!$G$6:$G$101,MOD(93+$C10+(1),$B$3)+1)*J10+INDEX(Symboles!$G$6:$G$101,MOD(93+$C10+(2),$B$3)+1)*K10+INDEX(Symboles!$G$6:$G$101,MOD(93+$C10+(3),$B$3)+1)*L10+INDEX(Symboles!$G$6:$G$101,MOD(93+$C10+(4),$B$3)+1)*M10+IF($B$6=0,0,$B$6*NORMSINV(0.000001+0.999998*RAND())))</f>
        <v/>
      </c>
      <c r="DF10" s="30">
        <f>IF(95&gt;$B$3,99,INDEX(Symboles!$G$6:$G$101,MOD(94+$C10+(-4),$B$3)+1)*E10+INDEX(Symboles!$G$6:$G$101,MOD(94+$C10+(-3),$B$3)+1)*F10+INDEX(Symboles!$G$6:$G$101,MOD(94+$C10+(-2),$B$3)+1)*G10+INDEX(Symboles!$G$6:$G$101,MOD(94+$C10+(-1),$B$3)+1)*H10+INDEX(Symboles!$G$6:$G$101,MOD(94+$C10+(0),$B$3)+1)*I10+INDEX(Symboles!$G$6:$G$101,MOD(94+$C10+(1),$B$3)+1)*J10+INDEX(Symboles!$G$6:$G$101,MOD(94+$C10+(2),$B$3)+1)*K10+INDEX(Symboles!$G$6:$G$101,MOD(94+$C10+(3),$B$3)+1)*L10+INDEX(Symboles!$G$6:$G$101,MOD(94+$C10+(4),$B$3)+1)*M10+IF($B$6=0,0,$B$6*NORMSINV(0.000001+0.999998*RAND())))</f>
        <v/>
      </c>
      <c r="DG10" s="30">
        <f>IF(96&gt;$B$3,99,INDEX(Symboles!$G$6:$G$101,MOD(95+$C10+(-4),$B$3)+1)*E10+INDEX(Symboles!$G$6:$G$101,MOD(95+$C10+(-3),$B$3)+1)*F10+INDEX(Symboles!$G$6:$G$101,MOD(95+$C10+(-2),$B$3)+1)*G10+INDEX(Symboles!$G$6:$G$101,MOD(95+$C10+(-1),$B$3)+1)*H10+INDEX(Symboles!$G$6:$G$101,MOD(95+$C10+(0),$B$3)+1)*I10+INDEX(Symboles!$G$6:$G$101,MOD(95+$C10+(1),$B$3)+1)*J10+INDEX(Symboles!$G$6:$G$101,MOD(95+$C10+(2),$B$3)+1)*K10+INDEX(Symboles!$G$6:$G$101,MOD(95+$C10+(3),$B$3)+1)*L10+INDEX(Symboles!$G$6:$G$101,MOD(95+$C10+(4),$B$3)+1)*M10+IF($B$6=0,0,$B$6*NORMSINV(0.000001+0.999998*RAND())))</f>
        <v/>
      </c>
      <c r="DI10" s="30">
        <f>IF(1&gt;$B$3,99,INDEX(Symboles!$H$6:$H$101,MOD(0+$C10+(-4),$B$3)+1)*E10+INDEX(Symboles!$H$6:$H$101,MOD(0+$C10+(-3),$B$3)+1)*F10+INDEX(Symboles!$H$6:$H$101,MOD(0+$C10+(-2),$B$3)+1)*G10+INDEX(Symboles!$H$6:$H$101,MOD(0+$C10+(-1),$B$3)+1)*H10+INDEX(Symboles!$H$6:$H$101,MOD(0+$C10+(0),$B$3)+1)*I10+INDEX(Symboles!$H$6:$H$101,MOD(0+$C10+(1),$B$3)+1)*J10+INDEX(Symboles!$H$6:$H$101,MOD(0+$C10+(2),$B$3)+1)*K10+INDEX(Symboles!$H$6:$H$101,MOD(0+$C10+(3),$B$3)+1)*L10+INDEX(Symboles!$H$6:$H$101,MOD(0+$C10+(4),$B$3)+1)*M10+IF($B$6=0,0,$B$6*NORMSINV(0.000001+0.999998*RAND())))</f>
        <v/>
      </c>
      <c r="DJ10" s="30">
        <f>IF(2&gt;$B$3,99,INDEX(Symboles!$H$6:$H$101,MOD(1+$C10+(-4),$B$3)+1)*E10+INDEX(Symboles!$H$6:$H$101,MOD(1+$C10+(-3),$B$3)+1)*F10+INDEX(Symboles!$H$6:$H$101,MOD(1+$C10+(-2),$B$3)+1)*G10+INDEX(Symboles!$H$6:$H$101,MOD(1+$C10+(-1),$B$3)+1)*H10+INDEX(Symboles!$H$6:$H$101,MOD(1+$C10+(0),$B$3)+1)*I10+INDEX(Symboles!$H$6:$H$101,MOD(1+$C10+(1),$B$3)+1)*J10+INDEX(Symboles!$H$6:$H$101,MOD(1+$C10+(2),$B$3)+1)*K10+INDEX(Symboles!$H$6:$H$101,MOD(1+$C10+(3),$B$3)+1)*L10+INDEX(Symboles!$H$6:$H$101,MOD(1+$C10+(4),$B$3)+1)*M10+IF($B$6=0,0,$B$6*NORMSINV(0.000001+0.999998*RAND())))</f>
        <v/>
      </c>
      <c r="DK10" s="30">
        <f>IF(3&gt;$B$3,99,INDEX(Symboles!$H$6:$H$101,MOD(2+$C10+(-4),$B$3)+1)*E10+INDEX(Symboles!$H$6:$H$101,MOD(2+$C10+(-3),$B$3)+1)*F10+INDEX(Symboles!$H$6:$H$101,MOD(2+$C10+(-2),$B$3)+1)*G10+INDEX(Symboles!$H$6:$H$101,MOD(2+$C10+(-1),$B$3)+1)*H10+INDEX(Symboles!$H$6:$H$101,MOD(2+$C10+(0),$B$3)+1)*I10+INDEX(Symboles!$H$6:$H$101,MOD(2+$C10+(1),$B$3)+1)*J10+INDEX(Symboles!$H$6:$H$101,MOD(2+$C10+(2),$B$3)+1)*K10+INDEX(Symboles!$H$6:$H$101,MOD(2+$C10+(3),$B$3)+1)*L10+INDEX(Symboles!$H$6:$H$101,MOD(2+$C10+(4),$B$3)+1)*M10+IF($B$6=0,0,$B$6*NORMSINV(0.000001+0.999998*RAND())))</f>
        <v/>
      </c>
      <c r="DL10" s="30">
        <f>IF(4&gt;$B$3,99,INDEX(Symboles!$H$6:$H$101,MOD(3+$C10+(-4),$B$3)+1)*E10+INDEX(Symboles!$H$6:$H$101,MOD(3+$C10+(-3),$B$3)+1)*F10+INDEX(Symboles!$H$6:$H$101,MOD(3+$C10+(-2),$B$3)+1)*G10+INDEX(Symboles!$H$6:$H$101,MOD(3+$C10+(-1),$B$3)+1)*H10+INDEX(Symboles!$H$6:$H$101,MOD(3+$C10+(0),$B$3)+1)*I10+INDEX(Symboles!$H$6:$H$101,MOD(3+$C10+(1),$B$3)+1)*J10+INDEX(Symboles!$H$6:$H$101,MOD(3+$C10+(2),$B$3)+1)*K10+INDEX(Symboles!$H$6:$H$101,MOD(3+$C10+(3),$B$3)+1)*L10+INDEX(Symboles!$H$6:$H$101,MOD(3+$C10+(4),$B$3)+1)*M10+IF($B$6=0,0,$B$6*NORMSINV(0.000001+0.999998*RAND())))</f>
        <v/>
      </c>
      <c r="DM10" s="30">
        <f>IF(5&gt;$B$3,99,INDEX(Symboles!$H$6:$H$101,MOD(4+$C10+(-4),$B$3)+1)*E10+INDEX(Symboles!$H$6:$H$101,MOD(4+$C10+(-3),$B$3)+1)*F10+INDEX(Symboles!$H$6:$H$101,MOD(4+$C10+(-2),$B$3)+1)*G10+INDEX(Symboles!$H$6:$H$101,MOD(4+$C10+(-1),$B$3)+1)*H10+INDEX(Symboles!$H$6:$H$101,MOD(4+$C10+(0),$B$3)+1)*I10+INDEX(Symboles!$H$6:$H$101,MOD(4+$C10+(1),$B$3)+1)*J10+INDEX(Symboles!$H$6:$H$101,MOD(4+$C10+(2),$B$3)+1)*K10+INDEX(Symboles!$H$6:$H$101,MOD(4+$C10+(3),$B$3)+1)*L10+INDEX(Symboles!$H$6:$H$101,MOD(4+$C10+(4),$B$3)+1)*M10+IF($B$6=0,0,$B$6*NORMSINV(0.000001+0.999998*RAND())))</f>
        <v/>
      </c>
      <c r="DN10" s="30">
        <f>IF(6&gt;$B$3,99,INDEX(Symboles!$H$6:$H$101,MOD(5+$C10+(-4),$B$3)+1)*E10+INDEX(Symboles!$H$6:$H$101,MOD(5+$C10+(-3),$B$3)+1)*F10+INDEX(Symboles!$H$6:$H$101,MOD(5+$C10+(-2),$B$3)+1)*G10+INDEX(Symboles!$H$6:$H$101,MOD(5+$C10+(-1),$B$3)+1)*H10+INDEX(Symboles!$H$6:$H$101,MOD(5+$C10+(0),$B$3)+1)*I10+INDEX(Symboles!$H$6:$H$101,MOD(5+$C10+(1),$B$3)+1)*J10+INDEX(Symboles!$H$6:$H$101,MOD(5+$C10+(2),$B$3)+1)*K10+INDEX(Symboles!$H$6:$H$101,MOD(5+$C10+(3),$B$3)+1)*L10+INDEX(Symboles!$H$6:$H$101,MOD(5+$C10+(4),$B$3)+1)*M10+IF($B$6=0,0,$B$6*NORMSINV(0.000001+0.999998*RAND())))</f>
        <v/>
      </c>
      <c r="DO10" s="30">
        <f>IF(7&gt;$B$3,99,INDEX(Symboles!$H$6:$H$101,MOD(6+$C10+(-4),$B$3)+1)*E10+INDEX(Symboles!$H$6:$H$101,MOD(6+$C10+(-3),$B$3)+1)*F10+INDEX(Symboles!$H$6:$H$101,MOD(6+$C10+(-2),$B$3)+1)*G10+INDEX(Symboles!$H$6:$H$101,MOD(6+$C10+(-1),$B$3)+1)*H10+INDEX(Symboles!$H$6:$H$101,MOD(6+$C10+(0),$B$3)+1)*I10+INDEX(Symboles!$H$6:$H$101,MOD(6+$C10+(1),$B$3)+1)*J10+INDEX(Symboles!$H$6:$H$101,MOD(6+$C10+(2),$B$3)+1)*K10+INDEX(Symboles!$H$6:$H$101,MOD(6+$C10+(3),$B$3)+1)*L10+INDEX(Symboles!$H$6:$H$101,MOD(6+$C10+(4),$B$3)+1)*M10+IF($B$6=0,0,$B$6*NORMSINV(0.000001+0.999998*RAND())))</f>
        <v/>
      </c>
      <c r="DP10" s="30">
        <f>IF(8&gt;$B$3,99,INDEX(Symboles!$H$6:$H$101,MOD(7+$C10+(-4),$B$3)+1)*E10+INDEX(Symboles!$H$6:$H$101,MOD(7+$C10+(-3),$B$3)+1)*F10+INDEX(Symboles!$H$6:$H$101,MOD(7+$C10+(-2),$B$3)+1)*G10+INDEX(Symboles!$H$6:$H$101,MOD(7+$C10+(-1),$B$3)+1)*H10+INDEX(Symboles!$H$6:$H$101,MOD(7+$C10+(0),$B$3)+1)*I10+INDEX(Symboles!$H$6:$H$101,MOD(7+$C10+(1),$B$3)+1)*J10+INDEX(Symboles!$H$6:$H$101,MOD(7+$C10+(2),$B$3)+1)*K10+INDEX(Symboles!$H$6:$H$101,MOD(7+$C10+(3),$B$3)+1)*L10+INDEX(Symboles!$H$6:$H$101,MOD(7+$C10+(4),$B$3)+1)*M10+IF($B$6=0,0,$B$6*NORMSINV(0.000001+0.999998*RAND())))</f>
        <v/>
      </c>
      <c r="DQ10" s="30">
        <f>IF(9&gt;$B$3,99,INDEX(Symboles!$H$6:$H$101,MOD(8+$C10+(-4),$B$3)+1)*E10+INDEX(Symboles!$H$6:$H$101,MOD(8+$C10+(-3),$B$3)+1)*F10+INDEX(Symboles!$H$6:$H$101,MOD(8+$C10+(-2),$B$3)+1)*G10+INDEX(Symboles!$H$6:$H$101,MOD(8+$C10+(-1),$B$3)+1)*H10+INDEX(Symboles!$H$6:$H$101,MOD(8+$C10+(0),$B$3)+1)*I10+INDEX(Symboles!$H$6:$H$101,MOD(8+$C10+(1),$B$3)+1)*J10+INDEX(Symboles!$H$6:$H$101,MOD(8+$C10+(2),$B$3)+1)*K10+INDEX(Symboles!$H$6:$H$101,MOD(8+$C10+(3),$B$3)+1)*L10+INDEX(Symboles!$H$6:$H$101,MOD(8+$C10+(4),$B$3)+1)*M10+IF($B$6=0,0,$B$6*NORMSINV(0.000001+0.999998*RAND())))</f>
        <v/>
      </c>
      <c r="DR10" s="30">
        <f>IF(10&gt;$B$3,99,INDEX(Symboles!$H$6:$H$101,MOD(9+$C10+(-4),$B$3)+1)*E10+INDEX(Symboles!$H$6:$H$101,MOD(9+$C10+(-3),$B$3)+1)*F10+INDEX(Symboles!$H$6:$H$101,MOD(9+$C10+(-2),$B$3)+1)*G10+INDEX(Symboles!$H$6:$H$101,MOD(9+$C10+(-1),$B$3)+1)*H10+INDEX(Symboles!$H$6:$H$101,MOD(9+$C10+(0),$B$3)+1)*I10+INDEX(Symboles!$H$6:$H$101,MOD(9+$C10+(1),$B$3)+1)*J10+INDEX(Symboles!$H$6:$H$101,MOD(9+$C10+(2),$B$3)+1)*K10+INDEX(Symboles!$H$6:$H$101,MOD(9+$C10+(3),$B$3)+1)*L10+INDEX(Symboles!$H$6:$H$101,MOD(9+$C10+(4),$B$3)+1)*M10+IF($B$6=0,0,$B$6*NORMSINV(0.000001+0.999998*RAND())))</f>
        <v/>
      </c>
      <c r="DS10" s="30">
        <f>IF(11&gt;$B$3,99,INDEX(Symboles!$H$6:$H$101,MOD(10+$C10+(-4),$B$3)+1)*E10+INDEX(Symboles!$H$6:$H$101,MOD(10+$C10+(-3),$B$3)+1)*F10+INDEX(Symboles!$H$6:$H$101,MOD(10+$C10+(-2),$B$3)+1)*G10+INDEX(Symboles!$H$6:$H$101,MOD(10+$C10+(-1),$B$3)+1)*H10+INDEX(Symboles!$H$6:$H$101,MOD(10+$C10+(0),$B$3)+1)*I10+INDEX(Symboles!$H$6:$H$101,MOD(10+$C10+(1),$B$3)+1)*J10+INDEX(Symboles!$H$6:$H$101,MOD(10+$C10+(2),$B$3)+1)*K10+INDEX(Symboles!$H$6:$H$101,MOD(10+$C10+(3),$B$3)+1)*L10+INDEX(Symboles!$H$6:$H$101,MOD(10+$C10+(4),$B$3)+1)*M10+IF($B$6=0,0,$B$6*NORMSINV(0.000001+0.999998*RAND())))</f>
        <v/>
      </c>
      <c r="DT10" s="30">
        <f>IF(12&gt;$B$3,99,INDEX(Symboles!$H$6:$H$101,MOD(11+$C10+(-4),$B$3)+1)*E10+INDEX(Symboles!$H$6:$H$101,MOD(11+$C10+(-3),$B$3)+1)*F10+INDEX(Symboles!$H$6:$H$101,MOD(11+$C10+(-2),$B$3)+1)*G10+INDEX(Symboles!$H$6:$H$101,MOD(11+$C10+(-1),$B$3)+1)*H10+INDEX(Symboles!$H$6:$H$101,MOD(11+$C10+(0),$B$3)+1)*I10+INDEX(Symboles!$H$6:$H$101,MOD(11+$C10+(1),$B$3)+1)*J10+INDEX(Symboles!$H$6:$H$101,MOD(11+$C10+(2),$B$3)+1)*K10+INDEX(Symboles!$H$6:$H$101,MOD(11+$C10+(3),$B$3)+1)*L10+INDEX(Symboles!$H$6:$H$101,MOD(11+$C10+(4),$B$3)+1)*M10+IF($B$6=0,0,$B$6*NORMSINV(0.000001+0.999998*RAND())))</f>
        <v/>
      </c>
      <c r="DU10" s="30">
        <f>IF(13&gt;$B$3,99,INDEX(Symboles!$H$6:$H$101,MOD(12+$C10+(-4),$B$3)+1)*E10+INDEX(Symboles!$H$6:$H$101,MOD(12+$C10+(-3),$B$3)+1)*F10+INDEX(Symboles!$H$6:$H$101,MOD(12+$C10+(-2),$B$3)+1)*G10+INDEX(Symboles!$H$6:$H$101,MOD(12+$C10+(-1),$B$3)+1)*H10+INDEX(Symboles!$H$6:$H$101,MOD(12+$C10+(0),$B$3)+1)*I10+INDEX(Symboles!$H$6:$H$101,MOD(12+$C10+(1),$B$3)+1)*J10+INDEX(Symboles!$H$6:$H$101,MOD(12+$C10+(2),$B$3)+1)*K10+INDEX(Symboles!$H$6:$H$101,MOD(12+$C10+(3),$B$3)+1)*L10+INDEX(Symboles!$H$6:$H$101,MOD(12+$C10+(4),$B$3)+1)*M10+IF($B$6=0,0,$B$6*NORMSINV(0.000001+0.999998*RAND())))</f>
        <v/>
      </c>
      <c r="DV10" s="30">
        <f>IF(14&gt;$B$3,99,INDEX(Symboles!$H$6:$H$101,MOD(13+$C10+(-4),$B$3)+1)*E10+INDEX(Symboles!$H$6:$H$101,MOD(13+$C10+(-3),$B$3)+1)*F10+INDEX(Symboles!$H$6:$H$101,MOD(13+$C10+(-2),$B$3)+1)*G10+INDEX(Symboles!$H$6:$H$101,MOD(13+$C10+(-1),$B$3)+1)*H10+INDEX(Symboles!$H$6:$H$101,MOD(13+$C10+(0),$B$3)+1)*I10+INDEX(Symboles!$H$6:$H$101,MOD(13+$C10+(1),$B$3)+1)*J10+INDEX(Symboles!$H$6:$H$101,MOD(13+$C10+(2),$B$3)+1)*K10+INDEX(Symboles!$H$6:$H$101,MOD(13+$C10+(3),$B$3)+1)*L10+INDEX(Symboles!$H$6:$H$101,MOD(13+$C10+(4),$B$3)+1)*M10+IF($B$6=0,0,$B$6*NORMSINV(0.000001+0.999998*RAND())))</f>
        <v/>
      </c>
      <c r="DW10" s="30">
        <f>IF(15&gt;$B$3,99,INDEX(Symboles!$H$6:$H$101,MOD(14+$C10+(-4),$B$3)+1)*E10+INDEX(Symboles!$H$6:$H$101,MOD(14+$C10+(-3),$B$3)+1)*F10+INDEX(Symboles!$H$6:$H$101,MOD(14+$C10+(-2),$B$3)+1)*G10+INDEX(Symboles!$H$6:$H$101,MOD(14+$C10+(-1),$B$3)+1)*H10+INDEX(Symboles!$H$6:$H$101,MOD(14+$C10+(0),$B$3)+1)*I10+INDEX(Symboles!$H$6:$H$101,MOD(14+$C10+(1),$B$3)+1)*J10+INDEX(Symboles!$H$6:$H$101,MOD(14+$C10+(2),$B$3)+1)*K10+INDEX(Symboles!$H$6:$H$101,MOD(14+$C10+(3),$B$3)+1)*L10+INDEX(Symboles!$H$6:$H$101,MOD(14+$C10+(4),$B$3)+1)*M10+IF($B$6=0,0,$B$6*NORMSINV(0.000001+0.999998*RAND())))</f>
        <v/>
      </c>
      <c r="DX10" s="30">
        <f>IF(16&gt;$B$3,99,INDEX(Symboles!$H$6:$H$101,MOD(15+$C10+(-4),$B$3)+1)*E10+INDEX(Symboles!$H$6:$H$101,MOD(15+$C10+(-3),$B$3)+1)*F10+INDEX(Symboles!$H$6:$H$101,MOD(15+$C10+(-2),$B$3)+1)*G10+INDEX(Symboles!$H$6:$H$101,MOD(15+$C10+(-1),$B$3)+1)*H10+INDEX(Symboles!$H$6:$H$101,MOD(15+$C10+(0),$B$3)+1)*I10+INDEX(Symboles!$H$6:$H$101,MOD(15+$C10+(1),$B$3)+1)*J10+INDEX(Symboles!$H$6:$H$101,MOD(15+$C10+(2),$B$3)+1)*K10+INDEX(Symboles!$H$6:$H$101,MOD(15+$C10+(3),$B$3)+1)*L10+INDEX(Symboles!$H$6:$H$101,MOD(15+$C10+(4),$B$3)+1)*M10+IF($B$6=0,0,$B$6*NORMSINV(0.000001+0.999998*RAND())))</f>
        <v/>
      </c>
      <c r="DY10" s="30">
        <f>IF(17&gt;$B$3,99,INDEX(Symboles!$H$6:$H$101,MOD(16+$C10+(-4),$B$3)+1)*E10+INDEX(Symboles!$H$6:$H$101,MOD(16+$C10+(-3),$B$3)+1)*F10+INDEX(Symboles!$H$6:$H$101,MOD(16+$C10+(-2),$B$3)+1)*G10+INDEX(Symboles!$H$6:$H$101,MOD(16+$C10+(-1),$B$3)+1)*H10+INDEX(Symboles!$H$6:$H$101,MOD(16+$C10+(0),$B$3)+1)*I10+INDEX(Symboles!$H$6:$H$101,MOD(16+$C10+(1),$B$3)+1)*J10+INDEX(Symboles!$H$6:$H$101,MOD(16+$C10+(2),$B$3)+1)*K10+INDEX(Symboles!$H$6:$H$101,MOD(16+$C10+(3),$B$3)+1)*L10+INDEX(Symboles!$H$6:$H$101,MOD(16+$C10+(4),$B$3)+1)*M10+IF($B$6=0,0,$B$6*NORMSINV(0.000001+0.999998*RAND())))</f>
        <v/>
      </c>
      <c r="DZ10" s="30">
        <f>IF(18&gt;$B$3,99,INDEX(Symboles!$H$6:$H$101,MOD(17+$C10+(-4),$B$3)+1)*E10+INDEX(Symboles!$H$6:$H$101,MOD(17+$C10+(-3),$B$3)+1)*F10+INDEX(Symboles!$H$6:$H$101,MOD(17+$C10+(-2),$B$3)+1)*G10+INDEX(Symboles!$H$6:$H$101,MOD(17+$C10+(-1),$B$3)+1)*H10+INDEX(Symboles!$H$6:$H$101,MOD(17+$C10+(0),$B$3)+1)*I10+INDEX(Symboles!$H$6:$H$101,MOD(17+$C10+(1),$B$3)+1)*J10+INDEX(Symboles!$H$6:$H$101,MOD(17+$C10+(2),$B$3)+1)*K10+INDEX(Symboles!$H$6:$H$101,MOD(17+$C10+(3),$B$3)+1)*L10+INDEX(Symboles!$H$6:$H$101,MOD(17+$C10+(4),$B$3)+1)*M10+IF($B$6=0,0,$B$6*NORMSINV(0.000001+0.999998*RAND())))</f>
        <v/>
      </c>
      <c r="EA10" s="30">
        <f>IF(19&gt;$B$3,99,INDEX(Symboles!$H$6:$H$101,MOD(18+$C10+(-4),$B$3)+1)*E10+INDEX(Symboles!$H$6:$H$101,MOD(18+$C10+(-3),$B$3)+1)*F10+INDEX(Symboles!$H$6:$H$101,MOD(18+$C10+(-2),$B$3)+1)*G10+INDEX(Symboles!$H$6:$H$101,MOD(18+$C10+(-1),$B$3)+1)*H10+INDEX(Symboles!$H$6:$H$101,MOD(18+$C10+(0),$B$3)+1)*I10+INDEX(Symboles!$H$6:$H$101,MOD(18+$C10+(1),$B$3)+1)*J10+INDEX(Symboles!$H$6:$H$101,MOD(18+$C10+(2),$B$3)+1)*K10+INDEX(Symboles!$H$6:$H$101,MOD(18+$C10+(3),$B$3)+1)*L10+INDEX(Symboles!$H$6:$H$101,MOD(18+$C10+(4),$B$3)+1)*M10+IF($B$6=0,0,$B$6*NORMSINV(0.000001+0.999998*RAND())))</f>
        <v/>
      </c>
      <c r="EB10" s="30">
        <f>IF(20&gt;$B$3,99,INDEX(Symboles!$H$6:$H$101,MOD(19+$C10+(-4),$B$3)+1)*E10+INDEX(Symboles!$H$6:$H$101,MOD(19+$C10+(-3),$B$3)+1)*F10+INDEX(Symboles!$H$6:$H$101,MOD(19+$C10+(-2),$B$3)+1)*G10+INDEX(Symboles!$H$6:$H$101,MOD(19+$C10+(-1),$B$3)+1)*H10+INDEX(Symboles!$H$6:$H$101,MOD(19+$C10+(0),$B$3)+1)*I10+INDEX(Symboles!$H$6:$H$101,MOD(19+$C10+(1),$B$3)+1)*J10+INDEX(Symboles!$H$6:$H$101,MOD(19+$C10+(2),$B$3)+1)*K10+INDEX(Symboles!$H$6:$H$101,MOD(19+$C10+(3),$B$3)+1)*L10+INDEX(Symboles!$H$6:$H$101,MOD(19+$C10+(4),$B$3)+1)*M10+IF($B$6=0,0,$B$6*NORMSINV(0.000001+0.999998*RAND())))</f>
        <v/>
      </c>
      <c r="EC10" s="30">
        <f>IF(21&gt;$B$3,99,INDEX(Symboles!$H$6:$H$101,MOD(20+$C10+(-4),$B$3)+1)*E10+INDEX(Symboles!$H$6:$H$101,MOD(20+$C10+(-3),$B$3)+1)*F10+INDEX(Symboles!$H$6:$H$101,MOD(20+$C10+(-2),$B$3)+1)*G10+INDEX(Symboles!$H$6:$H$101,MOD(20+$C10+(-1),$B$3)+1)*H10+INDEX(Symboles!$H$6:$H$101,MOD(20+$C10+(0),$B$3)+1)*I10+INDEX(Symboles!$H$6:$H$101,MOD(20+$C10+(1),$B$3)+1)*J10+INDEX(Symboles!$H$6:$H$101,MOD(20+$C10+(2),$B$3)+1)*K10+INDEX(Symboles!$H$6:$H$101,MOD(20+$C10+(3),$B$3)+1)*L10+INDEX(Symboles!$H$6:$H$101,MOD(20+$C10+(4),$B$3)+1)*M10+IF($B$6=0,0,$B$6*NORMSINV(0.000001+0.999998*RAND())))</f>
        <v/>
      </c>
      <c r="ED10" s="30">
        <f>IF(22&gt;$B$3,99,INDEX(Symboles!$H$6:$H$101,MOD(21+$C10+(-4),$B$3)+1)*E10+INDEX(Symboles!$H$6:$H$101,MOD(21+$C10+(-3),$B$3)+1)*F10+INDEX(Symboles!$H$6:$H$101,MOD(21+$C10+(-2),$B$3)+1)*G10+INDEX(Symboles!$H$6:$H$101,MOD(21+$C10+(-1),$B$3)+1)*H10+INDEX(Symboles!$H$6:$H$101,MOD(21+$C10+(0),$B$3)+1)*I10+INDEX(Symboles!$H$6:$H$101,MOD(21+$C10+(1),$B$3)+1)*J10+INDEX(Symboles!$H$6:$H$101,MOD(21+$C10+(2),$B$3)+1)*K10+INDEX(Symboles!$H$6:$H$101,MOD(21+$C10+(3),$B$3)+1)*L10+INDEX(Symboles!$H$6:$H$101,MOD(21+$C10+(4),$B$3)+1)*M10+IF($B$6=0,0,$B$6*NORMSINV(0.000001+0.999998*RAND())))</f>
        <v/>
      </c>
      <c r="EE10" s="30">
        <f>IF(23&gt;$B$3,99,INDEX(Symboles!$H$6:$H$101,MOD(22+$C10+(-4),$B$3)+1)*E10+INDEX(Symboles!$H$6:$H$101,MOD(22+$C10+(-3),$B$3)+1)*F10+INDEX(Symboles!$H$6:$H$101,MOD(22+$C10+(-2),$B$3)+1)*G10+INDEX(Symboles!$H$6:$H$101,MOD(22+$C10+(-1),$B$3)+1)*H10+INDEX(Symboles!$H$6:$H$101,MOD(22+$C10+(0),$B$3)+1)*I10+INDEX(Symboles!$H$6:$H$101,MOD(22+$C10+(1),$B$3)+1)*J10+INDEX(Symboles!$H$6:$H$101,MOD(22+$C10+(2),$B$3)+1)*K10+INDEX(Symboles!$H$6:$H$101,MOD(22+$C10+(3),$B$3)+1)*L10+INDEX(Symboles!$H$6:$H$101,MOD(22+$C10+(4),$B$3)+1)*M10+IF($B$6=0,0,$B$6*NORMSINV(0.000001+0.999998*RAND())))</f>
        <v/>
      </c>
      <c r="EF10" s="30">
        <f>IF(24&gt;$B$3,99,INDEX(Symboles!$H$6:$H$101,MOD(23+$C10+(-4),$B$3)+1)*E10+INDEX(Symboles!$H$6:$H$101,MOD(23+$C10+(-3),$B$3)+1)*F10+INDEX(Symboles!$H$6:$H$101,MOD(23+$C10+(-2),$B$3)+1)*G10+INDEX(Symboles!$H$6:$H$101,MOD(23+$C10+(-1),$B$3)+1)*H10+INDEX(Symboles!$H$6:$H$101,MOD(23+$C10+(0),$B$3)+1)*I10+INDEX(Symboles!$H$6:$H$101,MOD(23+$C10+(1),$B$3)+1)*J10+INDEX(Symboles!$H$6:$H$101,MOD(23+$C10+(2),$B$3)+1)*K10+INDEX(Symboles!$H$6:$H$101,MOD(23+$C10+(3),$B$3)+1)*L10+INDEX(Symboles!$H$6:$H$101,MOD(23+$C10+(4),$B$3)+1)*M10+IF($B$6=0,0,$B$6*NORMSINV(0.000001+0.999998*RAND())))</f>
        <v/>
      </c>
      <c r="EG10" s="30">
        <f>IF(25&gt;$B$3,99,INDEX(Symboles!$H$6:$H$101,MOD(24+$C10+(-4),$B$3)+1)*E10+INDEX(Symboles!$H$6:$H$101,MOD(24+$C10+(-3),$B$3)+1)*F10+INDEX(Symboles!$H$6:$H$101,MOD(24+$C10+(-2),$B$3)+1)*G10+INDEX(Symboles!$H$6:$H$101,MOD(24+$C10+(-1),$B$3)+1)*H10+INDEX(Symboles!$H$6:$H$101,MOD(24+$C10+(0),$B$3)+1)*I10+INDEX(Symboles!$H$6:$H$101,MOD(24+$C10+(1),$B$3)+1)*J10+INDEX(Symboles!$H$6:$H$101,MOD(24+$C10+(2),$B$3)+1)*K10+INDEX(Symboles!$H$6:$H$101,MOD(24+$C10+(3),$B$3)+1)*L10+INDEX(Symboles!$H$6:$H$101,MOD(24+$C10+(4),$B$3)+1)*M10+IF($B$6=0,0,$B$6*NORMSINV(0.000001+0.999998*RAND())))</f>
        <v/>
      </c>
      <c r="EH10" s="30">
        <f>IF(26&gt;$B$3,99,INDEX(Symboles!$H$6:$H$101,MOD(25+$C10+(-4),$B$3)+1)*E10+INDEX(Symboles!$H$6:$H$101,MOD(25+$C10+(-3),$B$3)+1)*F10+INDEX(Symboles!$H$6:$H$101,MOD(25+$C10+(-2),$B$3)+1)*G10+INDEX(Symboles!$H$6:$H$101,MOD(25+$C10+(-1),$B$3)+1)*H10+INDEX(Symboles!$H$6:$H$101,MOD(25+$C10+(0),$B$3)+1)*I10+INDEX(Symboles!$H$6:$H$101,MOD(25+$C10+(1),$B$3)+1)*J10+INDEX(Symboles!$H$6:$H$101,MOD(25+$C10+(2),$B$3)+1)*K10+INDEX(Symboles!$H$6:$H$101,MOD(25+$C10+(3),$B$3)+1)*L10+INDEX(Symboles!$H$6:$H$101,MOD(25+$C10+(4),$B$3)+1)*M10+IF($B$6=0,0,$B$6*NORMSINV(0.000001+0.999998*RAND())))</f>
        <v/>
      </c>
      <c r="EI10" s="30">
        <f>IF(27&gt;$B$3,99,INDEX(Symboles!$H$6:$H$101,MOD(26+$C10+(-4),$B$3)+1)*E10+INDEX(Symboles!$H$6:$H$101,MOD(26+$C10+(-3),$B$3)+1)*F10+INDEX(Symboles!$H$6:$H$101,MOD(26+$C10+(-2),$B$3)+1)*G10+INDEX(Symboles!$H$6:$H$101,MOD(26+$C10+(-1),$B$3)+1)*H10+INDEX(Symboles!$H$6:$H$101,MOD(26+$C10+(0),$B$3)+1)*I10+INDEX(Symboles!$H$6:$H$101,MOD(26+$C10+(1),$B$3)+1)*J10+INDEX(Symboles!$H$6:$H$101,MOD(26+$C10+(2),$B$3)+1)*K10+INDEX(Symboles!$H$6:$H$101,MOD(26+$C10+(3),$B$3)+1)*L10+INDEX(Symboles!$H$6:$H$101,MOD(26+$C10+(4),$B$3)+1)*M10+IF($B$6=0,0,$B$6*NORMSINV(0.000001+0.999998*RAND())))</f>
        <v/>
      </c>
      <c r="EJ10" s="30">
        <f>IF(28&gt;$B$3,99,INDEX(Symboles!$H$6:$H$101,MOD(27+$C10+(-4),$B$3)+1)*E10+INDEX(Symboles!$H$6:$H$101,MOD(27+$C10+(-3),$B$3)+1)*F10+INDEX(Symboles!$H$6:$H$101,MOD(27+$C10+(-2),$B$3)+1)*G10+INDEX(Symboles!$H$6:$H$101,MOD(27+$C10+(-1),$B$3)+1)*H10+INDEX(Symboles!$H$6:$H$101,MOD(27+$C10+(0),$B$3)+1)*I10+INDEX(Symboles!$H$6:$H$101,MOD(27+$C10+(1),$B$3)+1)*J10+INDEX(Symboles!$H$6:$H$101,MOD(27+$C10+(2),$B$3)+1)*K10+INDEX(Symboles!$H$6:$H$101,MOD(27+$C10+(3),$B$3)+1)*L10+INDEX(Symboles!$H$6:$H$101,MOD(27+$C10+(4),$B$3)+1)*M10+IF($B$6=0,0,$B$6*NORMSINV(0.000001+0.999998*RAND())))</f>
        <v/>
      </c>
      <c r="EK10" s="30">
        <f>IF(29&gt;$B$3,99,INDEX(Symboles!$H$6:$H$101,MOD(28+$C10+(-4),$B$3)+1)*E10+INDEX(Symboles!$H$6:$H$101,MOD(28+$C10+(-3),$B$3)+1)*F10+INDEX(Symboles!$H$6:$H$101,MOD(28+$C10+(-2),$B$3)+1)*G10+INDEX(Symboles!$H$6:$H$101,MOD(28+$C10+(-1),$B$3)+1)*H10+INDEX(Symboles!$H$6:$H$101,MOD(28+$C10+(0),$B$3)+1)*I10+INDEX(Symboles!$H$6:$H$101,MOD(28+$C10+(1),$B$3)+1)*J10+INDEX(Symboles!$H$6:$H$101,MOD(28+$C10+(2),$B$3)+1)*K10+INDEX(Symboles!$H$6:$H$101,MOD(28+$C10+(3),$B$3)+1)*L10+INDEX(Symboles!$H$6:$H$101,MOD(28+$C10+(4),$B$3)+1)*M10+IF($B$6=0,0,$B$6*NORMSINV(0.000001+0.999998*RAND())))</f>
        <v/>
      </c>
      <c r="EL10" s="30">
        <f>IF(30&gt;$B$3,99,INDEX(Symboles!$H$6:$H$101,MOD(29+$C10+(-4),$B$3)+1)*E10+INDEX(Symboles!$H$6:$H$101,MOD(29+$C10+(-3),$B$3)+1)*F10+INDEX(Symboles!$H$6:$H$101,MOD(29+$C10+(-2),$B$3)+1)*G10+INDEX(Symboles!$H$6:$H$101,MOD(29+$C10+(-1),$B$3)+1)*H10+INDEX(Symboles!$H$6:$H$101,MOD(29+$C10+(0),$B$3)+1)*I10+INDEX(Symboles!$H$6:$H$101,MOD(29+$C10+(1),$B$3)+1)*J10+INDEX(Symboles!$H$6:$H$101,MOD(29+$C10+(2),$B$3)+1)*K10+INDEX(Symboles!$H$6:$H$101,MOD(29+$C10+(3),$B$3)+1)*L10+INDEX(Symboles!$H$6:$H$101,MOD(29+$C10+(4),$B$3)+1)*M10+IF($B$6=0,0,$B$6*NORMSINV(0.000001+0.999998*RAND())))</f>
        <v/>
      </c>
      <c r="EM10" s="30">
        <f>IF(31&gt;$B$3,99,INDEX(Symboles!$H$6:$H$101,MOD(30+$C10+(-4),$B$3)+1)*E10+INDEX(Symboles!$H$6:$H$101,MOD(30+$C10+(-3),$B$3)+1)*F10+INDEX(Symboles!$H$6:$H$101,MOD(30+$C10+(-2),$B$3)+1)*G10+INDEX(Symboles!$H$6:$H$101,MOD(30+$C10+(-1),$B$3)+1)*H10+INDEX(Symboles!$H$6:$H$101,MOD(30+$C10+(0),$B$3)+1)*I10+INDEX(Symboles!$H$6:$H$101,MOD(30+$C10+(1),$B$3)+1)*J10+INDEX(Symboles!$H$6:$H$101,MOD(30+$C10+(2),$B$3)+1)*K10+INDEX(Symboles!$H$6:$H$101,MOD(30+$C10+(3),$B$3)+1)*L10+INDEX(Symboles!$H$6:$H$101,MOD(30+$C10+(4),$B$3)+1)*M10+IF($B$6=0,0,$B$6*NORMSINV(0.000001+0.999998*RAND())))</f>
        <v/>
      </c>
      <c r="EN10" s="30">
        <f>IF(32&gt;$B$3,99,INDEX(Symboles!$H$6:$H$101,MOD(31+$C10+(-4),$B$3)+1)*E10+INDEX(Symboles!$H$6:$H$101,MOD(31+$C10+(-3),$B$3)+1)*F10+INDEX(Symboles!$H$6:$H$101,MOD(31+$C10+(-2),$B$3)+1)*G10+INDEX(Symboles!$H$6:$H$101,MOD(31+$C10+(-1),$B$3)+1)*H10+INDEX(Symboles!$H$6:$H$101,MOD(31+$C10+(0),$B$3)+1)*I10+INDEX(Symboles!$H$6:$H$101,MOD(31+$C10+(1),$B$3)+1)*J10+INDEX(Symboles!$H$6:$H$101,MOD(31+$C10+(2),$B$3)+1)*K10+INDEX(Symboles!$H$6:$H$101,MOD(31+$C10+(3),$B$3)+1)*L10+INDEX(Symboles!$H$6:$H$101,MOD(31+$C10+(4),$B$3)+1)*M10+IF($B$6=0,0,$B$6*NORMSINV(0.000001+0.999998*RAND())))</f>
        <v/>
      </c>
      <c r="EO10" s="30">
        <f>IF(33&gt;$B$3,99,INDEX(Symboles!$H$6:$H$101,MOD(32+$C10+(-4),$B$3)+1)*E10+INDEX(Symboles!$H$6:$H$101,MOD(32+$C10+(-3),$B$3)+1)*F10+INDEX(Symboles!$H$6:$H$101,MOD(32+$C10+(-2),$B$3)+1)*G10+INDEX(Symboles!$H$6:$H$101,MOD(32+$C10+(-1),$B$3)+1)*H10+INDEX(Symboles!$H$6:$H$101,MOD(32+$C10+(0),$B$3)+1)*I10+INDEX(Symboles!$H$6:$H$101,MOD(32+$C10+(1),$B$3)+1)*J10+INDEX(Symboles!$H$6:$H$101,MOD(32+$C10+(2),$B$3)+1)*K10+INDEX(Symboles!$H$6:$H$101,MOD(32+$C10+(3),$B$3)+1)*L10+INDEX(Symboles!$H$6:$H$101,MOD(32+$C10+(4),$B$3)+1)*M10+IF($B$6=0,0,$B$6*NORMSINV(0.000001+0.999998*RAND())))</f>
        <v/>
      </c>
      <c r="EP10" s="30">
        <f>IF(34&gt;$B$3,99,INDEX(Symboles!$H$6:$H$101,MOD(33+$C10+(-4),$B$3)+1)*E10+INDEX(Symboles!$H$6:$H$101,MOD(33+$C10+(-3),$B$3)+1)*F10+INDEX(Symboles!$H$6:$H$101,MOD(33+$C10+(-2),$B$3)+1)*G10+INDEX(Symboles!$H$6:$H$101,MOD(33+$C10+(-1),$B$3)+1)*H10+INDEX(Symboles!$H$6:$H$101,MOD(33+$C10+(0),$B$3)+1)*I10+INDEX(Symboles!$H$6:$H$101,MOD(33+$C10+(1),$B$3)+1)*J10+INDEX(Symboles!$H$6:$H$101,MOD(33+$C10+(2),$B$3)+1)*K10+INDEX(Symboles!$H$6:$H$101,MOD(33+$C10+(3),$B$3)+1)*L10+INDEX(Symboles!$H$6:$H$101,MOD(33+$C10+(4),$B$3)+1)*M10+IF($B$6=0,0,$B$6*NORMSINV(0.000001+0.999998*RAND())))</f>
        <v/>
      </c>
      <c r="EQ10" s="30">
        <f>IF(35&gt;$B$3,99,INDEX(Symboles!$H$6:$H$101,MOD(34+$C10+(-4),$B$3)+1)*E10+INDEX(Symboles!$H$6:$H$101,MOD(34+$C10+(-3),$B$3)+1)*F10+INDEX(Symboles!$H$6:$H$101,MOD(34+$C10+(-2),$B$3)+1)*G10+INDEX(Symboles!$H$6:$H$101,MOD(34+$C10+(-1),$B$3)+1)*H10+INDEX(Symboles!$H$6:$H$101,MOD(34+$C10+(0),$B$3)+1)*I10+INDEX(Symboles!$H$6:$H$101,MOD(34+$C10+(1),$B$3)+1)*J10+INDEX(Symboles!$H$6:$H$101,MOD(34+$C10+(2),$B$3)+1)*K10+INDEX(Symboles!$H$6:$H$101,MOD(34+$C10+(3),$B$3)+1)*L10+INDEX(Symboles!$H$6:$H$101,MOD(34+$C10+(4),$B$3)+1)*M10+IF($B$6=0,0,$B$6*NORMSINV(0.000001+0.999998*RAND())))</f>
        <v/>
      </c>
      <c r="ER10" s="30">
        <f>IF(36&gt;$B$3,99,INDEX(Symboles!$H$6:$H$101,MOD(35+$C10+(-4),$B$3)+1)*E10+INDEX(Symboles!$H$6:$H$101,MOD(35+$C10+(-3),$B$3)+1)*F10+INDEX(Symboles!$H$6:$H$101,MOD(35+$C10+(-2),$B$3)+1)*G10+INDEX(Symboles!$H$6:$H$101,MOD(35+$C10+(-1),$B$3)+1)*H10+INDEX(Symboles!$H$6:$H$101,MOD(35+$C10+(0),$B$3)+1)*I10+INDEX(Symboles!$H$6:$H$101,MOD(35+$C10+(1),$B$3)+1)*J10+INDEX(Symboles!$H$6:$H$101,MOD(35+$C10+(2),$B$3)+1)*K10+INDEX(Symboles!$H$6:$H$101,MOD(35+$C10+(3),$B$3)+1)*L10+INDEX(Symboles!$H$6:$H$101,MOD(35+$C10+(4),$B$3)+1)*M10+IF($B$6=0,0,$B$6*NORMSINV(0.000001+0.999998*RAND())))</f>
        <v/>
      </c>
      <c r="ES10" s="30">
        <f>IF(37&gt;$B$3,99,INDEX(Symboles!$H$6:$H$101,MOD(36+$C10+(-4),$B$3)+1)*E10+INDEX(Symboles!$H$6:$H$101,MOD(36+$C10+(-3),$B$3)+1)*F10+INDEX(Symboles!$H$6:$H$101,MOD(36+$C10+(-2),$B$3)+1)*G10+INDEX(Symboles!$H$6:$H$101,MOD(36+$C10+(-1),$B$3)+1)*H10+INDEX(Symboles!$H$6:$H$101,MOD(36+$C10+(0),$B$3)+1)*I10+INDEX(Symboles!$H$6:$H$101,MOD(36+$C10+(1),$B$3)+1)*J10+INDEX(Symboles!$H$6:$H$101,MOD(36+$C10+(2),$B$3)+1)*K10+INDEX(Symboles!$H$6:$H$101,MOD(36+$C10+(3),$B$3)+1)*L10+INDEX(Symboles!$H$6:$H$101,MOD(36+$C10+(4),$B$3)+1)*M10+IF($B$6=0,0,$B$6*NORMSINV(0.000001+0.999998*RAND())))</f>
        <v/>
      </c>
      <c r="ET10" s="30">
        <f>IF(38&gt;$B$3,99,INDEX(Symboles!$H$6:$H$101,MOD(37+$C10+(-4),$B$3)+1)*E10+INDEX(Symboles!$H$6:$H$101,MOD(37+$C10+(-3),$B$3)+1)*F10+INDEX(Symboles!$H$6:$H$101,MOD(37+$C10+(-2),$B$3)+1)*G10+INDEX(Symboles!$H$6:$H$101,MOD(37+$C10+(-1),$B$3)+1)*H10+INDEX(Symboles!$H$6:$H$101,MOD(37+$C10+(0),$B$3)+1)*I10+INDEX(Symboles!$H$6:$H$101,MOD(37+$C10+(1),$B$3)+1)*J10+INDEX(Symboles!$H$6:$H$101,MOD(37+$C10+(2),$B$3)+1)*K10+INDEX(Symboles!$H$6:$H$101,MOD(37+$C10+(3),$B$3)+1)*L10+INDEX(Symboles!$H$6:$H$101,MOD(37+$C10+(4),$B$3)+1)*M10+IF($B$6=0,0,$B$6*NORMSINV(0.000001+0.999998*RAND())))</f>
        <v/>
      </c>
      <c r="EU10" s="30">
        <f>IF(39&gt;$B$3,99,INDEX(Symboles!$H$6:$H$101,MOD(38+$C10+(-4),$B$3)+1)*E10+INDEX(Symboles!$H$6:$H$101,MOD(38+$C10+(-3),$B$3)+1)*F10+INDEX(Symboles!$H$6:$H$101,MOD(38+$C10+(-2),$B$3)+1)*G10+INDEX(Symboles!$H$6:$H$101,MOD(38+$C10+(-1),$B$3)+1)*H10+INDEX(Symboles!$H$6:$H$101,MOD(38+$C10+(0),$B$3)+1)*I10+INDEX(Symboles!$H$6:$H$101,MOD(38+$C10+(1),$B$3)+1)*J10+INDEX(Symboles!$H$6:$H$101,MOD(38+$C10+(2),$B$3)+1)*K10+INDEX(Symboles!$H$6:$H$101,MOD(38+$C10+(3),$B$3)+1)*L10+INDEX(Symboles!$H$6:$H$101,MOD(38+$C10+(4),$B$3)+1)*M10+IF($B$6=0,0,$B$6*NORMSINV(0.000001+0.999998*RAND())))</f>
        <v/>
      </c>
      <c r="EV10" s="30">
        <f>IF(40&gt;$B$3,99,INDEX(Symboles!$H$6:$H$101,MOD(39+$C10+(-4),$B$3)+1)*E10+INDEX(Symboles!$H$6:$H$101,MOD(39+$C10+(-3),$B$3)+1)*F10+INDEX(Symboles!$H$6:$H$101,MOD(39+$C10+(-2),$B$3)+1)*G10+INDEX(Symboles!$H$6:$H$101,MOD(39+$C10+(-1),$B$3)+1)*H10+INDEX(Symboles!$H$6:$H$101,MOD(39+$C10+(0),$B$3)+1)*I10+INDEX(Symboles!$H$6:$H$101,MOD(39+$C10+(1),$B$3)+1)*J10+INDEX(Symboles!$H$6:$H$101,MOD(39+$C10+(2),$B$3)+1)*K10+INDEX(Symboles!$H$6:$H$101,MOD(39+$C10+(3),$B$3)+1)*L10+INDEX(Symboles!$H$6:$H$101,MOD(39+$C10+(4),$B$3)+1)*M10+IF($B$6=0,0,$B$6*NORMSINV(0.000001+0.999998*RAND())))</f>
        <v/>
      </c>
      <c r="EW10" s="30">
        <f>IF(41&gt;$B$3,99,INDEX(Symboles!$H$6:$H$101,MOD(40+$C10+(-4),$B$3)+1)*E10+INDEX(Symboles!$H$6:$H$101,MOD(40+$C10+(-3),$B$3)+1)*F10+INDEX(Symboles!$H$6:$H$101,MOD(40+$C10+(-2),$B$3)+1)*G10+INDEX(Symboles!$H$6:$H$101,MOD(40+$C10+(-1),$B$3)+1)*H10+INDEX(Symboles!$H$6:$H$101,MOD(40+$C10+(0),$B$3)+1)*I10+INDEX(Symboles!$H$6:$H$101,MOD(40+$C10+(1),$B$3)+1)*J10+INDEX(Symboles!$H$6:$H$101,MOD(40+$C10+(2),$B$3)+1)*K10+INDEX(Symboles!$H$6:$H$101,MOD(40+$C10+(3),$B$3)+1)*L10+INDEX(Symboles!$H$6:$H$101,MOD(40+$C10+(4),$B$3)+1)*M10+IF($B$6=0,0,$B$6*NORMSINV(0.000001+0.999998*RAND())))</f>
        <v/>
      </c>
      <c r="EX10" s="30">
        <f>IF(42&gt;$B$3,99,INDEX(Symboles!$H$6:$H$101,MOD(41+$C10+(-4),$B$3)+1)*E10+INDEX(Symboles!$H$6:$H$101,MOD(41+$C10+(-3),$B$3)+1)*F10+INDEX(Symboles!$H$6:$H$101,MOD(41+$C10+(-2),$B$3)+1)*G10+INDEX(Symboles!$H$6:$H$101,MOD(41+$C10+(-1),$B$3)+1)*H10+INDEX(Symboles!$H$6:$H$101,MOD(41+$C10+(0),$B$3)+1)*I10+INDEX(Symboles!$H$6:$H$101,MOD(41+$C10+(1),$B$3)+1)*J10+INDEX(Symboles!$H$6:$H$101,MOD(41+$C10+(2),$B$3)+1)*K10+INDEX(Symboles!$H$6:$H$101,MOD(41+$C10+(3),$B$3)+1)*L10+INDEX(Symboles!$H$6:$H$101,MOD(41+$C10+(4),$B$3)+1)*M10+IF($B$6=0,0,$B$6*NORMSINV(0.000001+0.999998*RAND())))</f>
        <v/>
      </c>
      <c r="EY10" s="30">
        <f>IF(43&gt;$B$3,99,INDEX(Symboles!$H$6:$H$101,MOD(42+$C10+(-4),$B$3)+1)*E10+INDEX(Symboles!$H$6:$H$101,MOD(42+$C10+(-3),$B$3)+1)*F10+INDEX(Symboles!$H$6:$H$101,MOD(42+$C10+(-2),$B$3)+1)*G10+INDEX(Symboles!$H$6:$H$101,MOD(42+$C10+(-1),$B$3)+1)*H10+INDEX(Symboles!$H$6:$H$101,MOD(42+$C10+(0),$B$3)+1)*I10+INDEX(Symboles!$H$6:$H$101,MOD(42+$C10+(1),$B$3)+1)*J10+INDEX(Symboles!$H$6:$H$101,MOD(42+$C10+(2),$B$3)+1)*K10+INDEX(Symboles!$H$6:$H$101,MOD(42+$C10+(3),$B$3)+1)*L10+INDEX(Symboles!$H$6:$H$101,MOD(42+$C10+(4),$B$3)+1)*M10+IF($B$6=0,0,$B$6*NORMSINV(0.000001+0.999998*RAND())))</f>
        <v/>
      </c>
      <c r="EZ10" s="30">
        <f>IF(44&gt;$B$3,99,INDEX(Symboles!$H$6:$H$101,MOD(43+$C10+(-4),$B$3)+1)*E10+INDEX(Symboles!$H$6:$H$101,MOD(43+$C10+(-3),$B$3)+1)*F10+INDEX(Symboles!$H$6:$H$101,MOD(43+$C10+(-2),$B$3)+1)*G10+INDEX(Symboles!$H$6:$H$101,MOD(43+$C10+(-1),$B$3)+1)*H10+INDEX(Symboles!$H$6:$H$101,MOD(43+$C10+(0),$B$3)+1)*I10+INDEX(Symboles!$H$6:$H$101,MOD(43+$C10+(1),$B$3)+1)*J10+INDEX(Symboles!$H$6:$H$101,MOD(43+$C10+(2),$B$3)+1)*K10+INDEX(Symboles!$H$6:$H$101,MOD(43+$C10+(3),$B$3)+1)*L10+INDEX(Symboles!$H$6:$H$101,MOD(43+$C10+(4),$B$3)+1)*M10+IF($B$6=0,0,$B$6*NORMSINV(0.000001+0.999998*RAND())))</f>
        <v/>
      </c>
      <c r="FA10" s="30">
        <f>IF(45&gt;$B$3,99,INDEX(Symboles!$H$6:$H$101,MOD(44+$C10+(-4),$B$3)+1)*E10+INDEX(Symboles!$H$6:$H$101,MOD(44+$C10+(-3),$B$3)+1)*F10+INDEX(Symboles!$H$6:$H$101,MOD(44+$C10+(-2),$B$3)+1)*G10+INDEX(Symboles!$H$6:$H$101,MOD(44+$C10+(-1),$B$3)+1)*H10+INDEX(Symboles!$H$6:$H$101,MOD(44+$C10+(0),$B$3)+1)*I10+INDEX(Symboles!$H$6:$H$101,MOD(44+$C10+(1),$B$3)+1)*J10+INDEX(Symboles!$H$6:$H$101,MOD(44+$C10+(2),$B$3)+1)*K10+INDEX(Symboles!$H$6:$H$101,MOD(44+$C10+(3),$B$3)+1)*L10+INDEX(Symboles!$H$6:$H$101,MOD(44+$C10+(4),$B$3)+1)*M10+IF($B$6=0,0,$B$6*NORMSINV(0.000001+0.999998*RAND())))</f>
        <v/>
      </c>
      <c r="FB10" s="30">
        <f>IF(46&gt;$B$3,99,INDEX(Symboles!$H$6:$H$101,MOD(45+$C10+(-4),$B$3)+1)*E10+INDEX(Symboles!$H$6:$H$101,MOD(45+$C10+(-3),$B$3)+1)*F10+INDEX(Symboles!$H$6:$H$101,MOD(45+$C10+(-2),$B$3)+1)*G10+INDEX(Symboles!$H$6:$H$101,MOD(45+$C10+(-1),$B$3)+1)*H10+INDEX(Symboles!$H$6:$H$101,MOD(45+$C10+(0),$B$3)+1)*I10+INDEX(Symboles!$H$6:$H$101,MOD(45+$C10+(1),$B$3)+1)*J10+INDEX(Symboles!$H$6:$H$101,MOD(45+$C10+(2),$B$3)+1)*K10+INDEX(Symboles!$H$6:$H$101,MOD(45+$C10+(3),$B$3)+1)*L10+INDEX(Symboles!$H$6:$H$101,MOD(45+$C10+(4),$B$3)+1)*M10+IF($B$6=0,0,$B$6*NORMSINV(0.000001+0.999998*RAND())))</f>
        <v/>
      </c>
      <c r="FC10" s="30">
        <f>IF(47&gt;$B$3,99,INDEX(Symboles!$H$6:$H$101,MOD(46+$C10+(-4),$B$3)+1)*E10+INDEX(Symboles!$H$6:$H$101,MOD(46+$C10+(-3),$B$3)+1)*F10+INDEX(Symboles!$H$6:$H$101,MOD(46+$C10+(-2),$B$3)+1)*G10+INDEX(Symboles!$H$6:$H$101,MOD(46+$C10+(-1),$B$3)+1)*H10+INDEX(Symboles!$H$6:$H$101,MOD(46+$C10+(0),$B$3)+1)*I10+INDEX(Symboles!$H$6:$H$101,MOD(46+$C10+(1),$B$3)+1)*J10+INDEX(Symboles!$H$6:$H$101,MOD(46+$C10+(2),$B$3)+1)*K10+INDEX(Symboles!$H$6:$H$101,MOD(46+$C10+(3),$B$3)+1)*L10+INDEX(Symboles!$H$6:$H$101,MOD(46+$C10+(4),$B$3)+1)*M10+IF($B$6=0,0,$B$6*NORMSINV(0.000001+0.999998*RAND())))</f>
        <v/>
      </c>
      <c r="FD10" s="30">
        <f>IF(48&gt;$B$3,99,INDEX(Symboles!$H$6:$H$101,MOD(47+$C10+(-4),$B$3)+1)*E10+INDEX(Symboles!$H$6:$H$101,MOD(47+$C10+(-3),$B$3)+1)*F10+INDEX(Symboles!$H$6:$H$101,MOD(47+$C10+(-2),$B$3)+1)*G10+INDEX(Symboles!$H$6:$H$101,MOD(47+$C10+(-1),$B$3)+1)*H10+INDEX(Symboles!$H$6:$H$101,MOD(47+$C10+(0),$B$3)+1)*I10+INDEX(Symboles!$H$6:$H$101,MOD(47+$C10+(1),$B$3)+1)*J10+INDEX(Symboles!$H$6:$H$101,MOD(47+$C10+(2),$B$3)+1)*K10+INDEX(Symboles!$H$6:$H$101,MOD(47+$C10+(3),$B$3)+1)*L10+INDEX(Symboles!$H$6:$H$101,MOD(47+$C10+(4),$B$3)+1)*M10+IF($B$6=0,0,$B$6*NORMSINV(0.000001+0.999998*RAND())))</f>
        <v/>
      </c>
      <c r="FE10" s="30">
        <f>IF(49&gt;$B$3,99,INDEX(Symboles!$H$6:$H$101,MOD(48+$C10+(-4),$B$3)+1)*E10+INDEX(Symboles!$H$6:$H$101,MOD(48+$C10+(-3),$B$3)+1)*F10+INDEX(Symboles!$H$6:$H$101,MOD(48+$C10+(-2),$B$3)+1)*G10+INDEX(Symboles!$H$6:$H$101,MOD(48+$C10+(-1),$B$3)+1)*H10+INDEX(Symboles!$H$6:$H$101,MOD(48+$C10+(0),$B$3)+1)*I10+INDEX(Symboles!$H$6:$H$101,MOD(48+$C10+(1),$B$3)+1)*J10+INDEX(Symboles!$H$6:$H$101,MOD(48+$C10+(2),$B$3)+1)*K10+INDEX(Symboles!$H$6:$H$101,MOD(48+$C10+(3),$B$3)+1)*L10+INDEX(Symboles!$H$6:$H$101,MOD(48+$C10+(4),$B$3)+1)*M10+IF($B$6=0,0,$B$6*NORMSINV(0.000001+0.999998*RAND())))</f>
        <v/>
      </c>
      <c r="FF10" s="30">
        <f>IF(50&gt;$B$3,99,INDEX(Symboles!$H$6:$H$101,MOD(49+$C10+(-4),$B$3)+1)*E10+INDEX(Symboles!$H$6:$H$101,MOD(49+$C10+(-3),$B$3)+1)*F10+INDEX(Symboles!$H$6:$H$101,MOD(49+$C10+(-2),$B$3)+1)*G10+INDEX(Symboles!$H$6:$H$101,MOD(49+$C10+(-1),$B$3)+1)*H10+INDEX(Symboles!$H$6:$H$101,MOD(49+$C10+(0),$B$3)+1)*I10+INDEX(Symboles!$H$6:$H$101,MOD(49+$C10+(1),$B$3)+1)*J10+INDEX(Symboles!$H$6:$H$101,MOD(49+$C10+(2),$B$3)+1)*K10+INDEX(Symboles!$H$6:$H$101,MOD(49+$C10+(3),$B$3)+1)*L10+INDEX(Symboles!$H$6:$H$101,MOD(49+$C10+(4),$B$3)+1)*M10+IF($B$6=0,0,$B$6*NORMSINV(0.000001+0.999998*RAND())))</f>
        <v/>
      </c>
      <c r="FG10" s="30">
        <f>IF(51&gt;$B$3,99,INDEX(Symboles!$H$6:$H$101,MOD(50+$C10+(-4),$B$3)+1)*E10+INDEX(Symboles!$H$6:$H$101,MOD(50+$C10+(-3),$B$3)+1)*F10+INDEX(Symboles!$H$6:$H$101,MOD(50+$C10+(-2),$B$3)+1)*G10+INDEX(Symboles!$H$6:$H$101,MOD(50+$C10+(-1),$B$3)+1)*H10+INDEX(Symboles!$H$6:$H$101,MOD(50+$C10+(0),$B$3)+1)*I10+INDEX(Symboles!$H$6:$H$101,MOD(50+$C10+(1),$B$3)+1)*J10+INDEX(Symboles!$H$6:$H$101,MOD(50+$C10+(2),$B$3)+1)*K10+INDEX(Symboles!$H$6:$H$101,MOD(50+$C10+(3),$B$3)+1)*L10+INDEX(Symboles!$H$6:$H$101,MOD(50+$C10+(4),$B$3)+1)*M10+IF($B$6=0,0,$B$6*NORMSINV(0.000001+0.999998*RAND())))</f>
        <v/>
      </c>
      <c r="FH10" s="30">
        <f>IF(52&gt;$B$3,99,INDEX(Symboles!$H$6:$H$101,MOD(51+$C10+(-4),$B$3)+1)*E10+INDEX(Symboles!$H$6:$H$101,MOD(51+$C10+(-3),$B$3)+1)*F10+INDEX(Symboles!$H$6:$H$101,MOD(51+$C10+(-2),$B$3)+1)*G10+INDEX(Symboles!$H$6:$H$101,MOD(51+$C10+(-1),$B$3)+1)*H10+INDEX(Symboles!$H$6:$H$101,MOD(51+$C10+(0),$B$3)+1)*I10+INDEX(Symboles!$H$6:$H$101,MOD(51+$C10+(1),$B$3)+1)*J10+INDEX(Symboles!$H$6:$H$101,MOD(51+$C10+(2),$B$3)+1)*K10+INDEX(Symboles!$H$6:$H$101,MOD(51+$C10+(3),$B$3)+1)*L10+INDEX(Symboles!$H$6:$H$101,MOD(51+$C10+(4),$B$3)+1)*M10+IF($B$6=0,0,$B$6*NORMSINV(0.000001+0.999998*RAND())))</f>
        <v/>
      </c>
      <c r="FI10" s="30">
        <f>IF(53&gt;$B$3,99,INDEX(Symboles!$H$6:$H$101,MOD(52+$C10+(-4),$B$3)+1)*E10+INDEX(Symboles!$H$6:$H$101,MOD(52+$C10+(-3),$B$3)+1)*F10+INDEX(Symboles!$H$6:$H$101,MOD(52+$C10+(-2),$B$3)+1)*G10+INDEX(Symboles!$H$6:$H$101,MOD(52+$C10+(-1),$B$3)+1)*H10+INDEX(Symboles!$H$6:$H$101,MOD(52+$C10+(0),$B$3)+1)*I10+INDEX(Symboles!$H$6:$H$101,MOD(52+$C10+(1),$B$3)+1)*J10+INDEX(Symboles!$H$6:$H$101,MOD(52+$C10+(2),$B$3)+1)*K10+INDEX(Symboles!$H$6:$H$101,MOD(52+$C10+(3),$B$3)+1)*L10+INDEX(Symboles!$H$6:$H$101,MOD(52+$C10+(4),$B$3)+1)*M10+IF($B$6=0,0,$B$6*NORMSINV(0.000001+0.999998*RAND())))</f>
        <v/>
      </c>
      <c r="FJ10" s="30">
        <f>IF(54&gt;$B$3,99,INDEX(Symboles!$H$6:$H$101,MOD(53+$C10+(-4),$B$3)+1)*E10+INDEX(Symboles!$H$6:$H$101,MOD(53+$C10+(-3),$B$3)+1)*F10+INDEX(Symboles!$H$6:$H$101,MOD(53+$C10+(-2),$B$3)+1)*G10+INDEX(Symboles!$H$6:$H$101,MOD(53+$C10+(-1),$B$3)+1)*H10+INDEX(Symboles!$H$6:$H$101,MOD(53+$C10+(0),$B$3)+1)*I10+INDEX(Symboles!$H$6:$H$101,MOD(53+$C10+(1),$B$3)+1)*J10+INDEX(Symboles!$H$6:$H$101,MOD(53+$C10+(2),$B$3)+1)*K10+INDEX(Symboles!$H$6:$H$101,MOD(53+$C10+(3),$B$3)+1)*L10+INDEX(Symboles!$H$6:$H$101,MOD(53+$C10+(4),$B$3)+1)*M10+IF($B$6=0,0,$B$6*NORMSINV(0.000001+0.999998*RAND())))</f>
        <v/>
      </c>
      <c r="FK10" s="30">
        <f>IF(55&gt;$B$3,99,INDEX(Symboles!$H$6:$H$101,MOD(54+$C10+(-4),$B$3)+1)*E10+INDEX(Symboles!$H$6:$H$101,MOD(54+$C10+(-3),$B$3)+1)*F10+INDEX(Symboles!$H$6:$H$101,MOD(54+$C10+(-2),$B$3)+1)*G10+INDEX(Symboles!$H$6:$H$101,MOD(54+$C10+(-1),$B$3)+1)*H10+INDEX(Symboles!$H$6:$H$101,MOD(54+$C10+(0),$B$3)+1)*I10+INDEX(Symboles!$H$6:$H$101,MOD(54+$C10+(1),$B$3)+1)*J10+INDEX(Symboles!$H$6:$H$101,MOD(54+$C10+(2),$B$3)+1)*K10+INDEX(Symboles!$H$6:$H$101,MOD(54+$C10+(3),$B$3)+1)*L10+INDEX(Symboles!$H$6:$H$101,MOD(54+$C10+(4),$B$3)+1)*M10+IF($B$6=0,0,$B$6*NORMSINV(0.000001+0.999998*RAND())))</f>
        <v/>
      </c>
      <c r="FL10" s="30">
        <f>IF(56&gt;$B$3,99,INDEX(Symboles!$H$6:$H$101,MOD(55+$C10+(-4),$B$3)+1)*E10+INDEX(Symboles!$H$6:$H$101,MOD(55+$C10+(-3),$B$3)+1)*F10+INDEX(Symboles!$H$6:$H$101,MOD(55+$C10+(-2),$B$3)+1)*G10+INDEX(Symboles!$H$6:$H$101,MOD(55+$C10+(-1),$B$3)+1)*H10+INDEX(Symboles!$H$6:$H$101,MOD(55+$C10+(0),$B$3)+1)*I10+INDEX(Symboles!$H$6:$H$101,MOD(55+$C10+(1),$B$3)+1)*J10+INDEX(Symboles!$H$6:$H$101,MOD(55+$C10+(2),$B$3)+1)*K10+INDEX(Symboles!$H$6:$H$101,MOD(55+$C10+(3),$B$3)+1)*L10+INDEX(Symboles!$H$6:$H$101,MOD(55+$C10+(4),$B$3)+1)*M10+IF($B$6=0,0,$B$6*NORMSINV(0.000001+0.999998*RAND())))</f>
        <v/>
      </c>
      <c r="FM10" s="30">
        <f>IF(57&gt;$B$3,99,INDEX(Symboles!$H$6:$H$101,MOD(56+$C10+(-4),$B$3)+1)*E10+INDEX(Symboles!$H$6:$H$101,MOD(56+$C10+(-3),$B$3)+1)*F10+INDEX(Symboles!$H$6:$H$101,MOD(56+$C10+(-2),$B$3)+1)*G10+INDEX(Symboles!$H$6:$H$101,MOD(56+$C10+(-1),$B$3)+1)*H10+INDEX(Symboles!$H$6:$H$101,MOD(56+$C10+(0),$B$3)+1)*I10+INDEX(Symboles!$H$6:$H$101,MOD(56+$C10+(1),$B$3)+1)*J10+INDEX(Symboles!$H$6:$H$101,MOD(56+$C10+(2),$B$3)+1)*K10+INDEX(Symboles!$H$6:$H$101,MOD(56+$C10+(3),$B$3)+1)*L10+INDEX(Symboles!$H$6:$H$101,MOD(56+$C10+(4),$B$3)+1)*M10+IF($B$6=0,0,$B$6*NORMSINV(0.000001+0.999998*RAND())))</f>
        <v/>
      </c>
      <c r="FN10" s="30">
        <f>IF(58&gt;$B$3,99,INDEX(Symboles!$H$6:$H$101,MOD(57+$C10+(-4),$B$3)+1)*E10+INDEX(Symboles!$H$6:$H$101,MOD(57+$C10+(-3),$B$3)+1)*F10+INDEX(Symboles!$H$6:$H$101,MOD(57+$C10+(-2),$B$3)+1)*G10+INDEX(Symboles!$H$6:$H$101,MOD(57+$C10+(-1),$B$3)+1)*H10+INDEX(Symboles!$H$6:$H$101,MOD(57+$C10+(0),$B$3)+1)*I10+INDEX(Symboles!$H$6:$H$101,MOD(57+$C10+(1),$B$3)+1)*J10+INDEX(Symboles!$H$6:$H$101,MOD(57+$C10+(2),$B$3)+1)*K10+INDEX(Symboles!$H$6:$H$101,MOD(57+$C10+(3),$B$3)+1)*L10+INDEX(Symboles!$H$6:$H$101,MOD(57+$C10+(4),$B$3)+1)*M10+IF($B$6=0,0,$B$6*NORMSINV(0.000001+0.999998*RAND())))</f>
        <v/>
      </c>
      <c r="FO10" s="30">
        <f>IF(59&gt;$B$3,99,INDEX(Symboles!$H$6:$H$101,MOD(58+$C10+(-4),$B$3)+1)*E10+INDEX(Symboles!$H$6:$H$101,MOD(58+$C10+(-3),$B$3)+1)*F10+INDEX(Symboles!$H$6:$H$101,MOD(58+$C10+(-2),$B$3)+1)*G10+INDEX(Symboles!$H$6:$H$101,MOD(58+$C10+(-1),$B$3)+1)*H10+INDEX(Symboles!$H$6:$H$101,MOD(58+$C10+(0),$B$3)+1)*I10+INDEX(Symboles!$H$6:$H$101,MOD(58+$C10+(1),$B$3)+1)*J10+INDEX(Symboles!$H$6:$H$101,MOD(58+$C10+(2),$B$3)+1)*K10+INDEX(Symboles!$H$6:$H$101,MOD(58+$C10+(3),$B$3)+1)*L10+INDEX(Symboles!$H$6:$H$101,MOD(58+$C10+(4),$B$3)+1)*M10+IF($B$6=0,0,$B$6*NORMSINV(0.000001+0.999998*RAND())))</f>
        <v/>
      </c>
      <c r="FP10" s="30">
        <f>IF(60&gt;$B$3,99,INDEX(Symboles!$H$6:$H$101,MOD(59+$C10+(-4),$B$3)+1)*E10+INDEX(Symboles!$H$6:$H$101,MOD(59+$C10+(-3),$B$3)+1)*F10+INDEX(Symboles!$H$6:$H$101,MOD(59+$C10+(-2),$B$3)+1)*G10+INDEX(Symboles!$H$6:$H$101,MOD(59+$C10+(-1),$B$3)+1)*H10+INDEX(Symboles!$H$6:$H$101,MOD(59+$C10+(0),$B$3)+1)*I10+INDEX(Symboles!$H$6:$H$101,MOD(59+$C10+(1),$B$3)+1)*J10+INDEX(Symboles!$H$6:$H$101,MOD(59+$C10+(2),$B$3)+1)*K10+INDEX(Symboles!$H$6:$H$101,MOD(59+$C10+(3),$B$3)+1)*L10+INDEX(Symboles!$H$6:$H$101,MOD(59+$C10+(4),$B$3)+1)*M10+IF($B$6=0,0,$B$6*NORMSINV(0.000001+0.999998*RAND())))</f>
        <v/>
      </c>
      <c r="FQ10" s="30">
        <f>IF(61&gt;$B$3,99,INDEX(Symboles!$H$6:$H$101,MOD(60+$C10+(-4),$B$3)+1)*E10+INDEX(Symboles!$H$6:$H$101,MOD(60+$C10+(-3),$B$3)+1)*F10+INDEX(Symboles!$H$6:$H$101,MOD(60+$C10+(-2),$B$3)+1)*G10+INDEX(Symboles!$H$6:$H$101,MOD(60+$C10+(-1),$B$3)+1)*H10+INDEX(Symboles!$H$6:$H$101,MOD(60+$C10+(0),$B$3)+1)*I10+INDEX(Symboles!$H$6:$H$101,MOD(60+$C10+(1),$B$3)+1)*J10+INDEX(Symboles!$H$6:$H$101,MOD(60+$C10+(2),$B$3)+1)*K10+INDEX(Symboles!$H$6:$H$101,MOD(60+$C10+(3),$B$3)+1)*L10+INDEX(Symboles!$H$6:$H$101,MOD(60+$C10+(4),$B$3)+1)*M10+IF($B$6=0,0,$B$6*NORMSINV(0.000001+0.999998*RAND())))</f>
        <v/>
      </c>
      <c r="FR10" s="30">
        <f>IF(62&gt;$B$3,99,INDEX(Symboles!$H$6:$H$101,MOD(61+$C10+(-4),$B$3)+1)*E10+INDEX(Symboles!$H$6:$H$101,MOD(61+$C10+(-3),$B$3)+1)*F10+INDEX(Symboles!$H$6:$H$101,MOD(61+$C10+(-2),$B$3)+1)*G10+INDEX(Symboles!$H$6:$H$101,MOD(61+$C10+(-1),$B$3)+1)*H10+INDEX(Symboles!$H$6:$H$101,MOD(61+$C10+(0),$B$3)+1)*I10+INDEX(Symboles!$H$6:$H$101,MOD(61+$C10+(1),$B$3)+1)*J10+INDEX(Symboles!$H$6:$H$101,MOD(61+$C10+(2),$B$3)+1)*K10+INDEX(Symboles!$H$6:$H$101,MOD(61+$C10+(3),$B$3)+1)*L10+INDEX(Symboles!$H$6:$H$101,MOD(61+$C10+(4),$B$3)+1)*M10+IF($B$6=0,0,$B$6*NORMSINV(0.000001+0.999998*RAND())))</f>
        <v/>
      </c>
      <c r="FS10" s="30">
        <f>IF(63&gt;$B$3,99,INDEX(Symboles!$H$6:$H$101,MOD(62+$C10+(-4),$B$3)+1)*E10+INDEX(Symboles!$H$6:$H$101,MOD(62+$C10+(-3),$B$3)+1)*F10+INDEX(Symboles!$H$6:$H$101,MOD(62+$C10+(-2),$B$3)+1)*G10+INDEX(Symboles!$H$6:$H$101,MOD(62+$C10+(-1),$B$3)+1)*H10+INDEX(Symboles!$H$6:$H$101,MOD(62+$C10+(0),$B$3)+1)*I10+INDEX(Symboles!$H$6:$H$101,MOD(62+$C10+(1),$B$3)+1)*J10+INDEX(Symboles!$H$6:$H$101,MOD(62+$C10+(2),$B$3)+1)*K10+INDEX(Symboles!$H$6:$H$101,MOD(62+$C10+(3),$B$3)+1)*L10+INDEX(Symboles!$H$6:$H$101,MOD(62+$C10+(4),$B$3)+1)*M10+IF($B$6=0,0,$B$6*NORMSINV(0.000001+0.999998*RAND())))</f>
        <v/>
      </c>
      <c r="FT10" s="30">
        <f>IF(64&gt;$B$3,99,INDEX(Symboles!$H$6:$H$101,MOD(63+$C10+(-4),$B$3)+1)*E10+INDEX(Symboles!$H$6:$H$101,MOD(63+$C10+(-3),$B$3)+1)*F10+INDEX(Symboles!$H$6:$H$101,MOD(63+$C10+(-2),$B$3)+1)*G10+INDEX(Symboles!$H$6:$H$101,MOD(63+$C10+(-1),$B$3)+1)*H10+INDEX(Symboles!$H$6:$H$101,MOD(63+$C10+(0),$B$3)+1)*I10+INDEX(Symboles!$H$6:$H$101,MOD(63+$C10+(1),$B$3)+1)*J10+INDEX(Symboles!$H$6:$H$101,MOD(63+$C10+(2),$B$3)+1)*K10+INDEX(Symboles!$H$6:$H$101,MOD(63+$C10+(3),$B$3)+1)*L10+INDEX(Symboles!$H$6:$H$101,MOD(63+$C10+(4),$B$3)+1)*M10+IF($B$6=0,0,$B$6*NORMSINV(0.000001+0.999998*RAND())))</f>
        <v/>
      </c>
      <c r="FU10" s="30">
        <f>IF(65&gt;$B$3,99,INDEX(Symboles!$H$6:$H$101,MOD(64+$C10+(-4),$B$3)+1)*E10+INDEX(Symboles!$H$6:$H$101,MOD(64+$C10+(-3),$B$3)+1)*F10+INDEX(Symboles!$H$6:$H$101,MOD(64+$C10+(-2),$B$3)+1)*G10+INDEX(Symboles!$H$6:$H$101,MOD(64+$C10+(-1),$B$3)+1)*H10+INDEX(Symboles!$H$6:$H$101,MOD(64+$C10+(0),$B$3)+1)*I10+INDEX(Symboles!$H$6:$H$101,MOD(64+$C10+(1),$B$3)+1)*J10+INDEX(Symboles!$H$6:$H$101,MOD(64+$C10+(2),$B$3)+1)*K10+INDEX(Symboles!$H$6:$H$101,MOD(64+$C10+(3),$B$3)+1)*L10+INDEX(Symboles!$H$6:$H$101,MOD(64+$C10+(4),$B$3)+1)*M10+IF($B$6=0,0,$B$6*NORMSINV(0.000001+0.999998*RAND())))</f>
        <v/>
      </c>
      <c r="FV10" s="30">
        <f>IF(66&gt;$B$3,99,INDEX(Symboles!$H$6:$H$101,MOD(65+$C10+(-4),$B$3)+1)*E10+INDEX(Symboles!$H$6:$H$101,MOD(65+$C10+(-3),$B$3)+1)*F10+INDEX(Symboles!$H$6:$H$101,MOD(65+$C10+(-2),$B$3)+1)*G10+INDEX(Symboles!$H$6:$H$101,MOD(65+$C10+(-1),$B$3)+1)*H10+INDEX(Symboles!$H$6:$H$101,MOD(65+$C10+(0),$B$3)+1)*I10+INDEX(Symboles!$H$6:$H$101,MOD(65+$C10+(1),$B$3)+1)*J10+INDEX(Symboles!$H$6:$H$101,MOD(65+$C10+(2),$B$3)+1)*K10+INDEX(Symboles!$H$6:$H$101,MOD(65+$C10+(3),$B$3)+1)*L10+INDEX(Symboles!$H$6:$H$101,MOD(65+$C10+(4),$B$3)+1)*M10+IF($B$6=0,0,$B$6*NORMSINV(0.000001+0.999998*RAND())))</f>
        <v/>
      </c>
      <c r="FW10" s="30">
        <f>IF(67&gt;$B$3,99,INDEX(Symboles!$H$6:$H$101,MOD(66+$C10+(-4),$B$3)+1)*E10+INDEX(Symboles!$H$6:$H$101,MOD(66+$C10+(-3),$B$3)+1)*F10+INDEX(Symboles!$H$6:$H$101,MOD(66+$C10+(-2),$B$3)+1)*G10+INDEX(Symboles!$H$6:$H$101,MOD(66+$C10+(-1),$B$3)+1)*H10+INDEX(Symboles!$H$6:$H$101,MOD(66+$C10+(0),$B$3)+1)*I10+INDEX(Symboles!$H$6:$H$101,MOD(66+$C10+(1),$B$3)+1)*J10+INDEX(Symboles!$H$6:$H$101,MOD(66+$C10+(2),$B$3)+1)*K10+INDEX(Symboles!$H$6:$H$101,MOD(66+$C10+(3),$B$3)+1)*L10+INDEX(Symboles!$H$6:$H$101,MOD(66+$C10+(4),$B$3)+1)*M10+IF($B$6=0,0,$B$6*NORMSINV(0.000001+0.999998*RAND())))</f>
        <v/>
      </c>
      <c r="FX10" s="30">
        <f>IF(68&gt;$B$3,99,INDEX(Symboles!$H$6:$H$101,MOD(67+$C10+(-4),$B$3)+1)*E10+INDEX(Symboles!$H$6:$H$101,MOD(67+$C10+(-3),$B$3)+1)*F10+INDEX(Symboles!$H$6:$H$101,MOD(67+$C10+(-2),$B$3)+1)*G10+INDEX(Symboles!$H$6:$H$101,MOD(67+$C10+(-1),$B$3)+1)*H10+INDEX(Symboles!$H$6:$H$101,MOD(67+$C10+(0),$B$3)+1)*I10+INDEX(Symboles!$H$6:$H$101,MOD(67+$C10+(1),$B$3)+1)*J10+INDEX(Symboles!$H$6:$H$101,MOD(67+$C10+(2),$B$3)+1)*K10+INDEX(Symboles!$H$6:$H$101,MOD(67+$C10+(3),$B$3)+1)*L10+INDEX(Symboles!$H$6:$H$101,MOD(67+$C10+(4),$B$3)+1)*M10+IF($B$6=0,0,$B$6*NORMSINV(0.000001+0.999998*RAND())))</f>
        <v/>
      </c>
      <c r="FY10" s="30">
        <f>IF(69&gt;$B$3,99,INDEX(Symboles!$H$6:$H$101,MOD(68+$C10+(-4),$B$3)+1)*E10+INDEX(Symboles!$H$6:$H$101,MOD(68+$C10+(-3),$B$3)+1)*F10+INDEX(Symboles!$H$6:$H$101,MOD(68+$C10+(-2),$B$3)+1)*G10+INDEX(Symboles!$H$6:$H$101,MOD(68+$C10+(-1),$B$3)+1)*H10+INDEX(Symboles!$H$6:$H$101,MOD(68+$C10+(0),$B$3)+1)*I10+INDEX(Symboles!$H$6:$H$101,MOD(68+$C10+(1),$B$3)+1)*J10+INDEX(Symboles!$H$6:$H$101,MOD(68+$C10+(2),$B$3)+1)*K10+INDEX(Symboles!$H$6:$H$101,MOD(68+$C10+(3),$B$3)+1)*L10+INDEX(Symboles!$H$6:$H$101,MOD(68+$C10+(4),$B$3)+1)*M10+IF($B$6=0,0,$B$6*NORMSINV(0.000001+0.999998*RAND())))</f>
        <v/>
      </c>
      <c r="FZ10" s="30">
        <f>IF(70&gt;$B$3,99,INDEX(Symboles!$H$6:$H$101,MOD(69+$C10+(-4),$B$3)+1)*E10+INDEX(Symboles!$H$6:$H$101,MOD(69+$C10+(-3),$B$3)+1)*F10+INDEX(Symboles!$H$6:$H$101,MOD(69+$C10+(-2),$B$3)+1)*G10+INDEX(Symboles!$H$6:$H$101,MOD(69+$C10+(-1),$B$3)+1)*H10+INDEX(Symboles!$H$6:$H$101,MOD(69+$C10+(0),$B$3)+1)*I10+INDEX(Symboles!$H$6:$H$101,MOD(69+$C10+(1),$B$3)+1)*J10+INDEX(Symboles!$H$6:$H$101,MOD(69+$C10+(2),$B$3)+1)*K10+INDEX(Symboles!$H$6:$H$101,MOD(69+$C10+(3),$B$3)+1)*L10+INDEX(Symboles!$H$6:$H$101,MOD(69+$C10+(4),$B$3)+1)*M10+IF($B$6=0,0,$B$6*NORMSINV(0.000001+0.999998*RAND())))</f>
        <v/>
      </c>
      <c r="GA10" s="30">
        <f>IF(71&gt;$B$3,99,INDEX(Symboles!$H$6:$H$101,MOD(70+$C10+(-4),$B$3)+1)*E10+INDEX(Symboles!$H$6:$H$101,MOD(70+$C10+(-3),$B$3)+1)*F10+INDEX(Symboles!$H$6:$H$101,MOD(70+$C10+(-2),$B$3)+1)*G10+INDEX(Symboles!$H$6:$H$101,MOD(70+$C10+(-1),$B$3)+1)*H10+INDEX(Symboles!$H$6:$H$101,MOD(70+$C10+(0),$B$3)+1)*I10+INDEX(Symboles!$H$6:$H$101,MOD(70+$C10+(1),$B$3)+1)*J10+INDEX(Symboles!$H$6:$H$101,MOD(70+$C10+(2),$B$3)+1)*K10+INDEX(Symboles!$H$6:$H$101,MOD(70+$C10+(3),$B$3)+1)*L10+INDEX(Symboles!$H$6:$H$101,MOD(70+$C10+(4),$B$3)+1)*M10+IF($B$6=0,0,$B$6*NORMSINV(0.000001+0.999998*RAND())))</f>
        <v/>
      </c>
      <c r="GB10" s="30">
        <f>IF(72&gt;$B$3,99,INDEX(Symboles!$H$6:$H$101,MOD(71+$C10+(-4),$B$3)+1)*E10+INDEX(Symboles!$H$6:$H$101,MOD(71+$C10+(-3),$B$3)+1)*F10+INDEX(Symboles!$H$6:$H$101,MOD(71+$C10+(-2),$B$3)+1)*G10+INDEX(Symboles!$H$6:$H$101,MOD(71+$C10+(-1),$B$3)+1)*H10+INDEX(Symboles!$H$6:$H$101,MOD(71+$C10+(0),$B$3)+1)*I10+INDEX(Symboles!$H$6:$H$101,MOD(71+$C10+(1),$B$3)+1)*J10+INDEX(Symboles!$H$6:$H$101,MOD(71+$C10+(2),$B$3)+1)*K10+INDEX(Symboles!$H$6:$H$101,MOD(71+$C10+(3),$B$3)+1)*L10+INDEX(Symboles!$H$6:$H$101,MOD(71+$C10+(4),$B$3)+1)*M10+IF($B$6=0,0,$B$6*NORMSINV(0.000001+0.999998*RAND())))</f>
        <v/>
      </c>
      <c r="GC10" s="30">
        <f>IF(73&gt;$B$3,99,INDEX(Symboles!$H$6:$H$101,MOD(72+$C10+(-4),$B$3)+1)*E10+INDEX(Symboles!$H$6:$H$101,MOD(72+$C10+(-3),$B$3)+1)*F10+INDEX(Symboles!$H$6:$H$101,MOD(72+$C10+(-2),$B$3)+1)*G10+INDEX(Symboles!$H$6:$H$101,MOD(72+$C10+(-1),$B$3)+1)*H10+INDEX(Symboles!$H$6:$H$101,MOD(72+$C10+(0),$B$3)+1)*I10+INDEX(Symboles!$H$6:$H$101,MOD(72+$C10+(1),$B$3)+1)*J10+INDEX(Symboles!$H$6:$H$101,MOD(72+$C10+(2),$B$3)+1)*K10+INDEX(Symboles!$H$6:$H$101,MOD(72+$C10+(3),$B$3)+1)*L10+INDEX(Symboles!$H$6:$H$101,MOD(72+$C10+(4),$B$3)+1)*M10+IF($B$6=0,0,$B$6*NORMSINV(0.000001+0.999998*RAND())))</f>
        <v/>
      </c>
      <c r="GD10" s="30">
        <f>IF(74&gt;$B$3,99,INDEX(Symboles!$H$6:$H$101,MOD(73+$C10+(-4),$B$3)+1)*E10+INDEX(Symboles!$H$6:$H$101,MOD(73+$C10+(-3),$B$3)+1)*F10+INDEX(Symboles!$H$6:$H$101,MOD(73+$C10+(-2),$B$3)+1)*G10+INDEX(Symboles!$H$6:$H$101,MOD(73+$C10+(-1),$B$3)+1)*H10+INDEX(Symboles!$H$6:$H$101,MOD(73+$C10+(0),$B$3)+1)*I10+INDEX(Symboles!$H$6:$H$101,MOD(73+$C10+(1),$B$3)+1)*J10+INDEX(Symboles!$H$6:$H$101,MOD(73+$C10+(2),$B$3)+1)*K10+INDEX(Symboles!$H$6:$H$101,MOD(73+$C10+(3),$B$3)+1)*L10+INDEX(Symboles!$H$6:$H$101,MOD(73+$C10+(4),$B$3)+1)*M10+IF($B$6=0,0,$B$6*NORMSINV(0.000001+0.999998*RAND())))</f>
        <v/>
      </c>
      <c r="GE10" s="30">
        <f>IF(75&gt;$B$3,99,INDEX(Symboles!$H$6:$H$101,MOD(74+$C10+(-4),$B$3)+1)*E10+INDEX(Symboles!$H$6:$H$101,MOD(74+$C10+(-3),$B$3)+1)*F10+INDEX(Symboles!$H$6:$H$101,MOD(74+$C10+(-2),$B$3)+1)*G10+INDEX(Symboles!$H$6:$H$101,MOD(74+$C10+(-1),$B$3)+1)*H10+INDEX(Symboles!$H$6:$H$101,MOD(74+$C10+(0),$B$3)+1)*I10+INDEX(Symboles!$H$6:$H$101,MOD(74+$C10+(1),$B$3)+1)*J10+INDEX(Symboles!$H$6:$H$101,MOD(74+$C10+(2),$B$3)+1)*K10+INDEX(Symboles!$H$6:$H$101,MOD(74+$C10+(3),$B$3)+1)*L10+INDEX(Symboles!$H$6:$H$101,MOD(74+$C10+(4),$B$3)+1)*M10+IF($B$6=0,0,$B$6*NORMSINV(0.000001+0.999998*RAND())))</f>
        <v/>
      </c>
      <c r="GF10" s="30">
        <f>IF(76&gt;$B$3,99,INDEX(Symboles!$H$6:$H$101,MOD(75+$C10+(-4),$B$3)+1)*E10+INDEX(Symboles!$H$6:$H$101,MOD(75+$C10+(-3),$B$3)+1)*F10+INDEX(Symboles!$H$6:$H$101,MOD(75+$C10+(-2),$B$3)+1)*G10+INDEX(Symboles!$H$6:$H$101,MOD(75+$C10+(-1),$B$3)+1)*H10+INDEX(Symboles!$H$6:$H$101,MOD(75+$C10+(0),$B$3)+1)*I10+INDEX(Symboles!$H$6:$H$101,MOD(75+$C10+(1),$B$3)+1)*J10+INDEX(Symboles!$H$6:$H$101,MOD(75+$C10+(2),$B$3)+1)*K10+INDEX(Symboles!$H$6:$H$101,MOD(75+$C10+(3),$B$3)+1)*L10+INDEX(Symboles!$H$6:$H$101,MOD(75+$C10+(4),$B$3)+1)*M10+IF($B$6=0,0,$B$6*NORMSINV(0.000001+0.999998*RAND())))</f>
        <v/>
      </c>
      <c r="GG10" s="30">
        <f>IF(77&gt;$B$3,99,INDEX(Symboles!$H$6:$H$101,MOD(76+$C10+(-4),$B$3)+1)*E10+INDEX(Symboles!$H$6:$H$101,MOD(76+$C10+(-3),$B$3)+1)*F10+INDEX(Symboles!$H$6:$H$101,MOD(76+$C10+(-2),$B$3)+1)*G10+INDEX(Symboles!$H$6:$H$101,MOD(76+$C10+(-1),$B$3)+1)*H10+INDEX(Symboles!$H$6:$H$101,MOD(76+$C10+(0),$B$3)+1)*I10+INDEX(Symboles!$H$6:$H$101,MOD(76+$C10+(1),$B$3)+1)*J10+INDEX(Symboles!$H$6:$H$101,MOD(76+$C10+(2),$B$3)+1)*K10+INDEX(Symboles!$H$6:$H$101,MOD(76+$C10+(3),$B$3)+1)*L10+INDEX(Symboles!$H$6:$H$101,MOD(76+$C10+(4),$B$3)+1)*M10+IF($B$6=0,0,$B$6*NORMSINV(0.000001+0.999998*RAND())))</f>
        <v/>
      </c>
      <c r="GH10" s="30">
        <f>IF(78&gt;$B$3,99,INDEX(Symboles!$H$6:$H$101,MOD(77+$C10+(-4),$B$3)+1)*E10+INDEX(Symboles!$H$6:$H$101,MOD(77+$C10+(-3),$B$3)+1)*F10+INDEX(Symboles!$H$6:$H$101,MOD(77+$C10+(-2),$B$3)+1)*G10+INDEX(Symboles!$H$6:$H$101,MOD(77+$C10+(-1),$B$3)+1)*H10+INDEX(Symboles!$H$6:$H$101,MOD(77+$C10+(0),$B$3)+1)*I10+INDEX(Symboles!$H$6:$H$101,MOD(77+$C10+(1),$B$3)+1)*J10+INDEX(Symboles!$H$6:$H$101,MOD(77+$C10+(2),$B$3)+1)*K10+INDEX(Symboles!$H$6:$H$101,MOD(77+$C10+(3),$B$3)+1)*L10+INDEX(Symboles!$H$6:$H$101,MOD(77+$C10+(4),$B$3)+1)*M10+IF($B$6=0,0,$B$6*NORMSINV(0.000001+0.999998*RAND())))</f>
        <v/>
      </c>
      <c r="GI10" s="30">
        <f>IF(79&gt;$B$3,99,INDEX(Symboles!$H$6:$H$101,MOD(78+$C10+(-4),$B$3)+1)*E10+INDEX(Symboles!$H$6:$H$101,MOD(78+$C10+(-3),$B$3)+1)*F10+INDEX(Symboles!$H$6:$H$101,MOD(78+$C10+(-2),$B$3)+1)*G10+INDEX(Symboles!$H$6:$H$101,MOD(78+$C10+(-1),$B$3)+1)*H10+INDEX(Symboles!$H$6:$H$101,MOD(78+$C10+(0),$B$3)+1)*I10+INDEX(Symboles!$H$6:$H$101,MOD(78+$C10+(1),$B$3)+1)*J10+INDEX(Symboles!$H$6:$H$101,MOD(78+$C10+(2),$B$3)+1)*K10+INDEX(Symboles!$H$6:$H$101,MOD(78+$C10+(3),$B$3)+1)*L10+INDEX(Symboles!$H$6:$H$101,MOD(78+$C10+(4),$B$3)+1)*M10+IF($B$6=0,0,$B$6*NORMSINV(0.000001+0.999998*RAND())))</f>
        <v/>
      </c>
      <c r="GJ10" s="30">
        <f>IF(80&gt;$B$3,99,INDEX(Symboles!$H$6:$H$101,MOD(79+$C10+(-4),$B$3)+1)*E10+INDEX(Symboles!$H$6:$H$101,MOD(79+$C10+(-3),$B$3)+1)*F10+INDEX(Symboles!$H$6:$H$101,MOD(79+$C10+(-2),$B$3)+1)*G10+INDEX(Symboles!$H$6:$H$101,MOD(79+$C10+(-1),$B$3)+1)*H10+INDEX(Symboles!$H$6:$H$101,MOD(79+$C10+(0),$B$3)+1)*I10+INDEX(Symboles!$H$6:$H$101,MOD(79+$C10+(1),$B$3)+1)*J10+INDEX(Symboles!$H$6:$H$101,MOD(79+$C10+(2),$B$3)+1)*K10+INDEX(Symboles!$H$6:$H$101,MOD(79+$C10+(3),$B$3)+1)*L10+INDEX(Symboles!$H$6:$H$101,MOD(79+$C10+(4),$B$3)+1)*M10+IF($B$6=0,0,$B$6*NORMSINV(0.000001+0.999998*RAND())))</f>
        <v/>
      </c>
      <c r="GK10" s="30">
        <f>IF(81&gt;$B$3,99,INDEX(Symboles!$H$6:$H$101,MOD(80+$C10+(-4),$B$3)+1)*E10+INDEX(Symboles!$H$6:$H$101,MOD(80+$C10+(-3),$B$3)+1)*F10+INDEX(Symboles!$H$6:$H$101,MOD(80+$C10+(-2),$B$3)+1)*G10+INDEX(Symboles!$H$6:$H$101,MOD(80+$C10+(-1),$B$3)+1)*H10+INDEX(Symboles!$H$6:$H$101,MOD(80+$C10+(0),$B$3)+1)*I10+INDEX(Symboles!$H$6:$H$101,MOD(80+$C10+(1),$B$3)+1)*J10+INDEX(Symboles!$H$6:$H$101,MOD(80+$C10+(2),$B$3)+1)*K10+INDEX(Symboles!$H$6:$H$101,MOD(80+$C10+(3),$B$3)+1)*L10+INDEX(Symboles!$H$6:$H$101,MOD(80+$C10+(4),$B$3)+1)*M10+IF($B$6=0,0,$B$6*NORMSINV(0.000001+0.999998*RAND())))</f>
        <v/>
      </c>
      <c r="GL10" s="30">
        <f>IF(82&gt;$B$3,99,INDEX(Symboles!$H$6:$H$101,MOD(81+$C10+(-4),$B$3)+1)*E10+INDEX(Symboles!$H$6:$H$101,MOD(81+$C10+(-3),$B$3)+1)*F10+INDEX(Symboles!$H$6:$H$101,MOD(81+$C10+(-2),$B$3)+1)*G10+INDEX(Symboles!$H$6:$H$101,MOD(81+$C10+(-1),$B$3)+1)*H10+INDEX(Symboles!$H$6:$H$101,MOD(81+$C10+(0),$B$3)+1)*I10+INDEX(Symboles!$H$6:$H$101,MOD(81+$C10+(1),$B$3)+1)*J10+INDEX(Symboles!$H$6:$H$101,MOD(81+$C10+(2),$B$3)+1)*K10+INDEX(Symboles!$H$6:$H$101,MOD(81+$C10+(3),$B$3)+1)*L10+INDEX(Symboles!$H$6:$H$101,MOD(81+$C10+(4),$B$3)+1)*M10+IF($B$6=0,0,$B$6*NORMSINV(0.000001+0.999998*RAND())))</f>
        <v/>
      </c>
      <c r="GM10" s="30">
        <f>IF(83&gt;$B$3,99,INDEX(Symboles!$H$6:$H$101,MOD(82+$C10+(-4),$B$3)+1)*E10+INDEX(Symboles!$H$6:$H$101,MOD(82+$C10+(-3),$B$3)+1)*F10+INDEX(Symboles!$H$6:$H$101,MOD(82+$C10+(-2),$B$3)+1)*G10+INDEX(Symboles!$H$6:$H$101,MOD(82+$C10+(-1),$B$3)+1)*H10+INDEX(Symboles!$H$6:$H$101,MOD(82+$C10+(0),$B$3)+1)*I10+INDEX(Symboles!$H$6:$H$101,MOD(82+$C10+(1),$B$3)+1)*J10+INDEX(Symboles!$H$6:$H$101,MOD(82+$C10+(2),$B$3)+1)*K10+INDEX(Symboles!$H$6:$H$101,MOD(82+$C10+(3),$B$3)+1)*L10+INDEX(Symboles!$H$6:$H$101,MOD(82+$C10+(4),$B$3)+1)*M10+IF($B$6=0,0,$B$6*NORMSINV(0.000001+0.999998*RAND())))</f>
        <v/>
      </c>
      <c r="GN10" s="30">
        <f>IF(84&gt;$B$3,99,INDEX(Symboles!$H$6:$H$101,MOD(83+$C10+(-4),$B$3)+1)*E10+INDEX(Symboles!$H$6:$H$101,MOD(83+$C10+(-3),$B$3)+1)*F10+INDEX(Symboles!$H$6:$H$101,MOD(83+$C10+(-2),$B$3)+1)*G10+INDEX(Symboles!$H$6:$H$101,MOD(83+$C10+(-1),$B$3)+1)*H10+INDEX(Symboles!$H$6:$H$101,MOD(83+$C10+(0),$B$3)+1)*I10+INDEX(Symboles!$H$6:$H$101,MOD(83+$C10+(1),$B$3)+1)*J10+INDEX(Symboles!$H$6:$H$101,MOD(83+$C10+(2),$B$3)+1)*K10+INDEX(Symboles!$H$6:$H$101,MOD(83+$C10+(3),$B$3)+1)*L10+INDEX(Symboles!$H$6:$H$101,MOD(83+$C10+(4),$B$3)+1)*M10+IF($B$6=0,0,$B$6*NORMSINV(0.000001+0.999998*RAND())))</f>
        <v/>
      </c>
      <c r="GO10" s="30">
        <f>IF(85&gt;$B$3,99,INDEX(Symboles!$H$6:$H$101,MOD(84+$C10+(-4),$B$3)+1)*E10+INDEX(Symboles!$H$6:$H$101,MOD(84+$C10+(-3),$B$3)+1)*F10+INDEX(Symboles!$H$6:$H$101,MOD(84+$C10+(-2),$B$3)+1)*G10+INDEX(Symboles!$H$6:$H$101,MOD(84+$C10+(-1),$B$3)+1)*H10+INDEX(Symboles!$H$6:$H$101,MOD(84+$C10+(0),$B$3)+1)*I10+INDEX(Symboles!$H$6:$H$101,MOD(84+$C10+(1),$B$3)+1)*J10+INDEX(Symboles!$H$6:$H$101,MOD(84+$C10+(2),$B$3)+1)*K10+INDEX(Symboles!$H$6:$H$101,MOD(84+$C10+(3),$B$3)+1)*L10+INDEX(Symboles!$H$6:$H$101,MOD(84+$C10+(4),$B$3)+1)*M10+IF($B$6=0,0,$B$6*NORMSINV(0.000001+0.999998*RAND())))</f>
        <v/>
      </c>
      <c r="GP10" s="30">
        <f>IF(86&gt;$B$3,99,INDEX(Symboles!$H$6:$H$101,MOD(85+$C10+(-4),$B$3)+1)*E10+INDEX(Symboles!$H$6:$H$101,MOD(85+$C10+(-3),$B$3)+1)*F10+INDEX(Symboles!$H$6:$H$101,MOD(85+$C10+(-2),$B$3)+1)*G10+INDEX(Symboles!$H$6:$H$101,MOD(85+$C10+(-1),$B$3)+1)*H10+INDEX(Symboles!$H$6:$H$101,MOD(85+$C10+(0),$B$3)+1)*I10+INDEX(Symboles!$H$6:$H$101,MOD(85+$C10+(1),$B$3)+1)*J10+INDEX(Symboles!$H$6:$H$101,MOD(85+$C10+(2),$B$3)+1)*K10+INDEX(Symboles!$H$6:$H$101,MOD(85+$C10+(3),$B$3)+1)*L10+INDEX(Symboles!$H$6:$H$101,MOD(85+$C10+(4),$B$3)+1)*M10+IF($B$6=0,0,$B$6*NORMSINV(0.000001+0.999998*RAND())))</f>
        <v/>
      </c>
      <c r="GQ10" s="30">
        <f>IF(87&gt;$B$3,99,INDEX(Symboles!$H$6:$H$101,MOD(86+$C10+(-4),$B$3)+1)*E10+INDEX(Symboles!$H$6:$H$101,MOD(86+$C10+(-3),$B$3)+1)*F10+INDEX(Symboles!$H$6:$H$101,MOD(86+$C10+(-2),$B$3)+1)*G10+INDEX(Symboles!$H$6:$H$101,MOD(86+$C10+(-1),$B$3)+1)*H10+INDEX(Symboles!$H$6:$H$101,MOD(86+$C10+(0),$B$3)+1)*I10+INDEX(Symboles!$H$6:$H$101,MOD(86+$C10+(1),$B$3)+1)*J10+INDEX(Symboles!$H$6:$H$101,MOD(86+$C10+(2),$B$3)+1)*K10+INDEX(Symboles!$H$6:$H$101,MOD(86+$C10+(3),$B$3)+1)*L10+INDEX(Symboles!$H$6:$H$101,MOD(86+$C10+(4),$B$3)+1)*M10+IF($B$6=0,0,$B$6*NORMSINV(0.000001+0.999998*RAND())))</f>
        <v/>
      </c>
      <c r="GR10" s="30">
        <f>IF(88&gt;$B$3,99,INDEX(Symboles!$H$6:$H$101,MOD(87+$C10+(-4),$B$3)+1)*E10+INDEX(Symboles!$H$6:$H$101,MOD(87+$C10+(-3),$B$3)+1)*F10+INDEX(Symboles!$H$6:$H$101,MOD(87+$C10+(-2),$B$3)+1)*G10+INDEX(Symboles!$H$6:$H$101,MOD(87+$C10+(-1),$B$3)+1)*H10+INDEX(Symboles!$H$6:$H$101,MOD(87+$C10+(0),$B$3)+1)*I10+INDEX(Symboles!$H$6:$H$101,MOD(87+$C10+(1),$B$3)+1)*J10+INDEX(Symboles!$H$6:$H$101,MOD(87+$C10+(2),$B$3)+1)*K10+INDEX(Symboles!$H$6:$H$101,MOD(87+$C10+(3),$B$3)+1)*L10+INDEX(Symboles!$H$6:$H$101,MOD(87+$C10+(4),$B$3)+1)*M10+IF($B$6=0,0,$B$6*NORMSINV(0.000001+0.999998*RAND())))</f>
        <v/>
      </c>
      <c r="GS10" s="30">
        <f>IF(89&gt;$B$3,99,INDEX(Symboles!$H$6:$H$101,MOD(88+$C10+(-4),$B$3)+1)*E10+INDEX(Symboles!$H$6:$H$101,MOD(88+$C10+(-3),$B$3)+1)*F10+INDEX(Symboles!$H$6:$H$101,MOD(88+$C10+(-2),$B$3)+1)*G10+INDEX(Symboles!$H$6:$H$101,MOD(88+$C10+(-1),$B$3)+1)*H10+INDEX(Symboles!$H$6:$H$101,MOD(88+$C10+(0),$B$3)+1)*I10+INDEX(Symboles!$H$6:$H$101,MOD(88+$C10+(1),$B$3)+1)*J10+INDEX(Symboles!$H$6:$H$101,MOD(88+$C10+(2),$B$3)+1)*K10+INDEX(Symboles!$H$6:$H$101,MOD(88+$C10+(3),$B$3)+1)*L10+INDEX(Symboles!$H$6:$H$101,MOD(88+$C10+(4),$B$3)+1)*M10+IF($B$6=0,0,$B$6*NORMSINV(0.000001+0.999998*RAND())))</f>
        <v/>
      </c>
      <c r="GT10" s="30">
        <f>IF(90&gt;$B$3,99,INDEX(Symboles!$H$6:$H$101,MOD(89+$C10+(-4),$B$3)+1)*E10+INDEX(Symboles!$H$6:$H$101,MOD(89+$C10+(-3),$B$3)+1)*F10+INDEX(Symboles!$H$6:$H$101,MOD(89+$C10+(-2),$B$3)+1)*G10+INDEX(Symboles!$H$6:$H$101,MOD(89+$C10+(-1),$B$3)+1)*H10+INDEX(Symboles!$H$6:$H$101,MOD(89+$C10+(0),$B$3)+1)*I10+INDEX(Symboles!$H$6:$H$101,MOD(89+$C10+(1),$B$3)+1)*J10+INDEX(Symboles!$H$6:$H$101,MOD(89+$C10+(2),$B$3)+1)*K10+INDEX(Symboles!$H$6:$H$101,MOD(89+$C10+(3),$B$3)+1)*L10+INDEX(Symboles!$H$6:$H$101,MOD(89+$C10+(4),$B$3)+1)*M10+IF($B$6=0,0,$B$6*NORMSINV(0.000001+0.999998*RAND())))</f>
        <v/>
      </c>
      <c r="GU10" s="30">
        <f>IF(91&gt;$B$3,99,INDEX(Symboles!$H$6:$H$101,MOD(90+$C10+(-4),$B$3)+1)*E10+INDEX(Symboles!$H$6:$H$101,MOD(90+$C10+(-3),$B$3)+1)*F10+INDEX(Symboles!$H$6:$H$101,MOD(90+$C10+(-2),$B$3)+1)*G10+INDEX(Symboles!$H$6:$H$101,MOD(90+$C10+(-1),$B$3)+1)*H10+INDEX(Symboles!$H$6:$H$101,MOD(90+$C10+(0),$B$3)+1)*I10+INDEX(Symboles!$H$6:$H$101,MOD(90+$C10+(1),$B$3)+1)*J10+INDEX(Symboles!$H$6:$H$101,MOD(90+$C10+(2),$B$3)+1)*K10+INDEX(Symboles!$H$6:$H$101,MOD(90+$C10+(3),$B$3)+1)*L10+INDEX(Symboles!$H$6:$H$101,MOD(90+$C10+(4),$B$3)+1)*M10+IF($B$6=0,0,$B$6*NORMSINV(0.000001+0.999998*RAND())))</f>
        <v/>
      </c>
      <c r="GV10" s="30">
        <f>IF(92&gt;$B$3,99,INDEX(Symboles!$H$6:$H$101,MOD(91+$C10+(-4),$B$3)+1)*E10+INDEX(Symboles!$H$6:$H$101,MOD(91+$C10+(-3),$B$3)+1)*F10+INDEX(Symboles!$H$6:$H$101,MOD(91+$C10+(-2),$B$3)+1)*G10+INDEX(Symboles!$H$6:$H$101,MOD(91+$C10+(-1),$B$3)+1)*H10+INDEX(Symboles!$H$6:$H$101,MOD(91+$C10+(0),$B$3)+1)*I10+INDEX(Symboles!$H$6:$H$101,MOD(91+$C10+(1),$B$3)+1)*J10+INDEX(Symboles!$H$6:$H$101,MOD(91+$C10+(2),$B$3)+1)*K10+INDEX(Symboles!$H$6:$H$101,MOD(91+$C10+(3),$B$3)+1)*L10+INDEX(Symboles!$H$6:$H$101,MOD(91+$C10+(4),$B$3)+1)*M10+IF($B$6=0,0,$B$6*NORMSINV(0.000001+0.999998*RAND())))</f>
        <v/>
      </c>
      <c r="GW10" s="30">
        <f>IF(93&gt;$B$3,99,INDEX(Symboles!$H$6:$H$101,MOD(92+$C10+(-4),$B$3)+1)*E10+INDEX(Symboles!$H$6:$H$101,MOD(92+$C10+(-3),$B$3)+1)*F10+INDEX(Symboles!$H$6:$H$101,MOD(92+$C10+(-2),$B$3)+1)*G10+INDEX(Symboles!$H$6:$H$101,MOD(92+$C10+(-1),$B$3)+1)*H10+INDEX(Symboles!$H$6:$H$101,MOD(92+$C10+(0),$B$3)+1)*I10+INDEX(Symboles!$H$6:$H$101,MOD(92+$C10+(1),$B$3)+1)*J10+INDEX(Symboles!$H$6:$H$101,MOD(92+$C10+(2),$B$3)+1)*K10+INDEX(Symboles!$H$6:$H$101,MOD(92+$C10+(3),$B$3)+1)*L10+INDEX(Symboles!$H$6:$H$101,MOD(92+$C10+(4),$B$3)+1)*M10+IF($B$6=0,0,$B$6*NORMSINV(0.000001+0.999998*RAND())))</f>
        <v/>
      </c>
      <c r="GX10" s="30">
        <f>IF(94&gt;$B$3,99,INDEX(Symboles!$H$6:$H$101,MOD(93+$C10+(-4),$B$3)+1)*E10+INDEX(Symboles!$H$6:$H$101,MOD(93+$C10+(-3),$B$3)+1)*F10+INDEX(Symboles!$H$6:$H$101,MOD(93+$C10+(-2),$B$3)+1)*G10+INDEX(Symboles!$H$6:$H$101,MOD(93+$C10+(-1),$B$3)+1)*H10+INDEX(Symboles!$H$6:$H$101,MOD(93+$C10+(0),$B$3)+1)*I10+INDEX(Symboles!$H$6:$H$101,MOD(93+$C10+(1),$B$3)+1)*J10+INDEX(Symboles!$H$6:$H$101,MOD(93+$C10+(2),$B$3)+1)*K10+INDEX(Symboles!$H$6:$H$101,MOD(93+$C10+(3),$B$3)+1)*L10+INDEX(Symboles!$H$6:$H$101,MOD(93+$C10+(4),$B$3)+1)*M10+IF($B$6=0,0,$B$6*NORMSINV(0.000001+0.999998*RAND())))</f>
        <v/>
      </c>
      <c r="GY10" s="30">
        <f>IF(95&gt;$B$3,99,INDEX(Symboles!$H$6:$H$101,MOD(94+$C10+(-4),$B$3)+1)*E10+INDEX(Symboles!$H$6:$H$101,MOD(94+$C10+(-3),$B$3)+1)*F10+INDEX(Symboles!$H$6:$H$101,MOD(94+$C10+(-2),$B$3)+1)*G10+INDEX(Symboles!$H$6:$H$101,MOD(94+$C10+(-1),$B$3)+1)*H10+INDEX(Symboles!$H$6:$H$101,MOD(94+$C10+(0),$B$3)+1)*I10+INDEX(Symboles!$H$6:$H$101,MOD(94+$C10+(1),$B$3)+1)*J10+INDEX(Symboles!$H$6:$H$101,MOD(94+$C10+(2),$B$3)+1)*K10+INDEX(Symboles!$H$6:$H$101,MOD(94+$C10+(3),$B$3)+1)*L10+INDEX(Symboles!$H$6:$H$101,MOD(94+$C10+(4),$B$3)+1)*M10+IF($B$6=0,0,$B$6*NORMSINV(0.000001+0.999998*RAND())))</f>
        <v/>
      </c>
      <c r="GZ10" s="30">
        <f>IF(96&gt;$B$3,99,INDEX(Symboles!$H$6:$H$101,MOD(95+$C10+(-4),$B$3)+1)*E10+INDEX(Symboles!$H$6:$H$101,MOD(95+$C10+(-3),$B$3)+1)*F10+INDEX(Symboles!$H$6:$H$101,MOD(95+$C10+(-2),$B$3)+1)*G10+INDEX(Symboles!$H$6:$H$101,MOD(95+$C10+(-1),$B$3)+1)*H10+INDEX(Symboles!$H$6:$H$101,MOD(95+$C10+(0),$B$3)+1)*I10+INDEX(Symboles!$H$6:$H$101,MOD(95+$C10+(1),$B$3)+1)*J10+INDEX(Symboles!$H$6:$H$101,MOD(95+$C10+(2),$B$3)+1)*K10+INDEX(Symboles!$H$6:$H$101,MOD(95+$C10+(3),$B$3)+1)*L10+INDEX(Symboles!$H$6:$H$101,MOD(95+$C10+(4),$B$3)+1)*M10+IF($B$6=0,0,$B$6*NORMSINV(0.000001+0.999998*RAND())))</f>
        <v/>
      </c>
    </row>
    <row r="11">
      <c r="A11" s="28" t="n">
        <v>1</v>
      </c>
      <c r="B11" s="28" t="n">
        <v>-0.9375</v>
      </c>
      <c r="C11" s="28" t="n">
        <v>-1</v>
      </c>
      <c r="D11" s="28" t="n">
        <v>9</v>
      </c>
      <c r="E11" s="29">
        <f>IF($B$4=1,0,IF(ABS(1-(2*$B$5*4.0625)^2)&lt;0.000001,PI()/4*SIN(PI()/(2*$B$5))/(PI()/(2*$B$5)),SIN(PI()*4.0625)/(PI()*4.0625)*COS(PI()*$B$5*4.0625)/(1-(2*$B$5*4.0625)^2)))</f>
        <v/>
      </c>
      <c r="F11" s="29">
        <f>IF($B$4=1,0,IF(ABS(1-(2*$B$5*3.0625)^2)&lt;0.000001,PI()/4*SIN(PI()/(2*$B$5))/(PI()/(2*$B$5)),SIN(PI()*3.0625)/(PI()*3.0625)*COS(PI()*$B$5*3.0625)/(1-(2*$B$5*3.0625)^2)))</f>
        <v/>
      </c>
      <c r="G11" s="29">
        <f>IF($B$4=1,0,IF(ABS(1-(2*$B$5*2.0625)^2)&lt;0.000001,PI()/4*SIN(PI()/(2*$B$5))/(PI()/(2*$B$5)),SIN(PI()*2.0625)/(PI()*2.0625)*COS(PI()*$B$5*2.0625)/(1-(2*$B$5*2.0625)^2)))</f>
        <v/>
      </c>
      <c r="H11" s="29">
        <f>IF($B$4=1,0,IF(ABS(1-(2*$B$5*1.0625)^2)&lt;0.000001,PI()/4*SIN(PI()/(2*$B$5))/(PI()/(2*$B$5)),SIN(PI()*1.0625)/(PI()*1.0625)*COS(PI()*$B$5*1.0625)/(1-(2*$B$5*1.0625)^2)))</f>
        <v/>
      </c>
      <c r="I11" s="29">
        <f>IF($B$4=1,1,IF(ABS(1-(2*$B$5*0.0625)^2)&lt;0.000001,PI()/4*SIN(PI()/(2*$B$5))/(PI()/(2*$B$5)),SIN(PI()*0.0625)/(PI()*0.0625)*COS(PI()*$B$5*0.0625)/(1-(2*$B$5*0.0625)^2)))</f>
        <v/>
      </c>
      <c r="J11" s="29">
        <f>IF($B$4=1,0,IF(ABS(1-(2*$B$5*-0.9375)^2)&lt;0.000001,PI()/4*SIN(PI()/(2*$B$5))/(PI()/(2*$B$5)),SIN(PI()*-0.9375)/(PI()*-0.9375)*COS(PI()*$B$5*-0.9375)/(1-(2*$B$5*-0.9375)^2)))</f>
        <v/>
      </c>
      <c r="K11" s="29">
        <f>IF($B$4=1,0,IF(ABS(1-(2*$B$5*-1.9375)^2)&lt;0.000001,PI()/4*SIN(PI()/(2*$B$5))/(PI()/(2*$B$5)),SIN(PI()*-1.9375)/(PI()*-1.9375)*COS(PI()*$B$5*-1.9375)/(1-(2*$B$5*-1.9375)^2)))</f>
        <v/>
      </c>
      <c r="L11" s="29">
        <f>IF($B$4=1,0,IF(ABS(1-(2*$B$5*-2.9375)^2)&lt;0.000001,PI()/4*SIN(PI()/(2*$B$5))/(PI()/(2*$B$5)),SIN(PI()*-2.9375)/(PI()*-2.9375)*COS(PI()*$B$5*-2.9375)/(1-(2*$B$5*-2.9375)^2)))</f>
        <v/>
      </c>
      <c r="M11" s="29">
        <f>IF($B$4=1,0,IF(ABS(1-(2*$B$5*-3.9375)^2)&lt;0.000001,PI()/4*SIN(PI()/(2*$B$5))/(PI()/(2*$B$5)),SIN(PI()*-3.9375)/(PI()*-3.9375)*COS(PI()*$B$5*-3.9375)/(1-(2*$B$5*-3.9375)^2)))</f>
        <v/>
      </c>
      <c r="P11" s="30">
        <f>IF(1&gt;$B$3,99,INDEX(Symboles!$G$6:$G$101,MOD(0+$C11+(-4),$B$3)+1)*E11+INDEX(Symboles!$G$6:$G$101,MOD(0+$C11+(-3),$B$3)+1)*F11+INDEX(Symboles!$G$6:$G$101,MOD(0+$C11+(-2),$B$3)+1)*G11+INDEX(Symboles!$G$6:$G$101,MOD(0+$C11+(-1),$B$3)+1)*H11+INDEX(Symboles!$G$6:$G$101,MOD(0+$C11+(0),$B$3)+1)*I11+INDEX(Symboles!$G$6:$G$101,MOD(0+$C11+(1),$B$3)+1)*J11+INDEX(Symboles!$G$6:$G$101,MOD(0+$C11+(2),$B$3)+1)*K11+INDEX(Symboles!$G$6:$G$101,MOD(0+$C11+(3),$B$3)+1)*L11+INDEX(Symboles!$G$6:$G$101,MOD(0+$C11+(4),$B$3)+1)*M11+IF($B$6=0,0,$B$6*NORMSINV(0.000001+0.999998*RAND())))</f>
        <v/>
      </c>
      <c r="Q11" s="30">
        <f>IF(2&gt;$B$3,99,INDEX(Symboles!$G$6:$G$101,MOD(1+$C11+(-4),$B$3)+1)*E11+INDEX(Symboles!$G$6:$G$101,MOD(1+$C11+(-3),$B$3)+1)*F11+INDEX(Symboles!$G$6:$G$101,MOD(1+$C11+(-2),$B$3)+1)*G11+INDEX(Symboles!$G$6:$G$101,MOD(1+$C11+(-1),$B$3)+1)*H11+INDEX(Symboles!$G$6:$G$101,MOD(1+$C11+(0),$B$3)+1)*I11+INDEX(Symboles!$G$6:$G$101,MOD(1+$C11+(1),$B$3)+1)*J11+INDEX(Symboles!$G$6:$G$101,MOD(1+$C11+(2),$B$3)+1)*K11+INDEX(Symboles!$G$6:$G$101,MOD(1+$C11+(3),$B$3)+1)*L11+INDEX(Symboles!$G$6:$G$101,MOD(1+$C11+(4),$B$3)+1)*M11+IF($B$6=0,0,$B$6*NORMSINV(0.000001+0.999998*RAND())))</f>
        <v/>
      </c>
      <c r="R11" s="30">
        <f>IF(3&gt;$B$3,99,INDEX(Symboles!$G$6:$G$101,MOD(2+$C11+(-4),$B$3)+1)*E11+INDEX(Symboles!$G$6:$G$101,MOD(2+$C11+(-3),$B$3)+1)*F11+INDEX(Symboles!$G$6:$G$101,MOD(2+$C11+(-2),$B$3)+1)*G11+INDEX(Symboles!$G$6:$G$101,MOD(2+$C11+(-1),$B$3)+1)*H11+INDEX(Symboles!$G$6:$G$101,MOD(2+$C11+(0),$B$3)+1)*I11+INDEX(Symboles!$G$6:$G$101,MOD(2+$C11+(1),$B$3)+1)*J11+INDEX(Symboles!$G$6:$G$101,MOD(2+$C11+(2),$B$3)+1)*K11+INDEX(Symboles!$G$6:$G$101,MOD(2+$C11+(3),$B$3)+1)*L11+INDEX(Symboles!$G$6:$G$101,MOD(2+$C11+(4),$B$3)+1)*M11+IF($B$6=0,0,$B$6*NORMSINV(0.000001+0.999998*RAND())))</f>
        <v/>
      </c>
      <c r="S11" s="30">
        <f>IF(4&gt;$B$3,99,INDEX(Symboles!$G$6:$G$101,MOD(3+$C11+(-4),$B$3)+1)*E11+INDEX(Symboles!$G$6:$G$101,MOD(3+$C11+(-3),$B$3)+1)*F11+INDEX(Symboles!$G$6:$G$101,MOD(3+$C11+(-2),$B$3)+1)*G11+INDEX(Symboles!$G$6:$G$101,MOD(3+$C11+(-1),$B$3)+1)*H11+INDEX(Symboles!$G$6:$G$101,MOD(3+$C11+(0),$B$3)+1)*I11+INDEX(Symboles!$G$6:$G$101,MOD(3+$C11+(1),$B$3)+1)*J11+INDEX(Symboles!$G$6:$G$101,MOD(3+$C11+(2),$B$3)+1)*K11+INDEX(Symboles!$G$6:$G$101,MOD(3+$C11+(3),$B$3)+1)*L11+INDEX(Symboles!$G$6:$G$101,MOD(3+$C11+(4),$B$3)+1)*M11+IF($B$6=0,0,$B$6*NORMSINV(0.000001+0.999998*RAND())))</f>
        <v/>
      </c>
      <c r="T11" s="30">
        <f>IF(5&gt;$B$3,99,INDEX(Symboles!$G$6:$G$101,MOD(4+$C11+(-4),$B$3)+1)*E11+INDEX(Symboles!$G$6:$G$101,MOD(4+$C11+(-3),$B$3)+1)*F11+INDEX(Symboles!$G$6:$G$101,MOD(4+$C11+(-2),$B$3)+1)*G11+INDEX(Symboles!$G$6:$G$101,MOD(4+$C11+(-1),$B$3)+1)*H11+INDEX(Symboles!$G$6:$G$101,MOD(4+$C11+(0),$B$3)+1)*I11+INDEX(Symboles!$G$6:$G$101,MOD(4+$C11+(1),$B$3)+1)*J11+INDEX(Symboles!$G$6:$G$101,MOD(4+$C11+(2),$B$3)+1)*K11+INDEX(Symboles!$G$6:$G$101,MOD(4+$C11+(3),$B$3)+1)*L11+INDEX(Symboles!$G$6:$G$101,MOD(4+$C11+(4),$B$3)+1)*M11+IF($B$6=0,0,$B$6*NORMSINV(0.000001+0.999998*RAND())))</f>
        <v/>
      </c>
      <c r="U11" s="30">
        <f>IF(6&gt;$B$3,99,INDEX(Symboles!$G$6:$G$101,MOD(5+$C11+(-4),$B$3)+1)*E11+INDEX(Symboles!$G$6:$G$101,MOD(5+$C11+(-3),$B$3)+1)*F11+INDEX(Symboles!$G$6:$G$101,MOD(5+$C11+(-2),$B$3)+1)*G11+INDEX(Symboles!$G$6:$G$101,MOD(5+$C11+(-1),$B$3)+1)*H11+INDEX(Symboles!$G$6:$G$101,MOD(5+$C11+(0),$B$3)+1)*I11+INDEX(Symboles!$G$6:$G$101,MOD(5+$C11+(1),$B$3)+1)*J11+INDEX(Symboles!$G$6:$G$101,MOD(5+$C11+(2),$B$3)+1)*K11+INDEX(Symboles!$G$6:$G$101,MOD(5+$C11+(3),$B$3)+1)*L11+INDEX(Symboles!$G$6:$G$101,MOD(5+$C11+(4),$B$3)+1)*M11+IF($B$6=0,0,$B$6*NORMSINV(0.000001+0.999998*RAND())))</f>
        <v/>
      </c>
      <c r="V11" s="30">
        <f>IF(7&gt;$B$3,99,INDEX(Symboles!$G$6:$G$101,MOD(6+$C11+(-4),$B$3)+1)*E11+INDEX(Symboles!$G$6:$G$101,MOD(6+$C11+(-3),$B$3)+1)*F11+INDEX(Symboles!$G$6:$G$101,MOD(6+$C11+(-2),$B$3)+1)*G11+INDEX(Symboles!$G$6:$G$101,MOD(6+$C11+(-1),$B$3)+1)*H11+INDEX(Symboles!$G$6:$G$101,MOD(6+$C11+(0),$B$3)+1)*I11+INDEX(Symboles!$G$6:$G$101,MOD(6+$C11+(1),$B$3)+1)*J11+INDEX(Symboles!$G$6:$G$101,MOD(6+$C11+(2),$B$3)+1)*K11+INDEX(Symboles!$G$6:$G$101,MOD(6+$C11+(3),$B$3)+1)*L11+INDEX(Symboles!$G$6:$G$101,MOD(6+$C11+(4),$B$3)+1)*M11+IF($B$6=0,0,$B$6*NORMSINV(0.000001+0.999998*RAND())))</f>
        <v/>
      </c>
      <c r="W11" s="30">
        <f>IF(8&gt;$B$3,99,INDEX(Symboles!$G$6:$G$101,MOD(7+$C11+(-4),$B$3)+1)*E11+INDEX(Symboles!$G$6:$G$101,MOD(7+$C11+(-3),$B$3)+1)*F11+INDEX(Symboles!$G$6:$G$101,MOD(7+$C11+(-2),$B$3)+1)*G11+INDEX(Symboles!$G$6:$G$101,MOD(7+$C11+(-1),$B$3)+1)*H11+INDEX(Symboles!$G$6:$G$101,MOD(7+$C11+(0),$B$3)+1)*I11+INDEX(Symboles!$G$6:$G$101,MOD(7+$C11+(1),$B$3)+1)*J11+INDEX(Symboles!$G$6:$G$101,MOD(7+$C11+(2),$B$3)+1)*K11+INDEX(Symboles!$G$6:$G$101,MOD(7+$C11+(3),$B$3)+1)*L11+INDEX(Symboles!$G$6:$G$101,MOD(7+$C11+(4),$B$3)+1)*M11+IF($B$6=0,0,$B$6*NORMSINV(0.000001+0.999998*RAND())))</f>
        <v/>
      </c>
      <c r="X11" s="30">
        <f>IF(9&gt;$B$3,99,INDEX(Symboles!$G$6:$G$101,MOD(8+$C11+(-4),$B$3)+1)*E11+INDEX(Symboles!$G$6:$G$101,MOD(8+$C11+(-3),$B$3)+1)*F11+INDEX(Symboles!$G$6:$G$101,MOD(8+$C11+(-2),$B$3)+1)*G11+INDEX(Symboles!$G$6:$G$101,MOD(8+$C11+(-1),$B$3)+1)*H11+INDEX(Symboles!$G$6:$G$101,MOD(8+$C11+(0),$B$3)+1)*I11+INDEX(Symboles!$G$6:$G$101,MOD(8+$C11+(1),$B$3)+1)*J11+INDEX(Symboles!$G$6:$G$101,MOD(8+$C11+(2),$B$3)+1)*K11+INDEX(Symboles!$G$6:$G$101,MOD(8+$C11+(3),$B$3)+1)*L11+INDEX(Symboles!$G$6:$G$101,MOD(8+$C11+(4),$B$3)+1)*M11+IF($B$6=0,0,$B$6*NORMSINV(0.000001+0.999998*RAND())))</f>
        <v/>
      </c>
      <c r="Y11" s="30">
        <f>IF(10&gt;$B$3,99,INDEX(Symboles!$G$6:$G$101,MOD(9+$C11+(-4),$B$3)+1)*E11+INDEX(Symboles!$G$6:$G$101,MOD(9+$C11+(-3),$B$3)+1)*F11+INDEX(Symboles!$G$6:$G$101,MOD(9+$C11+(-2),$B$3)+1)*G11+INDEX(Symboles!$G$6:$G$101,MOD(9+$C11+(-1),$B$3)+1)*H11+INDEX(Symboles!$G$6:$G$101,MOD(9+$C11+(0),$B$3)+1)*I11+INDEX(Symboles!$G$6:$G$101,MOD(9+$C11+(1),$B$3)+1)*J11+INDEX(Symboles!$G$6:$G$101,MOD(9+$C11+(2),$B$3)+1)*K11+INDEX(Symboles!$G$6:$G$101,MOD(9+$C11+(3),$B$3)+1)*L11+INDEX(Symboles!$G$6:$G$101,MOD(9+$C11+(4),$B$3)+1)*M11+IF($B$6=0,0,$B$6*NORMSINV(0.000001+0.999998*RAND())))</f>
        <v/>
      </c>
      <c r="Z11" s="30">
        <f>IF(11&gt;$B$3,99,INDEX(Symboles!$G$6:$G$101,MOD(10+$C11+(-4),$B$3)+1)*E11+INDEX(Symboles!$G$6:$G$101,MOD(10+$C11+(-3),$B$3)+1)*F11+INDEX(Symboles!$G$6:$G$101,MOD(10+$C11+(-2),$B$3)+1)*G11+INDEX(Symboles!$G$6:$G$101,MOD(10+$C11+(-1),$B$3)+1)*H11+INDEX(Symboles!$G$6:$G$101,MOD(10+$C11+(0),$B$3)+1)*I11+INDEX(Symboles!$G$6:$G$101,MOD(10+$C11+(1),$B$3)+1)*J11+INDEX(Symboles!$G$6:$G$101,MOD(10+$C11+(2),$B$3)+1)*K11+INDEX(Symboles!$G$6:$G$101,MOD(10+$C11+(3),$B$3)+1)*L11+INDEX(Symboles!$G$6:$G$101,MOD(10+$C11+(4),$B$3)+1)*M11+IF($B$6=0,0,$B$6*NORMSINV(0.000001+0.999998*RAND())))</f>
        <v/>
      </c>
      <c r="AA11" s="30">
        <f>IF(12&gt;$B$3,99,INDEX(Symboles!$G$6:$G$101,MOD(11+$C11+(-4),$B$3)+1)*E11+INDEX(Symboles!$G$6:$G$101,MOD(11+$C11+(-3),$B$3)+1)*F11+INDEX(Symboles!$G$6:$G$101,MOD(11+$C11+(-2),$B$3)+1)*G11+INDEX(Symboles!$G$6:$G$101,MOD(11+$C11+(-1),$B$3)+1)*H11+INDEX(Symboles!$G$6:$G$101,MOD(11+$C11+(0),$B$3)+1)*I11+INDEX(Symboles!$G$6:$G$101,MOD(11+$C11+(1),$B$3)+1)*J11+INDEX(Symboles!$G$6:$G$101,MOD(11+$C11+(2),$B$3)+1)*K11+INDEX(Symboles!$G$6:$G$101,MOD(11+$C11+(3),$B$3)+1)*L11+INDEX(Symboles!$G$6:$G$101,MOD(11+$C11+(4),$B$3)+1)*M11+IF($B$6=0,0,$B$6*NORMSINV(0.000001+0.999998*RAND())))</f>
        <v/>
      </c>
      <c r="AB11" s="30">
        <f>IF(13&gt;$B$3,99,INDEX(Symboles!$G$6:$G$101,MOD(12+$C11+(-4),$B$3)+1)*E11+INDEX(Symboles!$G$6:$G$101,MOD(12+$C11+(-3),$B$3)+1)*F11+INDEX(Symboles!$G$6:$G$101,MOD(12+$C11+(-2),$B$3)+1)*G11+INDEX(Symboles!$G$6:$G$101,MOD(12+$C11+(-1),$B$3)+1)*H11+INDEX(Symboles!$G$6:$G$101,MOD(12+$C11+(0),$B$3)+1)*I11+INDEX(Symboles!$G$6:$G$101,MOD(12+$C11+(1),$B$3)+1)*J11+INDEX(Symboles!$G$6:$G$101,MOD(12+$C11+(2),$B$3)+1)*K11+INDEX(Symboles!$G$6:$G$101,MOD(12+$C11+(3),$B$3)+1)*L11+INDEX(Symboles!$G$6:$G$101,MOD(12+$C11+(4),$B$3)+1)*M11+IF($B$6=0,0,$B$6*NORMSINV(0.000001+0.999998*RAND())))</f>
        <v/>
      </c>
      <c r="AC11" s="30">
        <f>IF(14&gt;$B$3,99,INDEX(Symboles!$G$6:$G$101,MOD(13+$C11+(-4),$B$3)+1)*E11+INDEX(Symboles!$G$6:$G$101,MOD(13+$C11+(-3),$B$3)+1)*F11+INDEX(Symboles!$G$6:$G$101,MOD(13+$C11+(-2),$B$3)+1)*G11+INDEX(Symboles!$G$6:$G$101,MOD(13+$C11+(-1),$B$3)+1)*H11+INDEX(Symboles!$G$6:$G$101,MOD(13+$C11+(0),$B$3)+1)*I11+INDEX(Symboles!$G$6:$G$101,MOD(13+$C11+(1),$B$3)+1)*J11+INDEX(Symboles!$G$6:$G$101,MOD(13+$C11+(2),$B$3)+1)*K11+INDEX(Symboles!$G$6:$G$101,MOD(13+$C11+(3),$B$3)+1)*L11+INDEX(Symboles!$G$6:$G$101,MOD(13+$C11+(4),$B$3)+1)*M11+IF($B$6=0,0,$B$6*NORMSINV(0.000001+0.999998*RAND())))</f>
        <v/>
      </c>
      <c r="AD11" s="30">
        <f>IF(15&gt;$B$3,99,INDEX(Symboles!$G$6:$G$101,MOD(14+$C11+(-4),$B$3)+1)*E11+INDEX(Symboles!$G$6:$G$101,MOD(14+$C11+(-3),$B$3)+1)*F11+INDEX(Symboles!$G$6:$G$101,MOD(14+$C11+(-2),$B$3)+1)*G11+INDEX(Symboles!$G$6:$G$101,MOD(14+$C11+(-1),$B$3)+1)*H11+INDEX(Symboles!$G$6:$G$101,MOD(14+$C11+(0),$B$3)+1)*I11+INDEX(Symboles!$G$6:$G$101,MOD(14+$C11+(1),$B$3)+1)*J11+INDEX(Symboles!$G$6:$G$101,MOD(14+$C11+(2),$B$3)+1)*K11+INDEX(Symboles!$G$6:$G$101,MOD(14+$C11+(3),$B$3)+1)*L11+INDEX(Symboles!$G$6:$G$101,MOD(14+$C11+(4),$B$3)+1)*M11+IF($B$6=0,0,$B$6*NORMSINV(0.000001+0.999998*RAND())))</f>
        <v/>
      </c>
      <c r="AE11" s="30">
        <f>IF(16&gt;$B$3,99,INDEX(Symboles!$G$6:$G$101,MOD(15+$C11+(-4),$B$3)+1)*E11+INDEX(Symboles!$G$6:$G$101,MOD(15+$C11+(-3),$B$3)+1)*F11+INDEX(Symboles!$G$6:$G$101,MOD(15+$C11+(-2),$B$3)+1)*G11+INDEX(Symboles!$G$6:$G$101,MOD(15+$C11+(-1),$B$3)+1)*H11+INDEX(Symboles!$G$6:$G$101,MOD(15+$C11+(0),$B$3)+1)*I11+INDEX(Symboles!$G$6:$G$101,MOD(15+$C11+(1),$B$3)+1)*J11+INDEX(Symboles!$G$6:$G$101,MOD(15+$C11+(2),$B$3)+1)*K11+INDEX(Symboles!$G$6:$G$101,MOD(15+$C11+(3),$B$3)+1)*L11+INDEX(Symboles!$G$6:$G$101,MOD(15+$C11+(4),$B$3)+1)*M11+IF($B$6=0,0,$B$6*NORMSINV(0.000001+0.999998*RAND())))</f>
        <v/>
      </c>
      <c r="AF11" s="30">
        <f>IF(17&gt;$B$3,99,INDEX(Symboles!$G$6:$G$101,MOD(16+$C11+(-4),$B$3)+1)*E11+INDEX(Symboles!$G$6:$G$101,MOD(16+$C11+(-3),$B$3)+1)*F11+INDEX(Symboles!$G$6:$G$101,MOD(16+$C11+(-2),$B$3)+1)*G11+INDEX(Symboles!$G$6:$G$101,MOD(16+$C11+(-1),$B$3)+1)*H11+INDEX(Symboles!$G$6:$G$101,MOD(16+$C11+(0),$B$3)+1)*I11+INDEX(Symboles!$G$6:$G$101,MOD(16+$C11+(1),$B$3)+1)*J11+INDEX(Symboles!$G$6:$G$101,MOD(16+$C11+(2),$B$3)+1)*K11+INDEX(Symboles!$G$6:$G$101,MOD(16+$C11+(3),$B$3)+1)*L11+INDEX(Symboles!$G$6:$G$101,MOD(16+$C11+(4),$B$3)+1)*M11+IF($B$6=0,0,$B$6*NORMSINV(0.000001+0.999998*RAND())))</f>
        <v/>
      </c>
      <c r="AG11" s="30">
        <f>IF(18&gt;$B$3,99,INDEX(Symboles!$G$6:$G$101,MOD(17+$C11+(-4),$B$3)+1)*E11+INDEX(Symboles!$G$6:$G$101,MOD(17+$C11+(-3),$B$3)+1)*F11+INDEX(Symboles!$G$6:$G$101,MOD(17+$C11+(-2),$B$3)+1)*G11+INDEX(Symboles!$G$6:$G$101,MOD(17+$C11+(-1),$B$3)+1)*H11+INDEX(Symboles!$G$6:$G$101,MOD(17+$C11+(0),$B$3)+1)*I11+INDEX(Symboles!$G$6:$G$101,MOD(17+$C11+(1),$B$3)+1)*J11+INDEX(Symboles!$G$6:$G$101,MOD(17+$C11+(2),$B$3)+1)*K11+INDEX(Symboles!$G$6:$G$101,MOD(17+$C11+(3),$B$3)+1)*L11+INDEX(Symboles!$G$6:$G$101,MOD(17+$C11+(4),$B$3)+1)*M11+IF($B$6=0,0,$B$6*NORMSINV(0.000001+0.999998*RAND())))</f>
        <v/>
      </c>
      <c r="AH11" s="30">
        <f>IF(19&gt;$B$3,99,INDEX(Symboles!$G$6:$G$101,MOD(18+$C11+(-4),$B$3)+1)*E11+INDEX(Symboles!$G$6:$G$101,MOD(18+$C11+(-3),$B$3)+1)*F11+INDEX(Symboles!$G$6:$G$101,MOD(18+$C11+(-2),$B$3)+1)*G11+INDEX(Symboles!$G$6:$G$101,MOD(18+$C11+(-1),$B$3)+1)*H11+INDEX(Symboles!$G$6:$G$101,MOD(18+$C11+(0),$B$3)+1)*I11+INDEX(Symboles!$G$6:$G$101,MOD(18+$C11+(1),$B$3)+1)*J11+INDEX(Symboles!$G$6:$G$101,MOD(18+$C11+(2),$B$3)+1)*K11+INDEX(Symboles!$G$6:$G$101,MOD(18+$C11+(3),$B$3)+1)*L11+INDEX(Symboles!$G$6:$G$101,MOD(18+$C11+(4),$B$3)+1)*M11+IF($B$6=0,0,$B$6*NORMSINV(0.000001+0.999998*RAND())))</f>
        <v/>
      </c>
      <c r="AI11" s="30">
        <f>IF(20&gt;$B$3,99,INDEX(Symboles!$G$6:$G$101,MOD(19+$C11+(-4),$B$3)+1)*E11+INDEX(Symboles!$G$6:$G$101,MOD(19+$C11+(-3),$B$3)+1)*F11+INDEX(Symboles!$G$6:$G$101,MOD(19+$C11+(-2),$B$3)+1)*G11+INDEX(Symboles!$G$6:$G$101,MOD(19+$C11+(-1),$B$3)+1)*H11+INDEX(Symboles!$G$6:$G$101,MOD(19+$C11+(0),$B$3)+1)*I11+INDEX(Symboles!$G$6:$G$101,MOD(19+$C11+(1),$B$3)+1)*J11+INDEX(Symboles!$G$6:$G$101,MOD(19+$C11+(2),$B$3)+1)*K11+INDEX(Symboles!$G$6:$G$101,MOD(19+$C11+(3),$B$3)+1)*L11+INDEX(Symboles!$G$6:$G$101,MOD(19+$C11+(4),$B$3)+1)*M11+IF($B$6=0,0,$B$6*NORMSINV(0.000001+0.999998*RAND())))</f>
        <v/>
      </c>
      <c r="AJ11" s="30">
        <f>IF(21&gt;$B$3,99,INDEX(Symboles!$G$6:$G$101,MOD(20+$C11+(-4),$B$3)+1)*E11+INDEX(Symboles!$G$6:$G$101,MOD(20+$C11+(-3),$B$3)+1)*F11+INDEX(Symboles!$G$6:$G$101,MOD(20+$C11+(-2),$B$3)+1)*G11+INDEX(Symboles!$G$6:$G$101,MOD(20+$C11+(-1),$B$3)+1)*H11+INDEX(Symboles!$G$6:$G$101,MOD(20+$C11+(0),$B$3)+1)*I11+INDEX(Symboles!$G$6:$G$101,MOD(20+$C11+(1),$B$3)+1)*J11+INDEX(Symboles!$G$6:$G$101,MOD(20+$C11+(2),$B$3)+1)*K11+INDEX(Symboles!$G$6:$G$101,MOD(20+$C11+(3),$B$3)+1)*L11+INDEX(Symboles!$G$6:$G$101,MOD(20+$C11+(4),$B$3)+1)*M11+IF($B$6=0,0,$B$6*NORMSINV(0.000001+0.999998*RAND())))</f>
        <v/>
      </c>
      <c r="AK11" s="30">
        <f>IF(22&gt;$B$3,99,INDEX(Symboles!$G$6:$G$101,MOD(21+$C11+(-4),$B$3)+1)*E11+INDEX(Symboles!$G$6:$G$101,MOD(21+$C11+(-3),$B$3)+1)*F11+INDEX(Symboles!$G$6:$G$101,MOD(21+$C11+(-2),$B$3)+1)*G11+INDEX(Symboles!$G$6:$G$101,MOD(21+$C11+(-1),$B$3)+1)*H11+INDEX(Symboles!$G$6:$G$101,MOD(21+$C11+(0),$B$3)+1)*I11+INDEX(Symboles!$G$6:$G$101,MOD(21+$C11+(1),$B$3)+1)*J11+INDEX(Symboles!$G$6:$G$101,MOD(21+$C11+(2),$B$3)+1)*K11+INDEX(Symboles!$G$6:$G$101,MOD(21+$C11+(3),$B$3)+1)*L11+INDEX(Symboles!$G$6:$G$101,MOD(21+$C11+(4),$B$3)+1)*M11+IF($B$6=0,0,$B$6*NORMSINV(0.000001+0.999998*RAND())))</f>
        <v/>
      </c>
      <c r="AL11" s="30">
        <f>IF(23&gt;$B$3,99,INDEX(Symboles!$G$6:$G$101,MOD(22+$C11+(-4),$B$3)+1)*E11+INDEX(Symboles!$G$6:$G$101,MOD(22+$C11+(-3),$B$3)+1)*F11+INDEX(Symboles!$G$6:$G$101,MOD(22+$C11+(-2),$B$3)+1)*G11+INDEX(Symboles!$G$6:$G$101,MOD(22+$C11+(-1),$B$3)+1)*H11+INDEX(Symboles!$G$6:$G$101,MOD(22+$C11+(0),$B$3)+1)*I11+INDEX(Symboles!$G$6:$G$101,MOD(22+$C11+(1),$B$3)+1)*J11+INDEX(Symboles!$G$6:$G$101,MOD(22+$C11+(2),$B$3)+1)*K11+INDEX(Symboles!$G$6:$G$101,MOD(22+$C11+(3),$B$3)+1)*L11+INDEX(Symboles!$G$6:$G$101,MOD(22+$C11+(4),$B$3)+1)*M11+IF($B$6=0,0,$B$6*NORMSINV(0.000001+0.999998*RAND())))</f>
        <v/>
      </c>
      <c r="AM11" s="30">
        <f>IF(24&gt;$B$3,99,INDEX(Symboles!$G$6:$G$101,MOD(23+$C11+(-4),$B$3)+1)*E11+INDEX(Symboles!$G$6:$G$101,MOD(23+$C11+(-3),$B$3)+1)*F11+INDEX(Symboles!$G$6:$G$101,MOD(23+$C11+(-2),$B$3)+1)*G11+INDEX(Symboles!$G$6:$G$101,MOD(23+$C11+(-1),$B$3)+1)*H11+INDEX(Symboles!$G$6:$G$101,MOD(23+$C11+(0),$B$3)+1)*I11+INDEX(Symboles!$G$6:$G$101,MOD(23+$C11+(1),$B$3)+1)*J11+INDEX(Symboles!$G$6:$G$101,MOD(23+$C11+(2),$B$3)+1)*K11+INDEX(Symboles!$G$6:$G$101,MOD(23+$C11+(3),$B$3)+1)*L11+INDEX(Symboles!$G$6:$G$101,MOD(23+$C11+(4),$B$3)+1)*M11+IF($B$6=0,0,$B$6*NORMSINV(0.000001+0.999998*RAND())))</f>
        <v/>
      </c>
      <c r="AN11" s="30">
        <f>IF(25&gt;$B$3,99,INDEX(Symboles!$G$6:$G$101,MOD(24+$C11+(-4),$B$3)+1)*E11+INDEX(Symboles!$G$6:$G$101,MOD(24+$C11+(-3),$B$3)+1)*F11+INDEX(Symboles!$G$6:$G$101,MOD(24+$C11+(-2),$B$3)+1)*G11+INDEX(Symboles!$G$6:$G$101,MOD(24+$C11+(-1),$B$3)+1)*H11+INDEX(Symboles!$G$6:$G$101,MOD(24+$C11+(0),$B$3)+1)*I11+INDEX(Symboles!$G$6:$G$101,MOD(24+$C11+(1),$B$3)+1)*J11+INDEX(Symboles!$G$6:$G$101,MOD(24+$C11+(2),$B$3)+1)*K11+INDEX(Symboles!$G$6:$G$101,MOD(24+$C11+(3),$B$3)+1)*L11+INDEX(Symboles!$G$6:$G$101,MOD(24+$C11+(4),$B$3)+1)*M11+IF($B$6=0,0,$B$6*NORMSINV(0.000001+0.999998*RAND())))</f>
        <v/>
      </c>
      <c r="AO11" s="30">
        <f>IF(26&gt;$B$3,99,INDEX(Symboles!$G$6:$G$101,MOD(25+$C11+(-4),$B$3)+1)*E11+INDEX(Symboles!$G$6:$G$101,MOD(25+$C11+(-3),$B$3)+1)*F11+INDEX(Symboles!$G$6:$G$101,MOD(25+$C11+(-2),$B$3)+1)*G11+INDEX(Symboles!$G$6:$G$101,MOD(25+$C11+(-1),$B$3)+1)*H11+INDEX(Symboles!$G$6:$G$101,MOD(25+$C11+(0),$B$3)+1)*I11+INDEX(Symboles!$G$6:$G$101,MOD(25+$C11+(1),$B$3)+1)*J11+INDEX(Symboles!$G$6:$G$101,MOD(25+$C11+(2),$B$3)+1)*K11+INDEX(Symboles!$G$6:$G$101,MOD(25+$C11+(3),$B$3)+1)*L11+INDEX(Symboles!$G$6:$G$101,MOD(25+$C11+(4),$B$3)+1)*M11+IF($B$6=0,0,$B$6*NORMSINV(0.000001+0.999998*RAND())))</f>
        <v/>
      </c>
      <c r="AP11" s="30">
        <f>IF(27&gt;$B$3,99,INDEX(Symboles!$G$6:$G$101,MOD(26+$C11+(-4),$B$3)+1)*E11+INDEX(Symboles!$G$6:$G$101,MOD(26+$C11+(-3),$B$3)+1)*F11+INDEX(Symboles!$G$6:$G$101,MOD(26+$C11+(-2),$B$3)+1)*G11+INDEX(Symboles!$G$6:$G$101,MOD(26+$C11+(-1),$B$3)+1)*H11+INDEX(Symboles!$G$6:$G$101,MOD(26+$C11+(0),$B$3)+1)*I11+INDEX(Symboles!$G$6:$G$101,MOD(26+$C11+(1),$B$3)+1)*J11+INDEX(Symboles!$G$6:$G$101,MOD(26+$C11+(2),$B$3)+1)*K11+INDEX(Symboles!$G$6:$G$101,MOD(26+$C11+(3),$B$3)+1)*L11+INDEX(Symboles!$G$6:$G$101,MOD(26+$C11+(4),$B$3)+1)*M11+IF($B$6=0,0,$B$6*NORMSINV(0.000001+0.999998*RAND())))</f>
        <v/>
      </c>
      <c r="AQ11" s="30">
        <f>IF(28&gt;$B$3,99,INDEX(Symboles!$G$6:$G$101,MOD(27+$C11+(-4),$B$3)+1)*E11+INDEX(Symboles!$G$6:$G$101,MOD(27+$C11+(-3),$B$3)+1)*F11+INDEX(Symboles!$G$6:$G$101,MOD(27+$C11+(-2),$B$3)+1)*G11+INDEX(Symboles!$G$6:$G$101,MOD(27+$C11+(-1),$B$3)+1)*H11+INDEX(Symboles!$G$6:$G$101,MOD(27+$C11+(0),$B$3)+1)*I11+INDEX(Symboles!$G$6:$G$101,MOD(27+$C11+(1),$B$3)+1)*J11+INDEX(Symboles!$G$6:$G$101,MOD(27+$C11+(2),$B$3)+1)*K11+INDEX(Symboles!$G$6:$G$101,MOD(27+$C11+(3),$B$3)+1)*L11+INDEX(Symboles!$G$6:$G$101,MOD(27+$C11+(4),$B$3)+1)*M11+IF($B$6=0,0,$B$6*NORMSINV(0.000001+0.999998*RAND())))</f>
        <v/>
      </c>
      <c r="AR11" s="30">
        <f>IF(29&gt;$B$3,99,INDEX(Symboles!$G$6:$G$101,MOD(28+$C11+(-4),$B$3)+1)*E11+INDEX(Symboles!$G$6:$G$101,MOD(28+$C11+(-3),$B$3)+1)*F11+INDEX(Symboles!$G$6:$G$101,MOD(28+$C11+(-2),$B$3)+1)*G11+INDEX(Symboles!$G$6:$G$101,MOD(28+$C11+(-1),$B$3)+1)*H11+INDEX(Symboles!$G$6:$G$101,MOD(28+$C11+(0),$B$3)+1)*I11+INDEX(Symboles!$G$6:$G$101,MOD(28+$C11+(1),$B$3)+1)*J11+INDEX(Symboles!$G$6:$G$101,MOD(28+$C11+(2),$B$3)+1)*K11+INDEX(Symboles!$G$6:$G$101,MOD(28+$C11+(3),$B$3)+1)*L11+INDEX(Symboles!$G$6:$G$101,MOD(28+$C11+(4),$B$3)+1)*M11+IF($B$6=0,0,$B$6*NORMSINV(0.000001+0.999998*RAND())))</f>
        <v/>
      </c>
      <c r="AS11" s="30">
        <f>IF(30&gt;$B$3,99,INDEX(Symboles!$G$6:$G$101,MOD(29+$C11+(-4),$B$3)+1)*E11+INDEX(Symboles!$G$6:$G$101,MOD(29+$C11+(-3),$B$3)+1)*F11+INDEX(Symboles!$G$6:$G$101,MOD(29+$C11+(-2),$B$3)+1)*G11+INDEX(Symboles!$G$6:$G$101,MOD(29+$C11+(-1),$B$3)+1)*H11+INDEX(Symboles!$G$6:$G$101,MOD(29+$C11+(0),$B$3)+1)*I11+INDEX(Symboles!$G$6:$G$101,MOD(29+$C11+(1),$B$3)+1)*J11+INDEX(Symboles!$G$6:$G$101,MOD(29+$C11+(2),$B$3)+1)*K11+INDEX(Symboles!$G$6:$G$101,MOD(29+$C11+(3),$B$3)+1)*L11+INDEX(Symboles!$G$6:$G$101,MOD(29+$C11+(4),$B$3)+1)*M11+IF($B$6=0,0,$B$6*NORMSINV(0.000001+0.999998*RAND())))</f>
        <v/>
      </c>
      <c r="AT11" s="30">
        <f>IF(31&gt;$B$3,99,INDEX(Symboles!$G$6:$G$101,MOD(30+$C11+(-4),$B$3)+1)*E11+INDEX(Symboles!$G$6:$G$101,MOD(30+$C11+(-3),$B$3)+1)*F11+INDEX(Symboles!$G$6:$G$101,MOD(30+$C11+(-2),$B$3)+1)*G11+INDEX(Symboles!$G$6:$G$101,MOD(30+$C11+(-1),$B$3)+1)*H11+INDEX(Symboles!$G$6:$G$101,MOD(30+$C11+(0),$B$3)+1)*I11+INDEX(Symboles!$G$6:$G$101,MOD(30+$C11+(1),$B$3)+1)*J11+INDEX(Symboles!$G$6:$G$101,MOD(30+$C11+(2),$B$3)+1)*K11+INDEX(Symboles!$G$6:$G$101,MOD(30+$C11+(3),$B$3)+1)*L11+INDEX(Symboles!$G$6:$G$101,MOD(30+$C11+(4),$B$3)+1)*M11+IF($B$6=0,0,$B$6*NORMSINV(0.000001+0.999998*RAND())))</f>
        <v/>
      </c>
      <c r="AU11" s="30">
        <f>IF(32&gt;$B$3,99,INDEX(Symboles!$G$6:$G$101,MOD(31+$C11+(-4),$B$3)+1)*E11+INDEX(Symboles!$G$6:$G$101,MOD(31+$C11+(-3),$B$3)+1)*F11+INDEX(Symboles!$G$6:$G$101,MOD(31+$C11+(-2),$B$3)+1)*G11+INDEX(Symboles!$G$6:$G$101,MOD(31+$C11+(-1),$B$3)+1)*H11+INDEX(Symboles!$G$6:$G$101,MOD(31+$C11+(0),$B$3)+1)*I11+INDEX(Symboles!$G$6:$G$101,MOD(31+$C11+(1),$B$3)+1)*J11+INDEX(Symboles!$G$6:$G$101,MOD(31+$C11+(2),$B$3)+1)*K11+INDEX(Symboles!$G$6:$G$101,MOD(31+$C11+(3),$B$3)+1)*L11+INDEX(Symboles!$G$6:$G$101,MOD(31+$C11+(4),$B$3)+1)*M11+IF($B$6=0,0,$B$6*NORMSINV(0.000001+0.999998*RAND())))</f>
        <v/>
      </c>
      <c r="AV11" s="30">
        <f>IF(33&gt;$B$3,99,INDEX(Symboles!$G$6:$G$101,MOD(32+$C11+(-4),$B$3)+1)*E11+INDEX(Symboles!$G$6:$G$101,MOD(32+$C11+(-3),$B$3)+1)*F11+INDEX(Symboles!$G$6:$G$101,MOD(32+$C11+(-2),$B$3)+1)*G11+INDEX(Symboles!$G$6:$G$101,MOD(32+$C11+(-1),$B$3)+1)*H11+INDEX(Symboles!$G$6:$G$101,MOD(32+$C11+(0),$B$3)+1)*I11+INDEX(Symboles!$G$6:$G$101,MOD(32+$C11+(1),$B$3)+1)*J11+INDEX(Symboles!$G$6:$G$101,MOD(32+$C11+(2),$B$3)+1)*K11+INDEX(Symboles!$G$6:$G$101,MOD(32+$C11+(3),$B$3)+1)*L11+INDEX(Symboles!$G$6:$G$101,MOD(32+$C11+(4),$B$3)+1)*M11+IF($B$6=0,0,$B$6*NORMSINV(0.000001+0.999998*RAND())))</f>
        <v/>
      </c>
      <c r="AW11" s="30">
        <f>IF(34&gt;$B$3,99,INDEX(Symboles!$G$6:$G$101,MOD(33+$C11+(-4),$B$3)+1)*E11+INDEX(Symboles!$G$6:$G$101,MOD(33+$C11+(-3),$B$3)+1)*F11+INDEX(Symboles!$G$6:$G$101,MOD(33+$C11+(-2),$B$3)+1)*G11+INDEX(Symboles!$G$6:$G$101,MOD(33+$C11+(-1),$B$3)+1)*H11+INDEX(Symboles!$G$6:$G$101,MOD(33+$C11+(0),$B$3)+1)*I11+INDEX(Symboles!$G$6:$G$101,MOD(33+$C11+(1),$B$3)+1)*J11+INDEX(Symboles!$G$6:$G$101,MOD(33+$C11+(2),$B$3)+1)*K11+INDEX(Symboles!$G$6:$G$101,MOD(33+$C11+(3),$B$3)+1)*L11+INDEX(Symboles!$G$6:$G$101,MOD(33+$C11+(4),$B$3)+1)*M11+IF($B$6=0,0,$B$6*NORMSINV(0.000001+0.999998*RAND())))</f>
        <v/>
      </c>
      <c r="AX11" s="30">
        <f>IF(35&gt;$B$3,99,INDEX(Symboles!$G$6:$G$101,MOD(34+$C11+(-4),$B$3)+1)*E11+INDEX(Symboles!$G$6:$G$101,MOD(34+$C11+(-3),$B$3)+1)*F11+INDEX(Symboles!$G$6:$G$101,MOD(34+$C11+(-2),$B$3)+1)*G11+INDEX(Symboles!$G$6:$G$101,MOD(34+$C11+(-1),$B$3)+1)*H11+INDEX(Symboles!$G$6:$G$101,MOD(34+$C11+(0),$B$3)+1)*I11+INDEX(Symboles!$G$6:$G$101,MOD(34+$C11+(1),$B$3)+1)*J11+INDEX(Symboles!$G$6:$G$101,MOD(34+$C11+(2),$B$3)+1)*K11+INDEX(Symboles!$G$6:$G$101,MOD(34+$C11+(3),$B$3)+1)*L11+INDEX(Symboles!$G$6:$G$101,MOD(34+$C11+(4),$B$3)+1)*M11+IF($B$6=0,0,$B$6*NORMSINV(0.000001+0.999998*RAND())))</f>
        <v/>
      </c>
      <c r="AY11" s="30">
        <f>IF(36&gt;$B$3,99,INDEX(Symboles!$G$6:$G$101,MOD(35+$C11+(-4),$B$3)+1)*E11+INDEX(Symboles!$G$6:$G$101,MOD(35+$C11+(-3),$B$3)+1)*F11+INDEX(Symboles!$G$6:$G$101,MOD(35+$C11+(-2),$B$3)+1)*G11+INDEX(Symboles!$G$6:$G$101,MOD(35+$C11+(-1),$B$3)+1)*H11+INDEX(Symboles!$G$6:$G$101,MOD(35+$C11+(0),$B$3)+1)*I11+INDEX(Symboles!$G$6:$G$101,MOD(35+$C11+(1),$B$3)+1)*J11+INDEX(Symboles!$G$6:$G$101,MOD(35+$C11+(2),$B$3)+1)*K11+INDEX(Symboles!$G$6:$G$101,MOD(35+$C11+(3),$B$3)+1)*L11+INDEX(Symboles!$G$6:$G$101,MOD(35+$C11+(4),$B$3)+1)*M11+IF($B$6=0,0,$B$6*NORMSINV(0.000001+0.999998*RAND())))</f>
        <v/>
      </c>
      <c r="AZ11" s="30">
        <f>IF(37&gt;$B$3,99,INDEX(Symboles!$G$6:$G$101,MOD(36+$C11+(-4),$B$3)+1)*E11+INDEX(Symboles!$G$6:$G$101,MOD(36+$C11+(-3),$B$3)+1)*F11+INDEX(Symboles!$G$6:$G$101,MOD(36+$C11+(-2),$B$3)+1)*G11+INDEX(Symboles!$G$6:$G$101,MOD(36+$C11+(-1),$B$3)+1)*H11+INDEX(Symboles!$G$6:$G$101,MOD(36+$C11+(0),$B$3)+1)*I11+INDEX(Symboles!$G$6:$G$101,MOD(36+$C11+(1),$B$3)+1)*J11+INDEX(Symboles!$G$6:$G$101,MOD(36+$C11+(2),$B$3)+1)*K11+INDEX(Symboles!$G$6:$G$101,MOD(36+$C11+(3),$B$3)+1)*L11+INDEX(Symboles!$G$6:$G$101,MOD(36+$C11+(4),$B$3)+1)*M11+IF($B$6=0,0,$B$6*NORMSINV(0.000001+0.999998*RAND())))</f>
        <v/>
      </c>
      <c r="BA11" s="30">
        <f>IF(38&gt;$B$3,99,INDEX(Symboles!$G$6:$G$101,MOD(37+$C11+(-4),$B$3)+1)*E11+INDEX(Symboles!$G$6:$G$101,MOD(37+$C11+(-3),$B$3)+1)*F11+INDEX(Symboles!$G$6:$G$101,MOD(37+$C11+(-2),$B$3)+1)*G11+INDEX(Symboles!$G$6:$G$101,MOD(37+$C11+(-1),$B$3)+1)*H11+INDEX(Symboles!$G$6:$G$101,MOD(37+$C11+(0),$B$3)+1)*I11+INDEX(Symboles!$G$6:$G$101,MOD(37+$C11+(1),$B$3)+1)*J11+INDEX(Symboles!$G$6:$G$101,MOD(37+$C11+(2),$B$3)+1)*K11+INDEX(Symboles!$G$6:$G$101,MOD(37+$C11+(3),$B$3)+1)*L11+INDEX(Symboles!$G$6:$G$101,MOD(37+$C11+(4),$B$3)+1)*M11+IF($B$6=0,0,$B$6*NORMSINV(0.000001+0.999998*RAND())))</f>
        <v/>
      </c>
      <c r="BB11" s="30">
        <f>IF(39&gt;$B$3,99,INDEX(Symboles!$G$6:$G$101,MOD(38+$C11+(-4),$B$3)+1)*E11+INDEX(Symboles!$G$6:$G$101,MOD(38+$C11+(-3),$B$3)+1)*F11+INDEX(Symboles!$G$6:$G$101,MOD(38+$C11+(-2),$B$3)+1)*G11+INDEX(Symboles!$G$6:$G$101,MOD(38+$C11+(-1),$B$3)+1)*H11+INDEX(Symboles!$G$6:$G$101,MOD(38+$C11+(0),$B$3)+1)*I11+INDEX(Symboles!$G$6:$G$101,MOD(38+$C11+(1),$B$3)+1)*J11+INDEX(Symboles!$G$6:$G$101,MOD(38+$C11+(2),$B$3)+1)*K11+INDEX(Symboles!$G$6:$G$101,MOD(38+$C11+(3),$B$3)+1)*L11+INDEX(Symboles!$G$6:$G$101,MOD(38+$C11+(4),$B$3)+1)*M11+IF($B$6=0,0,$B$6*NORMSINV(0.000001+0.999998*RAND())))</f>
        <v/>
      </c>
      <c r="BC11" s="30">
        <f>IF(40&gt;$B$3,99,INDEX(Symboles!$G$6:$G$101,MOD(39+$C11+(-4),$B$3)+1)*E11+INDEX(Symboles!$G$6:$G$101,MOD(39+$C11+(-3),$B$3)+1)*F11+INDEX(Symboles!$G$6:$G$101,MOD(39+$C11+(-2),$B$3)+1)*G11+INDEX(Symboles!$G$6:$G$101,MOD(39+$C11+(-1),$B$3)+1)*H11+INDEX(Symboles!$G$6:$G$101,MOD(39+$C11+(0),$B$3)+1)*I11+INDEX(Symboles!$G$6:$G$101,MOD(39+$C11+(1),$B$3)+1)*J11+INDEX(Symboles!$G$6:$G$101,MOD(39+$C11+(2),$B$3)+1)*K11+INDEX(Symboles!$G$6:$G$101,MOD(39+$C11+(3),$B$3)+1)*L11+INDEX(Symboles!$G$6:$G$101,MOD(39+$C11+(4),$B$3)+1)*M11+IF($B$6=0,0,$B$6*NORMSINV(0.000001+0.999998*RAND())))</f>
        <v/>
      </c>
      <c r="BD11" s="30">
        <f>IF(41&gt;$B$3,99,INDEX(Symboles!$G$6:$G$101,MOD(40+$C11+(-4),$B$3)+1)*E11+INDEX(Symboles!$G$6:$G$101,MOD(40+$C11+(-3),$B$3)+1)*F11+INDEX(Symboles!$G$6:$G$101,MOD(40+$C11+(-2),$B$3)+1)*G11+INDEX(Symboles!$G$6:$G$101,MOD(40+$C11+(-1),$B$3)+1)*H11+INDEX(Symboles!$G$6:$G$101,MOD(40+$C11+(0),$B$3)+1)*I11+INDEX(Symboles!$G$6:$G$101,MOD(40+$C11+(1),$B$3)+1)*J11+INDEX(Symboles!$G$6:$G$101,MOD(40+$C11+(2),$B$3)+1)*K11+INDEX(Symboles!$G$6:$G$101,MOD(40+$C11+(3),$B$3)+1)*L11+INDEX(Symboles!$G$6:$G$101,MOD(40+$C11+(4),$B$3)+1)*M11+IF($B$6=0,0,$B$6*NORMSINV(0.000001+0.999998*RAND())))</f>
        <v/>
      </c>
      <c r="BE11" s="30">
        <f>IF(42&gt;$B$3,99,INDEX(Symboles!$G$6:$G$101,MOD(41+$C11+(-4),$B$3)+1)*E11+INDEX(Symboles!$G$6:$G$101,MOD(41+$C11+(-3),$B$3)+1)*F11+INDEX(Symboles!$G$6:$G$101,MOD(41+$C11+(-2),$B$3)+1)*G11+INDEX(Symboles!$G$6:$G$101,MOD(41+$C11+(-1),$B$3)+1)*H11+INDEX(Symboles!$G$6:$G$101,MOD(41+$C11+(0),$B$3)+1)*I11+INDEX(Symboles!$G$6:$G$101,MOD(41+$C11+(1),$B$3)+1)*J11+INDEX(Symboles!$G$6:$G$101,MOD(41+$C11+(2),$B$3)+1)*K11+INDEX(Symboles!$G$6:$G$101,MOD(41+$C11+(3),$B$3)+1)*L11+INDEX(Symboles!$G$6:$G$101,MOD(41+$C11+(4),$B$3)+1)*M11+IF($B$6=0,0,$B$6*NORMSINV(0.000001+0.999998*RAND())))</f>
        <v/>
      </c>
      <c r="BF11" s="30">
        <f>IF(43&gt;$B$3,99,INDEX(Symboles!$G$6:$G$101,MOD(42+$C11+(-4),$B$3)+1)*E11+INDEX(Symboles!$G$6:$G$101,MOD(42+$C11+(-3),$B$3)+1)*F11+INDEX(Symboles!$G$6:$G$101,MOD(42+$C11+(-2),$B$3)+1)*G11+INDEX(Symboles!$G$6:$G$101,MOD(42+$C11+(-1),$B$3)+1)*H11+INDEX(Symboles!$G$6:$G$101,MOD(42+$C11+(0),$B$3)+1)*I11+INDEX(Symboles!$G$6:$G$101,MOD(42+$C11+(1),$B$3)+1)*J11+INDEX(Symboles!$G$6:$G$101,MOD(42+$C11+(2),$B$3)+1)*K11+INDEX(Symboles!$G$6:$G$101,MOD(42+$C11+(3),$B$3)+1)*L11+INDEX(Symboles!$G$6:$G$101,MOD(42+$C11+(4),$B$3)+1)*M11+IF($B$6=0,0,$B$6*NORMSINV(0.000001+0.999998*RAND())))</f>
        <v/>
      </c>
      <c r="BG11" s="30">
        <f>IF(44&gt;$B$3,99,INDEX(Symboles!$G$6:$G$101,MOD(43+$C11+(-4),$B$3)+1)*E11+INDEX(Symboles!$G$6:$G$101,MOD(43+$C11+(-3),$B$3)+1)*F11+INDEX(Symboles!$G$6:$G$101,MOD(43+$C11+(-2),$B$3)+1)*G11+INDEX(Symboles!$G$6:$G$101,MOD(43+$C11+(-1),$B$3)+1)*H11+INDEX(Symboles!$G$6:$G$101,MOD(43+$C11+(0),$B$3)+1)*I11+INDEX(Symboles!$G$6:$G$101,MOD(43+$C11+(1),$B$3)+1)*J11+INDEX(Symboles!$G$6:$G$101,MOD(43+$C11+(2),$B$3)+1)*K11+INDEX(Symboles!$G$6:$G$101,MOD(43+$C11+(3),$B$3)+1)*L11+INDEX(Symboles!$G$6:$G$101,MOD(43+$C11+(4),$B$3)+1)*M11+IF($B$6=0,0,$B$6*NORMSINV(0.000001+0.999998*RAND())))</f>
        <v/>
      </c>
      <c r="BH11" s="30">
        <f>IF(45&gt;$B$3,99,INDEX(Symboles!$G$6:$G$101,MOD(44+$C11+(-4),$B$3)+1)*E11+INDEX(Symboles!$G$6:$G$101,MOD(44+$C11+(-3),$B$3)+1)*F11+INDEX(Symboles!$G$6:$G$101,MOD(44+$C11+(-2),$B$3)+1)*G11+INDEX(Symboles!$G$6:$G$101,MOD(44+$C11+(-1),$B$3)+1)*H11+INDEX(Symboles!$G$6:$G$101,MOD(44+$C11+(0),$B$3)+1)*I11+INDEX(Symboles!$G$6:$G$101,MOD(44+$C11+(1),$B$3)+1)*J11+INDEX(Symboles!$G$6:$G$101,MOD(44+$C11+(2),$B$3)+1)*K11+INDEX(Symboles!$G$6:$G$101,MOD(44+$C11+(3),$B$3)+1)*L11+INDEX(Symboles!$G$6:$G$101,MOD(44+$C11+(4),$B$3)+1)*M11+IF($B$6=0,0,$B$6*NORMSINV(0.000001+0.999998*RAND())))</f>
        <v/>
      </c>
      <c r="BI11" s="30">
        <f>IF(46&gt;$B$3,99,INDEX(Symboles!$G$6:$G$101,MOD(45+$C11+(-4),$B$3)+1)*E11+INDEX(Symboles!$G$6:$G$101,MOD(45+$C11+(-3),$B$3)+1)*F11+INDEX(Symboles!$G$6:$G$101,MOD(45+$C11+(-2),$B$3)+1)*G11+INDEX(Symboles!$G$6:$G$101,MOD(45+$C11+(-1),$B$3)+1)*H11+INDEX(Symboles!$G$6:$G$101,MOD(45+$C11+(0),$B$3)+1)*I11+INDEX(Symboles!$G$6:$G$101,MOD(45+$C11+(1),$B$3)+1)*J11+INDEX(Symboles!$G$6:$G$101,MOD(45+$C11+(2),$B$3)+1)*K11+INDEX(Symboles!$G$6:$G$101,MOD(45+$C11+(3),$B$3)+1)*L11+INDEX(Symboles!$G$6:$G$101,MOD(45+$C11+(4),$B$3)+1)*M11+IF($B$6=0,0,$B$6*NORMSINV(0.000001+0.999998*RAND())))</f>
        <v/>
      </c>
      <c r="BJ11" s="30">
        <f>IF(47&gt;$B$3,99,INDEX(Symboles!$G$6:$G$101,MOD(46+$C11+(-4),$B$3)+1)*E11+INDEX(Symboles!$G$6:$G$101,MOD(46+$C11+(-3),$B$3)+1)*F11+INDEX(Symboles!$G$6:$G$101,MOD(46+$C11+(-2),$B$3)+1)*G11+INDEX(Symboles!$G$6:$G$101,MOD(46+$C11+(-1),$B$3)+1)*H11+INDEX(Symboles!$G$6:$G$101,MOD(46+$C11+(0),$B$3)+1)*I11+INDEX(Symboles!$G$6:$G$101,MOD(46+$C11+(1),$B$3)+1)*J11+INDEX(Symboles!$G$6:$G$101,MOD(46+$C11+(2),$B$3)+1)*K11+INDEX(Symboles!$G$6:$G$101,MOD(46+$C11+(3),$B$3)+1)*L11+INDEX(Symboles!$G$6:$G$101,MOD(46+$C11+(4),$B$3)+1)*M11+IF($B$6=0,0,$B$6*NORMSINV(0.000001+0.999998*RAND())))</f>
        <v/>
      </c>
      <c r="BK11" s="30">
        <f>IF(48&gt;$B$3,99,INDEX(Symboles!$G$6:$G$101,MOD(47+$C11+(-4),$B$3)+1)*E11+INDEX(Symboles!$G$6:$G$101,MOD(47+$C11+(-3),$B$3)+1)*F11+INDEX(Symboles!$G$6:$G$101,MOD(47+$C11+(-2),$B$3)+1)*G11+INDEX(Symboles!$G$6:$G$101,MOD(47+$C11+(-1),$B$3)+1)*H11+INDEX(Symboles!$G$6:$G$101,MOD(47+$C11+(0),$B$3)+1)*I11+INDEX(Symboles!$G$6:$G$101,MOD(47+$C11+(1),$B$3)+1)*J11+INDEX(Symboles!$G$6:$G$101,MOD(47+$C11+(2),$B$3)+1)*K11+INDEX(Symboles!$G$6:$G$101,MOD(47+$C11+(3),$B$3)+1)*L11+INDEX(Symboles!$G$6:$G$101,MOD(47+$C11+(4),$B$3)+1)*M11+IF($B$6=0,0,$B$6*NORMSINV(0.000001+0.999998*RAND())))</f>
        <v/>
      </c>
      <c r="BL11" s="30">
        <f>IF(49&gt;$B$3,99,INDEX(Symboles!$G$6:$G$101,MOD(48+$C11+(-4),$B$3)+1)*E11+INDEX(Symboles!$G$6:$G$101,MOD(48+$C11+(-3),$B$3)+1)*F11+INDEX(Symboles!$G$6:$G$101,MOD(48+$C11+(-2),$B$3)+1)*G11+INDEX(Symboles!$G$6:$G$101,MOD(48+$C11+(-1),$B$3)+1)*H11+INDEX(Symboles!$G$6:$G$101,MOD(48+$C11+(0),$B$3)+1)*I11+INDEX(Symboles!$G$6:$G$101,MOD(48+$C11+(1),$B$3)+1)*J11+INDEX(Symboles!$G$6:$G$101,MOD(48+$C11+(2),$B$3)+1)*K11+INDEX(Symboles!$G$6:$G$101,MOD(48+$C11+(3),$B$3)+1)*L11+INDEX(Symboles!$G$6:$G$101,MOD(48+$C11+(4),$B$3)+1)*M11+IF($B$6=0,0,$B$6*NORMSINV(0.000001+0.999998*RAND())))</f>
        <v/>
      </c>
      <c r="BM11" s="30">
        <f>IF(50&gt;$B$3,99,INDEX(Symboles!$G$6:$G$101,MOD(49+$C11+(-4),$B$3)+1)*E11+INDEX(Symboles!$G$6:$G$101,MOD(49+$C11+(-3),$B$3)+1)*F11+INDEX(Symboles!$G$6:$G$101,MOD(49+$C11+(-2),$B$3)+1)*G11+INDEX(Symboles!$G$6:$G$101,MOD(49+$C11+(-1),$B$3)+1)*H11+INDEX(Symboles!$G$6:$G$101,MOD(49+$C11+(0),$B$3)+1)*I11+INDEX(Symboles!$G$6:$G$101,MOD(49+$C11+(1),$B$3)+1)*J11+INDEX(Symboles!$G$6:$G$101,MOD(49+$C11+(2),$B$3)+1)*K11+INDEX(Symboles!$G$6:$G$101,MOD(49+$C11+(3),$B$3)+1)*L11+INDEX(Symboles!$G$6:$G$101,MOD(49+$C11+(4),$B$3)+1)*M11+IF($B$6=0,0,$B$6*NORMSINV(0.000001+0.999998*RAND())))</f>
        <v/>
      </c>
      <c r="BN11" s="30">
        <f>IF(51&gt;$B$3,99,INDEX(Symboles!$G$6:$G$101,MOD(50+$C11+(-4),$B$3)+1)*E11+INDEX(Symboles!$G$6:$G$101,MOD(50+$C11+(-3),$B$3)+1)*F11+INDEX(Symboles!$G$6:$G$101,MOD(50+$C11+(-2),$B$3)+1)*G11+INDEX(Symboles!$G$6:$G$101,MOD(50+$C11+(-1),$B$3)+1)*H11+INDEX(Symboles!$G$6:$G$101,MOD(50+$C11+(0),$B$3)+1)*I11+INDEX(Symboles!$G$6:$G$101,MOD(50+$C11+(1),$B$3)+1)*J11+INDEX(Symboles!$G$6:$G$101,MOD(50+$C11+(2),$B$3)+1)*K11+INDEX(Symboles!$G$6:$G$101,MOD(50+$C11+(3),$B$3)+1)*L11+INDEX(Symboles!$G$6:$G$101,MOD(50+$C11+(4),$B$3)+1)*M11+IF($B$6=0,0,$B$6*NORMSINV(0.000001+0.999998*RAND())))</f>
        <v/>
      </c>
      <c r="BO11" s="30">
        <f>IF(52&gt;$B$3,99,INDEX(Symboles!$G$6:$G$101,MOD(51+$C11+(-4),$B$3)+1)*E11+INDEX(Symboles!$G$6:$G$101,MOD(51+$C11+(-3),$B$3)+1)*F11+INDEX(Symboles!$G$6:$G$101,MOD(51+$C11+(-2),$B$3)+1)*G11+INDEX(Symboles!$G$6:$G$101,MOD(51+$C11+(-1),$B$3)+1)*H11+INDEX(Symboles!$G$6:$G$101,MOD(51+$C11+(0),$B$3)+1)*I11+INDEX(Symboles!$G$6:$G$101,MOD(51+$C11+(1),$B$3)+1)*J11+INDEX(Symboles!$G$6:$G$101,MOD(51+$C11+(2),$B$3)+1)*K11+INDEX(Symboles!$G$6:$G$101,MOD(51+$C11+(3),$B$3)+1)*L11+INDEX(Symboles!$G$6:$G$101,MOD(51+$C11+(4),$B$3)+1)*M11+IF($B$6=0,0,$B$6*NORMSINV(0.000001+0.999998*RAND())))</f>
        <v/>
      </c>
      <c r="BP11" s="30">
        <f>IF(53&gt;$B$3,99,INDEX(Symboles!$G$6:$G$101,MOD(52+$C11+(-4),$B$3)+1)*E11+INDEX(Symboles!$G$6:$G$101,MOD(52+$C11+(-3),$B$3)+1)*F11+INDEX(Symboles!$G$6:$G$101,MOD(52+$C11+(-2),$B$3)+1)*G11+INDEX(Symboles!$G$6:$G$101,MOD(52+$C11+(-1),$B$3)+1)*H11+INDEX(Symboles!$G$6:$G$101,MOD(52+$C11+(0),$B$3)+1)*I11+INDEX(Symboles!$G$6:$G$101,MOD(52+$C11+(1),$B$3)+1)*J11+INDEX(Symboles!$G$6:$G$101,MOD(52+$C11+(2),$B$3)+1)*K11+INDEX(Symboles!$G$6:$G$101,MOD(52+$C11+(3),$B$3)+1)*L11+INDEX(Symboles!$G$6:$G$101,MOD(52+$C11+(4),$B$3)+1)*M11+IF($B$6=0,0,$B$6*NORMSINV(0.000001+0.999998*RAND())))</f>
        <v/>
      </c>
      <c r="BQ11" s="30">
        <f>IF(54&gt;$B$3,99,INDEX(Symboles!$G$6:$G$101,MOD(53+$C11+(-4),$B$3)+1)*E11+INDEX(Symboles!$G$6:$G$101,MOD(53+$C11+(-3),$B$3)+1)*F11+INDEX(Symboles!$G$6:$G$101,MOD(53+$C11+(-2),$B$3)+1)*G11+INDEX(Symboles!$G$6:$G$101,MOD(53+$C11+(-1),$B$3)+1)*H11+INDEX(Symboles!$G$6:$G$101,MOD(53+$C11+(0),$B$3)+1)*I11+INDEX(Symboles!$G$6:$G$101,MOD(53+$C11+(1),$B$3)+1)*J11+INDEX(Symboles!$G$6:$G$101,MOD(53+$C11+(2),$B$3)+1)*K11+INDEX(Symboles!$G$6:$G$101,MOD(53+$C11+(3),$B$3)+1)*L11+INDEX(Symboles!$G$6:$G$101,MOD(53+$C11+(4),$B$3)+1)*M11+IF($B$6=0,0,$B$6*NORMSINV(0.000001+0.999998*RAND())))</f>
        <v/>
      </c>
      <c r="BR11" s="30">
        <f>IF(55&gt;$B$3,99,INDEX(Symboles!$G$6:$G$101,MOD(54+$C11+(-4),$B$3)+1)*E11+INDEX(Symboles!$G$6:$G$101,MOD(54+$C11+(-3),$B$3)+1)*F11+INDEX(Symboles!$G$6:$G$101,MOD(54+$C11+(-2),$B$3)+1)*G11+INDEX(Symboles!$G$6:$G$101,MOD(54+$C11+(-1),$B$3)+1)*H11+INDEX(Symboles!$G$6:$G$101,MOD(54+$C11+(0),$B$3)+1)*I11+INDEX(Symboles!$G$6:$G$101,MOD(54+$C11+(1),$B$3)+1)*J11+INDEX(Symboles!$G$6:$G$101,MOD(54+$C11+(2),$B$3)+1)*K11+INDEX(Symboles!$G$6:$G$101,MOD(54+$C11+(3),$B$3)+1)*L11+INDEX(Symboles!$G$6:$G$101,MOD(54+$C11+(4),$B$3)+1)*M11+IF($B$6=0,0,$B$6*NORMSINV(0.000001+0.999998*RAND())))</f>
        <v/>
      </c>
      <c r="BS11" s="30">
        <f>IF(56&gt;$B$3,99,INDEX(Symboles!$G$6:$G$101,MOD(55+$C11+(-4),$B$3)+1)*E11+INDEX(Symboles!$G$6:$G$101,MOD(55+$C11+(-3),$B$3)+1)*F11+INDEX(Symboles!$G$6:$G$101,MOD(55+$C11+(-2),$B$3)+1)*G11+INDEX(Symboles!$G$6:$G$101,MOD(55+$C11+(-1),$B$3)+1)*H11+INDEX(Symboles!$G$6:$G$101,MOD(55+$C11+(0),$B$3)+1)*I11+INDEX(Symboles!$G$6:$G$101,MOD(55+$C11+(1),$B$3)+1)*J11+INDEX(Symboles!$G$6:$G$101,MOD(55+$C11+(2),$B$3)+1)*K11+INDEX(Symboles!$G$6:$G$101,MOD(55+$C11+(3),$B$3)+1)*L11+INDEX(Symboles!$G$6:$G$101,MOD(55+$C11+(4),$B$3)+1)*M11+IF($B$6=0,0,$B$6*NORMSINV(0.000001+0.999998*RAND())))</f>
        <v/>
      </c>
      <c r="BT11" s="30">
        <f>IF(57&gt;$B$3,99,INDEX(Symboles!$G$6:$G$101,MOD(56+$C11+(-4),$B$3)+1)*E11+INDEX(Symboles!$G$6:$G$101,MOD(56+$C11+(-3),$B$3)+1)*F11+INDEX(Symboles!$G$6:$G$101,MOD(56+$C11+(-2),$B$3)+1)*G11+INDEX(Symboles!$G$6:$G$101,MOD(56+$C11+(-1),$B$3)+1)*H11+INDEX(Symboles!$G$6:$G$101,MOD(56+$C11+(0),$B$3)+1)*I11+INDEX(Symboles!$G$6:$G$101,MOD(56+$C11+(1),$B$3)+1)*J11+INDEX(Symboles!$G$6:$G$101,MOD(56+$C11+(2),$B$3)+1)*K11+INDEX(Symboles!$G$6:$G$101,MOD(56+$C11+(3),$B$3)+1)*L11+INDEX(Symboles!$G$6:$G$101,MOD(56+$C11+(4),$B$3)+1)*M11+IF($B$6=0,0,$B$6*NORMSINV(0.000001+0.999998*RAND())))</f>
        <v/>
      </c>
      <c r="BU11" s="30">
        <f>IF(58&gt;$B$3,99,INDEX(Symboles!$G$6:$G$101,MOD(57+$C11+(-4),$B$3)+1)*E11+INDEX(Symboles!$G$6:$G$101,MOD(57+$C11+(-3),$B$3)+1)*F11+INDEX(Symboles!$G$6:$G$101,MOD(57+$C11+(-2),$B$3)+1)*G11+INDEX(Symboles!$G$6:$G$101,MOD(57+$C11+(-1),$B$3)+1)*H11+INDEX(Symboles!$G$6:$G$101,MOD(57+$C11+(0),$B$3)+1)*I11+INDEX(Symboles!$G$6:$G$101,MOD(57+$C11+(1),$B$3)+1)*J11+INDEX(Symboles!$G$6:$G$101,MOD(57+$C11+(2),$B$3)+1)*K11+INDEX(Symboles!$G$6:$G$101,MOD(57+$C11+(3),$B$3)+1)*L11+INDEX(Symboles!$G$6:$G$101,MOD(57+$C11+(4),$B$3)+1)*M11+IF($B$6=0,0,$B$6*NORMSINV(0.000001+0.999998*RAND())))</f>
        <v/>
      </c>
      <c r="BV11" s="30">
        <f>IF(59&gt;$B$3,99,INDEX(Symboles!$G$6:$G$101,MOD(58+$C11+(-4),$B$3)+1)*E11+INDEX(Symboles!$G$6:$G$101,MOD(58+$C11+(-3),$B$3)+1)*F11+INDEX(Symboles!$G$6:$G$101,MOD(58+$C11+(-2),$B$3)+1)*G11+INDEX(Symboles!$G$6:$G$101,MOD(58+$C11+(-1),$B$3)+1)*H11+INDEX(Symboles!$G$6:$G$101,MOD(58+$C11+(0),$B$3)+1)*I11+INDEX(Symboles!$G$6:$G$101,MOD(58+$C11+(1),$B$3)+1)*J11+INDEX(Symboles!$G$6:$G$101,MOD(58+$C11+(2),$B$3)+1)*K11+INDEX(Symboles!$G$6:$G$101,MOD(58+$C11+(3),$B$3)+1)*L11+INDEX(Symboles!$G$6:$G$101,MOD(58+$C11+(4),$B$3)+1)*M11+IF($B$6=0,0,$B$6*NORMSINV(0.000001+0.999998*RAND())))</f>
        <v/>
      </c>
      <c r="BW11" s="30">
        <f>IF(60&gt;$B$3,99,INDEX(Symboles!$G$6:$G$101,MOD(59+$C11+(-4),$B$3)+1)*E11+INDEX(Symboles!$G$6:$G$101,MOD(59+$C11+(-3),$B$3)+1)*F11+INDEX(Symboles!$G$6:$G$101,MOD(59+$C11+(-2),$B$3)+1)*G11+INDEX(Symboles!$G$6:$G$101,MOD(59+$C11+(-1),$B$3)+1)*H11+INDEX(Symboles!$G$6:$G$101,MOD(59+$C11+(0),$B$3)+1)*I11+INDEX(Symboles!$G$6:$G$101,MOD(59+$C11+(1),$B$3)+1)*J11+INDEX(Symboles!$G$6:$G$101,MOD(59+$C11+(2),$B$3)+1)*K11+INDEX(Symboles!$G$6:$G$101,MOD(59+$C11+(3),$B$3)+1)*L11+INDEX(Symboles!$G$6:$G$101,MOD(59+$C11+(4),$B$3)+1)*M11+IF($B$6=0,0,$B$6*NORMSINV(0.000001+0.999998*RAND())))</f>
        <v/>
      </c>
      <c r="BX11" s="30">
        <f>IF(61&gt;$B$3,99,INDEX(Symboles!$G$6:$G$101,MOD(60+$C11+(-4),$B$3)+1)*E11+INDEX(Symboles!$G$6:$G$101,MOD(60+$C11+(-3),$B$3)+1)*F11+INDEX(Symboles!$G$6:$G$101,MOD(60+$C11+(-2),$B$3)+1)*G11+INDEX(Symboles!$G$6:$G$101,MOD(60+$C11+(-1),$B$3)+1)*H11+INDEX(Symboles!$G$6:$G$101,MOD(60+$C11+(0),$B$3)+1)*I11+INDEX(Symboles!$G$6:$G$101,MOD(60+$C11+(1),$B$3)+1)*J11+INDEX(Symboles!$G$6:$G$101,MOD(60+$C11+(2),$B$3)+1)*K11+INDEX(Symboles!$G$6:$G$101,MOD(60+$C11+(3),$B$3)+1)*L11+INDEX(Symboles!$G$6:$G$101,MOD(60+$C11+(4),$B$3)+1)*M11+IF($B$6=0,0,$B$6*NORMSINV(0.000001+0.999998*RAND())))</f>
        <v/>
      </c>
      <c r="BY11" s="30">
        <f>IF(62&gt;$B$3,99,INDEX(Symboles!$G$6:$G$101,MOD(61+$C11+(-4),$B$3)+1)*E11+INDEX(Symboles!$G$6:$G$101,MOD(61+$C11+(-3),$B$3)+1)*F11+INDEX(Symboles!$G$6:$G$101,MOD(61+$C11+(-2),$B$3)+1)*G11+INDEX(Symboles!$G$6:$G$101,MOD(61+$C11+(-1),$B$3)+1)*H11+INDEX(Symboles!$G$6:$G$101,MOD(61+$C11+(0),$B$3)+1)*I11+INDEX(Symboles!$G$6:$G$101,MOD(61+$C11+(1),$B$3)+1)*J11+INDEX(Symboles!$G$6:$G$101,MOD(61+$C11+(2),$B$3)+1)*K11+INDEX(Symboles!$G$6:$G$101,MOD(61+$C11+(3),$B$3)+1)*L11+INDEX(Symboles!$G$6:$G$101,MOD(61+$C11+(4),$B$3)+1)*M11+IF($B$6=0,0,$B$6*NORMSINV(0.000001+0.999998*RAND())))</f>
        <v/>
      </c>
      <c r="BZ11" s="30">
        <f>IF(63&gt;$B$3,99,INDEX(Symboles!$G$6:$G$101,MOD(62+$C11+(-4),$B$3)+1)*E11+INDEX(Symboles!$G$6:$G$101,MOD(62+$C11+(-3),$B$3)+1)*F11+INDEX(Symboles!$G$6:$G$101,MOD(62+$C11+(-2),$B$3)+1)*G11+INDEX(Symboles!$G$6:$G$101,MOD(62+$C11+(-1),$B$3)+1)*H11+INDEX(Symboles!$G$6:$G$101,MOD(62+$C11+(0),$B$3)+1)*I11+INDEX(Symboles!$G$6:$G$101,MOD(62+$C11+(1),$B$3)+1)*J11+INDEX(Symboles!$G$6:$G$101,MOD(62+$C11+(2),$B$3)+1)*K11+INDEX(Symboles!$G$6:$G$101,MOD(62+$C11+(3),$B$3)+1)*L11+INDEX(Symboles!$G$6:$G$101,MOD(62+$C11+(4),$B$3)+1)*M11+IF($B$6=0,0,$B$6*NORMSINV(0.000001+0.999998*RAND())))</f>
        <v/>
      </c>
      <c r="CA11" s="30">
        <f>IF(64&gt;$B$3,99,INDEX(Symboles!$G$6:$G$101,MOD(63+$C11+(-4),$B$3)+1)*E11+INDEX(Symboles!$G$6:$G$101,MOD(63+$C11+(-3),$B$3)+1)*F11+INDEX(Symboles!$G$6:$G$101,MOD(63+$C11+(-2),$B$3)+1)*G11+INDEX(Symboles!$G$6:$G$101,MOD(63+$C11+(-1),$B$3)+1)*H11+INDEX(Symboles!$G$6:$G$101,MOD(63+$C11+(0),$B$3)+1)*I11+INDEX(Symboles!$G$6:$G$101,MOD(63+$C11+(1),$B$3)+1)*J11+INDEX(Symboles!$G$6:$G$101,MOD(63+$C11+(2),$B$3)+1)*K11+INDEX(Symboles!$G$6:$G$101,MOD(63+$C11+(3),$B$3)+1)*L11+INDEX(Symboles!$G$6:$G$101,MOD(63+$C11+(4),$B$3)+1)*M11+IF($B$6=0,0,$B$6*NORMSINV(0.000001+0.999998*RAND())))</f>
        <v/>
      </c>
      <c r="CB11" s="30">
        <f>IF(65&gt;$B$3,99,INDEX(Symboles!$G$6:$G$101,MOD(64+$C11+(-4),$B$3)+1)*E11+INDEX(Symboles!$G$6:$G$101,MOD(64+$C11+(-3),$B$3)+1)*F11+INDEX(Symboles!$G$6:$G$101,MOD(64+$C11+(-2),$B$3)+1)*G11+INDEX(Symboles!$G$6:$G$101,MOD(64+$C11+(-1),$B$3)+1)*H11+INDEX(Symboles!$G$6:$G$101,MOD(64+$C11+(0),$B$3)+1)*I11+INDEX(Symboles!$G$6:$G$101,MOD(64+$C11+(1),$B$3)+1)*J11+INDEX(Symboles!$G$6:$G$101,MOD(64+$C11+(2),$B$3)+1)*K11+INDEX(Symboles!$G$6:$G$101,MOD(64+$C11+(3),$B$3)+1)*L11+INDEX(Symboles!$G$6:$G$101,MOD(64+$C11+(4),$B$3)+1)*M11+IF($B$6=0,0,$B$6*NORMSINV(0.000001+0.999998*RAND())))</f>
        <v/>
      </c>
      <c r="CC11" s="30">
        <f>IF(66&gt;$B$3,99,INDEX(Symboles!$G$6:$G$101,MOD(65+$C11+(-4),$B$3)+1)*E11+INDEX(Symboles!$G$6:$G$101,MOD(65+$C11+(-3),$B$3)+1)*F11+INDEX(Symboles!$G$6:$G$101,MOD(65+$C11+(-2),$B$3)+1)*G11+INDEX(Symboles!$G$6:$G$101,MOD(65+$C11+(-1),$B$3)+1)*H11+INDEX(Symboles!$G$6:$G$101,MOD(65+$C11+(0),$B$3)+1)*I11+INDEX(Symboles!$G$6:$G$101,MOD(65+$C11+(1),$B$3)+1)*J11+INDEX(Symboles!$G$6:$G$101,MOD(65+$C11+(2),$B$3)+1)*K11+INDEX(Symboles!$G$6:$G$101,MOD(65+$C11+(3),$B$3)+1)*L11+INDEX(Symboles!$G$6:$G$101,MOD(65+$C11+(4),$B$3)+1)*M11+IF($B$6=0,0,$B$6*NORMSINV(0.000001+0.999998*RAND())))</f>
        <v/>
      </c>
      <c r="CD11" s="30">
        <f>IF(67&gt;$B$3,99,INDEX(Symboles!$G$6:$G$101,MOD(66+$C11+(-4),$B$3)+1)*E11+INDEX(Symboles!$G$6:$G$101,MOD(66+$C11+(-3),$B$3)+1)*F11+INDEX(Symboles!$G$6:$G$101,MOD(66+$C11+(-2),$B$3)+1)*G11+INDEX(Symboles!$G$6:$G$101,MOD(66+$C11+(-1),$B$3)+1)*H11+INDEX(Symboles!$G$6:$G$101,MOD(66+$C11+(0),$B$3)+1)*I11+INDEX(Symboles!$G$6:$G$101,MOD(66+$C11+(1),$B$3)+1)*J11+INDEX(Symboles!$G$6:$G$101,MOD(66+$C11+(2),$B$3)+1)*K11+INDEX(Symboles!$G$6:$G$101,MOD(66+$C11+(3),$B$3)+1)*L11+INDEX(Symboles!$G$6:$G$101,MOD(66+$C11+(4),$B$3)+1)*M11+IF($B$6=0,0,$B$6*NORMSINV(0.000001+0.999998*RAND())))</f>
        <v/>
      </c>
      <c r="CE11" s="30">
        <f>IF(68&gt;$B$3,99,INDEX(Symboles!$G$6:$G$101,MOD(67+$C11+(-4),$B$3)+1)*E11+INDEX(Symboles!$G$6:$G$101,MOD(67+$C11+(-3),$B$3)+1)*F11+INDEX(Symboles!$G$6:$G$101,MOD(67+$C11+(-2),$B$3)+1)*G11+INDEX(Symboles!$G$6:$G$101,MOD(67+$C11+(-1),$B$3)+1)*H11+INDEX(Symboles!$G$6:$G$101,MOD(67+$C11+(0),$B$3)+1)*I11+INDEX(Symboles!$G$6:$G$101,MOD(67+$C11+(1),$B$3)+1)*J11+INDEX(Symboles!$G$6:$G$101,MOD(67+$C11+(2),$B$3)+1)*K11+INDEX(Symboles!$G$6:$G$101,MOD(67+$C11+(3),$B$3)+1)*L11+INDEX(Symboles!$G$6:$G$101,MOD(67+$C11+(4),$B$3)+1)*M11+IF($B$6=0,0,$B$6*NORMSINV(0.000001+0.999998*RAND())))</f>
        <v/>
      </c>
      <c r="CF11" s="30">
        <f>IF(69&gt;$B$3,99,INDEX(Symboles!$G$6:$G$101,MOD(68+$C11+(-4),$B$3)+1)*E11+INDEX(Symboles!$G$6:$G$101,MOD(68+$C11+(-3),$B$3)+1)*F11+INDEX(Symboles!$G$6:$G$101,MOD(68+$C11+(-2),$B$3)+1)*G11+INDEX(Symboles!$G$6:$G$101,MOD(68+$C11+(-1),$B$3)+1)*H11+INDEX(Symboles!$G$6:$G$101,MOD(68+$C11+(0),$B$3)+1)*I11+INDEX(Symboles!$G$6:$G$101,MOD(68+$C11+(1),$B$3)+1)*J11+INDEX(Symboles!$G$6:$G$101,MOD(68+$C11+(2),$B$3)+1)*K11+INDEX(Symboles!$G$6:$G$101,MOD(68+$C11+(3),$B$3)+1)*L11+INDEX(Symboles!$G$6:$G$101,MOD(68+$C11+(4),$B$3)+1)*M11+IF($B$6=0,0,$B$6*NORMSINV(0.000001+0.999998*RAND())))</f>
        <v/>
      </c>
      <c r="CG11" s="30">
        <f>IF(70&gt;$B$3,99,INDEX(Symboles!$G$6:$G$101,MOD(69+$C11+(-4),$B$3)+1)*E11+INDEX(Symboles!$G$6:$G$101,MOD(69+$C11+(-3),$B$3)+1)*F11+INDEX(Symboles!$G$6:$G$101,MOD(69+$C11+(-2),$B$3)+1)*G11+INDEX(Symboles!$G$6:$G$101,MOD(69+$C11+(-1),$B$3)+1)*H11+INDEX(Symboles!$G$6:$G$101,MOD(69+$C11+(0),$B$3)+1)*I11+INDEX(Symboles!$G$6:$G$101,MOD(69+$C11+(1),$B$3)+1)*J11+INDEX(Symboles!$G$6:$G$101,MOD(69+$C11+(2),$B$3)+1)*K11+INDEX(Symboles!$G$6:$G$101,MOD(69+$C11+(3),$B$3)+1)*L11+INDEX(Symboles!$G$6:$G$101,MOD(69+$C11+(4),$B$3)+1)*M11+IF($B$6=0,0,$B$6*NORMSINV(0.000001+0.999998*RAND())))</f>
        <v/>
      </c>
      <c r="CH11" s="30">
        <f>IF(71&gt;$B$3,99,INDEX(Symboles!$G$6:$G$101,MOD(70+$C11+(-4),$B$3)+1)*E11+INDEX(Symboles!$G$6:$G$101,MOD(70+$C11+(-3),$B$3)+1)*F11+INDEX(Symboles!$G$6:$G$101,MOD(70+$C11+(-2),$B$3)+1)*G11+INDEX(Symboles!$G$6:$G$101,MOD(70+$C11+(-1),$B$3)+1)*H11+INDEX(Symboles!$G$6:$G$101,MOD(70+$C11+(0),$B$3)+1)*I11+INDEX(Symboles!$G$6:$G$101,MOD(70+$C11+(1),$B$3)+1)*J11+INDEX(Symboles!$G$6:$G$101,MOD(70+$C11+(2),$B$3)+1)*K11+INDEX(Symboles!$G$6:$G$101,MOD(70+$C11+(3),$B$3)+1)*L11+INDEX(Symboles!$G$6:$G$101,MOD(70+$C11+(4),$B$3)+1)*M11+IF($B$6=0,0,$B$6*NORMSINV(0.000001+0.999998*RAND())))</f>
        <v/>
      </c>
      <c r="CI11" s="30">
        <f>IF(72&gt;$B$3,99,INDEX(Symboles!$G$6:$G$101,MOD(71+$C11+(-4),$B$3)+1)*E11+INDEX(Symboles!$G$6:$G$101,MOD(71+$C11+(-3),$B$3)+1)*F11+INDEX(Symboles!$G$6:$G$101,MOD(71+$C11+(-2),$B$3)+1)*G11+INDEX(Symboles!$G$6:$G$101,MOD(71+$C11+(-1),$B$3)+1)*H11+INDEX(Symboles!$G$6:$G$101,MOD(71+$C11+(0),$B$3)+1)*I11+INDEX(Symboles!$G$6:$G$101,MOD(71+$C11+(1),$B$3)+1)*J11+INDEX(Symboles!$G$6:$G$101,MOD(71+$C11+(2),$B$3)+1)*K11+INDEX(Symboles!$G$6:$G$101,MOD(71+$C11+(3),$B$3)+1)*L11+INDEX(Symboles!$G$6:$G$101,MOD(71+$C11+(4),$B$3)+1)*M11+IF($B$6=0,0,$B$6*NORMSINV(0.000001+0.999998*RAND())))</f>
        <v/>
      </c>
      <c r="CJ11" s="30">
        <f>IF(73&gt;$B$3,99,INDEX(Symboles!$G$6:$G$101,MOD(72+$C11+(-4),$B$3)+1)*E11+INDEX(Symboles!$G$6:$G$101,MOD(72+$C11+(-3),$B$3)+1)*F11+INDEX(Symboles!$G$6:$G$101,MOD(72+$C11+(-2),$B$3)+1)*G11+INDEX(Symboles!$G$6:$G$101,MOD(72+$C11+(-1),$B$3)+1)*H11+INDEX(Symboles!$G$6:$G$101,MOD(72+$C11+(0),$B$3)+1)*I11+INDEX(Symboles!$G$6:$G$101,MOD(72+$C11+(1),$B$3)+1)*J11+INDEX(Symboles!$G$6:$G$101,MOD(72+$C11+(2),$B$3)+1)*K11+INDEX(Symboles!$G$6:$G$101,MOD(72+$C11+(3),$B$3)+1)*L11+INDEX(Symboles!$G$6:$G$101,MOD(72+$C11+(4),$B$3)+1)*M11+IF($B$6=0,0,$B$6*NORMSINV(0.000001+0.999998*RAND())))</f>
        <v/>
      </c>
      <c r="CK11" s="30">
        <f>IF(74&gt;$B$3,99,INDEX(Symboles!$G$6:$G$101,MOD(73+$C11+(-4),$B$3)+1)*E11+INDEX(Symboles!$G$6:$G$101,MOD(73+$C11+(-3),$B$3)+1)*F11+INDEX(Symboles!$G$6:$G$101,MOD(73+$C11+(-2),$B$3)+1)*G11+INDEX(Symboles!$G$6:$G$101,MOD(73+$C11+(-1),$B$3)+1)*H11+INDEX(Symboles!$G$6:$G$101,MOD(73+$C11+(0),$B$3)+1)*I11+INDEX(Symboles!$G$6:$G$101,MOD(73+$C11+(1),$B$3)+1)*J11+INDEX(Symboles!$G$6:$G$101,MOD(73+$C11+(2),$B$3)+1)*K11+INDEX(Symboles!$G$6:$G$101,MOD(73+$C11+(3),$B$3)+1)*L11+INDEX(Symboles!$G$6:$G$101,MOD(73+$C11+(4),$B$3)+1)*M11+IF($B$6=0,0,$B$6*NORMSINV(0.000001+0.999998*RAND())))</f>
        <v/>
      </c>
      <c r="CL11" s="30">
        <f>IF(75&gt;$B$3,99,INDEX(Symboles!$G$6:$G$101,MOD(74+$C11+(-4),$B$3)+1)*E11+INDEX(Symboles!$G$6:$G$101,MOD(74+$C11+(-3),$B$3)+1)*F11+INDEX(Symboles!$G$6:$G$101,MOD(74+$C11+(-2),$B$3)+1)*G11+INDEX(Symboles!$G$6:$G$101,MOD(74+$C11+(-1),$B$3)+1)*H11+INDEX(Symboles!$G$6:$G$101,MOD(74+$C11+(0),$B$3)+1)*I11+INDEX(Symboles!$G$6:$G$101,MOD(74+$C11+(1),$B$3)+1)*J11+INDEX(Symboles!$G$6:$G$101,MOD(74+$C11+(2),$B$3)+1)*K11+INDEX(Symboles!$G$6:$G$101,MOD(74+$C11+(3),$B$3)+1)*L11+INDEX(Symboles!$G$6:$G$101,MOD(74+$C11+(4),$B$3)+1)*M11+IF($B$6=0,0,$B$6*NORMSINV(0.000001+0.999998*RAND())))</f>
        <v/>
      </c>
      <c r="CM11" s="30">
        <f>IF(76&gt;$B$3,99,INDEX(Symboles!$G$6:$G$101,MOD(75+$C11+(-4),$B$3)+1)*E11+INDEX(Symboles!$G$6:$G$101,MOD(75+$C11+(-3),$B$3)+1)*F11+INDEX(Symboles!$G$6:$G$101,MOD(75+$C11+(-2),$B$3)+1)*G11+INDEX(Symboles!$G$6:$G$101,MOD(75+$C11+(-1),$B$3)+1)*H11+INDEX(Symboles!$G$6:$G$101,MOD(75+$C11+(0),$B$3)+1)*I11+INDEX(Symboles!$G$6:$G$101,MOD(75+$C11+(1),$B$3)+1)*J11+INDEX(Symboles!$G$6:$G$101,MOD(75+$C11+(2),$B$3)+1)*K11+INDEX(Symboles!$G$6:$G$101,MOD(75+$C11+(3),$B$3)+1)*L11+INDEX(Symboles!$G$6:$G$101,MOD(75+$C11+(4),$B$3)+1)*M11+IF($B$6=0,0,$B$6*NORMSINV(0.000001+0.999998*RAND())))</f>
        <v/>
      </c>
      <c r="CN11" s="30">
        <f>IF(77&gt;$B$3,99,INDEX(Symboles!$G$6:$G$101,MOD(76+$C11+(-4),$B$3)+1)*E11+INDEX(Symboles!$G$6:$G$101,MOD(76+$C11+(-3),$B$3)+1)*F11+INDEX(Symboles!$G$6:$G$101,MOD(76+$C11+(-2),$B$3)+1)*G11+INDEX(Symboles!$G$6:$G$101,MOD(76+$C11+(-1),$B$3)+1)*H11+INDEX(Symboles!$G$6:$G$101,MOD(76+$C11+(0),$B$3)+1)*I11+INDEX(Symboles!$G$6:$G$101,MOD(76+$C11+(1),$B$3)+1)*J11+INDEX(Symboles!$G$6:$G$101,MOD(76+$C11+(2),$B$3)+1)*K11+INDEX(Symboles!$G$6:$G$101,MOD(76+$C11+(3),$B$3)+1)*L11+INDEX(Symboles!$G$6:$G$101,MOD(76+$C11+(4),$B$3)+1)*M11+IF($B$6=0,0,$B$6*NORMSINV(0.000001+0.999998*RAND())))</f>
        <v/>
      </c>
      <c r="CO11" s="30">
        <f>IF(78&gt;$B$3,99,INDEX(Symboles!$G$6:$G$101,MOD(77+$C11+(-4),$B$3)+1)*E11+INDEX(Symboles!$G$6:$G$101,MOD(77+$C11+(-3),$B$3)+1)*F11+INDEX(Symboles!$G$6:$G$101,MOD(77+$C11+(-2),$B$3)+1)*G11+INDEX(Symboles!$G$6:$G$101,MOD(77+$C11+(-1),$B$3)+1)*H11+INDEX(Symboles!$G$6:$G$101,MOD(77+$C11+(0),$B$3)+1)*I11+INDEX(Symboles!$G$6:$G$101,MOD(77+$C11+(1),$B$3)+1)*J11+INDEX(Symboles!$G$6:$G$101,MOD(77+$C11+(2),$B$3)+1)*K11+INDEX(Symboles!$G$6:$G$101,MOD(77+$C11+(3),$B$3)+1)*L11+INDEX(Symboles!$G$6:$G$101,MOD(77+$C11+(4),$B$3)+1)*M11+IF($B$6=0,0,$B$6*NORMSINV(0.000001+0.999998*RAND())))</f>
        <v/>
      </c>
      <c r="CP11" s="30">
        <f>IF(79&gt;$B$3,99,INDEX(Symboles!$G$6:$G$101,MOD(78+$C11+(-4),$B$3)+1)*E11+INDEX(Symboles!$G$6:$G$101,MOD(78+$C11+(-3),$B$3)+1)*F11+INDEX(Symboles!$G$6:$G$101,MOD(78+$C11+(-2),$B$3)+1)*G11+INDEX(Symboles!$G$6:$G$101,MOD(78+$C11+(-1),$B$3)+1)*H11+INDEX(Symboles!$G$6:$G$101,MOD(78+$C11+(0),$B$3)+1)*I11+INDEX(Symboles!$G$6:$G$101,MOD(78+$C11+(1),$B$3)+1)*J11+INDEX(Symboles!$G$6:$G$101,MOD(78+$C11+(2),$B$3)+1)*K11+INDEX(Symboles!$G$6:$G$101,MOD(78+$C11+(3),$B$3)+1)*L11+INDEX(Symboles!$G$6:$G$101,MOD(78+$C11+(4),$B$3)+1)*M11+IF($B$6=0,0,$B$6*NORMSINV(0.000001+0.999998*RAND())))</f>
        <v/>
      </c>
      <c r="CQ11" s="30">
        <f>IF(80&gt;$B$3,99,INDEX(Symboles!$G$6:$G$101,MOD(79+$C11+(-4),$B$3)+1)*E11+INDEX(Symboles!$G$6:$G$101,MOD(79+$C11+(-3),$B$3)+1)*F11+INDEX(Symboles!$G$6:$G$101,MOD(79+$C11+(-2),$B$3)+1)*G11+INDEX(Symboles!$G$6:$G$101,MOD(79+$C11+(-1),$B$3)+1)*H11+INDEX(Symboles!$G$6:$G$101,MOD(79+$C11+(0),$B$3)+1)*I11+INDEX(Symboles!$G$6:$G$101,MOD(79+$C11+(1),$B$3)+1)*J11+INDEX(Symboles!$G$6:$G$101,MOD(79+$C11+(2),$B$3)+1)*K11+INDEX(Symboles!$G$6:$G$101,MOD(79+$C11+(3),$B$3)+1)*L11+INDEX(Symboles!$G$6:$G$101,MOD(79+$C11+(4),$B$3)+1)*M11+IF($B$6=0,0,$B$6*NORMSINV(0.000001+0.999998*RAND())))</f>
        <v/>
      </c>
      <c r="CR11" s="30">
        <f>IF(81&gt;$B$3,99,INDEX(Symboles!$G$6:$G$101,MOD(80+$C11+(-4),$B$3)+1)*E11+INDEX(Symboles!$G$6:$G$101,MOD(80+$C11+(-3),$B$3)+1)*F11+INDEX(Symboles!$G$6:$G$101,MOD(80+$C11+(-2),$B$3)+1)*G11+INDEX(Symboles!$G$6:$G$101,MOD(80+$C11+(-1),$B$3)+1)*H11+INDEX(Symboles!$G$6:$G$101,MOD(80+$C11+(0),$B$3)+1)*I11+INDEX(Symboles!$G$6:$G$101,MOD(80+$C11+(1),$B$3)+1)*J11+INDEX(Symboles!$G$6:$G$101,MOD(80+$C11+(2),$B$3)+1)*K11+INDEX(Symboles!$G$6:$G$101,MOD(80+$C11+(3),$B$3)+1)*L11+INDEX(Symboles!$G$6:$G$101,MOD(80+$C11+(4),$B$3)+1)*M11+IF($B$6=0,0,$B$6*NORMSINV(0.000001+0.999998*RAND())))</f>
        <v/>
      </c>
      <c r="CS11" s="30">
        <f>IF(82&gt;$B$3,99,INDEX(Symboles!$G$6:$G$101,MOD(81+$C11+(-4),$B$3)+1)*E11+INDEX(Symboles!$G$6:$G$101,MOD(81+$C11+(-3),$B$3)+1)*F11+INDEX(Symboles!$G$6:$G$101,MOD(81+$C11+(-2),$B$3)+1)*G11+INDEX(Symboles!$G$6:$G$101,MOD(81+$C11+(-1),$B$3)+1)*H11+INDEX(Symboles!$G$6:$G$101,MOD(81+$C11+(0),$B$3)+1)*I11+INDEX(Symboles!$G$6:$G$101,MOD(81+$C11+(1),$B$3)+1)*J11+INDEX(Symboles!$G$6:$G$101,MOD(81+$C11+(2),$B$3)+1)*K11+INDEX(Symboles!$G$6:$G$101,MOD(81+$C11+(3),$B$3)+1)*L11+INDEX(Symboles!$G$6:$G$101,MOD(81+$C11+(4),$B$3)+1)*M11+IF($B$6=0,0,$B$6*NORMSINV(0.000001+0.999998*RAND())))</f>
        <v/>
      </c>
      <c r="CT11" s="30">
        <f>IF(83&gt;$B$3,99,INDEX(Symboles!$G$6:$G$101,MOD(82+$C11+(-4),$B$3)+1)*E11+INDEX(Symboles!$G$6:$G$101,MOD(82+$C11+(-3),$B$3)+1)*F11+INDEX(Symboles!$G$6:$G$101,MOD(82+$C11+(-2),$B$3)+1)*G11+INDEX(Symboles!$G$6:$G$101,MOD(82+$C11+(-1),$B$3)+1)*H11+INDEX(Symboles!$G$6:$G$101,MOD(82+$C11+(0),$B$3)+1)*I11+INDEX(Symboles!$G$6:$G$101,MOD(82+$C11+(1),$B$3)+1)*J11+INDEX(Symboles!$G$6:$G$101,MOD(82+$C11+(2),$B$3)+1)*K11+INDEX(Symboles!$G$6:$G$101,MOD(82+$C11+(3),$B$3)+1)*L11+INDEX(Symboles!$G$6:$G$101,MOD(82+$C11+(4),$B$3)+1)*M11+IF($B$6=0,0,$B$6*NORMSINV(0.000001+0.999998*RAND())))</f>
        <v/>
      </c>
      <c r="CU11" s="30">
        <f>IF(84&gt;$B$3,99,INDEX(Symboles!$G$6:$G$101,MOD(83+$C11+(-4),$B$3)+1)*E11+INDEX(Symboles!$G$6:$G$101,MOD(83+$C11+(-3),$B$3)+1)*F11+INDEX(Symboles!$G$6:$G$101,MOD(83+$C11+(-2),$B$3)+1)*G11+INDEX(Symboles!$G$6:$G$101,MOD(83+$C11+(-1),$B$3)+1)*H11+INDEX(Symboles!$G$6:$G$101,MOD(83+$C11+(0),$B$3)+1)*I11+INDEX(Symboles!$G$6:$G$101,MOD(83+$C11+(1),$B$3)+1)*J11+INDEX(Symboles!$G$6:$G$101,MOD(83+$C11+(2),$B$3)+1)*K11+INDEX(Symboles!$G$6:$G$101,MOD(83+$C11+(3),$B$3)+1)*L11+INDEX(Symboles!$G$6:$G$101,MOD(83+$C11+(4),$B$3)+1)*M11+IF($B$6=0,0,$B$6*NORMSINV(0.000001+0.999998*RAND())))</f>
        <v/>
      </c>
      <c r="CV11" s="30">
        <f>IF(85&gt;$B$3,99,INDEX(Symboles!$G$6:$G$101,MOD(84+$C11+(-4),$B$3)+1)*E11+INDEX(Symboles!$G$6:$G$101,MOD(84+$C11+(-3),$B$3)+1)*F11+INDEX(Symboles!$G$6:$G$101,MOD(84+$C11+(-2),$B$3)+1)*G11+INDEX(Symboles!$G$6:$G$101,MOD(84+$C11+(-1),$B$3)+1)*H11+INDEX(Symboles!$G$6:$G$101,MOD(84+$C11+(0),$B$3)+1)*I11+INDEX(Symboles!$G$6:$G$101,MOD(84+$C11+(1),$B$3)+1)*J11+INDEX(Symboles!$G$6:$G$101,MOD(84+$C11+(2),$B$3)+1)*K11+INDEX(Symboles!$G$6:$G$101,MOD(84+$C11+(3),$B$3)+1)*L11+INDEX(Symboles!$G$6:$G$101,MOD(84+$C11+(4),$B$3)+1)*M11+IF($B$6=0,0,$B$6*NORMSINV(0.000001+0.999998*RAND())))</f>
        <v/>
      </c>
      <c r="CW11" s="30">
        <f>IF(86&gt;$B$3,99,INDEX(Symboles!$G$6:$G$101,MOD(85+$C11+(-4),$B$3)+1)*E11+INDEX(Symboles!$G$6:$G$101,MOD(85+$C11+(-3),$B$3)+1)*F11+INDEX(Symboles!$G$6:$G$101,MOD(85+$C11+(-2),$B$3)+1)*G11+INDEX(Symboles!$G$6:$G$101,MOD(85+$C11+(-1),$B$3)+1)*H11+INDEX(Symboles!$G$6:$G$101,MOD(85+$C11+(0),$B$3)+1)*I11+INDEX(Symboles!$G$6:$G$101,MOD(85+$C11+(1),$B$3)+1)*J11+INDEX(Symboles!$G$6:$G$101,MOD(85+$C11+(2),$B$3)+1)*K11+INDEX(Symboles!$G$6:$G$101,MOD(85+$C11+(3),$B$3)+1)*L11+INDEX(Symboles!$G$6:$G$101,MOD(85+$C11+(4),$B$3)+1)*M11+IF($B$6=0,0,$B$6*NORMSINV(0.000001+0.999998*RAND())))</f>
        <v/>
      </c>
      <c r="CX11" s="30">
        <f>IF(87&gt;$B$3,99,INDEX(Symboles!$G$6:$G$101,MOD(86+$C11+(-4),$B$3)+1)*E11+INDEX(Symboles!$G$6:$G$101,MOD(86+$C11+(-3),$B$3)+1)*F11+INDEX(Symboles!$G$6:$G$101,MOD(86+$C11+(-2),$B$3)+1)*G11+INDEX(Symboles!$G$6:$G$101,MOD(86+$C11+(-1),$B$3)+1)*H11+INDEX(Symboles!$G$6:$G$101,MOD(86+$C11+(0),$B$3)+1)*I11+INDEX(Symboles!$G$6:$G$101,MOD(86+$C11+(1),$B$3)+1)*J11+INDEX(Symboles!$G$6:$G$101,MOD(86+$C11+(2),$B$3)+1)*K11+INDEX(Symboles!$G$6:$G$101,MOD(86+$C11+(3),$B$3)+1)*L11+INDEX(Symboles!$G$6:$G$101,MOD(86+$C11+(4),$B$3)+1)*M11+IF($B$6=0,0,$B$6*NORMSINV(0.000001+0.999998*RAND())))</f>
        <v/>
      </c>
      <c r="CY11" s="30">
        <f>IF(88&gt;$B$3,99,INDEX(Symboles!$G$6:$G$101,MOD(87+$C11+(-4),$B$3)+1)*E11+INDEX(Symboles!$G$6:$G$101,MOD(87+$C11+(-3),$B$3)+1)*F11+INDEX(Symboles!$G$6:$G$101,MOD(87+$C11+(-2),$B$3)+1)*G11+INDEX(Symboles!$G$6:$G$101,MOD(87+$C11+(-1),$B$3)+1)*H11+INDEX(Symboles!$G$6:$G$101,MOD(87+$C11+(0),$B$3)+1)*I11+INDEX(Symboles!$G$6:$G$101,MOD(87+$C11+(1),$B$3)+1)*J11+INDEX(Symboles!$G$6:$G$101,MOD(87+$C11+(2),$B$3)+1)*K11+INDEX(Symboles!$G$6:$G$101,MOD(87+$C11+(3),$B$3)+1)*L11+INDEX(Symboles!$G$6:$G$101,MOD(87+$C11+(4),$B$3)+1)*M11+IF($B$6=0,0,$B$6*NORMSINV(0.000001+0.999998*RAND())))</f>
        <v/>
      </c>
      <c r="CZ11" s="30">
        <f>IF(89&gt;$B$3,99,INDEX(Symboles!$G$6:$G$101,MOD(88+$C11+(-4),$B$3)+1)*E11+INDEX(Symboles!$G$6:$G$101,MOD(88+$C11+(-3),$B$3)+1)*F11+INDEX(Symboles!$G$6:$G$101,MOD(88+$C11+(-2),$B$3)+1)*G11+INDEX(Symboles!$G$6:$G$101,MOD(88+$C11+(-1),$B$3)+1)*H11+INDEX(Symboles!$G$6:$G$101,MOD(88+$C11+(0),$B$3)+1)*I11+INDEX(Symboles!$G$6:$G$101,MOD(88+$C11+(1),$B$3)+1)*J11+INDEX(Symboles!$G$6:$G$101,MOD(88+$C11+(2),$B$3)+1)*K11+INDEX(Symboles!$G$6:$G$101,MOD(88+$C11+(3),$B$3)+1)*L11+INDEX(Symboles!$G$6:$G$101,MOD(88+$C11+(4),$B$3)+1)*M11+IF($B$6=0,0,$B$6*NORMSINV(0.000001+0.999998*RAND())))</f>
        <v/>
      </c>
      <c r="DA11" s="30">
        <f>IF(90&gt;$B$3,99,INDEX(Symboles!$G$6:$G$101,MOD(89+$C11+(-4),$B$3)+1)*E11+INDEX(Symboles!$G$6:$G$101,MOD(89+$C11+(-3),$B$3)+1)*F11+INDEX(Symboles!$G$6:$G$101,MOD(89+$C11+(-2),$B$3)+1)*G11+INDEX(Symboles!$G$6:$G$101,MOD(89+$C11+(-1),$B$3)+1)*H11+INDEX(Symboles!$G$6:$G$101,MOD(89+$C11+(0),$B$3)+1)*I11+INDEX(Symboles!$G$6:$G$101,MOD(89+$C11+(1),$B$3)+1)*J11+INDEX(Symboles!$G$6:$G$101,MOD(89+$C11+(2),$B$3)+1)*K11+INDEX(Symboles!$G$6:$G$101,MOD(89+$C11+(3),$B$3)+1)*L11+INDEX(Symboles!$G$6:$G$101,MOD(89+$C11+(4),$B$3)+1)*M11+IF($B$6=0,0,$B$6*NORMSINV(0.000001+0.999998*RAND())))</f>
        <v/>
      </c>
      <c r="DB11" s="30">
        <f>IF(91&gt;$B$3,99,INDEX(Symboles!$G$6:$G$101,MOD(90+$C11+(-4),$B$3)+1)*E11+INDEX(Symboles!$G$6:$G$101,MOD(90+$C11+(-3),$B$3)+1)*F11+INDEX(Symboles!$G$6:$G$101,MOD(90+$C11+(-2),$B$3)+1)*G11+INDEX(Symboles!$G$6:$G$101,MOD(90+$C11+(-1),$B$3)+1)*H11+INDEX(Symboles!$G$6:$G$101,MOD(90+$C11+(0),$B$3)+1)*I11+INDEX(Symboles!$G$6:$G$101,MOD(90+$C11+(1),$B$3)+1)*J11+INDEX(Symboles!$G$6:$G$101,MOD(90+$C11+(2),$B$3)+1)*K11+INDEX(Symboles!$G$6:$G$101,MOD(90+$C11+(3),$B$3)+1)*L11+INDEX(Symboles!$G$6:$G$101,MOD(90+$C11+(4),$B$3)+1)*M11+IF($B$6=0,0,$B$6*NORMSINV(0.000001+0.999998*RAND())))</f>
        <v/>
      </c>
      <c r="DC11" s="30">
        <f>IF(92&gt;$B$3,99,INDEX(Symboles!$G$6:$G$101,MOD(91+$C11+(-4),$B$3)+1)*E11+INDEX(Symboles!$G$6:$G$101,MOD(91+$C11+(-3),$B$3)+1)*F11+INDEX(Symboles!$G$6:$G$101,MOD(91+$C11+(-2),$B$3)+1)*G11+INDEX(Symboles!$G$6:$G$101,MOD(91+$C11+(-1),$B$3)+1)*H11+INDEX(Symboles!$G$6:$G$101,MOD(91+$C11+(0),$B$3)+1)*I11+INDEX(Symboles!$G$6:$G$101,MOD(91+$C11+(1),$B$3)+1)*J11+INDEX(Symboles!$G$6:$G$101,MOD(91+$C11+(2),$B$3)+1)*K11+INDEX(Symboles!$G$6:$G$101,MOD(91+$C11+(3),$B$3)+1)*L11+INDEX(Symboles!$G$6:$G$101,MOD(91+$C11+(4),$B$3)+1)*M11+IF($B$6=0,0,$B$6*NORMSINV(0.000001+0.999998*RAND())))</f>
        <v/>
      </c>
      <c r="DD11" s="30">
        <f>IF(93&gt;$B$3,99,INDEX(Symboles!$G$6:$G$101,MOD(92+$C11+(-4),$B$3)+1)*E11+INDEX(Symboles!$G$6:$G$101,MOD(92+$C11+(-3),$B$3)+1)*F11+INDEX(Symboles!$G$6:$G$101,MOD(92+$C11+(-2),$B$3)+1)*G11+INDEX(Symboles!$G$6:$G$101,MOD(92+$C11+(-1),$B$3)+1)*H11+INDEX(Symboles!$G$6:$G$101,MOD(92+$C11+(0),$B$3)+1)*I11+INDEX(Symboles!$G$6:$G$101,MOD(92+$C11+(1),$B$3)+1)*J11+INDEX(Symboles!$G$6:$G$101,MOD(92+$C11+(2),$B$3)+1)*K11+INDEX(Symboles!$G$6:$G$101,MOD(92+$C11+(3),$B$3)+1)*L11+INDEX(Symboles!$G$6:$G$101,MOD(92+$C11+(4),$B$3)+1)*M11+IF($B$6=0,0,$B$6*NORMSINV(0.000001+0.999998*RAND())))</f>
        <v/>
      </c>
      <c r="DE11" s="30">
        <f>IF(94&gt;$B$3,99,INDEX(Symboles!$G$6:$G$101,MOD(93+$C11+(-4),$B$3)+1)*E11+INDEX(Symboles!$G$6:$G$101,MOD(93+$C11+(-3),$B$3)+1)*F11+INDEX(Symboles!$G$6:$G$101,MOD(93+$C11+(-2),$B$3)+1)*G11+INDEX(Symboles!$G$6:$G$101,MOD(93+$C11+(-1),$B$3)+1)*H11+INDEX(Symboles!$G$6:$G$101,MOD(93+$C11+(0),$B$3)+1)*I11+INDEX(Symboles!$G$6:$G$101,MOD(93+$C11+(1),$B$3)+1)*J11+INDEX(Symboles!$G$6:$G$101,MOD(93+$C11+(2),$B$3)+1)*K11+INDEX(Symboles!$G$6:$G$101,MOD(93+$C11+(3),$B$3)+1)*L11+INDEX(Symboles!$G$6:$G$101,MOD(93+$C11+(4),$B$3)+1)*M11+IF($B$6=0,0,$B$6*NORMSINV(0.000001+0.999998*RAND())))</f>
        <v/>
      </c>
      <c r="DF11" s="30">
        <f>IF(95&gt;$B$3,99,INDEX(Symboles!$G$6:$G$101,MOD(94+$C11+(-4),$B$3)+1)*E11+INDEX(Symboles!$G$6:$G$101,MOD(94+$C11+(-3),$B$3)+1)*F11+INDEX(Symboles!$G$6:$G$101,MOD(94+$C11+(-2),$B$3)+1)*G11+INDEX(Symboles!$G$6:$G$101,MOD(94+$C11+(-1),$B$3)+1)*H11+INDEX(Symboles!$G$6:$G$101,MOD(94+$C11+(0),$B$3)+1)*I11+INDEX(Symboles!$G$6:$G$101,MOD(94+$C11+(1),$B$3)+1)*J11+INDEX(Symboles!$G$6:$G$101,MOD(94+$C11+(2),$B$3)+1)*K11+INDEX(Symboles!$G$6:$G$101,MOD(94+$C11+(3),$B$3)+1)*L11+INDEX(Symboles!$G$6:$G$101,MOD(94+$C11+(4),$B$3)+1)*M11+IF($B$6=0,0,$B$6*NORMSINV(0.000001+0.999998*RAND())))</f>
        <v/>
      </c>
      <c r="DG11" s="30">
        <f>IF(96&gt;$B$3,99,INDEX(Symboles!$G$6:$G$101,MOD(95+$C11+(-4),$B$3)+1)*E11+INDEX(Symboles!$G$6:$G$101,MOD(95+$C11+(-3),$B$3)+1)*F11+INDEX(Symboles!$G$6:$G$101,MOD(95+$C11+(-2),$B$3)+1)*G11+INDEX(Symboles!$G$6:$G$101,MOD(95+$C11+(-1),$B$3)+1)*H11+INDEX(Symboles!$G$6:$G$101,MOD(95+$C11+(0),$B$3)+1)*I11+INDEX(Symboles!$G$6:$G$101,MOD(95+$C11+(1),$B$3)+1)*J11+INDEX(Symboles!$G$6:$G$101,MOD(95+$C11+(2),$B$3)+1)*K11+INDEX(Symboles!$G$6:$G$101,MOD(95+$C11+(3),$B$3)+1)*L11+INDEX(Symboles!$G$6:$G$101,MOD(95+$C11+(4),$B$3)+1)*M11+IF($B$6=0,0,$B$6*NORMSINV(0.000001+0.999998*RAND())))</f>
        <v/>
      </c>
      <c r="DI11" s="30">
        <f>IF(1&gt;$B$3,99,INDEX(Symboles!$H$6:$H$101,MOD(0+$C11+(-4),$B$3)+1)*E11+INDEX(Symboles!$H$6:$H$101,MOD(0+$C11+(-3),$B$3)+1)*F11+INDEX(Symboles!$H$6:$H$101,MOD(0+$C11+(-2),$B$3)+1)*G11+INDEX(Symboles!$H$6:$H$101,MOD(0+$C11+(-1),$B$3)+1)*H11+INDEX(Symboles!$H$6:$H$101,MOD(0+$C11+(0),$B$3)+1)*I11+INDEX(Symboles!$H$6:$H$101,MOD(0+$C11+(1),$B$3)+1)*J11+INDEX(Symboles!$H$6:$H$101,MOD(0+$C11+(2),$B$3)+1)*K11+INDEX(Symboles!$H$6:$H$101,MOD(0+$C11+(3),$B$3)+1)*L11+INDEX(Symboles!$H$6:$H$101,MOD(0+$C11+(4),$B$3)+1)*M11+IF($B$6=0,0,$B$6*NORMSINV(0.000001+0.999998*RAND())))</f>
        <v/>
      </c>
      <c r="DJ11" s="30">
        <f>IF(2&gt;$B$3,99,INDEX(Symboles!$H$6:$H$101,MOD(1+$C11+(-4),$B$3)+1)*E11+INDEX(Symboles!$H$6:$H$101,MOD(1+$C11+(-3),$B$3)+1)*F11+INDEX(Symboles!$H$6:$H$101,MOD(1+$C11+(-2),$B$3)+1)*G11+INDEX(Symboles!$H$6:$H$101,MOD(1+$C11+(-1),$B$3)+1)*H11+INDEX(Symboles!$H$6:$H$101,MOD(1+$C11+(0),$B$3)+1)*I11+INDEX(Symboles!$H$6:$H$101,MOD(1+$C11+(1),$B$3)+1)*J11+INDEX(Symboles!$H$6:$H$101,MOD(1+$C11+(2),$B$3)+1)*K11+INDEX(Symboles!$H$6:$H$101,MOD(1+$C11+(3),$B$3)+1)*L11+INDEX(Symboles!$H$6:$H$101,MOD(1+$C11+(4),$B$3)+1)*M11+IF($B$6=0,0,$B$6*NORMSINV(0.000001+0.999998*RAND())))</f>
        <v/>
      </c>
      <c r="DK11" s="30">
        <f>IF(3&gt;$B$3,99,INDEX(Symboles!$H$6:$H$101,MOD(2+$C11+(-4),$B$3)+1)*E11+INDEX(Symboles!$H$6:$H$101,MOD(2+$C11+(-3),$B$3)+1)*F11+INDEX(Symboles!$H$6:$H$101,MOD(2+$C11+(-2),$B$3)+1)*G11+INDEX(Symboles!$H$6:$H$101,MOD(2+$C11+(-1),$B$3)+1)*H11+INDEX(Symboles!$H$6:$H$101,MOD(2+$C11+(0),$B$3)+1)*I11+INDEX(Symboles!$H$6:$H$101,MOD(2+$C11+(1),$B$3)+1)*J11+INDEX(Symboles!$H$6:$H$101,MOD(2+$C11+(2),$B$3)+1)*K11+INDEX(Symboles!$H$6:$H$101,MOD(2+$C11+(3),$B$3)+1)*L11+INDEX(Symboles!$H$6:$H$101,MOD(2+$C11+(4),$B$3)+1)*M11+IF($B$6=0,0,$B$6*NORMSINV(0.000001+0.999998*RAND())))</f>
        <v/>
      </c>
      <c r="DL11" s="30">
        <f>IF(4&gt;$B$3,99,INDEX(Symboles!$H$6:$H$101,MOD(3+$C11+(-4),$B$3)+1)*E11+INDEX(Symboles!$H$6:$H$101,MOD(3+$C11+(-3),$B$3)+1)*F11+INDEX(Symboles!$H$6:$H$101,MOD(3+$C11+(-2),$B$3)+1)*G11+INDEX(Symboles!$H$6:$H$101,MOD(3+$C11+(-1),$B$3)+1)*H11+INDEX(Symboles!$H$6:$H$101,MOD(3+$C11+(0),$B$3)+1)*I11+INDEX(Symboles!$H$6:$H$101,MOD(3+$C11+(1),$B$3)+1)*J11+INDEX(Symboles!$H$6:$H$101,MOD(3+$C11+(2),$B$3)+1)*K11+INDEX(Symboles!$H$6:$H$101,MOD(3+$C11+(3),$B$3)+1)*L11+INDEX(Symboles!$H$6:$H$101,MOD(3+$C11+(4),$B$3)+1)*M11+IF($B$6=0,0,$B$6*NORMSINV(0.000001+0.999998*RAND())))</f>
        <v/>
      </c>
      <c r="DM11" s="30">
        <f>IF(5&gt;$B$3,99,INDEX(Symboles!$H$6:$H$101,MOD(4+$C11+(-4),$B$3)+1)*E11+INDEX(Symboles!$H$6:$H$101,MOD(4+$C11+(-3),$B$3)+1)*F11+INDEX(Symboles!$H$6:$H$101,MOD(4+$C11+(-2),$B$3)+1)*G11+INDEX(Symboles!$H$6:$H$101,MOD(4+$C11+(-1),$B$3)+1)*H11+INDEX(Symboles!$H$6:$H$101,MOD(4+$C11+(0),$B$3)+1)*I11+INDEX(Symboles!$H$6:$H$101,MOD(4+$C11+(1),$B$3)+1)*J11+INDEX(Symboles!$H$6:$H$101,MOD(4+$C11+(2),$B$3)+1)*K11+INDEX(Symboles!$H$6:$H$101,MOD(4+$C11+(3),$B$3)+1)*L11+INDEX(Symboles!$H$6:$H$101,MOD(4+$C11+(4),$B$3)+1)*M11+IF($B$6=0,0,$B$6*NORMSINV(0.000001+0.999998*RAND())))</f>
        <v/>
      </c>
      <c r="DN11" s="30">
        <f>IF(6&gt;$B$3,99,INDEX(Symboles!$H$6:$H$101,MOD(5+$C11+(-4),$B$3)+1)*E11+INDEX(Symboles!$H$6:$H$101,MOD(5+$C11+(-3),$B$3)+1)*F11+INDEX(Symboles!$H$6:$H$101,MOD(5+$C11+(-2),$B$3)+1)*G11+INDEX(Symboles!$H$6:$H$101,MOD(5+$C11+(-1),$B$3)+1)*H11+INDEX(Symboles!$H$6:$H$101,MOD(5+$C11+(0),$B$3)+1)*I11+INDEX(Symboles!$H$6:$H$101,MOD(5+$C11+(1),$B$3)+1)*J11+INDEX(Symboles!$H$6:$H$101,MOD(5+$C11+(2),$B$3)+1)*K11+INDEX(Symboles!$H$6:$H$101,MOD(5+$C11+(3),$B$3)+1)*L11+INDEX(Symboles!$H$6:$H$101,MOD(5+$C11+(4),$B$3)+1)*M11+IF($B$6=0,0,$B$6*NORMSINV(0.000001+0.999998*RAND())))</f>
        <v/>
      </c>
      <c r="DO11" s="30">
        <f>IF(7&gt;$B$3,99,INDEX(Symboles!$H$6:$H$101,MOD(6+$C11+(-4),$B$3)+1)*E11+INDEX(Symboles!$H$6:$H$101,MOD(6+$C11+(-3),$B$3)+1)*F11+INDEX(Symboles!$H$6:$H$101,MOD(6+$C11+(-2),$B$3)+1)*G11+INDEX(Symboles!$H$6:$H$101,MOD(6+$C11+(-1),$B$3)+1)*H11+INDEX(Symboles!$H$6:$H$101,MOD(6+$C11+(0),$B$3)+1)*I11+INDEX(Symboles!$H$6:$H$101,MOD(6+$C11+(1),$B$3)+1)*J11+INDEX(Symboles!$H$6:$H$101,MOD(6+$C11+(2),$B$3)+1)*K11+INDEX(Symboles!$H$6:$H$101,MOD(6+$C11+(3),$B$3)+1)*L11+INDEX(Symboles!$H$6:$H$101,MOD(6+$C11+(4),$B$3)+1)*M11+IF($B$6=0,0,$B$6*NORMSINV(0.000001+0.999998*RAND())))</f>
        <v/>
      </c>
      <c r="DP11" s="30">
        <f>IF(8&gt;$B$3,99,INDEX(Symboles!$H$6:$H$101,MOD(7+$C11+(-4),$B$3)+1)*E11+INDEX(Symboles!$H$6:$H$101,MOD(7+$C11+(-3),$B$3)+1)*F11+INDEX(Symboles!$H$6:$H$101,MOD(7+$C11+(-2),$B$3)+1)*G11+INDEX(Symboles!$H$6:$H$101,MOD(7+$C11+(-1),$B$3)+1)*H11+INDEX(Symboles!$H$6:$H$101,MOD(7+$C11+(0),$B$3)+1)*I11+INDEX(Symboles!$H$6:$H$101,MOD(7+$C11+(1),$B$3)+1)*J11+INDEX(Symboles!$H$6:$H$101,MOD(7+$C11+(2),$B$3)+1)*K11+INDEX(Symboles!$H$6:$H$101,MOD(7+$C11+(3),$B$3)+1)*L11+INDEX(Symboles!$H$6:$H$101,MOD(7+$C11+(4),$B$3)+1)*M11+IF($B$6=0,0,$B$6*NORMSINV(0.000001+0.999998*RAND())))</f>
        <v/>
      </c>
      <c r="DQ11" s="30">
        <f>IF(9&gt;$B$3,99,INDEX(Symboles!$H$6:$H$101,MOD(8+$C11+(-4),$B$3)+1)*E11+INDEX(Symboles!$H$6:$H$101,MOD(8+$C11+(-3),$B$3)+1)*F11+INDEX(Symboles!$H$6:$H$101,MOD(8+$C11+(-2),$B$3)+1)*G11+INDEX(Symboles!$H$6:$H$101,MOD(8+$C11+(-1),$B$3)+1)*H11+INDEX(Symboles!$H$6:$H$101,MOD(8+$C11+(0),$B$3)+1)*I11+INDEX(Symboles!$H$6:$H$101,MOD(8+$C11+(1),$B$3)+1)*J11+INDEX(Symboles!$H$6:$H$101,MOD(8+$C11+(2),$B$3)+1)*K11+INDEX(Symboles!$H$6:$H$101,MOD(8+$C11+(3),$B$3)+1)*L11+INDEX(Symboles!$H$6:$H$101,MOD(8+$C11+(4),$B$3)+1)*M11+IF($B$6=0,0,$B$6*NORMSINV(0.000001+0.999998*RAND())))</f>
        <v/>
      </c>
      <c r="DR11" s="30">
        <f>IF(10&gt;$B$3,99,INDEX(Symboles!$H$6:$H$101,MOD(9+$C11+(-4),$B$3)+1)*E11+INDEX(Symboles!$H$6:$H$101,MOD(9+$C11+(-3),$B$3)+1)*F11+INDEX(Symboles!$H$6:$H$101,MOD(9+$C11+(-2),$B$3)+1)*G11+INDEX(Symboles!$H$6:$H$101,MOD(9+$C11+(-1),$B$3)+1)*H11+INDEX(Symboles!$H$6:$H$101,MOD(9+$C11+(0),$B$3)+1)*I11+INDEX(Symboles!$H$6:$H$101,MOD(9+$C11+(1),$B$3)+1)*J11+INDEX(Symboles!$H$6:$H$101,MOD(9+$C11+(2),$B$3)+1)*K11+INDEX(Symboles!$H$6:$H$101,MOD(9+$C11+(3),$B$3)+1)*L11+INDEX(Symboles!$H$6:$H$101,MOD(9+$C11+(4),$B$3)+1)*M11+IF($B$6=0,0,$B$6*NORMSINV(0.000001+0.999998*RAND())))</f>
        <v/>
      </c>
      <c r="DS11" s="30">
        <f>IF(11&gt;$B$3,99,INDEX(Symboles!$H$6:$H$101,MOD(10+$C11+(-4),$B$3)+1)*E11+INDEX(Symboles!$H$6:$H$101,MOD(10+$C11+(-3),$B$3)+1)*F11+INDEX(Symboles!$H$6:$H$101,MOD(10+$C11+(-2),$B$3)+1)*G11+INDEX(Symboles!$H$6:$H$101,MOD(10+$C11+(-1),$B$3)+1)*H11+INDEX(Symboles!$H$6:$H$101,MOD(10+$C11+(0),$B$3)+1)*I11+INDEX(Symboles!$H$6:$H$101,MOD(10+$C11+(1),$B$3)+1)*J11+INDEX(Symboles!$H$6:$H$101,MOD(10+$C11+(2),$B$3)+1)*K11+INDEX(Symboles!$H$6:$H$101,MOD(10+$C11+(3),$B$3)+1)*L11+INDEX(Symboles!$H$6:$H$101,MOD(10+$C11+(4),$B$3)+1)*M11+IF($B$6=0,0,$B$6*NORMSINV(0.000001+0.999998*RAND())))</f>
        <v/>
      </c>
      <c r="DT11" s="30">
        <f>IF(12&gt;$B$3,99,INDEX(Symboles!$H$6:$H$101,MOD(11+$C11+(-4),$B$3)+1)*E11+INDEX(Symboles!$H$6:$H$101,MOD(11+$C11+(-3),$B$3)+1)*F11+INDEX(Symboles!$H$6:$H$101,MOD(11+$C11+(-2),$B$3)+1)*G11+INDEX(Symboles!$H$6:$H$101,MOD(11+$C11+(-1),$B$3)+1)*H11+INDEX(Symboles!$H$6:$H$101,MOD(11+$C11+(0),$B$3)+1)*I11+INDEX(Symboles!$H$6:$H$101,MOD(11+$C11+(1),$B$3)+1)*J11+INDEX(Symboles!$H$6:$H$101,MOD(11+$C11+(2),$B$3)+1)*K11+INDEX(Symboles!$H$6:$H$101,MOD(11+$C11+(3),$B$3)+1)*L11+INDEX(Symboles!$H$6:$H$101,MOD(11+$C11+(4),$B$3)+1)*M11+IF($B$6=0,0,$B$6*NORMSINV(0.000001+0.999998*RAND())))</f>
        <v/>
      </c>
      <c r="DU11" s="30">
        <f>IF(13&gt;$B$3,99,INDEX(Symboles!$H$6:$H$101,MOD(12+$C11+(-4),$B$3)+1)*E11+INDEX(Symboles!$H$6:$H$101,MOD(12+$C11+(-3),$B$3)+1)*F11+INDEX(Symboles!$H$6:$H$101,MOD(12+$C11+(-2),$B$3)+1)*G11+INDEX(Symboles!$H$6:$H$101,MOD(12+$C11+(-1),$B$3)+1)*H11+INDEX(Symboles!$H$6:$H$101,MOD(12+$C11+(0),$B$3)+1)*I11+INDEX(Symboles!$H$6:$H$101,MOD(12+$C11+(1),$B$3)+1)*J11+INDEX(Symboles!$H$6:$H$101,MOD(12+$C11+(2),$B$3)+1)*K11+INDEX(Symboles!$H$6:$H$101,MOD(12+$C11+(3),$B$3)+1)*L11+INDEX(Symboles!$H$6:$H$101,MOD(12+$C11+(4),$B$3)+1)*M11+IF($B$6=0,0,$B$6*NORMSINV(0.000001+0.999998*RAND())))</f>
        <v/>
      </c>
      <c r="DV11" s="30">
        <f>IF(14&gt;$B$3,99,INDEX(Symboles!$H$6:$H$101,MOD(13+$C11+(-4),$B$3)+1)*E11+INDEX(Symboles!$H$6:$H$101,MOD(13+$C11+(-3),$B$3)+1)*F11+INDEX(Symboles!$H$6:$H$101,MOD(13+$C11+(-2),$B$3)+1)*G11+INDEX(Symboles!$H$6:$H$101,MOD(13+$C11+(-1),$B$3)+1)*H11+INDEX(Symboles!$H$6:$H$101,MOD(13+$C11+(0),$B$3)+1)*I11+INDEX(Symboles!$H$6:$H$101,MOD(13+$C11+(1),$B$3)+1)*J11+INDEX(Symboles!$H$6:$H$101,MOD(13+$C11+(2),$B$3)+1)*K11+INDEX(Symboles!$H$6:$H$101,MOD(13+$C11+(3),$B$3)+1)*L11+INDEX(Symboles!$H$6:$H$101,MOD(13+$C11+(4),$B$3)+1)*M11+IF($B$6=0,0,$B$6*NORMSINV(0.000001+0.999998*RAND())))</f>
        <v/>
      </c>
      <c r="DW11" s="30">
        <f>IF(15&gt;$B$3,99,INDEX(Symboles!$H$6:$H$101,MOD(14+$C11+(-4),$B$3)+1)*E11+INDEX(Symboles!$H$6:$H$101,MOD(14+$C11+(-3),$B$3)+1)*F11+INDEX(Symboles!$H$6:$H$101,MOD(14+$C11+(-2),$B$3)+1)*G11+INDEX(Symboles!$H$6:$H$101,MOD(14+$C11+(-1),$B$3)+1)*H11+INDEX(Symboles!$H$6:$H$101,MOD(14+$C11+(0),$B$3)+1)*I11+INDEX(Symboles!$H$6:$H$101,MOD(14+$C11+(1),$B$3)+1)*J11+INDEX(Symboles!$H$6:$H$101,MOD(14+$C11+(2),$B$3)+1)*K11+INDEX(Symboles!$H$6:$H$101,MOD(14+$C11+(3),$B$3)+1)*L11+INDEX(Symboles!$H$6:$H$101,MOD(14+$C11+(4),$B$3)+1)*M11+IF($B$6=0,0,$B$6*NORMSINV(0.000001+0.999998*RAND())))</f>
        <v/>
      </c>
      <c r="DX11" s="30">
        <f>IF(16&gt;$B$3,99,INDEX(Symboles!$H$6:$H$101,MOD(15+$C11+(-4),$B$3)+1)*E11+INDEX(Symboles!$H$6:$H$101,MOD(15+$C11+(-3),$B$3)+1)*F11+INDEX(Symboles!$H$6:$H$101,MOD(15+$C11+(-2),$B$3)+1)*G11+INDEX(Symboles!$H$6:$H$101,MOD(15+$C11+(-1),$B$3)+1)*H11+INDEX(Symboles!$H$6:$H$101,MOD(15+$C11+(0),$B$3)+1)*I11+INDEX(Symboles!$H$6:$H$101,MOD(15+$C11+(1),$B$3)+1)*J11+INDEX(Symboles!$H$6:$H$101,MOD(15+$C11+(2),$B$3)+1)*K11+INDEX(Symboles!$H$6:$H$101,MOD(15+$C11+(3),$B$3)+1)*L11+INDEX(Symboles!$H$6:$H$101,MOD(15+$C11+(4),$B$3)+1)*M11+IF($B$6=0,0,$B$6*NORMSINV(0.000001+0.999998*RAND())))</f>
        <v/>
      </c>
      <c r="DY11" s="30">
        <f>IF(17&gt;$B$3,99,INDEX(Symboles!$H$6:$H$101,MOD(16+$C11+(-4),$B$3)+1)*E11+INDEX(Symboles!$H$6:$H$101,MOD(16+$C11+(-3),$B$3)+1)*F11+INDEX(Symboles!$H$6:$H$101,MOD(16+$C11+(-2),$B$3)+1)*G11+INDEX(Symboles!$H$6:$H$101,MOD(16+$C11+(-1),$B$3)+1)*H11+INDEX(Symboles!$H$6:$H$101,MOD(16+$C11+(0),$B$3)+1)*I11+INDEX(Symboles!$H$6:$H$101,MOD(16+$C11+(1),$B$3)+1)*J11+INDEX(Symboles!$H$6:$H$101,MOD(16+$C11+(2),$B$3)+1)*K11+INDEX(Symboles!$H$6:$H$101,MOD(16+$C11+(3),$B$3)+1)*L11+INDEX(Symboles!$H$6:$H$101,MOD(16+$C11+(4),$B$3)+1)*M11+IF($B$6=0,0,$B$6*NORMSINV(0.000001+0.999998*RAND())))</f>
        <v/>
      </c>
      <c r="DZ11" s="30">
        <f>IF(18&gt;$B$3,99,INDEX(Symboles!$H$6:$H$101,MOD(17+$C11+(-4),$B$3)+1)*E11+INDEX(Symboles!$H$6:$H$101,MOD(17+$C11+(-3),$B$3)+1)*F11+INDEX(Symboles!$H$6:$H$101,MOD(17+$C11+(-2),$B$3)+1)*G11+INDEX(Symboles!$H$6:$H$101,MOD(17+$C11+(-1),$B$3)+1)*H11+INDEX(Symboles!$H$6:$H$101,MOD(17+$C11+(0),$B$3)+1)*I11+INDEX(Symboles!$H$6:$H$101,MOD(17+$C11+(1),$B$3)+1)*J11+INDEX(Symboles!$H$6:$H$101,MOD(17+$C11+(2),$B$3)+1)*K11+INDEX(Symboles!$H$6:$H$101,MOD(17+$C11+(3),$B$3)+1)*L11+INDEX(Symboles!$H$6:$H$101,MOD(17+$C11+(4),$B$3)+1)*M11+IF($B$6=0,0,$B$6*NORMSINV(0.000001+0.999998*RAND())))</f>
        <v/>
      </c>
      <c r="EA11" s="30">
        <f>IF(19&gt;$B$3,99,INDEX(Symboles!$H$6:$H$101,MOD(18+$C11+(-4),$B$3)+1)*E11+INDEX(Symboles!$H$6:$H$101,MOD(18+$C11+(-3),$B$3)+1)*F11+INDEX(Symboles!$H$6:$H$101,MOD(18+$C11+(-2),$B$3)+1)*G11+INDEX(Symboles!$H$6:$H$101,MOD(18+$C11+(-1),$B$3)+1)*H11+INDEX(Symboles!$H$6:$H$101,MOD(18+$C11+(0),$B$3)+1)*I11+INDEX(Symboles!$H$6:$H$101,MOD(18+$C11+(1),$B$3)+1)*J11+INDEX(Symboles!$H$6:$H$101,MOD(18+$C11+(2),$B$3)+1)*K11+INDEX(Symboles!$H$6:$H$101,MOD(18+$C11+(3),$B$3)+1)*L11+INDEX(Symboles!$H$6:$H$101,MOD(18+$C11+(4),$B$3)+1)*M11+IF($B$6=0,0,$B$6*NORMSINV(0.000001+0.999998*RAND())))</f>
        <v/>
      </c>
      <c r="EB11" s="30">
        <f>IF(20&gt;$B$3,99,INDEX(Symboles!$H$6:$H$101,MOD(19+$C11+(-4),$B$3)+1)*E11+INDEX(Symboles!$H$6:$H$101,MOD(19+$C11+(-3),$B$3)+1)*F11+INDEX(Symboles!$H$6:$H$101,MOD(19+$C11+(-2),$B$3)+1)*G11+INDEX(Symboles!$H$6:$H$101,MOD(19+$C11+(-1),$B$3)+1)*H11+INDEX(Symboles!$H$6:$H$101,MOD(19+$C11+(0),$B$3)+1)*I11+INDEX(Symboles!$H$6:$H$101,MOD(19+$C11+(1),$B$3)+1)*J11+INDEX(Symboles!$H$6:$H$101,MOD(19+$C11+(2),$B$3)+1)*K11+INDEX(Symboles!$H$6:$H$101,MOD(19+$C11+(3),$B$3)+1)*L11+INDEX(Symboles!$H$6:$H$101,MOD(19+$C11+(4),$B$3)+1)*M11+IF($B$6=0,0,$B$6*NORMSINV(0.000001+0.999998*RAND())))</f>
        <v/>
      </c>
      <c r="EC11" s="30">
        <f>IF(21&gt;$B$3,99,INDEX(Symboles!$H$6:$H$101,MOD(20+$C11+(-4),$B$3)+1)*E11+INDEX(Symboles!$H$6:$H$101,MOD(20+$C11+(-3),$B$3)+1)*F11+INDEX(Symboles!$H$6:$H$101,MOD(20+$C11+(-2),$B$3)+1)*G11+INDEX(Symboles!$H$6:$H$101,MOD(20+$C11+(-1),$B$3)+1)*H11+INDEX(Symboles!$H$6:$H$101,MOD(20+$C11+(0),$B$3)+1)*I11+INDEX(Symboles!$H$6:$H$101,MOD(20+$C11+(1),$B$3)+1)*J11+INDEX(Symboles!$H$6:$H$101,MOD(20+$C11+(2),$B$3)+1)*K11+INDEX(Symboles!$H$6:$H$101,MOD(20+$C11+(3),$B$3)+1)*L11+INDEX(Symboles!$H$6:$H$101,MOD(20+$C11+(4),$B$3)+1)*M11+IF($B$6=0,0,$B$6*NORMSINV(0.000001+0.999998*RAND())))</f>
        <v/>
      </c>
      <c r="ED11" s="30">
        <f>IF(22&gt;$B$3,99,INDEX(Symboles!$H$6:$H$101,MOD(21+$C11+(-4),$B$3)+1)*E11+INDEX(Symboles!$H$6:$H$101,MOD(21+$C11+(-3),$B$3)+1)*F11+INDEX(Symboles!$H$6:$H$101,MOD(21+$C11+(-2),$B$3)+1)*G11+INDEX(Symboles!$H$6:$H$101,MOD(21+$C11+(-1),$B$3)+1)*H11+INDEX(Symboles!$H$6:$H$101,MOD(21+$C11+(0),$B$3)+1)*I11+INDEX(Symboles!$H$6:$H$101,MOD(21+$C11+(1),$B$3)+1)*J11+INDEX(Symboles!$H$6:$H$101,MOD(21+$C11+(2),$B$3)+1)*K11+INDEX(Symboles!$H$6:$H$101,MOD(21+$C11+(3),$B$3)+1)*L11+INDEX(Symboles!$H$6:$H$101,MOD(21+$C11+(4),$B$3)+1)*M11+IF($B$6=0,0,$B$6*NORMSINV(0.000001+0.999998*RAND())))</f>
        <v/>
      </c>
      <c r="EE11" s="30">
        <f>IF(23&gt;$B$3,99,INDEX(Symboles!$H$6:$H$101,MOD(22+$C11+(-4),$B$3)+1)*E11+INDEX(Symboles!$H$6:$H$101,MOD(22+$C11+(-3),$B$3)+1)*F11+INDEX(Symboles!$H$6:$H$101,MOD(22+$C11+(-2),$B$3)+1)*G11+INDEX(Symboles!$H$6:$H$101,MOD(22+$C11+(-1),$B$3)+1)*H11+INDEX(Symboles!$H$6:$H$101,MOD(22+$C11+(0),$B$3)+1)*I11+INDEX(Symboles!$H$6:$H$101,MOD(22+$C11+(1),$B$3)+1)*J11+INDEX(Symboles!$H$6:$H$101,MOD(22+$C11+(2),$B$3)+1)*K11+INDEX(Symboles!$H$6:$H$101,MOD(22+$C11+(3),$B$3)+1)*L11+INDEX(Symboles!$H$6:$H$101,MOD(22+$C11+(4),$B$3)+1)*M11+IF($B$6=0,0,$B$6*NORMSINV(0.000001+0.999998*RAND())))</f>
        <v/>
      </c>
      <c r="EF11" s="30">
        <f>IF(24&gt;$B$3,99,INDEX(Symboles!$H$6:$H$101,MOD(23+$C11+(-4),$B$3)+1)*E11+INDEX(Symboles!$H$6:$H$101,MOD(23+$C11+(-3),$B$3)+1)*F11+INDEX(Symboles!$H$6:$H$101,MOD(23+$C11+(-2),$B$3)+1)*G11+INDEX(Symboles!$H$6:$H$101,MOD(23+$C11+(-1),$B$3)+1)*H11+INDEX(Symboles!$H$6:$H$101,MOD(23+$C11+(0),$B$3)+1)*I11+INDEX(Symboles!$H$6:$H$101,MOD(23+$C11+(1),$B$3)+1)*J11+INDEX(Symboles!$H$6:$H$101,MOD(23+$C11+(2),$B$3)+1)*K11+INDEX(Symboles!$H$6:$H$101,MOD(23+$C11+(3),$B$3)+1)*L11+INDEX(Symboles!$H$6:$H$101,MOD(23+$C11+(4),$B$3)+1)*M11+IF($B$6=0,0,$B$6*NORMSINV(0.000001+0.999998*RAND())))</f>
        <v/>
      </c>
      <c r="EG11" s="30">
        <f>IF(25&gt;$B$3,99,INDEX(Symboles!$H$6:$H$101,MOD(24+$C11+(-4),$B$3)+1)*E11+INDEX(Symboles!$H$6:$H$101,MOD(24+$C11+(-3),$B$3)+1)*F11+INDEX(Symboles!$H$6:$H$101,MOD(24+$C11+(-2),$B$3)+1)*G11+INDEX(Symboles!$H$6:$H$101,MOD(24+$C11+(-1),$B$3)+1)*H11+INDEX(Symboles!$H$6:$H$101,MOD(24+$C11+(0),$B$3)+1)*I11+INDEX(Symboles!$H$6:$H$101,MOD(24+$C11+(1),$B$3)+1)*J11+INDEX(Symboles!$H$6:$H$101,MOD(24+$C11+(2),$B$3)+1)*K11+INDEX(Symboles!$H$6:$H$101,MOD(24+$C11+(3),$B$3)+1)*L11+INDEX(Symboles!$H$6:$H$101,MOD(24+$C11+(4),$B$3)+1)*M11+IF($B$6=0,0,$B$6*NORMSINV(0.000001+0.999998*RAND())))</f>
        <v/>
      </c>
      <c r="EH11" s="30">
        <f>IF(26&gt;$B$3,99,INDEX(Symboles!$H$6:$H$101,MOD(25+$C11+(-4),$B$3)+1)*E11+INDEX(Symboles!$H$6:$H$101,MOD(25+$C11+(-3),$B$3)+1)*F11+INDEX(Symboles!$H$6:$H$101,MOD(25+$C11+(-2),$B$3)+1)*G11+INDEX(Symboles!$H$6:$H$101,MOD(25+$C11+(-1),$B$3)+1)*H11+INDEX(Symboles!$H$6:$H$101,MOD(25+$C11+(0),$B$3)+1)*I11+INDEX(Symboles!$H$6:$H$101,MOD(25+$C11+(1),$B$3)+1)*J11+INDEX(Symboles!$H$6:$H$101,MOD(25+$C11+(2),$B$3)+1)*K11+INDEX(Symboles!$H$6:$H$101,MOD(25+$C11+(3),$B$3)+1)*L11+INDEX(Symboles!$H$6:$H$101,MOD(25+$C11+(4),$B$3)+1)*M11+IF($B$6=0,0,$B$6*NORMSINV(0.000001+0.999998*RAND())))</f>
        <v/>
      </c>
      <c r="EI11" s="30">
        <f>IF(27&gt;$B$3,99,INDEX(Symboles!$H$6:$H$101,MOD(26+$C11+(-4),$B$3)+1)*E11+INDEX(Symboles!$H$6:$H$101,MOD(26+$C11+(-3),$B$3)+1)*F11+INDEX(Symboles!$H$6:$H$101,MOD(26+$C11+(-2),$B$3)+1)*G11+INDEX(Symboles!$H$6:$H$101,MOD(26+$C11+(-1),$B$3)+1)*H11+INDEX(Symboles!$H$6:$H$101,MOD(26+$C11+(0),$B$3)+1)*I11+INDEX(Symboles!$H$6:$H$101,MOD(26+$C11+(1),$B$3)+1)*J11+INDEX(Symboles!$H$6:$H$101,MOD(26+$C11+(2),$B$3)+1)*K11+INDEX(Symboles!$H$6:$H$101,MOD(26+$C11+(3),$B$3)+1)*L11+INDEX(Symboles!$H$6:$H$101,MOD(26+$C11+(4),$B$3)+1)*M11+IF($B$6=0,0,$B$6*NORMSINV(0.000001+0.999998*RAND())))</f>
        <v/>
      </c>
      <c r="EJ11" s="30">
        <f>IF(28&gt;$B$3,99,INDEX(Symboles!$H$6:$H$101,MOD(27+$C11+(-4),$B$3)+1)*E11+INDEX(Symboles!$H$6:$H$101,MOD(27+$C11+(-3),$B$3)+1)*F11+INDEX(Symboles!$H$6:$H$101,MOD(27+$C11+(-2),$B$3)+1)*G11+INDEX(Symboles!$H$6:$H$101,MOD(27+$C11+(-1),$B$3)+1)*H11+INDEX(Symboles!$H$6:$H$101,MOD(27+$C11+(0),$B$3)+1)*I11+INDEX(Symboles!$H$6:$H$101,MOD(27+$C11+(1),$B$3)+1)*J11+INDEX(Symboles!$H$6:$H$101,MOD(27+$C11+(2),$B$3)+1)*K11+INDEX(Symboles!$H$6:$H$101,MOD(27+$C11+(3),$B$3)+1)*L11+INDEX(Symboles!$H$6:$H$101,MOD(27+$C11+(4),$B$3)+1)*M11+IF($B$6=0,0,$B$6*NORMSINV(0.000001+0.999998*RAND())))</f>
        <v/>
      </c>
      <c r="EK11" s="30">
        <f>IF(29&gt;$B$3,99,INDEX(Symboles!$H$6:$H$101,MOD(28+$C11+(-4),$B$3)+1)*E11+INDEX(Symboles!$H$6:$H$101,MOD(28+$C11+(-3),$B$3)+1)*F11+INDEX(Symboles!$H$6:$H$101,MOD(28+$C11+(-2),$B$3)+1)*G11+INDEX(Symboles!$H$6:$H$101,MOD(28+$C11+(-1),$B$3)+1)*H11+INDEX(Symboles!$H$6:$H$101,MOD(28+$C11+(0),$B$3)+1)*I11+INDEX(Symboles!$H$6:$H$101,MOD(28+$C11+(1),$B$3)+1)*J11+INDEX(Symboles!$H$6:$H$101,MOD(28+$C11+(2),$B$3)+1)*K11+INDEX(Symboles!$H$6:$H$101,MOD(28+$C11+(3),$B$3)+1)*L11+INDEX(Symboles!$H$6:$H$101,MOD(28+$C11+(4),$B$3)+1)*M11+IF($B$6=0,0,$B$6*NORMSINV(0.000001+0.999998*RAND())))</f>
        <v/>
      </c>
      <c r="EL11" s="30">
        <f>IF(30&gt;$B$3,99,INDEX(Symboles!$H$6:$H$101,MOD(29+$C11+(-4),$B$3)+1)*E11+INDEX(Symboles!$H$6:$H$101,MOD(29+$C11+(-3),$B$3)+1)*F11+INDEX(Symboles!$H$6:$H$101,MOD(29+$C11+(-2),$B$3)+1)*G11+INDEX(Symboles!$H$6:$H$101,MOD(29+$C11+(-1),$B$3)+1)*H11+INDEX(Symboles!$H$6:$H$101,MOD(29+$C11+(0),$B$3)+1)*I11+INDEX(Symboles!$H$6:$H$101,MOD(29+$C11+(1),$B$3)+1)*J11+INDEX(Symboles!$H$6:$H$101,MOD(29+$C11+(2),$B$3)+1)*K11+INDEX(Symboles!$H$6:$H$101,MOD(29+$C11+(3),$B$3)+1)*L11+INDEX(Symboles!$H$6:$H$101,MOD(29+$C11+(4),$B$3)+1)*M11+IF($B$6=0,0,$B$6*NORMSINV(0.000001+0.999998*RAND())))</f>
        <v/>
      </c>
      <c r="EM11" s="30">
        <f>IF(31&gt;$B$3,99,INDEX(Symboles!$H$6:$H$101,MOD(30+$C11+(-4),$B$3)+1)*E11+INDEX(Symboles!$H$6:$H$101,MOD(30+$C11+(-3),$B$3)+1)*F11+INDEX(Symboles!$H$6:$H$101,MOD(30+$C11+(-2),$B$3)+1)*G11+INDEX(Symboles!$H$6:$H$101,MOD(30+$C11+(-1),$B$3)+1)*H11+INDEX(Symboles!$H$6:$H$101,MOD(30+$C11+(0),$B$3)+1)*I11+INDEX(Symboles!$H$6:$H$101,MOD(30+$C11+(1),$B$3)+1)*J11+INDEX(Symboles!$H$6:$H$101,MOD(30+$C11+(2),$B$3)+1)*K11+INDEX(Symboles!$H$6:$H$101,MOD(30+$C11+(3),$B$3)+1)*L11+INDEX(Symboles!$H$6:$H$101,MOD(30+$C11+(4),$B$3)+1)*M11+IF($B$6=0,0,$B$6*NORMSINV(0.000001+0.999998*RAND())))</f>
        <v/>
      </c>
      <c r="EN11" s="30">
        <f>IF(32&gt;$B$3,99,INDEX(Symboles!$H$6:$H$101,MOD(31+$C11+(-4),$B$3)+1)*E11+INDEX(Symboles!$H$6:$H$101,MOD(31+$C11+(-3),$B$3)+1)*F11+INDEX(Symboles!$H$6:$H$101,MOD(31+$C11+(-2),$B$3)+1)*G11+INDEX(Symboles!$H$6:$H$101,MOD(31+$C11+(-1),$B$3)+1)*H11+INDEX(Symboles!$H$6:$H$101,MOD(31+$C11+(0),$B$3)+1)*I11+INDEX(Symboles!$H$6:$H$101,MOD(31+$C11+(1),$B$3)+1)*J11+INDEX(Symboles!$H$6:$H$101,MOD(31+$C11+(2),$B$3)+1)*K11+INDEX(Symboles!$H$6:$H$101,MOD(31+$C11+(3),$B$3)+1)*L11+INDEX(Symboles!$H$6:$H$101,MOD(31+$C11+(4),$B$3)+1)*M11+IF($B$6=0,0,$B$6*NORMSINV(0.000001+0.999998*RAND())))</f>
        <v/>
      </c>
      <c r="EO11" s="30">
        <f>IF(33&gt;$B$3,99,INDEX(Symboles!$H$6:$H$101,MOD(32+$C11+(-4),$B$3)+1)*E11+INDEX(Symboles!$H$6:$H$101,MOD(32+$C11+(-3),$B$3)+1)*F11+INDEX(Symboles!$H$6:$H$101,MOD(32+$C11+(-2),$B$3)+1)*G11+INDEX(Symboles!$H$6:$H$101,MOD(32+$C11+(-1),$B$3)+1)*H11+INDEX(Symboles!$H$6:$H$101,MOD(32+$C11+(0),$B$3)+1)*I11+INDEX(Symboles!$H$6:$H$101,MOD(32+$C11+(1),$B$3)+1)*J11+INDEX(Symboles!$H$6:$H$101,MOD(32+$C11+(2),$B$3)+1)*K11+INDEX(Symboles!$H$6:$H$101,MOD(32+$C11+(3),$B$3)+1)*L11+INDEX(Symboles!$H$6:$H$101,MOD(32+$C11+(4),$B$3)+1)*M11+IF($B$6=0,0,$B$6*NORMSINV(0.000001+0.999998*RAND())))</f>
        <v/>
      </c>
      <c r="EP11" s="30">
        <f>IF(34&gt;$B$3,99,INDEX(Symboles!$H$6:$H$101,MOD(33+$C11+(-4),$B$3)+1)*E11+INDEX(Symboles!$H$6:$H$101,MOD(33+$C11+(-3),$B$3)+1)*F11+INDEX(Symboles!$H$6:$H$101,MOD(33+$C11+(-2),$B$3)+1)*G11+INDEX(Symboles!$H$6:$H$101,MOD(33+$C11+(-1),$B$3)+1)*H11+INDEX(Symboles!$H$6:$H$101,MOD(33+$C11+(0),$B$3)+1)*I11+INDEX(Symboles!$H$6:$H$101,MOD(33+$C11+(1),$B$3)+1)*J11+INDEX(Symboles!$H$6:$H$101,MOD(33+$C11+(2),$B$3)+1)*K11+INDEX(Symboles!$H$6:$H$101,MOD(33+$C11+(3),$B$3)+1)*L11+INDEX(Symboles!$H$6:$H$101,MOD(33+$C11+(4),$B$3)+1)*M11+IF($B$6=0,0,$B$6*NORMSINV(0.000001+0.999998*RAND())))</f>
        <v/>
      </c>
      <c r="EQ11" s="30">
        <f>IF(35&gt;$B$3,99,INDEX(Symboles!$H$6:$H$101,MOD(34+$C11+(-4),$B$3)+1)*E11+INDEX(Symboles!$H$6:$H$101,MOD(34+$C11+(-3),$B$3)+1)*F11+INDEX(Symboles!$H$6:$H$101,MOD(34+$C11+(-2),$B$3)+1)*G11+INDEX(Symboles!$H$6:$H$101,MOD(34+$C11+(-1),$B$3)+1)*H11+INDEX(Symboles!$H$6:$H$101,MOD(34+$C11+(0),$B$3)+1)*I11+INDEX(Symboles!$H$6:$H$101,MOD(34+$C11+(1),$B$3)+1)*J11+INDEX(Symboles!$H$6:$H$101,MOD(34+$C11+(2),$B$3)+1)*K11+INDEX(Symboles!$H$6:$H$101,MOD(34+$C11+(3),$B$3)+1)*L11+INDEX(Symboles!$H$6:$H$101,MOD(34+$C11+(4),$B$3)+1)*M11+IF($B$6=0,0,$B$6*NORMSINV(0.000001+0.999998*RAND())))</f>
        <v/>
      </c>
      <c r="ER11" s="30">
        <f>IF(36&gt;$B$3,99,INDEX(Symboles!$H$6:$H$101,MOD(35+$C11+(-4),$B$3)+1)*E11+INDEX(Symboles!$H$6:$H$101,MOD(35+$C11+(-3),$B$3)+1)*F11+INDEX(Symboles!$H$6:$H$101,MOD(35+$C11+(-2),$B$3)+1)*G11+INDEX(Symboles!$H$6:$H$101,MOD(35+$C11+(-1),$B$3)+1)*H11+INDEX(Symboles!$H$6:$H$101,MOD(35+$C11+(0),$B$3)+1)*I11+INDEX(Symboles!$H$6:$H$101,MOD(35+$C11+(1),$B$3)+1)*J11+INDEX(Symboles!$H$6:$H$101,MOD(35+$C11+(2),$B$3)+1)*K11+INDEX(Symboles!$H$6:$H$101,MOD(35+$C11+(3),$B$3)+1)*L11+INDEX(Symboles!$H$6:$H$101,MOD(35+$C11+(4),$B$3)+1)*M11+IF($B$6=0,0,$B$6*NORMSINV(0.000001+0.999998*RAND())))</f>
        <v/>
      </c>
      <c r="ES11" s="30">
        <f>IF(37&gt;$B$3,99,INDEX(Symboles!$H$6:$H$101,MOD(36+$C11+(-4),$B$3)+1)*E11+INDEX(Symboles!$H$6:$H$101,MOD(36+$C11+(-3),$B$3)+1)*F11+INDEX(Symboles!$H$6:$H$101,MOD(36+$C11+(-2),$B$3)+1)*G11+INDEX(Symboles!$H$6:$H$101,MOD(36+$C11+(-1),$B$3)+1)*H11+INDEX(Symboles!$H$6:$H$101,MOD(36+$C11+(0),$B$3)+1)*I11+INDEX(Symboles!$H$6:$H$101,MOD(36+$C11+(1),$B$3)+1)*J11+INDEX(Symboles!$H$6:$H$101,MOD(36+$C11+(2),$B$3)+1)*K11+INDEX(Symboles!$H$6:$H$101,MOD(36+$C11+(3),$B$3)+1)*L11+INDEX(Symboles!$H$6:$H$101,MOD(36+$C11+(4),$B$3)+1)*M11+IF($B$6=0,0,$B$6*NORMSINV(0.000001+0.999998*RAND())))</f>
        <v/>
      </c>
      <c r="ET11" s="30">
        <f>IF(38&gt;$B$3,99,INDEX(Symboles!$H$6:$H$101,MOD(37+$C11+(-4),$B$3)+1)*E11+INDEX(Symboles!$H$6:$H$101,MOD(37+$C11+(-3),$B$3)+1)*F11+INDEX(Symboles!$H$6:$H$101,MOD(37+$C11+(-2),$B$3)+1)*G11+INDEX(Symboles!$H$6:$H$101,MOD(37+$C11+(-1),$B$3)+1)*H11+INDEX(Symboles!$H$6:$H$101,MOD(37+$C11+(0),$B$3)+1)*I11+INDEX(Symboles!$H$6:$H$101,MOD(37+$C11+(1),$B$3)+1)*J11+INDEX(Symboles!$H$6:$H$101,MOD(37+$C11+(2),$B$3)+1)*K11+INDEX(Symboles!$H$6:$H$101,MOD(37+$C11+(3),$B$3)+1)*L11+INDEX(Symboles!$H$6:$H$101,MOD(37+$C11+(4),$B$3)+1)*M11+IF($B$6=0,0,$B$6*NORMSINV(0.000001+0.999998*RAND())))</f>
        <v/>
      </c>
      <c r="EU11" s="30">
        <f>IF(39&gt;$B$3,99,INDEX(Symboles!$H$6:$H$101,MOD(38+$C11+(-4),$B$3)+1)*E11+INDEX(Symboles!$H$6:$H$101,MOD(38+$C11+(-3),$B$3)+1)*F11+INDEX(Symboles!$H$6:$H$101,MOD(38+$C11+(-2),$B$3)+1)*G11+INDEX(Symboles!$H$6:$H$101,MOD(38+$C11+(-1),$B$3)+1)*H11+INDEX(Symboles!$H$6:$H$101,MOD(38+$C11+(0),$B$3)+1)*I11+INDEX(Symboles!$H$6:$H$101,MOD(38+$C11+(1),$B$3)+1)*J11+INDEX(Symboles!$H$6:$H$101,MOD(38+$C11+(2),$B$3)+1)*K11+INDEX(Symboles!$H$6:$H$101,MOD(38+$C11+(3),$B$3)+1)*L11+INDEX(Symboles!$H$6:$H$101,MOD(38+$C11+(4),$B$3)+1)*M11+IF($B$6=0,0,$B$6*NORMSINV(0.000001+0.999998*RAND())))</f>
        <v/>
      </c>
      <c r="EV11" s="30">
        <f>IF(40&gt;$B$3,99,INDEX(Symboles!$H$6:$H$101,MOD(39+$C11+(-4),$B$3)+1)*E11+INDEX(Symboles!$H$6:$H$101,MOD(39+$C11+(-3),$B$3)+1)*F11+INDEX(Symboles!$H$6:$H$101,MOD(39+$C11+(-2),$B$3)+1)*G11+INDEX(Symboles!$H$6:$H$101,MOD(39+$C11+(-1),$B$3)+1)*H11+INDEX(Symboles!$H$6:$H$101,MOD(39+$C11+(0),$B$3)+1)*I11+INDEX(Symboles!$H$6:$H$101,MOD(39+$C11+(1),$B$3)+1)*J11+INDEX(Symboles!$H$6:$H$101,MOD(39+$C11+(2),$B$3)+1)*K11+INDEX(Symboles!$H$6:$H$101,MOD(39+$C11+(3),$B$3)+1)*L11+INDEX(Symboles!$H$6:$H$101,MOD(39+$C11+(4),$B$3)+1)*M11+IF($B$6=0,0,$B$6*NORMSINV(0.000001+0.999998*RAND())))</f>
        <v/>
      </c>
      <c r="EW11" s="30">
        <f>IF(41&gt;$B$3,99,INDEX(Symboles!$H$6:$H$101,MOD(40+$C11+(-4),$B$3)+1)*E11+INDEX(Symboles!$H$6:$H$101,MOD(40+$C11+(-3),$B$3)+1)*F11+INDEX(Symboles!$H$6:$H$101,MOD(40+$C11+(-2),$B$3)+1)*G11+INDEX(Symboles!$H$6:$H$101,MOD(40+$C11+(-1),$B$3)+1)*H11+INDEX(Symboles!$H$6:$H$101,MOD(40+$C11+(0),$B$3)+1)*I11+INDEX(Symboles!$H$6:$H$101,MOD(40+$C11+(1),$B$3)+1)*J11+INDEX(Symboles!$H$6:$H$101,MOD(40+$C11+(2),$B$3)+1)*K11+INDEX(Symboles!$H$6:$H$101,MOD(40+$C11+(3),$B$3)+1)*L11+INDEX(Symboles!$H$6:$H$101,MOD(40+$C11+(4),$B$3)+1)*M11+IF($B$6=0,0,$B$6*NORMSINV(0.000001+0.999998*RAND())))</f>
        <v/>
      </c>
      <c r="EX11" s="30">
        <f>IF(42&gt;$B$3,99,INDEX(Symboles!$H$6:$H$101,MOD(41+$C11+(-4),$B$3)+1)*E11+INDEX(Symboles!$H$6:$H$101,MOD(41+$C11+(-3),$B$3)+1)*F11+INDEX(Symboles!$H$6:$H$101,MOD(41+$C11+(-2),$B$3)+1)*G11+INDEX(Symboles!$H$6:$H$101,MOD(41+$C11+(-1),$B$3)+1)*H11+INDEX(Symboles!$H$6:$H$101,MOD(41+$C11+(0),$B$3)+1)*I11+INDEX(Symboles!$H$6:$H$101,MOD(41+$C11+(1),$B$3)+1)*J11+INDEX(Symboles!$H$6:$H$101,MOD(41+$C11+(2),$B$3)+1)*K11+INDEX(Symboles!$H$6:$H$101,MOD(41+$C11+(3),$B$3)+1)*L11+INDEX(Symboles!$H$6:$H$101,MOD(41+$C11+(4),$B$3)+1)*M11+IF($B$6=0,0,$B$6*NORMSINV(0.000001+0.999998*RAND())))</f>
        <v/>
      </c>
      <c r="EY11" s="30">
        <f>IF(43&gt;$B$3,99,INDEX(Symboles!$H$6:$H$101,MOD(42+$C11+(-4),$B$3)+1)*E11+INDEX(Symboles!$H$6:$H$101,MOD(42+$C11+(-3),$B$3)+1)*F11+INDEX(Symboles!$H$6:$H$101,MOD(42+$C11+(-2),$B$3)+1)*G11+INDEX(Symboles!$H$6:$H$101,MOD(42+$C11+(-1),$B$3)+1)*H11+INDEX(Symboles!$H$6:$H$101,MOD(42+$C11+(0),$B$3)+1)*I11+INDEX(Symboles!$H$6:$H$101,MOD(42+$C11+(1),$B$3)+1)*J11+INDEX(Symboles!$H$6:$H$101,MOD(42+$C11+(2),$B$3)+1)*K11+INDEX(Symboles!$H$6:$H$101,MOD(42+$C11+(3),$B$3)+1)*L11+INDEX(Symboles!$H$6:$H$101,MOD(42+$C11+(4),$B$3)+1)*M11+IF($B$6=0,0,$B$6*NORMSINV(0.000001+0.999998*RAND())))</f>
        <v/>
      </c>
      <c r="EZ11" s="30">
        <f>IF(44&gt;$B$3,99,INDEX(Symboles!$H$6:$H$101,MOD(43+$C11+(-4),$B$3)+1)*E11+INDEX(Symboles!$H$6:$H$101,MOD(43+$C11+(-3),$B$3)+1)*F11+INDEX(Symboles!$H$6:$H$101,MOD(43+$C11+(-2),$B$3)+1)*G11+INDEX(Symboles!$H$6:$H$101,MOD(43+$C11+(-1),$B$3)+1)*H11+INDEX(Symboles!$H$6:$H$101,MOD(43+$C11+(0),$B$3)+1)*I11+INDEX(Symboles!$H$6:$H$101,MOD(43+$C11+(1),$B$3)+1)*J11+INDEX(Symboles!$H$6:$H$101,MOD(43+$C11+(2),$B$3)+1)*K11+INDEX(Symboles!$H$6:$H$101,MOD(43+$C11+(3),$B$3)+1)*L11+INDEX(Symboles!$H$6:$H$101,MOD(43+$C11+(4),$B$3)+1)*M11+IF($B$6=0,0,$B$6*NORMSINV(0.000001+0.999998*RAND())))</f>
        <v/>
      </c>
      <c r="FA11" s="30">
        <f>IF(45&gt;$B$3,99,INDEX(Symboles!$H$6:$H$101,MOD(44+$C11+(-4),$B$3)+1)*E11+INDEX(Symboles!$H$6:$H$101,MOD(44+$C11+(-3),$B$3)+1)*F11+INDEX(Symboles!$H$6:$H$101,MOD(44+$C11+(-2),$B$3)+1)*G11+INDEX(Symboles!$H$6:$H$101,MOD(44+$C11+(-1),$B$3)+1)*H11+INDEX(Symboles!$H$6:$H$101,MOD(44+$C11+(0),$B$3)+1)*I11+INDEX(Symboles!$H$6:$H$101,MOD(44+$C11+(1),$B$3)+1)*J11+INDEX(Symboles!$H$6:$H$101,MOD(44+$C11+(2),$B$3)+1)*K11+INDEX(Symboles!$H$6:$H$101,MOD(44+$C11+(3),$B$3)+1)*L11+INDEX(Symboles!$H$6:$H$101,MOD(44+$C11+(4),$B$3)+1)*M11+IF($B$6=0,0,$B$6*NORMSINV(0.000001+0.999998*RAND())))</f>
        <v/>
      </c>
      <c r="FB11" s="30">
        <f>IF(46&gt;$B$3,99,INDEX(Symboles!$H$6:$H$101,MOD(45+$C11+(-4),$B$3)+1)*E11+INDEX(Symboles!$H$6:$H$101,MOD(45+$C11+(-3),$B$3)+1)*F11+INDEX(Symboles!$H$6:$H$101,MOD(45+$C11+(-2),$B$3)+1)*G11+INDEX(Symboles!$H$6:$H$101,MOD(45+$C11+(-1),$B$3)+1)*H11+INDEX(Symboles!$H$6:$H$101,MOD(45+$C11+(0),$B$3)+1)*I11+INDEX(Symboles!$H$6:$H$101,MOD(45+$C11+(1),$B$3)+1)*J11+INDEX(Symboles!$H$6:$H$101,MOD(45+$C11+(2),$B$3)+1)*K11+INDEX(Symboles!$H$6:$H$101,MOD(45+$C11+(3),$B$3)+1)*L11+INDEX(Symboles!$H$6:$H$101,MOD(45+$C11+(4),$B$3)+1)*M11+IF($B$6=0,0,$B$6*NORMSINV(0.000001+0.999998*RAND())))</f>
        <v/>
      </c>
      <c r="FC11" s="30">
        <f>IF(47&gt;$B$3,99,INDEX(Symboles!$H$6:$H$101,MOD(46+$C11+(-4),$B$3)+1)*E11+INDEX(Symboles!$H$6:$H$101,MOD(46+$C11+(-3),$B$3)+1)*F11+INDEX(Symboles!$H$6:$H$101,MOD(46+$C11+(-2),$B$3)+1)*G11+INDEX(Symboles!$H$6:$H$101,MOD(46+$C11+(-1),$B$3)+1)*H11+INDEX(Symboles!$H$6:$H$101,MOD(46+$C11+(0),$B$3)+1)*I11+INDEX(Symboles!$H$6:$H$101,MOD(46+$C11+(1),$B$3)+1)*J11+INDEX(Symboles!$H$6:$H$101,MOD(46+$C11+(2),$B$3)+1)*K11+INDEX(Symboles!$H$6:$H$101,MOD(46+$C11+(3),$B$3)+1)*L11+INDEX(Symboles!$H$6:$H$101,MOD(46+$C11+(4),$B$3)+1)*M11+IF($B$6=0,0,$B$6*NORMSINV(0.000001+0.999998*RAND())))</f>
        <v/>
      </c>
      <c r="FD11" s="30">
        <f>IF(48&gt;$B$3,99,INDEX(Symboles!$H$6:$H$101,MOD(47+$C11+(-4),$B$3)+1)*E11+INDEX(Symboles!$H$6:$H$101,MOD(47+$C11+(-3),$B$3)+1)*F11+INDEX(Symboles!$H$6:$H$101,MOD(47+$C11+(-2),$B$3)+1)*G11+INDEX(Symboles!$H$6:$H$101,MOD(47+$C11+(-1),$B$3)+1)*H11+INDEX(Symboles!$H$6:$H$101,MOD(47+$C11+(0),$B$3)+1)*I11+INDEX(Symboles!$H$6:$H$101,MOD(47+$C11+(1),$B$3)+1)*J11+INDEX(Symboles!$H$6:$H$101,MOD(47+$C11+(2),$B$3)+1)*K11+INDEX(Symboles!$H$6:$H$101,MOD(47+$C11+(3),$B$3)+1)*L11+INDEX(Symboles!$H$6:$H$101,MOD(47+$C11+(4),$B$3)+1)*M11+IF($B$6=0,0,$B$6*NORMSINV(0.000001+0.999998*RAND())))</f>
        <v/>
      </c>
      <c r="FE11" s="30">
        <f>IF(49&gt;$B$3,99,INDEX(Symboles!$H$6:$H$101,MOD(48+$C11+(-4),$B$3)+1)*E11+INDEX(Symboles!$H$6:$H$101,MOD(48+$C11+(-3),$B$3)+1)*F11+INDEX(Symboles!$H$6:$H$101,MOD(48+$C11+(-2),$B$3)+1)*G11+INDEX(Symboles!$H$6:$H$101,MOD(48+$C11+(-1),$B$3)+1)*H11+INDEX(Symboles!$H$6:$H$101,MOD(48+$C11+(0),$B$3)+1)*I11+INDEX(Symboles!$H$6:$H$101,MOD(48+$C11+(1),$B$3)+1)*J11+INDEX(Symboles!$H$6:$H$101,MOD(48+$C11+(2),$B$3)+1)*K11+INDEX(Symboles!$H$6:$H$101,MOD(48+$C11+(3),$B$3)+1)*L11+INDEX(Symboles!$H$6:$H$101,MOD(48+$C11+(4),$B$3)+1)*M11+IF($B$6=0,0,$B$6*NORMSINV(0.000001+0.999998*RAND())))</f>
        <v/>
      </c>
      <c r="FF11" s="30">
        <f>IF(50&gt;$B$3,99,INDEX(Symboles!$H$6:$H$101,MOD(49+$C11+(-4),$B$3)+1)*E11+INDEX(Symboles!$H$6:$H$101,MOD(49+$C11+(-3),$B$3)+1)*F11+INDEX(Symboles!$H$6:$H$101,MOD(49+$C11+(-2),$B$3)+1)*G11+INDEX(Symboles!$H$6:$H$101,MOD(49+$C11+(-1),$B$3)+1)*H11+INDEX(Symboles!$H$6:$H$101,MOD(49+$C11+(0),$B$3)+1)*I11+INDEX(Symboles!$H$6:$H$101,MOD(49+$C11+(1),$B$3)+1)*J11+INDEX(Symboles!$H$6:$H$101,MOD(49+$C11+(2),$B$3)+1)*K11+INDEX(Symboles!$H$6:$H$101,MOD(49+$C11+(3),$B$3)+1)*L11+INDEX(Symboles!$H$6:$H$101,MOD(49+$C11+(4),$B$3)+1)*M11+IF($B$6=0,0,$B$6*NORMSINV(0.000001+0.999998*RAND())))</f>
        <v/>
      </c>
      <c r="FG11" s="30">
        <f>IF(51&gt;$B$3,99,INDEX(Symboles!$H$6:$H$101,MOD(50+$C11+(-4),$B$3)+1)*E11+INDEX(Symboles!$H$6:$H$101,MOD(50+$C11+(-3),$B$3)+1)*F11+INDEX(Symboles!$H$6:$H$101,MOD(50+$C11+(-2),$B$3)+1)*G11+INDEX(Symboles!$H$6:$H$101,MOD(50+$C11+(-1),$B$3)+1)*H11+INDEX(Symboles!$H$6:$H$101,MOD(50+$C11+(0),$B$3)+1)*I11+INDEX(Symboles!$H$6:$H$101,MOD(50+$C11+(1),$B$3)+1)*J11+INDEX(Symboles!$H$6:$H$101,MOD(50+$C11+(2),$B$3)+1)*K11+INDEX(Symboles!$H$6:$H$101,MOD(50+$C11+(3),$B$3)+1)*L11+INDEX(Symboles!$H$6:$H$101,MOD(50+$C11+(4),$B$3)+1)*M11+IF($B$6=0,0,$B$6*NORMSINV(0.000001+0.999998*RAND())))</f>
        <v/>
      </c>
      <c r="FH11" s="30">
        <f>IF(52&gt;$B$3,99,INDEX(Symboles!$H$6:$H$101,MOD(51+$C11+(-4),$B$3)+1)*E11+INDEX(Symboles!$H$6:$H$101,MOD(51+$C11+(-3),$B$3)+1)*F11+INDEX(Symboles!$H$6:$H$101,MOD(51+$C11+(-2),$B$3)+1)*G11+INDEX(Symboles!$H$6:$H$101,MOD(51+$C11+(-1),$B$3)+1)*H11+INDEX(Symboles!$H$6:$H$101,MOD(51+$C11+(0),$B$3)+1)*I11+INDEX(Symboles!$H$6:$H$101,MOD(51+$C11+(1),$B$3)+1)*J11+INDEX(Symboles!$H$6:$H$101,MOD(51+$C11+(2),$B$3)+1)*K11+INDEX(Symboles!$H$6:$H$101,MOD(51+$C11+(3),$B$3)+1)*L11+INDEX(Symboles!$H$6:$H$101,MOD(51+$C11+(4),$B$3)+1)*M11+IF($B$6=0,0,$B$6*NORMSINV(0.000001+0.999998*RAND())))</f>
        <v/>
      </c>
      <c r="FI11" s="30">
        <f>IF(53&gt;$B$3,99,INDEX(Symboles!$H$6:$H$101,MOD(52+$C11+(-4),$B$3)+1)*E11+INDEX(Symboles!$H$6:$H$101,MOD(52+$C11+(-3),$B$3)+1)*F11+INDEX(Symboles!$H$6:$H$101,MOD(52+$C11+(-2),$B$3)+1)*G11+INDEX(Symboles!$H$6:$H$101,MOD(52+$C11+(-1),$B$3)+1)*H11+INDEX(Symboles!$H$6:$H$101,MOD(52+$C11+(0),$B$3)+1)*I11+INDEX(Symboles!$H$6:$H$101,MOD(52+$C11+(1),$B$3)+1)*J11+INDEX(Symboles!$H$6:$H$101,MOD(52+$C11+(2),$B$3)+1)*K11+INDEX(Symboles!$H$6:$H$101,MOD(52+$C11+(3),$B$3)+1)*L11+INDEX(Symboles!$H$6:$H$101,MOD(52+$C11+(4),$B$3)+1)*M11+IF($B$6=0,0,$B$6*NORMSINV(0.000001+0.999998*RAND())))</f>
        <v/>
      </c>
      <c r="FJ11" s="30">
        <f>IF(54&gt;$B$3,99,INDEX(Symboles!$H$6:$H$101,MOD(53+$C11+(-4),$B$3)+1)*E11+INDEX(Symboles!$H$6:$H$101,MOD(53+$C11+(-3),$B$3)+1)*F11+INDEX(Symboles!$H$6:$H$101,MOD(53+$C11+(-2),$B$3)+1)*G11+INDEX(Symboles!$H$6:$H$101,MOD(53+$C11+(-1),$B$3)+1)*H11+INDEX(Symboles!$H$6:$H$101,MOD(53+$C11+(0),$B$3)+1)*I11+INDEX(Symboles!$H$6:$H$101,MOD(53+$C11+(1),$B$3)+1)*J11+INDEX(Symboles!$H$6:$H$101,MOD(53+$C11+(2),$B$3)+1)*K11+INDEX(Symboles!$H$6:$H$101,MOD(53+$C11+(3),$B$3)+1)*L11+INDEX(Symboles!$H$6:$H$101,MOD(53+$C11+(4),$B$3)+1)*M11+IF($B$6=0,0,$B$6*NORMSINV(0.000001+0.999998*RAND())))</f>
        <v/>
      </c>
      <c r="FK11" s="30">
        <f>IF(55&gt;$B$3,99,INDEX(Symboles!$H$6:$H$101,MOD(54+$C11+(-4),$B$3)+1)*E11+INDEX(Symboles!$H$6:$H$101,MOD(54+$C11+(-3),$B$3)+1)*F11+INDEX(Symboles!$H$6:$H$101,MOD(54+$C11+(-2),$B$3)+1)*G11+INDEX(Symboles!$H$6:$H$101,MOD(54+$C11+(-1),$B$3)+1)*H11+INDEX(Symboles!$H$6:$H$101,MOD(54+$C11+(0),$B$3)+1)*I11+INDEX(Symboles!$H$6:$H$101,MOD(54+$C11+(1),$B$3)+1)*J11+INDEX(Symboles!$H$6:$H$101,MOD(54+$C11+(2),$B$3)+1)*K11+INDEX(Symboles!$H$6:$H$101,MOD(54+$C11+(3),$B$3)+1)*L11+INDEX(Symboles!$H$6:$H$101,MOD(54+$C11+(4),$B$3)+1)*M11+IF($B$6=0,0,$B$6*NORMSINV(0.000001+0.999998*RAND())))</f>
        <v/>
      </c>
      <c r="FL11" s="30">
        <f>IF(56&gt;$B$3,99,INDEX(Symboles!$H$6:$H$101,MOD(55+$C11+(-4),$B$3)+1)*E11+INDEX(Symboles!$H$6:$H$101,MOD(55+$C11+(-3),$B$3)+1)*F11+INDEX(Symboles!$H$6:$H$101,MOD(55+$C11+(-2),$B$3)+1)*G11+INDEX(Symboles!$H$6:$H$101,MOD(55+$C11+(-1),$B$3)+1)*H11+INDEX(Symboles!$H$6:$H$101,MOD(55+$C11+(0),$B$3)+1)*I11+INDEX(Symboles!$H$6:$H$101,MOD(55+$C11+(1),$B$3)+1)*J11+INDEX(Symboles!$H$6:$H$101,MOD(55+$C11+(2),$B$3)+1)*K11+INDEX(Symboles!$H$6:$H$101,MOD(55+$C11+(3),$B$3)+1)*L11+INDEX(Symboles!$H$6:$H$101,MOD(55+$C11+(4),$B$3)+1)*M11+IF($B$6=0,0,$B$6*NORMSINV(0.000001+0.999998*RAND())))</f>
        <v/>
      </c>
      <c r="FM11" s="30">
        <f>IF(57&gt;$B$3,99,INDEX(Symboles!$H$6:$H$101,MOD(56+$C11+(-4),$B$3)+1)*E11+INDEX(Symboles!$H$6:$H$101,MOD(56+$C11+(-3),$B$3)+1)*F11+INDEX(Symboles!$H$6:$H$101,MOD(56+$C11+(-2),$B$3)+1)*G11+INDEX(Symboles!$H$6:$H$101,MOD(56+$C11+(-1),$B$3)+1)*H11+INDEX(Symboles!$H$6:$H$101,MOD(56+$C11+(0),$B$3)+1)*I11+INDEX(Symboles!$H$6:$H$101,MOD(56+$C11+(1),$B$3)+1)*J11+INDEX(Symboles!$H$6:$H$101,MOD(56+$C11+(2),$B$3)+1)*K11+INDEX(Symboles!$H$6:$H$101,MOD(56+$C11+(3),$B$3)+1)*L11+INDEX(Symboles!$H$6:$H$101,MOD(56+$C11+(4),$B$3)+1)*M11+IF($B$6=0,0,$B$6*NORMSINV(0.000001+0.999998*RAND())))</f>
        <v/>
      </c>
      <c r="FN11" s="30">
        <f>IF(58&gt;$B$3,99,INDEX(Symboles!$H$6:$H$101,MOD(57+$C11+(-4),$B$3)+1)*E11+INDEX(Symboles!$H$6:$H$101,MOD(57+$C11+(-3),$B$3)+1)*F11+INDEX(Symboles!$H$6:$H$101,MOD(57+$C11+(-2),$B$3)+1)*G11+INDEX(Symboles!$H$6:$H$101,MOD(57+$C11+(-1),$B$3)+1)*H11+INDEX(Symboles!$H$6:$H$101,MOD(57+$C11+(0),$B$3)+1)*I11+INDEX(Symboles!$H$6:$H$101,MOD(57+$C11+(1),$B$3)+1)*J11+INDEX(Symboles!$H$6:$H$101,MOD(57+$C11+(2),$B$3)+1)*K11+INDEX(Symboles!$H$6:$H$101,MOD(57+$C11+(3),$B$3)+1)*L11+INDEX(Symboles!$H$6:$H$101,MOD(57+$C11+(4),$B$3)+1)*M11+IF($B$6=0,0,$B$6*NORMSINV(0.000001+0.999998*RAND())))</f>
        <v/>
      </c>
      <c r="FO11" s="30">
        <f>IF(59&gt;$B$3,99,INDEX(Symboles!$H$6:$H$101,MOD(58+$C11+(-4),$B$3)+1)*E11+INDEX(Symboles!$H$6:$H$101,MOD(58+$C11+(-3),$B$3)+1)*F11+INDEX(Symboles!$H$6:$H$101,MOD(58+$C11+(-2),$B$3)+1)*G11+INDEX(Symboles!$H$6:$H$101,MOD(58+$C11+(-1),$B$3)+1)*H11+INDEX(Symboles!$H$6:$H$101,MOD(58+$C11+(0),$B$3)+1)*I11+INDEX(Symboles!$H$6:$H$101,MOD(58+$C11+(1),$B$3)+1)*J11+INDEX(Symboles!$H$6:$H$101,MOD(58+$C11+(2),$B$3)+1)*K11+INDEX(Symboles!$H$6:$H$101,MOD(58+$C11+(3),$B$3)+1)*L11+INDEX(Symboles!$H$6:$H$101,MOD(58+$C11+(4),$B$3)+1)*M11+IF($B$6=0,0,$B$6*NORMSINV(0.000001+0.999998*RAND())))</f>
        <v/>
      </c>
      <c r="FP11" s="30">
        <f>IF(60&gt;$B$3,99,INDEX(Symboles!$H$6:$H$101,MOD(59+$C11+(-4),$B$3)+1)*E11+INDEX(Symboles!$H$6:$H$101,MOD(59+$C11+(-3),$B$3)+1)*F11+INDEX(Symboles!$H$6:$H$101,MOD(59+$C11+(-2),$B$3)+1)*G11+INDEX(Symboles!$H$6:$H$101,MOD(59+$C11+(-1),$B$3)+1)*H11+INDEX(Symboles!$H$6:$H$101,MOD(59+$C11+(0),$B$3)+1)*I11+INDEX(Symboles!$H$6:$H$101,MOD(59+$C11+(1),$B$3)+1)*J11+INDEX(Symboles!$H$6:$H$101,MOD(59+$C11+(2),$B$3)+1)*K11+INDEX(Symboles!$H$6:$H$101,MOD(59+$C11+(3),$B$3)+1)*L11+INDEX(Symboles!$H$6:$H$101,MOD(59+$C11+(4),$B$3)+1)*M11+IF($B$6=0,0,$B$6*NORMSINV(0.000001+0.999998*RAND())))</f>
        <v/>
      </c>
      <c r="FQ11" s="30">
        <f>IF(61&gt;$B$3,99,INDEX(Symboles!$H$6:$H$101,MOD(60+$C11+(-4),$B$3)+1)*E11+INDEX(Symboles!$H$6:$H$101,MOD(60+$C11+(-3),$B$3)+1)*F11+INDEX(Symboles!$H$6:$H$101,MOD(60+$C11+(-2),$B$3)+1)*G11+INDEX(Symboles!$H$6:$H$101,MOD(60+$C11+(-1),$B$3)+1)*H11+INDEX(Symboles!$H$6:$H$101,MOD(60+$C11+(0),$B$3)+1)*I11+INDEX(Symboles!$H$6:$H$101,MOD(60+$C11+(1),$B$3)+1)*J11+INDEX(Symboles!$H$6:$H$101,MOD(60+$C11+(2),$B$3)+1)*K11+INDEX(Symboles!$H$6:$H$101,MOD(60+$C11+(3),$B$3)+1)*L11+INDEX(Symboles!$H$6:$H$101,MOD(60+$C11+(4),$B$3)+1)*M11+IF($B$6=0,0,$B$6*NORMSINV(0.000001+0.999998*RAND())))</f>
        <v/>
      </c>
      <c r="FR11" s="30">
        <f>IF(62&gt;$B$3,99,INDEX(Symboles!$H$6:$H$101,MOD(61+$C11+(-4),$B$3)+1)*E11+INDEX(Symboles!$H$6:$H$101,MOD(61+$C11+(-3),$B$3)+1)*F11+INDEX(Symboles!$H$6:$H$101,MOD(61+$C11+(-2),$B$3)+1)*G11+INDEX(Symboles!$H$6:$H$101,MOD(61+$C11+(-1),$B$3)+1)*H11+INDEX(Symboles!$H$6:$H$101,MOD(61+$C11+(0),$B$3)+1)*I11+INDEX(Symboles!$H$6:$H$101,MOD(61+$C11+(1),$B$3)+1)*J11+INDEX(Symboles!$H$6:$H$101,MOD(61+$C11+(2),$B$3)+1)*K11+INDEX(Symboles!$H$6:$H$101,MOD(61+$C11+(3),$B$3)+1)*L11+INDEX(Symboles!$H$6:$H$101,MOD(61+$C11+(4),$B$3)+1)*M11+IF($B$6=0,0,$B$6*NORMSINV(0.000001+0.999998*RAND())))</f>
        <v/>
      </c>
      <c r="FS11" s="30">
        <f>IF(63&gt;$B$3,99,INDEX(Symboles!$H$6:$H$101,MOD(62+$C11+(-4),$B$3)+1)*E11+INDEX(Symboles!$H$6:$H$101,MOD(62+$C11+(-3),$B$3)+1)*F11+INDEX(Symboles!$H$6:$H$101,MOD(62+$C11+(-2),$B$3)+1)*G11+INDEX(Symboles!$H$6:$H$101,MOD(62+$C11+(-1),$B$3)+1)*H11+INDEX(Symboles!$H$6:$H$101,MOD(62+$C11+(0),$B$3)+1)*I11+INDEX(Symboles!$H$6:$H$101,MOD(62+$C11+(1),$B$3)+1)*J11+INDEX(Symboles!$H$6:$H$101,MOD(62+$C11+(2),$B$3)+1)*K11+INDEX(Symboles!$H$6:$H$101,MOD(62+$C11+(3),$B$3)+1)*L11+INDEX(Symboles!$H$6:$H$101,MOD(62+$C11+(4),$B$3)+1)*M11+IF($B$6=0,0,$B$6*NORMSINV(0.000001+0.999998*RAND())))</f>
        <v/>
      </c>
      <c r="FT11" s="30">
        <f>IF(64&gt;$B$3,99,INDEX(Symboles!$H$6:$H$101,MOD(63+$C11+(-4),$B$3)+1)*E11+INDEX(Symboles!$H$6:$H$101,MOD(63+$C11+(-3),$B$3)+1)*F11+INDEX(Symboles!$H$6:$H$101,MOD(63+$C11+(-2),$B$3)+1)*G11+INDEX(Symboles!$H$6:$H$101,MOD(63+$C11+(-1),$B$3)+1)*H11+INDEX(Symboles!$H$6:$H$101,MOD(63+$C11+(0),$B$3)+1)*I11+INDEX(Symboles!$H$6:$H$101,MOD(63+$C11+(1),$B$3)+1)*J11+INDEX(Symboles!$H$6:$H$101,MOD(63+$C11+(2),$B$3)+1)*K11+INDEX(Symboles!$H$6:$H$101,MOD(63+$C11+(3),$B$3)+1)*L11+INDEX(Symboles!$H$6:$H$101,MOD(63+$C11+(4),$B$3)+1)*M11+IF($B$6=0,0,$B$6*NORMSINV(0.000001+0.999998*RAND())))</f>
        <v/>
      </c>
      <c r="FU11" s="30">
        <f>IF(65&gt;$B$3,99,INDEX(Symboles!$H$6:$H$101,MOD(64+$C11+(-4),$B$3)+1)*E11+INDEX(Symboles!$H$6:$H$101,MOD(64+$C11+(-3),$B$3)+1)*F11+INDEX(Symboles!$H$6:$H$101,MOD(64+$C11+(-2),$B$3)+1)*G11+INDEX(Symboles!$H$6:$H$101,MOD(64+$C11+(-1),$B$3)+1)*H11+INDEX(Symboles!$H$6:$H$101,MOD(64+$C11+(0),$B$3)+1)*I11+INDEX(Symboles!$H$6:$H$101,MOD(64+$C11+(1),$B$3)+1)*J11+INDEX(Symboles!$H$6:$H$101,MOD(64+$C11+(2),$B$3)+1)*K11+INDEX(Symboles!$H$6:$H$101,MOD(64+$C11+(3),$B$3)+1)*L11+INDEX(Symboles!$H$6:$H$101,MOD(64+$C11+(4),$B$3)+1)*M11+IF($B$6=0,0,$B$6*NORMSINV(0.000001+0.999998*RAND())))</f>
        <v/>
      </c>
      <c r="FV11" s="30">
        <f>IF(66&gt;$B$3,99,INDEX(Symboles!$H$6:$H$101,MOD(65+$C11+(-4),$B$3)+1)*E11+INDEX(Symboles!$H$6:$H$101,MOD(65+$C11+(-3),$B$3)+1)*F11+INDEX(Symboles!$H$6:$H$101,MOD(65+$C11+(-2),$B$3)+1)*G11+INDEX(Symboles!$H$6:$H$101,MOD(65+$C11+(-1),$B$3)+1)*H11+INDEX(Symboles!$H$6:$H$101,MOD(65+$C11+(0),$B$3)+1)*I11+INDEX(Symboles!$H$6:$H$101,MOD(65+$C11+(1),$B$3)+1)*J11+INDEX(Symboles!$H$6:$H$101,MOD(65+$C11+(2),$B$3)+1)*K11+INDEX(Symboles!$H$6:$H$101,MOD(65+$C11+(3),$B$3)+1)*L11+INDEX(Symboles!$H$6:$H$101,MOD(65+$C11+(4),$B$3)+1)*M11+IF($B$6=0,0,$B$6*NORMSINV(0.000001+0.999998*RAND())))</f>
        <v/>
      </c>
      <c r="FW11" s="30">
        <f>IF(67&gt;$B$3,99,INDEX(Symboles!$H$6:$H$101,MOD(66+$C11+(-4),$B$3)+1)*E11+INDEX(Symboles!$H$6:$H$101,MOD(66+$C11+(-3),$B$3)+1)*F11+INDEX(Symboles!$H$6:$H$101,MOD(66+$C11+(-2),$B$3)+1)*G11+INDEX(Symboles!$H$6:$H$101,MOD(66+$C11+(-1),$B$3)+1)*H11+INDEX(Symboles!$H$6:$H$101,MOD(66+$C11+(0),$B$3)+1)*I11+INDEX(Symboles!$H$6:$H$101,MOD(66+$C11+(1),$B$3)+1)*J11+INDEX(Symboles!$H$6:$H$101,MOD(66+$C11+(2),$B$3)+1)*K11+INDEX(Symboles!$H$6:$H$101,MOD(66+$C11+(3),$B$3)+1)*L11+INDEX(Symboles!$H$6:$H$101,MOD(66+$C11+(4),$B$3)+1)*M11+IF($B$6=0,0,$B$6*NORMSINV(0.000001+0.999998*RAND())))</f>
        <v/>
      </c>
      <c r="FX11" s="30">
        <f>IF(68&gt;$B$3,99,INDEX(Symboles!$H$6:$H$101,MOD(67+$C11+(-4),$B$3)+1)*E11+INDEX(Symboles!$H$6:$H$101,MOD(67+$C11+(-3),$B$3)+1)*F11+INDEX(Symboles!$H$6:$H$101,MOD(67+$C11+(-2),$B$3)+1)*G11+INDEX(Symboles!$H$6:$H$101,MOD(67+$C11+(-1),$B$3)+1)*H11+INDEX(Symboles!$H$6:$H$101,MOD(67+$C11+(0),$B$3)+1)*I11+INDEX(Symboles!$H$6:$H$101,MOD(67+$C11+(1),$B$3)+1)*J11+INDEX(Symboles!$H$6:$H$101,MOD(67+$C11+(2),$B$3)+1)*K11+INDEX(Symboles!$H$6:$H$101,MOD(67+$C11+(3),$B$3)+1)*L11+INDEX(Symboles!$H$6:$H$101,MOD(67+$C11+(4),$B$3)+1)*M11+IF($B$6=0,0,$B$6*NORMSINV(0.000001+0.999998*RAND())))</f>
        <v/>
      </c>
      <c r="FY11" s="30">
        <f>IF(69&gt;$B$3,99,INDEX(Symboles!$H$6:$H$101,MOD(68+$C11+(-4),$B$3)+1)*E11+INDEX(Symboles!$H$6:$H$101,MOD(68+$C11+(-3),$B$3)+1)*F11+INDEX(Symboles!$H$6:$H$101,MOD(68+$C11+(-2),$B$3)+1)*G11+INDEX(Symboles!$H$6:$H$101,MOD(68+$C11+(-1),$B$3)+1)*H11+INDEX(Symboles!$H$6:$H$101,MOD(68+$C11+(0),$B$3)+1)*I11+INDEX(Symboles!$H$6:$H$101,MOD(68+$C11+(1),$B$3)+1)*J11+INDEX(Symboles!$H$6:$H$101,MOD(68+$C11+(2),$B$3)+1)*K11+INDEX(Symboles!$H$6:$H$101,MOD(68+$C11+(3),$B$3)+1)*L11+INDEX(Symboles!$H$6:$H$101,MOD(68+$C11+(4),$B$3)+1)*M11+IF($B$6=0,0,$B$6*NORMSINV(0.000001+0.999998*RAND())))</f>
        <v/>
      </c>
      <c r="FZ11" s="30">
        <f>IF(70&gt;$B$3,99,INDEX(Symboles!$H$6:$H$101,MOD(69+$C11+(-4),$B$3)+1)*E11+INDEX(Symboles!$H$6:$H$101,MOD(69+$C11+(-3),$B$3)+1)*F11+INDEX(Symboles!$H$6:$H$101,MOD(69+$C11+(-2),$B$3)+1)*G11+INDEX(Symboles!$H$6:$H$101,MOD(69+$C11+(-1),$B$3)+1)*H11+INDEX(Symboles!$H$6:$H$101,MOD(69+$C11+(0),$B$3)+1)*I11+INDEX(Symboles!$H$6:$H$101,MOD(69+$C11+(1),$B$3)+1)*J11+INDEX(Symboles!$H$6:$H$101,MOD(69+$C11+(2),$B$3)+1)*K11+INDEX(Symboles!$H$6:$H$101,MOD(69+$C11+(3),$B$3)+1)*L11+INDEX(Symboles!$H$6:$H$101,MOD(69+$C11+(4),$B$3)+1)*M11+IF($B$6=0,0,$B$6*NORMSINV(0.000001+0.999998*RAND())))</f>
        <v/>
      </c>
      <c r="GA11" s="30">
        <f>IF(71&gt;$B$3,99,INDEX(Symboles!$H$6:$H$101,MOD(70+$C11+(-4),$B$3)+1)*E11+INDEX(Symboles!$H$6:$H$101,MOD(70+$C11+(-3),$B$3)+1)*F11+INDEX(Symboles!$H$6:$H$101,MOD(70+$C11+(-2),$B$3)+1)*G11+INDEX(Symboles!$H$6:$H$101,MOD(70+$C11+(-1),$B$3)+1)*H11+INDEX(Symboles!$H$6:$H$101,MOD(70+$C11+(0),$B$3)+1)*I11+INDEX(Symboles!$H$6:$H$101,MOD(70+$C11+(1),$B$3)+1)*J11+INDEX(Symboles!$H$6:$H$101,MOD(70+$C11+(2),$B$3)+1)*K11+INDEX(Symboles!$H$6:$H$101,MOD(70+$C11+(3),$B$3)+1)*L11+INDEX(Symboles!$H$6:$H$101,MOD(70+$C11+(4),$B$3)+1)*M11+IF($B$6=0,0,$B$6*NORMSINV(0.000001+0.999998*RAND())))</f>
        <v/>
      </c>
      <c r="GB11" s="30">
        <f>IF(72&gt;$B$3,99,INDEX(Symboles!$H$6:$H$101,MOD(71+$C11+(-4),$B$3)+1)*E11+INDEX(Symboles!$H$6:$H$101,MOD(71+$C11+(-3),$B$3)+1)*F11+INDEX(Symboles!$H$6:$H$101,MOD(71+$C11+(-2),$B$3)+1)*G11+INDEX(Symboles!$H$6:$H$101,MOD(71+$C11+(-1),$B$3)+1)*H11+INDEX(Symboles!$H$6:$H$101,MOD(71+$C11+(0),$B$3)+1)*I11+INDEX(Symboles!$H$6:$H$101,MOD(71+$C11+(1),$B$3)+1)*J11+INDEX(Symboles!$H$6:$H$101,MOD(71+$C11+(2),$B$3)+1)*K11+INDEX(Symboles!$H$6:$H$101,MOD(71+$C11+(3),$B$3)+1)*L11+INDEX(Symboles!$H$6:$H$101,MOD(71+$C11+(4),$B$3)+1)*M11+IF($B$6=0,0,$B$6*NORMSINV(0.000001+0.999998*RAND())))</f>
        <v/>
      </c>
      <c r="GC11" s="30">
        <f>IF(73&gt;$B$3,99,INDEX(Symboles!$H$6:$H$101,MOD(72+$C11+(-4),$B$3)+1)*E11+INDEX(Symboles!$H$6:$H$101,MOD(72+$C11+(-3),$B$3)+1)*F11+INDEX(Symboles!$H$6:$H$101,MOD(72+$C11+(-2),$B$3)+1)*G11+INDEX(Symboles!$H$6:$H$101,MOD(72+$C11+(-1),$B$3)+1)*H11+INDEX(Symboles!$H$6:$H$101,MOD(72+$C11+(0),$B$3)+1)*I11+INDEX(Symboles!$H$6:$H$101,MOD(72+$C11+(1),$B$3)+1)*J11+INDEX(Symboles!$H$6:$H$101,MOD(72+$C11+(2),$B$3)+1)*K11+INDEX(Symboles!$H$6:$H$101,MOD(72+$C11+(3),$B$3)+1)*L11+INDEX(Symboles!$H$6:$H$101,MOD(72+$C11+(4),$B$3)+1)*M11+IF($B$6=0,0,$B$6*NORMSINV(0.000001+0.999998*RAND())))</f>
        <v/>
      </c>
      <c r="GD11" s="30">
        <f>IF(74&gt;$B$3,99,INDEX(Symboles!$H$6:$H$101,MOD(73+$C11+(-4),$B$3)+1)*E11+INDEX(Symboles!$H$6:$H$101,MOD(73+$C11+(-3),$B$3)+1)*F11+INDEX(Symboles!$H$6:$H$101,MOD(73+$C11+(-2),$B$3)+1)*G11+INDEX(Symboles!$H$6:$H$101,MOD(73+$C11+(-1),$B$3)+1)*H11+INDEX(Symboles!$H$6:$H$101,MOD(73+$C11+(0),$B$3)+1)*I11+INDEX(Symboles!$H$6:$H$101,MOD(73+$C11+(1),$B$3)+1)*J11+INDEX(Symboles!$H$6:$H$101,MOD(73+$C11+(2),$B$3)+1)*K11+INDEX(Symboles!$H$6:$H$101,MOD(73+$C11+(3),$B$3)+1)*L11+INDEX(Symboles!$H$6:$H$101,MOD(73+$C11+(4),$B$3)+1)*M11+IF($B$6=0,0,$B$6*NORMSINV(0.000001+0.999998*RAND())))</f>
        <v/>
      </c>
      <c r="GE11" s="30">
        <f>IF(75&gt;$B$3,99,INDEX(Symboles!$H$6:$H$101,MOD(74+$C11+(-4),$B$3)+1)*E11+INDEX(Symboles!$H$6:$H$101,MOD(74+$C11+(-3),$B$3)+1)*F11+INDEX(Symboles!$H$6:$H$101,MOD(74+$C11+(-2),$B$3)+1)*G11+INDEX(Symboles!$H$6:$H$101,MOD(74+$C11+(-1),$B$3)+1)*H11+INDEX(Symboles!$H$6:$H$101,MOD(74+$C11+(0),$B$3)+1)*I11+INDEX(Symboles!$H$6:$H$101,MOD(74+$C11+(1),$B$3)+1)*J11+INDEX(Symboles!$H$6:$H$101,MOD(74+$C11+(2),$B$3)+1)*K11+INDEX(Symboles!$H$6:$H$101,MOD(74+$C11+(3),$B$3)+1)*L11+INDEX(Symboles!$H$6:$H$101,MOD(74+$C11+(4),$B$3)+1)*M11+IF($B$6=0,0,$B$6*NORMSINV(0.000001+0.999998*RAND())))</f>
        <v/>
      </c>
      <c r="GF11" s="30">
        <f>IF(76&gt;$B$3,99,INDEX(Symboles!$H$6:$H$101,MOD(75+$C11+(-4),$B$3)+1)*E11+INDEX(Symboles!$H$6:$H$101,MOD(75+$C11+(-3),$B$3)+1)*F11+INDEX(Symboles!$H$6:$H$101,MOD(75+$C11+(-2),$B$3)+1)*G11+INDEX(Symboles!$H$6:$H$101,MOD(75+$C11+(-1),$B$3)+1)*H11+INDEX(Symboles!$H$6:$H$101,MOD(75+$C11+(0),$B$3)+1)*I11+INDEX(Symboles!$H$6:$H$101,MOD(75+$C11+(1),$B$3)+1)*J11+INDEX(Symboles!$H$6:$H$101,MOD(75+$C11+(2),$B$3)+1)*K11+INDEX(Symboles!$H$6:$H$101,MOD(75+$C11+(3),$B$3)+1)*L11+INDEX(Symboles!$H$6:$H$101,MOD(75+$C11+(4),$B$3)+1)*M11+IF($B$6=0,0,$B$6*NORMSINV(0.000001+0.999998*RAND())))</f>
        <v/>
      </c>
      <c r="GG11" s="30">
        <f>IF(77&gt;$B$3,99,INDEX(Symboles!$H$6:$H$101,MOD(76+$C11+(-4),$B$3)+1)*E11+INDEX(Symboles!$H$6:$H$101,MOD(76+$C11+(-3),$B$3)+1)*F11+INDEX(Symboles!$H$6:$H$101,MOD(76+$C11+(-2),$B$3)+1)*G11+INDEX(Symboles!$H$6:$H$101,MOD(76+$C11+(-1),$B$3)+1)*H11+INDEX(Symboles!$H$6:$H$101,MOD(76+$C11+(0),$B$3)+1)*I11+INDEX(Symboles!$H$6:$H$101,MOD(76+$C11+(1),$B$3)+1)*J11+INDEX(Symboles!$H$6:$H$101,MOD(76+$C11+(2),$B$3)+1)*K11+INDEX(Symboles!$H$6:$H$101,MOD(76+$C11+(3),$B$3)+1)*L11+INDEX(Symboles!$H$6:$H$101,MOD(76+$C11+(4),$B$3)+1)*M11+IF($B$6=0,0,$B$6*NORMSINV(0.000001+0.999998*RAND())))</f>
        <v/>
      </c>
      <c r="GH11" s="30">
        <f>IF(78&gt;$B$3,99,INDEX(Symboles!$H$6:$H$101,MOD(77+$C11+(-4),$B$3)+1)*E11+INDEX(Symboles!$H$6:$H$101,MOD(77+$C11+(-3),$B$3)+1)*F11+INDEX(Symboles!$H$6:$H$101,MOD(77+$C11+(-2),$B$3)+1)*G11+INDEX(Symboles!$H$6:$H$101,MOD(77+$C11+(-1),$B$3)+1)*H11+INDEX(Symboles!$H$6:$H$101,MOD(77+$C11+(0),$B$3)+1)*I11+INDEX(Symboles!$H$6:$H$101,MOD(77+$C11+(1),$B$3)+1)*J11+INDEX(Symboles!$H$6:$H$101,MOD(77+$C11+(2),$B$3)+1)*K11+INDEX(Symboles!$H$6:$H$101,MOD(77+$C11+(3),$B$3)+1)*L11+INDEX(Symboles!$H$6:$H$101,MOD(77+$C11+(4),$B$3)+1)*M11+IF($B$6=0,0,$B$6*NORMSINV(0.000001+0.999998*RAND())))</f>
        <v/>
      </c>
      <c r="GI11" s="30">
        <f>IF(79&gt;$B$3,99,INDEX(Symboles!$H$6:$H$101,MOD(78+$C11+(-4),$B$3)+1)*E11+INDEX(Symboles!$H$6:$H$101,MOD(78+$C11+(-3),$B$3)+1)*F11+INDEX(Symboles!$H$6:$H$101,MOD(78+$C11+(-2),$B$3)+1)*G11+INDEX(Symboles!$H$6:$H$101,MOD(78+$C11+(-1),$B$3)+1)*H11+INDEX(Symboles!$H$6:$H$101,MOD(78+$C11+(0),$B$3)+1)*I11+INDEX(Symboles!$H$6:$H$101,MOD(78+$C11+(1),$B$3)+1)*J11+INDEX(Symboles!$H$6:$H$101,MOD(78+$C11+(2),$B$3)+1)*K11+INDEX(Symboles!$H$6:$H$101,MOD(78+$C11+(3),$B$3)+1)*L11+INDEX(Symboles!$H$6:$H$101,MOD(78+$C11+(4),$B$3)+1)*M11+IF($B$6=0,0,$B$6*NORMSINV(0.000001+0.999998*RAND())))</f>
        <v/>
      </c>
      <c r="GJ11" s="30">
        <f>IF(80&gt;$B$3,99,INDEX(Symboles!$H$6:$H$101,MOD(79+$C11+(-4),$B$3)+1)*E11+INDEX(Symboles!$H$6:$H$101,MOD(79+$C11+(-3),$B$3)+1)*F11+INDEX(Symboles!$H$6:$H$101,MOD(79+$C11+(-2),$B$3)+1)*G11+INDEX(Symboles!$H$6:$H$101,MOD(79+$C11+(-1),$B$3)+1)*H11+INDEX(Symboles!$H$6:$H$101,MOD(79+$C11+(0),$B$3)+1)*I11+INDEX(Symboles!$H$6:$H$101,MOD(79+$C11+(1),$B$3)+1)*J11+INDEX(Symboles!$H$6:$H$101,MOD(79+$C11+(2),$B$3)+1)*K11+INDEX(Symboles!$H$6:$H$101,MOD(79+$C11+(3),$B$3)+1)*L11+INDEX(Symboles!$H$6:$H$101,MOD(79+$C11+(4),$B$3)+1)*M11+IF($B$6=0,0,$B$6*NORMSINV(0.000001+0.999998*RAND())))</f>
        <v/>
      </c>
      <c r="GK11" s="30">
        <f>IF(81&gt;$B$3,99,INDEX(Symboles!$H$6:$H$101,MOD(80+$C11+(-4),$B$3)+1)*E11+INDEX(Symboles!$H$6:$H$101,MOD(80+$C11+(-3),$B$3)+1)*F11+INDEX(Symboles!$H$6:$H$101,MOD(80+$C11+(-2),$B$3)+1)*G11+INDEX(Symboles!$H$6:$H$101,MOD(80+$C11+(-1),$B$3)+1)*H11+INDEX(Symboles!$H$6:$H$101,MOD(80+$C11+(0),$B$3)+1)*I11+INDEX(Symboles!$H$6:$H$101,MOD(80+$C11+(1),$B$3)+1)*J11+INDEX(Symboles!$H$6:$H$101,MOD(80+$C11+(2),$B$3)+1)*K11+INDEX(Symboles!$H$6:$H$101,MOD(80+$C11+(3),$B$3)+1)*L11+INDEX(Symboles!$H$6:$H$101,MOD(80+$C11+(4),$B$3)+1)*M11+IF($B$6=0,0,$B$6*NORMSINV(0.000001+0.999998*RAND())))</f>
        <v/>
      </c>
      <c r="GL11" s="30">
        <f>IF(82&gt;$B$3,99,INDEX(Symboles!$H$6:$H$101,MOD(81+$C11+(-4),$B$3)+1)*E11+INDEX(Symboles!$H$6:$H$101,MOD(81+$C11+(-3),$B$3)+1)*F11+INDEX(Symboles!$H$6:$H$101,MOD(81+$C11+(-2),$B$3)+1)*G11+INDEX(Symboles!$H$6:$H$101,MOD(81+$C11+(-1),$B$3)+1)*H11+INDEX(Symboles!$H$6:$H$101,MOD(81+$C11+(0),$B$3)+1)*I11+INDEX(Symboles!$H$6:$H$101,MOD(81+$C11+(1),$B$3)+1)*J11+INDEX(Symboles!$H$6:$H$101,MOD(81+$C11+(2),$B$3)+1)*K11+INDEX(Symboles!$H$6:$H$101,MOD(81+$C11+(3),$B$3)+1)*L11+INDEX(Symboles!$H$6:$H$101,MOD(81+$C11+(4),$B$3)+1)*M11+IF($B$6=0,0,$B$6*NORMSINV(0.000001+0.999998*RAND())))</f>
        <v/>
      </c>
      <c r="GM11" s="30">
        <f>IF(83&gt;$B$3,99,INDEX(Symboles!$H$6:$H$101,MOD(82+$C11+(-4),$B$3)+1)*E11+INDEX(Symboles!$H$6:$H$101,MOD(82+$C11+(-3),$B$3)+1)*F11+INDEX(Symboles!$H$6:$H$101,MOD(82+$C11+(-2),$B$3)+1)*G11+INDEX(Symboles!$H$6:$H$101,MOD(82+$C11+(-1),$B$3)+1)*H11+INDEX(Symboles!$H$6:$H$101,MOD(82+$C11+(0),$B$3)+1)*I11+INDEX(Symboles!$H$6:$H$101,MOD(82+$C11+(1),$B$3)+1)*J11+INDEX(Symboles!$H$6:$H$101,MOD(82+$C11+(2),$B$3)+1)*K11+INDEX(Symboles!$H$6:$H$101,MOD(82+$C11+(3),$B$3)+1)*L11+INDEX(Symboles!$H$6:$H$101,MOD(82+$C11+(4),$B$3)+1)*M11+IF($B$6=0,0,$B$6*NORMSINV(0.000001+0.999998*RAND())))</f>
        <v/>
      </c>
      <c r="GN11" s="30">
        <f>IF(84&gt;$B$3,99,INDEX(Symboles!$H$6:$H$101,MOD(83+$C11+(-4),$B$3)+1)*E11+INDEX(Symboles!$H$6:$H$101,MOD(83+$C11+(-3),$B$3)+1)*F11+INDEX(Symboles!$H$6:$H$101,MOD(83+$C11+(-2),$B$3)+1)*G11+INDEX(Symboles!$H$6:$H$101,MOD(83+$C11+(-1),$B$3)+1)*H11+INDEX(Symboles!$H$6:$H$101,MOD(83+$C11+(0),$B$3)+1)*I11+INDEX(Symboles!$H$6:$H$101,MOD(83+$C11+(1),$B$3)+1)*J11+INDEX(Symboles!$H$6:$H$101,MOD(83+$C11+(2),$B$3)+1)*K11+INDEX(Symboles!$H$6:$H$101,MOD(83+$C11+(3),$B$3)+1)*L11+INDEX(Symboles!$H$6:$H$101,MOD(83+$C11+(4),$B$3)+1)*M11+IF($B$6=0,0,$B$6*NORMSINV(0.000001+0.999998*RAND())))</f>
        <v/>
      </c>
      <c r="GO11" s="30">
        <f>IF(85&gt;$B$3,99,INDEX(Symboles!$H$6:$H$101,MOD(84+$C11+(-4),$B$3)+1)*E11+INDEX(Symboles!$H$6:$H$101,MOD(84+$C11+(-3),$B$3)+1)*F11+INDEX(Symboles!$H$6:$H$101,MOD(84+$C11+(-2),$B$3)+1)*G11+INDEX(Symboles!$H$6:$H$101,MOD(84+$C11+(-1),$B$3)+1)*H11+INDEX(Symboles!$H$6:$H$101,MOD(84+$C11+(0),$B$3)+1)*I11+INDEX(Symboles!$H$6:$H$101,MOD(84+$C11+(1),$B$3)+1)*J11+INDEX(Symboles!$H$6:$H$101,MOD(84+$C11+(2),$B$3)+1)*K11+INDEX(Symboles!$H$6:$H$101,MOD(84+$C11+(3),$B$3)+1)*L11+INDEX(Symboles!$H$6:$H$101,MOD(84+$C11+(4),$B$3)+1)*M11+IF($B$6=0,0,$B$6*NORMSINV(0.000001+0.999998*RAND())))</f>
        <v/>
      </c>
      <c r="GP11" s="30">
        <f>IF(86&gt;$B$3,99,INDEX(Symboles!$H$6:$H$101,MOD(85+$C11+(-4),$B$3)+1)*E11+INDEX(Symboles!$H$6:$H$101,MOD(85+$C11+(-3),$B$3)+1)*F11+INDEX(Symboles!$H$6:$H$101,MOD(85+$C11+(-2),$B$3)+1)*G11+INDEX(Symboles!$H$6:$H$101,MOD(85+$C11+(-1),$B$3)+1)*H11+INDEX(Symboles!$H$6:$H$101,MOD(85+$C11+(0),$B$3)+1)*I11+INDEX(Symboles!$H$6:$H$101,MOD(85+$C11+(1),$B$3)+1)*J11+INDEX(Symboles!$H$6:$H$101,MOD(85+$C11+(2),$B$3)+1)*K11+INDEX(Symboles!$H$6:$H$101,MOD(85+$C11+(3),$B$3)+1)*L11+INDEX(Symboles!$H$6:$H$101,MOD(85+$C11+(4),$B$3)+1)*M11+IF($B$6=0,0,$B$6*NORMSINV(0.000001+0.999998*RAND())))</f>
        <v/>
      </c>
      <c r="GQ11" s="30">
        <f>IF(87&gt;$B$3,99,INDEX(Symboles!$H$6:$H$101,MOD(86+$C11+(-4),$B$3)+1)*E11+INDEX(Symboles!$H$6:$H$101,MOD(86+$C11+(-3),$B$3)+1)*F11+INDEX(Symboles!$H$6:$H$101,MOD(86+$C11+(-2),$B$3)+1)*G11+INDEX(Symboles!$H$6:$H$101,MOD(86+$C11+(-1),$B$3)+1)*H11+INDEX(Symboles!$H$6:$H$101,MOD(86+$C11+(0),$B$3)+1)*I11+INDEX(Symboles!$H$6:$H$101,MOD(86+$C11+(1),$B$3)+1)*J11+INDEX(Symboles!$H$6:$H$101,MOD(86+$C11+(2),$B$3)+1)*K11+INDEX(Symboles!$H$6:$H$101,MOD(86+$C11+(3),$B$3)+1)*L11+INDEX(Symboles!$H$6:$H$101,MOD(86+$C11+(4),$B$3)+1)*M11+IF($B$6=0,0,$B$6*NORMSINV(0.000001+0.999998*RAND())))</f>
        <v/>
      </c>
      <c r="GR11" s="30">
        <f>IF(88&gt;$B$3,99,INDEX(Symboles!$H$6:$H$101,MOD(87+$C11+(-4),$B$3)+1)*E11+INDEX(Symboles!$H$6:$H$101,MOD(87+$C11+(-3),$B$3)+1)*F11+INDEX(Symboles!$H$6:$H$101,MOD(87+$C11+(-2),$B$3)+1)*G11+INDEX(Symboles!$H$6:$H$101,MOD(87+$C11+(-1),$B$3)+1)*H11+INDEX(Symboles!$H$6:$H$101,MOD(87+$C11+(0),$B$3)+1)*I11+INDEX(Symboles!$H$6:$H$101,MOD(87+$C11+(1),$B$3)+1)*J11+INDEX(Symboles!$H$6:$H$101,MOD(87+$C11+(2),$B$3)+1)*K11+INDEX(Symboles!$H$6:$H$101,MOD(87+$C11+(3),$B$3)+1)*L11+INDEX(Symboles!$H$6:$H$101,MOD(87+$C11+(4),$B$3)+1)*M11+IF($B$6=0,0,$B$6*NORMSINV(0.000001+0.999998*RAND())))</f>
        <v/>
      </c>
      <c r="GS11" s="30">
        <f>IF(89&gt;$B$3,99,INDEX(Symboles!$H$6:$H$101,MOD(88+$C11+(-4),$B$3)+1)*E11+INDEX(Symboles!$H$6:$H$101,MOD(88+$C11+(-3),$B$3)+1)*F11+INDEX(Symboles!$H$6:$H$101,MOD(88+$C11+(-2),$B$3)+1)*G11+INDEX(Symboles!$H$6:$H$101,MOD(88+$C11+(-1),$B$3)+1)*H11+INDEX(Symboles!$H$6:$H$101,MOD(88+$C11+(0),$B$3)+1)*I11+INDEX(Symboles!$H$6:$H$101,MOD(88+$C11+(1),$B$3)+1)*J11+INDEX(Symboles!$H$6:$H$101,MOD(88+$C11+(2),$B$3)+1)*K11+INDEX(Symboles!$H$6:$H$101,MOD(88+$C11+(3),$B$3)+1)*L11+INDEX(Symboles!$H$6:$H$101,MOD(88+$C11+(4),$B$3)+1)*M11+IF($B$6=0,0,$B$6*NORMSINV(0.000001+0.999998*RAND())))</f>
        <v/>
      </c>
      <c r="GT11" s="30">
        <f>IF(90&gt;$B$3,99,INDEX(Symboles!$H$6:$H$101,MOD(89+$C11+(-4),$B$3)+1)*E11+INDEX(Symboles!$H$6:$H$101,MOD(89+$C11+(-3),$B$3)+1)*F11+INDEX(Symboles!$H$6:$H$101,MOD(89+$C11+(-2),$B$3)+1)*G11+INDEX(Symboles!$H$6:$H$101,MOD(89+$C11+(-1),$B$3)+1)*H11+INDEX(Symboles!$H$6:$H$101,MOD(89+$C11+(0),$B$3)+1)*I11+INDEX(Symboles!$H$6:$H$101,MOD(89+$C11+(1),$B$3)+1)*J11+INDEX(Symboles!$H$6:$H$101,MOD(89+$C11+(2),$B$3)+1)*K11+INDEX(Symboles!$H$6:$H$101,MOD(89+$C11+(3),$B$3)+1)*L11+INDEX(Symboles!$H$6:$H$101,MOD(89+$C11+(4),$B$3)+1)*M11+IF($B$6=0,0,$B$6*NORMSINV(0.000001+0.999998*RAND())))</f>
        <v/>
      </c>
      <c r="GU11" s="30">
        <f>IF(91&gt;$B$3,99,INDEX(Symboles!$H$6:$H$101,MOD(90+$C11+(-4),$B$3)+1)*E11+INDEX(Symboles!$H$6:$H$101,MOD(90+$C11+(-3),$B$3)+1)*F11+INDEX(Symboles!$H$6:$H$101,MOD(90+$C11+(-2),$B$3)+1)*G11+INDEX(Symboles!$H$6:$H$101,MOD(90+$C11+(-1),$B$3)+1)*H11+INDEX(Symboles!$H$6:$H$101,MOD(90+$C11+(0),$B$3)+1)*I11+INDEX(Symboles!$H$6:$H$101,MOD(90+$C11+(1),$B$3)+1)*J11+INDEX(Symboles!$H$6:$H$101,MOD(90+$C11+(2),$B$3)+1)*K11+INDEX(Symboles!$H$6:$H$101,MOD(90+$C11+(3),$B$3)+1)*L11+INDEX(Symboles!$H$6:$H$101,MOD(90+$C11+(4),$B$3)+1)*M11+IF($B$6=0,0,$B$6*NORMSINV(0.000001+0.999998*RAND())))</f>
        <v/>
      </c>
      <c r="GV11" s="30">
        <f>IF(92&gt;$B$3,99,INDEX(Symboles!$H$6:$H$101,MOD(91+$C11+(-4),$B$3)+1)*E11+INDEX(Symboles!$H$6:$H$101,MOD(91+$C11+(-3),$B$3)+1)*F11+INDEX(Symboles!$H$6:$H$101,MOD(91+$C11+(-2),$B$3)+1)*G11+INDEX(Symboles!$H$6:$H$101,MOD(91+$C11+(-1),$B$3)+1)*H11+INDEX(Symboles!$H$6:$H$101,MOD(91+$C11+(0),$B$3)+1)*I11+INDEX(Symboles!$H$6:$H$101,MOD(91+$C11+(1),$B$3)+1)*J11+INDEX(Symboles!$H$6:$H$101,MOD(91+$C11+(2),$B$3)+1)*K11+INDEX(Symboles!$H$6:$H$101,MOD(91+$C11+(3),$B$3)+1)*L11+INDEX(Symboles!$H$6:$H$101,MOD(91+$C11+(4),$B$3)+1)*M11+IF($B$6=0,0,$B$6*NORMSINV(0.000001+0.999998*RAND())))</f>
        <v/>
      </c>
      <c r="GW11" s="30">
        <f>IF(93&gt;$B$3,99,INDEX(Symboles!$H$6:$H$101,MOD(92+$C11+(-4),$B$3)+1)*E11+INDEX(Symboles!$H$6:$H$101,MOD(92+$C11+(-3),$B$3)+1)*F11+INDEX(Symboles!$H$6:$H$101,MOD(92+$C11+(-2),$B$3)+1)*G11+INDEX(Symboles!$H$6:$H$101,MOD(92+$C11+(-1),$B$3)+1)*H11+INDEX(Symboles!$H$6:$H$101,MOD(92+$C11+(0),$B$3)+1)*I11+INDEX(Symboles!$H$6:$H$101,MOD(92+$C11+(1),$B$3)+1)*J11+INDEX(Symboles!$H$6:$H$101,MOD(92+$C11+(2),$B$3)+1)*K11+INDEX(Symboles!$H$6:$H$101,MOD(92+$C11+(3),$B$3)+1)*L11+INDEX(Symboles!$H$6:$H$101,MOD(92+$C11+(4),$B$3)+1)*M11+IF($B$6=0,0,$B$6*NORMSINV(0.000001+0.999998*RAND())))</f>
        <v/>
      </c>
      <c r="GX11" s="30">
        <f>IF(94&gt;$B$3,99,INDEX(Symboles!$H$6:$H$101,MOD(93+$C11+(-4),$B$3)+1)*E11+INDEX(Symboles!$H$6:$H$101,MOD(93+$C11+(-3),$B$3)+1)*F11+INDEX(Symboles!$H$6:$H$101,MOD(93+$C11+(-2),$B$3)+1)*G11+INDEX(Symboles!$H$6:$H$101,MOD(93+$C11+(-1),$B$3)+1)*H11+INDEX(Symboles!$H$6:$H$101,MOD(93+$C11+(0),$B$3)+1)*I11+INDEX(Symboles!$H$6:$H$101,MOD(93+$C11+(1),$B$3)+1)*J11+INDEX(Symboles!$H$6:$H$101,MOD(93+$C11+(2),$B$3)+1)*K11+INDEX(Symboles!$H$6:$H$101,MOD(93+$C11+(3),$B$3)+1)*L11+INDEX(Symboles!$H$6:$H$101,MOD(93+$C11+(4),$B$3)+1)*M11+IF($B$6=0,0,$B$6*NORMSINV(0.000001+0.999998*RAND())))</f>
        <v/>
      </c>
      <c r="GY11" s="30">
        <f>IF(95&gt;$B$3,99,INDEX(Symboles!$H$6:$H$101,MOD(94+$C11+(-4),$B$3)+1)*E11+INDEX(Symboles!$H$6:$H$101,MOD(94+$C11+(-3),$B$3)+1)*F11+INDEX(Symboles!$H$6:$H$101,MOD(94+$C11+(-2),$B$3)+1)*G11+INDEX(Symboles!$H$6:$H$101,MOD(94+$C11+(-1),$B$3)+1)*H11+INDEX(Symboles!$H$6:$H$101,MOD(94+$C11+(0),$B$3)+1)*I11+INDEX(Symboles!$H$6:$H$101,MOD(94+$C11+(1),$B$3)+1)*J11+INDEX(Symboles!$H$6:$H$101,MOD(94+$C11+(2),$B$3)+1)*K11+INDEX(Symboles!$H$6:$H$101,MOD(94+$C11+(3),$B$3)+1)*L11+INDEX(Symboles!$H$6:$H$101,MOD(94+$C11+(4),$B$3)+1)*M11+IF($B$6=0,0,$B$6*NORMSINV(0.000001+0.999998*RAND())))</f>
        <v/>
      </c>
      <c r="GZ11" s="30">
        <f>IF(96&gt;$B$3,99,INDEX(Symboles!$H$6:$H$101,MOD(95+$C11+(-4),$B$3)+1)*E11+INDEX(Symboles!$H$6:$H$101,MOD(95+$C11+(-3),$B$3)+1)*F11+INDEX(Symboles!$H$6:$H$101,MOD(95+$C11+(-2),$B$3)+1)*G11+INDEX(Symboles!$H$6:$H$101,MOD(95+$C11+(-1),$B$3)+1)*H11+INDEX(Symboles!$H$6:$H$101,MOD(95+$C11+(0),$B$3)+1)*I11+INDEX(Symboles!$H$6:$H$101,MOD(95+$C11+(1),$B$3)+1)*J11+INDEX(Symboles!$H$6:$H$101,MOD(95+$C11+(2),$B$3)+1)*K11+INDEX(Symboles!$H$6:$H$101,MOD(95+$C11+(3),$B$3)+1)*L11+INDEX(Symboles!$H$6:$H$101,MOD(95+$C11+(4),$B$3)+1)*M11+IF($B$6=0,0,$B$6*NORMSINV(0.000001+0.999998*RAND())))</f>
        <v/>
      </c>
    </row>
    <row r="12">
      <c r="A12" s="28" t="n">
        <v>2</v>
      </c>
      <c r="B12" s="28" t="n">
        <v>-0.875</v>
      </c>
      <c r="C12" s="28" t="n">
        <v>-1</v>
      </c>
      <c r="D12" s="28" t="n">
        <v>10</v>
      </c>
      <c r="E12" s="29">
        <f>IF($B$4=1,0,IF(ABS(1-(2*$B$5*4.125)^2)&lt;0.000001,PI()/4*SIN(PI()/(2*$B$5))/(PI()/(2*$B$5)),SIN(PI()*4.125)/(PI()*4.125)*COS(PI()*$B$5*4.125)/(1-(2*$B$5*4.125)^2)))</f>
        <v/>
      </c>
      <c r="F12" s="29">
        <f>IF($B$4=1,0,IF(ABS(1-(2*$B$5*3.125)^2)&lt;0.000001,PI()/4*SIN(PI()/(2*$B$5))/(PI()/(2*$B$5)),SIN(PI()*3.125)/(PI()*3.125)*COS(PI()*$B$5*3.125)/(1-(2*$B$5*3.125)^2)))</f>
        <v/>
      </c>
      <c r="G12" s="29">
        <f>IF($B$4=1,0,IF(ABS(1-(2*$B$5*2.125)^2)&lt;0.000001,PI()/4*SIN(PI()/(2*$B$5))/(PI()/(2*$B$5)),SIN(PI()*2.125)/(PI()*2.125)*COS(PI()*$B$5*2.125)/(1-(2*$B$5*2.125)^2)))</f>
        <v/>
      </c>
      <c r="H12" s="29">
        <f>IF($B$4=1,0,IF(ABS(1-(2*$B$5*1.125)^2)&lt;0.000001,PI()/4*SIN(PI()/(2*$B$5))/(PI()/(2*$B$5)),SIN(PI()*1.125)/(PI()*1.125)*COS(PI()*$B$5*1.125)/(1-(2*$B$5*1.125)^2)))</f>
        <v/>
      </c>
      <c r="I12" s="29">
        <f>IF($B$4=1,1,IF(ABS(1-(2*$B$5*0.125)^2)&lt;0.000001,PI()/4*SIN(PI()/(2*$B$5))/(PI()/(2*$B$5)),SIN(PI()*0.125)/(PI()*0.125)*COS(PI()*$B$5*0.125)/(1-(2*$B$5*0.125)^2)))</f>
        <v/>
      </c>
      <c r="J12" s="29">
        <f>IF($B$4=1,0,IF(ABS(1-(2*$B$5*-0.875)^2)&lt;0.000001,PI()/4*SIN(PI()/(2*$B$5))/(PI()/(2*$B$5)),SIN(PI()*-0.875)/(PI()*-0.875)*COS(PI()*$B$5*-0.875)/(1-(2*$B$5*-0.875)^2)))</f>
        <v/>
      </c>
      <c r="K12" s="29">
        <f>IF($B$4=1,0,IF(ABS(1-(2*$B$5*-1.875)^2)&lt;0.000001,PI()/4*SIN(PI()/(2*$B$5))/(PI()/(2*$B$5)),SIN(PI()*-1.875)/(PI()*-1.875)*COS(PI()*$B$5*-1.875)/(1-(2*$B$5*-1.875)^2)))</f>
        <v/>
      </c>
      <c r="L12" s="29">
        <f>IF($B$4=1,0,IF(ABS(1-(2*$B$5*-2.875)^2)&lt;0.000001,PI()/4*SIN(PI()/(2*$B$5))/(PI()/(2*$B$5)),SIN(PI()*-2.875)/(PI()*-2.875)*COS(PI()*$B$5*-2.875)/(1-(2*$B$5*-2.875)^2)))</f>
        <v/>
      </c>
      <c r="M12" s="29">
        <f>IF($B$4=1,0,IF(ABS(1-(2*$B$5*-3.875)^2)&lt;0.000001,PI()/4*SIN(PI()/(2*$B$5))/(PI()/(2*$B$5)),SIN(PI()*-3.875)/(PI()*-3.875)*COS(PI()*$B$5*-3.875)/(1-(2*$B$5*-3.875)^2)))</f>
        <v/>
      </c>
      <c r="P12" s="30">
        <f>IF(1&gt;$B$3,99,INDEX(Symboles!$G$6:$G$101,MOD(0+$C12+(-4),$B$3)+1)*E12+INDEX(Symboles!$G$6:$G$101,MOD(0+$C12+(-3),$B$3)+1)*F12+INDEX(Symboles!$G$6:$G$101,MOD(0+$C12+(-2),$B$3)+1)*G12+INDEX(Symboles!$G$6:$G$101,MOD(0+$C12+(-1),$B$3)+1)*H12+INDEX(Symboles!$G$6:$G$101,MOD(0+$C12+(0),$B$3)+1)*I12+INDEX(Symboles!$G$6:$G$101,MOD(0+$C12+(1),$B$3)+1)*J12+INDEX(Symboles!$G$6:$G$101,MOD(0+$C12+(2),$B$3)+1)*K12+INDEX(Symboles!$G$6:$G$101,MOD(0+$C12+(3),$B$3)+1)*L12+INDEX(Symboles!$G$6:$G$101,MOD(0+$C12+(4),$B$3)+1)*M12+IF($B$6=0,0,$B$6*NORMSINV(0.000001+0.999998*RAND())))</f>
        <v/>
      </c>
      <c r="Q12" s="30">
        <f>IF(2&gt;$B$3,99,INDEX(Symboles!$G$6:$G$101,MOD(1+$C12+(-4),$B$3)+1)*E12+INDEX(Symboles!$G$6:$G$101,MOD(1+$C12+(-3),$B$3)+1)*F12+INDEX(Symboles!$G$6:$G$101,MOD(1+$C12+(-2),$B$3)+1)*G12+INDEX(Symboles!$G$6:$G$101,MOD(1+$C12+(-1),$B$3)+1)*H12+INDEX(Symboles!$G$6:$G$101,MOD(1+$C12+(0),$B$3)+1)*I12+INDEX(Symboles!$G$6:$G$101,MOD(1+$C12+(1),$B$3)+1)*J12+INDEX(Symboles!$G$6:$G$101,MOD(1+$C12+(2),$B$3)+1)*K12+INDEX(Symboles!$G$6:$G$101,MOD(1+$C12+(3),$B$3)+1)*L12+INDEX(Symboles!$G$6:$G$101,MOD(1+$C12+(4),$B$3)+1)*M12+IF($B$6=0,0,$B$6*NORMSINV(0.000001+0.999998*RAND())))</f>
        <v/>
      </c>
      <c r="R12" s="30">
        <f>IF(3&gt;$B$3,99,INDEX(Symboles!$G$6:$G$101,MOD(2+$C12+(-4),$B$3)+1)*E12+INDEX(Symboles!$G$6:$G$101,MOD(2+$C12+(-3),$B$3)+1)*F12+INDEX(Symboles!$G$6:$G$101,MOD(2+$C12+(-2),$B$3)+1)*G12+INDEX(Symboles!$G$6:$G$101,MOD(2+$C12+(-1),$B$3)+1)*H12+INDEX(Symboles!$G$6:$G$101,MOD(2+$C12+(0),$B$3)+1)*I12+INDEX(Symboles!$G$6:$G$101,MOD(2+$C12+(1),$B$3)+1)*J12+INDEX(Symboles!$G$6:$G$101,MOD(2+$C12+(2),$B$3)+1)*K12+INDEX(Symboles!$G$6:$G$101,MOD(2+$C12+(3),$B$3)+1)*L12+INDEX(Symboles!$G$6:$G$101,MOD(2+$C12+(4),$B$3)+1)*M12+IF($B$6=0,0,$B$6*NORMSINV(0.000001+0.999998*RAND())))</f>
        <v/>
      </c>
      <c r="S12" s="30">
        <f>IF(4&gt;$B$3,99,INDEX(Symboles!$G$6:$G$101,MOD(3+$C12+(-4),$B$3)+1)*E12+INDEX(Symboles!$G$6:$G$101,MOD(3+$C12+(-3),$B$3)+1)*F12+INDEX(Symboles!$G$6:$G$101,MOD(3+$C12+(-2),$B$3)+1)*G12+INDEX(Symboles!$G$6:$G$101,MOD(3+$C12+(-1),$B$3)+1)*H12+INDEX(Symboles!$G$6:$G$101,MOD(3+$C12+(0),$B$3)+1)*I12+INDEX(Symboles!$G$6:$G$101,MOD(3+$C12+(1),$B$3)+1)*J12+INDEX(Symboles!$G$6:$G$101,MOD(3+$C12+(2),$B$3)+1)*K12+INDEX(Symboles!$G$6:$G$101,MOD(3+$C12+(3),$B$3)+1)*L12+INDEX(Symboles!$G$6:$G$101,MOD(3+$C12+(4),$B$3)+1)*M12+IF($B$6=0,0,$B$6*NORMSINV(0.000001+0.999998*RAND())))</f>
        <v/>
      </c>
      <c r="T12" s="30">
        <f>IF(5&gt;$B$3,99,INDEX(Symboles!$G$6:$G$101,MOD(4+$C12+(-4),$B$3)+1)*E12+INDEX(Symboles!$G$6:$G$101,MOD(4+$C12+(-3),$B$3)+1)*F12+INDEX(Symboles!$G$6:$G$101,MOD(4+$C12+(-2),$B$3)+1)*G12+INDEX(Symboles!$G$6:$G$101,MOD(4+$C12+(-1),$B$3)+1)*H12+INDEX(Symboles!$G$6:$G$101,MOD(4+$C12+(0),$B$3)+1)*I12+INDEX(Symboles!$G$6:$G$101,MOD(4+$C12+(1),$B$3)+1)*J12+INDEX(Symboles!$G$6:$G$101,MOD(4+$C12+(2),$B$3)+1)*K12+INDEX(Symboles!$G$6:$G$101,MOD(4+$C12+(3),$B$3)+1)*L12+INDEX(Symboles!$G$6:$G$101,MOD(4+$C12+(4),$B$3)+1)*M12+IF($B$6=0,0,$B$6*NORMSINV(0.000001+0.999998*RAND())))</f>
        <v/>
      </c>
      <c r="U12" s="30">
        <f>IF(6&gt;$B$3,99,INDEX(Symboles!$G$6:$G$101,MOD(5+$C12+(-4),$B$3)+1)*E12+INDEX(Symboles!$G$6:$G$101,MOD(5+$C12+(-3),$B$3)+1)*F12+INDEX(Symboles!$G$6:$G$101,MOD(5+$C12+(-2),$B$3)+1)*G12+INDEX(Symboles!$G$6:$G$101,MOD(5+$C12+(-1),$B$3)+1)*H12+INDEX(Symboles!$G$6:$G$101,MOD(5+$C12+(0),$B$3)+1)*I12+INDEX(Symboles!$G$6:$G$101,MOD(5+$C12+(1),$B$3)+1)*J12+INDEX(Symboles!$G$6:$G$101,MOD(5+$C12+(2),$B$3)+1)*K12+INDEX(Symboles!$G$6:$G$101,MOD(5+$C12+(3),$B$3)+1)*L12+INDEX(Symboles!$G$6:$G$101,MOD(5+$C12+(4),$B$3)+1)*M12+IF($B$6=0,0,$B$6*NORMSINV(0.000001+0.999998*RAND())))</f>
        <v/>
      </c>
      <c r="V12" s="30">
        <f>IF(7&gt;$B$3,99,INDEX(Symboles!$G$6:$G$101,MOD(6+$C12+(-4),$B$3)+1)*E12+INDEX(Symboles!$G$6:$G$101,MOD(6+$C12+(-3),$B$3)+1)*F12+INDEX(Symboles!$G$6:$G$101,MOD(6+$C12+(-2),$B$3)+1)*G12+INDEX(Symboles!$G$6:$G$101,MOD(6+$C12+(-1),$B$3)+1)*H12+INDEX(Symboles!$G$6:$G$101,MOD(6+$C12+(0),$B$3)+1)*I12+INDEX(Symboles!$G$6:$G$101,MOD(6+$C12+(1),$B$3)+1)*J12+INDEX(Symboles!$G$6:$G$101,MOD(6+$C12+(2),$B$3)+1)*K12+INDEX(Symboles!$G$6:$G$101,MOD(6+$C12+(3),$B$3)+1)*L12+INDEX(Symboles!$G$6:$G$101,MOD(6+$C12+(4),$B$3)+1)*M12+IF($B$6=0,0,$B$6*NORMSINV(0.000001+0.999998*RAND())))</f>
        <v/>
      </c>
      <c r="W12" s="30">
        <f>IF(8&gt;$B$3,99,INDEX(Symboles!$G$6:$G$101,MOD(7+$C12+(-4),$B$3)+1)*E12+INDEX(Symboles!$G$6:$G$101,MOD(7+$C12+(-3),$B$3)+1)*F12+INDEX(Symboles!$G$6:$G$101,MOD(7+$C12+(-2),$B$3)+1)*G12+INDEX(Symboles!$G$6:$G$101,MOD(7+$C12+(-1),$B$3)+1)*H12+INDEX(Symboles!$G$6:$G$101,MOD(7+$C12+(0),$B$3)+1)*I12+INDEX(Symboles!$G$6:$G$101,MOD(7+$C12+(1),$B$3)+1)*J12+INDEX(Symboles!$G$6:$G$101,MOD(7+$C12+(2),$B$3)+1)*K12+INDEX(Symboles!$G$6:$G$101,MOD(7+$C12+(3),$B$3)+1)*L12+INDEX(Symboles!$G$6:$G$101,MOD(7+$C12+(4),$B$3)+1)*M12+IF($B$6=0,0,$B$6*NORMSINV(0.000001+0.999998*RAND())))</f>
        <v/>
      </c>
      <c r="X12" s="30">
        <f>IF(9&gt;$B$3,99,INDEX(Symboles!$G$6:$G$101,MOD(8+$C12+(-4),$B$3)+1)*E12+INDEX(Symboles!$G$6:$G$101,MOD(8+$C12+(-3),$B$3)+1)*F12+INDEX(Symboles!$G$6:$G$101,MOD(8+$C12+(-2),$B$3)+1)*G12+INDEX(Symboles!$G$6:$G$101,MOD(8+$C12+(-1),$B$3)+1)*H12+INDEX(Symboles!$G$6:$G$101,MOD(8+$C12+(0),$B$3)+1)*I12+INDEX(Symboles!$G$6:$G$101,MOD(8+$C12+(1),$B$3)+1)*J12+INDEX(Symboles!$G$6:$G$101,MOD(8+$C12+(2),$B$3)+1)*K12+INDEX(Symboles!$G$6:$G$101,MOD(8+$C12+(3),$B$3)+1)*L12+INDEX(Symboles!$G$6:$G$101,MOD(8+$C12+(4),$B$3)+1)*M12+IF($B$6=0,0,$B$6*NORMSINV(0.000001+0.999998*RAND())))</f>
        <v/>
      </c>
      <c r="Y12" s="30">
        <f>IF(10&gt;$B$3,99,INDEX(Symboles!$G$6:$G$101,MOD(9+$C12+(-4),$B$3)+1)*E12+INDEX(Symboles!$G$6:$G$101,MOD(9+$C12+(-3),$B$3)+1)*F12+INDEX(Symboles!$G$6:$G$101,MOD(9+$C12+(-2),$B$3)+1)*G12+INDEX(Symboles!$G$6:$G$101,MOD(9+$C12+(-1),$B$3)+1)*H12+INDEX(Symboles!$G$6:$G$101,MOD(9+$C12+(0),$B$3)+1)*I12+INDEX(Symboles!$G$6:$G$101,MOD(9+$C12+(1),$B$3)+1)*J12+INDEX(Symboles!$G$6:$G$101,MOD(9+$C12+(2),$B$3)+1)*K12+INDEX(Symboles!$G$6:$G$101,MOD(9+$C12+(3),$B$3)+1)*L12+INDEX(Symboles!$G$6:$G$101,MOD(9+$C12+(4),$B$3)+1)*M12+IF($B$6=0,0,$B$6*NORMSINV(0.000001+0.999998*RAND())))</f>
        <v/>
      </c>
      <c r="Z12" s="30">
        <f>IF(11&gt;$B$3,99,INDEX(Symboles!$G$6:$G$101,MOD(10+$C12+(-4),$B$3)+1)*E12+INDEX(Symboles!$G$6:$G$101,MOD(10+$C12+(-3),$B$3)+1)*F12+INDEX(Symboles!$G$6:$G$101,MOD(10+$C12+(-2),$B$3)+1)*G12+INDEX(Symboles!$G$6:$G$101,MOD(10+$C12+(-1),$B$3)+1)*H12+INDEX(Symboles!$G$6:$G$101,MOD(10+$C12+(0),$B$3)+1)*I12+INDEX(Symboles!$G$6:$G$101,MOD(10+$C12+(1),$B$3)+1)*J12+INDEX(Symboles!$G$6:$G$101,MOD(10+$C12+(2),$B$3)+1)*K12+INDEX(Symboles!$G$6:$G$101,MOD(10+$C12+(3),$B$3)+1)*L12+INDEX(Symboles!$G$6:$G$101,MOD(10+$C12+(4),$B$3)+1)*M12+IF($B$6=0,0,$B$6*NORMSINV(0.000001+0.999998*RAND())))</f>
        <v/>
      </c>
      <c r="AA12" s="30">
        <f>IF(12&gt;$B$3,99,INDEX(Symboles!$G$6:$G$101,MOD(11+$C12+(-4),$B$3)+1)*E12+INDEX(Symboles!$G$6:$G$101,MOD(11+$C12+(-3),$B$3)+1)*F12+INDEX(Symboles!$G$6:$G$101,MOD(11+$C12+(-2),$B$3)+1)*G12+INDEX(Symboles!$G$6:$G$101,MOD(11+$C12+(-1),$B$3)+1)*H12+INDEX(Symboles!$G$6:$G$101,MOD(11+$C12+(0),$B$3)+1)*I12+INDEX(Symboles!$G$6:$G$101,MOD(11+$C12+(1),$B$3)+1)*J12+INDEX(Symboles!$G$6:$G$101,MOD(11+$C12+(2),$B$3)+1)*K12+INDEX(Symboles!$G$6:$G$101,MOD(11+$C12+(3),$B$3)+1)*L12+INDEX(Symboles!$G$6:$G$101,MOD(11+$C12+(4),$B$3)+1)*M12+IF($B$6=0,0,$B$6*NORMSINV(0.000001+0.999998*RAND())))</f>
        <v/>
      </c>
      <c r="AB12" s="30">
        <f>IF(13&gt;$B$3,99,INDEX(Symboles!$G$6:$G$101,MOD(12+$C12+(-4),$B$3)+1)*E12+INDEX(Symboles!$G$6:$G$101,MOD(12+$C12+(-3),$B$3)+1)*F12+INDEX(Symboles!$G$6:$G$101,MOD(12+$C12+(-2),$B$3)+1)*G12+INDEX(Symboles!$G$6:$G$101,MOD(12+$C12+(-1),$B$3)+1)*H12+INDEX(Symboles!$G$6:$G$101,MOD(12+$C12+(0),$B$3)+1)*I12+INDEX(Symboles!$G$6:$G$101,MOD(12+$C12+(1),$B$3)+1)*J12+INDEX(Symboles!$G$6:$G$101,MOD(12+$C12+(2),$B$3)+1)*K12+INDEX(Symboles!$G$6:$G$101,MOD(12+$C12+(3),$B$3)+1)*L12+INDEX(Symboles!$G$6:$G$101,MOD(12+$C12+(4),$B$3)+1)*M12+IF($B$6=0,0,$B$6*NORMSINV(0.000001+0.999998*RAND())))</f>
        <v/>
      </c>
      <c r="AC12" s="30">
        <f>IF(14&gt;$B$3,99,INDEX(Symboles!$G$6:$G$101,MOD(13+$C12+(-4),$B$3)+1)*E12+INDEX(Symboles!$G$6:$G$101,MOD(13+$C12+(-3),$B$3)+1)*F12+INDEX(Symboles!$G$6:$G$101,MOD(13+$C12+(-2),$B$3)+1)*G12+INDEX(Symboles!$G$6:$G$101,MOD(13+$C12+(-1),$B$3)+1)*H12+INDEX(Symboles!$G$6:$G$101,MOD(13+$C12+(0),$B$3)+1)*I12+INDEX(Symboles!$G$6:$G$101,MOD(13+$C12+(1),$B$3)+1)*J12+INDEX(Symboles!$G$6:$G$101,MOD(13+$C12+(2),$B$3)+1)*K12+INDEX(Symboles!$G$6:$G$101,MOD(13+$C12+(3),$B$3)+1)*L12+INDEX(Symboles!$G$6:$G$101,MOD(13+$C12+(4),$B$3)+1)*M12+IF($B$6=0,0,$B$6*NORMSINV(0.000001+0.999998*RAND())))</f>
        <v/>
      </c>
      <c r="AD12" s="30">
        <f>IF(15&gt;$B$3,99,INDEX(Symboles!$G$6:$G$101,MOD(14+$C12+(-4),$B$3)+1)*E12+INDEX(Symboles!$G$6:$G$101,MOD(14+$C12+(-3),$B$3)+1)*F12+INDEX(Symboles!$G$6:$G$101,MOD(14+$C12+(-2),$B$3)+1)*G12+INDEX(Symboles!$G$6:$G$101,MOD(14+$C12+(-1),$B$3)+1)*H12+INDEX(Symboles!$G$6:$G$101,MOD(14+$C12+(0),$B$3)+1)*I12+INDEX(Symboles!$G$6:$G$101,MOD(14+$C12+(1),$B$3)+1)*J12+INDEX(Symboles!$G$6:$G$101,MOD(14+$C12+(2),$B$3)+1)*K12+INDEX(Symboles!$G$6:$G$101,MOD(14+$C12+(3),$B$3)+1)*L12+INDEX(Symboles!$G$6:$G$101,MOD(14+$C12+(4),$B$3)+1)*M12+IF($B$6=0,0,$B$6*NORMSINV(0.000001+0.999998*RAND())))</f>
        <v/>
      </c>
      <c r="AE12" s="30">
        <f>IF(16&gt;$B$3,99,INDEX(Symboles!$G$6:$G$101,MOD(15+$C12+(-4),$B$3)+1)*E12+INDEX(Symboles!$G$6:$G$101,MOD(15+$C12+(-3),$B$3)+1)*F12+INDEX(Symboles!$G$6:$G$101,MOD(15+$C12+(-2),$B$3)+1)*G12+INDEX(Symboles!$G$6:$G$101,MOD(15+$C12+(-1),$B$3)+1)*H12+INDEX(Symboles!$G$6:$G$101,MOD(15+$C12+(0),$B$3)+1)*I12+INDEX(Symboles!$G$6:$G$101,MOD(15+$C12+(1),$B$3)+1)*J12+INDEX(Symboles!$G$6:$G$101,MOD(15+$C12+(2),$B$3)+1)*K12+INDEX(Symboles!$G$6:$G$101,MOD(15+$C12+(3),$B$3)+1)*L12+INDEX(Symboles!$G$6:$G$101,MOD(15+$C12+(4),$B$3)+1)*M12+IF($B$6=0,0,$B$6*NORMSINV(0.000001+0.999998*RAND())))</f>
        <v/>
      </c>
      <c r="AF12" s="30">
        <f>IF(17&gt;$B$3,99,INDEX(Symboles!$G$6:$G$101,MOD(16+$C12+(-4),$B$3)+1)*E12+INDEX(Symboles!$G$6:$G$101,MOD(16+$C12+(-3),$B$3)+1)*F12+INDEX(Symboles!$G$6:$G$101,MOD(16+$C12+(-2),$B$3)+1)*G12+INDEX(Symboles!$G$6:$G$101,MOD(16+$C12+(-1),$B$3)+1)*H12+INDEX(Symboles!$G$6:$G$101,MOD(16+$C12+(0),$B$3)+1)*I12+INDEX(Symboles!$G$6:$G$101,MOD(16+$C12+(1),$B$3)+1)*J12+INDEX(Symboles!$G$6:$G$101,MOD(16+$C12+(2),$B$3)+1)*K12+INDEX(Symboles!$G$6:$G$101,MOD(16+$C12+(3),$B$3)+1)*L12+INDEX(Symboles!$G$6:$G$101,MOD(16+$C12+(4),$B$3)+1)*M12+IF($B$6=0,0,$B$6*NORMSINV(0.000001+0.999998*RAND())))</f>
        <v/>
      </c>
      <c r="AG12" s="30">
        <f>IF(18&gt;$B$3,99,INDEX(Symboles!$G$6:$G$101,MOD(17+$C12+(-4),$B$3)+1)*E12+INDEX(Symboles!$G$6:$G$101,MOD(17+$C12+(-3),$B$3)+1)*F12+INDEX(Symboles!$G$6:$G$101,MOD(17+$C12+(-2),$B$3)+1)*G12+INDEX(Symboles!$G$6:$G$101,MOD(17+$C12+(-1),$B$3)+1)*H12+INDEX(Symboles!$G$6:$G$101,MOD(17+$C12+(0),$B$3)+1)*I12+INDEX(Symboles!$G$6:$G$101,MOD(17+$C12+(1),$B$3)+1)*J12+INDEX(Symboles!$G$6:$G$101,MOD(17+$C12+(2),$B$3)+1)*K12+INDEX(Symboles!$G$6:$G$101,MOD(17+$C12+(3),$B$3)+1)*L12+INDEX(Symboles!$G$6:$G$101,MOD(17+$C12+(4),$B$3)+1)*M12+IF($B$6=0,0,$B$6*NORMSINV(0.000001+0.999998*RAND())))</f>
        <v/>
      </c>
      <c r="AH12" s="30">
        <f>IF(19&gt;$B$3,99,INDEX(Symboles!$G$6:$G$101,MOD(18+$C12+(-4),$B$3)+1)*E12+INDEX(Symboles!$G$6:$G$101,MOD(18+$C12+(-3),$B$3)+1)*F12+INDEX(Symboles!$G$6:$G$101,MOD(18+$C12+(-2),$B$3)+1)*G12+INDEX(Symboles!$G$6:$G$101,MOD(18+$C12+(-1),$B$3)+1)*H12+INDEX(Symboles!$G$6:$G$101,MOD(18+$C12+(0),$B$3)+1)*I12+INDEX(Symboles!$G$6:$G$101,MOD(18+$C12+(1),$B$3)+1)*J12+INDEX(Symboles!$G$6:$G$101,MOD(18+$C12+(2),$B$3)+1)*K12+INDEX(Symboles!$G$6:$G$101,MOD(18+$C12+(3),$B$3)+1)*L12+INDEX(Symboles!$G$6:$G$101,MOD(18+$C12+(4),$B$3)+1)*M12+IF($B$6=0,0,$B$6*NORMSINV(0.000001+0.999998*RAND())))</f>
        <v/>
      </c>
      <c r="AI12" s="30">
        <f>IF(20&gt;$B$3,99,INDEX(Symboles!$G$6:$G$101,MOD(19+$C12+(-4),$B$3)+1)*E12+INDEX(Symboles!$G$6:$G$101,MOD(19+$C12+(-3),$B$3)+1)*F12+INDEX(Symboles!$G$6:$G$101,MOD(19+$C12+(-2),$B$3)+1)*G12+INDEX(Symboles!$G$6:$G$101,MOD(19+$C12+(-1),$B$3)+1)*H12+INDEX(Symboles!$G$6:$G$101,MOD(19+$C12+(0),$B$3)+1)*I12+INDEX(Symboles!$G$6:$G$101,MOD(19+$C12+(1),$B$3)+1)*J12+INDEX(Symboles!$G$6:$G$101,MOD(19+$C12+(2),$B$3)+1)*K12+INDEX(Symboles!$G$6:$G$101,MOD(19+$C12+(3),$B$3)+1)*L12+INDEX(Symboles!$G$6:$G$101,MOD(19+$C12+(4),$B$3)+1)*M12+IF($B$6=0,0,$B$6*NORMSINV(0.000001+0.999998*RAND())))</f>
        <v/>
      </c>
      <c r="AJ12" s="30">
        <f>IF(21&gt;$B$3,99,INDEX(Symboles!$G$6:$G$101,MOD(20+$C12+(-4),$B$3)+1)*E12+INDEX(Symboles!$G$6:$G$101,MOD(20+$C12+(-3),$B$3)+1)*F12+INDEX(Symboles!$G$6:$G$101,MOD(20+$C12+(-2),$B$3)+1)*G12+INDEX(Symboles!$G$6:$G$101,MOD(20+$C12+(-1),$B$3)+1)*H12+INDEX(Symboles!$G$6:$G$101,MOD(20+$C12+(0),$B$3)+1)*I12+INDEX(Symboles!$G$6:$G$101,MOD(20+$C12+(1),$B$3)+1)*J12+INDEX(Symboles!$G$6:$G$101,MOD(20+$C12+(2),$B$3)+1)*K12+INDEX(Symboles!$G$6:$G$101,MOD(20+$C12+(3),$B$3)+1)*L12+INDEX(Symboles!$G$6:$G$101,MOD(20+$C12+(4),$B$3)+1)*M12+IF($B$6=0,0,$B$6*NORMSINV(0.000001+0.999998*RAND())))</f>
        <v/>
      </c>
      <c r="AK12" s="30">
        <f>IF(22&gt;$B$3,99,INDEX(Symboles!$G$6:$G$101,MOD(21+$C12+(-4),$B$3)+1)*E12+INDEX(Symboles!$G$6:$G$101,MOD(21+$C12+(-3),$B$3)+1)*F12+INDEX(Symboles!$G$6:$G$101,MOD(21+$C12+(-2),$B$3)+1)*G12+INDEX(Symboles!$G$6:$G$101,MOD(21+$C12+(-1),$B$3)+1)*H12+INDEX(Symboles!$G$6:$G$101,MOD(21+$C12+(0),$B$3)+1)*I12+INDEX(Symboles!$G$6:$G$101,MOD(21+$C12+(1),$B$3)+1)*J12+INDEX(Symboles!$G$6:$G$101,MOD(21+$C12+(2),$B$3)+1)*K12+INDEX(Symboles!$G$6:$G$101,MOD(21+$C12+(3),$B$3)+1)*L12+INDEX(Symboles!$G$6:$G$101,MOD(21+$C12+(4),$B$3)+1)*M12+IF($B$6=0,0,$B$6*NORMSINV(0.000001+0.999998*RAND())))</f>
        <v/>
      </c>
      <c r="AL12" s="30">
        <f>IF(23&gt;$B$3,99,INDEX(Symboles!$G$6:$G$101,MOD(22+$C12+(-4),$B$3)+1)*E12+INDEX(Symboles!$G$6:$G$101,MOD(22+$C12+(-3),$B$3)+1)*F12+INDEX(Symboles!$G$6:$G$101,MOD(22+$C12+(-2),$B$3)+1)*G12+INDEX(Symboles!$G$6:$G$101,MOD(22+$C12+(-1),$B$3)+1)*H12+INDEX(Symboles!$G$6:$G$101,MOD(22+$C12+(0),$B$3)+1)*I12+INDEX(Symboles!$G$6:$G$101,MOD(22+$C12+(1),$B$3)+1)*J12+INDEX(Symboles!$G$6:$G$101,MOD(22+$C12+(2),$B$3)+1)*K12+INDEX(Symboles!$G$6:$G$101,MOD(22+$C12+(3),$B$3)+1)*L12+INDEX(Symboles!$G$6:$G$101,MOD(22+$C12+(4),$B$3)+1)*M12+IF($B$6=0,0,$B$6*NORMSINV(0.000001+0.999998*RAND())))</f>
        <v/>
      </c>
      <c r="AM12" s="30">
        <f>IF(24&gt;$B$3,99,INDEX(Symboles!$G$6:$G$101,MOD(23+$C12+(-4),$B$3)+1)*E12+INDEX(Symboles!$G$6:$G$101,MOD(23+$C12+(-3),$B$3)+1)*F12+INDEX(Symboles!$G$6:$G$101,MOD(23+$C12+(-2),$B$3)+1)*G12+INDEX(Symboles!$G$6:$G$101,MOD(23+$C12+(-1),$B$3)+1)*H12+INDEX(Symboles!$G$6:$G$101,MOD(23+$C12+(0),$B$3)+1)*I12+INDEX(Symboles!$G$6:$G$101,MOD(23+$C12+(1),$B$3)+1)*J12+INDEX(Symboles!$G$6:$G$101,MOD(23+$C12+(2),$B$3)+1)*K12+INDEX(Symboles!$G$6:$G$101,MOD(23+$C12+(3),$B$3)+1)*L12+INDEX(Symboles!$G$6:$G$101,MOD(23+$C12+(4),$B$3)+1)*M12+IF($B$6=0,0,$B$6*NORMSINV(0.000001+0.999998*RAND())))</f>
        <v/>
      </c>
      <c r="AN12" s="30">
        <f>IF(25&gt;$B$3,99,INDEX(Symboles!$G$6:$G$101,MOD(24+$C12+(-4),$B$3)+1)*E12+INDEX(Symboles!$G$6:$G$101,MOD(24+$C12+(-3),$B$3)+1)*F12+INDEX(Symboles!$G$6:$G$101,MOD(24+$C12+(-2),$B$3)+1)*G12+INDEX(Symboles!$G$6:$G$101,MOD(24+$C12+(-1),$B$3)+1)*H12+INDEX(Symboles!$G$6:$G$101,MOD(24+$C12+(0),$B$3)+1)*I12+INDEX(Symboles!$G$6:$G$101,MOD(24+$C12+(1),$B$3)+1)*J12+INDEX(Symboles!$G$6:$G$101,MOD(24+$C12+(2),$B$3)+1)*K12+INDEX(Symboles!$G$6:$G$101,MOD(24+$C12+(3),$B$3)+1)*L12+INDEX(Symboles!$G$6:$G$101,MOD(24+$C12+(4),$B$3)+1)*M12+IF($B$6=0,0,$B$6*NORMSINV(0.000001+0.999998*RAND())))</f>
        <v/>
      </c>
      <c r="AO12" s="30">
        <f>IF(26&gt;$B$3,99,INDEX(Symboles!$G$6:$G$101,MOD(25+$C12+(-4),$B$3)+1)*E12+INDEX(Symboles!$G$6:$G$101,MOD(25+$C12+(-3),$B$3)+1)*F12+INDEX(Symboles!$G$6:$G$101,MOD(25+$C12+(-2),$B$3)+1)*G12+INDEX(Symboles!$G$6:$G$101,MOD(25+$C12+(-1),$B$3)+1)*H12+INDEX(Symboles!$G$6:$G$101,MOD(25+$C12+(0),$B$3)+1)*I12+INDEX(Symboles!$G$6:$G$101,MOD(25+$C12+(1),$B$3)+1)*J12+INDEX(Symboles!$G$6:$G$101,MOD(25+$C12+(2),$B$3)+1)*K12+INDEX(Symboles!$G$6:$G$101,MOD(25+$C12+(3),$B$3)+1)*L12+INDEX(Symboles!$G$6:$G$101,MOD(25+$C12+(4),$B$3)+1)*M12+IF($B$6=0,0,$B$6*NORMSINV(0.000001+0.999998*RAND())))</f>
        <v/>
      </c>
      <c r="AP12" s="30">
        <f>IF(27&gt;$B$3,99,INDEX(Symboles!$G$6:$G$101,MOD(26+$C12+(-4),$B$3)+1)*E12+INDEX(Symboles!$G$6:$G$101,MOD(26+$C12+(-3),$B$3)+1)*F12+INDEX(Symboles!$G$6:$G$101,MOD(26+$C12+(-2),$B$3)+1)*G12+INDEX(Symboles!$G$6:$G$101,MOD(26+$C12+(-1),$B$3)+1)*H12+INDEX(Symboles!$G$6:$G$101,MOD(26+$C12+(0),$B$3)+1)*I12+INDEX(Symboles!$G$6:$G$101,MOD(26+$C12+(1),$B$3)+1)*J12+INDEX(Symboles!$G$6:$G$101,MOD(26+$C12+(2),$B$3)+1)*K12+INDEX(Symboles!$G$6:$G$101,MOD(26+$C12+(3),$B$3)+1)*L12+INDEX(Symboles!$G$6:$G$101,MOD(26+$C12+(4),$B$3)+1)*M12+IF($B$6=0,0,$B$6*NORMSINV(0.000001+0.999998*RAND())))</f>
        <v/>
      </c>
      <c r="AQ12" s="30">
        <f>IF(28&gt;$B$3,99,INDEX(Symboles!$G$6:$G$101,MOD(27+$C12+(-4),$B$3)+1)*E12+INDEX(Symboles!$G$6:$G$101,MOD(27+$C12+(-3),$B$3)+1)*F12+INDEX(Symboles!$G$6:$G$101,MOD(27+$C12+(-2),$B$3)+1)*G12+INDEX(Symboles!$G$6:$G$101,MOD(27+$C12+(-1),$B$3)+1)*H12+INDEX(Symboles!$G$6:$G$101,MOD(27+$C12+(0),$B$3)+1)*I12+INDEX(Symboles!$G$6:$G$101,MOD(27+$C12+(1),$B$3)+1)*J12+INDEX(Symboles!$G$6:$G$101,MOD(27+$C12+(2),$B$3)+1)*K12+INDEX(Symboles!$G$6:$G$101,MOD(27+$C12+(3),$B$3)+1)*L12+INDEX(Symboles!$G$6:$G$101,MOD(27+$C12+(4),$B$3)+1)*M12+IF($B$6=0,0,$B$6*NORMSINV(0.000001+0.999998*RAND())))</f>
        <v/>
      </c>
      <c r="AR12" s="30">
        <f>IF(29&gt;$B$3,99,INDEX(Symboles!$G$6:$G$101,MOD(28+$C12+(-4),$B$3)+1)*E12+INDEX(Symboles!$G$6:$G$101,MOD(28+$C12+(-3),$B$3)+1)*F12+INDEX(Symboles!$G$6:$G$101,MOD(28+$C12+(-2),$B$3)+1)*G12+INDEX(Symboles!$G$6:$G$101,MOD(28+$C12+(-1),$B$3)+1)*H12+INDEX(Symboles!$G$6:$G$101,MOD(28+$C12+(0),$B$3)+1)*I12+INDEX(Symboles!$G$6:$G$101,MOD(28+$C12+(1),$B$3)+1)*J12+INDEX(Symboles!$G$6:$G$101,MOD(28+$C12+(2),$B$3)+1)*K12+INDEX(Symboles!$G$6:$G$101,MOD(28+$C12+(3),$B$3)+1)*L12+INDEX(Symboles!$G$6:$G$101,MOD(28+$C12+(4),$B$3)+1)*M12+IF($B$6=0,0,$B$6*NORMSINV(0.000001+0.999998*RAND())))</f>
        <v/>
      </c>
      <c r="AS12" s="30">
        <f>IF(30&gt;$B$3,99,INDEX(Symboles!$G$6:$G$101,MOD(29+$C12+(-4),$B$3)+1)*E12+INDEX(Symboles!$G$6:$G$101,MOD(29+$C12+(-3),$B$3)+1)*F12+INDEX(Symboles!$G$6:$G$101,MOD(29+$C12+(-2),$B$3)+1)*G12+INDEX(Symboles!$G$6:$G$101,MOD(29+$C12+(-1),$B$3)+1)*H12+INDEX(Symboles!$G$6:$G$101,MOD(29+$C12+(0),$B$3)+1)*I12+INDEX(Symboles!$G$6:$G$101,MOD(29+$C12+(1),$B$3)+1)*J12+INDEX(Symboles!$G$6:$G$101,MOD(29+$C12+(2),$B$3)+1)*K12+INDEX(Symboles!$G$6:$G$101,MOD(29+$C12+(3),$B$3)+1)*L12+INDEX(Symboles!$G$6:$G$101,MOD(29+$C12+(4),$B$3)+1)*M12+IF($B$6=0,0,$B$6*NORMSINV(0.000001+0.999998*RAND())))</f>
        <v/>
      </c>
      <c r="AT12" s="30">
        <f>IF(31&gt;$B$3,99,INDEX(Symboles!$G$6:$G$101,MOD(30+$C12+(-4),$B$3)+1)*E12+INDEX(Symboles!$G$6:$G$101,MOD(30+$C12+(-3),$B$3)+1)*F12+INDEX(Symboles!$G$6:$G$101,MOD(30+$C12+(-2),$B$3)+1)*G12+INDEX(Symboles!$G$6:$G$101,MOD(30+$C12+(-1),$B$3)+1)*H12+INDEX(Symboles!$G$6:$G$101,MOD(30+$C12+(0),$B$3)+1)*I12+INDEX(Symboles!$G$6:$G$101,MOD(30+$C12+(1),$B$3)+1)*J12+INDEX(Symboles!$G$6:$G$101,MOD(30+$C12+(2),$B$3)+1)*K12+INDEX(Symboles!$G$6:$G$101,MOD(30+$C12+(3),$B$3)+1)*L12+INDEX(Symboles!$G$6:$G$101,MOD(30+$C12+(4),$B$3)+1)*M12+IF($B$6=0,0,$B$6*NORMSINV(0.000001+0.999998*RAND())))</f>
        <v/>
      </c>
      <c r="AU12" s="30">
        <f>IF(32&gt;$B$3,99,INDEX(Symboles!$G$6:$G$101,MOD(31+$C12+(-4),$B$3)+1)*E12+INDEX(Symboles!$G$6:$G$101,MOD(31+$C12+(-3),$B$3)+1)*F12+INDEX(Symboles!$G$6:$G$101,MOD(31+$C12+(-2),$B$3)+1)*G12+INDEX(Symboles!$G$6:$G$101,MOD(31+$C12+(-1),$B$3)+1)*H12+INDEX(Symboles!$G$6:$G$101,MOD(31+$C12+(0),$B$3)+1)*I12+INDEX(Symboles!$G$6:$G$101,MOD(31+$C12+(1),$B$3)+1)*J12+INDEX(Symboles!$G$6:$G$101,MOD(31+$C12+(2),$B$3)+1)*K12+INDEX(Symboles!$G$6:$G$101,MOD(31+$C12+(3),$B$3)+1)*L12+INDEX(Symboles!$G$6:$G$101,MOD(31+$C12+(4),$B$3)+1)*M12+IF($B$6=0,0,$B$6*NORMSINV(0.000001+0.999998*RAND())))</f>
        <v/>
      </c>
      <c r="AV12" s="30">
        <f>IF(33&gt;$B$3,99,INDEX(Symboles!$G$6:$G$101,MOD(32+$C12+(-4),$B$3)+1)*E12+INDEX(Symboles!$G$6:$G$101,MOD(32+$C12+(-3),$B$3)+1)*F12+INDEX(Symboles!$G$6:$G$101,MOD(32+$C12+(-2),$B$3)+1)*G12+INDEX(Symboles!$G$6:$G$101,MOD(32+$C12+(-1),$B$3)+1)*H12+INDEX(Symboles!$G$6:$G$101,MOD(32+$C12+(0),$B$3)+1)*I12+INDEX(Symboles!$G$6:$G$101,MOD(32+$C12+(1),$B$3)+1)*J12+INDEX(Symboles!$G$6:$G$101,MOD(32+$C12+(2),$B$3)+1)*K12+INDEX(Symboles!$G$6:$G$101,MOD(32+$C12+(3),$B$3)+1)*L12+INDEX(Symboles!$G$6:$G$101,MOD(32+$C12+(4),$B$3)+1)*M12+IF($B$6=0,0,$B$6*NORMSINV(0.000001+0.999998*RAND())))</f>
        <v/>
      </c>
      <c r="AW12" s="30">
        <f>IF(34&gt;$B$3,99,INDEX(Symboles!$G$6:$G$101,MOD(33+$C12+(-4),$B$3)+1)*E12+INDEX(Symboles!$G$6:$G$101,MOD(33+$C12+(-3),$B$3)+1)*F12+INDEX(Symboles!$G$6:$G$101,MOD(33+$C12+(-2),$B$3)+1)*G12+INDEX(Symboles!$G$6:$G$101,MOD(33+$C12+(-1),$B$3)+1)*H12+INDEX(Symboles!$G$6:$G$101,MOD(33+$C12+(0),$B$3)+1)*I12+INDEX(Symboles!$G$6:$G$101,MOD(33+$C12+(1),$B$3)+1)*J12+INDEX(Symboles!$G$6:$G$101,MOD(33+$C12+(2),$B$3)+1)*K12+INDEX(Symboles!$G$6:$G$101,MOD(33+$C12+(3),$B$3)+1)*L12+INDEX(Symboles!$G$6:$G$101,MOD(33+$C12+(4),$B$3)+1)*M12+IF($B$6=0,0,$B$6*NORMSINV(0.000001+0.999998*RAND())))</f>
        <v/>
      </c>
      <c r="AX12" s="30">
        <f>IF(35&gt;$B$3,99,INDEX(Symboles!$G$6:$G$101,MOD(34+$C12+(-4),$B$3)+1)*E12+INDEX(Symboles!$G$6:$G$101,MOD(34+$C12+(-3),$B$3)+1)*F12+INDEX(Symboles!$G$6:$G$101,MOD(34+$C12+(-2),$B$3)+1)*G12+INDEX(Symboles!$G$6:$G$101,MOD(34+$C12+(-1),$B$3)+1)*H12+INDEX(Symboles!$G$6:$G$101,MOD(34+$C12+(0),$B$3)+1)*I12+INDEX(Symboles!$G$6:$G$101,MOD(34+$C12+(1),$B$3)+1)*J12+INDEX(Symboles!$G$6:$G$101,MOD(34+$C12+(2),$B$3)+1)*K12+INDEX(Symboles!$G$6:$G$101,MOD(34+$C12+(3),$B$3)+1)*L12+INDEX(Symboles!$G$6:$G$101,MOD(34+$C12+(4),$B$3)+1)*M12+IF($B$6=0,0,$B$6*NORMSINV(0.000001+0.999998*RAND())))</f>
        <v/>
      </c>
      <c r="AY12" s="30">
        <f>IF(36&gt;$B$3,99,INDEX(Symboles!$G$6:$G$101,MOD(35+$C12+(-4),$B$3)+1)*E12+INDEX(Symboles!$G$6:$G$101,MOD(35+$C12+(-3),$B$3)+1)*F12+INDEX(Symboles!$G$6:$G$101,MOD(35+$C12+(-2),$B$3)+1)*G12+INDEX(Symboles!$G$6:$G$101,MOD(35+$C12+(-1),$B$3)+1)*H12+INDEX(Symboles!$G$6:$G$101,MOD(35+$C12+(0),$B$3)+1)*I12+INDEX(Symboles!$G$6:$G$101,MOD(35+$C12+(1),$B$3)+1)*J12+INDEX(Symboles!$G$6:$G$101,MOD(35+$C12+(2),$B$3)+1)*K12+INDEX(Symboles!$G$6:$G$101,MOD(35+$C12+(3),$B$3)+1)*L12+INDEX(Symboles!$G$6:$G$101,MOD(35+$C12+(4),$B$3)+1)*M12+IF($B$6=0,0,$B$6*NORMSINV(0.000001+0.999998*RAND())))</f>
        <v/>
      </c>
      <c r="AZ12" s="30">
        <f>IF(37&gt;$B$3,99,INDEX(Symboles!$G$6:$G$101,MOD(36+$C12+(-4),$B$3)+1)*E12+INDEX(Symboles!$G$6:$G$101,MOD(36+$C12+(-3),$B$3)+1)*F12+INDEX(Symboles!$G$6:$G$101,MOD(36+$C12+(-2),$B$3)+1)*G12+INDEX(Symboles!$G$6:$G$101,MOD(36+$C12+(-1),$B$3)+1)*H12+INDEX(Symboles!$G$6:$G$101,MOD(36+$C12+(0),$B$3)+1)*I12+INDEX(Symboles!$G$6:$G$101,MOD(36+$C12+(1),$B$3)+1)*J12+INDEX(Symboles!$G$6:$G$101,MOD(36+$C12+(2),$B$3)+1)*K12+INDEX(Symboles!$G$6:$G$101,MOD(36+$C12+(3),$B$3)+1)*L12+INDEX(Symboles!$G$6:$G$101,MOD(36+$C12+(4),$B$3)+1)*M12+IF($B$6=0,0,$B$6*NORMSINV(0.000001+0.999998*RAND())))</f>
        <v/>
      </c>
      <c r="BA12" s="30">
        <f>IF(38&gt;$B$3,99,INDEX(Symboles!$G$6:$G$101,MOD(37+$C12+(-4),$B$3)+1)*E12+INDEX(Symboles!$G$6:$G$101,MOD(37+$C12+(-3),$B$3)+1)*F12+INDEX(Symboles!$G$6:$G$101,MOD(37+$C12+(-2),$B$3)+1)*G12+INDEX(Symboles!$G$6:$G$101,MOD(37+$C12+(-1),$B$3)+1)*H12+INDEX(Symboles!$G$6:$G$101,MOD(37+$C12+(0),$B$3)+1)*I12+INDEX(Symboles!$G$6:$G$101,MOD(37+$C12+(1),$B$3)+1)*J12+INDEX(Symboles!$G$6:$G$101,MOD(37+$C12+(2),$B$3)+1)*K12+INDEX(Symboles!$G$6:$G$101,MOD(37+$C12+(3),$B$3)+1)*L12+INDEX(Symboles!$G$6:$G$101,MOD(37+$C12+(4),$B$3)+1)*M12+IF($B$6=0,0,$B$6*NORMSINV(0.000001+0.999998*RAND())))</f>
        <v/>
      </c>
      <c r="BB12" s="30">
        <f>IF(39&gt;$B$3,99,INDEX(Symboles!$G$6:$G$101,MOD(38+$C12+(-4),$B$3)+1)*E12+INDEX(Symboles!$G$6:$G$101,MOD(38+$C12+(-3),$B$3)+1)*F12+INDEX(Symboles!$G$6:$G$101,MOD(38+$C12+(-2),$B$3)+1)*G12+INDEX(Symboles!$G$6:$G$101,MOD(38+$C12+(-1),$B$3)+1)*H12+INDEX(Symboles!$G$6:$G$101,MOD(38+$C12+(0),$B$3)+1)*I12+INDEX(Symboles!$G$6:$G$101,MOD(38+$C12+(1),$B$3)+1)*J12+INDEX(Symboles!$G$6:$G$101,MOD(38+$C12+(2),$B$3)+1)*K12+INDEX(Symboles!$G$6:$G$101,MOD(38+$C12+(3),$B$3)+1)*L12+INDEX(Symboles!$G$6:$G$101,MOD(38+$C12+(4),$B$3)+1)*M12+IF($B$6=0,0,$B$6*NORMSINV(0.000001+0.999998*RAND())))</f>
        <v/>
      </c>
      <c r="BC12" s="30">
        <f>IF(40&gt;$B$3,99,INDEX(Symboles!$G$6:$G$101,MOD(39+$C12+(-4),$B$3)+1)*E12+INDEX(Symboles!$G$6:$G$101,MOD(39+$C12+(-3),$B$3)+1)*F12+INDEX(Symboles!$G$6:$G$101,MOD(39+$C12+(-2),$B$3)+1)*G12+INDEX(Symboles!$G$6:$G$101,MOD(39+$C12+(-1),$B$3)+1)*H12+INDEX(Symboles!$G$6:$G$101,MOD(39+$C12+(0),$B$3)+1)*I12+INDEX(Symboles!$G$6:$G$101,MOD(39+$C12+(1),$B$3)+1)*J12+INDEX(Symboles!$G$6:$G$101,MOD(39+$C12+(2),$B$3)+1)*K12+INDEX(Symboles!$G$6:$G$101,MOD(39+$C12+(3),$B$3)+1)*L12+INDEX(Symboles!$G$6:$G$101,MOD(39+$C12+(4),$B$3)+1)*M12+IF($B$6=0,0,$B$6*NORMSINV(0.000001+0.999998*RAND())))</f>
        <v/>
      </c>
      <c r="BD12" s="30">
        <f>IF(41&gt;$B$3,99,INDEX(Symboles!$G$6:$G$101,MOD(40+$C12+(-4),$B$3)+1)*E12+INDEX(Symboles!$G$6:$G$101,MOD(40+$C12+(-3),$B$3)+1)*F12+INDEX(Symboles!$G$6:$G$101,MOD(40+$C12+(-2),$B$3)+1)*G12+INDEX(Symboles!$G$6:$G$101,MOD(40+$C12+(-1),$B$3)+1)*H12+INDEX(Symboles!$G$6:$G$101,MOD(40+$C12+(0),$B$3)+1)*I12+INDEX(Symboles!$G$6:$G$101,MOD(40+$C12+(1),$B$3)+1)*J12+INDEX(Symboles!$G$6:$G$101,MOD(40+$C12+(2),$B$3)+1)*K12+INDEX(Symboles!$G$6:$G$101,MOD(40+$C12+(3),$B$3)+1)*L12+INDEX(Symboles!$G$6:$G$101,MOD(40+$C12+(4),$B$3)+1)*M12+IF($B$6=0,0,$B$6*NORMSINV(0.000001+0.999998*RAND())))</f>
        <v/>
      </c>
      <c r="BE12" s="30">
        <f>IF(42&gt;$B$3,99,INDEX(Symboles!$G$6:$G$101,MOD(41+$C12+(-4),$B$3)+1)*E12+INDEX(Symboles!$G$6:$G$101,MOD(41+$C12+(-3),$B$3)+1)*F12+INDEX(Symboles!$G$6:$G$101,MOD(41+$C12+(-2),$B$3)+1)*G12+INDEX(Symboles!$G$6:$G$101,MOD(41+$C12+(-1),$B$3)+1)*H12+INDEX(Symboles!$G$6:$G$101,MOD(41+$C12+(0),$B$3)+1)*I12+INDEX(Symboles!$G$6:$G$101,MOD(41+$C12+(1),$B$3)+1)*J12+INDEX(Symboles!$G$6:$G$101,MOD(41+$C12+(2),$B$3)+1)*K12+INDEX(Symboles!$G$6:$G$101,MOD(41+$C12+(3),$B$3)+1)*L12+INDEX(Symboles!$G$6:$G$101,MOD(41+$C12+(4),$B$3)+1)*M12+IF($B$6=0,0,$B$6*NORMSINV(0.000001+0.999998*RAND())))</f>
        <v/>
      </c>
      <c r="BF12" s="30">
        <f>IF(43&gt;$B$3,99,INDEX(Symboles!$G$6:$G$101,MOD(42+$C12+(-4),$B$3)+1)*E12+INDEX(Symboles!$G$6:$G$101,MOD(42+$C12+(-3),$B$3)+1)*F12+INDEX(Symboles!$G$6:$G$101,MOD(42+$C12+(-2),$B$3)+1)*G12+INDEX(Symboles!$G$6:$G$101,MOD(42+$C12+(-1),$B$3)+1)*H12+INDEX(Symboles!$G$6:$G$101,MOD(42+$C12+(0),$B$3)+1)*I12+INDEX(Symboles!$G$6:$G$101,MOD(42+$C12+(1),$B$3)+1)*J12+INDEX(Symboles!$G$6:$G$101,MOD(42+$C12+(2),$B$3)+1)*K12+INDEX(Symboles!$G$6:$G$101,MOD(42+$C12+(3),$B$3)+1)*L12+INDEX(Symboles!$G$6:$G$101,MOD(42+$C12+(4),$B$3)+1)*M12+IF($B$6=0,0,$B$6*NORMSINV(0.000001+0.999998*RAND())))</f>
        <v/>
      </c>
      <c r="BG12" s="30">
        <f>IF(44&gt;$B$3,99,INDEX(Symboles!$G$6:$G$101,MOD(43+$C12+(-4),$B$3)+1)*E12+INDEX(Symboles!$G$6:$G$101,MOD(43+$C12+(-3),$B$3)+1)*F12+INDEX(Symboles!$G$6:$G$101,MOD(43+$C12+(-2),$B$3)+1)*G12+INDEX(Symboles!$G$6:$G$101,MOD(43+$C12+(-1),$B$3)+1)*H12+INDEX(Symboles!$G$6:$G$101,MOD(43+$C12+(0),$B$3)+1)*I12+INDEX(Symboles!$G$6:$G$101,MOD(43+$C12+(1),$B$3)+1)*J12+INDEX(Symboles!$G$6:$G$101,MOD(43+$C12+(2),$B$3)+1)*K12+INDEX(Symboles!$G$6:$G$101,MOD(43+$C12+(3),$B$3)+1)*L12+INDEX(Symboles!$G$6:$G$101,MOD(43+$C12+(4),$B$3)+1)*M12+IF($B$6=0,0,$B$6*NORMSINV(0.000001+0.999998*RAND())))</f>
        <v/>
      </c>
      <c r="BH12" s="30">
        <f>IF(45&gt;$B$3,99,INDEX(Symboles!$G$6:$G$101,MOD(44+$C12+(-4),$B$3)+1)*E12+INDEX(Symboles!$G$6:$G$101,MOD(44+$C12+(-3),$B$3)+1)*F12+INDEX(Symboles!$G$6:$G$101,MOD(44+$C12+(-2),$B$3)+1)*G12+INDEX(Symboles!$G$6:$G$101,MOD(44+$C12+(-1),$B$3)+1)*H12+INDEX(Symboles!$G$6:$G$101,MOD(44+$C12+(0),$B$3)+1)*I12+INDEX(Symboles!$G$6:$G$101,MOD(44+$C12+(1),$B$3)+1)*J12+INDEX(Symboles!$G$6:$G$101,MOD(44+$C12+(2),$B$3)+1)*K12+INDEX(Symboles!$G$6:$G$101,MOD(44+$C12+(3),$B$3)+1)*L12+INDEX(Symboles!$G$6:$G$101,MOD(44+$C12+(4),$B$3)+1)*M12+IF($B$6=0,0,$B$6*NORMSINV(0.000001+0.999998*RAND())))</f>
        <v/>
      </c>
      <c r="BI12" s="30">
        <f>IF(46&gt;$B$3,99,INDEX(Symboles!$G$6:$G$101,MOD(45+$C12+(-4),$B$3)+1)*E12+INDEX(Symboles!$G$6:$G$101,MOD(45+$C12+(-3),$B$3)+1)*F12+INDEX(Symboles!$G$6:$G$101,MOD(45+$C12+(-2),$B$3)+1)*G12+INDEX(Symboles!$G$6:$G$101,MOD(45+$C12+(-1),$B$3)+1)*H12+INDEX(Symboles!$G$6:$G$101,MOD(45+$C12+(0),$B$3)+1)*I12+INDEX(Symboles!$G$6:$G$101,MOD(45+$C12+(1),$B$3)+1)*J12+INDEX(Symboles!$G$6:$G$101,MOD(45+$C12+(2),$B$3)+1)*K12+INDEX(Symboles!$G$6:$G$101,MOD(45+$C12+(3),$B$3)+1)*L12+INDEX(Symboles!$G$6:$G$101,MOD(45+$C12+(4),$B$3)+1)*M12+IF($B$6=0,0,$B$6*NORMSINV(0.000001+0.999998*RAND())))</f>
        <v/>
      </c>
      <c r="BJ12" s="30">
        <f>IF(47&gt;$B$3,99,INDEX(Symboles!$G$6:$G$101,MOD(46+$C12+(-4),$B$3)+1)*E12+INDEX(Symboles!$G$6:$G$101,MOD(46+$C12+(-3),$B$3)+1)*F12+INDEX(Symboles!$G$6:$G$101,MOD(46+$C12+(-2),$B$3)+1)*G12+INDEX(Symboles!$G$6:$G$101,MOD(46+$C12+(-1),$B$3)+1)*H12+INDEX(Symboles!$G$6:$G$101,MOD(46+$C12+(0),$B$3)+1)*I12+INDEX(Symboles!$G$6:$G$101,MOD(46+$C12+(1),$B$3)+1)*J12+INDEX(Symboles!$G$6:$G$101,MOD(46+$C12+(2),$B$3)+1)*K12+INDEX(Symboles!$G$6:$G$101,MOD(46+$C12+(3),$B$3)+1)*L12+INDEX(Symboles!$G$6:$G$101,MOD(46+$C12+(4),$B$3)+1)*M12+IF($B$6=0,0,$B$6*NORMSINV(0.000001+0.999998*RAND())))</f>
        <v/>
      </c>
      <c r="BK12" s="30">
        <f>IF(48&gt;$B$3,99,INDEX(Symboles!$G$6:$G$101,MOD(47+$C12+(-4),$B$3)+1)*E12+INDEX(Symboles!$G$6:$G$101,MOD(47+$C12+(-3),$B$3)+1)*F12+INDEX(Symboles!$G$6:$G$101,MOD(47+$C12+(-2),$B$3)+1)*G12+INDEX(Symboles!$G$6:$G$101,MOD(47+$C12+(-1),$B$3)+1)*H12+INDEX(Symboles!$G$6:$G$101,MOD(47+$C12+(0),$B$3)+1)*I12+INDEX(Symboles!$G$6:$G$101,MOD(47+$C12+(1),$B$3)+1)*J12+INDEX(Symboles!$G$6:$G$101,MOD(47+$C12+(2),$B$3)+1)*K12+INDEX(Symboles!$G$6:$G$101,MOD(47+$C12+(3),$B$3)+1)*L12+INDEX(Symboles!$G$6:$G$101,MOD(47+$C12+(4),$B$3)+1)*M12+IF($B$6=0,0,$B$6*NORMSINV(0.000001+0.999998*RAND())))</f>
        <v/>
      </c>
      <c r="BL12" s="30">
        <f>IF(49&gt;$B$3,99,INDEX(Symboles!$G$6:$G$101,MOD(48+$C12+(-4),$B$3)+1)*E12+INDEX(Symboles!$G$6:$G$101,MOD(48+$C12+(-3),$B$3)+1)*F12+INDEX(Symboles!$G$6:$G$101,MOD(48+$C12+(-2),$B$3)+1)*G12+INDEX(Symboles!$G$6:$G$101,MOD(48+$C12+(-1),$B$3)+1)*H12+INDEX(Symboles!$G$6:$G$101,MOD(48+$C12+(0),$B$3)+1)*I12+INDEX(Symboles!$G$6:$G$101,MOD(48+$C12+(1),$B$3)+1)*J12+INDEX(Symboles!$G$6:$G$101,MOD(48+$C12+(2),$B$3)+1)*K12+INDEX(Symboles!$G$6:$G$101,MOD(48+$C12+(3),$B$3)+1)*L12+INDEX(Symboles!$G$6:$G$101,MOD(48+$C12+(4),$B$3)+1)*M12+IF($B$6=0,0,$B$6*NORMSINV(0.000001+0.999998*RAND())))</f>
        <v/>
      </c>
      <c r="BM12" s="30">
        <f>IF(50&gt;$B$3,99,INDEX(Symboles!$G$6:$G$101,MOD(49+$C12+(-4),$B$3)+1)*E12+INDEX(Symboles!$G$6:$G$101,MOD(49+$C12+(-3),$B$3)+1)*F12+INDEX(Symboles!$G$6:$G$101,MOD(49+$C12+(-2),$B$3)+1)*G12+INDEX(Symboles!$G$6:$G$101,MOD(49+$C12+(-1),$B$3)+1)*H12+INDEX(Symboles!$G$6:$G$101,MOD(49+$C12+(0),$B$3)+1)*I12+INDEX(Symboles!$G$6:$G$101,MOD(49+$C12+(1),$B$3)+1)*J12+INDEX(Symboles!$G$6:$G$101,MOD(49+$C12+(2),$B$3)+1)*K12+INDEX(Symboles!$G$6:$G$101,MOD(49+$C12+(3),$B$3)+1)*L12+INDEX(Symboles!$G$6:$G$101,MOD(49+$C12+(4),$B$3)+1)*M12+IF($B$6=0,0,$B$6*NORMSINV(0.000001+0.999998*RAND())))</f>
        <v/>
      </c>
      <c r="BN12" s="30">
        <f>IF(51&gt;$B$3,99,INDEX(Symboles!$G$6:$G$101,MOD(50+$C12+(-4),$B$3)+1)*E12+INDEX(Symboles!$G$6:$G$101,MOD(50+$C12+(-3),$B$3)+1)*F12+INDEX(Symboles!$G$6:$G$101,MOD(50+$C12+(-2),$B$3)+1)*G12+INDEX(Symboles!$G$6:$G$101,MOD(50+$C12+(-1),$B$3)+1)*H12+INDEX(Symboles!$G$6:$G$101,MOD(50+$C12+(0),$B$3)+1)*I12+INDEX(Symboles!$G$6:$G$101,MOD(50+$C12+(1),$B$3)+1)*J12+INDEX(Symboles!$G$6:$G$101,MOD(50+$C12+(2),$B$3)+1)*K12+INDEX(Symboles!$G$6:$G$101,MOD(50+$C12+(3),$B$3)+1)*L12+INDEX(Symboles!$G$6:$G$101,MOD(50+$C12+(4),$B$3)+1)*M12+IF($B$6=0,0,$B$6*NORMSINV(0.000001+0.999998*RAND())))</f>
        <v/>
      </c>
      <c r="BO12" s="30">
        <f>IF(52&gt;$B$3,99,INDEX(Symboles!$G$6:$G$101,MOD(51+$C12+(-4),$B$3)+1)*E12+INDEX(Symboles!$G$6:$G$101,MOD(51+$C12+(-3),$B$3)+1)*F12+INDEX(Symboles!$G$6:$G$101,MOD(51+$C12+(-2),$B$3)+1)*G12+INDEX(Symboles!$G$6:$G$101,MOD(51+$C12+(-1),$B$3)+1)*H12+INDEX(Symboles!$G$6:$G$101,MOD(51+$C12+(0),$B$3)+1)*I12+INDEX(Symboles!$G$6:$G$101,MOD(51+$C12+(1),$B$3)+1)*J12+INDEX(Symboles!$G$6:$G$101,MOD(51+$C12+(2),$B$3)+1)*K12+INDEX(Symboles!$G$6:$G$101,MOD(51+$C12+(3),$B$3)+1)*L12+INDEX(Symboles!$G$6:$G$101,MOD(51+$C12+(4),$B$3)+1)*M12+IF($B$6=0,0,$B$6*NORMSINV(0.000001+0.999998*RAND())))</f>
        <v/>
      </c>
      <c r="BP12" s="30">
        <f>IF(53&gt;$B$3,99,INDEX(Symboles!$G$6:$G$101,MOD(52+$C12+(-4),$B$3)+1)*E12+INDEX(Symboles!$G$6:$G$101,MOD(52+$C12+(-3),$B$3)+1)*F12+INDEX(Symboles!$G$6:$G$101,MOD(52+$C12+(-2),$B$3)+1)*G12+INDEX(Symboles!$G$6:$G$101,MOD(52+$C12+(-1),$B$3)+1)*H12+INDEX(Symboles!$G$6:$G$101,MOD(52+$C12+(0),$B$3)+1)*I12+INDEX(Symboles!$G$6:$G$101,MOD(52+$C12+(1),$B$3)+1)*J12+INDEX(Symboles!$G$6:$G$101,MOD(52+$C12+(2),$B$3)+1)*K12+INDEX(Symboles!$G$6:$G$101,MOD(52+$C12+(3),$B$3)+1)*L12+INDEX(Symboles!$G$6:$G$101,MOD(52+$C12+(4),$B$3)+1)*M12+IF($B$6=0,0,$B$6*NORMSINV(0.000001+0.999998*RAND())))</f>
        <v/>
      </c>
      <c r="BQ12" s="30">
        <f>IF(54&gt;$B$3,99,INDEX(Symboles!$G$6:$G$101,MOD(53+$C12+(-4),$B$3)+1)*E12+INDEX(Symboles!$G$6:$G$101,MOD(53+$C12+(-3),$B$3)+1)*F12+INDEX(Symboles!$G$6:$G$101,MOD(53+$C12+(-2),$B$3)+1)*G12+INDEX(Symboles!$G$6:$G$101,MOD(53+$C12+(-1),$B$3)+1)*H12+INDEX(Symboles!$G$6:$G$101,MOD(53+$C12+(0),$B$3)+1)*I12+INDEX(Symboles!$G$6:$G$101,MOD(53+$C12+(1),$B$3)+1)*J12+INDEX(Symboles!$G$6:$G$101,MOD(53+$C12+(2),$B$3)+1)*K12+INDEX(Symboles!$G$6:$G$101,MOD(53+$C12+(3),$B$3)+1)*L12+INDEX(Symboles!$G$6:$G$101,MOD(53+$C12+(4),$B$3)+1)*M12+IF($B$6=0,0,$B$6*NORMSINV(0.000001+0.999998*RAND())))</f>
        <v/>
      </c>
      <c r="BR12" s="30">
        <f>IF(55&gt;$B$3,99,INDEX(Symboles!$G$6:$G$101,MOD(54+$C12+(-4),$B$3)+1)*E12+INDEX(Symboles!$G$6:$G$101,MOD(54+$C12+(-3),$B$3)+1)*F12+INDEX(Symboles!$G$6:$G$101,MOD(54+$C12+(-2),$B$3)+1)*G12+INDEX(Symboles!$G$6:$G$101,MOD(54+$C12+(-1),$B$3)+1)*H12+INDEX(Symboles!$G$6:$G$101,MOD(54+$C12+(0),$B$3)+1)*I12+INDEX(Symboles!$G$6:$G$101,MOD(54+$C12+(1),$B$3)+1)*J12+INDEX(Symboles!$G$6:$G$101,MOD(54+$C12+(2),$B$3)+1)*K12+INDEX(Symboles!$G$6:$G$101,MOD(54+$C12+(3),$B$3)+1)*L12+INDEX(Symboles!$G$6:$G$101,MOD(54+$C12+(4),$B$3)+1)*M12+IF($B$6=0,0,$B$6*NORMSINV(0.000001+0.999998*RAND())))</f>
        <v/>
      </c>
      <c r="BS12" s="30">
        <f>IF(56&gt;$B$3,99,INDEX(Symboles!$G$6:$G$101,MOD(55+$C12+(-4),$B$3)+1)*E12+INDEX(Symboles!$G$6:$G$101,MOD(55+$C12+(-3),$B$3)+1)*F12+INDEX(Symboles!$G$6:$G$101,MOD(55+$C12+(-2),$B$3)+1)*G12+INDEX(Symboles!$G$6:$G$101,MOD(55+$C12+(-1),$B$3)+1)*H12+INDEX(Symboles!$G$6:$G$101,MOD(55+$C12+(0),$B$3)+1)*I12+INDEX(Symboles!$G$6:$G$101,MOD(55+$C12+(1),$B$3)+1)*J12+INDEX(Symboles!$G$6:$G$101,MOD(55+$C12+(2),$B$3)+1)*K12+INDEX(Symboles!$G$6:$G$101,MOD(55+$C12+(3),$B$3)+1)*L12+INDEX(Symboles!$G$6:$G$101,MOD(55+$C12+(4),$B$3)+1)*M12+IF($B$6=0,0,$B$6*NORMSINV(0.000001+0.999998*RAND())))</f>
        <v/>
      </c>
      <c r="BT12" s="30">
        <f>IF(57&gt;$B$3,99,INDEX(Symboles!$G$6:$G$101,MOD(56+$C12+(-4),$B$3)+1)*E12+INDEX(Symboles!$G$6:$G$101,MOD(56+$C12+(-3),$B$3)+1)*F12+INDEX(Symboles!$G$6:$G$101,MOD(56+$C12+(-2),$B$3)+1)*G12+INDEX(Symboles!$G$6:$G$101,MOD(56+$C12+(-1),$B$3)+1)*H12+INDEX(Symboles!$G$6:$G$101,MOD(56+$C12+(0),$B$3)+1)*I12+INDEX(Symboles!$G$6:$G$101,MOD(56+$C12+(1),$B$3)+1)*J12+INDEX(Symboles!$G$6:$G$101,MOD(56+$C12+(2),$B$3)+1)*K12+INDEX(Symboles!$G$6:$G$101,MOD(56+$C12+(3),$B$3)+1)*L12+INDEX(Symboles!$G$6:$G$101,MOD(56+$C12+(4),$B$3)+1)*M12+IF($B$6=0,0,$B$6*NORMSINV(0.000001+0.999998*RAND())))</f>
        <v/>
      </c>
      <c r="BU12" s="30">
        <f>IF(58&gt;$B$3,99,INDEX(Symboles!$G$6:$G$101,MOD(57+$C12+(-4),$B$3)+1)*E12+INDEX(Symboles!$G$6:$G$101,MOD(57+$C12+(-3),$B$3)+1)*F12+INDEX(Symboles!$G$6:$G$101,MOD(57+$C12+(-2),$B$3)+1)*G12+INDEX(Symboles!$G$6:$G$101,MOD(57+$C12+(-1),$B$3)+1)*H12+INDEX(Symboles!$G$6:$G$101,MOD(57+$C12+(0),$B$3)+1)*I12+INDEX(Symboles!$G$6:$G$101,MOD(57+$C12+(1),$B$3)+1)*J12+INDEX(Symboles!$G$6:$G$101,MOD(57+$C12+(2),$B$3)+1)*K12+INDEX(Symboles!$G$6:$G$101,MOD(57+$C12+(3),$B$3)+1)*L12+INDEX(Symboles!$G$6:$G$101,MOD(57+$C12+(4),$B$3)+1)*M12+IF($B$6=0,0,$B$6*NORMSINV(0.000001+0.999998*RAND())))</f>
        <v/>
      </c>
      <c r="BV12" s="30">
        <f>IF(59&gt;$B$3,99,INDEX(Symboles!$G$6:$G$101,MOD(58+$C12+(-4),$B$3)+1)*E12+INDEX(Symboles!$G$6:$G$101,MOD(58+$C12+(-3),$B$3)+1)*F12+INDEX(Symboles!$G$6:$G$101,MOD(58+$C12+(-2),$B$3)+1)*G12+INDEX(Symboles!$G$6:$G$101,MOD(58+$C12+(-1),$B$3)+1)*H12+INDEX(Symboles!$G$6:$G$101,MOD(58+$C12+(0),$B$3)+1)*I12+INDEX(Symboles!$G$6:$G$101,MOD(58+$C12+(1),$B$3)+1)*J12+INDEX(Symboles!$G$6:$G$101,MOD(58+$C12+(2),$B$3)+1)*K12+INDEX(Symboles!$G$6:$G$101,MOD(58+$C12+(3),$B$3)+1)*L12+INDEX(Symboles!$G$6:$G$101,MOD(58+$C12+(4),$B$3)+1)*M12+IF($B$6=0,0,$B$6*NORMSINV(0.000001+0.999998*RAND())))</f>
        <v/>
      </c>
      <c r="BW12" s="30">
        <f>IF(60&gt;$B$3,99,INDEX(Symboles!$G$6:$G$101,MOD(59+$C12+(-4),$B$3)+1)*E12+INDEX(Symboles!$G$6:$G$101,MOD(59+$C12+(-3),$B$3)+1)*F12+INDEX(Symboles!$G$6:$G$101,MOD(59+$C12+(-2),$B$3)+1)*G12+INDEX(Symboles!$G$6:$G$101,MOD(59+$C12+(-1),$B$3)+1)*H12+INDEX(Symboles!$G$6:$G$101,MOD(59+$C12+(0),$B$3)+1)*I12+INDEX(Symboles!$G$6:$G$101,MOD(59+$C12+(1),$B$3)+1)*J12+INDEX(Symboles!$G$6:$G$101,MOD(59+$C12+(2),$B$3)+1)*K12+INDEX(Symboles!$G$6:$G$101,MOD(59+$C12+(3),$B$3)+1)*L12+INDEX(Symboles!$G$6:$G$101,MOD(59+$C12+(4),$B$3)+1)*M12+IF($B$6=0,0,$B$6*NORMSINV(0.000001+0.999998*RAND())))</f>
        <v/>
      </c>
      <c r="BX12" s="30">
        <f>IF(61&gt;$B$3,99,INDEX(Symboles!$G$6:$G$101,MOD(60+$C12+(-4),$B$3)+1)*E12+INDEX(Symboles!$G$6:$G$101,MOD(60+$C12+(-3),$B$3)+1)*F12+INDEX(Symboles!$G$6:$G$101,MOD(60+$C12+(-2),$B$3)+1)*G12+INDEX(Symboles!$G$6:$G$101,MOD(60+$C12+(-1),$B$3)+1)*H12+INDEX(Symboles!$G$6:$G$101,MOD(60+$C12+(0),$B$3)+1)*I12+INDEX(Symboles!$G$6:$G$101,MOD(60+$C12+(1),$B$3)+1)*J12+INDEX(Symboles!$G$6:$G$101,MOD(60+$C12+(2),$B$3)+1)*K12+INDEX(Symboles!$G$6:$G$101,MOD(60+$C12+(3),$B$3)+1)*L12+INDEX(Symboles!$G$6:$G$101,MOD(60+$C12+(4),$B$3)+1)*M12+IF($B$6=0,0,$B$6*NORMSINV(0.000001+0.999998*RAND())))</f>
        <v/>
      </c>
      <c r="BY12" s="30">
        <f>IF(62&gt;$B$3,99,INDEX(Symboles!$G$6:$G$101,MOD(61+$C12+(-4),$B$3)+1)*E12+INDEX(Symboles!$G$6:$G$101,MOD(61+$C12+(-3),$B$3)+1)*F12+INDEX(Symboles!$G$6:$G$101,MOD(61+$C12+(-2),$B$3)+1)*G12+INDEX(Symboles!$G$6:$G$101,MOD(61+$C12+(-1),$B$3)+1)*H12+INDEX(Symboles!$G$6:$G$101,MOD(61+$C12+(0),$B$3)+1)*I12+INDEX(Symboles!$G$6:$G$101,MOD(61+$C12+(1),$B$3)+1)*J12+INDEX(Symboles!$G$6:$G$101,MOD(61+$C12+(2),$B$3)+1)*K12+INDEX(Symboles!$G$6:$G$101,MOD(61+$C12+(3),$B$3)+1)*L12+INDEX(Symboles!$G$6:$G$101,MOD(61+$C12+(4),$B$3)+1)*M12+IF($B$6=0,0,$B$6*NORMSINV(0.000001+0.999998*RAND())))</f>
        <v/>
      </c>
      <c r="BZ12" s="30">
        <f>IF(63&gt;$B$3,99,INDEX(Symboles!$G$6:$G$101,MOD(62+$C12+(-4),$B$3)+1)*E12+INDEX(Symboles!$G$6:$G$101,MOD(62+$C12+(-3),$B$3)+1)*F12+INDEX(Symboles!$G$6:$G$101,MOD(62+$C12+(-2),$B$3)+1)*G12+INDEX(Symboles!$G$6:$G$101,MOD(62+$C12+(-1),$B$3)+1)*H12+INDEX(Symboles!$G$6:$G$101,MOD(62+$C12+(0),$B$3)+1)*I12+INDEX(Symboles!$G$6:$G$101,MOD(62+$C12+(1),$B$3)+1)*J12+INDEX(Symboles!$G$6:$G$101,MOD(62+$C12+(2),$B$3)+1)*K12+INDEX(Symboles!$G$6:$G$101,MOD(62+$C12+(3),$B$3)+1)*L12+INDEX(Symboles!$G$6:$G$101,MOD(62+$C12+(4),$B$3)+1)*M12+IF($B$6=0,0,$B$6*NORMSINV(0.000001+0.999998*RAND())))</f>
        <v/>
      </c>
      <c r="CA12" s="30">
        <f>IF(64&gt;$B$3,99,INDEX(Symboles!$G$6:$G$101,MOD(63+$C12+(-4),$B$3)+1)*E12+INDEX(Symboles!$G$6:$G$101,MOD(63+$C12+(-3),$B$3)+1)*F12+INDEX(Symboles!$G$6:$G$101,MOD(63+$C12+(-2),$B$3)+1)*G12+INDEX(Symboles!$G$6:$G$101,MOD(63+$C12+(-1),$B$3)+1)*H12+INDEX(Symboles!$G$6:$G$101,MOD(63+$C12+(0),$B$3)+1)*I12+INDEX(Symboles!$G$6:$G$101,MOD(63+$C12+(1),$B$3)+1)*J12+INDEX(Symboles!$G$6:$G$101,MOD(63+$C12+(2),$B$3)+1)*K12+INDEX(Symboles!$G$6:$G$101,MOD(63+$C12+(3),$B$3)+1)*L12+INDEX(Symboles!$G$6:$G$101,MOD(63+$C12+(4),$B$3)+1)*M12+IF($B$6=0,0,$B$6*NORMSINV(0.000001+0.999998*RAND())))</f>
        <v/>
      </c>
      <c r="CB12" s="30">
        <f>IF(65&gt;$B$3,99,INDEX(Symboles!$G$6:$G$101,MOD(64+$C12+(-4),$B$3)+1)*E12+INDEX(Symboles!$G$6:$G$101,MOD(64+$C12+(-3),$B$3)+1)*F12+INDEX(Symboles!$G$6:$G$101,MOD(64+$C12+(-2),$B$3)+1)*G12+INDEX(Symboles!$G$6:$G$101,MOD(64+$C12+(-1),$B$3)+1)*H12+INDEX(Symboles!$G$6:$G$101,MOD(64+$C12+(0),$B$3)+1)*I12+INDEX(Symboles!$G$6:$G$101,MOD(64+$C12+(1),$B$3)+1)*J12+INDEX(Symboles!$G$6:$G$101,MOD(64+$C12+(2),$B$3)+1)*K12+INDEX(Symboles!$G$6:$G$101,MOD(64+$C12+(3),$B$3)+1)*L12+INDEX(Symboles!$G$6:$G$101,MOD(64+$C12+(4),$B$3)+1)*M12+IF($B$6=0,0,$B$6*NORMSINV(0.000001+0.999998*RAND())))</f>
        <v/>
      </c>
      <c r="CC12" s="30">
        <f>IF(66&gt;$B$3,99,INDEX(Symboles!$G$6:$G$101,MOD(65+$C12+(-4),$B$3)+1)*E12+INDEX(Symboles!$G$6:$G$101,MOD(65+$C12+(-3),$B$3)+1)*F12+INDEX(Symboles!$G$6:$G$101,MOD(65+$C12+(-2),$B$3)+1)*G12+INDEX(Symboles!$G$6:$G$101,MOD(65+$C12+(-1),$B$3)+1)*H12+INDEX(Symboles!$G$6:$G$101,MOD(65+$C12+(0),$B$3)+1)*I12+INDEX(Symboles!$G$6:$G$101,MOD(65+$C12+(1),$B$3)+1)*J12+INDEX(Symboles!$G$6:$G$101,MOD(65+$C12+(2),$B$3)+1)*K12+INDEX(Symboles!$G$6:$G$101,MOD(65+$C12+(3),$B$3)+1)*L12+INDEX(Symboles!$G$6:$G$101,MOD(65+$C12+(4),$B$3)+1)*M12+IF($B$6=0,0,$B$6*NORMSINV(0.000001+0.999998*RAND())))</f>
        <v/>
      </c>
      <c r="CD12" s="30">
        <f>IF(67&gt;$B$3,99,INDEX(Symboles!$G$6:$G$101,MOD(66+$C12+(-4),$B$3)+1)*E12+INDEX(Symboles!$G$6:$G$101,MOD(66+$C12+(-3),$B$3)+1)*F12+INDEX(Symboles!$G$6:$G$101,MOD(66+$C12+(-2),$B$3)+1)*G12+INDEX(Symboles!$G$6:$G$101,MOD(66+$C12+(-1),$B$3)+1)*H12+INDEX(Symboles!$G$6:$G$101,MOD(66+$C12+(0),$B$3)+1)*I12+INDEX(Symboles!$G$6:$G$101,MOD(66+$C12+(1),$B$3)+1)*J12+INDEX(Symboles!$G$6:$G$101,MOD(66+$C12+(2),$B$3)+1)*K12+INDEX(Symboles!$G$6:$G$101,MOD(66+$C12+(3),$B$3)+1)*L12+INDEX(Symboles!$G$6:$G$101,MOD(66+$C12+(4),$B$3)+1)*M12+IF($B$6=0,0,$B$6*NORMSINV(0.000001+0.999998*RAND())))</f>
        <v/>
      </c>
      <c r="CE12" s="30">
        <f>IF(68&gt;$B$3,99,INDEX(Symboles!$G$6:$G$101,MOD(67+$C12+(-4),$B$3)+1)*E12+INDEX(Symboles!$G$6:$G$101,MOD(67+$C12+(-3),$B$3)+1)*F12+INDEX(Symboles!$G$6:$G$101,MOD(67+$C12+(-2),$B$3)+1)*G12+INDEX(Symboles!$G$6:$G$101,MOD(67+$C12+(-1),$B$3)+1)*H12+INDEX(Symboles!$G$6:$G$101,MOD(67+$C12+(0),$B$3)+1)*I12+INDEX(Symboles!$G$6:$G$101,MOD(67+$C12+(1),$B$3)+1)*J12+INDEX(Symboles!$G$6:$G$101,MOD(67+$C12+(2),$B$3)+1)*K12+INDEX(Symboles!$G$6:$G$101,MOD(67+$C12+(3),$B$3)+1)*L12+INDEX(Symboles!$G$6:$G$101,MOD(67+$C12+(4),$B$3)+1)*M12+IF($B$6=0,0,$B$6*NORMSINV(0.000001+0.999998*RAND())))</f>
        <v/>
      </c>
      <c r="CF12" s="30">
        <f>IF(69&gt;$B$3,99,INDEX(Symboles!$G$6:$G$101,MOD(68+$C12+(-4),$B$3)+1)*E12+INDEX(Symboles!$G$6:$G$101,MOD(68+$C12+(-3),$B$3)+1)*F12+INDEX(Symboles!$G$6:$G$101,MOD(68+$C12+(-2),$B$3)+1)*G12+INDEX(Symboles!$G$6:$G$101,MOD(68+$C12+(-1),$B$3)+1)*H12+INDEX(Symboles!$G$6:$G$101,MOD(68+$C12+(0),$B$3)+1)*I12+INDEX(Symboles!$G$6:$G$101,MOD(68+$C12+(1),$B$3)+1)*J12+INDEX(Symboles!$G$6:$G$101,MOD(68+$C12+(2),$B$3)+1)*K12+INDEX(Symboles!$G$6:$G$101,MOD(68+$C12+(3),$B$3)+1)*L12+INDEX(Symboles!$G$6:$G$101,MOD(68+$C12+(4),$B$3)+1)*M12+IF($B$6=0,0,$B$6*NORMSINV(0.000001+0.999998*RAND())))</f>
        <v/>
      </c>
      <c r="CG12" s="30">
        <f>IF(70&gt;$B$3,99,INDEX(Symboles!$G$6:$G$101,MOD(69+$C12+(-4),$B$3)+1)*E12+INDEX(Symboles!$G$6:$G$101,MOD(69+$C12+(-3),$B$3)+1)*F12+INDEX(Symboles!$G$6:$G$101,MOD(69+$C12+(-2),$B$3)+1)*G12+INDEX(Symboles!$G$6:$G$101,MOD(69+$C12+(-1),$B$3)+1)*H12+INDEX(Symboles!$G$6:$G$101,MOD(69+$C12+(0),$B$3)+1)*I12+INDEX(Symboles!$G$6:$G$101,MOD(69+$C12+(1),$B$3)+1)*J12+INDEX(Symboles!$G$6:$G$101,MOD(69+$C12+(2),$B$3)+1)*K12+INDEX(Symboles!$G$6:$G$101,MOD(69+$C12+(3),$B$3)+1)*L12+INDEX(Symboles!$G$6:$G$101,MOD(69+$C12+(4),$B$3)+1)*M12+IF($B$6=0,0,$B$6*NORMSINV(0.000001+0.999998*RAND())))</f>
        <v/>
      </c>
      <c r="CH12" s="30">
        <f>IF(71&gt;$B$3,99,INDEX(Symboles!$G$6:$G$101,MOD(70+$C12+(-4),$B$3)+1)*E12+INDEX(Symboles!$G$6:$G$101,MOD(70+$C12+(-3),$B$3)+1)*F12+INDEX(Symboles!$G$6:$G$101,MOD(70+$C12+(-2),$B$3)+1)*G12+INDEX(Symboles!$G$6:$G$101,MOD(70+$C12+(-1),$B$3)+1)*H12+INDEX(Symboles!$G$6:$G$101,MOD(70+$C12+(0),$B$3)+1)*I12+INDEX(Symboles!$G$6:$G$101,MOD(70+$C12+(1),$B$3)+1)*J12+INDEX(Symboles!$G$6:$G$101,MOD(70+$C12+(2),$B$3)+1)*K12+INDEX(Symboles!$G$6:$G$101,MOD(70+$C12+(3),$B$3)+1)*L12+INDEX(Symboles!$G$6:$G$101,MOD(70+$C12+(4),$B$3)+1)*M12+IF($B$6=0,0,$B$6*NORMSINV(0.000001+0.999998*RAND())))</f>
        <v/>
      </c>
      <c r="CI12" s="30">
        <f>IF(72&gt;$B$3,99,INDEX(Symboles!$G$6:$G$101,MOD(71+$C12+(-4),$B$3)+1)*E12+INDEX(Symboles!$G$6:$G$101,MOD(71+$C12+(-3),$B$3)+1)*F12+INDEX(Symboles!$G$6:$G$101,MOD(71+$C12+(-2),$B$3)+1)*G12+INDEX(Symboles!$G$6:$G$101,MOD(71+$C12+(-1),$B$3)+1)*H12+INDEX(Symboles!$G$6:$G$101,MOD(71+$C12+(0),$B$3)+1)*I12+INDEX(Symboles!$G$6:$G$101,MOD(71+$C12+(1),$B$3)+1)*J12+INDEX(Symboles!$G$6:$G$101,MOD(71+$C12+(2),$B$3)+1)*K12+INDEX(Symboles!$G$6:$G$101,MOD(71+$C12+(3),$B$3)+1)*L12+INDEX(Symboles!$G$6:$G$101,MOD(71+$C12+(4),$B$3)+1)*M12+IF($B$6=0,0,$B$6*NORMSINV(0.000001+0.999998*RAND())))</f>
        <v/>
      </c>
      <c r="CJ12" s="30">
        <f>IF(73&gt;$B$3,99,INDEX(Symboles!$G$6:$G$101,MOD(72+$C12+(-4),$B$3)+1)*E12+INDEX(Symboles!$G$6:$G$101,MOD(72+$C12+(-3),$B$3)+1)*F12+INDEX(Symboles!$G$6:$G$101,MOD(72+$C12+(-2),$B$3)+1)*G12+INDEX(Symboles!$G$6:$G$101,MOD(72+$C12+(-1),$B$3)+1)*H12+INDEX(Symboles!$G$6:$G$101,MOD(72+$C12+(0),$B$3)+1)*I12+INDEX(Symboles!$G$6:$G$101,MOD(72+$C12+(1),$B$3)+1)*J12+INDEX(Symboles!$G$6:$G$101,MOD(72+$C12+(2),$B$3)+1)*K12+INDEX(Symboles!$G$6:$G$101,MOD(72+$C12+(3),$B$3)+1)*L12+INDEX(Symboles!$G$6:$G$101,MOD(72+$C12+(4),$B$3)+1)*M12+IF($B$6=0,0,$B$6*NORMSINV(0.000001+0.999998*RAND())))</f>
        <v/>
      </c>
      <c r="CK12" s="30">
        <f>IF(74&gt;$B$3,99,INDEX(Symboles!$G$6:$G$101,MOD(73+$C12+(-4),$B$3)+1)*E12+INDEX(Symboles!$G$6:$G$101,MOD(73+$C12+(-3),$B$3)+1)*F12+INDEX(Symboles!$G$6:$G$101,MOD(73+$C12+(-2),$B$3)+1)*G12+INDEX(Symboles!$G$6:$G$101,MOD(73+$C12+(-1),$B$3)+1)*H12+INDEX(Symboles!$G$6:$G$101,MOD(73+$C12+(0),$B$3)+1)*I12+INDEX(Symboles!$G$6:$G$101,MOD(73+$C12+(1),$B$3)+1)*J12+INDEX(Symboles!$G$6:$G$101,MOD(73+$C12+(2),$B$3)+1)*K12+INDEX(Symboles!$G$6:$G$101,MOD(73+$C12+(3),$B$3)+1)*L12+INDEX(Symboles!$G$6:$G$101,MOD(73+$C12+(4),$B$3)+1)*M12+IF($B$6=0,0,$B$6*NORMSINV(0.000001+0.999998*RAND())))</f>
        <v/>
      </c>
      <c r="CL12" s="30">
        <f>IF(75&gt;$B$3,99,INDEX(Symboles!$G$6:$G$101,MOD(74+$C12+(-4),$B$3)+1)*E12+INDEX(Symboles!$G$6:$G$101,MOD(74+$C12+(-3),$B$3)+1)*F12+INDEX(Symboles!$G$6:$G$101,MOD(74+$C12+(-2),$B$3)+1)*G12+INDEX(Symboles!$G$6:$G$101,MOD(74+$C12+(-1),$B$3)+1)*H12+INDEX(Symboles!$G$6:$G$101,MOD(74+$C12+(0),$B$3)+1)*I12+INDEX(Symboles!$G$6:$G$101,MOD(74+$C12+(1),$B$3)+1)*J12+INDEX(Symboles!$G$6:$G$101,MOD(74+$C12+(2),$B$3)+1)*K12+INDEX(Symboles!$G$6:$G$101,MOD(74+$C12+(3),$B$3)+1)*L12+INDEX(Symboles!$G$6:$G$101,MOD(74+$C12+(4),$B$3)+1)*M12+IF($B$6=0,0,$B$6*NORMSINV(0.000001+0.999998*RAND())))</f>
        <v/>
      </c>
      <c r="CM12" s="30">
        <f>IF(76&gt;$B$3,99,INDEX(Symboles!$G$6:$G$101,MOD(75+$C12+(-4),$B$3)+1)*E12+INDEX(Symboles!$G$6:$G$101,MOD(75+$C12+(-3),$B$3)+1)*F12+INDEX(Symboles!$G$6:$G$101,MOD(75+$C12+(-2),$B$3)+1)*G12+INDEX(Symboles!$G$6:$G$101,MOD(75+$C12+(-1),$B$3)+1)*H12+INDEX(Symboles!$G$6:$G$101,MOD(75+$C12+(0),$B$3)+1)*I12+INDEX(Symboles!$G$6:$G$101,MOD(75+$C12+(1),$B$3)+1)*J12+INDEX(Symboles!$G$6:$G$101,MOD(75+$C12+(2),$B$3)+1)*K12+INDEX(Symboles!$G$6:$G$101,MOD(75+$C12+(3),$B$3)+1)*L12+INDEX(Symboles!$G$6:$G$101,MOD(75+$C12+(4),$B$3)+1)*M12+IF($B$6=0,0,$B$6*NORMSINV(0.000001+0.999998*RAND())))</f>
        <v/>
      </c>
      <c r="CN12" s="30">
        <f>IF(77&gt;$B$3,99,INDEX(Symboles!$G$6:$G$101,MOD(76+$C12+(-4),$B$3)+1)*E12+INDEX(Symboles!$G$6:$G$101,MOD(76+$C12+(-3),$B$3)+1)*F12+INDEX(Symboles!$G$6:$G$101,MOD(76+$C12+(-2),$B$3)+1)*G12+INDEX(Symboles!$G$6:$G$101,MOD(76+$C12+(-1),$B$3)+1)*H12+INDEX(Symboles!$G$6:$G$101,MOD(76+$C12+(0),$B$3)+1)*I12+INDEX(Symboles!$G$6:$G$101,MOD(76+$C12+(1),$B$3)+1)*J12+INDEX(Symboles!$G$6:$G$101,MOD(76+$C12+(2),$B$3)+1)*K12+INDEX(Symboles!$G$6:$G$101,MOD(76+$C12+(3),$B$3)+1)*L12+INDEX(Symboles!$G$6:$G$101,MOD(76+$C12+(4),$B$3)+1)*M12+IF($B$6=0,0,$B$6*NORMSINV(0.000001+0.999998*RAND())))</f>
        <v/>
      </c>
      <c r="CO12" s="30">
        <f>IF(78&gt;$B$3,99,INDEX(Symboles!$G$6:$G$101,MOD(77+$C12+(-4),$B$3)+1)*E12+INDEX(Symboles!$G$6:$G$101,MOD(77+$C12+(-3),$B$3)+1)*F12+INDEX(Symboles!$G$6:$G$101,MOD(77+$C12+(-2),$B$3)+1)*G12+INDEX(Symboles!$G$6:$G$101,MOD(77+$C12+(-1),$B$3)+1)*H12+INDEX(Symboles!$G$6:$G$101,MOD(77+$C12+(0),$B$3)+1)*I12+INDEX(Symboles!$G$6:$G$101,MOD(77+$C12+(1),$B$3)+1)*J12+INDEX(Symboles!$G$6:$G$101,MOD(77+$C12+(2),$B$3)+1)*K12+INDEX(Symboles!$G$6:$G$101,MOD(77+$C12+(3),$B$3)+1)*L12+INDEX(Symboles!$G$6:$G$101,MOD(77+$C12+(4),$B$3)+1)*M12+IF($B$6=0,0,$B$6*NORMSINV(0.000001+0.999998*RAND())))</f>
        <v/>
      </c>
      <c r="CP12" s="30">
        <f>IF(79&gt;$B$3,99,INDEX(Symboles!$G$6:$G$101,MOD(78+$C12+(-4),$B$3)+1)*E12+INDEX(Symboles!$G$6:$G$101,MOD(78+$C12+(-3),$B$3)+1)*F12+INDEX(Symboles!$G$6:$G$101,MOD(78+$C12+(-2),$B$3)+1)*G12+INDEX(Symboles!$G$6:$G$101,MOD(78+$C12+(-1),$B$3)+1)*H12+INDEX(Symboles!$G$6:$G$101,MOD(78+$C12+(0),$B$3)+1)*I12+INDEX(Symboles!$G$6:$G$101,MOD(78+$C12+(1),$B$3)+1)*J12+INDEX(Symboles!$G$6:$G$101,MOD(78+$C12+(2),$B$3)+1)*K12+INDEX(Symboles!$G$6:$G$101,MOD(78+$C12+(3),$B$3)+1)*L12+INDEX(Symboles!$G$6:$G$101,MOD(78+$C12+(4),$B$3)+1)*M12+IF($B$6=0,0,$B$6*NORMSINV(0.000001+0.999998*RAND())))</f>
        <v/>
      </c>
      <c r="CQ12" s="30">
        <f>IF(80&gt;$B$3,99,INDEX(Symboles!$G$6:$G$101,MOD(79+$C12+(-4),$B$3)+1)*E12+INDEX(Symboles!$G$6:$G$101,MOD(79+$C12+(-3),$B$3)+1)*F12+INDEX(Symboles!$G$6:$G$101,MOD(79+$C12+(-2),$B$3)+1)*G12+INDEX(Symboles!$G$6:$G$101,MOD(79+$C12+(-1),$B$3)+1)*H12+INDEX(Symboles!$G$6:$G$101,MOD(79+$C12+(0),$B$3)+1)*I12+INDEX(Symboles!$G$6:$G$101,MOD(79+$C12+(1),$B$3)+1)*J12+INDEX(Symboles!$G$6:$G$101,MOD(79+$C12+(2),$B$3)+1)*K12+INDEX(Symboles!$G$6:$G$101,MOD(79+$C12+(3),$B$3)+1)*L12+INDEX(Symboles!$G$6:$G$101,MOD(79+$C12+(4),$B$3)+1)*M12+IF($B$6=0,0,$B$6*NORMSINV(0.000001+0.999998*RAND())))</f>
        <v/>
      </c>
      <c r="CR12" s="30">
        <f>IF(81&gt;$B$3,99,INDEX(Symboles!$G$6:$G$101,MOD(80+$C12+(-4),$B$3)+1)*E12+INDEX(Symboles!$G$6:$G$101,MOD(80+$C12+(-3),$B$3)+1)*F12+INDEX(Symboles!$G$6:$G$101,MOD(80+$C12+(-2),$B$3)+1)*G12+INDEX(Symboles!$G$6:$G$101,MOD(80+$C12+(-1),$B$3)+1)*H12+INDEX(Symboles!$G$6:$G$101,MOD(80+$C12+(0),$B$3)+1)*I12+INDEX(Symboles!$G$6:$G$101,MOD(80+$C12+(1),$B$3)+1)*J12+INDEX(Symboles!$G$6:$G$101,MOD(80+$C12+(2),$B$3)+1)*K12+INDEX(Symboles!$G$6:$G$101,MOD(80+$C12+(3),$B$3)+1)*L12+INDEX(Symboles!$G$6:$G$101,MOD(80+$C12+(4),$B$3)+1)*M12+IF($B$6=0,0,$B$6*NORMSINV(0.000001+0.999998*RAND())))</f>
        <v/>
      </c>
      <c r="CS12" s="30">
        <f>IF(82&gt;$B$3,99,INDEX(Symboles!$G$6:$G$101,MOD(81+$C12+(-4),$B$3)+1)*E12+INDEX(Symboles!$G$6:$G$101,MOD(81+$C12+(-3),$B$3)+1)*F12+INDEX(Symboles!$G$6:$G$101,MOD(81+$C12+(-2),$B$3)+1)*G12+INDEX(Symboles!$G$6:$G$101,MOD(81+$C12+(-1),$B$3)+1)*H12+INDEX(Symboles!$G$6:$G$101,MOD(81+$C12+(0),$B$3)+1)*I12+INDEX(Symboles!$G$6:$G$101,MOD(81+$C12+(1),$B$3)+1)*J12+INDEX(Symboles!$G$6:$G$101,MOD(81+$C12+(2),$B$3)+1)*K12+INDEX(Symboles!$G$6:$G$101,MOD(81+$C12+(3),$B$3)+1)*L12+INDEX(Symboles!$G$6:$G$101,MOD(81+$C12+(4),$B$3)+1)*M12+IF($B$6=0,0,$B$6*NORMSINV(0.000001+0.999998*RAND())))</f>
        <v/>
      </c>
      <c r="CT12" s="30">
        <f>IF(83&gt;$B$3,99,INDEX(Symboles!$G$6:$G$101,MOD(82+$C12+(-4),$B$3)+1)*E12+INDEX(Symboles!$G$6:$G$101,MOD(82+$C12+(-3),$B$3)+1)*F12+INDEX(Symboles!$G$6:$G$101,MOD(82+$C12+(-2),$B$3)+1)*G12+INDEX(Symboles!$G$6:$G$101,MOD(82+$C12+(-1),$B$3)+1)*H12+INDEX(Symboles!$G$6:$G$101,MOD(82+$C12+(0),$B$3)+1)*I12+INDEX(Symboles!$G$6:$G$101,MOD(82+$C12+(1),$B$3)+1)*J12+INDEX(Symboles!$G$6:$G$101,MOD(82+$C12+(2),$B$3)+1)*K12+INDEX(Symboles!$G$6:$G$101,MOD(82+$C12+(3),$B$3)+1)*L12+INDEX(Symboles!$G$6:$G$101,MOD(82+$C12+(4),$B$3)+1)*M12+IF($B$6=0,0,$B$6*NORMSINV(0.000001+0.999998*RAND())))</f>
        <v/>
      </c>
      <c r="CU12" s="30">
        <f>IF(84&gt;$B$3,99,INDEX(Symboles!$G$6:$G$101,MOD(83+$C12+(-4),$B$3)+1)*E12+INDEX(Symboles!$G$6:$G$101,MOD(83+$C12+(-3),$B$3)+1)*F12+INDEX(Symboles!$G$6:$G$101,MOD(83+$C12+(-2),$B$3)+1)*G12+INDEX(Symboles!$G$6:$G$101,MOD(83+$C12+(-1),$B$3)+1)*H12+INDEX(Symboles!$G$6:$G$101,MOD(83+$C12+(0),$B$3)+1)*I12+INDEX(Symboles!$G$6:$G$101,MOD(83+$C12+(1),$B$3)+1)*J12+INDEX(Symboles!$G$6:$G$101,MOD(83+$C12+(2),$B$3)+1)*K12+INDEX(Symboles!$G$6:$G$101,MOD(83+$C12+(3),$B$3)+1)*L12+INDEX(Symboles!$G$6:$G$101,MOD(83+$C12+(4),$B$3)+1)*M12+IF($B$6=0,0,$B$6*NORMSINV(0.000001+0.999998*RAND())))</f>
        <v/>
      </c>
      <c r="CV12" s="30">
        <f>IF(85&gt;$B$3,99,INDEX(Symboles!$G$6:$G$101,MOD(84+$C12+(-4),$B$3)+1)*E12+INDEX(Symboles!$G$6:$G$101,MOD(84+$C12+(-3),$B$3)+1)*F12+INDEX(Symboles!$G$6:$G$101,MOD(84+$C12+(-2),$B$3)+1)*G12+INDEX(Symboles!$G$6:$G$101,MOD(84+$C12+(-1),$B$3)+1)*H12+INDEX(Symboles!$G$6:$G$101,MOD(84+$C12+(0),$B$3)+1)*I12+INDEX(Symboles!$G$6:$G$101,MOD(84+$C12+(1),$B$3)+1)*J12+INDEX(Symboles!$G$6:$G$101,MOD(84+$C12+(2),$B$3)+1)*K12+INDEX(Symboles!$G$6:$G$101,MOD(84+$C12+(3),$B$3)+1)*L12+INDEX(Symboles!$G$6:$G$101,MOD(84+$C12+(4),$B$3)+1)*M12+IF($B$6=0,0,$B$6*NORMSINV(0.000001+0.999998*RAND())))</f>
        <v/>
      </c>
      <c r="CW12" s="30">
        <f>IF(86&gt;$B$3,99,INDEX(Symboles!$G$6:$G$101,MOD(85+$C12+(-4),$B$3)+1)*E12+INDEX(Symboles!$G$6:$G$101,MOD(85+$C12+(-3),$B$3)+1)*F12+INDEX(Symboles!$G$6:$G$101,MOD(85+$C12+(-2),$B$3)+1)*G12+INDEX(Symboles!$G$6:$G$101,MOD(85+$C12+(-1),$B$3)+1)*H12+INDEX(Symboles!$G$6:$G$101,MOD(85+$C12+(0),$B$3)+1)*I12+INDEX(Symboles!$G$6:$G$101,MOD(85+$C12+(1),$B$3)+1)*J12+INDEX(Symboles!$G$6:$G$101,MOD(85+$C12+(2),$B$3)+1)*K12+INDEX(Symboles!$G$6:$G$101,MOD(85+$C12+(3),$B$3)+1)*L12+INDEX(Symboles!$G$6:$G$101,MOD(85+$C12+(4),$B$3)+1)*M12+IF($B$6=0,0,$B$6*NORMSINV(0.000001+0.999998*RAND())))</f>
        <v/>
      </c>
      <c r="CX12" s="30">
        <f>IF(87&gt;$B$3,99,INDEX(Symboles!$G$6:$G$101,MOD(86+$C12+(-4),$B$3)+1)*E12+INDEX(Symboles!$G$6:$G$101,MOD(86+$C12+(-3),$B$3)+1)*F12+INDEX(Symboles!$G$6:$G$101,MOD(86+$C12+(-2),$B$3)+1)*G12+INDEX(Symboles!$G$6:$G$101,MOD(86+$C12+(-1),$B$3)+1)*H12+INDEX(Symboles!$G$6:$G$101,MOD(86+$C12+(0),$B$3)+1)*I12+INDEX(Symboles!$G$6:$G$101,MOD(86+$C12+(1),$B$3)+1)*J12+INDEX(Symboles!$G$6:$G$101,MOD(86+$C12+(2),$B$3)+1)*K12+INDEX(Symboles!$G$6:$G$101,MOD(86+$C12+(3),$B$3)+1)*L12+INDEX(Symboles!$G$6:$G$101,MOD(86+$C12+(4),$B$3)+1)*M12+IF($B$6=0,0,$B$6*NORMSINV(0.000001+0.999998*RAND())))</f>
        <v/>
      </c>
      <c r="CY12" s="30">
        <f>IF(88&gt;$B$3,99,INDEX(Symboles!$G$6:$G$101,MOD(87+$C12+(-4),$B$3)+1)*E12+INDEX(Symboles!$G$6:$G$101,MOD(87+$C12+(-3),$B$3)+1)*F12+INDEX(Symboles!$G$6:$G$101,MOD(87+$C12+(-2),$B$3)+1)*G12+INDEX(Symboles!$G$6:$G$101,MOD(87+$C12+(-1),$B$3)+1)*H12+INDEX(Symboles!$G$6:$G$101,MOD(87+$C12+(0),$B$3)+1)*I12+INDEX(Symboles!$G$6:$G$101,MOD(87+$C12+(1),$B$3)+1)*J12+INDEX(Symboles!$G$6:$G$101,MOD(87+$C12+(2),$B$3)+1)*K12+INDEX(Symboles!$G$6:$G$101,MOD(87+$C12+(3),$B$3)+1)*L12+INDEX(Symboles!$G$6:$G$101,MOD(87+$C12+(4),$B$3)+1)*M12+IF($B$6=0,0,$B$6*NORMSINV(0.000001+0.999998*RAND())))</f>
        <v/>
      </c>
      <c r="CZ12" s="30">
        <f>IF(89&gt;$B$3,99,INDEX(Symboles!$G$6:$G$101,MOD(88+$C12+(-4),$B$3)+1)*E12+INDEX(Symboles!$G$6:$G$101,MOD(88+$C12+(-3),$B$3)+1)*F12+INDEX(Symboles!$G$6:$G$101,MOD(88+$C12+(-2),$B$3)+1)*G12+INDEX(Symboles!$G$6:$G$101,MOD(88+$C12+(-1),$B$3)+1)*H12+INDEX(Symboles!$G$6:$G$101,MOD(88+$C12+(0),$B$3)+1)*I12+INDEX(Symboles!$G$6:$G$101,MOD(88+$C12+(1),$B$3)+1)*J12+INDEX(Symboles!$G$6:$G$101,MOD(88+$C12+(2),$B$3)+1)*K12+INDEX(Symboles!$G$6:$G$101,MOD(88+$C12+(3),$B$3)+1)*L12+INDEX(Symboles!$G$6:$G$101,MOD(88+$C12+(4),$B$3)+1)*M12+IF($B$6=0,0,$B$6*NORMSINV(0.000001+0.999998*RAND())))</f>
        <v/>
      </c>
      <c r="DA12" s="30">
        <f>IF(90&gt;$B$3,99,INDEX(Symboles!$G$6:$G$101,MOD(89+$C12+(-4),$B$3)+1)*E12+INDEX(Symboles!$G$6:$G$101,MOD(89+$C12+(-3),$B$3)+1)*F12+INDEX(Symboles!$G$6:$G$101,MOD(89+$C12+(-2),$B$3)+1)*G12+INDEX(Symboles!$G$6:$G$101,MOD(89+$C12+(-1),$B$3)+1)*H12+INDEX(Symboles!$G$6:$G$101,MOD(89+$C12+(0),$B$3)+1)*I12+INDEX(Symboles!$G$6:$G$101,MOD(89+$C12+(1),$B$3)+1)*J12+INDEX(Symboles!$G$6:$G$101,MOD(89+$C12+(2),$B$3)+1)*K12+INDEX(Symboles!$G$6:$G$101,MOD(89+$C12+(3),$B$3)+1)*L12+INDEX(Symboles!$G$6:$G$101,MOD(89+$C12+(4),$B$3)+1)*M12+IF($B$6=0,0,$B$6*NORMSINV(0.000001+0.999998*RAND())))</f>
        <v/>
      </c>
      <c r="DB12" s="30">
        <f>IF(91&gt;$B$3,99,INDEX(Symboles!$G$6:$G$101,MOD(90+$C12+(-4),$B$3)+1)*E12+INDEX(Symboles!$G$6:$G$101,MOD(90+$C12+(-3),$B$3)+1)*F12+INDEX(Symboles!$G$6:$G$101,MOD(90+$C12+(-2),$B$3)+1)*G12+INDEX(Symboles!$G$6:$G$101,MOD(90+$C12+(-1),$B$3)+1)*H12+INDEX(Symboles!$G$6:$G$101,MOD(90+$C12+(0),$B$3)+1)*I12+INDEX(Symboles!$G$6:$G$101,MOD(90+$C12+(1),$B$3)+1)*J12+INDEX(Symboles!$G$6:$G$101,MOD(90+$C12+(2),$B$3)+1)*K12+INDEX(Symboles!$G$6:$G$101,MOD(90+$C12+(3),$B$3)+1)*L12+INDEX(Symboles!$G$6:$G$101,MOD(90+$C12+(4),$B$3)+1)*M12+IF($B$6=0,0,$B$6*NORMSINV(0.000001+0.999998*RAND())))</f>
        <v/>
      </c>
      <c r="DC12" s="30">
        <f>IF(92&gt;$B$3,99,INDEX(Symboles!$G$6:$G$101,MOD(91+$C12+(-4),$B$3)+1)*E12+INDEX(Symboles!$G$6:$G$101,MOD(91+$C12+(-3),$B$3)+1)*F12+INDEX(Symboles!$G$6:$G$101,MOD(91+$C12+(-2),$B$3)+1)*G12+INDEX(Symboles!$G$6:$G$101,MOD(91+$C12+(-1),$B$3)+1)*H12+INDEX(Symboles!$G$6:$G$101,MOD(91+$C12+(0),$B$3)+1)*I12+INDEX(Symboles!$G$6:$G$101,MOD(91+$C12+(1),$B$3)+1)*J12+INDEX(Symboles!$G$6:$G$101,MOD(91+$C12+(2),$B$3)+1)*K12+INDEX(Symboles!$G$6:$G$101,MOD(91+$C12+(3),$B$3)+1)*L12+INDEX(Symboles!$G$6:$G$101,MOD(91+$C12+(4),$B$3)+1)*M12+IF($B$6=0,0,$B$6*NORMSINV(0.000001+0.999998*RAND())))</f>
        <v/>
      </c>
      <c r="DD12" s="30">
        <f>IF(93&gt;$B$3,99,INDEX(Symboles!$G$6:$G$101,MOD(92+$C12+(-4),$B$3)+1)*E12+INDEX(Symboles!$G$6:$G$101,MOD(92+$C12+(-3),$B$3)+1)*F12+INDEX(Symboles!$G$6:$G$101,MOD(92+$C12+(-2),$B$3)+1)*G12+INDEX(Symboles!$G$6:$G$101,MOD(92+$C12+(-1),$B$3)+1)*H12+INDEX(Symboles!$G$6:$G$101,MOD(92+$C12+(0),$B$3)+1)*I12+INDEX(Symboles!$G$6:$G$101,MOD(92+$C12+(1),$B$3)+1)*J12+INDEX(Symboles!$G$6:$G$101,MOD(92+$C12+(2),$B$3)+1)*K12+INDEX(Symboles!$G$6:$G$101,MOD(92+$C12+(3),$B$3)+1)*L12+INDEX(Symboles!$G$6:$G$101,MOD(92+$C12+(4),$B$3)+1)*M12+IF($B$6=0,0,$B$6*NORMSINV(0.000001+0.999998*RAND())))</f>
        <v/>
      </c>
      <c r="DE12" s="30">
        <f>IF(94&gt;$B$3,99,INDEX(Symboles!$G$6:$G$101,MOD(93+$C12+(-4),$B$3)+1)*E12+INDEX(Symboles!$G$6:$G$101,MOD(93+$C12+(-3),$B$3)+1)*F12+INDEX(Symboles!$G$6:$G$101,MOD(93+$C12+(-2),$B$3)+1)*G12+INDEX(Symboles!$G$6:$G$101,MOD(93+$C12+(-1),$B$3)+1)*H12+INDEX(Symboles!$G$6:$G$101,MOD(93+$C12+(0),$B$3)+1)*I12+INDEX(Symboles!$G$6:$G$101,MOD(93+$C12+(1),$B$3)+1)*J12+INDEX(Symboles!$G$6:$G$101,MOD(93+$C12+(2),$B$3)+1)*K12+INDEX(Symboles!$G$6:$G$101,MOD(93+$C12+(3),$B$3)+1)*L12+INDEX(Symboles!$G$6:$G$101,MOD(93+$C12+(4),$B$3)+1)*M12+IF($B$6=0,0,$B$6*NORMSINV(0.000001+0.999998*RAND())))</f>
        <v/>
      </c>
      <c r="DF12" s="30">
        <f>IF(95&gt;$B$3,99,INDEX(Symboles!$G$6:$G$101,MOD(94+$C12+(-4),$B$3)+1)*E12+INDEX(Symboles!$G$6:$G$101,MOD(94+$C12+(-3),$B$3)+1)*F12+INDEX(Symboles!$G$6:$G$101,MOD(94+$C12+(-2),$B$3)+1)*G12+INDEX(Symboles!$G$6:$G$101,MOD(94+$C12+(-1),$B$3)+1)*H12+INDEX(Symboles!$G$6:$G$101,MOD(94+$C12+(0),$B$3)+1)*I12+INDEX(Symboles!$G$6:$G$101,MOD(94+$C12+(1),$B$3)+1)*J12+INDEX(Symboles!$G$6:$G$101,MOD(94+$C12+(2),$B$3)+1)*K12+INDEX(Symboles!$G$6:$G$101,MOD(94+$C12+(3),$B$3)+1)*L12+INDEX(Symboles!$G$6:$G$101,MOD(94+$C12+(4),$B$3)+1)*M12+IF($B$6=0,0,$B$6*NORMSINV(0.000001+0.999998*RAND())))</f>
        <v/>
      </c>
      <c r="DG12" s="30">
        <f>IF(96&gt;$B$3,99,INDEX(Symboles!$G$6:$G$101,MOD(95+$C12+(-4),$B$3)+1)*E12+INDEX(Symboles!$G$6:$G$101,MOD(95+$C12+(-3),$B$3)+1)*F12+INDEX(Symboles!$G$6:$G$101,MOD(95+$C12+(-2),$B$3)+1)*G12+INDEX(Symboles!$G$6:$G$101,MOD(95+$C12+(-1),$B$3)+1)*H12+INDEX(Symboles!$G$6:$G$101,MOD(95+$C12+(0),$B$3)+1)*I12+INDEX(Symboles!$G$6:$G$101,MOD(95+$C12+(1),$B$3)+1)*J12+INDEX(Symboles!$G$6:$G$101,MOD(95+$C12+(2),$B$3)+1)*K12+INDEX(Symboles!$G$6:$G$101,MOD(95+$C12+(3),$B$3)+1)*L12+INDEX(Symboles!$G$6:$G$101,MOD(95+$C12+(4),$B$3)+1)*M12+IF($B$6=0,0,$B$6*NORMSINV(0.000001+0.999998*RAND())))</f>
        <v/>
      </c>
      <c r="DI12" s="30">
        <f>IF(1&gt;$B$3,99,INDEX(Symboles!$H$6:$H$101,MOD(0+$C12+(-4),$B$3)+1)*E12+INDEX(Symboles!$H$6:$H$101,MOD(0+$C12+(-3),$B$3)+1)*F12+INDEX(Symboles!$H$6:$H$101,MOD(0+$C12+(-2),$B$3)+1)*G12+INDEX(Symboles!$H$6:$H$101,MOD(0+$C12+(-1),$B$3)+1)*H12+INDEX(Symboles!$H$6:$H$101,MOD(0+$C12+(0),$B$3)+1)*I12+INDEX(Symboles!$H$6:$H$101,MOD(0+$C12+(1),$B$3)+1)*J12+INDEX(Symboles!$H$6:$H$101,MOD(0+$C12+(2),$B$3)+1)*K12+INDEX(Symboles!$H$6:$H$101,MOD(0+$C12+(3),$B$3)+1)*L12+INDEX(Symboles!$H$6:$H$101,MOD(0+$C12+(4),$B$3)+1)*M12+IF($B$6=0,0,$B$6*NORMSINV(0.000001+0.999998*RAND())))</f>
        <v/>
      </c>
      <c r="DJ12" s="30">
        <f>IF(2&gt;$B$3,99,INDEX(Symboles!$H$6:$H$101,MOD(1+$C12+(-4),$B$3)+1)*E12+INDEX(Symboles!$H$6:$H$101,MOD(1+$C12+(-3),$B$3)+1)*F12+INDEX(Symboles!$H$6:$H$101,MOD(1+$C12+(-2),$B$3)+1)*G12+INDEX(Symboles!$H$6:$H$101,MOD(1+$C12+(-1),$B$3)+1)*H12+INDEX(Symboles!$H$6:$H$101,MOD(1+$C12+(0),$B$3)+1)*I12+INDEX(Symboles!$H$6:$H$101,MOD(1+$C12+(1),$B$3)+1)*J12+INDEX(Symboles!$H$6:$H$101,MOD(1+$C12+(2),$B$3)+1)*K12+INDEX(Symboles!$H$6:$H$101,MOD(1+$C12+(3),$B$3)+1)*L12+INDEX(Symboles!$H$6:$H$101,MOD(1+$C12+(4),$B$3)+1)*M12+IF($B$6=0,0,$B$6*NORMSINV(0.000001+0.999998*RAND())))</f>
        <v/>
      </c>
      <c r="DK12" s="30">
        <f>IF(3&gt;$B$3,99,INDEX(Symboles!$H$6:$H$101,MOD(2+$C12+(-4),$B$3)+1)*E12+INDEX(Symboles!$H$6:$H$101,MOD(2+$C12+(-3),$B$3)+1)*F12+INDEX(Symboles!$H$6:$H$101,MOD(2+$C12+(-2),$B$3)+1)*G12+INDEX(Symboles!$H$6:$H$101,MOD(2+$C12+(-1),$B$3)+1)*H12+INDEX(Symboles!$H$6:$H$101,MOD(2+$C12+(0),$B$3)+1)*I12+INDEX(Symboles!$H$6:$H$101,MOD(2+$C12+(1),$B$3)+1)*J12+INDEX(Symboles!$H$6:$H$101,MOD(2+$C12+(2),$B$3)+1)*K12+INDEX(Symboles!$H$6:$H$101,MOD(2+$C12+(3),$B$3)+1)*L12+INDEX(Symboles!$H$6:$H$101,MOD(2+$C12+(4),$B$3)+1)*M12+IF($B$6=0,0,$B$6*NORMSINV(0.000001+0.999998*RAND())))</f>
        <v/>
      </c>
      <c r="DL12" s="30">
        <f>IF(4&gt;$B$3,99,INDEX(Symboles!$H$6:$H$101,MOD(3+$C12+(-4),$B$3)+1)*E12+INDEX(Symboles!$H$6:$H$101,MOD(3+$C12+(-3),$B$3)+1)*F12+INDEX(Symboles!$H$6:$H$101,MOD(3+$C12+(-2),$B$3)+1)*G12+INDEX(Symboles!$H$6:$H$101,MOD(3+$C12+(-1),$B$3)+1)*H12+INDEX(Symboles!$H$6:$H$101,MOD(3+$C12+(0),$B$3)+1)*I12+INDEX(Symboles!$H$6:$H$101,MOD(3+$C12+(1),$B$3)+1)*J12+INDEX(Symboles!$H$6:$H$101,MOD(3+$C12+(2),$B$3)+1)*K12+INDEX(Symboles!$H$6:$H$101,MOD(3+$C12+(3),$B$3)+1)*L12+INDEX(Symboles!$H$6:$H$101,MOD(3+$C12+(4),$B$3)+1)*M12+IF($B$6=0,0,$B$6*NORMSINV(0.000001+0.999998*RAND())))</f>
        <v/>
      </c>
      <c r="DM12" s="30">
        <f>IF(5&gt;$B$3,99,INDEX(Symboles!$H$6:$H$101,MOD(4+$C12+(-4),$B$3)+1)*E12+INDEX(Symboles!$H$6:$H$101,MOD(4+$C12+(-3),$B$3)+1)*F12+INDEX(Symboles!$H$6:$H$101,MOD(4+$C12+(-2),$B$3)+1)*G12+INDEX(Symboles!$H$6:$H$101,MOD(4+$C12+(-1),$B$3)+1)*H12+INDEX(Symboles!$H$6:$H$101,MOD(4+$C12+(0),$B$3)+1)*I12+INDEX(Symboles!$H$6:$H$101,MOD(4+$C12+(1),$B$3)+1)*J12+INDEX(Symboles!$H$6:$H$101,MOD(4+$C12+(2),$B$3)+1)*K12+INDEX(Symboles!$H$6:$H$101,MOD(4+$C12+(3),$B$3)+1)*L12+INDEX(Symboles!$H$6:$H$101,MOD(4+$C12+(4),$B$3)+1)*M12+IF($B$6=0,0,$B$6*NORMSINV(0.000001+0.999998*RAND())))</f>
        <v/>
      </c>
      <c r="DN12" s="30">
        <f>IF(6&gt;$B$3,99,INDEX(Symboles!$H$6:$H$101,MOD(5+$C12+(-4),$B$3)+1)*E12+INDEX(Symboles!$H$6:$H$101,MOD(5+$C12+(-3),$B$3)+1)*F12+INDEX(Symboles!$H$6:$H$101,MOD(5+$C12+(-2),$B$3)+1)*G12+INDEX(Symboles!$H$6:$H$101,MOD(5+$C12+(-1),$B$3)+1)*H12+INDEX(Symboles!$H$6:$H$101,MOD(5+$C12+(0),$B$3)+1)*I12+INDEX(Symboles!$H$6:$H$101,MOD(5+$C12+(1),$B$3)+1)*J12+INDEX(Symboles!$H$6:$H$101,MOD(5+$C12+(2),$B$3)+1)*K12+INDEX(Symboles!$H$6:$H$101,MOD(5+$C12+(3),$B$3)+1)*L12+INDEX(Symboles!$H$6:$H$101,MOD(5+$C12+(4),$B$3)+1)*M12+IF($B$6=0,0,$B$6*NORMSINV(0.000001+0.999998*RAND())))</f>
        <v/>
      </c>
      <c r="DO12" s="30">
        <f>IF(7&gt;$B$3,99,INDEX(Symboles!$H$6:$H$101,MOD(6+$C12+(-4),$B$3)+1)*E12+INDEX(Symboles!$H$6:$H$101,MOD(6+$C12+(-3),$B$3)+1)*F12+INDEX(Symboles!$H$6:$H$101,MOD(6+$C12+(-2),$B$3)+1)*G12+INDEX(Symboles!$H$6:$H$101,MOD(6+$C12+(-1),$B$3)+1)*H12+INDEX(Symboles!$H$6:$H$101,MOD(6+$C12+(0),$B$3)+1)*I12+INDEX(Symboles!$H$6:$H$101,MOD(6+$C12+(1),$B$3)+1)*J12+INDEX(Symboles!$H$6:$H$101,MOD(6+$C12+(2),$B$3)+1)*K12+INDEX(Symboles!$H$6:$H$101,MOD(6+$C12+(3),$B$3)+1)*L12+INDEX(Symboles!$H$6:$H$101,MOD(6+$C12+(4),$B$3)+1)*M12+IF($B$6=0,0,$B$6*NORMSINV(0.000001+0.999998*RAND())))</f>
        <v/>
      </c>
      <c r="DP12" s="30">
        <f>IF(8&gt;$B$3,99,INDEX(Symboles!$H$6:$H$101,MOD(7+$C12+(-4),$B$3)+1)*E12+INDEX(Symboles!$H$6:$H$101,MOD(7+$C12+(-3),$B$3)+1)*F12+INDEX(Symboles!$H$6:$H$101,MOD(7+$C12+(-2),$B$3)+1)*G12+INDEX(Symboles!$H$6:$H$101,MOD(7+$C12+(-1),$B$3)+1)*H12+INDEX(Symboles!$H$6:$H$101,MOD(7+$C12+(0),$B$3)+1)*I12+INDEX(Symboles!$H$6:$H$101,MOD(7+$C12+(1),$B$3)+1)*J12+INDEX(Symboles!$H$6:$H$101,MOD(7+$C12+(2),$B$3)+1)*K12+INDEX(Symboles!$H$6:$H$101,MOD(7+$C12+(3),$B$3)+1)*L12+INDEX(Symboles!$H$6:$H$101,MOD(7+$C12+(4),$B$3)+1)*M12+IF($B$6=0,0,$B$6*NORMSINV(0.000001+0.999998*RAND())))</f>
        <v/>
      </c>
      <c r="DQ12" s="30">
        <f>IF(9&gt;$B$3,99,INDEX(Symboles!$H$6:$H$101,MOD(8+$C12+(-4),$B$3)+1)*E12+INDEX(Symboles!$H$6:$H$101,MOD(8+$C12+(-3),$B$3)+1)*F12+INDEX(Symboles!$H$6:$H$101,MOD(8+$C12+(-2),$B$3)+1)*G12+INDEX(Symboles!$H$6:$H$101,MOD(8+$C12+(-1),$B$3)+1)*H12+INDEX(Symboles!$H$6:$H$101,MOD(8+$C12+(0),$B$3)+1)*I12+INDEX(Symboles!$H$6:$H$101,MOD(8+$C12+(1),$B$3)+1)*J12+INDEX(Symboles!$H$6:$H$101,MOD(8+$C12+(2),$B$3)+1)*K12+INDEX(Symboles!$H$6:$H$101,MOD(8+$C12+(3),$B$3)+1)*L12+INDEX(Symboles!$H$6:$H$101,MOD(8+$C12+(4),$B$3)+1)*M12+IF($B$6=0,0,$B$6*NORMSINV(0.000001+0.999998*RAND())))</f>
        <v/>
      </c>
      <c r="DR12" s="30">
        <f>IF(10&gt;$B$3,99,INDEX(Symboles!$H$6:$H$101,MOD(9+$C12+(-4),$B$3)+1)*E12+INDEX(Symboles!$H$6:$H$101,MOD(9+$C12+(-3),$B$3)+1)*F12+INDEX(Symboles!$H$6:$H$101,MOD(9+$C12+(-2),$B$3)+1)*G12+INDEX(Symboles!$H$6:$H$101,MOD(9+$C12+(-1),$B$3)+1)*H12+INDEX(Symboles!$H$6:$H$101,MOD(9+$C12+(0),$B$3)+1)*I12+INDEX(Symboles!$H$6:$H$101,MOD(9+$C12+(1),$B$3)+1)*J12+INDEX(Symboles!$H$6:$H$101,MOD(9+$C12+(2),$B$3)+1)*K12+INDEX(Symboles!$H$6:$H$101,MOD(9+$C12+(3),$B$3)+1)*L12+INDEX(Symboles!$H$6:$H$101,MOD(9+$C12+(4),$B$3)+1)*M12+IF($B$6=0,0,$B$6*NORMSINV(0.000001+0.999998*RAND())))</f>
        <v/>
      </c>
      <c r="DS12" s="30">
        <f>IF(11&gt;$B$3,99,INDEX(Symboles!$H$6:$H$101,MOD(10+$C12+(-4),$B$3)+1)*E12+INDEX(Symboles!$H$6:$H$101,MOD(10+$C12+(-3),$B$3)+1)*F12+INDEX(Symboles!$H$6:$H$101,MOD(10+$C12+(-2),$B$3)+1)*G12+INDEX(Symboles!$H$6:$H$101,MOD(10+$C12+(-1),$B$3)+1)*H12+INDEX(Symboles!$H$6:$H$101,MOD(10+$C12+(0),$B$3)+1)*I12+INDEX(Symboles!$H$6:$H$101,MOD(10+$C12+(1),$B$3)+1)*J12+INDEX(Symboles!$H$6:$H$101,MOD(10+$C12+(2),$B$3)+1)*K12+INDEX(Symboles!$H$6:$H$101,MOD(10+$C12+(3),$B$3)+1)*L12+INDEX(Symboles!$H$6:$H$101,MOD(10+$C12+(4),$B$3)+1)*M12+IF($B$6=0,0,$B$6*NORMSINV(0.000001+0.999998*RAND())))</f>
        <v/>
      </c>
      <c r="DT12" s="30">
        <f>IF(12&gt;$B$3,99,INDEX(Symboles!$H$6:$H$101,MOD(11+$C12+(-4),$B$3)+1)*E12+INDEX(Symboles!$H$6:$H$101,MOD(11+$C12+(-3),$B$3)+1)*F12+INDEX(Symboles!$H$6:$H$101,MOD(11+$C12+(-2),$B$3)+1)*G12+INDEX(Symboles!$H$6:$H$101,MOD(11+$C12+(-1),$B$3)+1)*H12+INDEX(Symboles!$H$6:$H$101,MOD(11+$C12+(0),$B$3)+1)*I12+INDEX(Symboles!$H$6:$H$101,MOD(11+$C12+(1),$B$3)+1)*J12+INDEX(Symboles!$H$6:$H$101,MOD(11+$C12+(2),$B$3)+1)*K12+INDEX(Symboles!$H$6:$H$101,MOD(11+$C12+(3),$B$3)+1)*L12+INDEX(Symboles!$H$6:$H$101,MOD(11+$C12+(4),$B$3)+1)*M12+IF($B$6=0,0,$B$6*NORMSINV(0.000001+0.999998*RAND())))</f>
        <v/>
      </c>
      <c r="DU12" s="30">
        <f>IF(13&gt;$B$3,99,INDEX(Symboles!$H$6:$H$101,MOD(12+$C12+(-4),$B$3)+1)*E12+INDEX(Symboles!$H$6:$H$101,MOD(12+$C12+(-3),$B$3)+1)*F12+INDEX(Symboles!$H$6:$H$101,MOD(12+$C12+(-2),$B$3)+1)*G12+INDEX(Symboles!$H$6:$H$101,MOD(12+$C12+(-1),$B$3)+1)*H12+INDEX(Symboles!$H$6:$H$101,MOD(12+$C12+(0),$B$3)+1)*I12+INDEX(Symboles!$H$6:$H$101,MOD(12+$C12+(1),$B$3)+1)*J12+INDEX(Symboles!$H$6:$H$101,MOD(12+$C12+(2),$B$3)+1)*K12+INDEX(Symboles!$H$6:$H$101,MOD(12+$C12+(3),$B$3)+1)*L12+INDEX(Symboles!$H$6:$H$101,MOD(12+$C12+(4),$B$3)+1)*M12+IF($B$6=0,0,$B$6*NORMSINV(0.000001+0.999998*RAND())))</f>
        <v/>
      </c>
      <c r="DV12" s="30">
        <f>IF(14&gt;$B$3,99,INDEX(Symboles!$H$6:$H$101,MOD(13+$C12+(-4),$B$3)+1)*E12+INDEX(Symboles!$H$6:$H$101,MOD(13+$C12+(-3),$B$3)+1)*F12+INDEX(Symboles!$H$6:$H$101,MOD(13+$C12+(-2),$B$3)+1)*G12+INDEX(Symboles!$H$6:$H$101,MOD(13+$C12+(-1),$B$3)+1)*H12+INDEX(Symboles!$H$6:$H$101,MOD(13+$C12+(0),$B$3)+1)*I12+INDEX(Symboles!$H$6:$H$101,MOD(13+$C12+(1),$B$3)+1)*J12+INDEX(Symboles!$H$6:$H$101,MOD(13+$C12+(2),$B$3)+1)*K12+INDEX(Symboles!$H$6:$H$101,MOD(13+$C12+(3),$B$3)+1)*L12+INDEX(Symboles!$H$6:$H$101,MOD(13+$C12+(4),$B$3)+1)*M12+IF($B$6=0,0,$B$6*NORMSINV(0.000001+0.999998*RAND())))</f>
        <v/>
      </c>
      <c r="DW12" s="30">
        <f>IF(15&gt;$B$3,99,INDEX(Symboles!$H$6:$H$101,MOD(14+$C12+(-4),$B$3)+1)*E12+INDEX(Symboles!$H$6:$H$101,MOD(14+$C12+(-3),$B$3)+1)*F12+INDEX(Symboles!$H$6:$H$101,MOD(14+$C12+(-2),$B$3)+1)*G12+INDEX(Symboles!$H$6:$H$101,MOD(14+$C12+(-1),$B$3)+1)*H12+INDEX(Symboles!$H$6:$H$101,MOD(14+$C12+(0),$B$3)+1)*I12+INDEX(Symboles!$H$6:$H$101,MOD(14+$C12+(1),$B$3)+1)*J12+INDEX(Symboles!$H$6:$H$101,MOD(14+$C12+(2),$B$3)+1)*K12+INDEX(Symboles!$H$6:$H$101,MOD(14+$C12+(3),$B$3)+1)*L12+INDEX(Symboles!$H$6:$H$101,MOD(14+$C12+(4),$B$3)+1)*M12+IF($B$6=0,0,$B$6*NORMSINV(0.000001+0.999998*RAND())))</f>
        <v/>
      </c>
      <c r="DX12" s="30">
        <f>IF(16&gt;$B$3,99,INDEX(Symboles!$H$6:$H$101,MOD(15+$C12+(-4),$B$3)+1)*E12+INDEX(Symboles!$H$6:$H$101,MOD(15+$C12+(-3),$B$3)+1)*F12+INDEX(Symboles!$H$6:$H$101,MOD(15+$C12+(-2),$B$3)+1)*G12+INDEX(Symboles!$H$6:$H$101,MOD(15+$C12+(-1),$B$3)+1)*H12+INDEX(Symboles!$H$6:$H$101,MOD(15+$C12+(0),$B$3)+1)*I12+INDEX(Symboles!$H$6:$H$101,MOD(15+$C12+(1),$B$3)+1)*J12+INDEX(Symboles!$H$6:$H$101,MOD(15+$C12+(2),$B$3)+1)*K12+INDEX(Symboles!$H$6:$H$101,MOD(15+$C12+(3),$B$3)+1)*L12+INDEX(Symboles!$H$6:$H$101,MOD(15+$C12+(4),$B$3)+1)*M12+IF($B$6=0,0,$B$6*NORMSINV(0.000001+0.999998*RAND())))</f>
        <v/>
      </c>
      <c r="DY12" s="30">
        <f>IF(17&gt;$B$3,99,INDEX(Symboles!$H$6:$H$101,MOD(16+$C12+(-4),$B$3)+1)*E12+INDEX(Symboles!$H$6:$H$101,MOD(16+$C12+(-3),$B$3)+1)*F12+INDEX(Symboles!$H$6:$H$101,MOD(16+$C12+(-2),$B$3)+1)*G12+INDEX(Symboles!$H$6:$H$101,MOD(16+$C12+(-1),$B$3)+1)*H12+INDEX(Symboles!$H$6:$H$101,MOD(16+$C12+(0),$B$3)+1)*I12+INDEX(Symboles!$H$6:$H$101,MOD(16+$C12+(1),$B$3)+1)*J12+INDEX(Symboles!$H$6:$H$101,MOD(16+$C12+(2),$B$3)+1)*K12+INDEX(Symboles!$H$6:$H$101,MOD(16+$C12+(3),$B$3)+1)*L12+INDEX(Symboles!$H$6:$H$101,MOD(16+$C12+(4),$B$3)+1)*M12+IF($B$6=0,0,$B$6*NORMSINV(0.000001+0.999998*RAND())))</f>
        <v/>
      </c>
      <c r="DZ12" s="30">
        <f>IF(18&gt;$B$3,99,INDEX(Symboles!$H$6:$H$101,MOD(17+$C12+(-4),$B$3)+1)*E12+INDEX(Symboles!$H$6:$H$101,MOD(17+$C12+(-3),$B$3)+1)*F12+INDEX(Symboles!$H$6:$H$101,MOD(17+$C12+(-2),$B$3)+1)*G12+INDEX(Symboles!$H$6:$H$101,MOD(17+$C12+(-1),$B$3)+1)*H12+INDEX(Symboles!$H$6:$H$101,MOD(17+$C12+(0),$B$3)+1)*I12+INDEX(Symboles!$H$6:$H$101,MOD(17+$C12+(1),$B$3)+1)*J12+INDEX(Symboles!$H$6:$H$101,MOD(17+$C12+(2),$B$3)+1)*K12+INDEX(Symboles!$H$6:$H$101,MOD(17+$C12+(3),$B$3)+1)*L12+INDEX(Symboles!$H$6:$H$101,MOD(17+$C12+(4),$B$3)+1)*M12+IF($B$6=0,0,$B$6*NORMSINV(0.000001+0.999998*RAND())))</f>
        <v/>
      </c>
      <c r="EA12" s="30">
        <f>IF(19&gt;$B$3,99,INDEX(Symboles!$H$6:$H$101,MOD(18+$C12+(-4),$B$3)+1)*E12+INDEX(Symboles!$H$6:$H$101,MOD(18+$C12+(-3),$B$3)+1)*F12+INDEX(Symboles!$H$6:$H$101,MOD(18+$C12+(-2),$B$3)+1)*G12+INDEX(Symboles!$H$6:$H$101,MOD(18+$C12+(-1),$B$3)+1)*H12+INDEX(Symboles!$H$6:$H$101,MOD(18+$C12+(0),$B$3)+1)*I12+INDEX(Symboles!$H$6:$H$101,MOD(18+$C12+(1),$B$3)+1)*J12+INDEX(Symboles!$H$6:$H$101,MOD(18+$C12+(2),$B$3)+1)*K12+INDEX(Symboles!$H$6:$H$101,MOD(18+$C12+(3),$B$3)+1)*L12+INDEX(Symboles!$H$6:$H$101,MOD(18+$C12+(4),$B$3)+1)*M12+IF($B$6=0,0,$B$6*NORMSINV(0.000001+0.999998*RAND())))</f>
        <v/>
      </c>
      <c r="EB12" s="30">
        <f>IF(20&gt;$B$3,99,INDEX(Symboles!$H$6:$H$101,MOD(19+$C12+(-4),$B$3)+1)*E12+INDEX(Symboles!$H$6:$H$101,MOD(19+$C12+(-3),$B$3)+1)*F12+INDEX(Symboles!$H$6:$H$101,MOD(19+$C12+(-2),$B$3)+1)*G12+INDEX(Symboles!$H$6:$H$101,MOD(19+$C12+(-1),$B$3)+1)*H12+INDEX(Symboles!$H$6:$H$101,MOD(19+$C12+(0),$B$3)+1)*I12+INDEX(Symboles!$H$6:$H$101,MOD(19+$C12+(1),$B$3)+1)*J12+INDEX(Symboles!$H$6:$H$101,MOD(19+$C12+(2),$B$3)+1)*K12+INDEX(Symboles!$H$6:$H$101,MOD(19+$C12+(3),$B$3)+1)*L12+INDEX(Symboles!$H$6:$H$101,MOD(19+$C12+(4),$B$3)+1)*M12+IF($B$6=0,0,$B$6*NORMSINV(0.000001+0.999998*RAND())))</f>
        <v/>
      </c>
      <c r="EC12" s="30">
        <f>IF(21&gt;$B$3,99,INDEX(Symboles!$H$6:$H$101,MOD(20+$C12+(-4),$B$3)+1)*E12+INDEX(Symboles!$H$6:$H$101,MOD(20+$C12+(-3),$B$3)+1)*F12+INDEX(Symboles!$H$6:$H$101,MOD(20+$C12+(-2),$B$3)+1)*G12+INDEX(Symboles!$H$6:$H$101,MOD(20+$C12+(-1),$B$3)+1)*H12+INDEX(Symboles!$H$6:$H$101,MOD(20+$C12+(0),$B$3)+1)*I12+INDEX(Symboles!$H$6:$H$101,MOD(20+$C12+(1),$B$3)+1)*J12+INDEX(Symboles!$H$6:$H$101,MOD(20+$C12+(2),$B$3)+1)*K12+INDEX(Symboles!$H$6:$H$101,MOD(20+$C12+(3),$B$3)+1)*L12+INDEX(Symboles!$H$6:$H$101,MOD(20+$C12+(4),$B$3)+1)*M12+IF($B$6=0,0,$B$6*NORMSINV(0.000001+0.999998*RAND())))</f>
        <v/>
      </c>
      <c r="ED12" s="30">
        <f>IF(22&gt;$B$3,99,INDEX(Symboles!$H$6:$H$101,MOD(21+$C12+(-4),$B$3)+1)*E12+INDEX(Symboles!$H$6:$H$101,MOD(21+$C12+(-3),$B$3)+1)*F12+INDEX(Symboles!$H$6:$H$101,MOD(21+$C12+(-2),$B$3)+1)*G12+INDEX(Symboles!$H$6:$H$101,MOD(21+$C12+(-1),$B$3)+1)*H12+INDEX(Symboles!$H$6:$H$101,MOD(21+$C12+(0),$B$3)+1)*I12+INDEX(Symboles!$H$6:$H$101,MOD(21+$C12+(1),$B$3)+1)*J12+INDEX(Symboles!$H$6:$H$101,MOD(21+$C12+(2),$B$3)+1)*K12+INDEX(Symboles!$H$6:$H$101,MOD(21+$C12+(3),$B$3)+1)*L12+INDEX(Symboles!$H$6:$H$101,MOD(21+$C12+(4),$B$3)+1)*M12+IF($B$6=0,0,$B$6*NORMSINV(0.000001+0.999998*RAND())))</f>
        <v/>
      </c>
      <c r="EE12" s="30">
        <f>IF(23&gt;$B$3,99,INDEX(Symboles!$H$6:$H$101,MOD(22+$C12+(-4),$B$3)+1)*E12+INDEX(Symboles!$H$6:$H$101,MOD(22+$C12+(-3),$B$3)+1)*F12+INDEX(Symboles!$H$6:$H$101,MOD(22+$C12+(-2),$B$3)+1)*G12+INDEX(Symboles!$H$6:$H$101,MOD(22+$C12+(-1),$B$3)+1)*H12+INDEX(Symboles!$H$6:$H$101,MOD(22+$C12+(0),$B$3)+1)*I12+INDEX(Symboles!$H$6:$H$101,MOD(22+$C12+(1),$B$3)+1)*J12+INDEX(Symboles!$H$6:$H$101,MOD(22+$C12+(2),$B$3)+1)*K12+INDEX(Symboles!$H$6:$H$101,MOD(22+$C12+(3),$B$3)+1)*L12+INDEX(Symboles!$H$6:$H$101,MOD(22+$C12+(4),$B$3)+1)*M12+IF($B$6=0,0,$B$6*NORMSINV(0.000001+0.999998*RAND())))</f>
        <v/>
      </c>
      <c r="EF12" s="30">
        <f>IF(24&gt;$B$3,99,INDEX(Symboles!$H$6:$H$101,MOD(23+$C12+(-4),$B$3)+1)*E12+INDEX(Symboles!$H$6:$H$101,MOD(23+$C12+(-3),$B$3)+1)*F12+INDEX(Symboles!$H$6:$H$101,MOD(23+$C12+(-2),$B$3)+1)*G12+INDEX(Symboles!$H$6:$H$101,MOD(23+$C12+(-1),$B$3)+1)*H12+INDEX(Symboles!$H$6:$H$101,MOD(23+$C12+(0),$B$3)+1)*I12+INDEX(Symboles!$H$6:$H$101,MOD(23+$C12+(1),$B$3)+1)*J12+INDEX(Symboles!$H$6:$H$101,MOD(23+$C12+(2),$B$3)+1)*K12+INDEX(Symboles!$H$6:$H$101,MOD(23+$C12+(3),$B$3)+1)*L12+INDEX(Symboles!$H$6:$H$101,MOD(23+$C12+(4),$B$3)+1)*M12+IF($B$6=0,0,$B$6*NORMSINV(0.000001+0.999998*RAND())))</f>
        <v/>
      </c>
      <c r="EG12" s="30">
        <f>IF(25&gt;$B$3,99,INDEX(Symboles!$H$6:$H$101,MOD(24+$C12+(-4),$B$3)+1)*E12+INDEX(Symboles!$H$6:$H$101,MOD(24+$C12+(-3),$B$3)+1)*F12+INDEX(Symboles!$H$6:$H$101,MOD(24+$C12+(-2),$B$3)+1)*G12+INDEX(Symboles!$H$6:$H$101,MOD(24+$C12+(-1),$B$3)+1)*H12+INDEX(Symboles!$H$6:$H$101,MOD(24+$C12+(0),$B$3)+1)*I12+INDEX(Symboles!$H$6:$H$101,MOD(24+$C12+(1),$B$3)+1)*J12+INDEX(Symboles!$H$6:$H$101,MOD(24+$C12+(2),$B$3)+1)*K12+INDEX(Symboles!$H$6:$H$101,MOD(24+$C12+(3),$B$3)+1)*L12+INDEX(Symboles!$H$6:$H$101,MOD(24+$C12+(4),$B$3)+1)*M12+IF($B$6=0,0,$B$6*NORMSINV(0.000001+0.999998*RAND())))</f>
        <v/>
      </c>
      <c r="EH12" s="30">
        <f>IF(26&gt;$B$3,99,INDEX(Symboles!$H$6:$H$101,MOD(25+$C12+(-4),$B$3)+1)*E12+INDEX(Symboles!$H$6:$H$101,MOD(25+$C12+(-3),$B$3)+1)*F12+INDEX(Symboles!$H$6:$H$101,MOD(25+$C12+(-2),$B$3)+1)*G12+INDEX(Symboles!$H$6:$H$101,MOD(25+$C12+(-1),$B$3)+1)*H12+INDEX(Symboles!$H$6:$H$101,MOD(25+$C12+(0),$B$3)+1)*I12+INDEX(Symboles!$H$6:$H$101,MOD(25+$C12+(1),$B$3)+1)*J12+INDEX(Symboles!$H$6:$H$101,MOD(25+$C12+(2),$B$3)+1)*K12+INDEX(Symboles!$H$6:$H$101,MOD(25+$C12+(3),$B$3)+1)*L12+INDEX(Symboles!$H$6:$H$101,MOD(25+$C12+(4),$B$3)+1)*M12+IF($B$6=0,0,$B$6*NORMSINV(0.000001+0.999998*RAND())))</f>
        <v/>
      </c>
      <c r="EI12" s="30">
        <f>IF(27&gt;$B$3,99,INDEX(Symboles!$H$6:$H$101,MOD(26+$C12+(-4),$B$3)+1)*E12+INDEX(Symboles!$H$6:$H$101,MOD(26+$C12+(-3),$B$3)+1)*F12+INDEX(Symboles!$H$6:$H$101,MOD(26+$C12+(-2),$B$3)+1)*G12+INDEX(Symboles!$H$6:$H$101,MOD(26+$C12+(-1),$B$3)+1)*H12+INDEX(Symboles!$H$6:$H$101,MOD(26+$C12+(0),$B$3)+1)*I12+INDEX(Symboles!$H$6:$H$101,MOD(26+$C12+(1),$B$3)+1)*J12+INDEX(Symboles!$H$6:$H$101,MOD(26+$C12+(2),$B$3)+1)*K12+INDEX(Symboles!$H$6:$H$101,MOD(26+$C12+(3),$B$3)+1)*L12+INDEX(Symboles!$H$6:$H$101,MOD(26+$C12+(4),$B$3)+1)*M12+IF($B$6=0,0,$B$6*NORMSINV(0.000001+0.999998*RAND())))</f>
        <v/>
      </c>
      <c r="EJ12" s="30">
        <f>IF(28&gt;$B$3,99,INDEX(Symboles!$H$6:$H$101,MOD(27+$C12+(-4),$B$3)+1)*E12+INDEX(Symboles!$H$6:$H$101,MOD(27+$C12+(-3),$B$3)+1)*F12+INDEX(Symboles!$H$6:$H$101,MOD(27+$C12+(-2),$B$3)+1)*G12+INDEX(Symboles!$H$6:$H$101,MOD(27+$C12+(-1),$B$3)+1)*H12+INDEX(Symboles!$H$6:$H$101,MOD(27+$C12+(0),$B$3)+1)*I12+INDEX(Symboles!$H$6:$H$101,MOD(27+$C12+(1),$B$3)+1)*J12+INDEX(Symboles!$H$6:$H$101,MOD(27+$C12+(2),$B$3)+1)*K12+INDEX(Symboles!$H$6:$H$101,MOD(27+$C12+(3),$B$3)+1)*L12+INDEX(Symboles!$H$6:$H$101,MOD(27+$C12+(4),$B$3)+1)*M12+IF($B$6=0,0,$B$6*NORMSINV(0.000001+0.999998*RAND())))</f>
        <v/>
      </c>
      <c r="EK12" s="30">
        <f>IF(29&gt;$B$3,99,INDEX(Symboles!$H$6:$H$101,MOD(28+$C12+(-4),$B$3)+1)*E12+INDEX(Symboles!$H$6:$H$101,MOD(28+$C12+(-3),$B$3)+1)*F12+INDEX(Symboles!$H$6:$H$101,MOD(28+$C12+(-2),$B$3)+1)*G12+INDEX(Symboles!$H$6:$H$101,MOD(28+$C12+(-1),$B$3)+1)*H12+INDEX(Symboles!$H$6:$H$101,MOD(28+$C12+(0),$B$3)+1)*I12+INDEX(Symboles!$H$6:$H$101,MOD(28+$C12+(1),$B$3)+1)*J12+INDEX(Symboles!$H$6:$H$101,MOD(28+$C12+(2),$B$3)+1)*K12+INDEX(Symboles!$H$6:$H$101,MOD(28+$C12+(3),$B$3)+1)*L12+INDEX(Symboles!$H$6:$H$101,MOD(28+$C12+(4),$B$3)+1)*M12+IF($B$6=0,0,$B$6*NORMSINV(0.000001+0.999998*RAND())))</f>
        <v/>
      </c>
      <c r="EL12" s="30">
        <f>IF(30&gt;$B$3,99,INDEX(Symboles!$H$6:$H$101,MOD(29+$C12+(-4),$B$3)+1)*E12+INDEX(Symboles!$H$6:$H$101,MOD(29+$C12+(-3),$B$3)+1)*F12+INDEX(Symboles!$H$6:$H$101,MOD(29+$C12+(-2),$B$3)+1)*G12+INDEX(Symboles!$H$6:$H$101,MOD(29+$C12+(-1),$B$3)+1)*H12+INDEX(Symboles!$H$6:$H$101,MOD(29+$C12+(0),$B$3)+1)*I12+INDEX(Symboles!$H$6:$H$101,MOD(29+$C12+(1),$B$3)+1)*J12+INDEX(Symboles!$H$6:$H$101,MOD(29+$C12+(2),$B$3)+1)*K12+INDEX(Symboles!$H$6:$H$101,MOD(29+$C12+(3),$B$3)+1)*L12+INDEX(Symboles!$H$6:$H$101,MOD(29+$C12+(4),$B$3)+1)*M12+IF($B$6=0,0,$B$6*NORMSINV(0.000001+0.999998*RAND())))</f>
        <v/>
      </c>
      <c r="EM12" s="30">
        <f>IF(31&gt;$B$3,99,INDEX(Symboles!$H$6:$H$101,MOD(30+$C12+(-4),$B$3)+1)*E12+INDEX(Symboles!$H$6:$H$101,MOD(30+$C12+(-3),$B$3)+1)*F12+INDEX(Symboles!$H$6:$H$101,MOD(30+$C12+(-2),$B$3)+1)*G12+INDEX(Symboles!$H$6:$H$101,MOD(30+$C12+(-1),$B$3)+1)*H12+INDEX(Symboles!$H$6:$H$101,MOD(30+$C12+(0),$B$3)+1)*I12+INDEX(Symboles!$H$6:$H$101,MOD(30+$C12+(1),$B$3)+1)*J12+INDEX(Symboles!$H$6:$H$101,MOD(30+$C12+(2),$B$3)+1)*K12+INDEX(Symboles!$H$6:$H$101,MOD(30+$C12+(3),$B$3)+1)*L12+INDEX(Symboles!$H$6:$H$101,MOD(30+$C12+(4),$B$3)+1)*M12+IF($B$6=0,0,$B$6*NORMSINV(0.000001+0.999998*RAND())))</f>
        <v/>
      </c>
      <c r="EN12" s="30">
        <f>IF(32&gt;$B$3,99,INDEX(Symboles!$H$6:$H$101,MOD(31+$C12+(-4),$B$3)+1)*E12+INDEX(Symboles!$H$6:$H$101,MOD(31+$C12+(-3),$B$3)+1)*F12+INDEX(Symboles!$H$6:$H$101,MOD(31+$C12+(-2),$B$3)+1)*G12+INDEX(Symboles!$H$6:$H$101,MOD(31+$C12+(-1),$B$3)+1)*H12+INDEX(Symboles!$H$6:$H$101,MOD(31+$C12+(0),$B$3)+1)*I12+INDEX(Symboles!$H$6:$H$101,MOD(31+$C12+(1),$B$3)+1)*J12+INDEX(Symboles!$H$6:$H$101,MOD(31+$C12+(2),$B$3)+1)*K12+INDEX(Symboles!$H$6:$H$101,MOD(31+$C12+(3),$B$3)+1)*L12+INDEX(Symboles!$H$6:$H$101,MOD(31+$C12+(4),$B$3)+1)*M12+IF($B$6=0,0,$B$6*NORMSINV(0.000001+0.999998*RAND())))</f>
        <v/>
      </c>
      <c r="EO12" s="30">
        <f>IF(33&gt;$B$3,99,INDEX(Symboles!$H$6:$H$101,MOD(32+$C12+(-4),$B$3)+1)*E12+INDEX(Symboles!$H$6:$H$101,MOD(32+$C12+(-3),$B$3)+1)*F12+INDEX(Symboles!$H$6:$H$101,MOD(32+$C12+(-2),$B$3)+1)*G12+INDEX(Symboles!$H$6:$H$101,MOD(32+$C12+(-1),$B$3)+1)*H12+INDEX(Symboles!$H$6:$H$101,MOD(32+$C12+(0),$B$3)+1)*I12+INDEX(Symboles!$H$6:$H$101,MOD(32+$C12+(1),$B$3)+1)*J12+INDEX(Symboles!$H$6:$H$101,MOD(32+$C12+(2),$B$3)+1)*K12+INDEX(Symboles!$H$6:$H$101,MOD(32+$C12+(3),$B$3)+1)*L12+INDEX(Symboles!$H$6:$H$101,MOD(32+$C12+(4),$B$3)+1)*M12+IF($B$6=0,0,$B$6*NORMSINV(0.000001+0.999998*RAND())))</f>
        <v/>
      </c>
      <c r="EP12" s="30">
        <f>IF(34&gt;$B$3,99,INDEX(Symboles!$H$6:$H$101,MOD(33+$C12+(-4),$B$3)+1)*E12+INDEX(Symboles!$H$6:$H$101,MOD(33+$C12+(-3),$B$3)+1)*F12+INDEX(Symboles!$H$6:$H$101,MOD(33+$C12+(-2),$B$3)+1)*G12+INDEX(Symboles!$H$6:$H$101,MOD(33+$C12+(-1),$B$3)+1)*H12+INDEX(Symboles!$H$6:$H$101,MOD(33+$C12+(0),$B$3)+1)*I12+INDEX(Symboles!$H$6:$H$101,MOD(33+$C12+(1),$B$3)+1)*J12+INDEX(Symboles!$H$6:$H$101,MOD(33+$C12+(2),$B$3)+1)*K12+INDEX(Symboles!$H$6:$H$101,MOD(33+$C12+(3),$B$3)+1)*L12+INDEX(Symboles!$H$6:$H$101,MOD(33+$C12+(4),$B$3)+1)*M12+IF($B$6=0,0,$B$6*NORMSINV(0.000001+0.999998*RAND())))</f>
        <v/>
      </c>
      <c r="EQ12" s="30">
        <f>IF(35&gt;$B$3,99,INDEX(Symboles!$H$6:$H$101,MOD(34+$C12+(-4),$B$3)+1)*E12+INDEX(Symboles!$H$6:$H$101,MOD(34+$C12+(-3),$B$3)+1)*F12+INDEX(Symboles!$H$6:$H$101,MOD(34+$C12+(-2),$B$3)+1)*G12+INDEX(Symboles!$H$6:$H$101,MOD(34+$C12+(-1),$B$3)+1)*H12+INDEX(Symboles!$H$6:$H$101,MOD(34+$C12+(0),$B$3)+1)*I12+INDEX(Symboles!$H$6:$H$101,MOD(34+$C12+(1),$B$3)+1)*J12+INDEX(Symboles!$H$6:$H$101,MOD(34+$C12+(2),$B$3)+1)*K12+INDEX(Symboles!$H$6:$H$101,MOD(34+$C12+(3),$B$3)+1)*L12+INDEX(Symboles!$H$6:$H$101,MOD(34+$C12+(4),$B$3)+1)*M12+IF($B$6=0,0,$B$6*NORMSINV(0.000001+0.999998*RAND())))</f>
        <v/>
      </c>
      <c r="ER12" s="30">
        <f>IF(36&gt;$B$3,99,INDEX(Symboles!$H$6:$H$101,MOD(35+$C12+(-4),$B$3)+1)*E12+INDEX(Symboles!$H$6:$H$101,MOD(35+$C12+(-3),$B$3)+1)*F12+INDEX(Symboles!$H$6:$H$101,MOD(35+$C12+(-2),$B$3)+1)*G12+INDEX(Symboles!$H$6:$H$101,MOD(35+$C12+(-1),$B$3)+1)*H12+INDEX(Symboles!$H$6:$H$101,MOD(35+$C12+(0),$B$3)+1)*I12+INDEX(Symboles!$H$6:$H$101,MOD(35+$C12+(1),$B$3)+1)*J12+INDEX(Symboles!$H$6:$H$101,MOD(35+$C12+(2),$B$3)+1)*K12+INDEX(Symboles!$H$6:$H$101,MOD(35+$C12+(3),$B$3)+1)*L12+INDEX(Symboles!$H$6:$H$101,MOD(35+$C12+(4),$B$3)+1)*M12+IF($B$6=0,0,$B$6*NORMSINV(0.000001+0.999998*RAND())))</f>
        <v/>
      </c>
      <c r="ES12" s="30">
        <f>IF(37&gt;$B$3,99,INDEX(Symboles!$H$6:$H$101,MOD(36+$C12+(-4),$B$3)+1)*E12+INDEX(Symboles!$H$6:$H$101,MOD(36+$C12+(-3),$B$3)+1)*F12+INDEX(Symboles!$H$6:$H$101,MOD(36+$C12+(-2),$B$3)+1)*G12+INDEX(Symboles!$H$6:$H$101,MOD(36+$C12+(-1),$B$3)+1)*H12+INDEX(Symboles!$H$6:$H$101,MOD(36+$C12+(0),$B$3)+1)*I12+INDEX(Symboles!$H$6:$H$101,MOD(36+$C12+(1),$B$3)+1)*J12+INDEX(Symboles!$H$6:$H$101,MOD(36+$C12+(2),$B$3)+1)*K12+INDEX(Symboles!$H$6:$H$101,MOD(36+$C12+(3),$B$3)+1)*L12+INDEX(Symboles!$H$6:$H$101,MOD(36+$C12+(4),$B$3)+1)*M12+IF($B$6=0,0,$B$6*NORMSINV(0.000001+0.999998*RAND())))</f>
        <v/>
      </c>
      <c r="ET12" s="30">
        <f>IF(38&gt;$B$3,99,INDEX(Symboles!$H$6:$H$101,MOD(37+$C12+(-4),$B$3)+1)*E12+INDEX(Symboles!$H$6:$H$101,MOD(37+$C12+(-3),$B$3)+1)*F12+INDEX(Symboles!$H$6:$H$101,MOD(37+$C12+(-2),$B$3)+1)*G12+INDEX(Symboles!$H$6:$H$101,MOD(37+$C12+(-1),$B$3)+1)*H12+INDEX(Symboles!$H$6:$H$101,MOD(37+$C12+(0),$B$3)+1)*I12+INDEX(Symboles!$H$6:$H$101,MOD(37+$C12+(1),$B$3)+1)*J12+INDEX(Symboles!$H$6:$H$101,MOD(37+$C12+(2),$B$3)+1)*K12+INDEX(Symboles!$H$6:$H$101,MOD(37+$C12+(3),$B$3)+1)*L12+INDEX(Symboles!$H$6:$H$101,MOD(37+$C12+(4),$B$3)+1)*M12+IF($B$6=0,0,$B$6*NORMSINV(0.000001+0.999998*RAND())))</f>
        <v/>
      </c>
      <c r="EU12" s="30">
        <f>IF(39&gt;$B$3,99,INDEX(Symboles!$H$6:$H$101,MOD(38+$C12+(-4),$B$3)+1)*E12+INDEX(Symboles!$H$6:$H$101,MOD(38+$C12+(-3),$B$3)+1)*F12+INDEX(Symboles!$H$6:$H$101,MOD(38+$C12+(-2),$B$3)+1)*G12+INDEX(Symboles!$H$6:$H$101,MOD(38+$C12+(-1),$B$3)+1)*H12+INDEX(Symboles!$H$6:$H$101,MOD(38+$C12+(0),$B$3)+1)*I12+INDEX(Symboles!$H$6:$H$101,MOD(38+$C12+(1),$B$3)+1)*J12+INDEX(Symboles!$H$6:$H$101,MOD(38+$C12+(2),$B$3)+1)*K12+INDEX(Symboles!$H$6:$H$101,MOD(38+$C12+(3),$B$3)+1)*L12+INDEX(Symboles!$H$6:$H$101,MOD(38+$C12+(4),$B$3)+1)*M12+IF($B$6=0,0,$B$6*NORMSINV(0.000001+0.999998*RAND())))</f>
        <v/>
      </c>
      <c r="EV12" s="30">
        <f>IF(40&gt;$B$3,99,INDEX(Symboles!$H$6:$H$101,MOD(39+$C12+(-4),$B$3)+1)*E12+INDEX(Symboles!$H$6:$H$101,MOD(39+$C12+(-3),$B$3)+1)*F12+INDEX(Symboles!$H$6:$H$101,MOD(39+$C12+(-2),$B$3)+1)*G12+INDEX(Symboles!$H$6:$H$101,MOD(39+$C12+(-1),$B$3)+1)*H12+INDEX(Symboles!$H$6:$H$101,MOD(39+$C12+(0),$B$3)+1)*I12+INDEX(Symboles!$H$6:$H$101,MOD(39+$C12+(1),$B$3)+1)*J12+INDEX(Symboles!$H$6:$H$101,MOD(39+$C12+(2),$B$3)+1)*K12+INDEX(Symboles!$H$6:$H$101,MOD(39+$C12+(3),$B$3)+1)*L12+INDEX(Symboles!$H$6:$H$101,MOD(39+$C12+(4),$B$3)+1)*M12+IF($B$6=0,0,$B$6*NORMSINV(0.000001+0.999998*RAND())))</f>
        <v/>
      </c>
      <c r="EW12" s="30">
        <f>IF(41&gt;$B$3,99,INDEX(Symboles!$H$6:$H$101,MOD(40+$C12+(-4),$B$3)+1)*E12+INDEX(Symboles!$H$6:$H$101,MOD(40+$C12+(-3),$B$3)+1)*F12+INDEX(Symboles!$H$6:$H$101,MOD(40+$C12+(-2),$B$3)+1)*G12+INDEX(Symboles!$H$6:$H$101,MOD(40+$C12+(-1),$B$3)+1)*H12+INDEX(Symboles!$H$6:$H$101,MOD(40+$C12+(0),$B$3)+1)*I12+INDEX(Symboles!$H$6:$H$101,MOD(40+$C12+(1),$B$3)+1)*J12+INDEX(Symboles!$H$6:$H$101,MOD(40+$C12+(2),$B$3)+1)*K12+INDEX(Symboles!$H$6:$H$101,MOD(40+$C12+(3),$B$3)+1)*L12+INDEX(Symboles!$H$6:$H$101,MOD(40+$C12+(4),$B$3)+1)*M12+IF($B$6=0,0,$B$6*NORMSINV(0.000001+0.999998*RAND())))</f>
        <v/>
      </c>
      <c r="EX12" s="30">
        <f>IF(42&gt;$B$3,99,INDEX(Symboles!$H$6:$H$101,MOD(41+$C12+(-4),$B$3)+1)*E12+INDEX(Symboles!$H$6:$H$101,MOD(41+$C12+(-3),$B$3)+1)*F12+INDEX(Symboles!$H$6:$H$101,MOD(41+$C12+(-2),$B$3)+1)*G12+INDEX(Symboles!$H$6:$H$101,MOD(41+$C12+(-1),$B$3)+1)*H12+INDEX(Symboles!$H$6:$H$101,MOD(41+$C12+(0),$B$3)+1)*I12+INDEX(Symboles!$H$6:$H$101,MOD(41+$C12+(1),$B$3)+1)*J12+INDEX(Symboles!$H$6:$H$101,MOD(41+$C12+(2),$B$3)+1)*K12+INDEX(Symboles!$H$6:$H$101,MOD(41+$C12+(3),$B$3)+1)*L12+INDEX(Symboles!$H$6:$H$101,MOD(41+$C12+(4),$B$3)+1)*M12+IF($B$6=0,0,$B$6*NORMSINV(0.000001+0.999998*RAND())))</f>
        <v/>
      </c>
      <c r="EY12" s="30">
        <f>IF(43&gt;$B$3,99,INDEX(Symboles!$H$6:$H$101,MOD(42+$C12+(-4),$B$3)+1)*E12+INDEX(Symboles!$H$6:$H$101,MOD(42+$C12+(-3),$B$3)+1)*F12+INDEX(Symboles!$H$6:$H$101,MOD(42+$C12+(-2),$B$3)+1)*G12+INDEX(Symboles!$H$6:$H$101,MOD(42+$C12+(-1),$B$3)+1)*H12+INDEX(Symboles!$H$6:$H$101,MOD(42+$C12+(0),$B$3)+1)*I12+INDEX(Symboles!$H$6:$H$101,MOD(42+$C12+(1),$B$3)+1)*J12+INDEX(Symboles!$H$6:$H$101,MOD(42+$C12+(2),$B$3)+1)*K12+INDEX(Symboles!$H$6:$H$101,MOD(42+$C12+(3),$B$3)+1)*L12+INDEX(Symboles!$H$6:$H$101,MOD(42+$C12+(4),$B$3)+1)*M12+IF($B$6=0,0,$B$6*NORMSINV(0.000001+0.999998*RAND())))</f>
        <v/>
      </c>
      <c r="EZ12" s="30">
        <f>IF(44&gt;$B$3,99,INDEX(Symboles!$H$6:$H$101,MOD(43+$C12+(-4),$B$3)+1)*E12+INDEX(Symboles!$H$6:$H$101,MOD(43+$C12+(-3),$B$3)+1)*F12+INDEX(Symboles!$H$6:$H$101,MOD(43+$C12+(-2),$B$3)+1)*G12+INDEX(Symboles!$H$6:$H$101,MOD(43+$C12+(-1),$B$3)+1)*H12+INDEX(Symboles!$H$6:$H$101,MOD(43+$C12+(0),$B$3)+1)*I12+INDEX(Symboles!$H$6:$H$101,MOD(43+$C12+(1),$B$3)+1)*J12+INDEX(Symboles!$H$6:$H$101,MOD(43+$C12+(2),$B$3)+1)*K12+INDEX(Symboles!$H$6:$H$101,MOD(43+$C12+(3),$B$3)+1)*L12+INDEX(Symboles!$H$6:$H$101,MOD(43+$C12+(4),$B$3)+1)*M12+IF($B$6=0,0,$B$6*NORMSINV(0.000001+0.999998*RAND())))</f>
        <v/>
      </c>
      <c r="FA12" s="30">
        <f>IF(45&gt;$B$3,99,INDEX(Symboles!$H$6:$H$101,MOD(44+$C12+(-4),$B$3)+1)*E12+INDEX(Symboles!$H$6:$H$101,MOD(44+$C12+(-3),$B$3)+1)*F12+INDEX(Symboles!$H$6:$H$101,MOD(44+$C12+(-2),$B$3)+1)*G12+INDEX(Symboles!$H$6:$H$101,MOD(44+$C12+(-1),$B$3)+1)*H12+INDEX(Symboles!$H$6:$H$101,MOD(44+$C12+(0),$B$3)+1)*I12+INDEX(Symboles!$H$6:$H$101,MOD(44+$C12+(1),$B$3)+1)*J12+INDEX(Symboles!$H$6:$H$101,MOD(44+$C12+(2),$B$3)+1)*K12+INDEX(Symboles!$H$6:$H$101,MOD(44+$C12+(3),$B$3)+1)*L12+INDEX(Symboles!$H$6:$H$101,MOD(44+$C12+(4),$B$3)+1)*M12+IF($B$6=0,0,$B$6*NORMSINV(0.000001+0.999998*RAND())))</f>
        <v/>
      </c>
      <c r="FB12" s="30">
        <f>IF(46&gt;$B$3,99,INDEX(Symboles!$H$6:$H$101,MOD(45+$C12+(-4),$B$3)+1)*E12+INDEX(Symboles!$H$6:$H$101,MOD(45+$C12+(-3),$B$3)+1)*F12+INDEX(Symboles!$H$6:$H$101,MOD(45+$C12+(-2),$B$3)+1)*G12+INDEX(Symboles!$H$6:$H$101,MOD(45+$C12+(-1),$B$3)+1)*H12+INDEX(Symboles!$H$6:$H$101,MOD(45+$C12+(0),$B$3)+1)*I12+INDEX(Symboles!$H$6:$H$101,MOD(45+$C12+(1),$B$3)+1)*J12+INDEX(Symboles!$H$6:$H$101,MOD(45+$C12+(2),$B$3)+1)*K12+INDEX(Symboles!$H$6:$H$101,MOD(45+$C12+(3),$B$3)+1)*L12+INDEX(Symboles!$H$6:$H$101,MOD(45+$C12+(4),$B$3)+1)*M12+IF($B$6=0,0,$B$6*NORMSINV(0.000001+0.999998*RAND())))</f>
        <v/>
      </c>
      <c r="FC12" s="30">
        <f>IF(47&gt;$B$3,99,INDEX(Symboles!$H$6:$H$101,MOD(46+$C12+(-4),$B$3)+1)*E12+INDEX(Symboles!$H$6:$H$101,MOD(46+$C12+(-3),$B$3)+1)*F12+INDEX(Symboles!$H$6:$H$101,MOD(46+$C12+(-2),$B$3)+1)*G12+INDEX(Symboles!$H$6:$H$101,MOD(46+$C12+(-1),$B$3)+1)*H12+INDEX(Symboles!$H$6:$H$101,MOD(46+$C12+(0),$B$3)+1)*I12+INDEX(Symboles!$H$6:$H$101,MOD(46+$C12+(1),$B$3)+1)*J12+INDEX(Symboles!$H$6:$H$101,MOD(46+$C12+(2),$B$3)+1)*K12+INDEX(Symboles!$H$6:$H$101,MOD(46+$C12+(3),$B$3)+1)*L12+INDEX(Symboles!$H$6:$H$101,MOD(46+$C12+(4),$B$3)+1)*M12+IF($B$6=0,0,$B$6*NORMSINV(0.000001+0.999998*RAND())))</f>
        <v/>
      </c>
      <c r="FD12" s="30">
        <f>IF(48&gt;$B$3,99,INDEX(Symboles!$H$6:$H$101,MOD(47+$C12+(-4),$B$3)+1)*E12+INDEX(Symboles!$H$6:$H$101,MOD(47+$C12+(-3),$B$3)+1)*F12+INDEX(Symboles!$H$6:$H$101,MOD(47+$C12+(-2),$B$3)+1)*G12+INDEX(Symboles!$H$6:$H$101,MOD(47+$C12+(-1),$B$3)+1)*H12+INDEX(Symboles!$H$6:$H$101,MOD(47+$C12+(0),$B$3)+1)*I12+INDEX(Symboles!$H$6:$H$101,MOD(47+$C12+(1),$B$3)+1)*J12+INDEX(Symboles!$H$6:$H$101,MOD(47+$C12+(2),$B$3)+1)*K12+INDEX(Symboles!$H$6:$H$101,MOD(47+$C12+(3),$B$3)+1)*L12+INDEX(Symboles!$H$6:$H$101,MOD(47+$C12+(4),$B$3)+1)*M12+IF($B$6=0,0,$B$6*NORMSINV(0.000001+0.999998*RAND())))</f>
        <v/>
      </c>
      <c r="FE12" s="30">
        <f>IF(49&gt;$B$3,99,INDEX(Symboles!$H$6:$H$101,MOD(48+$C12+(-4),$B$3)+1)*E12+INDEX(Symboles!$H$6:$H$101,MOD(48+$C12+(-3),$B$3)+1)*F12+INDEX(Symboles!$H$6:$H$101,MOD(48+$C12+(-2),$B$3)+1)*G12+INDEX(Symboles!$H$6:$H$101,MOD(48+$C12+(-1),$B$3)+1)*H12+INDEX(Symboles!$H$6:$H$101,MOD(48+$C12+(0),$B$3)+1)*I12+INDEX(Symboles!$H$6:$H$101,MOD(48+$C12+(1),$B$3)+1)*J12+INDEX(Symboles!$H$6:$H$101,MOD(48+$C12+(2),$B$3)+1)*K12+INDEX(Symboles!$H$6:$H$101,MOD(48+$C12+(3),$B$3)+1)*L12+INDEX(Symboles!$H$6:$H$101,MOD(48+$C12+(4),$B$3)+1)*M12+IF($B$6=0,0,$B$6*NORMSINV(0.000001+0.999998*RAND())))</f>
        <v/>
      </c>
      <c r="FF12" s="30">
        <f>IF(50&gt;$B$3,99,INDEX(Symboles!$H$6:$H$101,MOD(49+$C12+(-4),$B$3)+1)*E12+INDEX(Symboles!$H$6:$H$101,MOD(49+$C12+(-3),$B$3)+1)*F12+INDEX(Symboles!$H$6:$H$101,MOD(49+$C12+(-2),$B$3)+1)*G12+INDEX(Symboles!$H$6:$H$101,MOD(49+$C12+(-1),$B$3)+1)*H12+INDEX(Symboles!$H$6:$H$101,MOD(49+$C12+(0),$B$3)+1)*I12+INDEX(Symboles!$H$6:$H$101,MOD(49+$C12+(1),$B$3)+1)*J12+INDEX(Symboles!$H$6:$H$101,MOD(49+$C12+(2),$B$3)+1)*K12+INDEX(Symboles!$H$6:$H$101,MOD(49+$C12+(3),$B$3)+1)*L12+INDEX(Symboles!$H$6:$H$101,MOD(49+$C12+(4),$B$3)+1)*M12+IF($B$6=0,0,$B$6*NORMSINV(0.000001+0.999998*RAND())))</f>
        <v/>
      </c>
      <c r="FG12" s="30">
        <f>IF(51&gt;$B$3,99,INDEX(Symboles!$H$6:$H$101,MOD(50+$C12+(-4),$B$3)+1)*E12+INDEX(Symboles!$H$6:$H$101,MOD(50+$C12+(-3),$B$3)+1)*F12+INDEX(Symboles!$H$6:$H$101,MOD(50+$C12+(-2),$B$3)+1)*G12+INDEX(Symboles!$H$6:$H$101,MOD(50+$C12+(-1),$B$3)+1)*H12+INDEX(Symboles!$H$6:$H$101,MOD(50+$C12+(0),$B$3)+1)*I12+INDEX(Symboles!$H$6:$H$101,MOD(50+$C12+(1),$B$3)+1)*J12+INDEX(Symboles!$H$6:$H$101,MOD(50+$C12+(2),$B$3)+1)*K12+INDEX(Symboles!$H$6:$H$101,MOD(50+$C12+(3),$B$3)+1)*L12+INDEX(Symboles!$H$6:$H$101,MOD(50+$C12+(4),$B$3)+1)*M12+IF($B$6=0,0,$B$6*NORMSINV(0.000001+0.999998*RAND())))</f>
        <v/>
      </c>
      <c r="FH12" s="30">
        <f>IF(52&gt;$B$3,99,INDEX(Symboles!$H$6:$H$101,MOD(51+$C12+(-4),$B$3)+1)*E12+INDEX(Symboles!$H$6:$H$101,MOD(51+$C12+(-3),$B$3)+1)*F12+INDEX(Symboles!$H$6:$H$101,MOD(51+$C12+(-2),$B$3)+1)*G12+INDEX(Symboles!$H$6:$H$101,MOD(51+$C12+(-1),$B$3)+1)*H12+INDEX(Symboles!$H$6:$H$101,MOD(51+$C12+(0),$B$3)+1)*I12+INDEX(Symboles!$H$6:$H$101,MOD(51+$C12+(1),$B$3)+1)*J12+INDEX(Symboles!$H$6:$H$101,MOD(51+$C12+(2),$B$3)+1)*K12+INDEX(Symboles!$H$6:$H$101,MOD(51+$C12+(3),$B$3)+1)*L12+INDEX(Symboles!$H$6:$H$101,MOD(51+$C12+(4),$B$3)+1)*M12+IF($B$6=0,0,$B$6*NORMSINV(0.000001+0.999998*RAND())))</f>
        <v/>
      </c>
      <c r="FI12" s="30">
        <f>IF(53&gt;$B$3,99,INDEX(Symboles!$H$6:$H$101,MOD(52+$C12+(-4),$B$3)+1)*E12+INDEX(Symboles!$H$6:$H$101,MOD(52+$C12+(-3),$B$3)+1)*F12+INDEX(Symboles!$H$6:$H$101,MOD(52+$C12+(-2),$B$3)+1)*G12+INDEX(Symboles!$H$6:$H$101,MOD(52+$C12+(-1),$B$3)+1)*H12+INDEX(Symboles!$H$6:$H$101,MOD(52+$C12+(0),$B$3)+1)*I12+INDEX(Symboles!$H$6:$H$101,MOD(52+$C12+(1),$B$3)+1)*J12+INDEX(Symboles!$H$6:$H$101,MOD(52+$C12+(2),$B$3)+1)*K12+INDEX(Symboles!$H$6:$H$101,MOD(52+$C12+(3),$B$3)+1)*L12+INDEX(Symboles!$H$6:$H$101,MOD(52+$C12+(4),$B$3)+1)*M12+IF($B$6=0,0,$B$6*NORMSINV(0.000001+0.999998*RAND())))</f>
        <v/>
      </c>
      <c r="FJ12" s="30">
        <f>IF(54&gt;$B$3,99,INDEX(Symboles!$H$6:$H$101,MOD(53+$C12+(-4),$B$3)+1)*E12+INDEX(Symboles!$H$6:$H$101,MOD(53+$C12+(-3),$B$3)+1)*F12+INDEX(Symboles!$H$6:$H$101,MOD(53+$C12+(-2),$B$3)+1)*G12+INDEX(Symboles!$H$6:$H$101,MOD(53+$C12+(-1),$B$3)+1)*H12+INDEX(Symboles!$H$6:$H$101,MOD(53+$C12+(0),$B$3)+1)*I12+INDEX(Symboles!$H$6:$H$101,MOD(53+$C12+(1),$B$3)+1)*J12+INDEX(Symboles!$H$6:$H$101,MOD(53+$C12+(2),$B$3)+1)*K12+INDEX(Symboles!$H$6:$H$101,MOD(53+$C12+(3),$B$3)+1)*L12+INDEX(Symboles!$H$6:$H$101,MOD(53+$C12+(4),$B$3)+1)*M12+IF($B$6=0,0,$B$6*NORMSINV(0.000001+0.999998*RAND())))</f>
        <v/>
      </c>
      <c r="FK12" s="30">
        <f>IF(55&gt;$B$3,99,INDEX(Symboles!$H$6:$H$101,MOD(54+$C12+(-4),$B$3)+1)*E12+INDEX(Symboles!$H$6:$H$101,MOD(54+$C12+(-3),$B$3)+1)*F12+INDEX(Symboles!$H$6:$H$101,MOD(54+$C12+(-2),$B$3)+1)*G12+INDEX(Symboles!$H$6:$H$101,MOD(54+$C12+(-1),$B$3)+1)*H12+INDEX(Symboles!$H$6:$H$101,MOD(54+$C12+(0),$B$3)+1)*I12+INDEX(Symboles!$H$6:$H$101,MOD(54+$C12+(1),$B$3)+1)*J12+INDEX(Symboles!$H$6:$H$101,MOD(54+$C12+(2),$B$3)+1)*K12+INDEX(Symboles!$H$6:$H$101,MOD(54+$C12+(3),$B$3)+1)*L12+INDEX(Symboles!$H$6:$H$101,MOD(54+$C12+(4),$B$3)+1)*M12+IF($B$6=0,0,$B$6*NORMSINV(0.000001+0.999998*RAND())))</f>
        <v/>
      </c>
      <c r="FL12" s="30">
        <f>IF(56&gt;$B$3,99,INDEX(Symboles!$H$6:$H$101,MOD(55+$C12+(-4),$B$3)+1)*E12+INDEX(Symboles!$H$6:$H$101,MOD(55+$C12+(-3),$B$3)+1)*F12+INDEX(Symboles!$H$6:$H$101,MOD(55+$C12+(-2),$B$3)+1)*G12+INDEX(Symboles!$H$6:$H$101,MOD(55+$C12+(-1),$B$3)+1)*H12+INDEX(Symboles!$H$6:$H$101,MOD(55+$C12+(0),$B$3)+1)*I12+INDEX(Symboles!$H$6:$H$101,MOD(55+$C12+(1),$B$3)+1)*J12+INDEX(Symboles!$H$6:$H$101,MOD(55+$C12+(2),$B$3)+1)*K12+INDEX(Symboles!$H$6:$H$101,MOD(55+$C12+(3),$B$3)+1)*L12+INDEX(Symboles!$H$6:$H$101,MOD(55+$C12+(4),$B$3)+1)*M12+IF($B$6=0,0,$B$6*NORMSINV(0.000001+0.999998*RAND())))</f>
        <v/>
      </c>
      <c r="FM12" s="30">
        <f>IF(57&gt;$B$3,99,INDEX(Symboles!$H$6:$H$101,MOD(56+$C12+(-4),$B$3)+1)*E12+INDEX(Symboles!$H$6:$H$101,MOD(56+$C12+(-3),$B$3)+1)*F12+INDEX(Symboles!$H$6:$H$101,MOD(56+$C12+(-2),$B$3)+1)*G12+INDEX(Symboles!$H$6:$H$101,MOD(56+$C12+(-1),$B$3)+1)*H12+INDEX(Symboles!$H$6:$H$101,MOD(56+$C12+(0),$B$3)+1)*I12+INDEX(Symboles!$H$6:$H$101,MOD(56+$C12+(1),$B$3)+1)*J12+INDEX(Symboles!$H$6:$H$101,MOD(56+$C12+(2),$B$3)+1)*K12+INDEX(Symboles!$H$6:$H$101,MOD(56+$C12+(3),$B$3)+1)*L12+INDEX(Symboles!$H$6:$H$101,MOD(56+$C12+(4),$B$3)+1)*M12+IF($B$6=0,0,$B$6*NORMSINV(0.000001+0.999998*RAND())))</f>
        <v/>
      </c>
      <c r="FN12" s="30">
        <f>IF(58&gt;$B$3,99,INDEX(Symboles!$H$6:$H$101,MOD(57+$C12+(-4),$B$3)+1)*E12+INDEX(Symboles!$H$6:$H$101,MOD(57+$C12+(-3),$B$3)+1)*F12+INDEX(Symboles!$H$6:$H$101,MOD(57+$C12+(-2),$B$3)+1)*G12+INDEX(Symboles!$H$6:$H$101,MOD(57+$C12+(-1),$B$3)+1)*H12+INDEX(Symboles!$H$6:$H$101,MOD(57+$C12+(0),$B$3)+1)*I12+INDEX(Symboles!$H$6:$H$101,MOD(57+$C12+(1),$B$3)+1)*J12+INDEX(Symboles!$H$6:$H$101,MOD(57+$C12+(2),$B$3)+1)*K12+INDEX(Symboles!$H$6:$H$101,MOD(57+$C12+(3),$B$3)+1)*L12+INDEX(Symboles!$H$6:$H$101,MOD(57+$C12+(4),$B$3)+1)*M12+IF($B$6=0,0,$B$6*NORMSINV(0.000001+0.999998*RAND())))</f>
        <v/>
      </c>
      <c r="FO12" s="30">
        <f>IF(59&gt;$B$3,99,INDEX(Symboles!$H$6:$H$101,MOD(58+$C12+(-4),$B$3)+1)*E12+INDEX(Symboles!$H$6:$H$101,MOD(58+$C12+(-3),$B$3)+1)*F12+INDEX(Symboles!$H$6:$H$101,MOD(58+$C12+(-2),$B$3)+1)*G12+INDEX(Symboles!$H$6:$H$101,MOD(58+$C12+(-1),$B$3)+1)*H12+INDEX(Symboles!$H$6:$H$101,MOD(58+$C12+(0),$B$3)+1)*I12+INDEX(Symboles!$H$6:$H$101,MOD(58+$C12+(1),$B$3)+1)*J12+INDEX(Symboles!$H$6:$H$101,MOD(58+$C12+(2),$B$3)+1)*K12+INDEX(Symboles!$H$6:$H$101,MOD(58+$C12+(3),$B$3)+1)*L12+INDEX(Symboles!$H$6:$H$101,MOD(58+$C12+(4),$B$3)+1)*M12+IF($B$6=0,0,$B$6*NORMSINV(0.000001+0.999998*RAND())))</f>
        <v/>
      </c>
      <c r="FP12" s="30">
        <f>IF(60&gt;$B$3,99,INDEX(Symboles!$H$6:$H$101,MOD(59+$C12+(-4),$B$3)+1)*E12+INDEX(Symboles!$H$6:$H$101,MOD(59+$C12+(-3),$B$3)+1)*F12+INDEX(Symboles!$H$6:$H$101,MOD(59+$C12+(-2),$B$3)+1)*G12+INDEX(Symboles!$H$6:$H$101,MOD(59+$C12+(-1),$B$3)+1)*H12+INDEX(Symboles!$H$6:$H$101,MOD(59+$C12+(0),$B$3)+1)*I12+INDEX(Symboles!$H$6:$H$101,MOD(59+$C12+(1),$B$3)+1)*J12+INDEX(Symboles!$H$6:$H$101,MOD(59+$C12+(2),$B$3)+1)*K12+INDEX(Symboles!$H$6:$H$101,MOD(59+$C12+(3),$B$3)+1)*L12+INDEX(Symboles!$H$6:$H$101,MOD(59+$C12+(4),$B$3)+1)*M12+IF($B$6=0,0,$B$6*NORMSINV(0.000001+0.999998*RAND())))</f>
        <v/>
      </c>
      <c r="FQ12" s="30">
        <f>IF(61&gt;$B$3,99,INDEX(Symboles!$H$6:$H$101,MOD(60+$C12+(-4),$B$3)+1)*E12+INDEX(Symboles!$H$6:$H$101,MOD(60+$C12+(-3),$B$3)+1)*F12+INDEX(Symboles!$H$6:$H$101,MOD(60+$C12+(-2),$B$3)+1)*G12+INDEX(Symboles!$H$6:$H$101,MOD(60+$C12+(-1),$B$3)+1)*H12+INDEX(Symboles!$H$6:$H$101,MOD(60+$C12+(0),$B$3)+1)*I12+INDEX(Symboles!$H$6:$H$101,MOD(60+$C12+(1),$B$3)+1)*J12+INDEX(Symboles!$H$6:$H$101,MOD(60+$C12+(2),$B$3)+1)*K12+INDEX(Symboles!$H$6:$H$101,MOD(60+$C12+(3),$B$3)+1)*L12+INDEX(Symboles!$H$6:$H$101,MOD(60+$C12+(4),$B$3)+1)*M12+IF($B$6=0,0,$B$6*NORMSINV(0.000001+0.999998*RAND())))</f>
        <v/>
      </c>
      <c r="FR12" s="30">
        <f>IF(62&gt;$B$3,99,INDEX(Symboles!$H$6:$H$101,MOD(61+$C12+(-4),$B$3)+1)*E12+INDEX(Symboles!$H$6:$H$101,MOD(61+$C12+(-3),$B$3)+1)*F12+INDEX(Symboles!$H$6:$H$101,MOD(61+$C12+(-2),$B$3)+1)*G12+INDEX(Symboles!$H$6:$H$101,MOD(61+$C12+(-1),$B$3)+1)*H12+INDEX(Symboles!$H$6:$H$101,MOD(61+$C12+(0),$B$3)+1)*I12+INDEX(Symboles!$H$6:$H$101,MOD(61+$C12+(1),$B$3)+1)*J12+INDEX(Symboles!$H$6:$H$101,MOD(61+$C12+(2),$B$3)+1)*K12+INDEX(Symboles!$H$6:$H$101,MOD(61+$C12+(3),$B$3)+1)*L12+INDEX(Symboles!$H$6:$H$101,MOD(61+$C12+(4),$B$3)+1)*M12+IF($B$6=0,0,$B$6*NORMSINV(0.000001+0.999998*RAND())))</f>
        <v/>
      </c>
      <c r="FS12" s="30">
        <f>IF(63&gt;$B$3,99,INDEX(Symboles!$H$6:$H$101,MOD(62+$C12+(-4),$B$3)+1)*E12+INDEX(Symboles!$H$6:$H$101,MOD(62+$C12+(-3),$B$3)+1)*F12+INDEX(Symboles!$H$6:$H$101,MOD(62+$C12+(-2),$B$3)+1)*G12+INDEX(Symboles!$H$6:$H$101,MOD(62+$C12+(-1),$B$3)+1)*H12+INDEX(Symboles!$H$6:$H$101,MOD(62+$C12+(0),$B$3)+1)*I12+INDEX(Symboles!$H$6:$H$101,MOD(62+$C12+(1),$B$3)+1)*J12+INDEX(Symboles!$H$6:$H$101,MOD(62+$C12+(2),$B$3)+1)*K12+INDEX(Symboles!$H$6:$H$101,MOD(62+$C12+(3),$B$3)+1)*L12+INDEX(Symboles!$H$6:$H$101,MOD(62+$C12+(4),$B$3)+1)*M12+IF($B$6=0,0,$B$6*NORMSINV(0.000001+0.999998*RAND())))</f>
        <v/>
      </c>
      <c r="FT12" s="30">
        <f>IF(64&gt;$B$3,99,INDEX(Symboles!$H$6:$H$101,MOD(63+$C12+(-4),$B$3)+1)*E12+INDEX(Symboles!$H$6:$H$101,MOD(63+$C12+(-3),$B$3)+1)*F12+INDEX(Symboles!$H$6:$H$101,MOD(63+$C12+(-2),$B$3)+1)*G12+INDEX(Symboles!$H$6:$H$101,MOD(63+$C12+(-1),$B$3)+1)*H12+INDEX(Symboles!$H$6:$H$101,MOD(63+$C12+(0),$B$3)+1)*I12+INDEX(Symboles!$H$6:$H$101,MOD(63+$C12+(1),$B$3)+1)*J12+INDEX(Symboles!$H$6:$H$101,MOD(63+$C12+(2),$B$3)+1)*K12+INDEX(Symboles!$H$6:$H$101,MOD(63+$C12+(3),$B$3)+1)*L12+INDEX(Symboles!$H$6:$H$101,MOD(63+$C12+(4),$B$3)+1)*M12+IF($B$6=0,0,$B$6*NORMSINV(0.000001+0.999998*RAND())))</f>
        <v/>
      </c>
      <c r="FU12" s="30">
        <f>IF(65&gt;$B$3,99,INDEX(Symboles!$H$6:$H$101,MOD(64+$C12+(-4),$B$3)+1)*E12+INDEX(Symboles!$H$6:$H$101,MOD(64+$C12+(-3),$B$3)+1)*F12+INDEX(Symboles!$H$6:$H$101,MOD(64+$C12+(-2),$B$3)+1)*G12+INDEX(Symboles!$H$6:$H$101,MOD(64+$C12+(-1),$B$3)+1)*H12+INDEX(Symboles!$H$6:$H$101,MOD(64+$C12+(0),$B$3)+1)*I12+INDEX(Symboles!$H$6:$H$101,MOD(64+$C12+(1),$B$3)+1)*J12+INDEX(Symboles!$H$6:$H$101,MOD(64+$C12+(2),$B$3)+1)*K12+INDEX(Symboles!$H$6:$H$101,MOD(64+$C12+(3),$B$3)+1)*L12+INDEX(Symboles!$H$6:$H$101,MOD(64+$C12+(4),$B$3)+1)*M12+IF($B$6=0,0,$B$6*NORMSINV(0.000001+0.999998*RAND())))</f>
        <v/>
      </c>
      <c r="FV12" s="30">
        <f>IF(66&gt;$B$3,99,INDEX(Symboles!$H$6:$H$101,MOD(65+$C12+(-4),$B$3)+1)*E12+INDEX(Symboles!$H$6:$H$101,MOD(65+$C12+(-3),$B$3)+1)*F12+INDEX(Symboles!$H$6:$H$101,MOD(65+$C12+(-2),$B$3)+1)*G12+INDEX(Symboles!$H$6:$H$101,MOD(65+$C12+(-1),$B$3)+1)*H12+INDEX(Symboles!$H$6:$H$101,MOD(65+$C12+(0),$B$3)+1)*I12+INDEX(Symboles!$H$6:$H$101,MOD(65+$C12+(1),$B$3)+1)*J12+INDEX(Symboles!$H$6:$H$101,MOD(65+$C12+(2),$B$3)+1)*K12+INDEX(Symboles!$H$6:$H$101,MOD(65+$C12+(3),$B$3)+1)*L12+INDEX(Symboles!$H$6:$H$101,MOD(65+$C12+(4),$B$3)+1)*M12+IF($B$6=0,0,$B$6*NORMSINV(0.000001+0.999998*RAND())))</f>
        <v/>
      </c>
      <c r="FW12" s="30">
        <f>IF(67&gt;$B$3,99,INDEX(Symboles!$H$6:$H$101,MOD(66+$C12+(-4),$B$3)+1)*E12+INDEX(Symboles!$H$6:$H$101,MOD(66+$C12+(-3),$B$3)+1)*F12+INDEX(Symboles!$H$6:$H$101,MOD(66+$C12+(-2),$B$3)+1)*G12+INDEX(Symboles!$H$6:$H$101,MOD(66+$C12+(-1),$B$3)+1)*H12+INDEX(Symboles!$H$6:$H$101,MOD(66+$C12+(0),$B$3)+1)*I12+INDEX(Symboles!$H$6:$H$101,MOD(66+$C12+(1),$B$3)+1)*J12+INDEX(Symboles!$H$6:$H$101,MOD(66+$C12+(2),$B$3)+1)*K12+INDEX(Symboles!$H$6:$H$101,MOD(66+$C12+(3),$B$3)+1)*L12+INDEX(Symboles!$H$6:$H$101,MOD(66+$C12+(4),$B$3)+1)*M12+IF($B$6=0,0,$B$6*NORMSINV(0.000001+0.999998*RAND())))</f>
        <v/>
      </c>
      <c r="FX12" s="30">
        <f>IF(68&gt;$B$3,99,INDEX(Symboles!$H$6:$H$101,MOD(67+$C12+(-4),$B$3)+1)*E12+INDEX(Symboles!$H$6:$H$101,MOD(67+$C12+(-3),$B$3)+1)*F12+INDEX(Symboles!$H$6:$H$101,MOD(67+$C12+(-2),$B$3)+1)*G12+INDEX(Symboles!$H$6:$H$101,MOD(67+$C12+(-1),$B$3)+1)*H12+INDEX(Symboles!$H$6:$H$101,MOD(67+$C12+(0),$B$3)+1)*I12+INDEX(Symboles!$H$6:$H$101,MOD(67+$C12+(1),$B$3)+1)*J12+INDEX(Symboles!$H$6:$H$101,MOD(67+$C12+(2),$B$3)+1)*K12+INDEX(Symboles!$H$6:$H$101,MOD(67+$C12+(3),$B$3)+1)*L12+INDEX(Symboles!$H$6:$H$101,MOD(67+$C12+(4),$B$3)+1)*M12+IF($B$6=0,0,$B$6*NORMSINV(0.000001+0.999998*RAND())))</f>
        <v/>
      </c>
      <c r="FY12" s="30">
        <f>IF(69&gt;$B$3,99,INDEX(Symboles!$H$6:$H$101,MOD(68+$C12+(-4),$B$3)+1)*E12+INDEX(Symboles!$H$6:$H$101,MOD(68+$C12+(-3),$B$3)+1)*F12+INDEX(Symboles!$H$6:$H$101,MOD(68+$C12+(-2),$B$3)+1)*G12+INDEX(Symboles!$H$6:$H$101,MOD(68+$C12+(-1),$B$3)+1)*H12+INDEX(Symboles!$H$6:$H$101,MOD(68+$C12+(0),$B$3)+1)*I12+INDEX(Symboles!$H$6:$H$101,MOD(68+$C12+(1),$B$3)+1)*J12+INDEX(Symboles!$H$6:$H$101,MOD(68+$C12+(2),$B$3)+1)*K12+INDEX(Symboles!$H$6:$H$101,MOD(68+$C12+(3),$B$3)+1)*L12+INDEX(Symboles!$H$6:$H$101,MOD(68+$C12+(4),$B$3)+1)*M12+IF($B$6=0,0,$B$6*NORMSINV(0.000001+0.999998*RAND())))</f>
        <v/>
      </c>
      <c r="FZ12" s="30">
        <f>IF(70&gt;$B$3,99,INDEX(Symboles!$H$6:$H$101,MOD(69+$C12+(-4),$B$3)+1)*E12+INDEX(Symboles!$H$6:$H$101,MOD(69+$C12+(-3),$B$3)+1)*F12+INDEX(Symboles!$H$6:$H$101,MOD(69+$C12+(-2),$B$3)+1)*G12+INDEX(Symboles!$H$6:$H$101,MOD(69+$C12+(-1),$B$3)+1)*H12+INDEX(Symboles!$H$6:$H$101,MOD(69+$C12+(0),$B$3)+1)*I12+INDEX(Symboles!$H$6:$H$101,MOD(69+$C12+(1),$B$3)+1)*J12+INDEX(Symboles!$H$6:$H$101,MOD(69+$C12+(2),$B$3)+1)*K12+INDEX(Symboles!$H$6:$H$101,MOD(69+$C12+(3),$B$3)+1)*L12+INDEX(Symboles!$H$6:$H$101,MOD(69+$C12+(4),$B$3)+1)*M12+IF($B$6=0,0,$B$6*NORMSINV(0.000001+0.999998*RAND())))</f>
        <v/>
      </c>
      <c r="GA12" s="30">
        <f>IF(71&gt;$B$3,99,INDEX(Symboles!$H$6:$H$101,MOD(70+$C12+(-4),$B$3)+1)*E12+INDEX(Symboles!$H$6:$H$101,MOD(70+$C12+(-3),$B$3)+1)*F12+INDEX(Symboles!$H$6:$H$101,MOD(70+$C12+(-2),$B$3)+1)*G12+INDEX(Symboles!$H$6:$H$101,MOD(70+$C12+(-1),$B$3)+1)*H12+INDEX(Symboles!$H$6:$H$101,MOD(70+$C12+(0),$B$3)+1)*I12+INDEX(Symboles!$H$6:$H$101,MOD(70+$C12+(1),$B$3)+1)*J12+INDEX(Symboles!$H$6:$H$101,MOD(70+$C12+(2),$B$3)+1)*K12+INDEX(Symboles!$H$6:$H$101,MOD(70+$C12+(3),$B$3)+1)*L12+INDEX(Symboles!$H$6:$H$101,MOD(70+$C12+(4),$B$3)+1)*M12+IF($B$6=0,0,$B$6*NORMSINV(0.000001+0.999998*RAND())))</f>
        <v/>
      </c>
      <c r="GB12" s="30">
        <f>IF(72&gt;$B$3,99,INDEX(Symboles!$H$6:$H$101,MOD(71+$C12+(-4),$B$3)+1)*E12+INDEX(Symboles!$H$6:$H$101,MOD(71+$C12+(-3),$B$3)+1)*F12+INDEX(Symboles!$H$6:$H$101,MOD(71+$C12+(-2),$B$3)+1)*G12+INDEX(Symboles!$H$6:$H$101,MOD(71+$C12+(-1),$B$3)+1)*H12+INDEX(Symboles!$H$6:$H$101,MOD(71+$C12+(0),$B$3)+1)*I12+INDEX(Symboles!$H$6:$H$101,MOD(71+$C12+(1),$B$3)+1)*J12+INDEX(Symboles!$H$6:$H$101,MOD(71+$C12+(2),$B$3)+1)*K12+INDEX(Symboles!$H$6:$H$101,MOD(71+$C12+(3),$B$3)+1)*L12+INDEX(Symboles!$H$6:$H$101,MOD(71+$C12+(4),$B$3)+1)*M12+IF($B$6=0,0,$B$6*NORMSINV(0.000001+0.999998*RAND())))</f>
        <v/>
      </c>
      <c r="GC12" s="30">
        <f>IF(73&gt;$B$3,99,INDEX(Symboles!$H$6:$H$101,MOD(72+$C12+(-4),$B$3)+1)*E12+INDEX(Symboles!$H$6:$H$101,MOD(72+$C12+(-3),$B$3)+1)*F12+INDEX(Symboles!$H$6:$H$101,MOD(72+$C12+(-2),$B$3)+1)*G12+INDEX(Symboles!$H$6:$H$101,MOD(72+$C12+(-1),$B$3)+1)*H12+INDEX(Symboles!$H$6:$H$101,MOD(72+$C12+(0),$B$3)+1)*I12+INDEX(Symboles!$H$6:$H$101,MOD(72+$C12+(1),$B$3)+1)*J12+INDEX(Symboles!$H$6:$H$101,MOD(72+$C12+(2),$B$3)+1)*K12+INDEX(Symboles!$H$6:$H$101,MOD(72+$C12+(3),$B$3)+1)*L12+INDEX(Symboles!$H$6:$H$101,MOD(72+$C12+(4),$B$3)+1)*M12+IF($B$6=0,0,$B$6*NORMSINV(0.000001+0.999998*RAND())))</f>
        <v/>
      </c>
      <c r="GD12" s="30">
        <f>IF(74&gt;$B$3,99,INDEX(Symboles!$H$6:$H$101,MOD(73+$C12+(-4),$B$3)+1)*E12+INDEX(Symboles!$H$6:$H$101,MOD(73+$C12+(-3),$B$3)+1)*F12+INDEX(Symboles!$H$6:$H$101,MOD(73+$C12+(-2),$B$3)+1)*G12+INDEX(Symboles!$H$6:$H$101,MOD(73+$C12+(-1),$B$3)+1)*H12+INDEX(Symboles!$H$6:$H$101,MOD(73+$C12+(0),$B$3)+1)*I12+INDEX(Symboles!$H$6:$H$101,MOD(73+$C12+(1),$B$3)+1)*J12+INDEX(Symboles!$H$6:$H$101,MOD(73+$C12+(2),$B$3)+1)*K12+INDEX(Symboles!$H$6:$H$101,MOD(73+$C12+(3),$B$3)+1)*L12+INDEX(Symboles!$H$6:$H$101,MOD(73+$C12+(4),$B$3)+1)*M12+IF($B$6=0,0,$B$6*NORMSINV(0.000001+0.999998*RAND())))</f>
        <v/>
      </c>
      <c r="GE12" s="30">
        <f>IF(75&gt;$B$3,99,INDEX(Symboles!$H$6:$H$101,MOD(74+$C12+(-4),$B$3)+1)*E12+INDEX(Symboles!$H$6:$H$101,MOD(74+$C12+(-3),$B$3)+1)*F12+INDEX(Symboles!$H$6:$H$101,MOD(74+$C12+(-2),$B$3)+1)*G12+INDEX(Symboles!$H$6:$H$101,MOD(74+$C12+(-1),$B$3)+1)*H12+INDEX(Symboles!$H$6:$H$101,MOD(74+$C12+(0),$B$3)+1)*I12+INDEX(Symboles!$H$6:$H$101,MOD(74+$C12+(1),$B$3)+1)*J12+INDEX(Symboles!$H$6:$H$101,MOD(74+$C12+(2),$B$3)+1)*K12+INDEX(Symboles!$H$6:$H$101,MOD(74+$C12+(3),$B$3)+1)*L12+INDEX(Symboles!$H$6:$H$101,MOD(74+$C12+(4),$B$3)+1)*M12+IF($B$6=0,0,$B$6*NORMSINV(0.000001+0.999998*RAND())))</f>
        <v/>
      </c>
      <c r="GF12" s="30">
        <f>IF(76&gt;$B$3,99,INDEX(Symboles!$H$6:$H$101,MOD(75+$C12+(-4),$B$3)+1)*E12+INDEX(Symboles!$H$6:$H$101,MOD(75+$C12+(-3),$B$3)+1)*F12+INDEX(Symboles!$H$6:$H$101,MOD(75+$C12+(-2),$B$3)+1)*G12+INDEX(Symboles!$H$6:$H$101,MOD(75+$C12+(-1),$B$3)+1)*H12+INDEX(Symboles!$H$6:$H$101,MOD(75+$C12+(0),$B$3)+1)*I12+INDEX(Symboles!$H$6:$H$101,MOD(75+$C12+(1),$B$3)+1)*J12+INDEX(Symboles!$H$6:$H$101,MOD(75+$C12+(2),$B$3)+1)*K12+INDEX(Symboles!$H$6:$H$101,MOD(75+$C12+(3),$B$3)+1)*L12+INDEX(Symboles!$H$6:$H$101,MOD(75+$C12+(4),$B$3)+1)*M12+IF($B$6=0,0,$B$6*NORMSINV(0.000001+0.999998*RAND())))</f>
        <v/>
      </c>
      <c r="GG12" s="30">
        <f>IF(77&gt;$B$3,99,INDEX(Symboles!$H$6:$H$101,MOD(76+$C12+(-4),$B$3)+1)*E12+INDEX(Symboles!$H$6:$H$101,MOD(76+$C12+(-3),$B$3)+1)*F12+INDEX(Symboles!$H$6:$H$101,MOD(76+$C12+(-2),$B$3)+1)*G12+INDEX(Symboles!$H$6:$H$101,MOD(76+$C12+(-1),$B$3)+1)*H12+INDEX(Symboles!$H$6:$H$101,MOD(76+$C12+(0),$B$3)+1)*I12+INDEX(Symboles!$H$6:$H$101,MOD(76+$C12+(1),$B$3)+1)*J12+INDEX(Symboles!$H$6:$H$101,MOD(76+$C12+(2),$B$3)+1)*K12+INDEX(Symboles!$H$6:$H$101,MOD(76+$C12+(3),$B$3)+1)*L12+INDEX(Symboles!$H$6:$H$101,MOD(76+$C12+(4),$B$3)+1)*M12+IF($B$6=0,0,$B$6*NORMSINV(0.000001+0.999998*RAND())))</f>
        <v/>
      </c>
      <c r="GH12" s="30">
        <f>IF(78&gt;$B$3,99,INDEX(Symboles!$H$6:$H$101,MOD(77+$C12+(-4),$B$3)+1)*E12+INDEX(Symboles!$H$6:$H$101,MOD(77+$C12+(-3),$B$3)+1)*F12+INDEX(Symboles!$H$6:$H$101,MOD(77+$C12+(-2),$B$3)+1)*G12+INDEX(Symboles!$H$6:$H$101,MOD(77+$C12+(-1),$B$3)+1)*H12+INDEX(Symboles!$H$6:$H$101,MOD(77+$C12+(0),$B$3)+1)*I12+INDEX(Symboles!$H$6:$H$101,MOD(77+$C12+(1),$B$3)+1)*J12+INDEX(Symboles!$H$6:$H$101,MOD(77+$C12+(2),$B$3)+1)*K12+INDEX(Symboles!$H$6:$H$101,MOD(77+$C12+(3),$B$3)+1)*L12+INDEX(Symboles!$H$6:$H$101,MOD(77+$C12+(4),$B$3)+1)*M12+IF($B$6=0,0,$B$6*NORMSINV(0.000001+0.999998*RAND())))</f>
        <v/>
      </c>
      <c r="GI12" s="30">
        <f>IF(79&gt;$B$3,99,INDEX(Symboles!$H$6:$H$101,MOD(78+$C12+(-4),$B$3)+1)*E12+INDEX(Symboles!$H$6:$H$101,MOD(78+$C12+(-3),$B$3)+1)*F12+INDEX(Symboles!$H$6:$H$101,MOD(78+$C12+(-2),$B$3)+1)*G12+INDEX(Symboles!$H$6:$H$101,MOD(78+$C12+(-1),$B$3)+1)*H12+INDEX(Symboles!$H$6:$H$101,MOD(78+$C12+(0),$B$3)+1)*I12+INDEX(Symboles!$H$6:$H$101,MOD(78+$C12+(1),$B$3)+1)*J12+INDEX(Symboles!$H$6:$H$101,MOD(78+$C12+(2),$B$3)+1)*K12+INDEX(Symboles!$H$6:$H$101,MOD(78+$C12+(3),$B$3)+1)*L12+INDEX(Symboles!$H$6:$H$101,MOD(78+$C12+(4),$B$3)+1)*M12+IF($B$6=0,0,$B$6*NORMSINV(0.000001+0.999998*RAND())))</f>
        <v/>
      </c>
      <c r="GJ12" s="30">
        <f>IF(80&gt;$B$3,99,INDEX(Symboles!$H$6:$H$101,MOD(79+$C12+(-4),$B$3)+1)*E12+INDEX(Symboles!$H$6:$H$101,MOD(79+$C12+(-3),$B$3)+1)*F12+INDEX(Symboles!$H$6:$H$101,MOD(79+$C12+(-2),$B$3)+1)*G12+INDEX(Symboles!$H$6:$H$101,MOD(79+$C12+(-1),$B$3)+1)*H12+INDEX(Symboles!$H$6:$H$101,MOD(79+$C12+(0),$B$3)+1)*I12+INDEX(Symboles!$H$6:$H$101,MOD(79+$C12+(1),$B$3)+1)*J12+INDEX(Symboles!$H$6:$H$101,MOD(79+$C12+(2),$B$3)+1)*K12+INDEX(Symboles!$H$6:$H$101,MOD(79+$C12+(3),$B$3)+1)*L12+INDEX(Symboles!$H$6:$H$101,MOD(79+$C12+(4),$B$3)+1)*M12+IF($B$6=0,0,$B$6*NORMSINV(0.000001+0.999998*RAND())))</f>
        <v/>
      </c>
      <c r="GK12" s="30">
        <f>IF(81&gt;$B$3,99,INDEX(Symboles!$H$6:$H$101,MOD(80+$C12+(-4),$B$3)+1)*E12+INDEX(Symboles!$H$6:$H$101,MOD(80+$C12+(-3),$B$3)+1)*F12+INDEX(Symboles!$H$6:$H$101,MOD(80+$C12+(-2),$B$3)+1)*G12+INDEX(Symboles!$H$6:$H$101,MOD(80+$C12+(-1),$B$3)+1)*H12+INDEX(Symboles!$H$6:$H$101,MOD(80+$C12+(0),$B$3)+1)*I12+INDEX(Symboles!$H$6:$H$101,MOD(80+$C12+(1),$B$3)+1)*J12+INDEX(Symboles!$H$6:$H$101,MOD(80+$C12+(2),$B$3)+1)*K12+INDEX(Symboles!$H$6:$H$101,MOD(80+$C12+(3),$B$3)+1)*L12+INDEX(Symboles!$H$6:$H$101,MOD(80+$C12+(4),$B$3)+1)*M12+IF($B$6=0,0,$B$6*NORMSINV(0.000001+0.999998*RAND())))</f>
        <v/>
      </c>
      <c r="GL12" s="30">
        <f>IF(82&gt;$B$3,99,INDEX(Symboles!$H$6:$H$101,MOD(81+$C12+(-4),$B$3)+1)*E12+INDEX(Symboles!$H$6:$H$101,MOD(81+$C12+(-3),$B$3)+1)*F12+INDEX(Symboles!$H$6:$H$101,MOD(81+$C12+(-2),$B$3)+1)*G12+INDEX(Symboles!$H$6:$H$101,MOD(81+$C12+(-1),$B$3)+1)*H12+INDEX(Symboles!$H$6:$H$101,MOD(81+$C12+(0),$B$3)+1)*I12+INDEX(Symboles!$H$6:$H$101,MOD(81+$C12+(1),$B$3)+1)*J12+INDEX(Symboles!$H$6:$H$101,MOD(81+$C12+(2),$B$3)+1)*K12+INDEX(Symboles!$H$6:$H$101,MOD(81+$C12+(3),$B$3)+1)*L12+INDEX(Symboles!$H$6:$H$101,MOD(81+$C12+(4),$B$3)+1)*M12+IF($B$6=0,0,$B$6*NORMSINV(0.000001+0.999998*RAND())))</f>
        <v/>
      </c>
      <c r="GM12" s="30">
        <f>IF(83&gt;$B$3,99,INDEX(Symboles!$H$6:$H$101,MOD(82+$C12+(-4),$B$3)+1)*E12+INDEX(Symboles!$H$6:$H$101,MOD(82+$C12+(-3),$B$3)+1)*F12+INDEX(Symboles!$H$6:$H$101,MOD(82+$C12+(-2),$B$3)+1)*G12+INDEX(Symboles!$H$6:$H$101,MOD(82+$C12+(-1),$B$3)+1)*H12+INDEX(Symboles!$H$6:$H$101,MOD(82+$C12+(0),$B$3)+1)*I12+INDEX(Symboles!$H$6:$H$101,MOD(82+$C12+(1),$B$3)+1)*J12+INDEX(Symboles!$H$6:$H$101,MOD(82+$C12+(2),$B$3)+1)*K12+INDEX(Symboles!$H$6:$H$101,MOD(82+$C12+(3),$B$3)+1)*L12+INDEX(Symboles!$H$6:$H$101,MOD(82+$C12+(4),$B$3)+1)*M12+IF($B$6=0,0,$B$6*NORMSINV(0.000001+0.999998*RAND())))</f>
        <v/>
      </c>
      <c r="GN12" s="30">
        <f>IF(84&gt;$B$3,99,INDEX(Symboles!$H$6:$H$101,MOD(83+$C12+(-4),$B$3)+1)*E12+INDEX(Symboles!$H$6:$H$101,MOD(83+$C12+(-3),$B$3)+1)*F12+INDEX(Symboles!$H$6:$H$101,MOD(83+$C12+(-2),$B$3)+1)*G12+INDEX(Symboles!$H$6:$H$101,MOD(83+$C12+(-1),$B$3)+1)*H12+INDEX(Symboles!$H$6:$H$101,MOD(83+$C12+(0),$B$3)+1)*I12+INDEX(Symboles!$H$6:$H$101,MOD(83+$C12+(1),$B$3)+1)*J12+INDEX(Symboles!$H$6:$H$101,MOD(83+$C12+(2),$B$3)+1)*K12+INDEX(Symboles!$H$6:$H$101,MOD(83+$C12+(3),$B$3)+1)*L12+INDEX(Symboles!$H$6:$H$101,MOD(83+$C12+(4),$B$3)+1)*M12+IF($B$6=0,0,$B$6*NORMSINV(0.000001+0.999998*RAND())))</f>
        <v/>
      </c>
      <c r="GO12" s="30">
        <f>IF(85&gt;$B$3,99,INDEX(Symboles!$H$6:$H$101,MOD(84+$C12+(-4),$B$3)+1)*E12+INDEX(Symboles!$H$6:$H$101,MOD(84+$C12+(-3),$B$3)+1)*F12+INDEX(Symboles!$H$6:$H$101,MOD(84+$C12+(-2),$B$3)+1)*G12+INDEX(Symboles!$H$6:$H$101,MOD(84+$C12+(-1),$B$3)+1)*H12+INDEX(Symboles!$H$6:$H$101,MOD(84+$C12+(0),$B$3)+1)*I12+INDEX(Symboles!$H$6:$H$101,MOD(84+$C12+(1),$B$3)+1)*J12+INDEX(Symboles!$H$6:$H$101,MOD(84+$C12+(2),$B$3)+1)*K12+INDEX(Symboles!$H$6:$H$101,MOD(84+$C12+(3),$B$3)+1)*L12+INDEX(Symboles!$H$6:$H$101,MOD(84+$C12+(4),$B$3)+1)*M12+IF($B$6=0,0,$B$6*NORMSINV(0.000001+0.999998*RAND())))</f>
        <v/>
      </c>
      <c r="GP12" s="30">
        <f>IF(86&gt;$B$3,99,INDEX(Symboles!$H$6:$H$101,MOD(85+$C12+(-4),$B$3)+1)*E12+INDEX(Symboles!$H$6:$H$101,MOD(85+$C12+(-3),$B$3)+1)*F12+INDEX(Symboles!$H$6:$H$101,MOD(85+$C12+(-2),$B$3)+1)*G12+INDEX(Symboles!$H$6:$H$101,MOD(85+$C12+(-1),$B$3)+1)*H12+INDEX(Symboles!$H$6:$H$101,MOD(85+$C12+(0),$B$3)+1)*I12+INDEX(Symboles!$H$6:$H$101,MOD(85+$C12+(1),$B$3)+1)*J12+INDEX(Symboles!$H$6:$H$101,MOD(85+$C12+(2),$B$3)+1)*K12+INDEX(Symboles!$H$6:$H$101,MOD(85+$C12+(3),$B$3)+1)*L12+INDEX(Symboles!$H$6:$H$101,MOD(85+$C12+(4),$B$3)+1)*M12+IF($B$6=0,0,$B$6*NORMSINV(0.000001+0.999998*RAND())))</f>
        <v/>
      </c>
      <c r="GQ12" s="30">
        <f>IF(87&gt;$B$3,99,INDEX(Symboles!$H$6:$H$101,MOD(86+$C12+(-4),$B$3)+1)*E12+INDEX(Symboles!$H$6:$H$101,MOD(86+$C12+(-3),$B$3)+1)*F12+INDEX(Symboles!$H$6:$H$101,MOD(86+$C12+(-2),$B$3)+1)*G12+INDEX(Symboles!$H$6:$H$101,MOD(86+$C12+(-1),$B$3)+1)*H12+INDEX(Symboles!$H$6:$H$101,MOD(86+$C12+(0),$B$3)+1)*I12+INDEX(Symboles!$H$6:$H$101,MOD(86+$C12+(1),$B$3)+1)*J12+INDEX(Symboles!$H$6:$H$101,MOD(86+$C12+(2),$B$3)+1)*K12+INDEX(Symboles!$H$6:$H$101,MOD(86+$C12+(3),$B$3)+1)*L12+INDEX(Symboles!$H$6:$H$101,MOD(86+$C12+(4),$B$3)+1)*M12+IF($B$6=0,0,$B$6*NORMSINV(0.000001+0.999998*RAND())))</f>
        <v/>
      </c>
      <c r="GR12" s="30">
        <f>IF(88&gt;$B$3,99,INDEX(Symboles!$H$6:$H$101,MOD(87+$C12+(-4),$B$3)+1)*E12+INDEX(Symboles!$H$6:$H$101,MOD(87+$C12+(-3),$B$3)+1)*F12+INDEX(Symboles!$H$6:$H$101,MOD(87+$C12+(-2),$B$3)+1)*G12+INDEX(Symboles!$H$6:$H$101,MOD(87+$C12+(-1),$B$3)+1)*H12+INDEX(Symboles!$H$6:$H$101,MOD(87+$C12+(0),$B$3)+1)*I12+INDEX(Symboles!$H$6:$H$101,MOD(87+$C12+(1),$B$3)+1)*J12+INDEX(Symboles!$H$6:$H$101,MOD(87+$C12+(2),$B$3)+1)*K12+INDEX(Symboles!$H$6:$H$101,MOD(87+$C12+(3),$B$3)+1)*L12+INDEX(Symboles!$H$6:$H$101,MOD(87+$C12+(4),$B$3)+1)*M12+IF($B$6=0,0,$B$6*NORMSINV(0.000001+0.999998*RAND())))</f>
        <v/>
      </c>
      <c r="GS12" s="30">
        <f>IF(89&gt;$B$3,99,INDEX(Symboles!$H$6:$H$101,MOD(88+$C12+(-4),$B$3)+1)*E12+INDEX(Symboles!$H$6:$H$101,MOD(88+$C12+(-3),$B$3)+1)*F12+INDEX(Symboles!$H$6:$H$101,MOD(88+$C12+(-2),$B$3)+1)*G12+INDEX(Symboles!$H$6:$H$101,MOD(88+$C12+(-1),$B$3)+1)*H12+INDEX(Symboles!$H$6:$H$101,MOD(88+$C12+(0),$B$3)+1)*I12+INDEX(Symboles!$H$6:$H$101,MOD(88+$C12+(1),$B$3)+1)*J12+INDEX(Symboles!$H$6:$H$101,MOD(88+$C12+(2),$B$3)+1)*K12+INDEX(Symboles!$H$6:$H$101,MOD(88+$C12+(3),$B$3)+1)*L12+INDEX(Symboles!$H$6:$H$101,MOD(88+$C12+(4),$B$3)+1)*M12+IF($B$6=0,0,$B$6*NORMSINV(0.000001+0.999998*RAND())))</f>
        <v/>
      </c>
      <c r="GT12" s="30">
        <f>IF(90&gt;$B$3,99,INDEX(Symboles!$H$6:$H$101,MOD(89+$C12+(-4),$B$3)+1)*E12+INDEX(Symboles!$H$6:$H$101,MOD(89+$C12+(-3),$B$3)+1)*F12+INDEX(Symboles!$H$6:$H$101,MOD(89+$C12+(-2),$B$3)+1)*G12+INDEX(Symboles!$H$6:$H$101,MOD(89+$C12+(-1),$B$3)+1)*H12+INDEX(Symboles!$H$6:$H$101,MOD(89+$C12+(0),$B$3)+1)*I12+INDEX(Symboles!$H$6:$H$101,MOD(89+$C12+(1),$B$3)+1)*J12+INDEX(Symboles!$H$6:$H$101,MOD(89+$C12+(2),$B$3)+1)*K12+INDEX(Symboles!$H$6:$H$101,MOD(89+$C12+(3),$B$3)+1)*L12+INDEX(Symboles!$H$6:$H$101,MOD(89+$C12+(4),$B$3)+1)*M12+IF($B$6=0,0,$B$6*NORMSINV(0.000001+0.999998*RAND())))</f>
        <v/>
      </c>
      <c r="GU12" s="30">
        <f>IF(91&gt;$B$3,99,INDEX(Symboles!$H$6:$H$101,MOD(90+$C12+(-4),$B$3)+1)*E12+INDEX(Symboles!$H$6:$H$101,MOD(90+$C12+(-3),$B$3)+1)*F12+INDEX(Symboles!$H$6:$H$101,MOD(90+$C12+(-2),$B$3)+1)*G12+INDEX(Symboles!$H$6:$H$101,MOD(90+$C12+(-1),$B$3)+1)*H12+INDEX(Symboles!$H$6:$H$101,MOD(90+$C12+(0),$B$3)+1)*I12+INDEX(Symboles!$H$6:$H$101,MOD(90+$C12+(1),$B$3)+1)*J12+INDEX(Symboles!$H$6:$H$101,MOD(90+$C12+(2),$B$3)+1)*K12+INDEX(Symboles!$H$6:$H$101,MOD(90+$C12+(3),$B$3)+1)*L12+INDEX(Symboles!$H$6:$H$101,MOD(90+$C12+(4),$B$3)+1)*M12+IF($B$6=0,0,$B$6*NORMSINV(0.000001+0.999998*RAND())))</f>
        <v/>
      </c>
      <c r="GV12" s="30">
        <f>IF(92&gt;$B$3,99,INDEX(Symboles!$H$6:$H$101,MOD(91+$C12+(-4),$B$3)+1)*E12+INDEX(Symboles!$H$6:$H$101,MOD(91+$C12+(-3),$B$3)+1)*F12+INDEX(Symboles!$H$6:$H$101,MOD(91+$C12+(-2),$B$3)+1)*G12+INDEX(Symboles!$H$6:$H$101,MOD(91+$C12+(-1),$B$3)+1)*H12+INDEX(Symboles!$H$6:$H$101,MOD(91+$C12+(0),$B$3)+1)*I12+INDEX(Symboles!$H$6:$H$101,MOD(91+$C12+(1),$B$3)+1)*J12+INDEX(Symboles!$H$6:$H$101,MOD(91+$C12+(2),$B$3)+1)*K12+INDEX(Symboles!$H$6:$H$101,MOD(91+$C12+(3),$B$3)+1)*L12+INDEX(Symboles!$H$6:$H$101,MOD(91+$C12+(4),$B$3)+1)*M12+IF($B$6=0,0,$B$6*NORMSINV(0.000001+0.999998*RAND())))</f>
        <v/>
      </c>
      <c r="GW12" s="30">
        <f>IF(93&gt;$B$3,99,INDEX(Symboles!$H$6:$H$101,MOD(92+$C12+(-4),$B$3)+1)*E12+INDEX(Symboles!$H$6:$H$101,MOD(92+$C12+(-3),$B$3)+1)*F12+INDEX(Symboles!$H$6:$H$101,MOD(92+$C12+(-2),$B$3)+1)*G12+INDEX(Symboles!$H$6:$H$101,MOD(92+$C12+(-1),$B$3)+1)*H12+INDEX(Symboles!$H$6:$H$101,MOD(92+$C12+(0),$B$3)+1)*I12+INDEX(Symboles!$H$6:$H$101,MOD(92+$C12+(1),$B$3)+1)*J12+INDEX(Symboles!$H$6:$H$101,MOD(92+$C12+(2),$B$3)+1)*K12+INDEX(Symboles!$H$6:$H$101,MOD(92+$C12+(3),$B$3)+1)*L12+INDEX(Symboles!$H$6:$H$101,MOD(92+$C12+(4),$B$3)+1)*M12+IF($B$6=0,0,$B$6*NORMSINV(0.000001+0.999998*RAND())))</f>
        <v/>
      </c>
      <c r="GX12" s="30">
        <f>IF(94&gt;$B$3,99,INDEX(Symboles!$H$6:$H$101,MOD(93+$C12+(-4),$B$3)+1)*E12+INDEX(Symboles!$H$6:$H$101,MOD(93+$C12+(-3),$B$3)+1)*F12+INDEX(Symboles!$H$6:$H$101,MOD(93+$C12+(-2),$B$3)+1)*G12+INDEX(Symboles!$H$6:$H$101,MOD(93+$C12+(-1),$B$3)+1)*H12+INDEX(Symboles!$H$6:$H$101,MOD(93+$C12+(0),$B$3)+1)*I12+INDEX(Symboles!$H$6:$H$101,MOD(93+$C12+(1),$B$3)+1)*J12+INDEX(Symboles!$H$6:$H$101,MOD(93+$C12+(2),$B$3)+1)*K12+INDEX(Symboles!$H$6:$H$101,MOD(93+$C12+(3),$B$3)+1)*L12+INDEX(Symboles!$H$6:$H$101,MOD(93+$C12+(4),$B$3)+1)*M12+IF($B$6=0,0,$B$6*NORMSINV(0.000001+0.999998*RAND())))</f>
        <v/>
      </c>
      <c r="GY12" s="30">
        <f>IF(95&gt;$B$3,99,INDEX(Symboles!$H$6:$H$101,MOD(94+$C12+(-4),$B$3)+1)*E12+INDEX(Symboles!$H$6:$H$101,MOD(94+$C12+(-3),$B$3)+1)*F12+INDEX(Symboles!$H$6:$H$101,MOD(94+$C12+(-2),$B$3)+1)*G12+INDEX(Symboles!$H$6:$H$101,MOD(94+$C12+(-1),$B$3)+1)*H12+INDEX(Symboles!$H$6:$H$101,MOD(94+$C12+(0),$B$3)+1)*I12+INDEX(Symboles!$H$6:$H$101,MOD(94+$C12+(1),$B$3)+1)*J12+INDEX(Symboles!$H$6:$H$101,MOD(94+$C12+(2),$B$3)+1)*K12+INDEX(Symboles!$H$6:$H$101,MOD(94+$C12+(3),$B$3)+1)*L12+INDEX(Symboles!$H$6:$H$101,MOD(94+$C12+(4),$B$3)+1)*M12+IF($B$6=0,0,$B$6*NORMSINV(0.000001+0.999998*RAND())))</f>
        <v/>
      </c>
      <c r="GZ12" s="30">
        <f>IF(96&gt;$B$3,99,INDEX(Symboles!$H$6:$H$101,MOD(95+$C12+(-4),$B$3)+1)*E12+INDEX(Symboles!$H$6:$H$101,MOD(95+$C12+(-3),$B$3)+1)*F12+INDEX(Symboles!$H$6:$H$101,MOD(95+$C12+(-2),$B$3)+1)*G12+INDEX(Symboles!$H$6:$H$101,MOD(95+$C12+(-1),$B$3)+1)*H12+INDEX(Symboles!$H$6:$H$101,MOD(95+$C12+(0),$B$3)+1)*I12+INDEX(Symboles!$H$6:$H$101,MOD(95+$C12+(1),$B$3)+1)*J12+INDEX(Symboles!$H$6:$H$101,MOD(95+$C12+(2),$B$3)+1)*K12+INDEX(Symboles!$H$6:$H$101,MOD(95+$C12+(3),$B$3)+1)*L12+INDEX(Symboles!$H$6:$H$101,MOD(95+$C12+(4),$B$3)+1)*M12+IF($B$6=0,0,$B$6*NORMSINV(0.000001+0.999998*RAND())))</f>
        <v/>
      </c>
    </row>
    <row r="13">
      <c r="A13" s="28" t="n">
        <v>3</v>
      </c>
      <c r="B13" s="28" t="n">
        <v>-0.8125</v>
      </c>
      <c r="C13" s="28" t="n">
        <v>-1</v>
      </c>
      <c r="D13" s="28" t="n">
        <v>11</v>
      </c>
      <c r="E13" s="29">
        <f>IF($B$4=1,0,IF(ABS(1-(2*$B$5*4.1875)^2)&lt;0.000001,PI()/4*SIN(PI()/(2*$B$5))/(PI()/(2*$B$5)),SIN(PI()*4.1875)/(PI()*4.1875)*COS(PI()*$B$5*4.1875)/(1-(2*$B$5*4.1875)^2)))</f>
        <v/>
      </c>
      <c r="F13" s="29">
        <f>IF($B$4=1,0,IF(ABS(1-(2*$B$5*3.1875)^2)&lt;0.000001,PI()/4*SIN(PI()/(2*$B$5))/(PI()/(2*$B$5)),SIN(PI()*3.1875)/(PI()*3.1875)*COS(PI()*$B$5*3.1875)/(1-(2*$B$5*3.1875)^2)))</f>
        <v/>
      </c>
      <c r="G13" s="29">
        <f>IF($B$4=1,0,IF(ABS(1-(2*$B$5*2.1875)^2)&lt;0.000001,PI()/4*SIN(PI()/(2*$B$5))/(PI()/(2*$B$5)),SIN(PI()*2.1875)/(PI()*2.1875)*COS(PI()*$B$5*2.1875)/(1-(2*$B$5*2.1875)^2)))</f>
        <v/>
      </c>
      <c r="H13" s="29">
        <f>IF($B$4=1,0,IF(ABS(1-(2*$B$5*1.1875)^2)&lt;0.000001,PI()/4*SIN(PI()/(2*$B$5))/(PI()/(2*$B$5)),SIN(PI()*1.1875)/(PI()*1.1875)*COS(PI()*$B$5*1.1875)/(1-(2*$B$5*1.1875)^2)))</f>
        <v/>
      </c>
      <c r="I13" s="29">
        <f>IF($B$4=1,1,IF(ABS(1-(2*$B$5*0.1875)^2)&lt;0.000001,PI()/4*SIN(PI()/(2*$B$5))/(PI()/(2*$B$5)),SIN(PI()*0.1875)/(PI()*0.1875)*COS(PI()*$B$5*0.1875)/(1-(2*$B$5*0.1875)^2)))</f>
        <v/>
      </c>
      <c r="J13" s="29">
        <f>IF($B$4=1,0,IF(ABS(1-(2*$B$5*-0.8125)^2)&lt;0.000001,PI()/4*SIN(PI()/(2*$B$5))/(PI()/(2*$B$5)),SIN(PI()*-0.8125)/(PI()*-0.8125)*COS(PI()*$B$5*-0.8125)/(1-(2*$B$5*-0.8125)^2)))</f>
        <v/>
      </c>
      <c r="K13" s="29">
        <f>IF($B$4=1,0,IF(ABS(1-(2*$B$5*-1.8125)^2)&lt;0.000001,PI()/4*SIN(PI()/(2*$B$5))/(PI()/(2*$B$5)),SIN(PI()*-1.8125)/(PI()*-1.8125)*COS(PI()*$B$5*-1.8125)/(1-(2*$B$5*-1.8125)^2)))</f>
        <v/>
      </c>
      <c r="L13" s="29">
        <f>IF($B$4=1,0,IF(ABS(1-(2*$B$5*-2.8125)^2)&lt;0.000001,PI()/4*SIN(PI()/(2*$B$5))/(PI()/(2*$B$5)),SIN(PI()*-2.8125)/(PI()*-2.8125)*COS(PI()*$B$5*-2.8125)/(1-(2*$B$5*-2.8125)^2)))</f>
        <v/>
      </c>
      <c r="M13" s="29">
        <f>IF($B$4=1,0,IF(ABS(1-(2*$B$5*-3.8125)^2)&lt;0.000001,PI()/4*SIN(PI()/(2*$B$5))/(PI()/(2*$B$5)),SIN(PI()*-3.8125)/(PI()*-3.8125)*COS(PI()*$B$5*-3.8125)/(1-(2*$B$5*-3.8125)^2)))</f>
        <v/>
      </c>
      <c r="P13" s="30">
        <f>IF(1&gt;$B$3,99,INDEX(Symboles!$G$6:$G$101,MOD(0+$C13+(-4),$B$3)+1)*E13+INDEX(Symboles!$G$6:$G$101,MOD(0+$C13+(-3),$B$3)+1)*F13+INDEX(Symboles!$G$6:$G$101,MOD(0+$C13+(-2),$B$3)+1)*G13+INDEX(Symboles!$G$6:$G$101,MOD(0+$C13+(-1),$B$3)+1)*H13+INDEX(Symboles!$G$6:$G$101,MOD(0+$C13+(0),$B$3)+1)*I13+INDEX(Symboles!$G$6:$G$101,MOD(0+$C13+(1),$B$3)+1)*J13+INDEX(Symboles!$G$6:$G$101,MOD(0+$C13+(2),$B$3)+1)*K13+INDEX(Symboles!$G$6:$G$101,MOD(0+$C13+(3),$B$3)+1)*L13+INDEX(Symboles!$G$6:$G$101,MOD(0+$C13+(4),$B$3)+1)*M13+IF($B$6=0,0,$B$6*NORMSINV(0.000001+0.999998*RAND())))</f>
        <v/>
      </c>
      <c r="Q13" s="30">
        <f>IF(2&gt;$B$3,99,INDEX(Symboles!$G$6:$G$101,MOD(1+$C13+(-4),$B$3)+1)*E13+INDEX(Symboles!$G$6:$G$101,MOD(1+$C13+(-3),$B$3)+1)*F13+INDEX(Symboles!$G$6:$G$101,MOD(1+$C13+(-2),$B$3)+1)*G13+INDEX(Symboles!$G$6:$G$101,MOD(1+$C13+(-1),$B$3)+1)*H13+INDEX(Symboles!$G$6:$G$101,MOD(1+$C13+(0),$B$3)+1)*I13+INDEX(Symboles!$G$6:$G$101,MOD(1+$C13+(1),$B$3)+1)*J13+INDEX(Symboles!$G$6:$G$101,MOD(1+$C13+(2),$B$3)+1)*K13+INDEX(Symboles!$G$6:$G$101,MOD(1+$C13+(3),$B$3)+1)*L13+INDEX(Symboles!$G$6:$G$101,MOD(1+$C13+(4),$B$3)+1)*M13+IF($B$6=0,0,$B$6*NORMSINV(0.000001+0.999998*RAND())))</f>
        <v/>
      </c>
      <c r="R13" s="30">
        <f>IF(3&gt;$B$3,99,INDEX(Symboles!$G$6:$G$101,MOD(2+$C13+(-4),$B$3)+1)*E13+INDEX(Symboles!$G$6:$G$101,MOD(2+$C13+(-3),$B$3)+1)*F13+INDEX(Symboles!$G$6:$G$101,MOD(2+$C13+(-2),$B$3)+1)*G13+INDEX(Symboles!$G$6:$G$101,MOD(2+$C13+(-1),$B$3)+1)*H13+INDEX(Symboles!$G$6:$G$101,MOD(2+$C13+(0),$B$3)+1)*I13+INDEX(Symboles!$G$6:$G$101,MOD(2+$C13+(1),$B$3)+1)*J13+INDEX(Symboles!$G$6:$G$101,MOD(2+$C13+(2),$B$3)+1)*K13+INDEX(Symboles!$G$6:$G$101,MOD(2+$C13+(3),$B$3)+1)*L13+INDEX(Symboles!$G$6:$G$101,MOD(2+$C13+(4),$B$3)+1)*M13+IF($B$6=0,0,$B$6*NORMSINV(0.000001+0.999998*RAND())))</f>
        <v/>
      </c>
      <c r="S13" s="30">
        <f>IF(4&gt;$B$3,99,INDEX(Symboles!$G$6:$G$101,MOD(3+$C13+(-4),$B$3)+1)*E13+INDEX(Symboles!$G$6:$G$101,MOD(3+$C13+(-3),$B$3)+1)*F13+INDEX(Symboles!$G$6:$G$101,MOD(3+$C13+(-2),$B$3)+1)*G13+INDEX(Symboles!$G$6:$G$101,MOD(3+$C13+(-1),$B$3)+1)*H13+INDEX(Symboles!$G$6:$G$101,MOD(3+$C13+(0),$B$3)+1)*I13+INDEX(Symboles!$G$6:$G$101,MOD(3+$C13+(1),$B$3)+1)*J13+INDEX(Symboles!$G$6:$G$101,MOD(3+$C13+(2),$B$3)+1)*K13+INDEX(Symboles!$G$6:$G$101,MOD(3+$C13+(3),$B$3)+1)*L13+INDEX(Symboles!$G$6:$G$101,MOD(3+$C13+(4),$B$3)+1)*M13+IF($B$6=0,0,$B$6*NORMSINV(0.000001+0.999998*RAND())))</f>
        <v/>
      </c>
      <c r="T13" s="30">
        <f>IF(5&gt;$B$3,99,INDEX(Symboles!$G$6:$G$101,MOD(4+$C13+(-4),$B$3)+1)*E13+INDEX(Symboles!$G$6:$G$101,MOD(4+$C13+(-3),$B$3)+1)*F13+INDEX(Symboles!$G$6:$G$101,MOD(4+$C13+(-2),$B$3)+1)*G13+INDEX(Symboles!$G$6:$G$101,MOD(4+$C13+(-1),$B$3)+1)*H13+INDEX(Symboles!$G$6:$G$101,MOD(4+$C13+(0),$B$3)+1)*I13+INDEX(Symboles!$G$6:$G$101,MOD(4+$C13+(1),$B$3)+1)*J13+INDEX(Symboles!$G$6:$G$101,MOD(4+$C13+(2),$B$3)+1)*K13+INDEX(Symboles!$G$6:$G$101,MOD(4+$C13+(3),$B$3)+1)*L13+INDEX(Symboles!$G$6:$G$101,MOD(4+$C13+(4),$B$3)+1)*M13+IF($B$6=0,0,$B$6*NORMSINV(0.000001+0.999998*RAND())))</f>
        <v/>
      </c>
      <c r="U13" s="30">
        <f>IF(6&gt;$B$3,99,INDEX(Symboles!$G$6:$G$101,MOD(5+$C13+(-4),$B$3)+1)*E13+INDEX(Symboles!$G$6:$G$101,MOD(5+$C13+(-3),$B$3)+1)*F13+INDEX(Symboles!$G$6:$G$101,MOD(5+$C13+(-2),$B$3)+1)*G13+INDEX(Symboles!$G$6:$G$101,MOD(5+$C13+(-1),$B$3)+1)*H13+INDEX(Symboles!$G$6:$G$101,MOD(5+$C13+(0),$B$3)+1)*I13+INDEX(Symboles!$G$6:$G$101,MOD(5+$C13+(1),$B$3)+1)*J13+INDEX(Symboles!$G$6:$G$101,MOD(5+$C13+(2),$B$3)+1)*K13+INDEX(Symboles!$G$6:$G$101,MOD(5+$C13+(3),$B$3)+1)*L13+INDEX(Symboles!$G$6:$G$101,MOD(5+$C13+(4),$B$3)+1)*M13+IF($B$6=0,0,$B$6*NORMSINV(0.000001+0.999998*RAND())))</f>
        <v/>
      </c>
      <c r="V13" s="30">
        <f>IF(7&gt;$B$3,99,INDEX(Symboles!$G$6:$G$101,MOD(6+$C13+(-4),$B$3)+1)*E13+INDEX(Symboles!$G$6:$G$101,MOD(6+$C13+(-3),$B$3)+1)*F13+INDEX(Symboles!$G$6:$G$101,MOD(6+$C13+(-2),$B$3)+1)*G13+INDEX(Symboles!$G$6:$G$101,MOD(6+$C13+(-1),$B$3)+1)*H13+INDEX(Symboles!$G$6:$G$101,MOD(6+$C13+(0),$B$3)+1)*I13+INDEX(Symboles!$G$6:$G$101,MOD(6+$C13+(1),$B$3)+1)*J13+INDEX(Symboles!$G$6:$G$101,MOD(6+$C13+(2),$B$3)+1)*K13+INDEX(Symboles!$G$6:$G$101,MOD(6+$C13+(3),$B$3)+1)*L13+INDEX(Symboles!$G$6:$G$101,MOD(6+$C13+(4),$B$3)+1)*M13+IF($B$6=0,0,$B$6*NORMSINV(0.000001+0.999998*RAND())))</f>
        <v/>
      </c>
      <c r="W13" s="30">
        <f>IF(8&gt;$B$3,99,INDEX(Symboles!$G$6:$G$101,MOD(7+$C13+(-4),$B$3)+1)*E13+INDEX(Symboles!$G$6:$G$101,MOD(7+$C13+(-3),$B$3)+1)*F13+INDEX(Symboles!$G$6:$G$101,MOD(7+$C13+(-2),$B$3)+1)*G13+INDEX(Symboles!$G$6:$G$101,MOD(7+$C13+(-1),$B$3)+1)*H13+INDEX(Symboles!$G$6:$G$101,MOD(7+$C13+(0),$B$3)+1)*I13+INDEX(Symboles!$G$6:$G$101,MOD(7+$C13+(1),$B$3)+1)*J13+INDEX(Symboles!$G$6:$G$101,MOD(7+$C13+(2),$B$3)+1)*K13+INDEX(Symboles!$G$6:$G$101,MOD(7+$C13+(3),$B$3)+1)*L13+INDEX(Symboles!$G$6:$G$101,MOD(7+$C13+(4),$B$3)+1)*M13+IF($B$6=0,0,$B$6*NORMSINV(0.000001+0.999998*RAND())))</f>
        <v/>
      </c>
      <c r="X13" s="30">
        <f>IF(9&gt;$B$3,99,INDEX(Symboles!$G$6:$G$101,MOD(8+$C13+(-4),$B$3)+1)*E13+INDEX(Symboles!$G$6:$G$101,MOD(8+$C13+(-3),$B$3)+1)*F13+INDEX(Symboles!$G$6:$G$101,MOD(8+$C13+(-2),$B$3)+1)*G13+INDEX(Symboles!$G$6:$G$101,MOD(8+$C13+(-1),$B$3)+1)*H13+INDEX(Symboles!$G$6:$G$101,MOD(8+$C13+(0),$B$3)+1)*I13+INDEX(Symboles!$G$6:$G$101,MOD(8+$C13+(1),$B$3)+1)*J13+INDEX(Symboles!$G$6:$G$101,MOD(8+$C13+(2),$B$3)+1)*K13+INDEX(Symboles!$G$6:$G$101,MOD(8+$C13+(3),$B$3)+1)*L13+INDEX(Symboles!$G$6:$G$101,MOD(8+$C13+(4),$B$3)+1)*M13+IF($B$6=0,0,$B$6*NORMSINV(0.000001+0.999998*RAND())))</f>
        <v/>
      </c>
      <c r="Y13" s="30">
        <f>IF(10&gt;$B$3,99,INDEX(Symboles!$G$6:$G$101,MOD(9+$C13+(-4),$B$3)+1)*E13+INDEX(Symboles!$G$6:$G$101,MOD(9+$C13+(-3),$B$3)+1)*F13+INDEX(Symboles!$G$6:$G$101,MOD(9+$C13+(-2),$B$3)+1)*G13+INDEX(Symboles!$G$6:$G$101,MOD(9+$C13+(-1),$B$3)+1)*H13+INDEX(Symboles!$G$6:$G$101,MOD(9+$C13+(0),$B$3)+1)*I13+INDEX(Symboles!$G$6:$G$101,MOD(9+$C13+(1),$B$3)+1)*J13+INDEX(Symboles!$G$6:$G$101,MOD(9+$C13+(2),$B$3)+1)*K13+INDEX(Symboles!$G$6:$G$101,MOD(9+$C13+(3),$B$3)+1)*L13+INDEX(Symboles!$G$6:$G$101,MOD(9+$C13+(4),$B$3)+1)*M13+IF($B$6=0,0,$B$6*NORMSINV(0.000001+0.999998*RAND())))</f>
        <v/>
      </c>
      <c r="Z13" s="30">
        <f>IF(11&gt;$B$3,99,INDEX(Symboles!$G$6:$G$101,MOD(10+$C13+(-4),$B$3)+1)*E13+INDEX(Symboles!$G$6:$G$101,MOD(10+$C13+(-3),$B$3)+1)*F13+INDEX(Symboles!$G$6:$G$101,MOD(10+$C13+(-2),$B$3)+1)*G13+INDEX(Symboles!$G$6:$G$101,MOD(10+$C13+(-1),$B$3)+1)*H13+INDEX(Symboles!$G$6:$G$101,MOD(10+$C13+(0),$B$3)+1)*I13+INDEX(Symboles!$G$6:$G$101,MOD(10+$C13+(1),$B$3)+1)*J13+INDEX(Symboles!$G$6:$G$101,MOD(10+$C13+(2),$B$3)+1)*K13+INDEX(Symboles!$G$6:$G$101,MOD(10+$C13+(3),$B$3)+1)*L13+INDEX(Symboles!$G$6:$G$101,MOD(10+$C13+(4),$B$3)+1)*M13+IF($B$6=0,0,$B$6*NORMSINV(0.000001+0.999998*RAND())))</f>
        <v/>
      </c>
      <c r="AA13" s="30">
        <f>IF(12&gt;$B$3,99,INDEX(Symboles!$G$6:$G$101,MOD(11+$C13+(-4),$B$3)+1)*E13+INDEX(Symboles!$G$6:$G$101,MOD(11+$C13+(-3),$B$3)+1)*F13+INDEX(Symboles!$G$6:$G$101,MOD(11+$C13+(-2),$B$3)+1)*G13+INDEX(Symboles!$G$6:$G$101,MOD(11+$C13+(-1),$B$3)+1)*H13+INDEX(Symboles!$G$6:$G$101,MOD(11+$C13+(0),$B$3)+1)*I13+INDEX(Symboles!$G$6:$G$101,MOD(11+$C13+(1),$B$3)+1)*J13+INDEX(Symboles!$G$6:$G$101,MOD(11+$C13+(2),$B$3)+1)*K13+INDEX(Symboles!$G$6:$G$101,MOD(11+$C13+(3),$B$3)+1)*L13+INDEX(Symboles!$G$6:$G$101,MOD(11+$C13+(4),$B$3)+1)*M13+IF($B$6=0,0,$B$6*NORMSINV(0.000001+0.999998*RAND())))</f>
        <v/>
      </c>
      <c r="AB13" s="30">
        <f>IF(13&gt;$B$3,99,INDEX(Symboles!$G$6:$G$101,MOD(12+$C13+(-4),$B$3)+1)*E13+INDEX(Symboles!$G$6:$G$101,MOD(12+$C13+(-3),$B$3)+1)*F13+INDEX(Symboles!$G$6:$G$101,MOD(12+$C13+(-2),$B$3)+1)*G13+INDEX(Symboles!$G$6:$G$101,MOD(12+$C13+(-1),$B$3)+1)*H13+INDEX(Symboles!$G$6:$G$101,MOD(12+$C13+(0),$B$3)+1)*I13+INDEX(Symboles!$G$6:$G$101,MOD(12+$C13+(1),$B$3)+1)*J13+INDEX(Symboles!$G$6:$G$101,MOD(12+$C13+(2),$B$3)+1)*K13+INDEX(Symboles!$G$6:$G$101,MOD(12+$C13+(3),$B$3)+1)*L13+INDEX(Symboles!$G$6:$G$101,MOD(12+$C13+(4),$B$3)+1)*M13+IF($B$6=0,0,$B$6*NORMSINV(0.000001+0.999998*RAND())))</f>
        <v/>
      </c>
      <c r="AC13" s="30">
        <f>IF(14&gt;$B$3,99,INDEX(Symboles!$G$6:$G$101,MOD(13+$C13+(-4),$B$3)+1)*E13+INDEX(Symboles!$G$6:$G$101,MOD(13+$C13+(-3),$B$3)+1)*F13+INDEX(Symboles!$G$6:$G$101,MOD(13+$C13+(-2),$B$3)+1)*G13+INDEX(Symboles!$G$6:$G$101,MOD(13+$C13+(-1),$B$3)+1)*H13+INDEX(Symboles!$G$6:$G$101,MOD(13+$C13+(0),$B$3)+1)*I13+INDEX(Symboles!$G$6:$G$101,MOD(13+$C13+(1),$B$3)+1)*J13+INDEX(Symboles!$G$6:$G$101,MOD(13+$C13+(2),$B$3)+1)*K13+INDEX(Symboles!$G$6:$G$101,MOD(13+$C13+(3),$B$3)+1)*L13+INDEX(Symboles!$G$6:$G$101,MOD(13+$C13+(4),$B$3)+1)*M13+IF($B$6=0,0,$B$6*NORMSINV(0.000001+0.999998*RAND())))</f>
        <v/>
      </c>
      <c r="AD13" s="30">
        <f>IF(15&gt;$B$3,99,INDEX(Symboles!$G$6:$G$101,MOD(14+$C13+(-4),$B$3)+1)*E13+INDEX(Symboles!$G$6:$G$101,MOD(14+$C13+(-3),$B$3)+1)*F13+INDEX(Symboles!$G$6:$G$101,MOD(14+$C13+(-2),$B$3)+1)*G13+INDEX(Symboles!$G$6:$G$101,MOD(14+$C13+(-1),$B$3)+1)*H13+INDEX(Symboles!$G$6:$G$101,MOD(14+$C13+(0),$B$3)+1)*I13+INDEX(Symboles!$G$6:$G$101,MOD(14+$C13+(1),$B$3)+1)*J13+INDEX(Symboles!$G$6:$G$101,MOD(14+$C13+(2),$B$3)+1)*K13+INDEX(Symboles!$G$6:$G$101,MOD(14+$C13+(3),$B$3)+1)*L13+INDEX(Symboles!$G$6:$G$101,MOD(14+$C13+(4),$B$3)+1)*M13+IF($B$6=0,0,$B$6*NORMSINV(0.000001+0.999998*RAND())))</f>
        <v/>
      </c>
      <c r="AE13" s="30">
        <f>IF(16&gt;$B$3,99,INDEX(Symboles!$G$6:$G$101,MOD(15+$C13+(-4),$B$3)+1)*E13+INDEX(Symboles!$G$6:$G$101,MOD(15+$C13+(-3),$B$3)+1)*F13+INDEX(Symboles!$G$6:$G$101,MOD(15+$C13+(-2),$B$3)+1)*G13+INDEX(Symboles!$G$6:$G$101,MOD(15+$C13+(-1),$B$3)+1)*H13+INDEX(Symboles!$G$6:$G$101,MOD(15+$C13+(0),$B$3)+1)*I13+INDEX(Symboles!$G$6:$G$101,MOD(15+$C13+(1),$B$3)+1)*J13+INDEX(Symboles!$G$6:$G$101,MOD(15+$C13+(2),$B$3)+1)*K13+INDEX(Symboles!$G$6:$G$101,MOD(15+$C13+(3),$B$3)+1)*L13+INDEX(Symboles!$G$6:$G$101,MOD(15+$C13+(4),$B$3)+1)*M13+IF($B$6=0,0,$B$6*NORMSINV(0.000001+0.999998*RAND())))</f>
        <v/>
      </c>
      <c r="AF13" s="30">
        <f>IF(17&gt;$B$3,99,INDEX(Symboles!$G$6:$G$101,MOD(16+$C13+(-4),$B$3)+1)*E13+INDEX(Symboles!$G$6:$G$101,MOD(16+$C13+(-3),$B$3)+1)*F13+INDEX(Symboles!$G$6:$G$101,MOD(16+$C13+(-2),$B$3)+1)*G13+INDEX(Symboles!$G$6:$G$101,MOD(16+$C13+(-1),$B$3)+1)*H13+INDEX(Symboles!$G$6:$G$101,MOD(16+$C13+(0),$B$3)+1)*I13+INDEX(Symboles!$G$6:$G$101,MOD(16+$C13+(1),$B$3)+1)*J13+INDEX(Symboles!$G$6:$G$101,MOD(16+$C13+(2),$B$3)+1)*K13+INDEX(Symboles!$G$6:$G$101,MOD(16+$C13+(3),$B$3)+1)*L13+INDEX(Symboles!$G$6:$G$101,MOD(16+$C13+(4),$B$3)+1)*M13+IF($B$6=0,0,$B$6*NORMSINV(0.000001+0.999998*RAND())))</f>
        <v/>
      </c>
      <c r="AG13" s="30">
        <f>IF(18&gt;$B$3,99,INDEX(Symboles!$G$6:$G$101,MOD(17+$C13+(-4),$B$3)+1)*E13+INDEX(Symboles!$G$6:$G$101,MOD(17+$C13+(-3),$B$3)+1)*F13+INDEX(Symboles!$G$6:$G$101,MOD(17+$C13+(-2),$B$3)+1)*G13+INDEX(Symboles!$G$6:$G$101,MOD(17+$C13+(-1),$B$3)+1)*H13+INDEX(Symboles!$G$6:$G$101,MOD(17+$C13+(0),$B$3)+1)*I13+INDEX(Symboles!$G$6:$G$101,MOD(17+$C13+(1),$B$3)+1)*J13+INDEX(Symboles!$G$6:$G$101,MOD(17+$C13+(2),$B$3)+1)*K13+INDEX(Symboles!$G$6:$G$101,MOD(17+$C13+(3),$B$3)+1)*L13+INDEX(Symboles!$G$6:$G$101,MOD(17+$C13+(4),$B$3)+1)*M13+IF($B$6=0,0,$B$6*NORMSINV(0.000001+0.999998*RAND())))</f>
        <v/>
      </c>
      <c r="AH13" s="30">
        <f>IF(19&gt;$B$3,99,INDEX(Symboles!$G$6:$G$101,MOD(18+$C13+(-4),$B$3)+1)*E13+INDEX(Symboles!$G$6:$G$101,MOD(18+$C13+(-3),$B$3)+1)*F13+INDEX(Symboles!$G$6:$G$101,MOD(18+$C13+(-2),$B$3)+1)*G13+INDEX(Symboles!$G$6:$G$101,MOD(18+$C13+(-1),$B$3)+1)*H13+INDEX(Symboles!$G$6:$G$101,MOD(18+$C13+(0),$B$3)+1)*I13+INDEX(Symboles!$G$6:$G$101,MOD(18+$C13+(1),$B$3)+1)*J13+INDEX(Symboles!$G$6:$G$101,MOD(18+$C13+(2),$B$3)+1)*K13+INDEX(Symboles!$G$6:$G$101,MOD(18+$C13+(3),$B$3)+1)*L13+INDEX(Symboles!$G$6:$G$101,MOD(18+$C13+(4),$B$3)+1)*M13+IF($B$6=0,0,$B$6*NORMSINV(0.000001+0.999998*RAND())))</f>
        <v/>
      </c>
      <c r="AI13" s="30">
        <f>IF(20&gt;$B$3,99,INDEX(Symboles!$G$6:$G$101,MOD(19+$C13+(-4),$B$3)+1)*E13+INDEX(Symboles!$G$6:$G$101,MOD(19+$C13+(-3),$B$3)+1)*F13+INDEX(Symboles!$G$6:$G$101,MOD(19+$C13+(-2),$B$3)+1)*G13+INDEX(Symboles!$G$6:$G$101,MOD(19+$C13+(-1),$B$3)+1)*H13+INDEX(Symboles!$G$6:$G$101,MOD(19+$C13+(0),$B$3)+1)*I13+INDEX(Symboles!$G$6:$G$101,MOD(19+$C13+(1),$B$3)+1)*J13+INDEX(Symboles!$G$6:$G$101,MOD(19+$C13+(2),$B$3)+1)*K13+INDEX(Symboles!$G$6:$G$101,MOD(19+$C13+(3),$B$3)+1)*L13+INDEX(Symboles!$G$6:$G$101,MOD(19+$C13+(4),$B$3)+1)*M13+IF($B$6=0,0,$B$6*NORMSINV(0.000001+0.999998*RAND())))</f>
        <v/>
      </c>
      <c r="AJ13" s="30">
        <f>IF(21&gt;$B$3,99,INDEX(Symboles!$G$6:$G$101,MOD(20+$C13+(-4),$B$3)+1)*E13+INDEX(Symboles!$G$6:$G$101,MOD(20+$C13+(-3),$B$3)+1)*F13+INDEX(Symboles!$G$6:$G$101,MOD(20+$C13+(-2),$B$3)+1)*G13+INDEX(Symboles!$G$6:$G$101,MOD(20+$C13+(-1),$B$3)+1)*H13+INDEX(Symboles!$G$6:$G$101,MOD(20+$C13+(0),$B$3)+1)*I13+INDEX(Symboles!$G$6:$G$101,MOD(20+$C13+(1),$B$3)+1)*J13+INDEX(Symboles!$G$6:$G$101,MOD(20+$C13+(2),$B$3)+1)*K13+INDEX(Symboles!$G$6:$G$101,MOD(20+$C13+(3),$B$3)+1)*L13+INDEX(Symboles!$G$6:$G$101,MOD(20+$C13+(4),$B$3)+1)*M13+IF($B$6=0,0,$B$6*NORMSINV(0.000001+0.999998*RAND())))</f>
        <v/>
      </c>
      <c r="AK13" s="30">
        <f>IF(22&gt;$B$3,99,INDEX(Symboles!$G$6:$G$101,MOD(21+$C13+(-4),$B$3)+1)*E13+INDEX(Symboles!$G$6:$G$101,MOD(21+$C13+(-3),$B$3)+1)*F13+INDEX(Symboles!$G$6:$G$101,MOD(21+$C13+(-2),$B$3)+1)*G13+INDEX(Symboles!$G$6:$G$101,MOD(21+$C13+(-1),$B$3)+1)*H13+INDEX(Symboles!$G$6:$G$101,MOD(21+$C13+(0),$B$3)+1)*I13+INDEX(Symboles!$G$6:$G$101,MOD(21+$C13+(1),$B$3)+1)*J13+INDEX(Symboles!$G$6:$G$101,MOD(21+$C13+(2),$B$3)+1)*K13+INDEX(Symboles!$G$6:$G$101,MOD(21+$C13+(3),$B$3)+1)*L13+INDEX(Symboles!$G$6:$G$101,MOD(21+$C13+(4),$B$3)+1)*M13+IF($B$6=0,0,$B$6*NORMSINV(0.000001+0.999998*RAND())))</f>
        <v/>
      </c>
      <c r="AL13" s="30">
        <f>IF(23&gt;$B$3,99,INDEX(Symboles!$G$6:$G$101,MOD(22+$C13+(-4),$B$3)+1)*E13+INDEX(Symboles!$G$6:$G$101,MOD(22+$C13+(-3),$B$3)+1)*F13+INDEX(Symboles!$G$6:$G$101,MOD(22+$C13+(-2),$B$3)+1)*G13+INDEX(Symboles!$G$6:$G$101,MOD(22+$C13+(-1),$B$3)+1)*H13+INDEX(Symboles!$G$6:$G$101,MOD(22+$C13+(0),$B$3)+1)*I13+INDEX(Symboles!$G$6:$G$101,MOD(22+$C13+(1),$B$3)+1)*J13+INDEX(Symboles!$G$6:$G$101,MOD(22+$C13+(2),$B$3)+1)*K13+INDEX(Symboles!$G$6:$G$101,MOD(22+$C13+(3),$B$3)+1)*L13+INDEX(Symboles!$G$6:$G$101,MOD(22+$C13+(4),$B$3)+1)*M13+IF($B$6=0,0,$B$6*NORMSINV(0.000001+0.999998*RAND())))</f>
        <v/>
      </c>
      <c r="AM13" s="30">
        <f>IF(24&gt;$B$3,99,INDEX(Symboles!$G$6:$G$101,MOD(23+$C13+(-4),$B$3)+1)*E13+INDEX(Symboles!$G$6:$G$101,MOD(23+$C13+(-3),$B$3)+1)*F13+INDEX(Symboles!$G$6:$G$101,MOD(23+$C13+(-2),$B$3)+1)*G13+INDEX(Symboles!$G$6:$G$101,MOD(23+$C13+(-1),$B$3)+1)*H13+INDEX(Symboles!$G$6:$G$101,MOD(23+$C13+(0),$B$3)+1)*I13+INDEX(Symboles!$G$6:$G$101,MOD(23+$C13+(1),$B$3)+1)*J13+INDEX(Symboles!$G$6:$G$101,MOD(23+$C13+(2),$B$3)+1)*K13+INDEX(Symboles!$G$6:$G$101,MOD(23+$C13+(3),$B$3)+1)*L13+INDEX(Symboles!$G$6:$G$101,MOD(23+$C13+(4),$B$3)+1)*M13+IF($B$6=0,0,$B$6*NORMSINV(0.000001+0.999998*RAND())))</f>
        <v/>
      </c>
      <c r="AN13" s="30">
        <f>IF(25&gt;$B$3,99,INDEX(Symboles!$G$6:$G$101,MOD(24+$C13+(-4),$B$3)+1)*E13+INDEX(Symboles!$G$6:$G$101,MOD(24+$C13+(-3),$B$3)+1)*F13+INDEX(Symboles!$G$6:$G$101,MOD(24+$C13+(-2),$B$3)+1)*G13+INDEX(Symboles!$G$6:$G$101,MOD(24+$C13+(-1),$B$3)+1)*H13+INDEX(Symboles!$G$6:$G$101,MOD(24+$C13+(0),$B$3)+1)*I13+INDEX(Symboles!$G$6:$G$101,MOD(24+$C13+(1),$B$3)+1)*J13+INDEX(Symboles!$G$6:$G$101,MOD(24+$C13+(2),$B$3)+1)*K13+INDEX(Symboles!$G$6:$G$101,MOD(24+$C13+(3),$B$3)+1)*L13+INDEX(Symboles!$G$6:$G$101,MOD(24+$C13+(4),$B$3)+1)*M13+IF($B$6=0,0,$B$6*NORMSINV(0.000001+0.999998*RAND())))</f>
        <v/>
      </c>
      <c r="AO13" s="30">
        <f>IF(26&gt;$B$3,99,INDEX(Symboles!$G$6:$G$101,MOD(25+$C13+(-4),$B$3)+1)*E13+INDEX(Symboles!$G$6:$G$101,MOD(25+$C13+(-3),$B$3)+1)*F13+INDEX(Symboles!$G$6:$G$101,MOD(25+$C13+(-2),$B$3)+1)*G13+INDEX(Symboles!$G$6:$G$101,MOD(25+$C13+(-1),$B$3)+1)*H13+INDEX(Symboles!$G$6:$G$101,MOD(25+$C13+(0),$B$3)+1)*I13+INDEX(Symboles!$G$6:$G$101,MOD(25+$C13+(1),$B$3)+1)*J13+INDEX(Symboles!$G$6:$G$101,MOD(25+$C13+(2),$B$3)+1)*K13+INDEX(Symboles!$G$6:$G$101,MOD(25+$C13+(3),$B$3)+1)*L13+INDEX(Symboles!$G$6:$G$101,MOD(25+$C13+(4),$B$3)+1)*M13+IF($B$6=0,0,$B$6*NORMSINV(0.000001+0.999998*RAND())))</f>
        <v/>
      </c>
      <c r="AP13" s="30">
        <f>IF(27&gt;$B$3,99,INDEX(Symboles!$G$6:$G$101,MOD(26+$C13+(-4),$B$3)+1)*E13+INDEX(Symboles!$G$6:$G$101,MOD(26+$C13+(-3),$B$3)+1)*F13+INDEX(Symboles!$G$6:$G$101,MOD(26+$C13+(-2),$B$3)+1)*G13+INDEX(Symboles!$G$6:$G$101,MOD(26+$C13+(-1),$B$3)+1)*H13+INDEX(Symboles!$G$6:$G$101,MOD(26+$C13+(0),$B$3)+1)*I13+INDEX(Symboles!$G$6:$G$101,MOD(26+$C13+(1),$B$3)+1)*J13+INDEX(Symboles!$G$6:$G$101,MOD(26+$C13+(2),$B$3)+1)*K13+INDEX(Symboles!$G$6:$G$101,MOD(26+$C13+(3),$B$3)+1)*L13+INDEX(Symboles!$G$6:$G$101,MOD(26+$C13+(4),$B$3)+1)*M13+IF($B$6=0,0,$B$6*NORMSINV(0.000001+0.999998*RAND())))</f>
        <v/>
      </c>
      <c r="AQ13" s="30">
        <f>IF(28&gt;$B$3,99,INDEX(Symboles!$G$6:$G$101,MOD(27+$C13+(-4),$B$3)+1)*E13+INDEX(Symboles!$G$6:$G$101,MOD(27+$C13+(-3),$B$3)+1)*F13+INDEX(Symboles!$G$6:$G$101,MOD(27+$C13+(-2),$B$3)+1)*G13+INDEX(Symboles!$G$6:$G$101,MOD(27+$C13+(-1),$B$3)+1)*H13+INDEX(Symboles!$G$6:$G$101,MOD(27+$C13+(0),$B$3)+1)*I13+INDEX(Symboles!$G$6:$G$101,MOD(27+$C13+(1),$B$3)+1)*J13+INDEX(Symboles!$G$6:$G$101,MOD(27+$C13+(2),$B$3)+1)*K13+INDEX(Symboles!$G$6:$G$101,MOD(27+$C13+(3),$B$3)+1)*L13+INDEX(Symboles!$G$6:$G$101,MOD(27+$C13+(4),$B$3)+1)*M13+IF($B$6=0,0,$B$6*NORMSINV(0.000001+0.999998*RAND())))</f>
        <v/>
      </c>
      <c r="AR13" s="30">
        <f>IF(29&gt;$B$3,99,INDEX(Symboles!$G$6:$G$101,MOD(28+$C13+(-4),$B$3)+1)*E13+INDEX(Symboles!$G$6:$G$101,MOD(28+$C13+(-3),$B$3)+1)*F13+INDEX(Symboles!$G$6:$G$101,MOD(28+$C13+(-2),$B$3)+1)*G13+INDEX(Symboles!$G$6:$G$101,MOD(28+$C13+(-1),$B$3)+1)*H13+INDEX(Symboles!$G$6:$G$101,MOD(28+$C13+(0),$B$3)+1)*I13+INDEX(Symboles!$G$6:$G$101,MOD(28+$C13+(1),$B$3)+1)*J13+INDEX(Symboles!$G$6:$G$101,MOD(28+$C13+(2),$B$3)+1)*K13+INDEX(Symboles!$G$6:$G$101,MOD(28+$C13+(3),$B$3)+1)*L13+INDEX(Symboles!$G$6:$G$101,MOD(28+$C13+(4),$B$3)+1)*M13+IF($B$6=0,0,$B$6*NORMSINV(0.000001+0.999998*RAND())))</f>
        <v/>
      </c>
      <c r="AS13" s="30">
        <f>IF(30&gt;$B$3,99,INDEX(Symboles!$G$6:$G$101,MOD(29+$C13+(-4),$B$3)+1)*E13+INDEX(Symboles!$G$6:$G$101,MOD(29+$C13+(-3),$B$3)+1)*F13+INDEX(Symboles!$G$6:$G$101,MOD(29+$C13+(-2),$B$3)+1)*G13+INDEX(Symboles!$G$6:$G$101,MOD(29+$C13+(-1),$B$3)+1)*H13+INDEX(Symboles!$G$6:$G$101,MOD(29+$C13+(0),$B$3)+1)*I13+INDEX(Symboles!$G$6:$G$101,MOD(29+$C13+(1),$B$3)+1)*J13+INDEX(Symboles!$G$6:$G$101,MOD(29+$C13+(2),$B$3)+1)*K13+INDEX(Symboles!$G$6:$G$101,MOD(29+$C13+(3),$B$3)+1)*L13+INDEX(Symboles!$G$6:$G$101,MOD(29+$C13+(4),$B$3)+1)*M13+IF($B$6=0,0,$B$6*NORMSINV(0.000001+0.999998*RAND())))</f>
        <v/>
      </c>
      <c r="AT13" s="30">
        <f>IF(31&gt;$B$3,99,INDEX(Symboles!$G$6:$G$101,MOD(30+$C13+(-4),$B$3)+1)*E13+INDEX(Symboles!$G$6:$G$101,MOD(30+$C13+(-3),$B$3)+1)*F13+INDEX(Symboles!$G$6:$G$101,MOD(30+$C13+(-2),$B$3)+1)*G13+INDEX(Symboles!$G$6:$G$101,MOD(30+$C13+(-1),$B$3)+1)*H13+INDEX(Symboles!$G$6:$G$101,MOD(30+$C13+(0),$B$3)+1)*I13+INDEX(Symboles!$G$6:$G$101,MOD(30+$C13+(1),$B$3)+1)*J13+INDEX(Symboles!$G$6:$G$101,MOD(30+$C13+(2),$B$3)+1)*K13+INDEX(Symboles!$G$6:$G$101,MOD(30+$C13+(3),$B$3)+1)*L13+INDEX(Symboles!$G$6:$G$101,MOD(30+$C13+(4),$B$3)+1)*M13+IF($B$6=0,0,$B$6*NORMSINV(0.000001+0.999998*RAND())))</f>
        <v/>
      </c>
      <c r="AU13" s="30">
        <f>IF(32&gt;$B$3,99,INDEX(Symboles!$G$6:$G$101,MOD(31+$C13+(-4),$B$3)+1)*E13+INDEX(Symboles!$G$6:$G$101,MOD(31+$C13+(-3),$B$3)+1)*F13+INDEX(Symboles!$G$6:$G$101,MOD(31+$C13+(-2),$B$3)+1)*G13+INDEX(Symboles!$G$6:$G$101,MOD(31+$C13+(-1),$B$3)+1)*H13+INDEX(Symboles!$G$6:$G$101,MOD(31+$C13+(0),$B$3)+1)*I13+INDEX(Symboles!$G$6:$G$101,MOD(31+$C13+(1),$B$3)+1)*J13+INDEX(Symboles!$G$6:$G$101,MOD(31+$C13+(2),$B$3)+1)*K13+INDEX(Symboles!$G$6:$G$101,MOD(31+$C13+(3),$B$3)+1)*L13+INDEX(Symboles!$G$6:$G$101,MOD(31+$C13+(4),$B$3)+1)*M13+IF($B$6=0,0,$B$6*NORMSINV(0.000001+0.999998*RAND())))</f>
        <v/>
      </c>
      <c r="AV13" s="30">
        <f>IF(33&gt;$B$3,99,INDEX(Symboles!$G$6:$G$101,MOD(32+$C13+(-4),$B$3)+1)*E13+INDEX(Symboles!$G$6:$G$101,MOD(32+$C13+(-3),$B$3)+1)*F13+INDEX(Symboles!$G$6:$G$101,MOD(32+$C13+(-2),$B$3)+1)*G13+INDEX(Symboles!$G$6:$G$101,MOD(32+$C13+(-1),$B$3)+1)*H13+INDEX(Symboles!$G$6:$G$101,MOD(32+$C13+(0),$B$3)+1)*I13+INDEX(Symboles!$G$6:$G$101,MOD(32+$C13+(1),$B$3)+1)*J13+INDEX(Symboles!$G$6:$G$101,MOD(32+$C13+(2),$B$3)+1)*K13+INDEX(Symboles!$G$6:$G$101,MOD(32+$C13+(3),$B$3)+1)*L13+INDEX(Symboles!$G$6:$G$101,MOD(32+$C13+(4),$B$3)+1)*M13+IF($B$6=0,0,$B$6*NORMSINV(0.000001+0.999998*RAND())))</f>
        <v/>
      </c>
      <c r="AW13" s="30">
        <f>IF(34&gt;$B$3,99,INDEX(Symboles!$G$6:$G$101,MOD(33+$C13+(-4),$B$3)+1)*E13+INDEX(Symboles!$G$6:$G$101,MOD(33+$C13+(-3),$B$3)+1)*F13+INDEX(Symboles!$G$6:$G$101,MOD(33+$C13+(-2),$B$3)+1)*G13+INDEX(Symboles!$G$6:$G$101,MOD(33+$C13+(-1),$B$3)+1)*H13+INDEX(Symboles!$G$6:$G$101,MOD(33+$C13+(0),$B$3)+1)*I13+INDEX(Symboles!$G$6:$G$101,MOD(33+$C13+(1),$B$3)+1)*J13+INDEX(Symboles!$G$6:$G$101,MOD(33+$C13+(2),$B$3)+1)*K13+INDEX(Symboles!$G$6:$G$101,MOD(33+$C13+(3),$B$3)+1)*L13+INDEX(Symboles!$G$6:$G$101,MOD(33+$C13+(4),$B$3)+1)*M13+IF($B$6=0,0,$B$6*NORMSINV(0.000001+0.999998*RAND())))</f>
        <v/>
      </c>
      <c r="AX13" s="30">
        <f>IF(35&gt;$B$3,99,INDEX(Symboles!$G$6:$G$101,MOD(34+$C13+(-4),$B$3)+1)*E13+INDEX(Symboles!$G$6:$G$101,MOD(34+$C13+(-3),$B$3)+1)*F13+INDEX(Symboles!$G$6:$G$101,MOD(34+$C13+(-2),$B$3)+1)*G13+INDEX(Symboles!$G$6:$G$101,MOD(34+$C13+(-1),$B$3)+1)*H13+INDEX(Symboles!$G$6:$G$101,MOD(34+$C13+(0),$B$3)+1)*I13+INDEX(Symboles!$G$6:$G$101,MOD(34+$C13+(1),$B$3)+1)*J13+INDEX(Symboles!$G$6:$G$101,MOD(34+$C13+(2),$B$3)+1)*K13+INDEX(Symboles!$G$6:$G$101,MOD(34+$C13+(3),$B$3)+1)*L13+INDEX(Symboles!$G$6:$G$101,MOD(34+$C13+(4),$B$3)+1)*M13+IF($B$6=0,0,$B$6*NORMSINV(0.000001+0.999998*RAND())))</f>
        <v/>
      </c>
      <c r="AY13" s="30">
        <f>IF(36&gt;$B$3,99,INDEX(Symboles!$G$6:$G$101,MOD(35+$C13+(-4),$B$3)+1)*E13+INDEX(Symboles!$G$6:$G$101,MOD(35+$C13+(-3),$B$3)+1)*F13+INDEX(Symboles!$G$6:$G$101,MOD(35+$C13+(-2),$B$3)+1)*G13+INDEX(Symboles!$G$6:$G$101,MOD(35+$C13+(-1),$B$3)+1)*H13+INDEX(Symboles!$G$6:$G$101,MOD(35+$C13+(0),$B$3)+1)*I13+INDEX(Symboles!$G$6:$G$101,MOD(35+$C13+(1),$B$3)+1)*J13+INDEX(Symboles!$G$6:$G$101,MOD(35+$C13+(2),$B$3)+1)*K13+INDEX(Symboles!$G$6:$G$101,MOD(35+$C13+(3),$B$3)+1)*L13+INDEX(Symboles!$G$6:$G$101,MOD(35+$C13+(4),$B$3)+1)*M13+IF($B$6=0,0,$B$6*NORMSINV(0.000001+0.999998*RAND())))</f>
        <v/>
      </c>
      <c r="AZ13" s="30">
        <f>IF(37&gt;$B$3,99,INDEX(Symboles!$G$6:$G$101,MOD(36+$C13+(-4),$B$3)+1)*E13+INDEX(Symboles!$G$6:$G$101,MOD(36+$C13+(-3),$B$3)+1)*F13+INDEX(Symboles!$G$6:$G$101,MOD(36+$C13+(-2),$B$3)+1)*G13+INDEX(Symboles!$G$6:$G$101,MOD(36+$C13+(-1),$B$3)+1)*H13+INDEX(Symboles!$G$6:$G$101,MOD(36+$C13+(0),$B$3)+1)*I13+INDEX(Symboles!$G$6:$G$101,MOD(36+$C13+(1),$B$3)+1)*J13+INDEX(Symboles!$G$6:$G$101,MOD(36+$C13+(2),$B$3)+1)*K13+INDEX(Symboles!$G$6:$G$101,MOD(36+$C13+(3),$B$3)+1)*L13+INDEX(Symboles!$G$6:$G$101,MOD(36+$C13+(4),$B$3)+1)*M13+IF($B$6=0,0,$B$6*NORMSINV(0.000001+0.999998*RAND())))</f>
        <v/>
      </c>
      <c r="BA13" s="30">
        <f>IF(38&gt;$B$3,99,INDEX(Symboles!$G$6:$G$101,MOD(37+$C13+(-4),$B$3)+1)*E13+INDEX(Symboles!$G$6:$G$101,MOD(37+$C13+(-3),$B$3)+1)*F13+INDEX(Symboles!$G$6:$G$101,MOD(37+$C13+(-2),$B$3)+1)*G13+INDEX(Symboles!$G$6:$G$101,MOD(37+$C13+(-1),$B$3)+1)*H13+INDEX(Symboles!$G$6:$G$101,MOD(37+$C13+(0),$B$3)+1)*I13+INDEX(Symboles!$G$6:$G$101,MOD(37+$C13+(1),$B$3)+1)*J13+INDEX(Symboles!$G$6:$G$101,MOD(37+$C13+(2),$B$3)+1)*K13+INDEX(Symboles!$G$6:$G$101,MOD(37+$C13+(3),$B$3)+1)*L13+INDEX(Symboles!$G$6:$G$101,MOD(37+$C13+(4),$B$3)+1)*M13+IF($B$6=0,0,$B$6*NORMSINV(0.000001+0.999998*RAND())))</f>
        <v/>
      </c>
      <c r="BB13" s="30">
        <f>IF(39&gt;$B$3,99,INDEX(Symboles!$G$6:$G$101,MOD(38+$C13+(-4),$B$3)+1)*E13+INDEX(Symboles!$G$6:$G$101,MOD(38+$C13+(-3),$B$3)+1)*F13+INDEX(Symboles!$G$6:$G$101,MOD(38+$C13+(-2),$B$3)+1)*G13+INDEX(Symboles!$G$6:$G$101,MOD(38+$C13+(-1),$B$3)+1)*H13+INDEX(Symboles!$G$6:$G$101,MOD(38+$C13+(0),$B$3)+1)*I13+INDEX(Symboles!$G$6:$G$101,MOD(38+$C13+(1),$B$3)+1)*J13+INDEX(Symboles!$G$6:$G$101,MOD(38+$C13+(2),$B$3)+1)*K13+INDEX(Symboles!$G$6:$G$101,MOD(38+$C13+(3),$B$3)+1)*L13+INDEX(Symboles!$G$6:$G$101,MOD(38+$C13+(4),$B$3)+1)*M13+IF($B$6=0,0,$B$6*NORMSINV(0.000001+0.999998*RAND())))</f>
        <v/>
      </c>
      <c r="BC13" s="30">
        <f>IF(40&gt;$B$3,99,INDEX(Symboles!$G$6:$G$101,MOD(39+$C13+(-4),$B$3)+1)*E13+INDEX(Symboles!$G$6:$G$101,MOD(39+$C13+(-3),$B$3)+1)*F13+INDEX(Symboles!$G$6:$G$101,MOD(39+$C13+(-2),$B$3)+1)*G13+INDEX(Symboles!$G$6:$G$101,MOD(39+$C13+(-1),$B$3)+1)*H13+INDEX(Symboles!$G$6:$G$101,MOD(39+$C13+(0),$B$3)+1)*I13+INDEX(Symboles!$G$6:$G$101,MOD(39+$C13+(1),$B$3)+1)*J13+INDEX(Symboles!$G$6:$G$101,MOD(39+$C13+(2),$B$3)+1)*K13+INDEX(Symboles!$G$6:$G$101,MOD(39+$C13+(3),$B$3)+1)*L13+INDEX(Symboles!$G$6:$G$101,MOD(39+$C13+(4),$B$3)+1)*M13+IF($B$6=0,0,$B$6*NORMSINV(0.000001+0.999998*RAND())))</f>
        <v/>
      </c>
      <c r="BD13" s="30">
        <f>IF(41&gt;$B$3,99,INDEX(Symboles!$G$6:$G$101,MOD(40+$C13+(-4),$B$3)+1)*E13+INDEX(Symboles!$G$6:$G$101,MOD(40+$C13+(-3),$B$3)+1)*F13+INDEX(Symboles!$G$6:$G$101,MOD(40+$C13+(-2),$B$3)+1)*G13+INDEX(Symboles!$G$6:$G$101,MOD(40+$C13+(-1),$B$3)+1)*H13+INDEX(Symboles!$G$6:$G$101,MOD(40+$C13+(0),$B$3)+1)*I13+INDEX(Symboles!$G$6:$G$101,MOD(40+$C13+(1),$B$3)+1)*J13+INDEX(Symboles!$G$6:$G$101,MOD(40+$C13+(2),$B$3)+1)*K13+INDEX(Symboles!$G$6:$G$101,MOD(40+$C13+(3),$B$3)+1)*L13+INDEX(Symboles!$G$6:$G$101,MOD(40+$C13+(4),$B$3)+1)*M13+IF($B$6=0,0,$B$6*NORMSINV(0.000001+0.999998*RAND())))</f>
        <v/>
      </c>
      <c r="BE13" s="30">
        <f>IF(42&gt;$B$3,99,INDEX(Symboles!$G$6:$G$101,MOD(41+$C13+(-4),$B$3)+1)*E13+INDEX(Symboles!$G$6:$G$101,MOD(41+$C13+(-3),$B$3)+1)*F13+INDEX(Symboles!$G$6:$G$101,MOD(41+$C13+(-2),$B$3)+1)*G13+INDEX(Symboles!$G$6:$G$101,MOD(41+$C13+(-1),$B$3)+1)*H13+INDEX(Symboles!$G$6:$G$101,MOD(41+$C13+(0),$B$3)+1)*I13+INDEX(Symboles!$G$6:$G$101,MOD(41+$C13+(1),$B$3)+1)*J13+INDEX(Symboles!$G$6:$G$101,MOD(41+$C13+(2),$B$3)+1)*K13+INDEX(Symboles!$G$6:$G$101,MOD(41+$C13+(3),$B$3)+1)*L13+INDEX(Symboles!$G$6:$G$101,MOD(41+$C13+(4),$B$3)+1)*M13+IF($B$6=0,0,$B$6*NORMSINV(0.000001+0.999998*RAND())))</f>
        <v/>
      </c>
      <c r="BF13" s="30">
        <f>IF(43&gt;$B$3,99,INDEX(Symboles!$G$6:$G$101,MOD(42+$C13+(-4),$B$3)+1)*E13+INDEX(Symboles!$G$6:$G$101,MOD(42+$C13+(-3),$B$3)+1)*F13+INDEX(Symboles!$G$6:$G$101,MOD(42+$C13+(-2),$B$3)+1)*G13+INDEX(Symboles!$G$6:$G$101,MOD(42+$C13+(-1),$B$3)+1)*H13+INDEX(Symboles!$G$6:$G$101,MOD(42+$C13+(0),$B$3)+1)*I13+INDEX(Symboles!$G$6:$G$101,MOD(42+$C13+(1),$B$3)+1)*J13+INDEX(Symboles!$G$6:$G$101,MOD(42+$C13+(2),$B$3)+1)*K13+INDEX(Symboles!$G$6:$G$101,MOD(42+$C13+(3),$B$3)+1)*L13+INDEX(Symboles!$G$6:$G$101,MOD(42+$C13+(4),$B$3)+1)*M13+IF($B$6=0,0,$B$6*NORMSINV(0.000001+0.999998*RAND())))</f>
        <v/>
      </c>
      <c r="BG13" s="30">
        <f>IF(44&gt;$B$3,99,INDEX(Symboles!$G$6:$G$101,MOD(43+$C13+(-4),$B$3)+1)*E13+INDEX(Symboles!$G$6:$G$101,MOD(43+$C13+(-3),$B$3)+1)*F13+INDEX(Symboles!$G$6:$G$101,MOD(43+$C13+(-2),$B$3)+1)*G13+INDEX(Symboles!$G$6:$G$101,MOD(43+$C13+(-1),$B$3)+1)*H13+INDEX(Symboles!$G$6:$G$101,MOD(43+$C13+(0),$B$3)+1)*I13+INDEX(Symboles!$G$6:$G$101,MOD(43+$C13+(1),$B$3)+1)*J13+INDEX(Symboles!$G$6:$G$101,MOD(43+$C13+(2),$B$3)+1)*K13+INDEX(Symboles!$G$6:$G$101,MOD(43+$C13+(3),$B$3)+1)*L13+INDEX(Symboles!$G$6:$G$101,MOD(43+$C13+(4),$B$3)+1)*M13+IF($B$6=0,0,$B$6*NORMSINV(0.000001+0.999998*RAND())))</f>
        <v/>
      </c>
      <c r="BH13" s="30">
        <f>IF(45&gt;$B$3,99,INDEX(Symboles!$G$6:$G$101,MOD(44+$C13+(-4),$B$3)+1)*E13+INDEX(Symboles!$G$6:$G$101,MOD(44+$C13+(-3),$B$3)+1)*F13+INDEX(Symboles!$G$6:$G$101,MOD(44+$C13+(-2),$B$3)+1)*G13+INDEX(Symboles!$G$6:$G$101,MOD(44+$C13+(-1),$B$3)+1)*H13+INDEX(Symboles!$G$6:$G$101,MOD(44+$C13+(0),$B$3)+1)*I13+INDEX(Symboles!$G$6:$G$101,MOD(44+$C13+(1),$B$3)+1)*J13+INDEX(Symboles!$G$6:$G$101,MOD(44+$C13+(2),$B$3)+1)*K13+INDEX(Symboles!$G$6:$G$101,MOD(44+$C13+(3),$B$3)+1)*L13+INDEX(Symboles!$G$6:$G$101,MOD(44+$C13+(4),$B$3)+1)*M13+IF($B$6=0,0,$B$6*NORMSINV(0.000001+0.999998*RAND())))</f>
        <v/>
      </c>
      <c r="BI13" s="30">
        <f>IF(46&gt;$B$3,99,INDEX(Symboles!$G$6:$G$101,MOD(45+$C13+(-4),$B$3)+1)*E13+INDEX(Symboles!$G$6:$G$101,MOD(45+$C13+(-3),$B$3)+1)*F13+INDEX(Symboles!$G$6:$G$101,MOD(45+$C13+(-2),$B$3)+1)*G13+INDEX(Symboles!$G$6:$G$101,MOD(45+$C13+(-1),$B$3)+1)*H13+INDEX(Symboles!$G$6:$G$101,MOD(45+$C13+(0),$B$3)+1)*I13+INDEX(Symboles!$G$6:$G$101,MOD(45+$C13+(1),$B$3)+1)*J13+INDEX(Symboles!$G$6:$G$101,MOD(45+$C13+(2),$B$3)+1)*K13+INDEX(Symboles!$G$6:$G$101,MOD(45+$C13+(3),$B$3)+1)*L13+INDEX(Symboles!$G$6:$G$101,MOD(45+$C13+(4),$B$3)+1)*M13+IF($B$6=0,0,$B$6*NORMSINV(0.000001+0.999998*RAND())))</f>
        <v/>
      </c>
      <c r="BJ13" s="30">
        <f>IF(47&gt;$B$3,99,INDEX(Symboles!$G$6:$G$101,MOD(46+$C13+(-4),$B$3)+1)*E13+INDEX(Symboles!$G$6:$G$101,MOD(46+$C13+(-3),$B$3)+1)*F13+INDEX(Symboles!$G$6:$G$101,MOD(46+$C13+(-2),$B$3)+1)*G13+INDEX(Symboles!$G$6:$G$101,MOD(46+$C13+(-1),$B$3)+1)*H13+INDEX(Symboles!$G$6:$G$101,MOD(46+$C13+(0),$B$3)+1)*I13+INDEX(Symboles!$G$6:$G$101,MOD(46+$C13+(1),$B$3)+1)*J13+INDEX(Symboles!$G$6:$G$101,MOD(46+$C13+(2),$B$3)+1)*K13+INDEX(Symboles!$G$6:$G$101,MOD(46+$C13+(3),$B$3)+1)*L13+INDEX(Symboles!$G$6:$G$101,MOD(46+$C13+(4),$B$3)+1)*M13+IF($B$6=0,0,$B$6*NORMSINV(0.000001+0.999998*RAND())))</f>
        <v/>
      </c>
      <c r="BK13" s="30">
        <f>IF(48&gt;$B$3,99,INDEX(Symboles!$G$6:$G$101,MOD(47+$C13+(-4),$B$3)+1)*E13+INDEX(Symboles!$G$6:$G$101,MOD(47+$C13+(-3),$B$3)+1)*F13+INDEX(Symboles!$G$6:$G$101,MOD(47+$C13+(-2),$B$3)+1)*G13+INDEX(Symboles!$G$6:$G$101,MOD(47+$C13+(-1),$B$3)+1)*H13+INDEX(Symboles!$G$6:$G$101,MOD(47+$C13+(0),$B$3)+1)*I13+INDEX(Symboles!$G$6:$G$101,MOD(47+$C13+(1),$B$3)+1)*J13+INDEX(Symboles!$G$6:$G$101,MOD(47+$C13+(2),$B$3)+1)*K13+INDEX(Symboles!$G$6:$G$101,MOD(47+$C13+(3),$B$3)+1)*L13+INDEX(Symboles!$G$6:$G$101,MOD(47+$C13+(4),$B$3)+1)*M13+IF($B$6=0,0,$B$6*NORMSINV(0.000001+0.999998*RAND())))</f>
        <v/>
      </c>
      <c r="BL13" s="30">
        <f>IF(49&gt;$B$3,99,INDEX(Symboles!$G$6:$G$101,MOD(48+$C13+(-4),$B$3)+1)*E13+INDEX(Symboles!$G$6:$G$101,MOD(48+$C13+(-3),$B$3)+1)*F13+INDEX(Symboles!$G$6:$G$101,MOD(48+$C13+(-2),$B$3)+1)*G13+INDEX(Symboles!$G$6:$G$101,MOD(48+$C13+(-1),$B$3)+1)*H13+INDEX(Symboles!$G$6:$G$101,MOD(48+$C13+(0),$B$3)+1)*I13+INDEX(Symboles!$G$6:$G$101,MOD(48+$C13+(1),$B$3)+1)*J13+INDEX(Symboles!$G$6:$G$101,MOD(48+$C13+(2),$B$3)+1)*K13+INDEX(Symboles!$G$6:$G$101,MOD(48+$C13+(3),$B$3)+1)*L13+INDEX(Symboles!$G$6:$G$101,MOD(48+$C13+(4),$B$3)+1)*M13+IF($B$6=0,0,$B$6*NORMSINV(0.000001+0.999998*RAND())))</f>
        <v/>
      </c>
      <c r="BM13" s="30">
        <f>IF(50&gt;$B$3,99,INDEX(Symboles!$G$6:$G$101,MOD(49+$C13+(-4),$B$3)+1)*E13+INDEX(Symboles!$G$6:$G$101,MOD(49+$C13+(-3),$B$3)+1)*F13+INDEX(Symboles!$G$6:$G$101,MOD(49+$C13+(-2),$B$3)+1)*G13+INDEX(Symboles!$G$6:$G$101,MOD(49+$C13+(-1),$B$3)+1)*H13+INDEX(Symboles!$G$6:$G$101,MOD(49+$C13+(0),$B$3)+1)*I13+INDEX(Symboles!$G$6:$G$101,MOD(49+$C13+(1),$B$3)+1)*J13+INDEX(Symboles!$G$6:$G$101,MOD(49+$C13+(2),$B$3)+1)*K13+INDEX(Symboles!$G$6:$G$101,MOD(49+$C13+(3),$B$3)+1)*L13+INDEX(Symboles!$G$6:$G$101,MOD(49+$C13+(4),$B$3)+1)*M13+IF($B$6=0,0,$B$6*NORMSINV(0.000001+0.999998*RAND())))</f>
        <v/>
      </c>
      <c r="BN13" s="30">
        <f>IF(51&gt;$B$3,99,INDEX(Symboles!$G$6:$G$101,MOD(50+$C13+(-4),$B$3)+1)*E13+INDEX(Symboles!$G$6:$G$101,MOD(50+$C13+(-3),$B$3)+1)*F13+INDEX(Symboles!$G$6:$G$101,MOD(50+$C13+(-2),$B$3)+1)*G13+INDEX(Symboles!$G$6:$G$101,MOD(50+$C13+(-1),$B$3)+1)*H13+INDEX(Symboles!$G$6:$G$101,MOD(50+$C13+(0),$B$3)+1)*I13+INDEX(Symboles!$G$6:$G$101,MOD(50+$C13+(1),$B$3)+1)*J13+INDEX(Symboles!$G$6:$G$101,MOD(50+$C13+(2),$B$3)+1)*K13+INDEX(Symboles!$G$6:$G$101,MOD(50+$C13+(3),$B$3)+1)*L13+INDEX(Symboles!$G$6:$G$101,MOD(50+$C13+(4),$B$3)+1)*M13+IF($B$6=0,0,$B$6*NORMSINV(0.000001+0.999998*RAND())))</f>
        <v/>
      </c>
      <c r="BO13" s="30">
        <f>IF(52&gt;$B$3,99,INDEX(Symboles!$G$6:$G$101,MOD(51+$C13+(-4),$B$3)+1)*E13+INDEX(Symboles!$G$6:$G$101,MOD(51+$C13+(-3),$B$3)+1)*F13+INDEX(Symboles!$G$6:$G$101,MOD(51+$C13+(-2),$B$3)+1)*G13+INDEX(Symboles!$G$6:$G$101,MOD(51+$C13+(-1),$B$3)+1)*H13+INDEX(Symboles!$G$6:$G$101,MOD(51+$C13+(0),$B$3)+1)*I13+INDEX(Symboles!$G$6:$G$101,MOD(51+$C13+(1),$B$3)+1)*J13+INDEX(Symboles!$G$6:$G$101,MOD(51+$C13+(2),$B$3)+1)*K13+INDEX(Symboles!$G$6:$G$101,MOD(51+$C13+(3),$B$3)+1)*L13+INDEX(Symboles!$G$6:$G$101,MOD(51+$C13+(4),$B$3)+1)*M13+IF($B$6=0,0,$B$6*NORMSINV(0.000001+0.999998*RAND())))</f>
        <v/>
      </c>
      <c r="BP13" s="30">
        <f>IF(53&gt;$B$3,99,INDEX(Symboles!$G$6:$G$101,MOD(52+$C13+(-4),$B$3)+1)*E13+INDEX(Symboles!$G$6:$G$101,MOD(52+$C13+(-3),$B$3)+1)*F13+INDEX(Symboles!$G$6:$G$101,MOD(52+$C13+(-2),$B$3)+1)*G13+INDEX(Symboles!$G$6:$G$101,MOD(52+$C13+(-1),$B$3)+1)*H13+INDEX(Symboles!$G$6:$G$101,MOD(52+$C13+(0),$B$3)+1)*I13+INDEX(Symboles!$G$6:$G$101,MOD(52+$C13+(1),$B$3)+1)*J13+INDEX(Symboles!$G$6:$G$101,MOD(52+$C13+(2),$B$3)+1)*K13+INDEX(Symboles!$G$6:$G$101,MOD(52+$C13+(3),$B$3)+1)*L13+INDEX(Symboles!$G$6:$G$101,MOD(52+$C13+(4),$B$3)+1)*M13+IF($B$6=0,0,$B$6*NORMSINV(0.000001+0.999998*RAND())))</f>
        <v/>
      </c>
      <c r="BQ13" s="30">
        <f>IF(54&gt;$B$3,99,INDEX(Symboles!$G$6:$G$101,MOD(53+$C13+(-4),$B$3)+1)*E13+INDEX(Symboles!$G$6:$G$101,MOD(53+$C13+(-3),$B$3)+1)*F13+INDEX(Symboles!$G$6:$G$101,MOD(53+$C13+(-2),$B$3)+1)*G13+INDEX(Symboles!$G$6:$G$101,MOD(53+$C13+(-1),$B$3)+1)*H13+INDEX(Symboles!$G$6:$G$101,MOD(53+$C13+(0),$B$3)+1)*I13+INDEX(Symboles!$G$6:$G$101,MOD(53+$C13+(1),$B$3)+1)*J13+INDEX(Symboles!$G$6:$G$101,MOD(53+$C13+(2),$B$3)+1)*K13+INDEX(Symboles!$G$6:$G$101,MOD(53+$C13+(3),$B$3)+1)*L13+INDEX(Symboles!$G$6:$G$101,MOD(53+$C13+(4),$B$3)+1)*M13+IF($B$6=0,0,$B$6*NORMSINV(0.000001+0.999998*RAND())))</f>
        <v/>
      </c>
      <c r="BR13" s="30">
        <f>IF(55&gt;$B$3,99,INDEX(Symboles!$G$6:$G$101,MOD(54+$C13+(-4),$B$3)+1)*E13+INDEX(Symboles!$G$6:$G$101,MOD(54+$C13+(-3),$B$3)+1)*F13+INDEX(Symboles!$G$6:$G$101,MOD(54+$C13+(-2),$B$3)+1)*G13+INDEX(Symboles!$G$6:$G$101,MOD(54+$C13+(-1),$B$3)+1)*H13+INDEX(Symboles!$G$6:$G$101,MOD(54+$C13+(0),$B$3)+1)*I13+INDEX(Symboles!$G$6:$G$101,MOD(54+$C13+(1),$B$3)+1)*J13+INDEX(Symboles!$G$6:$G$101,MOD(54+$C13+(2),$B$3)+1)*K13+INDEX(Symboles!$G$6:$G$101,MOD(54+$C13+(3),$B$3)+1)*L13+INDEX(Symboles!$G$6:$G$101,MOD(54+$C13+(4),$B$3)+1)*M13+IF($B$6=0,0,$B$6*NORMSINV(0.000001+0.999998*RAND())))</f>
        <v/>
      </c>
      <c r="BS13" s="30">
        <f>IF(56&gt;$B$3,99,INDEX(Symboles!$G$6:$G$101,MOD(55+$C13+(-4),$B$3)+1)*E13+INDEX(Symboles!$G$6:$G$101,MOD(55+$C13+(-3),$B$3)+1)*F13+INDEX(Symboles!$G$6:$G$101,MOD(55+$C13+(-2),$B$3)+1)*G13+INDEX(Symboles!$G$6:$G$101,MOD(55+$C13+(-1),$B$3)+1)*H13+INDEX(Symboles!$G$6:$G$101,MOD(55+$C13+(0),$B$3)+1)*I13+INDEX(Symboles!$G$6:$G$101,MOD(55+$C13+(1),$B$3)+1)*J13+INDEX(Symboles!$G$6:$G$101,MOD(55+$C13+(2),$B$3)+1)*K13+INDEX(Symboles!$G$6:$G$101,MOD(55+$C13+(3),$B$3)+1)*L13+INDEX(Symboles!$G$6:$G$101,MOD(55+$C13+(4),$B$3)+1)*M13+IF($B$6=0,0,$B$6*NORMSINV(0.000001+0.999998*RAND())))</f>
        <v/>
      </c>
      <c r="BT13" s="30">
        <f>IF(57&gt;$B$3,99,INDEX(Symboles!$G$6:$G$101,MOD(56+$C13+(-4),$B$3)+1)*E13+INDEX(Symboles!$G$6:$G$101,MOD(56+$C13+(-3),$B$3)+1)*F13+INDEX(Symboles!$G$6:$G$101,MOD(56+$C13+(-2),$B$3)+1)*G13+INDEX(Symboles!$G$6:$G$101,MOD(56+$C13+(-1),$B$3)+1)*H13+INDEX(Symboles!$G$6:$G$101,MOD(56+$C13+(0),$B$3)+1)*I13+INDEX(Symboles!$G$6:$G$101,MOD(56+$C13+(1),$B$3)+1)*J13+INDEX(Symboles!$G$6:$G$101,MOD(56+$C13+(2),$B$3)+1)*K13+INDEX(Symboles!$G$6:$G$101,MOD(56+$C13+(3),$B$3)+1)*L13+INDEX(Symboles!$G$6:$G$101,MOD(56+$C13+(4),$B$3)+1)*M13+IF($B$6=0,0,$B$6*NORMSINV(0.000001+0.999998*RAND())))</f>
        <v/>
      </c>
      <c r="BU13" s="30">
        <f>IF(58&gt;$B$3,99,INDEX(Symboles!$G$6:$G$101,MOD(57+$C13+(-4),$B$3)+1)*E13+INDEX(Symboles!$G$6:$G$101,MOD(57+$C13+(-3),$B$3)+1)*F13+INDEX(Symboles!$G$6:$G$101,MOD(57+$C13+(-2),$B$3)+1)*G13+INDEX(Symboles!$G$6:$G$101,MOD(57+$C13+(-1),$B$3)+1)*H13+INDEX(Symboles!$G$6:$G$101,MOD(57+$C13+(0),$B$3)+1)*I13+INDEX(Symboles!$G$6:$G$101,MOD(57+$C13+(1),$B$3)+1)*J13+INDEX(Symboles!$G$6:$G$101,MOD(57+$C13+(2),$B$3)+1)*K13+INDEX(Symboles!$G$6:$G$101,MOD(57+$C13+(3),$B$3)+1)*L13+INDEX(Symboles!$G$6:$G$101,MOD(57+$C13+(4),$B$3)+1)*M13+IF($B$6=0,0,$B$6*NORMSINV(0.000001+0.999998*RAND())))</f>
        <v/>
      </c>
      <c r="BV13" s="30">
        <f>IF(59&gt;$B$3,99,INDEX(Symboles!$G$6:$G$101,MOD(58+$C13+(-4),$B$3)+1)*E13+INDEX(Symboles!$G$6:$G$101,MOD(58+$C13+(-3),$B$3)+1)*F13+INDEX(Symboles!$G$6:$G$101,MOD(58+$C13+(-2),$B$3)+1)*G13+INDEX(Symboles!$G$6:$G$101,MOD(58+$C13+(-1),$B$3)+1)*H13+INDEX(Symboles!$G$6:$G$101,MOD(58+$C13+(0),$B$3)+1)*I13+INDEX(Symboles!$G$6:$G$101,MOD(58+$C13+(1),$B$3)+1)*J13+INDEX(Symboles!$G$6:$G$101,MOD(58+$C13+(2),$B$3)+1)*K13+INDEX(Symboles!$G$6:$G$101,MOD(58+$C13+(3),$B$3)+1)*L13+INDEX(Symboles!$G$6:$G$101,MOD(58+$C13+(4),$B$3)+1)*M13+IF($B$6=0,0,$B$6*NORMSINV(0.000001+0.999998*RAND())))</f>
        <v/>
      </c>
      <c r="BW13" s="30">
        <f>IF(60&gt;$B$3,99,INDEX(Symboles!$G$6:$G$101,MOD(59+$C13+(-4),$B$3)+1)*E13+INDEX(Symboles!$G$6:$G$101,MOD(59+$C13+(-3),$B$3)+1)*F13+INDEX(Symboles!$G$6:$G$101,MOD(59+$C13+(-2),$B$3)+1)*G13+INDEX(Symboles!$G$6:$G$101,MOD(59+$C13+(-1),$B$3)+1)*H13+INDEX(Symboles!$G$6:$G$101,MOD(59+$C13+(0),$B$3)+1)*I13+INDEX(Symboles!$G$6:$G$101,MOD(59+$C13+(1),$B$3)+1)*J13+INDEX(Symboles!$G$6:$G$101,MOD(59+$C13+(2),$B$3)+1)*K13+INDEX(Symboles!$G$6:$G$101,MOD(59+$C13+(3),$B$3)+1)*L13+INDEX(Symboles!$G$6:$G$101,MOD(59+$C13+(4),$B$3)+1)*M13+IF($B$6=0,0,$B$6*NORMSINV(0.000001+0.999998*RAND())))</f>
        <v/>
      </c>
      <c r="BX13" s="30">
        <f>IF(61&gt;$B$3,99,INDEX(Symboles!$G$6:$G$101,MOD(60+$C13+(-4),$B$3)+1)*E13+INDEX(Symboles!$G$6:$G$101,MOD(60+$C13+(-3),$B$3)+1)*F13+INDEX(Symboles!$G$6:$G$101,MOD(60+$C13+(-2),$B$3)+1)*G13+INDEX(Symboles!$G$6:$G$101,MOD(60+$C13+(-1),$B$3)+1)*H13+INDEX(Symboles!$G$6:$G$101,MOD(60+$C13+(0),$B$3)+1)*I13+INDEX(Symboles!$G$6:$G$101,MOD(60+$C13+(1),$B$3)+1)*J13+INDEX(Symboles!$G$6:$G$101,MOD(60+$C13+(2),$B$3)+1)*K13+INDEX(Symboles!$G$6:$G$101,MOD(60+$C13+(3),$B$3)+1)*L13+INDEX(Symboles!$G$6:$G$101,MOD(60+$C13+(4),$B$3)+1)*M13+IF($B$6=0,0,$B$6*NORMSINV(0.000001+0.999998*RAND())))</f>
        <v/>
      </c>
      <c r="BY13" s="30">
        <f>IF(62&gt;$B$3,99,INDEX(Symboles!$G$6:$G$101,MOD(61+$C13+(-4),$B$3)+1)*E13+INDEX(Symboles!$G$6:$G$101,MOD(61+$C13+(-3),$B$3)+1)*F13+INDEX(Symboles!$G$6:$G$101,MOD(61+$C13+(-2),$B$3)+1)*G13+INDEX(Symboles!$G$6:$G$101,MOD(61+$C13+(-1),$B$3)+1)*H13+INDEX(Symboles!$G$6:$G$101,MOD(61+$C13+(0),$B$3)+1)*I13+INDEX(Symboles!$G$6:$G$101,MOD(61+$C13+(1),$B$3)+1)*J13+INDEX(Symboles!$G$6:$G$101,MOD(61+$C13+(2),$B$3)+1)*K13+INDEX(Symboles!$G$6:$G$101,MOD(61+$C13+(3),$B$3)+1)*L13+INDEX(Symboles!$G$6:$G$101,MOD(61+$C13+(4),$B$3)+1)*M13+IF($B$6=0,0,$B$6*NORMSINV(0.000001+0.999998*RAND())))</f>
        <v/>
      </c>
      <c r="BZ13" s="30">
        <f>IF(63&gt;$B$3,99,INDEX(Symboles!$G$6:$G$101,MOD(62+$C13+(-4),$B$3)+1)*E13+INDEX(Symboles!$G$6:$G$101,MOD(62+$C13+(-3),$B$3)+1)*F13+INDEX(Symboles!$G$6:$G$101,MOD(62+$C13+(-2),$B$3)+1)*G13+INDEX(Symboles!$G$6:$G$101,MOD(62+$C13+(-1),$B$3)+1)*H13+INDEX(Symboles!$G$6:$G$101,MOD(62+$C13+(0),$B$3)+1)*I13+INDEX(Symboles!$G$6:$G$101,MOD(62+$C13+(1),$B$3)+1)*J13+INDEX(Symboles!$G$6:$G$101,MOD(62+$C13+(2),$B$3)+1)*K13+INDEX(Symboles!$G$6:$G$101,MOD(62+$C13+(3),$B$3)+1)*L13+INDEX(Symboles!$G$6:$G$101,MOD(62+$C13+(4),$B$3)+1)*M13+IF($B$6=0,0,$B$6*NORMSINV(0.000001+0.999998*RAND())))</f>
        <v/>
      </c>
      <c r="CA13" s="30">
        <f>IF(64&gt;$B$3,99,INDEX(Symboles!$G$6:$G$101,MOD(63+$C13+(-4),$B$3)+1)*E13+INDEX(Symboles!$G$6:$G$101,MOD(63+$C13+(-3),$B$3)+1)*F13+INDEX(Symboles!$G$6:$G$101,MOD(63+$C13+(-2),$B$3)+1)*G13+INDEX(Symboles!$G$6:$G$101,MOD(63+$C13+(-1),$B$3)+1)*H13+INDEX(Symboles!$G$6:$G$101,MOD(63+$C13+(0),$B$3)+1)*I13+INDEX(Symboles!$G$6:$G$101,MOD(63+$C13+(1),$B$3)+1)*J13+INDEX(Symboles!$G$6:$G$101,MOD(63+$C13+(2),$B$3)+1)*K13+INDEX(Symboles!$G$6:$G$101,MOD(63+$C13+(3),$B$3)+1)*L13+INDEX(Symboles!$G$6:$G$101,MOD(63+$C13+(4),$B$3)+1)*M13+IF($B$6=0,0,$B$6*NORMSINV(0.000001+0.999998*RAND())))</f>
        <v/>
      </c>
      <c r="CB13" s="30">
        <f>IF(65&gt;$B$3,99,INDEX(Symboles!$G$6:$G$101,MOD(64+$C13+(-4),$B$3)+1)*E13+INDEX(Symboles!$G$6:$G$101,MOD(64+$C13+(-3),$B$3)+1)*F13+INDEX(Symboles!$G$6:$G$101,MOD(64+$C13+(-2),$B$3)+1)*G13+INDEX(Symboles!$G$6:$G$101,MOD(64+$C13+(-1),$B$3)+1)*H13+INDEX(Symboles!$G$6:$G$101,MOD(64+$C13+(0),$B$3)+1)*I13+INDEX(Symboles!$G$6:$G$101,MOD(64+$C13+(1),$B$3)+1)*J13+INDEX(Symboles!$G$6:$G$101,MOD(64+$C13+(2),$B$3)+1)*K13+INDEX(Symboles!$G$6:$G$101,MOD(64+$C13+(3),$B$3)+1)*L13+INDEX(Symboles!$G$6:$G$101,MOD(64+$C13+(4),$B$3)+1)*M13+IF($B$6=0,0,$B$6*NORMSINV(0.000001+0.999998*RAND())))</f>
        <v/>
      </c>
      <c r="CC13" s="30">
        <f>IF(66&gt;$B$3,99,INDEX(Symboles!$G$6:$G$101,MOD(65+$C13+(-4),$B$3)+1)*E13+INDEX(Symboles!$G$6:$G$101,MOD(65+$C13+(-3),$B$3)+1)*F13+INDEX(Symboles!$G$6:$G$101,MOD(65+$C13+(-2),$B$3)+1)*G13+INDEX(Symboles!$G$6:$G$101,MOD(65+$C13+(-1),$B$3)+1)*H13+INDEX(Symboles!$G$6:$G$101,MOD(65+$C13+(0),$B$3)+1)*I13+INDEX(Symboles!$G$6:$G$101,MOD(65+$C13+(1),$B$3)+1)*J13+INDEX(Symboles!$G$6:$G$101,MOD(65+$C13+(2),$B$3)+1)*K13+INDEX(Symboles!$G$6:$G$101,MOD(65+$C13+(3),$B$3)+1)*L13+INDEX(Symboles!$G$6:$G$101,MOD(65+$C13+(4),$B$3)+1)*M13+IF($B$6=0,0,$B$6*NORMSINV(0.000001+0.999998*RAND())))</f>
        <v/>
      </c>
      <c r="CD13" s="30">
        <f>IF(67&gt;$B$3,99,INDEX(Symboles!$G$6:$G$101,MOD(66+$C13+(-4),$B$3)+1)*E13+INDEX(Symboles!$G$6:$G$101,MOD(66+$C13+(-3),$B$3)+1)*F13+INDEX(Symboles!$G$6:$G$101,MOD(66+$C13+(-2),$B$3)+1)*G13+INDEX(Symboles!$G$6:$G$101,MOD(66+$C13+(-1),$B$3)+1)*H13+INDEX(Symboles!$G$6:$G$101,MOD(66+$C13+(0),$B$3)+1)*I13+INDEX(Symboles!$G$6:$G$101,MOD(66+$C13+(1),$B$3)+1)*J13+INDEX(Symboles!$G$6:$G$101,MOD(66+$C13+(2),$B$3)+1)*K13+INDEX(Symboles!$G$6:$G$101,MOD(66+$C13+(3),$B$3)+1)*L13+INDEX(Symboles!$G$6:$G$101,MOD(66+$C13+(4),$B$3)+1)*M13+IF($B$6=0,0,$B$6*NORMSINV(0.000001+0.999998*RAND())))</f>
        <v/>
      </c>
      <c r="CE13" s="30">
        <f>IF(68&gt;$B$3,99,INDEX(Symboles!$G$6:$G$101,MOD(67+$C13+(-4),$B$3)+1)*E13+INDEX(Symboles!$G$6:$G$101,MOD(67+$C13+(-3),$B$3)+1)*F13+INDEX(Symboles!$G$6:$G$101,MOD(67+$C13+(-2),$B$3)+1)*G13+INDEX(Symboles!$G$6:$G$101,MOD(67+$C13+(-1),$B$3)+1)*H13+INDEX(Symboles!$G$6:$G$101,MOD(67+$C13+(0),$B$3)+1)*I13+INDEX(Symboles!$G$6:$G$101,MOD(67+$C13+(1),$B$3)+1)*J13+INDEX(Symboles!$G$6:$G$101,MOD(67+$C13+(2),$B$3)+1)*K13+INDEX(Symboles!$G$6:$G$101,MOD(67+$C13+(3),$B$3)+1)*L13+INDEX(Symboles!$G$6:$G$101,MOD(67+$C13+(4),$B$3)+1)*M13+IF($B$6=0,0,$B$6*NORMSINV(0.000001+0.999998*RAND())))</f>
        <v/>
      </c>
      <c r="CF13" s="30">
        <f>IF(69&gt;$B$3,99,INDEX(Symboles!$G$6:$G$101,MOD(68+$C13+(-4),$B$3)+1)*E13+INDEX(Symboles!$G$6:$G$101,MOD(68+$C13+(-3),$B$3)+1)*F13+INDEX(Symboles!$G$6:$G$101,MOD(68+$C13+(-2),$B$3)+1)*G13+INDEX(Symboles!$G$6:$G$101,MOD(68+$C13+(-1),$B$3)+1)*H13+INDEX(Symboles!$G$6:$G$101,MOD(68+$C13+(0),$B$3)+1)*I13+INDEX(Symboles!$G$6:$G$101,MOD(68+$C13+(1),$B$3)+1)*J13+INDEX(Symboles!$G$6:$G$101,MOD(68+$C13+(2),$B$3)+1)*K13+INDEX(Symboles!$G$6:$G$101,MOD(68+$C13+(3),$B$3)+1)*L13+INDEX(Symboles!$G$6:$G$101,MOD(68+$C13+(4),$B$3)+1)*M13+IF($B$6=0,0,$B$6*NORMSINV(0.000001+0.999998*RAND())))</f>
        <v/>
      </c>
      <c r="CG13" s="30">
        <f>IF(70&gt;$B$3,99,INDEX(Symboles!$G$6:$G$101,MOD(69+$C13+(-4),$B$3)+1)*E13+INDEX(Symboles!$G$6:$G$101,MOD(69+$C13+(-3),$B$3)+1)*F13+INDEX(Symboles!$G$6:$G$101,MOD(69+$C13+(-2),$B$3)+1)*G13+INDEX(Symboles!$G$6:$G$101,MOD(69+$C13+(-1),$B$3)+1)*H13+INDEX(Symboles!$G$6:$G$101,MOD(69+$C13+(0),$B$3)+1)*I13+INDEX(Symboles!$G$6:$G$101,MOD(69+$C13+(1),$B$3)+1)*J13+INDEX(Symboles!$G$6:$G$101,MOD(69+$C13+(2),$B$3)+1)*K13+INDEX(Symboles!$G$6:$G$101,MOD(69+$C13+(3),$B$3)+1)*L13+INDEX(Symboles!$G$6:$G$101,MOD(69+$C13+(4),$B$3)+1)*M13+IF($B$6=0,0,$B$6*NORMSINV(0.000001+0.999998*RAND())))</f>
        <v/>
      </c>
      <c r="CH13" s="30">
        <f>IF(71&gt;$B$3,99,INDEX(Symboles!$G$6:$G$101,MOD(70+$C13+(-4),$B$3)+1)*E13+INDEX(Symboles!$G$6:$G$101,MOD(70+$C13+(-3),$B$3)+1)*F13+INDEX(Symboles!$G$6:$G$101,MOD(70+$C13+(-2),$B$3)+1)*G13+INDEX(Symboles!$G$6:$G$101,MOD(70+$C13+(-1),$B$3)+1)*H13+INDEX(Symboles!$G$6:$G$101,MOD(70+$C13+(0),$B$3)+1)*I13+INDEX(Symboles!$G$6:$G$101,MOD(70+$C13+(1),$B$3)+1)*J13+INDEX(Symboles!$G$6:$G$101,MOD(70+$C13+(2),$B$3)+1)*K13+INDEX(Symboles!$G$6:$G$101,MOD(70+$C13+(3),$B$3)+1)*L13+INDEX(Symboles!$G$6:$G$101,MOD(70+$C13+(4),$B$3)+1)*M13+IF($B$6=0,0,$B$6*NORMSINV(0.000001+0.999998*RAND())))</f>
        <v/>
      </c>
      <c r="CI13" s="30">
        <f>IF(72&gt;$B$3,99,INDEX(Symboles!$G$6:$G$101,MOD(71+$C13+(-4),$B$3)+1)*E13+INDEX(Symboles!$G$6:$G$101,MOD(71+$C13+(-3),$B$3)+1)*F13+INDEX(Symboles!$G$6:$G$101,MOD(71+$C13+(-2),$B$3)+1)*G13+INDEX(Symboles!$G$6:$G$101,MOD(71+$C13+(-1),$B$3)+1)*H13+INDEX(Symboles!$G$6:$G$101,MOD(71+$C13+(0),$B$3)+1)*I13+INDEX(Symboles!$G$6:$G$101,MOD(71+$C13+(1),$B$3)+1)*J13+INDEX(Symboles!$G$6:$G$101,MOD(71+$C13+(2),$B$3)+1)*K13+INDEX(Symboles!$G$6:$G$101,MOD(71+$C13+(3),$B$3)+1)*L13+INDEX(Symboles!$G$6:$G$101,MOD(71+$C13+(4),$B$3)+1)*M13+IF($B$6=0,0,$B$6*NORMSINV(0.000001+0.999998*RAND())))</f>
        <v/>
      </c>
      <c r="CJ13" s="30">
        <f>IF(73&gt;$B$3,99,INDEX(Symboles!$G$6:$G$101,MOD(72+$C13+(-4),$B$3)+1)*E13+INDEX(Symboles!$G$6:$G$101,MOD(72+$C13+(-3),$B$3)+1)*F13+INDEX(Symboles!$G$6:$G$101,MOD(72+$C13+(-2),$B$3)+1)*G13+INDEX(Symboles!$G$6:$G$101,MOD(72+$C13+(-1),$B$3)+1)*H13+INDEX(Symboles!$G$6:$G$101,MOD(72+$C13+(0),$B$3)+1)*I13+INDEX(Symboles!$G$6:$G$101,MOD(72+$C13+(1),$B$3)+1)*J13+INDEX(Symboles!$G$6:$G$101,MOD(72+$C13+(2),$B$3)+1)*K13+INDEX(Symboles!$G$6:$G$101,MOD(72+$C13+(3),$B$3)+1)*L13+INDEX(Symboles!$G$6:$G$101,MOD(72+$C13+(4),$B$3)+1)*M13+IF($B$6=0,0,$B$6*NORMSINV(0.000001+0.999998*RAND())))</f>
        <v/>
      </c>
      <c r="CK13" s="30">
        <f>IF(74&gt;$B$3,99,INDEX(Symboles!$G$6:$G$101,MOD(73+$C13+(-4),$B$3)+1)*E13+INDEX(Symboles!$G$6:$G$101,MOD(73+$C13+(-3),$B$3)+1)*F13+INDEX(Symboles!$G$6:$G$101,MOD(73+$C13+(-2),$B$3)+1)*G13+INDEX(Symboles!$G$6:$G$101,MOD(73+$C13+(-1),$B$3)+1)*H13+INDEX(Symboles!$G$6:$G$101,MOD(73+$C13+(0),$B$3)+1)*I13+INDEX(Symboles!$G$6:$G$101,MOD(73+$C13+(1),$B$3)+1)*J13+INDEX(Symboles!$G$6:$G$101,MOD(73+$C13+(2),$B$3)+1)*K13+INDEX(Symboles!$G$6:$G$101,MOD(73+$C13+(3),$B$3)+1)*L13+INDEX(Symboles!$G$6:$G$101,MOD(73+$C13+(4),$B$3)+1)*M13+IF($B$6=0,0,$B$6*NORMSINV(0.000001+0.999998*RAND())))</f>
        <v/>
      </c>
      <c r="CL13" s="30">
        <f>IF(75&gt;$B$3,99,INDEX(Symboles!$G$6:$G$101,MOD(74+$C13+(-4),$B$3)+1)*E13+INDEX(Symboles!$G$6:$G$101,MOD(74+$C13+(-3),$B$3)+1)*F13+INDEX(Symboles!$G$6:$G$101,MOD(74+$C13+(-2),$B$3)+1)*G13+INDEX(Symboles!$G$6:$G$101,MOD(74+$C13+(-1),$B$3)+1)*H13+INDEX(Symboles!$G$6:$G$101,MOD(74+$C13+(0),$B$3)+1)*I13+INDEX(Symboles!$G$6:$G$101,MOD(74+$C13+(1),$B$3)+1)*J13+INDEX(Symboles!$G$6:$G$101,MOD(74+$C13+(2),$B$3)+1)*K13+INDEX(Symboles!$G$6:$G$101,MOD(74+$C13+(3),$B$3)+1)*L13+INDEX(Symboles!$G$6:$G$101,MOD(74+$C13+(4),$B$3)+1)*M13+IF($B$6=0,0,$B$6*NORMSINV(0.000001+0.999998*RAND())))</f>
        <v/>
      </c>
      <c r="CM13" s="30">
        <f>IF(76&gt;$B$3,99,INDEX(Symboles!$G$6:$G$101,MOD(75+$C13+(-4),$B$3)+1)*E13+INDEX(Symboles!$G$6:$G$101,MOD(75+$C13+(-3),$B$3)+1)*F13+INDEX(Symboles!$G$6:$G$101,MOD(75+$C13+(-2),$B$3)+1)*G13+INDEX(Symboles!$G$6:$G$101,MOD(75+$C13+(-1),$B$3)+1)*H13+INDEX(Symboles!$G$6:$G$101,MOD(75+$C13+(0),$B$3)+1)*I13+INDEX(Symboles!$G$6:$G$101,MOD(75+$C13+(1),$B$3)+1)*J13+INDEX(Symboles!$G$6:$G$101,MOD(75+$C13+(2),$B$3)+1)*K13+INDEX(Symboles!$G$6:$G$101,MOD(75+$C13+(3),$B$3)+1)*L13+INDEX(Symboles!$G$6:$G$101,MOD(75+$C13+(4),$B$3)+1)*M13+IF($B$6=0,0,$B$6*NORMSINV(0.000001+0.999998*RAND())))</f>
        <v/>
      </c>
      <c r="CN13" s="30">
        <f>IF(77&gt;$B$3,99,INDEX(Symboles!$G$6:$G$101,MOD(76+$C13+(-4),$B$3)+1)*E13+INDEX(Symboles!$G$6:$G$101,MOD(76+$C13+(-3),$B$3)+1)*F13+INDEX(Symboles!$G$6:$G$101,MOD(76+$C13+(-2),$B$3)+1)*G13+INDEX(Symboles!$G$6:$G$101,MOD(76+$C13+(-1),$B$3)+1)*H13+INDEX(Symboles!$G$6:$G$101,MOD(76+$C13+(0),$B$3)+1)*I13+INDEX(Symboles!$G$6:$G$101,MOD(76+$C13+(1),$B$3)+1)*J13+INDEX(Symboles!$G$6:$G$101,MOD(76+$C13+(2),$B$3)+1)*K13+INDEX(Symboles!$G$6:$G$101,MOD(76+$C13+(3),$B$3)+1)*L13+INDEX(Symboles!$G$6:$G$101,MOD(76+$C13+(4),$B$3)+1)*M13+IF($B$6=0,0,$B$6*NORMSINV(0.000001+0.999998*RAND())))</f>
        <v/>
      </c>
      <c r="CO13" s="30">
        <f>IF(78&gt;$B$3,99,INDEX(Symboles!$G$6:$G$101,MOD(77+$C13+(-4),$B$3)+1)*E13+INDEX(Symboles!$G$6:$G$101,MOD(77+$C13+(-3),$B$3)+1)*F13+INDEX(Symboles!$G$6:$G$101,MOD(77+$C13+(-2),$B$3)+1)*G13+INDEX(Symboles!$G$6:$G$101,MOD(77+$C13+(-1),$B$3)+1)*H13+INDEX(Symboles!$G$6:$G$101,MOD(77+$C13+(0),$B$3)+1)*I13+INDEX(Symboles!$G$6:$G$101,MOD(77+$C13+(1),$B$3)+1)*J13+INDEX(Symboles!$G$6:$G$101,MOD(77+$C13+(2),$B$3)+1)*K13+INDEX(Symboles!$G$6:$G$101,MOD(77+$C13+(3),$B$3)+1)*L13+INDEX(Symboles!$G$6:$G$101,MOD(77+$C13+(4),$B$3)+1)*M13+IF($B$6=0,0,$B$6*NORMSINV(0.000001+0.999998*RAND())))</f>
        <v/>
      </c>
      <c r="CP13" s="30">
        <f>IF(79&gt;$B$3,99,INDEX(Symboles!$G$6:$G$101,MOD(78+$C13+(-4),$B$3)+1)*E13+INDEX(Symboles!$G$6:$G$101,MOD(78+$C13+(-3),$B$3)+1)*F13+INDEX(Symboles!$G$6:$G$101,MOD(78+$C13+(-2),$B$3)+1)*G13+INDEX(Symboles!$G$6:$G$101,MOD(78+$C13+(-1),$B$3)+1)*H13+INDEX(Symboles!$G$6:$G$101,MOD(78+$C13+(0),$B$3)+1)*I13+INDEX(Symboles!$G$6:$G$101,MOD(78+$C13+(1),$B$3)+1)*J13+INDEX(Symboles!$G$6:$G$101,MOD(78+$C13+(2),$B$3)+1)*K13+INDEX(Symboles!$G$6:$G$101,MOD(78+$C13+(3),$B$3)+1)*L13+INDEX(Symboles!$G$6:$G$101,MOD(78+$C13+(4),$B$3)+1)*M13+IF($B$6=0,0,$B$6*NORMSINV(0.000001+0.999998*RAND())))</f>
        <v/>
      </c>
      <c r="CQ13" s="30">
        <f>IF(80&gt;$B$3,99,INDEX(Symboles!$G$6:$G$101,MOD(79+$C13+(-4),$B$3)+1)*E13+INDEX(Symboles!$G$6:$G$101,MOD(79+$C13+(-3),$B$3)+1)*F13+INDEX(Symboles!$G$6:$G$101,MOD(79+$C13+(-2),$B$3)+1)*G13+INDEX(Symboles!$G$6:$G$101,MOD(79+$C13+(-1),$B$3)+1)*H13+INDEX(Symboles!$G$6:$G$101,MOD(79+$C13+(0),$B$3)+1)*I13+INDEX(Symboles!$G$6:$G$101,MOD(79+$C13+(1),$B$3)+1)*J13+INDEX(Symboles!$G$6:$G$101,MOD(79+$C13+(2),$B$3)+1)*K13+INDEX(Symboles!$G$6:$G$101,MOD(79+$C13+(3),$B$3)+1)*L13+INDEX(Symboles!$G$6:$G$101,MOD(79+$C13+(4),$B$3)+1)*M13+IF($B$6=0,0,$B$6*NORMSINV(0.000001+0.999998*RAND())))</f>
        <v/>
      </c>
      <c r="CR13" s="30">
        <f>IF(81&gt;$B$3,99,INDEX(Symboles!$G$6:$G$101,MOD(80+$C13+(-4),$B$3)+1)*E13+INDEX(Symboles!$G$6:$G$101,MOD(80+$C13+(-3),$B$3)+1)*F13+INDEX(Symboles!$G$6:$G$101,MOD(80+$C13+(-2),$B$3)+1)*G13+INDEX(Symboles!$G$6:$G$101,MOD(80+$C13+(-1),$B$3)+1)*H13+INDEX(Symboles!$G$6:$G$101,MOD(80+$C13+(0),$B$3)+1)*I13+INDEX(Symboles!$G$6:$G$101,MOD(80+$C13+(1),$B$3)+1)*J13+INDEX(Symboles!$G$6:$G$101,MOD(80+$C13+(2),$B$3)+1)*K13+INDEX(Symboles!$G$6:$G$101,MOD(80+$C13+(3),$B$3)+1)*L13+INDEX(Symboles!$G$6:$G$101,MOD(80+$C13+(4),$B$3)+1)*M13+IF($B$6=0,0,$B$6*NORMSINV(0.000001+0.999998*RAND())))</f>
        <v/>
      </c>
      <c r="CS13" s="30">
        <f>IF(82&gt;$B$3,99,INDEX(Symboles!$G$6:$G$101,MOD(81+$C13+(-4),$B$3)+1)*E13+INDEX(Symboles!$G$6:$G$101,MOD(81+$C13+(-3),$B$3)+1)*F13+INDEX(Symboles!$G$6:$G$101,MOD(81+$C13+(-2),$B$3)+1)*G13+INDEX(Symboles!$G$6:$G$101,MOD(81+$C13+(-1),$B$3)+1)*H13+INDEX(Symboles!$G$6:$G$101,MOD(81+$C13+(0),$B$3)+1)*I13+INDEX(Symboles!$G$6:$G$101,MOD(81+$C13+(1),$B$3)+1)*J13+INDEX(Symboles!$G$6:$G$101,MOD(81+$C13+(2),$B$3)+1)*K13+INDEX(Symboles!$G$6:$G$101,MOD(81+$C13+(3),$B$3)+1)*L13+INDEX(Symboles!$G$6:$G$101,MOD(81+$C13+(4),$B$3)+1)*M13+IF($B$6=0,0,$B$6*NORMSINV(0.000001+0.999998*RAND())))</f>
        <v/>
      </c>
      <c r="CT13" s="30">
        <f>IF(83&gt;$B$3,99,INDEX(Symboles!$G$6:$G$101,MOD(82+$C13+(-4),$B$3)+1)*E13+INDEX(Symboles!$G$6:$G$101,MOD(82+$C13+(-3),$B$3)+1)*F13+INDEX(Symboles!$G$6:$G$101,MOD(82+$C13+(-2),$B$3)+1)*G13+INDEX(Symboles!$G$6:$G$101,MOD(82+$C13+(-1),$B$3)+1)*H13+INDEX(Symboles!$G$6:$G$101,MOD(82+$C13+(0),$B$3)+1)*I13+INDEX(Symboles!$G$6:$G$101,MOD(82+$C13+(1),$B$3)+1)*J13+INDEX(Symboles!$G$6:$G$101,MOD(82+$C13+(2),$B$3)+1)*K13+INDEX(Symboles!$G$6:$G$101,MOD(82+$C13+(3),$B$3)+1)*L13+INDEX(Symboles!$G$6:$G$101,MOD(82+$C13+(4),$B$3)+1)*M13+IF($B$6=0,0,$B$6*NORMSINV(0.000001+0.999998*RAND())))</f>
        <v/>
      </c>
      <c r="CU13" s="30">
        <f>IF(84&gt;$B$3,99,INDEX(Symboles!$G$6:$G$101,MOD(83+$C13+(-4),$B$3)+1)*E13+INDEX(Symboles!$G$6:$G$101,MOD(83+$C13+(-3),$B$3)+1)*F13+INDEX(Symboles!$G$6:$G$101,MOD(83+$C13+(-2),$B$3)+1)*G13+INDEX(Symboles!$G$6:$G$101,MOD(83+$C13+(-1),$B$3)+1)*H13+INDEX(Symboles!$G$6:$G$101,MOD(83+$C13+(0),$B$3)+1)*I13+INDEX(Symboles!$G$6:$G$101,MOD(83+$C13+(1),$B$3)+1)*J13+INDEX(Symboles!$G$6:$G$101,MOD(83+$C13+(2),$B$3)+1)*K13+INDEX(Symboles!$G$6:$G$101,MOD(83+$C13+(3),$B$3)+1)*L13+INDEX(Symboles!$G$6:$G$101,MOD(83+$C13+(4),$B$3)+1)*M13+IF($B$6=0,0,$B$6*NORMSINV(0.000001+0.999998*RAND())))</f>
        <v/>
      </c>
      <c r="CV13" s="30">
        <f>IF(85&gt;$B$3,99,INDEX(Symboles!$G$6:$G$101,MOD(84+$C13+(-4),$B$3)+1)*E13+INDEX(Symboles!$G$6:$G$101,MOD(84+$C13+(-3),$B$3)+1)*F13+INDEX(Symboles!$G$6:$G$101,MOD(84+$C13+(-2),$B$3)+1)*G13+INDEX(Symboles!$G$6:$G$101,MOD(84+$C13+(-1),$B$3)+1)*H13+INDEX(Symboles!$G$6:$G$101,MOD(84+$C13+(0),$B$3)+1)*I13+INDEX(Symboles!$G$6:$G$101,MOD(84+$C13+(1),$B$3)+1)*J13+INDEX(Symboles!$G$6:$G$101,MOD(84+$C13+(2),$B$3)+1)*K13+INDEX(Symboles!$G$6:$G$101,MOD(84+$C13+(3),$B$3)+1)*L13+INDEX(Symboles!$G$6:$G$101,MOD(84+$C13+(4),$B$3)+1)*M13+IF($B$6=0,0,$B$6*NORMSINV(0.000001+0.999998*RAND())))</f>
        <v/>
      </c>
      <c r="CW13" s="30">
        <f>IF(86&gt;$B$3,99,INDEX(Symboles!$G$6:$G$101,MOD(85+$C13+(-4),$B$3)+1)*E13+INDEX(Symboles!$G$6:$G$101,MOD(85+$C13+(-3),$B$3)+1)*F13+INDEX(Symboles!$G$6:$G$101,MOD(85+$C13+(-2),$B$3)+1)*G13+INDEX(Symboles!$G$6:$G$101,MOD(85+$C13+(-1),$B$3)+1)*H13+INDEX(Symboles!$G$6:$G$101,MOD(85+$C13+(0),$B$3)+1)*I13+INDEX(Symboles!$G$6:$G$101,MOD(85+$C13+(1),$B$3)+1)*J13+INDEX(Symboles!$G$6:$G$101,MOD(85+$C13+(2),$B$3)+1)*K13+INDEX(Symboles!$G$6:$G$101,MOD(85+$C13+(3),$B$3)+1)*L13+INDEX(Symboles!$G$6:$G$101,MOD(85+$C13+(4),$B$3)+1)*M13+IF($B$6=0,0,$B$6*NORMSINV(0.000001+0.999998*RAND())))</f>
        <v/>
      </c>
      <c r="CX13" s="30">
        <f>IF(87&gt;$B$3,99,INDEX(Symboles!$G$6:$G$101,MOD(86+$C13+(-4),$B$3)+1)*E13+INDEX(Symboles!$G$6:$G$101,MOD(86+$C13+(-3),$B$3)+1)*F13+INDEX(Symboles!$G$6:$G$101,MOD(86+$C13+(-2),$B$3)+1)*G13+INDEX(Symboles!$G$6:$G$101,MOD(86+$C13+(-1),$B$3)+1)*H13+INDEX(Symboles!$G$6:$G$101,MOD(86+$C13+(0),$B$3)+1)*I13+INDEX(Symboles!$G$6:$G$101,MOD(86+$C13+(1),$B$3)+1)*J13+INDEX(Symboles!$G$6:$G$101,MOD(86+$C13+(2),$B$3)+1)*K13+INDEX(Symboles!$G$6:$G$101,MOD(86+$C13+(3),$B$3)+1)*L13+INDEX(Symboles!$G$6:$G$101,MOD(86+$C13+(4),$B$3)+1)*M13+IF($B$6=0,0,$B$6*NORMSINV(0.000001+0.999998*RAND())))</f>
        <v/>
      </c>
      <c r="CY13" s="30">
        <f>IF(88&gt;$B$3,99,INDEX(Symboles!$G$6:$G$101,MOD(87+$C13+(-4),$B$3)+1)*E13+INDEX(Symboles!$G$6:$G$101,MOD(87+$C13+(-3),$B$3)+1)*F13+INDEX(Symboles!$G$6:$G$101,MOD(87+$C13+(-2),$B$3)+1)*G13+INDEX(Symboles!$G$6:$G$101,MOD(87+$C13+(-1),$B$3)+1)*H13+INDEX(Symboles!$G$6:$G$101,MOD(87+$C13+(0),$B$3)+1)*I13+INDEX(Symboles!$G$6:$G$101,MOD(87+$C13+(1),$B$3)+1)*J13+INDEX(Symboles!$G$6:$G$101,MOD(87+$C13+(2),$B$3)+1)*K13+INDEX(Symboles!$G$6:$G$101,MOD(87+$C13+(3),$B$3)+1)*L13+INDEX(Symboles!$G$6:$G$101,MOD(87+$C13+(4),$B$3)+1)*M13+IF($B$6=0,0,$B$6*NORMSINV(0.000001+0.999998*RAND())))</f>
        <v/>
      </c>
      <c r="CZ13" s="30">
        <f>IF(89&gt;$B$3,99,INDEX(Symboles!$G$6:$G$101,MOD(88+$C13+(-4),$B$3)+1)*E13+INDEX(Symboles!$G$6:$G$101,MOD(88+$C13+(-3),$B$3)+1)*F13+INDEX(Symboles!$G$6:$G$101,MOD(88+$C13+(-2),$B$3)+1)*G13+INDEX(Symboles!$G$6:$G$101,MOD(88+$C13+(-1),$B$3)+1)*H13+INDEX(Symboles!$G$6:$G$101,MOD(88+$C13+(0),$B$3)+1)*I13+INDEX(Symboles!$G$6:$G$101,MOD(88+$C13+(1),$B$3)+1)*J13+INDEX(Symboles!$G$6:$G$101,MOD(88+$C13+(2),$B$3)+1)*K13+INDEX(Symboles!$G$6:$G$101,MOD(88+$C13+(3),$B$3)+1)*L13+INDEX(Symboles!$G$6:$G$101,MOD(88+$C13+(4),$B$3)+1)*M13+IF($B$6=0,0,$B$6*NORMSINV(0.000001+0.999998*RAND())))</f>
        <v/>
      </c>
      <c r="DA13" s="30">
        <f>IF(90&gt;$B$3,99,INDEX(Symboles!$G$6:$G$101,MOD(89+$C13+(-4),$B$3)+1)*E13+INDEX(Symboles!$G$6:$G$101,MOD(89+$C13+(-3),$B$3)+1)*F13+INDEX(Symboles!$G$6:$G$101,MOD(89+$C13+(-2),$B$3)+1)*G13+INDEX(Symboles!$G$6:$G$101,MOD(89+$C13+(-1),$B$3)+1)*H13+INDEX(Symboles!$G$6:$G$101,MOD(89+$C13+(0),$B$3)+1)*I13+INDEX(Symboles!$G$6:$G$101,MOD(89+$C13+(1),$B$3)+1)*J13+INDEX(Symboles!$G$6:$G$101,MOD(89+$C13+(2),$B$3)+1)*K13+INDEX(Symboles!$G$6:$G$101,MOD(89+$C13+(3),$B$3)+1)*L13+INDEX(Symboles!$G$6:$G$101,MOD(89+$C13+(4),$B$3)+1)*M13+IF($B$6=0,0,$B$6*NORMSINV(0.000001+0.999998*RAND())))</f>
        <v/>
      </c>
      <c r="DB13" s="30">
        <f>IF(91&gt;$B$3,99,INDEX(Symboles!$G$6:$G$101,MOD(90+$C13+(-4),$B$3)+1)*E13+INDEX(Symboles!$G$6:$G$101,MOD(90+$C13+(-3),$B$3)+1)*F13+INDEX(Symboles!$G$6:$G$101,MOD(90+$C13+(-2),$B$3)+1)*G13+INDEX(Symboles!$G$6:$G$101,MOD(90+$C13+(-1),$B$3)+1)*H13+INDEX(Symboles!$G$6:$G$101,MOD(90+$C13+(0),$B$3)+1)*I13+INDEX(Symboles!$G$6:$G$101,MOD(90+$C13+(1),$B$3)+1)*J13+INDEX(Symboles!$G$6:$G$101,MOD(90+$C13+(2),$B$3)+1)*K13+INDEX(Symboles!$G$6:$G$101,MOD(90+$C13+(3),$B$3)+1)*L13+INDEX(Symboles!$G$6:$G$101,MOD(90+$C13+(4),$B$3)+1)*M13+IF($B$6=0,0,$B$6*NORMSINV(0.000001+0.999998*RAND())))</f>
        <v/>
      </c>
      <c r="DC13" s="30">
        <f>IF(92&gt;$B$3,99,INDEX(Symboles!$G$6:$G$101,MOD(91+$C13+(-4),$B$3)+1)*E13+INDEX(Symboles!$G$6:$G$101,MOD(91+$C13+(-3),$B$3)+1)*F13+INDEX(Symboles!$G$6:$G$101,MOD(91+$C13+(-2),$B$3)+1)*G13+INDEX(Symboles!$G$6:$G$101,MOD(91+$C13+(-1),$B$3)+1)*H13+INDEX(Symboles!$G$6:$G$101,MOD(91+$C13+(0),$B$3)+1)*I13+INDEX(Symboles!$G$6:$G$101,MOD(91+$C13+(1),$B$3)+1)*J13+INDEX(Symboles!$G$6:$G$101,MOD(91+$C13+(2),$B$3)+1)*K13+INDEX(Symboles!$G$6:$G$101,MOD(91+$C13+(3),$B$3)+1)*L13+INDEX(Symboles!$G$6:$G$101,MOD(91+$C13+(4),$B$3)+1)*M13+IF($B$6=0,0,$B$6*NORMSINV(0.000001+0.999998*RAND())))</f>
        <v/>
      </c>
      <c r="DD13" s="30">
        <f>IF(93&gt;$B$3,99,INDEX(Symboles!$G$6:$G$101,MOD(92+$C13+(-4),$B$3)+1)*E13+INDEX(Symboles!$G$6:$G$101,MOD(92+$C13+(-3),$B$3)+1)*F13+INDEX(Symboles!$G$6:$G$101,MOD(92+$C13+(-2),$B$3)+1)*G13+INDEX(Symboles!$G$6:$G$101,MOD(92+$C13+(-1),$B$3)+1)*H13+INDEX(Symboles!$G$6:$G$101,MOD(92+$C13+(0),$B$3)+1)*I13+INDEX(Symboles!$G$6:$G$101,MOD(92+$C13+(1),$B$3)+1)*J13+INDEX(Symboles!$G$6:$G$101,MOD(92+$C13+(2),$B$3)+1)*K13+INDEX(Symboles!$G$6:$G$101,MOD(92+$C13+(3),$B$3)+1)*L13+INDEX(Symboles!$G$6:$G$101,MOD(92+$C13+(4),$B$3)+1)*M13+IF($B$6=0,0,$B$6*NORMSINV(0.000001+0.999998*RAND())))</f>
        <v/>
      </c>
      <c r="DE13" s="30">
        <f>IF(94&gt;$B$3,99,INDEX(Symboles!$G$6:$G$101,MOD(93+$C13+(-4),$B$3)+1)*E13+INDEX(Symboles!$G$6:$G$101,MOD(93+$C13+(-3),$B$3)+1)*F13+INDEX(Symboles!$G$6:$G$101,MOD(93+$C13+(-2),$B$3)+1)*G13+INDEX(Symboles!$G$6:$G$101,MOD(93+$C13+(-1),$B$3)+1)*H13+INDEX(Symboles!$G$6:$G$101,MOD(93+$C13+(0),$B$3)+1)*I13+INDEX(Symboles!$G$6:$G$101,MOD(93+$C13+(1),$B$3)+1)*J13+INDEX(Symboles!$G$6:$G$101,MOD(93+$C13+(2),$B$3)+1)*K13+INDEX(Symboles!$G$6:$G$101,MOD(93+$C13+(3),$B$3)+1)*L13+INDEX(Symboles!$G$6:$G$101,MOD(93+$C13+(4),$B$3)+1)*M13+IF($B$6=0,0,$B$6*NORMSINV(0.000001+0.999998*RAND())))</f>
        <v/>
      </c>
      <c r="DF13" s="30">
        <f>IF(95&gt;$B$3,99,INDEX(Symboles!$G$6:$G$101,MOD(94+$C13+(-4),$B$3)+1)*E13+INDEX(Symboles!$G$6:$G$101,MOD(94+$C13+(-3),$B$3)+1)*F13+INDEX(Symboles!$G$6:$G$101,MOD(94+$C13+(-2),$B$3)+1)*G13+INDEX(Symboles!$G$6:$G$101,MOD(94+$C13+(-1),$B$3)+1)*H13+INDEX(Symboles!$G$6:$G$101,MOD(94+$C13+(0),$B$3)+1)*I13+INDEX(Symboles!$G$6:$G$101,MOD(94+$C13+(1),$B$3)+1)*J13+INDEX(Symboles!$G$6:$G$101,MOD(94+$C13+(2),$B$3)+1)*K13+INDEX(Symboles!$G$6:$G$101,MOD(94+$C13+(3),$B$3)+1)*L13+INDEX(Symboles!$G$6:$G$101,MOD(94+$C13+(4),$B$3)+1)*M13+IF($B$6=0,0,$B$6*NORMSINV(0.000001+0.999998*RAND())))</f>
        <v/>
      </c>
      <c r="DG13" s="30">
        <f>IF(96&gt;$B$3,99,INDEX(Symboles!$G$6:$G$101,MOD(95+$C13+(-4),$B$3)+1)*E13+INDEX(Symboles!$G$6:$G$101,MOD(95+$C13+(-3),$B$3)+1)*F13+INDEX(Symboles!$G$6:$G$101,MOD(95+$C13+(-2),$B$3)+1)*G13+INDEX(Symboles!$G$6:$G$101,MOD(95+$C13+(-1),$B$3)+1)*H13+INDEX(Symboles!$G$6:$G$101,MOD(95+$C13+(0),$B$3)+1)*I13+INDEX(Symboles!$G$6:$G$101,MOD(95+$C13+(1),$B$3)+1)*J13+INDEX(Symboles!$G$6:$G$101,MOD(95+$C13+(2),$B$3)+1)*K13+INDEX(Symboles!$G$6:$G$101,MOD(95+$C13+(3),$B$3)+1)*L13+INDEX(Symboles!$G$6:$G$101,MOD(95+$C13+(4),$B$3)+1)*M13+IF($B$6=0,0,$B$6*NORMSINV(0.000001+0.999998*RAND())))</f>
        <v/>
      </c>
      <c r="DI13" s="30">
        <f>IF(1&gt;$B$3,99,INDEX(Symboles!$H$6:$H$101,MOD(0+$C13+(-4),$B$3)+1)*E13+INDEX(Symboles!$H$6:$H$101,MOD(0+$C13+(-3),$B$3)+1)*F13+INDEX(Symboles!$H$6:$H$101,MOD(0+$C13+(-2),$B$3)+1)*G13+INDEX(Symboles!$H$6:$H$101,MOD(0+$C13+(-1),$B$3)+1)*H13+INDEX(Symboles!$H$6:$H$101,MOD(0+$C13+(0),$B$3)+1)*I13+INDEX(Symboles!$H$6:$H$101,MOD(0+$C13+(1),$B$3)+1)*J13+INDEX(Symboles!$H$6:$H$101,MOD(0+$C13+(2),$B$3)+1)*K13+INDEX(Symboles!$H$6:$H$101,MOD(0+$C13+(3),$B$3)+1)*L13+INDEX(Symboles!$H$6:$H$101,MOD(0+$C13+(4),$B$3)+1)*M13+IF($B$6=0,0,$B$6*NORMSINV(0.000001+0.999998*RAND())))</f>
        <v/>
      </c>
      <c r="DJ13" s="30">
        <f>IF(2&gt;$B$3,99,INDEX(Symboles!$H$6:$H$101,MOD(1+$C13+(-4),$B$3)+1)*E13+INDEX(Symboles!$H$6:$H$101,MOD(1+$C13+(-3),$B$3)+1)*F13+INDEX(Symboles!$H$6:$H$101,MOD(1+$C13+(-2),$B$3)+1)*G13+INDEX(Symboles!$H$6:$H$101,MOD(1+$C13+(-1),$B$3)+1)*H13+INDEX(Symboles!$H$6:$H$101,MOD(1+$C13+(0),$B$3)+1)*I13+INDEX(Symboles!$H$6:$H$101,MOD(1+$C13+(1),$B$3)+1)*J13+INDEX(Symboles!$H$6:$H$101,MOD(1+$C13+(2),$B$3)+1)*K13+INDEX(Symboles!$H$6:$H$101,MOD(1+$C13+(3),$B$3)+1)*L13+INDEX(Symboles!$H$6:$H$101,MOD(1+$C13+(4),$B$3)+1)*M13+IF($B$6=0,0,$B$6*NORMSINV(0.000001+0.999998*RAND())))</f>
        <v/>
      </c>
      <c r="DK13" s="30">
        <f>IF(3&gt;$B$3,99,INDEX(Symboles!$H$6:$H$101,MOD(2+$C13+(-4),$B$3)+1)*E13+INDEX(Symboles!$H$6:$H$101,MOD(2+$C13+(-3),$B$3)+1)*F13+INDEX(Symboles!$H$6:$H$101,MOD(2+$C13+(-2),$B$3)+1)*G13+INDEX(Symboles!$H$6:$H$101,MOD(2+$C13+(-1),$B$3)+1)*H13+INDEX(Symboles!$H$6:$H$101,MOD(2+$C13+(0),$B$3)+1)*I13+INDEX(Symboles!$H$6:$H$101,MOD(2+$C13+(1),$B$3)+1)*J13+INDEX(Symboles!$H$6:$H$101,MOD(2+$C13+(2),$B$3)+1)*K13+INDEX(Symboles!$H$6:$H$101,MOD(2+$C13+(3),$B$3)+1)*L13+INDEX(Symboles!$H$6:$H$101,MOD(2+$C13+(4),$B$3)+1)*M13+IF($B$6=0,0,$B$6*NORMSINV(0.000001+0.999998*RAND())))</f>
        <v/>
      </c>
      <c r="DL13" s="30">
        <f>IF(4&gt;$B$3,99,INDEX(Symboles!$H$6:$H$101,MOD(3+$C13+(-4),$B$3)+1)*E13+INDEX(Symboles!$H$6:$H$101,MOD(3+$C13+(-3),$B$3)+1)*F13+INDEX(Symboles!$H$6:$H$101,MOD(3+$C13+(-2),$B$3)+1)*G13+INDEX(Symboles!$H$6:$H$101,MOD(3+$C13+(-1),$B$3)+1)*H13+INDEX(Symboles!$H$6:$H$101,MOD(3+$C13+(0),$B$3)+1)*I13+INDEX(Symboles!$H$6:$H$101,MOD(3+$C13+(1),$B$3)+1)*J13+INDEX(Symboles!$H$6:$H$101,MOD(3+$C13+(2),$B$3)+1)*K13+INDEX(Symboles!$H$6:$H$101,MOD(3+$C13+(3),$B$3)+1)*L13+INDEX(Symboles!$H$6:$H$101,MOD(3+$C13+(4),$B$3)+1)*M13+IF($B$6=0,0,$B$6*NORMSINV(0.000001+0.999998*RAND())))</f>
        <v/>
      </c>
      <c r="DM13" s="30">
        <f>IF(5&gt;$B$3,99,INDEX(Symboles!$H$6:$H$101,MOD(4+$C13+(-4),$B$3)+1)*E13+INDEX(Symboles!$H$6:$H$101,MOD(4+$C13+(-3),$B$3)+1)*F13+INDEX(Symboles!$H$6:$H$101,MOD(4+$C13+(-2),$B$3)+1)*G13+INDEX(Symboles!$H$6:$H$101,MOD(4+$C13+(-1),$B$3)+1)*H13+INDEX(Symboles!$H$6:$H$101,MOD(4+$C13+(0),$B$3)+1)*I13+INDEX(Symboles!$H$6:$H$101,MOD(4+$C13+(1),$B$3)+1)*J13+INDEX(Symboles!$H$6:$H$101,MOD(4+$C13+(2),$B$3)+1)*K13+INDEX(Symboles!$H$6:$H$101,MOD(4+$C13+(3),$B$3)+1)*L13+INDEX(Symboles!$H$6:$H$101,MOD(4+$C13+(4),$B$3)+1)*M13+IF($B$6=0,0,$B$6*NORMSINV(0.000001+0.999998*RAND())))</f>
        <v/>
      </c>
      <c r="DN13" s="30">
        <f>IF(6&gt;$B$3,99,INDEX(Symboles!$H$6:$H$101,MOD(5+$C13+(-4),$B$3)+1)*E13+INDEX(Symboles!$H$6:$H$101,MOD(5+$C13+(-3),$B$3)+1)*F13+INDEX(Symboles!$H$6:$H$101,MOD(5+$C13+(-2),$B$3)+1)*G13+INDEX(Symboles!$H$6:$H$101,MOD(5+$C13+(-1),$B$3)+1)*H13+INDEX(Symboles!$H$6:$H$101,MOD(5+$C13+(0),$B$3)+1)*I13+INDEX(Symboles!$H$6:$H$101,MOD(5+$C13+(1),$B$3)+1)*J13+INDEX(Symboles!$H$6:$H$101,MOD(5+$C13+(2),$B$3)+1)*K13+INDEX(Symboles!$H$6:$H$101,MOD(5+$C13+(3),$B$3)+1)*L13+INDEX(Symboles!$H$6:$H$101,MOD(5+$C13+(4),$B$3)+1)*M13+IF($B$6=0,0,$B$6*NORMSINV(0.000001+0.999998*RAND())))</f>
        <v/>
      </c>
      <c r="DO13" s="30">
        <f>IF(7&gt;$B$3,99,INDEX(Symboles!$H$6:$H$101,MOD(6+$C13+(-4),$B$3)+1)*E13+INDEX(Symboles!$H$6:$H$101,MOD(6+$C13+(-3),$B$3)+1)*F13+INDEX(Symboles!$H$6:$H$101,MOD(6+$C13+(-2),$B$3)+1)*G13+INDEX(Symboles!$H$6:$H$101,MOD(6+$C13+(-1),$B$3)+1)*H13+INDEX(Symboles!$H$6:$H$101,MOD(6+$C13+(0),$B$3)+1)*I13+INDEX(Symboles!$H$6:$H$101,MOD(6+$C13+(1),$B$3)+1)*J13+INDEX(Symboles!$H$6:$H$101,MOD(6+$C13+(2),$B$3)+1)*K13+INDEX(Symboles!$H$6:$H$101,MOD(6+$C13+(3),$B$3)+1)*L13+INDEX(Symboles!$H$6:$H$101,MOD(6+$C13+(4),$B$3)+1)*M13+IF($B$6=0,0,$B$6*NORMSINV(0.000001+0.999998*RAND())))</f>
        <v/>
      </c>
      <c r="DP13" s="30">
        <f>IF(8&gt;$B$3,99,INDEX(Symboles!$H$6:$H$101,MOD(7+$C13+(-4),$B$3)+1)*E13+INDEX(Symboles!$H$6:$H$101,MOD(7+$C13+(-3),$B$3)+1)*F13+INDEX(Symboles!$H$6:$H$101,MOD(7+$C13+(-2),$B$3)+1)*G13+INDEX(Symboles!$H$6:$H$101,MOD(7+$C13+(-1),$B$3)+1)*H13+INDEX(Symboles!$H$6:$H$101,MOD(7+$C13+(0),$B$3)+1)*I13+INDEX(Symboles!$H$6:$H$101,MOD(7+$C13+(1),$B$3)+1)*J13+INDEX(Symboles!$H$6:$H$101,MOD(7+$C13+(2),$B$3)+1)*K13+INDEX(Symboles!$H$6:$H$101,MOD(7+$C13+(3),$B$3)+1)*L13+INDEX(Symboles!$H$6:$H$101,MOD(7+$C13+(4),$B$3)+1)*M13+IF($B$6=0,0,$B$6*NORMSINV(0.000001+0.999998*RAND())))</f>
        <v/>
      </c>
      <c r="DQ13" s="30">
        <f>IF(9&gt;$B$3,99,INDEX(Symboles!$H$6:$H$101,MOD(8+$C13+(-4),$B$3)+1)*E13+INDEX(Symboles!$H$6:$H$101,MOD(8+$C13+(-3),$B$3)+1)*F13+INDEX(Symboles!$H$6:$H$101,MOD(8+$C13+(-2),$B$3)+1)*G13+INDEX(Symboles!$H$6:$H$101,MOD(8+$C13+(-1),$B$3)+1)*H13+INDEX(Symboles!$H$6:$H$101,MOD(8+$C13+(0),$B$3)+1)*I13+INDEX(Symboles!$H$6:$H$101,MOD(8+$C13+(1),$B$3)+1)*J13+INDEX(Symboles!$H$6:$H$101,MOD(8+$C13+(2),$B$3)+1)*K13+INDEX(Symboles!$H$6:$H$101,MOD(8+$C13+(3),$B$3)+1)*L13+INDEX(Symboles!$H$6:$H$101,MOD(8+$C13+(4),$B$3)+1)*M13+IF($B$6=0,0,$B$6*NORMSINV(0.000001+0.999998*RAND())))</f>
        <v/>
      </c>
      <c r="DR13" s="30">
        <f>IF(10&gt;$B$3,99,INDEX(Symboles!$H$6:$H$101,MOD(9+$C13+(-4),$B$3)+1)*E13+INDEX(Symboles!$H$6:$H$101,MOD(9+$C13+(-3),$B$3)+1)*F13+INDEX(Symboles!$H$6:$H$101,MOD(9+$C13+(-2),$B$3)+1)*G13+INDEX(Symboles!$H$6:$H$101,MOD(9+$C13+(-1),$B$3)+1)*H13+INDEX(Symboles!$H$6:$H$101,MOD(9+$C13+(0),$B$3)+1)*I13+INDEX(Symboles!$H$6:$H$101,MOD(9+$C13+(1),$B$3)+1)*J13+INDEX(Symboles!$H$6:$H$101,MOD(9+$C13+(2),$B$3)+1)*K13+INDEX(Symboles!$H$6:$H$101,MOD(9+$C13+(3),$B$3)+1)*L13+INDEX(Symboles!$H$6:$H$101,MOD(9+$C13+(4),$B$3)+1)*M13+IF($B$6=0,0,$B$6*NORMSINV(0.000001+0.999998*RAND())))</f>
        <v/>
      </c>
      <c r="DS13" s="30">
        <f>IF(11&gt;$B$3,99,INDEX(Symboles!$H$6:$H$101,MOD(10+$C13+(-4),$B$3)+1)*E13+INDEX(Symboles!$H$6:$H$101,MOD(10+$C13+(-3),$B$3)+1)*F13+INDEX(Symboles!$H$6:$H$101,MOD(10+$C13+(-2),$B$3)+1)*G13+INDEX(Symboles!$H$6:$H$101,MOD(10+$C13+(-1),$B$3)+1)*H13+INDEX(Symboles!$H$6:$H$101,MOD(10+$C13+(0),$B$3)+1)*I13+INDEX(Symboles!$H$6:$H$101,MOD(10+$C13+(1),$B$3)+1)*J13+INDEX(Symboles!$H$6:$H$101,MOD(10+$C13+(2),$B$3)+1)*K13+INDEX(Symboles!$H$6:$H$101,MOD(10+$C13+(3),$B$3)+1)*L13+INDEX(Symboles!$H$6:$H$101,MOD(10+$C13+(4),$B$3)+1)*M13+IF($B$6=0,0,$B$6*NORMSINV(0.000001+0.999998*RAND())))</f>
        <v/>
      </c>
      <c r="DT13" s="30">
        <f>IF(12&gt;$B$3,99,INDEX(Symboles!$H$6:$H$101,MOD(11+$C13+(-4),$B$3)+1)*E13+INDEX(Symboles!$H$6:$H$101,MOD(11+$C13+(-3),$B$3)+1)*F13+INDEX(Symboles!$H$6:$H$101,MOD(11+$C13+(-2),$B$3)+1)*G13+INDEX(Symboles!$H$6:$H$101,MOD(11+$C13+(-1),$B$3)+1)*H13+INDEX(Symboles!$H$6:$H$101,MOD(11+$C13+(0),$B$3)+1)*I13+INDEX(Symboles!$H$6:$H$101,MOD(11+$C13+(1),$B$3)+1)*J13+INDEX(Symboles!$H$6:$H$101,MOD(11+$C13+(2),$B$3)+1)*K13+INDEX(Symboles!$H$6:$H$101,MOD(11+$C13+(3),$B$3)+1)*L13+INDEX(Symboles!$H$6:$H$101,MOD(11+$C13+(4),$B$3)+1)*M13+IF($B$6=0,0,$B$6*NORMSINV(0.000001+0.999998*RAND())))</f>
        <v/>
      </c>
      <c r="DU13" s="30">
        <f>IF(13&gt;$B$3,99,INDEX(Symboles!$H$6:$H$101,MOD(12+$C13+(-4),$B$3)+1)*E13+INDEX(Symboles!$H$6:$H$101,MOD(12+$C13+(-3),$B$3)+1)*F13+INDEX(Symboles!$H$6:$H$101,MOD(12+$C13+(-2),$B$3)+1)*G13+INDEX(Symboles!$H$6:$H$101,MOD(12+$C13+(-1),$B$3)+1)*H13+INDEX(Symboles!$H$6:$H$101,MOD(12+$C13+(0),$B$3)+1)*I13+INDEX(Symboles!$H$6:$H$101,MOD(12+$C13+(1),$B$3)+1)*J13+INDEX(Symboles!$H$6:$H$101,MOD(12+$C13+(2),$B$3)+1)*K13+INDEX(Symboles!$H$6:$H$101,MOD(12+$C13+(3),$B$3)+1)*L13+INDEX(Symboles!$H$6:$H$101,MOD(12+$C13+(4),$B$3)+1)*M13+IF($B$6=0,0,$B$6*NORMSINV(0.000001+0.999998*RAND())))</f>
        <v/>
      </c>
      <c r="DV13" s="30">
        <f>IF(14&gt;$B$3,99,INDEX(Symboles!$H$6:$H$101,MOD(13+$C13+(-4),$B$3)+1)*E13+INDEX(Symboles!$H$6:$H$101,MOD(13+$C13+(-3),$B$3)+1)*F13+INDEX(Symboles!$H$6:$H$101,MOD(13+$C13+(-2),$B$3)+1)*G13+INDEX(Symboles!$H$6:$H$101,MOD(13+$C13+(-1),$B$3)+1)*H13+INDEX(Symboles!$H$6:$H$101,MOD(13+$C13+(0),$B$3)+1)*I13+INDEX(Symboles!$H$6:$H$101,MOD(13+$C13+(1),$B$3)+1)*J13+INDEX(Symboles!$H$6:$H$101,MOD(13+$C13+(2),$B$3)+1)*K13+INDEX(Symboles!$H$6:$H$101,MOD(13+$C13+(3),$B$3)+1)*L13+INDEX(Symboles!$H$6:$H$101,MOD(13+$C13+(4),$B$3)+1)*M13+IF($B$6=0,0,$B$6*NORMSINV(0.000001+0.999998*RAND())))</f>
        <v/>
      </c>
      <c r="DW13" s="30">
        <f>IF(15&gt;$B$3,99,INDEX(Symboles!$H$6:$H$101,MOD(14+$C13+(-4),$B$3)+1)*E13+INDEX(Symboles!$H$6:$H$101,MOD(14+$C13+(-3),$B$3)+1)*F13+INDEX(Symboles!$H$6:$H$101,MOD(14+$C13+(-2),$B$3)+1)*G13+INDEX(Symboles!$H$6:$H$101,MOD(14+$C13+(-1),$B$3)+1)*H13+INDEX(Symboles!$H$6:$H$101,MOD(14+$C13+(0),$B$3)+1)*I13+INDEX(Symboles!$H$6:$H$101,MOD(14+$C13+(1),$B$3)+1)*J13+INDEX(Symboles!$H$6:$H$101,MOD(14+$C13+(2),$B$3)+1)*K13+INDEX(Symboles!$H$6:$H$101,MOD(14+$C13+(3),$B$3)+1)*L13+INDEX(Symboles!$H$6:$H$101,MOD(14+$C13+(4),$B$3)+1)*M13+IF($B$6=0,0,$B$6*NORMSINV(0.000001+0.999998*RAND())))</f>
        <v/>
      </c>
      <c r="DX13" s="30">
        <f>IF(16&gt;$B$3,99,INDEX(Symboles!$H$6:$H$101,MOD(15+$C13+(-4),$B$3)+1)*E13+INDEX(Symboles!$H$6:$H$101,MOD(15+$C13+(-3),$B$3)+1)*F13+INDEX(Symboles!$H$6:$H$101,MOD(15+$C13+(-2),$B$3)+1)*G13+INDEX(Symboles!$H$6:$H$101,MOD(15+$C13+(-1),$B$3)+1)*H13+INDEX(Symboles!$H$6:$H$101,MOD(15+$C13+(0),$B$3)+1)*I13+INDEX(Symboles!$H$6:$H$101,MOD(15+$C13+(1),$B$3)+1)*J13+INDEX(Symboles!$H$6:$H$101,MOD(15+$C13+(2),$B$3)+1)*K13+INDEX(Symboles!$H$6:$H$101,MOD(15+$C13+(3),$B$3)+1)*L13+INDEX(Symboles!$H$6:$H$101,MOD(15+$C13+(4),$B$3)+1)*M13+IF($B$6=0,0,$B$6*NORMSINV(0.000001+0.999998*RAND())))</f>
        <v/>
      </c>
      <c r="DY13" s="30">
        <f>IF(17&gt;$B$3,99,INDEX(Symboles!$H$6:$H$101,MOD(16+$C13+(-4),$B$3)+1)*E13+INDEX(Symboles!$H$6:$H$101,MOD(16+$C13+(-3),$B$3)+1)*F13+INDEX(Symboles!$H$6:$H$101,MOD(16+$C13+(-2),$B$3)+1)*G13+INDEX(Symboles!$H$6:$H$101,MOD(16+$C13+(-1),$B$3)+1)*H13+INDEX(Symboles!$H$6:$H$101,MOD(16+$C13+(0),$B$3)+1)*I13+INDEX(Symboles!$H$6:$H$101,MOD(16+$C13+(1),$B$3)+1)*J13+INDEX(Symboles!$H$6:$H$101,MOD(16+$C13+(2),$B$3)+1)*K13+INDEX(Symboles!$H$6:$H$101,MOD(16+$C13+(3),$B$3)+1)*L13+INDEX(Symboles!$H$6:$H$101,MOD(16+$C13+(4),$B$3)+1)*M13+IF($B$6=0,0,$B$6*NORMSINV(0.000001+0.999998*RAND())))</f>
        <v/>
      </c>
      <c r="DZ13" s="30">
        <f>IF(18&gt;$B$3,99,INDEX(Symboles!$H$6:$H$101,MOD(17+$C13+(-4),$B$3)+1)*E13+INDEX(Symboles!$H$6:$H$101,MOD(17+$C13+(-3),$B$3)+1)*F13+INDEX(Symboles!$H$6:$H$101,MOD(17+$C13+(-2),$B$3)+1)*G13+INDEX(Symboles!$H$6:$H$101,MOD(17+$C13+(-1),$B$3)+1)*H13+INDEX(Symboles!$H$6:$H$101,MOD(17+$C13+(0),$B$3)+1)*I13+INDEX(Symboles!$H$6:$H$101,MOD(17+$C13+(1),$B$3)+1)*J13+INDEX(Symboles!$H$6:$H$101,MOD(17+$C13+(2),$B$3)+1)*K13+INDEX(Symboles!$H$6:$H$101,MOD(17+$C13+(3),$B$3)+1)*L13+INDEX(Symboles!$H$6:$H$101,MOD(17+$C13+(4),$B$3)+1)*M13+IF($B$6=0,0,$B$6*NORMSINV(0.000001+0.999998*RAND())))</f>
        <v/>
      </c>
      <c r="EA13" s="30">
        <f>IF(19&gt;$B$3,99,INDEX(Symboles!$H$6:$H$101,MOD(18+$C13+(-4),$B$3)+1)*E13+INDEX(Symboles!$H$6:$H$101,MOD(18+$C13+(-3),$B$3)+1)*F13+INDEX(Symboles!$H$6:$H$101,MOD(18+$C13+(-2),$B$3)+1)*G13+INDEX(Symboles!$H$6:$H$101,MOD(18+$C13+(-1),$B$3)+1)*H13+INDEX(Symboles!$H$6:$H$101,MOD(18+$C13+(0),$B$3)+1)*I13+INDEX(Symboles!$H$6:$H$101,MOD(18+$C13+(1),$B$3)+1)*J13+INDEX(Symboles!$H$6:$H$101,MOD(18+$C13+(2),$B$3)+1)*K13+INDEX(Symboles!$H$6:$H$101,MOD(18+$C13+(3),$B$3)+1)*L13+INDEX(Symboles!$H$6:$H$101,MOD(18+$C13+(4),$B$3)+1)*M13+IF($B$6=0,0,$B$6*NORMSINV(0.000001+0.999998*RAND())))</f>
        <v/>
      </c>
      <c r="EB13" s="30">
        <f>IF(20&gt;$B$3,99,INDEX(Symboles!$H$6:$H$101,MOD(19+$C13+(-4),$B$3)+1)*E13+INDEX(Symboles!$H$6:$H$101,MOD(19+$C13+(-3),$B$3)+1)*F13+INDEX(Symboles!$H$6:$H$101,MOD(19+$C13+(-2),$B$3)+1)*G13+INDEX(Symboles!$H$6:$H$101,MOD(19+$C13+(-1),$B$3)+1)*H13+INDEX(Symboles!$H$6:$H$101,MOD(19+$C13+(0),$B$3)+1)*I13+INDEX(Symboles!$H$6:$H$101,MOD(19+$C13+(1),$B$3)+1)*J13+INDEX(Symboles!$H$6:$H$101,MOD(19+$C13+(2),$B$3)+1)*K13+INDEX(Symboles!$H$6:$H$101,MOD(19+$C13+(3),$B$3)+1)*L13+INDEX(Symboles!$H$6:$H$101,MOD(19+$C13+(4),$B$3)+1)*M13+IF($B$6=0,0,$B$6*NORMSINV(0.000001+0.999998*RAND())))</f>
        <v/>
      </c>
      <c r="EC13" s="30">
        <f>IF(21&gt;$B$3,99,INDEX(Symboles!$H$6:$H$101,MOD(20+$C13+(-4),$B$3)+1)*E13+INDEX(Symboles!$H$6:$H$101,MOD(20+$C13+(-3),$B$3)+1)*F13+INDEX(Symboles!$H$6:$H$101,MOD(20+$C13+(-2),$B$3)+1)*G13+INDEX(Symboles!$H$6:$H$101,MOD(20+$C13+(-1),$B$3)+1)*H13+INDEX(Symboles!$H$6:$H$101,MOD(20+$C13+(0),$B$3)+1)*I13+INDEX(Symboles!$H$6:$H$101,MOD(20+$C13+(1),$B$3)+1)*J13+INDEX(Symboles!$H$6:$H$101,MOD(20+$C13+(2),$B$3)+1)*K13+INDEX(Symboles!$H$6:$H$101,MOD(20+$C13+(3),$B$3)+1)*L13+INDEX(Symboles!$H$6:$H$101,MOD(20+$C13+(4),$B$3)+1)*M13+IF($B$6=0,0,$B$6*NORMSINV(0.000001+0.999998*RAND())))</f>
        <v/>
      </c>
      <c r="ED13" s="30">
        <f>IF(22&gt;$B$3,99,INDEX(Symboles!$H$6:$H$101,MOD(21+$C13+(-4),$B$3)+1)*E13+INDEX(Symboles!$H$6:$H$101,MOD(21+$C13+(-3),$B$3)+1)*F13+INDEX(Symboles!$H$6:$H$101,MOD(21+$C13+(-2),$B$3)+1)*G13+INDEX(Symboles!$H$6:$H$101,MOD(21+$C13+(-1),$B$3)+1)*H13+INDEX(Symboles!$H$6:$H$101,MOD(21+$C13+(0),$B$3)+1)*I13+INDEX(Symboles!$H$6:$H$101,MOD(21+$C13+(1),$B$3)+1)*J13+INDEX(Symboles!$H$6:$H$101,MOD(21+$C13+(2),$B$3)+1)*K13+INDEX(Symboles!$H$6:$H$101,MOD(21+$C13+(3),$B$3)+1)*L13+INDEX(Symboles!$H$6:$H$101,MOD(21+$C13+(4),$B$3)+1)*M13+IF($B$6=0,0,$B$6*NORMSINV(0.000001+0.999998*RAND())))</f>
        <v/>
      </c>
      <c r="EE13" s="30">
        <f>IF(23&gt;$B$3,99,INDEX(Symboles!$H$6:$H$101,MOD(22+$C13+(-4),$B$3)+1)*E13+INDEX(Symboles!$H$6:$H$101,MOD(22+$C13+(-3),$B$3)+1)*F13+INDEX(Symboles!$H$6:$H$101,MOD(22+$C13+(-2),$B$3)+1)*G13+INDEX(Symboles!$H$6:$H$101,MOD(22+$C13+(-1),$B$3)+1)*H13+INDEX(Symboles!$H$6:$H$101,MOD(22+$C13+(0),$B$3)+1)*I13+INDEX(Symboles!$H$6:$H$101,MOD(22+$C13+(1),$B$3)+1)*J13+INDEX(Symboles!$H$6:$H$101,MOD(22+$C13+(2),$B$3)+1)*K13+INDEX(Symboles!$H$6:$H$101,MOD(22+$C13+(3),$B$3)+1)*L13+INDEX(Symboles!$H$6:$H$101,MOD(22+$C13+(4),$B$3)+1)*M13+IF($B$6=0,0,$B$6*NORMSINV(0.000001+0.999998*RAND())))</f>
        <v/>
      </c>
      <c r="EF13" s="30">
        <f>IF(24&gt;$B$3,99,INDEX(Symboles!$H$6:$H$101,MOD(23+$C13+(-4),$B$3)+1)*E13+INDEX(Symboles!$H$6:$H$101,MOD(23+$C13+(-3),$B$3)+1)*F13+INDEX(Symboles!$H$6:$H$101,MOD(23+$C13+(-2),$B$3)+1)*G13+INDEX(Symboles!$H$6:$H$101,MOD(23+$C13+(-1),$B$3)+1)*H13+INDEX(Symboles!$H$6:$H$101,MOD(23+$C13+(0),$B$3)+1)*I13+INDEX(Symboles!$H$6:$H$101,MOD(23+$C13+(1),$B$3)+1)*J13+INDEX(Symboles!$H$6:$H$101,MOD(23+$C13+(2),$B$3)+1)*K13+INDEX(Symboles!$H$6:$H$101,MOD(23+$C13+(3),$B$3)+1)*L13+INDEX(Symboles!$H$6:$H$101,MOD(23+$C13+(4),$B$3)+1)*M13+IF($B$6=0,0,$B$6*NORMSINV(0.000001+0.999998*RAND())))</f>
        <v/>
      </c>
      <c r="EG13" s="30">
        <f>IF(25&gt;$B$3,99,INDEX(Symboles!$H$6:$H$101,MOD(24+$C13+(-4),$B$3)+1)*E13+INDEX(Symboles!$H$6:$H$101,MOD(24+$C13+(-3),$B$3)+1)*F13+INDEX(Symboles!$H$6:$H$101,MOD(24+$C13+(-2),$B$3)+1)*G13+INDEX(Symboles!$H$6:$H$101,MOD(24+$C13+(-1),$B$3)+1)*H13+INDEX(Symboles!$H$6:$H$101,MOD(24+$C13+(0),$B$3)+1)*I13+INDEX(Symboles!$H$6:$H$101,MOD(24+$C13+(1),$B$3)+1)*J13+INDEX(Symboles!$H$6:$H$101,MOD(24+$C13+(2),$B$3)+1)*K13+INDEX(Symboles!$H$6:$H$101,MOD(24+$C13+(3),$B$3)+1)*L13+INDEX(Symboles!$H$6:$H$101,MOD(24+$C13+(4),$B$3)+1)*M13+IF($B$6=0,0,$B$6*NORMSINV(0.000001+0.999998*RAND())))</f>
        <v/>
      </c>
      <c r="EH13" s="30">
        <f>IF(26&gt;$B$3,99,INDEX(Symboles!$H$6:$H$101,MOD(25+$C13+(-4),$B$3)+1)*E13+INDEX(Symboles!$H$6:$H$101,MOD(25+$C13+(-3),$B$3)+1)*F13+INDEX(Symboles!$H$6:$H$101,MOD(25+$C13+(-2),$B$3)+1)*G13+INDEX(Symboles!$H$6:$H$101,MOD(25+$C13+(-1),$B$3)+1)*H13+INDEX(Symboles!$H$6:$H$101,MOD(25+$C13+(0),$B$3)+1)*I13+INDEX(Symboles!$H$6:$H$101,MOD(25+$C13+(1),$B$3)+1)*J13+INDEX(Symboles!$H$6:$H$101,MOD(25+$C13+(2),$B$3)+1)*K13+INDEX(Symboles!$H$6:$H$101,MOD(25+$C13+(3),$B$3)+1)*L13+INDEX(Symboles!$H$6:$H$101,MOD(25+$C13+(4),$B$3)+1)*M13+IF($B$6=0,0,$B$6*NORMSINV(0.000001+0.999998*RAND())))</f>
        <v/>
      </c>
      <c r="EI13" s="30">
        <f>IF(27&gt;$B$3,99,INDEX(Symboles!$H$6:$H$101,MOD(26+$C13+(-4),$B$3)+1)*E13+INDEX(Symboles!$H$6:$H$101,MOD(26+$C13+(-3),$B$3)+1)*F13+INDEX(Symboles!$H$6:$H$101,MOD(26+$C13+(-2),$B$3)+1)*G13+INDEX(Symboles!$H$6:$H$101,MOD(26+$C13+(-1),$B$3)+1)*H13+INDEX(Symboles!$H$6:$H$101,MOD(26+$C13+(0),$B$3)+1)*I13+INDEX(Symboles!$H$6:$H$101,MOD(26+$C13+(1),$B$3)+1)*J13+INDEX(Symboles!$H$6:$H$101,MOD(26+$C13+(2),$B$3)+1)*K13+INDEX(Symboles!$H$6:$H$101,MOD(26+$C13+(3),$B$3)+1)*L13+INDEX(Symboles!$H$6:$H$101,MOD(26+$C13+(4),$B$3)+1)*M13+IF($B$6=0,0,$B$6*NORMSINV(0.000001+0.999998*RAND())))</f>
        <v/>
      </c>
      <c r="EJ13" s="30">
        <f>IF(28&gt;$B$3,99,INDEX(Symboles!$H$6:$H$101,MOD(27+$C13+(-4),$B$3)+1)*E13+INDEX(Symboles!$H$6:$H$101,MOD(27+$C13+(-3),$B$3)+1)*F13+INDEX(Symboles!$H$6:$H$101,MOD(27+$C13+(-2),$B$3)+1)*G13+INDEX(Symboles!$H$6:$H$101,MOD(27+$C13+(-1),$B$3)+1)*H13+INDEX(Symboles!$H$6:$H$101,MOD(27+$C13+(0),$B$3)+1)*I13+INDEX(Symboles!$H$6:$H$101,MOD(27+$C13+(1),$B$3)+1)*J13+INDEX(Symboles!$H$6:$H$101,MOD(27+$C13+(2),$B$3)+1)*K13+INDEX(Symboles!$H$6:$H$101,MOD(27+$C13+(3),$B$3)+1)*L13+INDEX(Symboles!$H$6:$H$101,MOD(27+$C13+(4),$B$3)+1)*M13+IF($B$6=0,0,$B$6*NORMSINV(0.000001+0.999998*RAND())))</f>
        <v/>
      </c>
      <c r="EK13" s="30">
        <f>IF(29&gt;$B$3,99,INDEX(Symboles!$H$6:$H$101,MOD(28+$C13+(-4),$B$3)+1)*E13+INDEX(Symboles!$H$6:$H$101,MOD(28+$C13+(-3),$B$3)+1)*F13+INDEX(Symboles!$H$6:$H$101,MOD(28+$C13+(-2),$B$3)+1)*G13+INDEX(Symboles!$H$6:$H$101,MOD(28+$C13+(-1),$B$3)+1)*H13+INDEX(Symboles!$H$6:$H$101,MOD(28+$C13+(0),$B$3)+1)*I13+INDEX(Symboles!$H$6:$H$101,MOD(28+$C13+(1),$B$3)+1)*J13+INDEX(Symboles!$H$6:$H$101,MOD(28+$C13+(2),$B$3)+1)*K13+INDEX(Symboles!$H$6:$H$101,MOD(28+$C13+(3),$B$3)+1)*L13+INDEX(Symboles!$H$6:$H$101,MOD(28+$C13+(4),$B$3)+1)*M13+IF($B$6=0,0,$B$6*NORMSINV(0.000001+0.999998*RAND())))</f>
        <v/>
      </c>
      <c r="EL13" s="30">
        <f>IF(30&gt;$B$3,99,INDEX(Symboles!$H$6:$H$101,MOD(29+$C13+(-4),$B$3)+1)*E13+INDEX(Symboles!$H$6:$H$101,MOD(29+$C13+(-3),$B$3)+1)*F13+INDEX(Symboles!$H$6:$H$101,MOD(29+$C13+(-2),$B$3)+1)*G13+INDEX(Symboles!$H$6:$H$101,MOD(29+$C13+(-1),$B$3)+1)*H13+INDEX(Symboles!$H$6:$H$101,MOD(29+$C13+(0),$B$3)+1)*I13+INDEX(Symboles!$H$6:$H$101,MOD(29+$C13+(1),$B$3)+1)*J13+INDEX(Symboles!$H$6:$H$101,MOD(29+$C13+(2),$B$3)+1)*K13+INDEX(Symboles!$H$6:$H$101,MOD(29+$C13+(3),$B$3)+1)*L13+INDEX(Symboles!$H$6:$H$101,MOD(29+$C13+(4),$B$3)+1)*M13+IF($B$6=0,0,$B$6*NORMSINV(0.000001+0.999998*RAND())))</f>
        <v/>
      </c>
      <c r="EM13" s="30">
        <f>IF(31&gt;$B$3,99,INDEX(Symboles!$H$6:$H$101,MOD(30+$C13+(-4),$B$3)+1)*E13+INDEX(Symboles!$H$6:$H$101,MOD(30+$C13+(-3),$B$3)+1)*F13+INDEX(Symboles!$H$6:$H$101,MOD(30+$C13+(-2),$B$3)+1)*G13+INDEX(Symboles!$H$6:$H$101,MOD(30+$C13+(-1),$B$3)+1)*H13+INDEX(Symboles!$H$6:$H$101,MOD(30+$C13+(0),$B$3)+1)*I13+INDEX(Symboles!$H$6:$H$101,MOD(30+$C13+(1),$B$3)+1)*J13+INDEX(Symboles!$H$6:$H$101,MOD(30+$C13+(2),$B$3)+1)*K13+INDEX(Symboles!$H$6:$H$101,MOD(30+$C13+(3),$B$3)+1)*L13+INDEX(Symboles!$H$6:$H$101,MOD(30+$C13+(4),$B$3)+1)*M13+IF($B$6=0,0,$B$6*NORMSINV(0.000001+0.999998*RAND())))</f>
        <v/>
      </c>
      <c r="EN13" s="30">
        <f>IF(32&gt;$B$3,99,INDEX(Symboles!$H$6:$H$101,MOD(31+$C13+(-4),$B$3)+1)*E13+INDEX(Symboles!$H$6:$H$101,MOD(31+$C13+(-3),$B$3)+1)*F13+INDEX(Symboles!$H$6:$H$101,MOD(31+$C13+(-2),$B$3)+1)*G13+INDEX(Symboles!$H$6:$H$101,MOD(31+$C13+(-1),$B$3)+1)*H13+INDEX(Symboles!$H$6:$H$101,MOD(31+$C13+(0),$B$3)+1)*I13+INDEX(Symboles!$H$6:$H$101,MOD(31+$C13+(1),$B$3)+1)*J13+INDEX(Symboles!$H$6:$H$101,MOD(31+$C13+(2),$B$3)+1)*K13+INDEX(Symboles!$H$6:$H$101,MOD(31+$C13+(3),$B$3)+1)*L13+INDEX(Symboles!$H$6:$H$101,MOD(31+$C13+(4),$B$3)+1)*M13+IF($B$6=0,0,$B$6*NORMSINV(0.000001+0.999998*RAND())))</f>
        <v/>
      </c>
      <c r="EO13" s="30">
        <f>IF(33&gt;$B$3,99,INDEX(Symboles!$H$6:$H$101,MOD(32+$C13+(-4),$B$3)+1)*E13+INDEX(Symboles!$H$6:$H$101,MOD(32+$C13+(-3),$B$3)+1)*F13+INDEX(Symboles!$H$6:$H$101,MOD(32+$C13+(-2),$B$3)+1)*G13+INDEX(Symboles!$H$6:$H$101,MOD(32+$C13+(-1),$B$3)+1)*H13+INDEX(Symboles!$H$6:$H$101,MOD(32+$C13+(0),$B$3)+1)*I13+INDEX(Symboles!$H$6:$H$101,MOD(32+$C13+(1),$B$3)+1)*J13+INDEX(Symboles!$H$6:$H$101,MOD(32+$C13+(2),$B$3)+1)*K13+INDEX(Symboles!$H$6:$H$101,MOD(32+$C13+(3),$B$3)+1)*L13+INDEX(Symboles!$H$6:$H$101,MOD(32+$C13+(4),$B$3)+1)*M13+IF($B$6=0,0,$B$6*NORMSINV(0.000001+0.999998*RAND())))</f>
        <v/>
      </c>
      <c r="EP13" s="30">
        <f>IF(34&gt;$B$3,99,INDEX(Symboles!$H$6:$H$101,MOD(33+$C13+(-4),$B$3)+1)*E13+INDEX(Symboles!$H$6:$H$101,MOD(33+$C13+(-3),$B$3)+1)*F13+INDEX(Symboles!$H$6:$H$101,MOD(33+$C13+(-2),$B$3)+1)*G13+INDEX(Symboles!$H$6:$H$101,MOD(33+$C13+(-1),$B$3)+1)*H13+INDEX(Symboles!$H$6:$H$101,MOD(33+$C13+(0),$B$3)+1)*I13+INDEX(Symboles!$H$6:$H$101,MOD(33+$C13+(1),$B$3)+1)*J13+INDEX(Symboles!$H$6:$H$101,MOD(33+$C13+(2),$B$3)+1)*K13+INDEX(Symboles!$H$6:$H$101,MOD(33+$C13+(3),$B$3)+1)*L13+INDEX(Symboles!$H$6:$H$101,MOD(33+$C13+(4),$B$3)+1)*M13+IF($B$6=0,0,$B$6*NORMSINV(0.000001+0.999998*RAND())))</f>
        <v/>
      </c>
      <c r="EQ13" s="30">
        <f>IF(35&gt;$B$3,99,INDEX(Symboles!$H$6:$H$101,MOD(34+$C13+(-4),$B$3)+1)*E13+INDEX(Symboles!$H$6:$H$101,MOD(34+$C13+(-3),$B$3)+1)*F13+INDEX(Symboles!$H$6:$H$101,MOD(34+$C13+(-2),$B$3)+1)*G13+INDEX(Symboles!$H$6:$H$101,MOD(34+$C13+(-1),$B$3)+1)*H13+INDEX(Symboles!$H$6:$H$101,MOD(34+$C13+(0),$B$3)+1)*I13+INDEX(Symboles!$H$6:$H$101,MOD(34+$C13+(1),$B$3)+1)*J13+INDEX(Symboles!$H$6:$H$101,MOD(34+$C13+(2),$B$3)+1)*K13+INDEX(Symboles!$H$6:$H$101,MOD(34+$C13+(3),$B$3)+1)*L13+INDEX(Symboles!$H$6:$H$101,MOD(34+$C13+(4),$B$3)+1)*M13+IF($B$6=0,0,$B$6*NORMSINV(0.000001+0.999998*RAND())))</f>
        <v/>
      </c>
      <c r="ER13" s="30">
        <f>IF(36&gt;$B$3,99,INDEX(Symboles!$H$6:$H$101,MOD(35+$C13+(-4),$B$3)+1)*E13+INDEX(Symboles!$H$6:$H$101,MOD(35+$C13+(-3),$B$3)+1)*F13+INDEX(Symboles!$H$6:$H$101,MOD(35+$C13+(-2),$B$3)+1)*G13+INDEX(Symboles!$H$6:$H$101,MOD(35+$C13+(-1),$B$3)+1)*H13+INDEX(Symboles!$H$6:$H$101,MOD(35+$C13+(0),$B$3)+1)*I13+INDEX(Symboles!$H$6:$H$101,MOD(35+$C13+(1),$B$3)+1)*J13+INDEX(Symboles!$H$6:$H$101,MOD(35+$C13+(2),$B$3)+1)*K13+INDEX(Symboles!$H$6:$H$101,MOD(35+$C13+(3),$B$3)+1)*L13+INDEX(Symboles!$H$6:$H$101,MOD(35+$C13+(4),$B$3)+1)*M13+IF($B$6=0,0,$B$6*NORMSINV(0.000001+0.999998*RAND())))</f>
        <v/>
      </c>
      <c r="ES13" s="30">
        <f>IF(37&gt;$B$3,99,INDEX(Symboles!$H$6:$H$101,MOD(36+$C13+(-4),$B$3)+1)*E13+INDEX(Symboles!$H$6:$H$101,MOD(36+$C13+(-3),$B$3)+1)*F13+INDEX(Symboles!$H$6:$H$101,MOD(36+$C13+(-2),$B$3)+1)*G13+INDEX(Symboles!$H$6:$H$101,MOD(36+$C13+(-1),$B$3)+1)*H13+INDEX(Symboles!$H$6:$H$101,MOD(36+$C13+(0),$B$3)+1)*I13+INDEX(Symboles!$H$6:$H$101,MOD(36+$C13+(1),$B$3)+1)*J13+INDEX(Symboles!$H$6:$H$101,MOD(36+$C13+(2),$B$3)+1)*K13+INDEX(Symboles!$H$6:$H$101,MOD(36+$C13+(3),$B$3)+1)*L13+INDEX(Symboles!$H$6:$H$101,MOD(36+$C13+(4),$B$3)+1)*M13+IF($B$6=0,0,$B$6*NORMSINV(0.000001+0.999998*RAND())))</f>
        <v/>
      </c>
      <c r="ET13" s="30">
        <f>IF(38&gt;$B$3,99,INDEX(Symboles!$H$6:$H$101,MOD(37+$C13+(-4),$B$3)+1)*E13+INDEX(Symboles!$H$6:$H$101,MOD(37+$C13+(-3),$B$3)+1)*F13+INDEX(Symboles!$H$6:$H$101,MOD(37+$C13+(-2),$B$3)+1)*G13+INDEX(Symboles!$H$6:$H$101,MOD(37+$C13+(-1),$B$3)+1)*H13+INDEX(Symboles!$H$6:$H$101,MOD(37+$C13+(0),$B$3)+1)*I13+INDEX(Symboles!$H$6:$H$101,MOD(37+$C13+(1),$B$3)+1)*J13+INDEX(Symboles!$H$6:$H$101,MOD(37+$C13+(2),$B$3)+1)*K13+INDEX(Symboles!$H$6:$H$101,MOD(37+$C13+(3),$B$3)+1)*L13+INDEX(Symboles!$H$6:$H$101,MOD(37+$C13+(4),$B$3)+1)*M13+IF($B$6=0,0,$B$6*NORMSINV(0.000001+0.999998*RAND())))</f>
        <v/>
      </c>
      <c r="EU13" s="30">
        <f>IF(39&gt;$B$3,99,INDEX(Symboles!$H$6:$H$101,MOD(38+$C13+(-4),$B$3)+1)*E13+INDEX(Symboles!$H$6:$H$101,MOD(38+$C13+(-3),$B$3)+1)*F13+INDEX(Symboles!$H$6:$H$101,MOD(38+$C13+(-2),$B$3)+1)*G13+INDEX(Symboles!$H$6:$H$101,MOD(38+$C13+(-1),$B$3)+1)*H13+INDEX(Symboles!$H$6:$H$101,MOD(38+$C13+(0),$B$3)+1)*I13+INDEX(Symboles!$H$6:$H$101,MOD(38+$C13+(1),$B$3)+1)*J13+INDEX(Symboles!$H$6:$H$101,MOD(38+$C13+(2),$B$3)+1)*K13+INDEX(Symboles!$H$6:$H$101,MOD(38+$C13+(3),$B$3)+1)*L13+INDEX(Symboles!$H$6:$H$101,MOD(38+$C13+(4),$B$3)+1)*M13+IF($B$6=0,0,$B$6*NORMSINV(0.000001+0.999998*RAND())))</f>
        <v/>
      </c>
      <c r="EV13" s="30">
        <f>IF(40&gt;$B$3,99,INDEX(Symboles!$H$6:$H$101,MOD(39+$C13+(-4),$B$3)+1)*E13+INDEX(Symboles!$H$6:$H$101,MOD(39+$C13+(-3),$B$3)+1)*F13+INDEX(Symboles!$H$6:$H$101,MOD(39+$C13+(-2),$B$3)+1)*G13+INDEX(Symboles!$H$6:$H$101,MOD(39+$C13+(-1),$B$3)+1)*H13+INDEX(Symboles!$H$6:$H$101,MOD(39+$C13+(0),$B$3)+1)*I13+INDEX(Symboles!$H$6:$H$101,MOD(39+$C13+(1),$B$3)+1)*J13+INDEX(Symboles!$H$6:$H$101,MOD(39+$C13+(2),$B$3)+1)*K13+INDEX(Symboles!$H$6:$H$101,MOD(39+$C13+(3),$B$3)+1)*L13+INDEX(Symboles!$H$6:$H$101,MOD(39+$C13+(4),$B$3)+1)*M13+IF($B$6=0,0,$B$6*NORMSINV(0.000001+0.999998*RAND())))</f>
        <v/>
      </c>
      <c r="EW13" s="30">
        <f>IF(41&gt;$B$3,99,INDEX(Symboles!$H$6:$H$101,MOD(40+$C13+(-4),$B$3)+1)*E13+INDEX(Symboles!$H$6:$H$101,MOD(40+$C13+(-3),$B$3)+1)*F13+INDEX(Symboles!$H$6:$H$101,MOD(40+$C13+(-2),$B$3)+1)*G13+INDEX(Symboles!$H$6:$H$101,MOD(40+$C13+(-1),$B$3)+1)*H13+INDEX(Symboles!$H$6:$H$101,MOD(40+$C13+(0),$B$3)+1)*I13+INDEX(Symboles!$H$6:$H$101,MOD(40+$C13+(1),$B$3)+1)*J13+INDEX(Symboles!$H$6:$H$101,MOD(40+$C13+(2),$B$3)+1)*K13+INDEX(Symboles!$H$6:$H$101,MOD(40+$C13+(3),$B$3)+1)*L13+INDEX(Symboles!$H$6:$H$101,MOD(40+$C13+(4),$B$3)+1)*M13+IF($B$6=0,0,$B$6*NORMSINV(0.000001+0.999998*RAND())))</f>
        <v/>
      </c>
      <c r="EX13" s="30">
        <f>IF(42&gt;$B$3,99,INDEX(Symboles!$H$6:$H$101,MOD(41+$C13+(-4),$B$3)+1)*E13+INDEX(Symboles!$H$6:$H$101,MOD(41+$C13+(-3),$B$3)+1)*F13+INDEX(Symboles!$H$6:$H$101,MOD(41+$C13+(-2),$B$3)+1)*G13+INDEX(Symboles!$H$6:$H$101,MOD(41+$C13+(-1),$B$3)+1)*H13+INDEX(Symboles!$H$6:$H$101,MOD(41+$C13+(0),$B$3)+1)*I13+INDEX(Symboles!$H$6:$H$101,MOD(41+$C13+(1),$B$3)+1)*J13+INDEX(Symboles!$H$6:$H$101,MOD(41+$C13+(2),$B$3)+1)*K13+INDEX(Symboles!$H$6:$H$101,MOD(41+$C13+(3),$B$3)+1)*L13+INDEX(Symboles!$H$6:$H$101,MOD(41+$C13+(4),$B$3)+1)*M13+IF($B$6=0,0,$B$6*NORMSINV(0.000001+0.999998*RAND())))</f>
        <v/>
      </c>
      <c r="EY13" s="30">
        <f>IF(43&gt;$B$3,99,INDEX(Symboles!$H$6:$H$101,MOD(42+$C13+(-4),$B$3)+1)*E13+INDEX(Symboles!$H$6:$H$101,MOD(42+$C13+(-3),$B$3)+1)*F13+INDEX(Symboles!$H$6:$H$101,MOD(42+$C13+(-2),$B$3)+1)*G13+INDEX(Symboles!$H$6:$H$101,MOD(42+$C13+(-1),$B$3)+1)*H13+INDEX(Symboles!$H$6:$H$101,MOD(42+$C13+(0),$B$3)+1)*I13+INDEX(Symboles!$H$6:$H$101,MOD(42+$C13+(1),$B$3)+1)*J13+INDEX(Symboles!$H$6:$H$101,MOD(42+$C13+(2),$B$3)+1)*K13+INDEX(Symboles!$H$6:$H$101,MOD(42+$C13+(3),$B$3)+1)*L13+INDEX(Symboles!$H$6:$H$101,MOD(42+$C13+(4),$B$3)+1)*M13+IF($B$6=0,0,$B$6*NORMSINV(0.000001+0.999998*RAND())))</f>
        <v/>
      </c>
      <c r="EZ13" s="30">
        <f>IF(44&gt;$B$3,99,INDEX(Symboles!$H$6:$H$101,MOD(43+$C13+(-4),$B$3)+1)*E13+INDEX(Symboles!$H$6:$H$101,MOD(43+$C13+(-3),$B$3)+1)*F13+INDEX(Symboles!$H$6:$H$101,MOD(43+$C13+(-2),$B$3)+1)*G13+INDEX(Symboles!$H$6:$H$101,MOD(43+$C13+(-1),$B$3)+1)*H13+INDEX(Symboles!$H$6:$H$101,MOD(43+$C13+(0),$B$3)+1)*I13+INDEX(Symboles!$H$6:$H$101,MOD(43+$C13+(1),$B$3)+1)*J13+INDEX(Symboles!$H$6:$H$101,MOD(43+$C13+(2),$B$3)+1)*K13+INDEX(Symboles!$H$6:$H$101,MOD(43+$C13+(3),$B$3)+1)*L13+INDEX(Symboles!$H$6:$H$101,MOD(43+$C13+(4),$B$3)+1)*M13+IF($B$6=0,0,$B$6*NORMSINV(0.000001+0.999998*RAND())))</f>
        <v/>
      </c>
      <c r="FA13" s="30">
        <f>IF(45&gt;$B$3,99,INDEX(Symboles!$H$6:$H$101,MOD(44+$C13+(-4),$B$3)+1)*E13+INDEX(Symboles!$H$6:$H$101,MOD(44+$C13+(-3),$B$3)+1)*F13+INDEX(Symboles!$H$6:$H$101,MOD(44+$C13+(-2),$B$3)+1)*G13+INDEX(Symboles!$H$6:$H$101,MOD(44+$C13+(-1),$B$3)+1)*H13+INDEX(Symboles!$H$6:$H$101,MOD(44+$C13+(0),$B$3)+1)*I13+INDEX(Symboles!$H$6:$H$101,MOD(44+$C13+(1),$B$3)+1)*J13+INDEX(Symboles!$H$6:$H$101,MOD(44+$C13+(2),$B$3)+1)*K13+INDEX(Symboles!$H$6:$H$101,MOD(44+$C13+(3),$B$3)+1)*L13+INDEX(Symboles!$H$6:$H$101,MOD(44+$C13+(4),$B$3)+1)*M13+IF($B$6=0,0,$B$6*NORMSINV(0.000001+0.999998*RAND())))</f>
        <v/>
      </c>
      <c r="FB13" s="30">
        <f>IF(46&gt;$B$3,99,INDEX(Symboles!$H$6:$H$101,MOD(45+$C13+(-4),$B$3)+1)*E13+INDEX(Symboles!$H$6:$H$101,MOD(45+$C13+(-3),$B$3)+1)*F13+INDEX(Symboles!$H$6:$H$101,MOD(45+$C13+(-2),$B$3)+1)*G13+INDEX(Symboles!$H$6:$H$101,MOD(45+$C13+(-1),$B$3)+1)*H13+INDEX(Symboles!$H$6:$H$101,MOD(45+$C13+(0),$B$3)+1)*I13+INDEX(Symboles!$H$6:$H$101,MOD(45+$C13+(1),$B$3)+1)*J13+INDEX(Symboles!$H$6:$H$101,MOD(45+$C13+(2),$B$3)+1)*K13+INDEX(Symboles!$H$6:$H$101,MOD(45+$C13+(3),$B$3)+1)*L13+INDEX(Symboles!$H$6:$H$101,MOD(45+$C13+(4),$B$3)+1)*M13+IF($B$6=0,0,$B$6*NORMSINV(0.000001+0.999998*RAND())))</f>
        <v/>
      </c>
      <c r="FC13" s="30">
        <f>IF(47&gt;$B$3,99,INDEX(Symboles!$H$6:$H$101,MOD(46+$C13+(-4),$B$3)+1)*E13+INDEX(Symboles!$H$6:$H$101,MOD(46+$C13+(-3),$B$3)+1)*F13+INDEX(Symboles!$H$6:$H$101,MOD(46+$C13+(-2),$B$3)+1)*G13+INDEX(Symboles!$H$6:$H$101,MOD(46+$C13+(-1),$B$3)+1)*H13+INDEX(Symboles!$H$6:$H$101,MOD(46+$C13+(0),$B$3)+1)*I13+INDEX(Symboles!$H$6:$H$101,MOD(46+$C13+(1),$B$3)+1)*J13+INDEX(Symboles!$H$6:$H$101,MOD(46+$C13+(2),$B$3)+1)*K13+INDEX(Symboles!$H$6:$H$101,MOD(46+$C13+(3),$B$3)+1)*L13+INDEX(Symboles!$H$6:$H$101,MOD(46+$C13+(4),$B$3)+1)*M13+IF($B$6=0,0,$B$6*NORMSINV(0.000001+0.999998*RAND())))</f>
        <v/>
      </c>
      <c r="FD13" s="30">
        <f>IF(48&gt;$B$3,99,INDEX(Symboles!$H$6:$H$101,MOD(47+$C13+(-4),$B$3)+1)*E13+INDEX(Symboles!$H$6:$H$101,MOD(47+$C13+(-3),$B$3)+1)*F13+INDEX(Symboles!$H$6:$H$101,MOD(47+$C13+(-2),$B$3)+1)*G13+INDEX(Symboles!$H$6:$H$101,MOD(47+$C13+(-1),$B$3)+1)*H13+INDEX(Symboles!$H$6:$H$101,MOD(47+$C13+(0),$B$3)+1)*I13+INDEX(Symboles!$H$6:$H$101,MOD(47+$C13+(1),$B$3)+1)*J13+INDEX(Symboles!$H$6:$H$101,MOD(47+$C13+(2),$B$3)+1)*K13+INDEX(Symboles!$H$6:$H$101,MOD(47+$C13+(3),$B$3)+1)*L13+INDEX(Symboles!$H$6:$H$101,MOD(47+$C13+(4),$B$3)+1)*M13+IF($B$6=0,0,$B$6*NORMSINV(0.000001+0.999998*RAND())))</f>
        <v/>
      </c>
      <c r="FE13" s="30">
        <f>IF(49&gt;$B$3,99,INDEX(Symboles!$H$6:$H$101,MOD(48+$C13+(-4),$B$3)+1)*E13+INDEX(Symboles!$H$6:$H$101,MOD(48+$C13+(-3),$B$3)+1)*F13+INDEX(Symboles!$H$6:$H$101,MOD(48+$C13+(-2),$B$3)+1)*G13+INDEX(Symboles!$H$6:$H$101,MOD(48+$C13+(-1),$B$3)+1)*H13+INDEX(Symboles!$H$6:$H$101,MOD(48+$C13+(0),$B$3)+1)*I13+INDEX(Symboles!$H$6:$H$101,MOD(48+$C13+(1),$B$3)+1)*J13+INDEX(Symboles!$H$6:$H$101,MOD(48+$C13+(2),$B$3)+1)*K13+INDEX(Symboles!$H$6:$H$101,MOD(48+$C13+(3),$B$3)+1)*L13+INDEX(Symboles!$H$6:$H$101,MOD(48+$C13+(4),$B$3)+1)*M13+IF($B$6=0,0,$B$6*NORMSINV(0.000001+0.999998*RAND())))</f>
        <v/>
      </c>
      <c r="FF13" s="30">
        <f>IF(50&gt;$B$3,99,INDEX(Symboles!$H$6:$H$101,MOD(49+$C13+(-4),$B$3)+1)*E13+INDEX(Symboles!$H$6:$H$101,MOD(49+$C13+(-3),$B$3)+1)*F13+INDEX(Symboles!$H$6:$H$101,MOD(49+$C13+(-2),$B$3)+1)*G13+INDEX(Symboles!$H$6:$H$101,MOD(49+$C13+(-1),$B$3)+1)*H13+INDEX(Symboles!$H$6:$H$101,MOD(49+$C13+(0),$B$3)+1)*I13+INDEX(Symboles!$H$6:$H$101,MOD(49+$C13+(1),$B$3)+1)*J13+INDEX(Symboles!$H$6:$H$101,MOD(49+$C13+(2),$B$3)+1)*K13+INDEX(Symboles!$H$6:$H$101,MOD(49+$C13+(3),$B$3)+1)*L13+INDEX(Symboles!$H$6:$H$101,MOD(49+$C13+(4),$B$3)+1)*M13+IF($B$6=0,0,$B$6*NORMSINV(0.000001+0.999998*RAND())))</f>
        <v/>
      </c>
      <c r="FG13" s="30">
        <f>IF(51&gt;$B$3,99,INDEX(Symboles!$H$6:$H$101,MOD(50+$C13+(-4),$B$3)+1)*E13+INDEX(Symboles!$H$6:$H$101,MOD(50+$C13+(-3),$B$3)+1)*F13+INDEX(Symboles!$H$6:$H$101,MOD(50+$C13+(-2),$B$3)+1)*G13+INDEX(Symboles!$H$6:$H$101,MOD(50+$C13+(-1),$B$3)+1)*H13+INDEX(Symboles!$H$6:$H$101,MOD(50+$C13+(0),$B$3)+1)*I13+INDEX(Symboles!$H$6:$H$101,MOD(50+$C13+(1),$B$3)+1)*J13+INDEX(Symboles!$H$6:$H$101,MOD(50+$C13+(2),$B$3)+1)*K13+INDEX(Symboles!$H$6:$H$101,MOD(50+$C13+(3),$B$3)+1)*L13+INDEX(Symboles!$H$6:$H$101,MOD(50+$C13+(4),$B$3)+1)*M13+IF($B$6=0,0,$B$6*NORMSINV(0.000001+0.999998*RAND())))</f>
        <v/>
      </c>
      <c r="FH13" s="30">
        <f>IF(52&gt;$B$3,99,INDEX(Symboles!$H$6:$H$101,MOD(51+$C13+(-4),$B$3)+1)*E13+INDEX(Symboles!$H$6:$H$101,MOD(51+$C13+(-3),$B$3)+1)*F13+INDEX(Symboles!$H$6:$H$101,MOD(51+$C13+(-2),$B$3)+1)*G13+INDEX(Symboles!$H$6:$H$101,MOD(51+$C13+(-1),$B$3)+1)*H13+INDEX(Symboles!$H$6:$H$101,MOD(51+$C13+(0),$B$3)+1)*I13+INDEX(Symboles!$H$6:$H$101,MOD(51+$C13+(1),$B$3)+1)*J13+INDEX(Symboles!$H$6:$H$101,MOD(51+$C13+(2),$B$3)+1)*K13+INDEX(Symboles!$H$6:$H$101,MOD(51+$C13+(3),$B$3)+1)*L13+INDEX(Symboles!$H$6:$H$101,MOD(51+$C13+(4),$B$3)+1)*M13+IF($B$6=0,0,$B$6*NORMSINV(0.000001+0.999998*RAND())))</f>
        <v/>
      </c>
      <c r="FI13" s="30">
        <f>IF(53&gt;$B$3,99,INDEX(Symboles!$H$6:$H$101,MOD(52+$C13+(-4),$B$3)+1)*E13+INDEX(Symboles!$H$6:$H$101,MOD(52+$C13+(-3),$B$3)+1)*F13+INDEX(Symboles!$H$6:$H$101,MOD(52+$C13+(-2),$B$3)+1)*G13+INDEX(Symboles!$H$6:$H$101,MOD(52+$C13+(-1),$B$3)+1)*H13+INDEX(Symboles!$H$6:$H$101,MOD(52+$C13+(0),$B$3)+1)*I13+INDEX(Symboles!$H$6:$H$101,MOD(52+$C13+(1),$B$3)+1)*J13+INDEX(Symboles!$H$6:$H$101,MOD(52+$C13+(2),$B$3)+1)*K13+INDEX(Symboles!$H$6:$H$101,MOD(52+$C13+(3),$B$3)+1)*L13+INDEX(Symboles!$H$6:$H$101,MOD(52+$C13+(4),$B$3)+1)*M13+IF($B$6=0,0,$B$6*NORMSINV(0.000001+0.999998*RAND())))</f>
        <v/>
      </c>
      <c r="FJ13" s="30">
        <f>IF(54&gt;$B$3,99,INDEX(Symboles!$H$6:$H$101,MOD(53+$C13+(-4),$B$3)+1)*E13+INDEX(Symboles!$H$6:$H$101,MOD(53+$C13+(-3),$B$3)+1)*F13+INDEX(Symboles!$H$6:$H$101,MOD(53+$C13+(-2),$B$3)+1)*G13+INDEX(Symboles!$H$6:$H$101,MOD(53+$C13+(-1),$B$3)+1)*H13+INDEX(Symboles!$H$6:$H$101,MOD(53+$C13+(0),$B$3)+1)*I13+INDEX(Symboles!$H$6:$H$101,MOD(53+$C13+(1),$B$3)+1)*J13+INDEX(Symboles!$H$6:$H$101,MOD(53+$C13+(2),$B$3)+1)*K13+INDEX(Symboles!$H$6:$H$101,MOD(53+$C13+(3),$B$3)+1)*L13+INDEX(Symboles!$H$6:$H$101,MOD(53+$C13+(4),$B$3)+1)*M13+IF($B$6=0,0,$B$6*NORMSINV(0.000001+0.999998*RAND())))</f>
        <v/>
      </c>
      <c r="FK13" s="30">
        <f>IF(55&gt;$B$3,99,INDEX(Symboles!$H$6:$H$101,MOD(54+$C13+(-4),$B$3)+1)*E13+INDEX(Symboles!$H$6:$H$101,MOD(54+$C13+(-3),$B$3)+1)*F13+INDEX(Symboles!$H$6:$H$101,MOD(54+$C13+(-2),$B$3)+1)*G13+INDEX(Symboles!$H$6:$H$101,MOD(54+$C13+(-1),$B$3)+1)*H13+INDEX(Symboles!$H$6:$H$101,MOD(54+$C13+(0),$B$3)+1)*I13+INDEX(Symboles!$H$6:$H$101,MOD(54+$C13+(1),$B$3)+1)*J13+INDEX(Symboles!$H$6:$H$101,MOD(54+$C13+(2),$B$3)+1)*K13+INDEX(Symboles!$H$6:$H$101,MOD(54+$C13+(3),$B$3)+1)*L13+INDEX(Symboles!$H$6:$H$101,MOD(54+$C13+(4),$B$3)+1)*M13+IF($B$6=0,0,$B$6*NORMSINV(0.000001+0.999998*RAND())))</f>
        <v/>
      </c>
      <c r="FL13" s="30">
        <f>IF(56&gt;$B$3,99,INDEX(Symboles!$H$6:$H$101,MOD(55+$C13+(-4),$B$3)+1)*E13+INDEX(Symboles!$H$6:$H$101,MOD(55+$C13+(-3),$B$3)+1)*F13+INDEX(Symboles!$H$6:$H$101,MOD(55+$C13+(-2),$B$3)+1)*G13+INDEX(Symboles!$H$6:$H$101,MOD(55+$C13+(-1),$B$3)+1)*H13+INDEX(Symboles!$H$6:$H$101,MOD(55+$C13+(0),$B$3)+1)*I13+INDEX(Symboles!$H$6:$H$101,MOD(55+$C13+(1),$B$3)+1)*J13+INDEX(Symboles!$H$6:$H$101,MOD(55+$C13+(2),$B$3)+1)*K13+INDEX(Symboles!$H$6:$H$101,MOD(55+$C13+(3),$B$3)+1)*L13+INDEX(Symboles!$H$6:$H$101,MOD(55+$C13+(4),$B$3)+1)*M13+IF($B$6=0,0,$B$6*NORMSINV(0.000001+0.999998*RAND())))</f>
        <v/>
      </c>
      <c r="FM13" s="30">
        <f>IF(57&gt;$B$3,99,INDEX(Symboles!$H$6:$H$101,MOD(56+$C13+(-4),$B$3)+1)*E13+INDEX(Symboles!$H$6:$H$101,MOD(56+$C13+(-3),$B$3)+1)*F13+INDEX(Symboles!$H$6:$H$101,MOD(56+$C13+(-2),$B$3)+1)*G13+INDEX(Symboles!$H$6:$H$101,MOD(56+$C13+(-1),$B$3)+1)*H13+INDEX(Symboles!$H$6:$H$101,MOD(56+$C13+(0),$B$3)+1)*I13+INDEX(Symboles!$H$6:$H$101,MOD(56+$C13+(1),$B$3)+1)*J13+INDEX(Symboles!$H$6:$H$101,MOD(56+$C13+(2),$B$3)+1)*K13+INDEX(Symboles!$H$6:$H$101,MOD(56+$C13+(3),$B$3)+1)*L13+INDEX(Symboles!$H$6:$H$101,MOD(56+$C13+(4),$B$3)+1)*M13+IF($B$6=0,0,$B$6*NORMSINV(0.000001+0.999998*RAND())))</f>
        <v/>
      </c>
      <c r="FN13" s="30">
        <f>IF(58&gt;$B$3,99,INDEX(Symboles!$H$6:$H$101,MOD(57+$C13+(-4),$B$3)+1)*E13+INDEX(Symboles!$H$6:$H$101,MOD(57+$C13+(-3),$B$3)+1)*F13+INDEX(Symboles!$H$6:$H$101,MOD(57+$C13+(-2),$B$3)+1)*G13+INDEX(Symboles!$H$6:$H$101,MOD(57+$C13+(-1),$B$3)+1)*H13+INDEX(Symboles!$H$6:$H$101,MOD(57+$C13+(0),$B$3)+1)*I13+INDEX(Symboles!$H$6:$H$101,MOD(57+$C13+(1),$B$3)+1)*J13+INDEX(Symboles!$H$6:$H$101,MOD(57+$C13+(2),$B$3)+1)*K13+INDEX(Symboles!$H$6:$H$101,MOD(57+$C13+(3),$B$3)+1)*L13+INDEX(Symboles!$H$6:$H$101,MOD(57+$C13+(4),$B$3)+1)*M13+IF($B$6=0,0,$B$6*NORMSINV(0.000001+0.999998*RAND())))</f>
        <v/>
      </c>
      <c r="FO13" s="30">
        <f>IF(59&gt;$B$3,99,INDEX(Symboles!$H$6:$H$101,MOD(58+$C13+(-4),$B$3)+1)*E13+INDEX(Symboles!$H$6:$H$101,MOD(58+$C13+(-3),$B$3)+1)*F13+INDEX(Symboles!$H$6:$H$101,MOD(58+$C13+(-2),$B$3)+1)*G13+INDEX(Symboles!$H$6:$H$101,MOD(58+$C13+(-1),$B$3)+1)*H13+INDEX(Symboles!$H$6:$H$101,MOD(58+$C13+(0),$B$3)+1)*I13+INDEX(Symboles!$H$6:$H$101,MOD(58+$C13+(1),$B$3)+1)*J13+INDEX(Symboles!$H$6:$H$101,MOD(58+$C13+(2),$B$3)+1)*K13+INDEX(Symboles!$H$6:$H$101,MOD(58+$C13+(3),$B$3)+1)*L13+INDEX(Symboles!$H$6:$H$101,MOD(58+$C13+(4),$B$3)+1)*M13+IF($B$6=0,0,$B$6*NORMSINV(0.000001+0.999998*RAND())))</f>
        <v/>
      </c>
      <c r="FP13" s="30">
        <f>IF(60&gt;$B$3,99,INDEX(Symboles!$H$6:$H$101,MOD(59+$C13+(-4),$B$3)+1)*E13+INDEX(Symboles!$H$6:$H$101,MOD(59+$C13+(-3),$B$3)+1)*F13+INDEX(Symboles!$H$6:$H$101,MOD(59+$C13+(-2),$B$3)+1)*G13+INDEX(Symboles!$H$6:$H$101,MOD(59+$C13+(-1),$B$3)+1)*H13+INDEX(Symboles!$H$6:$H$101,MOD(59+$C13+(0),$B$3)+1)*I13+INDEX(Symboles!$H$6:$H$101,MOD(59+$C13+(1),$B$3)+1)*J13+INDEX(Symboles!$H$6:$H$101,MOD(59+$C13+(2),$B$3)+1)*K13+INDEX(Symboles!$H$6:$H$101,MOD(59+$C13+(3),$B$3)+1)*L13+INDEX(Symboles!$H$6:$H$101,MOD(59+$C13+(4),$B$3)+1)*M13+IF($B$6=0,0,$B$6*NORMSINV(0.000001+0.999998*RAND())))</f>
        <v/>
      </c>
      <c r="FQ13" s="30">
        <f>IF(61&gt;$B$3,99,INDEX(Symboles!$H$6:$H$101,MOD(60+$C13+(-4),$B$3)+1)*E13+INDEX(Symboles!$H$6:$H$101,MOD(60+$C13+(-3),$B$3)+1)*F13+INDEX(Symboles!$H$6:$H$101,MOD(60+$C13+(-2),$B$3)+1)*G13+INDEX(Symboles!$H$6:$H$101,MOD(60+$C13+(-1),$B$3)+1)*H13+INDEX(Symboles!$H$6:$H$101,MOD(60+$C13+(0),$B$3)+1)*I13+INDEX(Symboles!$H$6:$H$101,MOD(60+$C13+(1),$B$3)+1)*J13+INDEX(Symboles!$H$6:$H$101,MOD(60+$C13+(2),$B$3)+1)*K13+INDEX(Symboles!$H$6:$H$101,MOD(60+$C13+(3),$B$3)+1)*L13+INDEX(Symboles!$H$6:$H$101,MOD(60+$C13+(4),$B$3)+1)*M13+IF($B$6=0,0,$B$6*NORMSINV(0.000001+0.999998*RAND())))</f>
        <v/>
      </c>
      <c r="FR13" s="30">
        <f>IF(62&gt;$B$3,99,INDEX(Symboles!$H$6:$H$101,MOD(61+$C13+(-4),$B$3)+1)*E13+INDEX(Symboles!$H$6:$H$101,MOD(61+$C13+(-3),$B$3)+1)*F13+INDEX(Symboles!$H$6:$H$101,MOD(61+$C13+(-2),$B$3)+1)*G13+INDEX(Symboles!$H$6:$H$101,MOD(61+$C13+(-1),$B$3)+1)*H13+INDEX(Symboles!$H$6:$H$101,MOD(61+$C13+(0),$B$3)+1)*I13+INDEX(Symboles!$H$6:$H$101,MOD(61+$C13+(1),$B$3)+1)*J13+INDEX(Symboles!$H$6:$H$101,MOD(61+$C13+(2),$B$3)+1)*K13+INDEX(Symboles!$H$6:$H$101,MOD(61+$C13+(3),$B$3)+1)*L13+INDEX(Symboles!$H$6:$H$101,MOD(61+$C13+(4),$B$3)+1)*M13+IF($B$6=0,0,$B$6*NORMSINV(0.000001+0.999998*RAND())))</f>
        <v/>
      </c>
      <c r="FS13" s="30">
        <f>IF(63&gt;$B$3,99,INDEX(Symboles!$H$6:$H$101,MOD(62+$C13+(-4),$B$3)+1)*E13+INDEX(Symboles!$H$6:$H$101,MOD(62+$C13+(-3),$B$3)+1)*F13+INDEX(Symboles!$H$6:$H$101,MOD(62+$C13+(-2),$B$3)+1)*G13+INDEX(Symboles!$H$6:$H$101,MOD(62+$C13+(-1),$B$3)+1)*H13+INDEX(Symboles!$H$6:$H$101,MOD(62+$C13+(0),$B$3)+1)*I13+INDEX(Symboles!$H$6:$H$101,MOD(62+$C13+(1),$B$3)+1)*J13+INDEX(Symboles!$H$6:$H$101,MOD(62+$C13+(2),$B$3)+1)*K13+INDEX(Symboles!$H$6:$H$101,MOD(62+$C13+(3),$B$3)+1)*L13+INDEX(Symboles!$H$6:$H$101,MOD(62+$C13+(4),$B$3)+1)*M13+IF($B$6=0,0,$B$6*NORMSINV(0.000001+0.999998*RAND())))</f>
        <v/>
      </c>
      <c r="FT13" s="30">
        <f>IF(64&gt;$B$3,99,INDEX(Symboles!$H$6:$H$101,MOD(63+$C13+(-4),$B$3)+1)*E13+INDEX(Symboles!$H$6:$H$101,MOD(63+$C13+(-3),$B$3)+1)*F13+INDEX(Symboles!$H$6:$H$101,MOD(63+$C13+(-2),$B$3)+1)*G13+INDEX(Symboles!$H$6:$H$101,MOD(63+$C13+(-1),$B$3)+1)*H13+INDEX(Symboles!$H$6:$H$101,MOD(63+$C13+(0),$B$3)+1)*I13+INDEX(Symboles!$H$6:$H$101,MOD(63+$C13+(1),$B$3)+1)*J13+INDEX(Symboles!$H$6:$H$101,MOD(63+$C13+(2),$B$3)+1)*K13+INDEX(Symboles!$H$6:$H$101,MOD(63+$C13+(3),$B$3)+1)*L13+INDEX(Symboles!$H$6:$H$101,MOD(63+$C13+(4),$B$3)+1)*M13+IF($B$6=0,0,$B$6*NORMSINV(0.000001+0.999998*RAND())))</f>
        <v/>
      </c>
      <c r="FU13" s="30">
        <f>IF(65&gt;$B$3,99,INDEX(Symboles!$H$6:$H$101,MOD(64+$C13+(-4),$B$3)+1)*E13+INDEX(Symboles!$H$6:$H$101,MOD(64+$C13+(-3),$B$3)+1)*F13+INDEX(Symboles!$H$6:$H$101,MOD(64+$C13+(-2),$B$3)+1)*G13+INDEX(Symboles!$H$6:$H$101,MOD(64+$C13+(-1),$B$3)+1)*H13+INDEX(Symboles!$H$6:$H$101,MOD(64+$C13+(0),$B$3)+1)*I13+INDEX(Symboles!$H$6:$H$101,MOD(64+$C13+(1),$B$3)+1)*J13+INDEX(Symboles!$H$6:$H$101,MOD(64+$C13+(2),$B$3)+1)*K13+INDEX(Symboles!$H$6:$H$101,MOD(64+$C13+(3),$B$3)+1)*L13+INDEX(Symboles!$H$6:$H$101,MOD(64+$C13+(4),$B$3)+1)*M13+IF($B$6=0,0,$B$6*NORMSINV(0.000001+0.999998*RAND())))</f>
        <v/>
      </c>
      <c r="FV13" s="30">
        <f>IF(66&gt;$B$3,99,INDEX(Symboles!$H$6:$H$101,MOD(65+$C13+(-4),$B$3)+1)*E13+INDEX(Symboles!$H$6:$H$101,MOD(65+$C13+(-3),$B$3)+1)*F13+INDEX(Symboles!$H$6:$H$101,MOD(65+$C13+(-2),$B$3)+1)*G13+INDEX(Symboles!$H$6:$H$101,MOD(65+$C13+(-1),$B$3)+1)*H13+INDEX(Symboles!$H$6:$H$101,MOD(65+$C13+(0),$B$3)+1)*I13+INDEX(Symboles!$H$6:$H$101,MOD(65+$C13+(1),$B$3)+1)*J13+INDEX(Symboles!$H$6:$H$101,MOD(65+$C13+(2),$B$3)+1)*K13+INDEX(Symboles!$H$6:$H$101,MOD(65+$C13+(3),$B$3)+1)*L13+INDEX(Symboles!$H$6:$H$101,MOD(65+$C13+(4),$B$3)+1)*M13+IF($B$6=0,0,$B$6*NORMSINV(0.000001+0.999998*RAND())))</f>
        <v/>
      </c>
      <c r="FW13" s="30">
        <f>IF(67&gt;$B$3,99,INDEX(Symboles!$H$6:$H$101,MOD(66+$C13+(-4),$B$3)+1)*E13+INDEX(Symboles!$H$6:$H$101,MOD(66+$C13+(-3),$B$3)+1)*F13+INDEX(Symboles!$H$6:$H$101,MOD(66+$C13+(-2),$B$3)+1)*G13+INDEX(Symboles!$H$6:$H$101,MOD(66+$C13+(-1),$B$3)+1)*H13+INDEX(Symboles!$H$6:$H$101,MOD(66+$C13+(0),$B$3)+1)*I13+INDEX(Symboles!$H$6:$H$101,MOD(66+$C13+(1),$B$3)+1)*J13+INDEX(Symboles!$H$6:$H$101,MOD(66+$C13+(2),$B$3)+1)*K13+INDEX(Symboles!$H$6:$H$101,MOD(66+$C13+(3),$B$3)+1)*L13+INDEX(Symboles!$H$6:$H$101,MOD(66+$C13+(4),$B$3)+1)*M13+IF($B$6=0,0,$B$6*NORMSINV(0.000001+0.999998*RAND())))</f>
        <v/>
      </c>
      <c r="FX13" s="30">
        <f>IF(68&gt;$B$3,99,INDEX(Symboles!$H$6:$H$101,MOD(67+$C13+(-4),$B$3)+1)*E13+INDEX(Symboles!$H$6:$H$101,MOD(67+$C13+(-3),$B$3)+1)*F13+INDEX(Symboles!$H$6:$H$101,MOD(67+$C13+(-2),$B$3)+1)*G13+INDEX(Symboles!$H$6:$H$101,MOD(67+$C13+(-1),$B$3)+1)*H13+INDEX(Symboles!$H$6:$H$101,MOD(67+$C13+(0),$B$3)+1)*I13+INDEX(Symboles!$H$6:$H$101,MOD(67+$C13+(1),$B$3)+1)*J13+INDEX(Symboles!$H$6:$H$101,MOD(67+$C13+(2),$B$3)+1)*K13+INDEX(Symboles!$H$6:$H$101,MOD(67+$C13+(3),$B$3)+1)*L13+INDEX(Symboles!$H$6:$H$101,MOD(67+$C13+(4),$B$3)+1)*M13+IF($B$6=0,0,$B$6*NORMSINV(0.000001+0.999998*RAND())))</f>
        <v/>
      </c>
      <c r="FY13" s="30">
        <f>IF(69&gt;$B$3,99,INDEX(Symboles!$H$6:$H$101,MOD(68+$C13+(-4),$B$3)+1)*E13+INDEX(Symboles!$H$6:$H$101,MOD(68+$C13+(-3),$B$3)+1)*F13+INDEX(Symboles!$H$6:$H$101,MOD(68+$C13+(-2),$B$3)+1)*G13+INDEX(Symboles!$H$6:$H$101,MOD(68+$C13+(-1),$B$3)+1)*H13+INDEX(Symboles!$H$6:$H$101,MOD(68+$C13+(0),$B$3)+1)*I13+INDEX(Symboles!$H$6:$H$101,MOD(68+$C13+(1),$B$3)+1)*J13+INDEX(Symboles!$H$6:$H$101,MOD(68+$C13+(2),$B$3)+1)*K13+INDEX(Symboles!$H$6:$H$101,MOD(68+$C13+(3),$B$3)+1)*L13+INDEX(Symboles!$H$6:$H$101,MOD(68+$C13+(4),$B$3)+1)*M13+IF($B$6=0,0,$B$6*NORMSINV(0.000001+0.999998*RAND())))</f>
        <v/>
      </c>
      <c r="FZ13" s="30">
        <f>IF(70&gt;$B$3,99,INDEX(Symboles!$H$6:$H$101,MOD(69+$C13+(-4),$B$3)+1)*E13+INDEX(Symboles!$H$6:$H$101,MOD(69+$C13+(-3),$B$3)+1)*F13+INDEX(Symboles!$H$6:$H$101,MOD(69+$C13+(-2),$B$3)+1)*G13+INDEX(Symboles!$H$6:$H$101,MOD(69+$C13+(-1),$B$3)+1)*H13+INDEX(Symboles!$H$6:$H$101,MOD(69+$C13+(0),$B$3)+1)*I13+INDEX(Symboles!$H$6:$H$101,MOD(69+$C13+(1),$B$3)+1)*J13+INDEX(Symboles!$H$6:$H$101,MOD(69+$C13+(2),$B$3)+1)*K13+INDEX(Symboles!$H$6:$H$101,MOD(69+$C13+(3),$B$3)+1)*L13+INDEX(Symboles!$H$6:$H$101,MOD(69+$C13+(4),$B$3)+1)*M13+IF($B$6=0,0,$B$6*NORMSINV(0.000001+0.999998*RAND())))</f>
        <v/>
      </c>
      <c r="GA13" s="30">
        <f>IF(71&gt;$B$3,99,INDEX(Symboles!$H$6:$H$101,MOD(70+$C13+(-4),$B$3)+1)*E13+INDEX(Symboles!$H$6:$H$101,MOD(70+$C13+(-3),$B$3)+1)*F13+INDEX(Symboles!$H$6:$H$101,MOD(70+$C13+(-2),$B$3)+1)*G13+INDEX(Symboles!$H$6:$H$101,MOD(70+$C13+(-1),$B$3)+1)*H13+INDEX(Symboles!$H$6:$H$101,MOD(70+$C13+(0),$B$3)+1)*I13+INDEX(Symboles!$H$6:$H$101,MOD(70+$C13+(1),$B$3)+1)*J13+INDEX(Symboles!$H$6:$H$101,MOD(70+$C13+(2),$B$3)+1)*K13+INDEX(Symboles!$H$6:$H$101,MOD(70+$C13+(3),$B$3)+1)*L13+INDEX(Symboles!$H$6:$H$101,MOD(70+$C13+(4),$B$3)+1)*M13+IF($B$6=0,0,$B$6*NORMSINV(0.000001+0.999998*RAND())))</f>
        <v/>
      </c>
      <c r="GB13" s="30">
        <f>IF(72&gt;$B$3,99,INDEX(Symboles!$H$6:$H$101,MOD(71+$C13+(-4),$B$3)+1)*E13+INDEX(Symboles!$H$6:$H$101,MOD(71+$C13+(-3),$B$3)+1)*F13+INDEX(Symboles!$H$6:$H$101,MOD(71+$C13+(-2),$B$3)+1)*G13+INDEX(Symboles!$H$6:$H$101,MOD(71+$C13+(-1),$B$3)+1)*H13+INDEX(Symboles!$H$6:$H$101,MOD(71+$C13+(0),$B$3)+1)*I13+INDEX(Symboles!$H$6:$H$101,MOD(71+$C13+(1),$B$3)+1)*J13+INDEX(Symboles!$H$6:$H$101,MOD(71+$C13+(2),$B$3)+1)*K13+INDEX(Symboles!$H$6:$H$101,MOD(71+$C13+(3),$B$3)+1)*L13+INDEX(Symboles!$H$6:$H$101,MOD(71+$C13+(4),$B$3)+1)*M13+IF($B$6=0,0,$B$6*NORMSINV(0.000001+0.999998*RAND())))</f>
        <v/>
      </c>
      <c r="GC13" s="30">
        <f>IF(73&gt;$B$3,99,INDEX(Symboles!$H$6:$H$101,MOD(72+$C13+(-4),$B$3)+1)*E13+INDEX(Symboles!$H$6:$H$101,MOD(72+$C13+(-3),$B$3)+1)*F13+INDEX(Symboles!$H$6:$H$101,MOD(72+$C13+(-2),$B$3)+1)*G13+INDEX(Symboles!$H$6:$H$101,MOD(72+$C13+(-1),$B$3)+1)*H13+INDEX(Symboles!$H$6:$H$101,MOD(72+$C13+(0),$B$3)+1)*I13+INDEX(Symboles!$H$6:$H$101,MOD(72+$C13+(1),$B$3)+1)*J13+INDEX(Symboles!$H$6:$H$101,MOD(72+$C13+(2),$B$3)+1)*K13+INDEX(Symboles!$H$6:$H$101,MOD(72+$C13+(3),$B$3)+1)*L13+INDEX(Symboles!$H$6:$H$101,MOD(72+$C13+(4),$B$3)+1)*M13+IF($B$6=0,0,$B$6*NORMSINV(0.000001+0.999998*RAND())))</f>
        <v/>
      </c>
      <c r="GD13" s="30">
        <f>IF(74&gt;$B$3,99,INDEX(Symboles!$H$6:$H$101,MOD(73+$C13+(-4),$B$3)+1)*E13+INDEX(Symboles!$H$6:$H$101,MOD(73+$C13+(-3),$B$3)+1)*F13+INDEX(Symboles!$H$6:$H$101,MOD(73+$C13+(-2),$B$3)+1)*G13+INDEX(Symboles!$H$6:$H$101,MOD(73+$C13+(-1),$B$3)+1)*H13+INDEX(Symboles!$H$6:$H$101,MOD(73+$C13+(0),$B$3)+1)*I13+INDEX(Symboles!$H$6:$H$101,MOD(73+$C13+(1),$B$3)+1)*J13+INDEX(Symboles!$H$6:$H$101,MOD(73+$C13+(2),$B$3)+1)*K13+INDEX(Symboles!$H$6:$H$101,MOD(73+$C13+(3),$B$3)+1)*L13+INDEX(Symboles!$H$6:$H$101,MOD(73+$C13+(4),$B$3)+1)*M13+IF($B$6=0,0,$B$6*NORMSINV(0.000001+0.999998*RAND())))</f>
        <v/>
      </c>
      <c r="GE13" s="30">
        <f>IF(75&gt;$B$3,99,INDEX(Symboles!$H$6:$H$101,MOD(74+$C13+(-4),$B$3)+1)*E13+INDEX(Symboles!$H$6:$H$101,MOD(74+$C13+(-3),$B$3)+1)*F13+INDEX(Symboles!$H$6:$H$101,MOD(74+$C13+(-2),$B$3)+1)*G13+INDEX(Symboles!$H$6:$H$101,MOD(74+$C13+(-1),$B$3)+1)*H13+INDEX(Symboles!$H$6:$H$101,MOD(74+$C13+(0),$B$3)+1)*I13+INDEX(Symboles!$H$6:$H$101,MOD(74+$C13+(1),$B$3)+1)*J13+INDEX(Symboles!$H$6:$H$101,MOD(74+$C13+(2),$B$3)+1)*K13+INDEX(Symboles!$H$6:$H$101,MOD(74+$C13+(3),$B$3)+1)*L13+INDEX(Symboles!$H$6:$H$101,MOD(74+$C13+(4),$B$3)+1)*M13+IF($B$6=0,0,$B$6*NORMSINV(0.000001+0.999998*RAND())))</f>
        <v/>
      </c>
      <c r="GF13" s="30">
        <f>IF(76&gt;$B$3,99,INDEX(Symboles!$H$6:$H$101,MOD(75+$C13+(-4),$B$3)+1)*E13+INDEX(Symboles!$H$6:$H$101,MOD(75+$C13+(-3),$B$3)+1)*F13+INDEX(Symboles!$H$6:$H$101,MOD(75+$C13+(-2),$B$3)+1)*G13+INDEX(Symboles!$H$6:$H$101,MOD(75+$C13+(-1),$B$3)+1)*H13+INDEX(Symboles!$H$6:$H$101,MOD(75+$C13+(0),$B$3)+1)*I13+INDEX(Symboles!$H$6:$H$101,MOD(75+$C13+(1),$B$3)+1)*J13+INDEX(Symboles!$H$6:$H$101,MOD(75+$C13+(2),$B$3)+1)*K13+INDEX(Symboles!$H$6:$H$101,MOD(75+$C13+(3),$B$3)+1)*L13+INDEX(Symboles!$H$6:$H$101,MOD(75+$C13+(4),$B$3)+1)*M13+IF($B$6=0,0,$B$6*NORMSINV(0.000001+0.999998*RAND())))</f>
        <v/>
      </c>
      <c r="GG13" s="30">
        <f>IF(77&gt;$B$3,99,INDEX(Symboles!$H$6:$H$101,MOD(76+$C13+(-4),$B$3)+1)*E13+INDEX(Symboles!$H$6:$H$101,MOD(76+$C13+(-3),$B$3)+1)*F13+INDEX(Symboles!$H$6:$H$101,MOD(76+$C13+(-2),$B$3)+1)*G13+INDEX(Symboles!$H$6:$H$101,MOD(76+$C13+(-1),$B$3)+1)*H13+INDEX(Symboles!$H$6:$H$101,MOD(76+$C13+(0),$B$3)+1)*I13+INDEX(Symboles!$H$6:$H$101,MOD(76+$C13+(1),$B$3)+1)*J13+INDEX(Symboles!$H$6:$H$101,MOD(76+$C13+(2),$B$3)+1)*K13+INDEX(Symboles!$H$6:$H$101,MOD(76+$C13+(3),$B$3)+1)*L13+INDEX(Symboles!$H$6:$H$101,MOD(76+$C13+(4),$B$3)+1)*M13+IF($B$6=0,0,$B$6*NORMSINV(0.000001+0.999998*RAND())))</f>
        <v/>
      </c>
      <c r="GH13" s="30">
        <f>IF(78&gt;$B$3,99,INDEX(Symboles!$H$6:$H$101,MOD(77+$C13+(-4),$B$3)+1)*E13+INDEX(Symboles!$H$6:$H$101,MOD(77+$C13+(-3),$B$3)+1)*F13+INDEX(Symboles!$H$6:$H$101,MOD(77+$C13+(-2),$B$3)+1)*G13+INDEX(Symboles!$H$6:$H$101,MOD(77+$C13+(-1),$B$3)+1)*H13+INDEX(Symboles!$H$6:$H$101,MOD(77+$C13+(0),$B$3)+1)*I13+INDEX(Symboles!$H$6:$H$101,MOD(77+$C13+(1),$B$3)+1)*J13+INDEX(Symboles!$H$6:$H$101,MOD(77+$C13+(2),$B$3)+1)*K13+INDEX(Symboles!$H$6:$H$101,MOD(77+$C13+(3),$B$3)+1)*L13+INDEX(Symboles!$H$6:$H$101,MOD(77+$C13+(4),$B$3)+1)*M13+IF($B$6=0,0,$B$6*NORMSINV(0.000001+0.999998*RAND())))</f>
        <v/>
      </c>
      <c r="GI13" s="30">
        <f>IF(79&gt;$B$3,99,INDEX(Symboles!$H$6:$H$101,MOD(78+$C13+(-4),$B$3)+1)*E13+INDEX(Symboles!$H$6:$H$101,MOD(78+$C13+(-3),$B$3)+1)*F13+INDEX(Symboles!$H$6:$H$101,MOD(78+$C13+(-2),$B$3)+1)*G13+INDEX(Symboles!$H$6:$H$101,MOD(78+$C13+(-1),$B$3)+1)*H13+INDEX(Symboles!$H$6:$H$101,MOD(78+$C13+(0),$B$3)+1)*I13+INDEX(Symboles!$H$6:$H$101,MOD(78+$C13+(1),$B$3)+1)*J13+INDEX(Symboles!$H$6:$H$101,MOD(78+$C13+(2),$B$3)+1)*K13+INDEX(Symboles!$H$6:$H$101,MOD(78+$C13+(3),$B$3)+1)*L13+INDEX(Symboles!$H$6:$H$101,MOD(78+$C13+(4),$B$3)+1)*M13+IF($B$6=0,0,$B$6*NORMSINV(0.000001+0.999998*RAND())))</f>
        <v/>
      </c>
      <c r="GJ13" s="30">
        <f>IF(80&gt;$B$3,99,INDEX(Symboles!$H$6:$H$101,MOD(79+$C13+(-4),$B$3)+1)*E13+INDEX(Symboles!$H$6:$H$101,MOD(79+$C13+(-3),$B$3)+1)*F13+INDEX(Symboles!$H$6:$H$101,MOD(79+$C13+(-2),$B$3)+1)*G13+INDEX(Symboles!$H$6:$H$101,MOD(79+$C13+(-1),$B$3)+1)*H13+INDEX(Symboles!$H$6:$H$101,MOD(79+$C13+(0),$B$3)+1)*I13+INDEX(Symboles!$H$6:$H$101,MOD(79+$C13+(1),$B$3)+1)*J13+INDEX(Symboles!$H$6:$H$101,MOD(79+$C13+(2),$B$3)+1)*K13+INDEX(Symboles!$H$6:$H$101,MOD(79+$C13+(3),$B$3)+1)*L13+INDEX(Symboles!$H$6:$H$101,MOD(79+$C13+(4),$B$3)+1)*M13+IF($B$6=0,0,$B$6*NORMSINV(0.000001+0.999998*RAND())))</f>
        <v/>
      </c>
      <c r="GK13" s="30">
        <f>IF(81&gt;$B$3,99,INDEX(Symboles!$H$6:$H$101,MOD(80+$C13+(-4),$B$3)+1)*E13+INDEX(Symboles!$H$6:$H$101,MOD(80+$C13+(-3),$B$3)+1)*F13+INDEX(Symboles!$H$6:$H$101,MOD(80+$C13+(-2),$B$3)+1)*G13+INDEX(Symboles!$H$6:$H$101,MOD(80+$C13+(-1),$B$3)+1)*H13+INDEX(Symboles!$H$6:$H$101,MOD(80+$C13+(0),$B$3)+1)*I13+INDEX(Symboles!$H$6:$H$101,MOD(80+$C13+(1),$B$3)+1)*J13+INDEX(Symboles!$H$6:$H$101,MOD(80+$C13+(2),$B$3)+1)*K13+INDEX(Symboles!$H$6:$H$101,MOD(80+$C13+(3),$B$3)+1)*L13+INDEX(Symboles!$H$6:$H$101,MOD(80+$C13+(4),$B$3)+1)*M13+IF($B$6=0,0,$B$6*NORMSINV(0.000001+0.999998*RAND())))</f>
        <v/>
      </c>
      <c r="GL13" s="30">
        <f>IF(82&gt;$B$3,99,INDEX(Symboles!$H$6:$H$101,MOD(81+$C13+(-4),$B$3)+1)*E13+INDEX(Symboles!$H$6:$H$101,MOD(81+$C13+(-3),$B$3)+1)*F13+INDEX(Symboles!$H$6:$H$101,MOD(81+$C13+(-2),$B$3)+1)*G13+INDEX(Symboles!$H$6:$H$101,MOD(81+$C13+(-1),$B$3)+1)*H13+INDEX(Symboles!$H$6:$H$101,MOD(81+$C13+(0),$B$3)+1)*I13+INDEX(Symboles!$H$6:$H$101,MOD(81+$C13+(1),$B$3)+1)*J13+INDEX(Symboles!$H$6:$H$101,MOD(81+$C13+(2),$B$3)+1)*K13+INDEX(Symboles!$H$6:$H$101,MOD(81+$C13+(3),$B$3)+1)*L13+INDEX(Symboles!$H$6:$H$101,MOD(81+$C13+(4),$B$3)+1)*M13+IF($B$6=0,0,$B$6*NORMSINV(0.000001+0.999998*RAND())))</f>
        <v/>
      </c>
      <c r="GM13" s="30">
        <f>IF(83&gt;$B$3,99,INDEX(Symboles!$H$6:$H$101,MOD(82+$C13+(-4),$B$3)+1)*E13+INDEX(Symboles!$H$6:$H$101,MOD(82+$C13+(-3),$B$3)+1)*F13+INDEX(Symboles!$H$6:$H$101,MOD(82+$C13+(-2),$B$3)+1)*G13+INDEX(Symboles!$H$6:$H$101,MOD(82+$C13+(-1),$B$3)+1)*H13+INDEX(Symboles!$H$6:$H$101,MOD(82+$C13+(0),$B$3)+1)*I13+INDEX(Symboles!$H$6:$H$101,MOD(82+$C13+(1),$B$3)+1)*J13+INDEX(Symboles!$H$6:$H$101,MOD(82+$C13+(2),$B$3)+1)*K13+INDEX(Symboles!$H$6:$H$101,MOD(82+$C13+(3),$B$3)+1)*L13+INDEX(Symboles!$H$6:$H$101,MOD(82+$C13+(4),$B$3)+1)*M13+IF($B$6=0,0,$B$6*NORMSINV(0.000001+0.999998*RAND())))</f>
        <v/>
      </c>
      <c r="GN13" s="30">
        <f>IF(84&gt;$B$3,99,INDEX(Symboles!$H$6:$H$101,MOD(83+$C13+(-4),$B$3)+1)*E13+INDEX(Symboles!$H$6:$H$101,MOD(83+$C13+(-3),$B$3)+1)*F13+INDEX(Symboles!$H$6:$H$101,MOD(83+$C13+(-2),$B$3)+1)*G13+INDEX(Symboles!$H$6:$H$101,MOD(83+$C13+(-1),$B$3)+1)*H13+INDEX(Symboles!$H$6:$H$101,MOD(83+$C13+(0),$B$3)+1)*I13+INDEX(Symboles!$H$6:$H$101,MOD(83+$C13+(1),$B$3)+1)*J13+INDEX(Symboles!$H$6:$H$101,MOD(83+$C13+(2),$B$3)+1)*K13+INDEX(Symboles!$H$6:$H$101,MOD(83+$C13+(3),$B$3)+1)*L13+INDEX(Symboles!$H$6:$H$101,MOD(83+$C13+(4),$B$3)+1)*M13+IF($B$6=0,0,$B$6*NORMSINV(0.000001+0.999998*RAND())))</f>
        <v/>
      </c>
      <c r="GO13" s="30">
        <f>IF(85&gt;$B$3,99,INDEX(Symboles!$H$6:$H$101,MOD(84+$C13+(-4),$B$3)+1)*E13+INDEX(Symboles!$H$6:$H$101,MOD(84+$C13+(-3),$B$3)+1)*F13+INDEX(Symboles!$H$6:$H$101,MOD(84+$C13+(-2),$B$3)+1)*G13+INDEX(Symboles!$H$6:$H$101,MOD(84+$C13+(-1),$B$3)+1)*H13+INDEX(Symboles!$H$6:$H$101,MOD(84+$C13+(0),$B$3)+1)*I13+INDEX(Symboles!$H$6:$H$101,MOD(84+$C13+(1),$B$3)+1)*J13+INDEX(Symboles!$H$6:$H$101,MOD(84+$C13+(2),$B$3)+1)*K13+INDEX(Symboles!$H$6:$H$101,MOD(84+$C13+(3),$B$3)+1)*L13+INDEX(Symboles!$H$6:$H$101,MOD(84+$C13+(4),$B$3)+1)*M13+IF($B$6=0,0,$B$6*NORMSINV(0.000001+0.999998*RAND())))</f>
        <v/>
      </c>
      <c r="GP13" s="30">
        <f>IF(86&gt;$B$3,99,INDEX(Symboles!$H$6:$H$101,MOD(85+$C13+(-4),$B$3)+1)*E13+INDEX(Symboles!$H$6:$H$101,MOD(85+$C13+(-3),$B$3)+1)*F13+INDEX(Symboles!$H$6:$H$101,MOD(85+$C13+(-2),$B$3)+1)*G13+INDEX(Symboles!$H$6:$H$101,MOD(85+$C13+(-1),$B$3)+1)*H13+INDEX(Symboles!$H$6:$H$101,MOD(85+$C13+(0),$B$3)+1)*I13+INDEX(Symboles!$H$6:$H$101,MOD(85+$C13+(1),$B$3)+1)*J13+INDEX(Symboles!$H$6:$H$101,MOD(85+$C13+(2),$B$3)+1)*K13+INDEX(Symboles!$H$6:$H$101,MOD(85+$C13+(3),$B$3)+1)*L13+INDEX(Symboles!$H$6:$H$101,MOD(85+$C13+(4),$B$3)+1)*M13+IF($B$6=0,0,$B$6*NORMSINV(0.000001+0.999998*RAND())))</f>
        <v/>
      </c>
      <c r="GQ13" s="30">
        <f>IF(87&gt;$B$3,99,INDEX(Symboles!$H$6:$H$101,MOD(86+$C13+(-4),$B$3)+1)*E13+INDEX(Symboles!$H$6:$H$101,MOD(86+$C13+(-3),$B$3)+1)*F13+INDEX(Symboles!$H$6:$H$101,MOD(86+$C13+(-2),$B$3)+1)*G13+INDEX(Symboles!$H$6:$H$101,MOD(86+$C13+(-1),$B$3)+1)*H13+INDEX(Symboles!$H$6:$H$101,MOD(86+$C13+(0),$B$3)+1)*I13+INDEX(Symboles!$H$6:$H$101,MOD(86+$C13+(1),$B$3)+1)*J13+INDEX(Symboles!$H$6:$H$101,MOD(86+$C13+(2),$B$3)+1)*K13+INDEX(Symboles!$H$6:$H$101,MOD(86+$C13+(3),$B$3)+1)*L13+INDEX(Symboles!$H$6:$H$101,MOD(86+$C13+(4),$B$3)+1)*M13+IF($B$6=0,0,$B$6*NORMSINV(0.000001+0.999998*RAND())))</f>
        <v/>
      </c>
      <c r="GR13" s="30">
        <f>IF(88&gt;$B$3,99,INDEX(Symboles!$H$6:$H$101,MOD(87+$C13+(-4),$B$3)+1)*E13+INDEX(Symboles!$H$6:$H$101,MOD(87+$C13+(-3),$B$3)+1)*F13+INDEX(Symboles!$H$6:$H$101,MOD(87+$C13+(-2),$B$3)+1)*G13+INDEX(Symboles!$H$6:$H$101,MOD(87+$C13+(-1),$B$3)+1)*H13+INDEX(Symboles!$H$6:$H$101,MOD(87+$C13+(0),$B$3)+1)*I13+INDEX(Symboles!$H$6:$H$101,MOD(87+$C13+(1),$B$3)+1)*J13+INDEX(Symboles!$H$6:$H$101,MOD(87+$C13+(2),$B$3)+1)*K13+INDEX(Symboles!$H$6:$H$101,MOD(87+$C13+(3),$B$3)+1)*L13+INDEX(Symboles!$H$6:$H$101,MOD(87+$C13+(4),$B$3)+1)*M13+IF($B$6=0,0,$B$6*NORMSINV(0.000001+0.999998*RAND())))</f>
        <v/>
      </c>
      <c r="GS13" s="30">
        <f>IF(89&gt;$B$3,99,INDEX(Symboles!$H$6:$H$101,MOD(88+$C13+(-4),$B$3)+1)*E13+INDEX(Symboles!$H$6:$H$101,MOD(88+$C13+(-3),$B$3)+1)*F13+INDEX(Symboles!$H$6:$H$101,MOD(88+$C13+(-2),$B$3)+1)*G13+INDEX(Symboles!$H$6:$H$101,MOD(88+$C13+(-1),$B$3)+1)*H13+INDEX(Symboles!$H$6:$H$101,MOD(88+$C13+(0),$B$3)+1)*I13+INDEX(Symboles!$H$6:$H$101,MOD(88+$C13+(1),$B$3)+1)*J13+INDEX(Symboles!$H$6:$H$101,MOD(88+$C13+(2),$B$3)+1)*K13+INDEX(Symboles!$H$6:$H$101,MOD(88+$C13+(3),$B$3)+1)*L13+INDEX(Symboles!$H$6:$H$101,MOD(88+$C13+(4),$B$3)+1)*M13+IF($B$6=0,0,$B$6*NORMSINV(0.000001+0.999998*RAND())))</f>
        <v/>
      </c>
      <c r="GT13" s="30">
        <f>IF(90&gt;$B$3,99,INDEX(Symboles!$H$6:$H$101,MOD(89+$C13+(-4),$B$3)+1)*E13+INDEX(Symboles!$H$6:$H$101,MOD(89+$C13+(-3),$B$3)+1)*F13+INDEX(Symboles!$H$6:$H$101,MOD(89+$C13+(-2),$B$3)+1)*G13+INDEX(Symboles!$H$6:$H$101,MOD(89+$C13+(-1),$B$3)+1)*H13+INDEX(Symboles!$H$6:$H$101,MOD(89+$C13+(0),$B$3)+1)*I13+INDEX(Symboles!$H$6:$H$101,MOD(89+$C13+(1),$B$3)+1)*J13+INDEX(Symboles!$H$6:$H$101,MOD(89+$C13+(2),$B$3)+1)*K13+INDEX(Symboles!$H$6:$H$101,MOD(89+$C13+(3),$B$3)+1)*L13+INDEX(Symboles!$H$6:$H$101,MOD(89+$C13+(4),$B$3)+1)*M13+IF($B$6=0,0,$B$6*NORMSINV(0.000001+0.999998*RAND())))</f>
        <v/>
      </c>
      <c r="GU13" s="30">
        <f>IF(91&gt;$B$3,99,INDEX(Symboles!$H$6:$H$101,MOD(90+$C13+(-4),$B$3)+1)*E13+INDEX(Symboles!$H$6:$H$101,MOD(90+$C13+(-3),$B$3)+1)*F13+INDEX(Symboles!$H$6:$H$101,MOD(90+$C13+(-2),$B$3)+1)*G13+INDEX(Symboles!$H$6:$H$101,MOD(90+$C13+(-1),$B$3)+1)*H13+INDEX(Symboles!$H$6:$H$101,MOD(90+$C13+(0),$B$3)+1)*I13+INDEX(Symboles!$H$6:$H$101,MOD(90+$C13+(1),$B$3)+1)*J13+INDEX(Symboles!$H$6:$H$101,MOD(90+$C13+(2),$B$3)+1)*K13+INDEX(Symboles!$H$6:$H$101,MOD(90+$C13+(3),$B$3)+1)*L13+INDEX(Symboles!$H$6:$H$101,MOD(90+$C13+(4),$B$3)+1)*M13+IF($B$6=0,0,$B$6*NORMSINV(0.000001+0.999998*RAND())))</f>
        <v/>
      </c>
      <c r="GV13" s="30">
        <f>IF(92&gt;$B$3,99,INDEX(Symboles!$H$6:$H$101,MOD(91+$C13+(-4),$B$3)+1)*E13+INDEX(Symboles!$H$6:$H$101,MOD(91+$C13+(-3),$B$3)+1)*F13+INDEX(Symboles!$H$6:$H$101,MOD(91+$C13+(-2),$B$3)+1)*G13+INDEX(Symboles!$H$6:$H$101,MOD(91+$C13+(-1),$B$3)+1)*H13+INDEX(Symboles!$H$6:$H$101,MOD(91+$C13+(0),$B$3)+1)*I13+INDEX(Symboles!$H$6:$H$101,MOD(91+$C13+(1),$B$3)+1)*J13+INDEX(Symboles!$H$6:$H$101,MOD(91+$C13+(2),$B$3)+1)*K13+INDEX(Symboles!$H$6:$H$101,MOD(91+$C13+(3),$B$3)+1)*L13+INDEX(Symboles!$H$6:$H$101,MOD(91+$C13+(4),$B$3)+1)*M13+IF($B$6=0,0,$B$6*NORMSINV(0.000001+0.999998*RAND())))</f>
        <v/>
      </c>
      <c r="GW13" s="30">
        <f>IF(93&gt;$B$3,99,INDEX(Symboles!$H$6:$H$101,MOD(92+$C13+(-4),$B$3)+1)*E13+INDEX(Symboles!$H$6:$H$101,MOD(92+$C13+(-3),$B$3)+1)*F13+INDEX(Symboles!$H$6:$H$101,MOD(92+$C13+(-2),$B$3)+1)*G13+INDEX(Symboles!$H$6:$H$101,MOD(92+$C13+(-1),$B$3)+1)*H13+INDEX(Symboles!$H$6:$H$101,MOD(92+$C13+(0),$B$3)+1)*I13+INDEX(Symboles!$H$6:$H$101,MOD(92+$C13+(1),$B$3)+1)*J13+INDEX(Symboles!$H$6:$H$101,MOD(92+$C13+(2),$B$3)+1)*K13+INDEX(Symboles!$H$6:$H$101,MOD(92+$C13+(3),$B$3)+1)*L13+INDEX(Symboles!$H$6:$H$101,MOD(92+$C13+(4),$B$3)+1)*M13+IF($B$6=0,0,$B$6*NORMSINV(0.000001+0.999998*RAND())))</f>
        <v/>
      </c>
      <c r="GX13" s="30">
        <f>IF(94&gt;$B$3,99,INDEX(Symboles!$H$6:$H$101,MOD(93+$C13+(-4),$B$3)+1)*E13+INDEX(Symboles!$H$6:$H$101,MOD(93+$C13+(-3),$B$3)+1)*F13+INDEX(Symboles!$H$6:$H$101,MOD(93+$C13+(-2),$B$3)+1)*G13+INDEX(Symboles!$H$6:$H$101,MOD(93+$C13+(-1),$B$3)+1)*H13+INDEX(Symboles!$H$6:$H$101,MOD(93+$C13+(0),$B$3)+1)*I13+INDEX(Symboles!$H$6:$H$101,MOD(93+$C13+(1),$B$3)+1)*J13+INDEX(Symboles!$H$6:$H$101,MOD(93+$C13+(2),$B$3)+1)*K13+INDEX(Symboles!$H$6:$H$101,MOD(93+$C13+(3),$B$3)+1)*L13+INDEX(Symboles!$H$6:$H$101,MOD(93+$C13+(4),$B$3)+1)*M13+IF($B$6=0,0,$B$6*NORMSINV(0.000001+0.999998*RAND())))</f>
        <v/>
      </c>
      <c r="GY13" s="30">
        <f>IF(95&gt;$B$3,99,INDEX(Symboles!$H$6:$H$101,MOD(94+$C13+(-4),$B$3)+1)*E13+INDEX(Symboles!$H$6:$H$101,MOD(94+$C13+(-3),$B$3)+1)*F13+INDEX(Symboles!$H$6:$H$101,MOD(94+$C13+(-2),$B$3)+1)*G13+INDEX(Symboles!$H$6:$H$101,MOD(94+$C13+(-1),$B$3)+1)*H13+INDEX(Symboles!$H$6:$H$101,MOD(94+$C13+(0),$B$3)+1)*I13+INDEX(Symboles!$H$6:$H$101,MOD(94+$C13+(1),$B$3)+1)*J13+INDEX(Symboles!$H$6:$H$101,MOD(94+$C13+(2),$B$3)+1)*K13+INDEX(Symboles!$H$6:$H$101,MOD(94+$C13+(3),$B$3)+1)*L13+INDEX(Symboles!$H$6:$H$101,MOD(94+$C13+(4),$B$3)+1)*M13+IF($B$6=0,0,$B$6*NORMSINV(0.000001+0.999998*RAND())))</f>
        <v/>
      </c>
      <c r="GZ13" s="30">
        <f>IF(96&gt;$B$3,99,INDEX(Symboles!$H$6:$H$101,MOD(95+$C13+(-4),$B$3)+1)*E13+INDEX(Symboles!$H$6:$H$101,MOD(95+$C13+(-3),$B$3)+1)*F13+INDEX(Symboles!$H$6:$H$101,MOD(95+$C13+(-2),$B$3)+1)*G13+INDEX(Symboles!$H$6:$H$101,MOD(95+$C13+(-1),$B$3)+1)*H13+INDEX(Symboles!$H$6:$H$101,MOD(95+$C13+(0),$B$3)+1)*I13+INDEX(Symboles!$H$6:$H$101,MOD(95+$C13+(1),$B$3)+1)*J13+INDEX(Symboles!$H$6:$H$101,MOD(95+$C13+(2),$B$3)+1)*K13+INDEX(Symboles!$H$6:$H$101,MOD(95+$C13+(3),$B$3)+1)*L13+INDEX(Symboles!$H$6:$H$101,MOD(95+$C13+(4),$B$3)+1)*M13+IF($B$6=0,0,$B$6*NORMSINV(0.000001+0.999998*RAND())))</f>
        <v/>
      </c>
    </row>
    <row r="14">
      <c r="A14" s="28" t="n">
        <v>4</v>
      </c>
      <c r="B14" s="28" t="n">
        <v>-0.75</v>
      </c>
      <c r="C14" s="28" t="n">
        <v>-1</v>
      </c>
      <c r="D14" s="28" t="n">
        <v>12</v>
      </c>
      <c r="E14" s="29">
        <f>IF($B$4=1,0,IF(ABS(1-(2*$B$5*4.25)^2)&lt;0.000001,PI()/4*SIN(PI()/(2*$B$5))/(PI()/(2*$B$5)),SIN(PI()*4.25)/(PI()*4.25)*COS(PI()*$B$5*4.25)/(1-(2*$B$5*4.25)^2)))</f>
        <v/>
      </c>
      <c r="F14" s="29">
        <f>IF($B$4=1,0,IF(ABS(1-(2*$B$5*3.25)^2)&lt;0.000001,PI()/4*SIN(PI()/(2*$B$5))/(PI()/(2*$B$5)),SIN(PI()*3.25)/(PI()*3.25)*COS(PI()*$B$5*3.25)/(1-(2*$B$5*3.25)^2)))</f>
        <v/>
      </c>
      <c r="G14" s="29">
        <f>IF($B$4=1,0,IF(ABS(1-(2*$B$5*2.25)^2)&lt;0.000001,PI()/4*SIN(PI()/(2*$B$5))/(PI()/(2*$B$5)),SIN(PI()*2.25)/(PI()*2.25)*COS(PI()*$B$5*2.25)/(1-(2*$B$5*2.25)^2)))</f>
        <v/>
      </c>
      <c r="H14" s="29">
        <f>IF($B$4=1,0,IF(ABS(1-(2*$B$5*1.25)^2)&lt;0.000001,PI()/4*SIN(PI()/(2*$B$5))/(PI()/(2*$B$5)),SIN(PI()*1.25)/(PI()*1.25)*COS(PI()*$B$5*1.25)/(1-(2*$B$5*1.25)^2)))</f>
        <v/>
      </c>
      <c r="I14" s="29">
        <f>IF($B$4=1,1,IF(ABS(1-(2*$B$5*0.25)^2)&lt;0.000001,PI()/4*SIN(PI()/(2*$B$5))/(PI()/(2*$B$5)),SIN(PI()*0.25)/(PI()*0.25)*COS(PI()*$B$5*0.25)/(1-(2*$B$5*0.25)^2)))</f>
        <v/>
      </c>
      <c r="J14" s="29">
        <f>IF($B$4=1,0,IF(ABS(1-(2*$B$5*-0.75)^2)&lt;0.000001,PI()/4*SIN(PI()/(2*$B$5))/(PI()/(2*$B$5)),SIN(PI()*-0.75)/(PI()*-0.75)*COS(PI()*$B$5*-0.75)/(1-(2*$B$5*-0.75)^2)))</f>
        <v/>
      </c>
      <c r="K14" s="29">
        <f>IF($B$4=1,0,IF(ABS(1-(2*$B$5*-1.75)^2)&lt;0.000001,PI()/4*SIN(PI()/(2*$B$5))/(PI()/(2*$B$5)),SIN(PI()*-1.75)/(PI()*-1.75)*COS(PI()*$B$5*-1.75)/(1-(2*$B$5*-1.75)^2)))</f>
        <v/>
      </c>
      <c r="L14" s="29">
        <f>IF($B$4=1,0,IF(ABS(1-(2*$B$5*-2.75)^2)&lt;0.000001,PI()/4*SIN(PI()/(2*$B$5))/(PI()/(2*$B$5)),SIN(PI()*-2.75)/(PI()*-2.75)*COS(PI()*$B$5*-2.75)/(1-(2*$B$5*-2.75)^2)))</f>
        <v/>
      </c>
      <c r="M14" s="29">
        <f>IF($B$4=1,0,IF(ABS(1-(2*$B$5*-3.75)^2)&lt;0.000001,PI()/4*SIN(PI()/(2*$B$5))/(PI()/(2*$B$5)),SIN(PI()*-3.75)/(PI()*-3.75)*COS(PI()*$B$5*-3.75)/(1-(2*$B$5*-3.75)^2)))</f>
        <v/>
      </c>
      <c r="P14" s="30">
        <f>IF(1&gt;$B$3,99,INDEX(Symboles!$G$6:$G$101,MOD(0+$C14+(-4),$B$3)+1)*E14+INDEX(Symboles!$G$6:$G$101,MOD(0+$C14+(-3),$B$3)+1)*F14+INDEX(Symboles!$G$6:$G$101,MOD(0+$C14+(-2),$B$3)+1)*G14+INDEX(Symboles!$G$6:$G$101,MOD(0+$C14+(-1),$B$3)+1)*H14+INDEX(Symboles!$G$6:$G$101,MOD(0+$C14+(0),$B$3)+1)*I14+INDEX(Symboles!$G$6:$G$101,MOD(0+$C14+(1),$B$3)+1)*J14+INDEX(Symboles!$G$6:$G$101,MOD(0+$C14+(2),$B$3)+1)*K14+INDEX(Symboles!$G$6:$G$101,MOD(0+$C14+(3),$B$3)+1)*L14+INDEX(Symboles!$G$6:$G$101,MOD(0+$C14+(4),$B$3)+1)*M14+IF($B$6=0,0,$B$6*NORMSINV(0.000001+0.999998*RAND())))</f>
        <v/>
      </c>
      <c r="Q14" s="30">
        <f>IF(2&gt;$B$3,99,INDEX(Symboles!$G$6:$G$101,MOD(1+$C14+(-4),$B$3)+1)*E14+INDEX(Symboles!$G$6:$G$101,MOD(1+$C14+(-3),$B$3)+1)*F14+INDEX(Symboles!$G$6:$G$101,MOD(1+$C14+(-2),$B$3)+1)*G14+INDEX(Symboles!$G$6:$G$101,MOD(1+$C14+(-1),$B$3)+1)*H14+INDEX(Symboles!$G$6:$G$101,MOD(1+$C14+(0),$B$3)+1)*I14+INDEX(Symboles!$G$6:$G$101,MOD(1+$C14+(1),$B$3)+1)*J14+INDEX(Symboles!$G$6:$G$101,MOD(1+$C14+(2),$B$3)+1)*K14+INDEX(Symboles!$G$6:$G$101,MOD(1+$C14+(3),$B$3)+1)*L14+INDEX(Symboles!$G$6:$G$101,MOD(1+$C14+(4),$B$3)+1)*M14+IF($B$6=0,0,$B$6*NORMSINV(0.000001+0.999998*RAND())))</f>
        <v/>
      </c>
      <c r="R14" s="30">
        <f>IF(3&gt;$B$3,99,INDEX(Symboles!$G$6:$G$101,MOD(2+$C14+(-4),$B$3)+1)*E14+INDEX(Symboles!$G$6:$G$101,MOD(2+$C14+(-3),$B$3)+1)*F14+INDEX(Symboles!$G$6:$G$101,MOD(2+$C14+(-2),$B$3)+1)*G14+INDEX(Symboles!$G$6:$G$101,MOD(2+$C14+(-1),$B$3)+1)*H14+INDEX(Symboles!$G$6:$G$101,MOD(2+$C14+(0),$B$3)+1)*I14+INDEX(Symboles!$G$6:$G$101,MOD(2+$C14+(1),$B$3)+1)*J14+INDEX(Symboles!$G$6:$G$101,MOD(2+$C14+(2),$B$3)+1)*K14+INDEX(Symboles!$G$6:$G$101,MOD(2+$C14+(3),$B$3)+1)*L14+INDEX(Symboles!$G$6:$G$101,MOD(2+$C14+(4),$B$3)+1)*M14+IF($B$6=0,0,$B$6*NORMSINV(0.000001+0.999998*RAND())))</f>
        <v/>
      </c>
      <c r="S14" s="30">
        <f>IF(4&gt;$B$3,99,INDEX(Symboles!$G$6:$G$101,MOD(3+$C14+(-4),$B$3)+1)*E14+INDEX(Symboles!$G$6:$G$101,MOD(3+$C14+(-3),$B$3)+1)*F14+INDEX(Symboles!$G$6:$G$101,MOD(3+$C14+(-2),$B$3)+1)*G14+INDEX(Symboles!$G$6:$G$101,MOD(3+$C14+(-1),$B$3)+1)*H14+INDEX(Symboles!$G$6:$G$101,MOD(3+$C14+(0),$B$3)+1)*I14+INDEX(Symboles!$G$6:$G$101,MOD(3+$C14+(1),$B$3)+1)*J14+INDEX(Symboles!$G$6:$G$101,MOD(3+$C14+(2),$B$3)+1)*K14+INDEX(Symboles!$G$6:$G$101,MOD(3+$C14+(3),$B$3)+1)*L14+INDEX(Symboles!$G$6:$G$101,MOD(3+$C14+(4),$B$3)+1)*M14+IF($B$6=0,0,$B$6*NORMSINV(0.000001+0.999998*RAND())))</f>
        <v/>
      </c>
      <c r="T14" s="30">
        <f>IF(5&gt;$B$3,99,INDEX(Symboles!$G$6:$G$101,MOD(4+$C14+(-4),$B$3)+1)*E14+INDEX(Symboles!$G$6:$G$101,MOD(4+$C14+(-3),$B$3)+1)*F14+INDEX(Symboles!$G$6:$G$101,MOD(4+$C14+(-2),$B$3)+1)*G14+INDEX(Symboles!$G$6:$G$101,MOD(4+$C14+(-1),$B$3)+1)*H14+INDEX(Symboles!$G$6:$G$101,MOD(4+$C14+(0),$B$3)+1)*I14+INDEX(Symboles!$G$6:$G$101,MOD(4+$C14+(1),$B$3)+1)*J14+INDEX(Symboles!$G$6:$G$101,MOD(4+$C14+(2),$B$3)+1)*K14+INDEX(Symboles!$G$6:$G$101,MOD(4+$C14+(3),$B$3)+1)*L14+INDEX(Symboles!$G$6:$G$101,MOD(4+$C14+(4),$B$3)+1)*M14+IF($B$6=0,0,$B$6*NORMSINV(0.000001+0.999998*RAND())))</f>
        <v/>
      </c>
      <c r="U14" s="30">
        <f>IF(6&gt;$B$3,99,INDEX(Symboles!$G$6:$G$101,MOD(5+$C14+(-4),$B$3)+1)*E14+INDEX(Symboles!$G$6:$G$101,MOD(5+$C14+(-3),$B$3)+1)*F14+INDEX(Symboles!$G$6:$G$101,MOD(5+$C14+(-2),$B$3)+1)*G14+INDEX(Symboles!$G$6:$G$101,MOD(5+$C14+(-1),$B$3)+1)*H14+INDEX(Symboles!$G$6:$G$101,MOD(5+$C14+(0),$B$3)+1)*I14+INDEX(Symboles!$G$6:$G$101,MOD(5+$C14+(1),$B$3)+1)*J14+INDEX(Symboles!$G$6:$G$101,MOD(5+$C14+(2),$B$3)+1)*K14+INDEX(Symboles!$G$6:$G$101,MOD(5+$C14+(3),$B$3)+1)*L14+INDEX(Symboles!$G$6:$G$101,MOD(5+$C14+(4),$B$3)+1)*M14+IF($B$6=0,0,$B$6*NORMSINV(0.000001+0.999998*RAND())))</f>
        <v/>
      </c>
      <c r="V14" s="30">
        <f>IF(7&gt;$B$3,99,INDEX(Symboles!$G$6:$G$101,MOD(6+$C14+(-4),$B$3)+1)*E14+INDEX(Symboles!$G$6:$G$101,MOD(6+$C14+(-3),$B$3)+1)*F14+INDEX(Symboles!$G$6:$G$101,MOD(6+$C14+(-2),$B$3)+1)*G14+INDEX(Symboles!$G$6:$G$101,MOD(6+$C14+(-1),$B$3)+1)*H14+INDEX(Symboles!$G$6:$G$101,MOD(6+$C14+(0),$B$3)+1)*I14+INDEX(Symboles!$G$6:$G$101,MOD(6+$C14+(1),$B$3)+1)*J14+INDEX(Symboles!$G$6:$G$101,MOD(6+$C14+(2),$B$3)+1)*K14+INDEX(Symboles!$G$6:$G$101,MOD(6+$C14+(3),$B$3)+1)*L14+INDEX(Symboles!$G$6:$G$101,MOD(6+$C14+(4),$B$3)+1)*M14+IF($B$6=0,0,$B$6*NORMSINV(0.000001+0.999998*RAND())))</f>
        <v/>
      </c>
      <c r="W14" s="30">
        <f>IF(8&gt;$B$3,99,INDEX(Symboles!$G$6:$G$101,MOD(7+$C14+(-4),$B$3)+1)*E14+INDEX(Symboles!$G$6:$G$101,MOD(7+$C14+(-3),$B$3)+1)*F14+INDEX(Symboles!$G$6:$G$101,MOD(7+$C14+(-2),$B$3)+1)*G14+INDEX(Symboles!$G$6:$G$101,MOD(7+$C14+(-1),$B$3)+1)*H14+INDEX(Symboles!$G$6:$G$101,MOD(7+$C14+(0),$B$3)+1)*I14+INDEX(Symboles!$G$6:$G$101,MOD(7+$C14+(1),$B$3)+1)*J14+INDEX(Symboles!$G$6:$G$101,MOD(7+$C14+(2),$B$3)+1)*K14+INDEX(Symboles!$G$6:$G$101,MOD(7+$C14+(3),$B$3)+1)*L14+INDEX(Symboles!$G$6:$G$101,MOD(7+$C14+(4),$B$3)+1)*M14+IF($B$6=0,0,$B$6*NORMSINV(0.000001+0.999998*RAND())))</f>
        <v/>
      </c>
      <c r="X14" s="30">
        <f>IF(9&gt;$B$3,99,INDEX(Symboles!$G$6:$G$101,MOD(8+$C14+(-4),$B$3)+1)*E14+INDEX(Symboles!$G$6:$G$101,MOD(8+$C14+(-3),$B$3)+1)*F14+INDEX(Symboles!$G$6:$G$101,MOD(8+$C14+(-2),$B$3)+1)*G14+INDEX(Symboles!$G$6:$G$101,MOD(8+$C14+(-1),$B$3)+1)*H14+INDEX(Symboles!$G$6:$G$101,MOD(8+$C14+(0),$B$3)+1)*I14+INDEX(Symboles!$G$6:$G$101,MOD(8+$C14+(1),$B$3)+1)*J14+INDEX(Symboles!$G$6:$G$101,MOD(8+$C14+(2),$B$3)+1)*K14+INDEX(Symboles!$G$6:$G$101,MOD(8+$C14+(3),$B$3)+1)*L14+INDEX(Symboles!$G$6:$G$101,MOD(8+$C14+(4),$B$3)+1)*M14+IF($B$6=0,0,$B$6*NORMSINV(0.000001+0.999998*RAND())))</f>
        <v/>
      </c>
      <c r="Y14" s="30">
        <f>IF(10&gt;$B$3,99,INDEX(Symboles!$G$6:$G$101,MOD(9+$C14+(-4),$B$3)+1)*E14+INDEX(Symboles!$G$6:$G$101,MOD(9+$C14+(-3),$B$3)+1)*F14+INDEX(Symboles!$G$6:$G$101,MOD(9+$C14+(-2),$B$3)+1)*G14+INDEX(Symboles!$G$6:$G$101,MOD(9+$C14+(-1),$B$3)+1)*H14+INDEX(Symboles!$G$6:$G$101,MOD(9+$C14+(0),$B$3)+1)*I14+INDEX(Symboles!$G$6:$G$101,MOD(9+$C14+(1),$B$3)+1)*J14+INDEX(Symboles!$G$6:$G$101,MOD(9+$C14+(2),$B$3)+1)*K14+INDEX(Symboles!$G$6:$G$101,MOD(9+$C14+(3),$B$3)+1)*L14+INDEX(Symboles!$G$6:$G$101,MOD(9+$C14+(4),$B$3)+1)*M14+IF($B$6=0,0,$B$6*NORMSINV(0.000001+0.999998*RAND())))</f>
        <v/>
      </c>
      <c r="Z14" s="30">
        <f>IF(11&gt;$B$3,99,INDEX(Symboles!$G$6:$G$101,MOD(10+$C14+(-4),$B$3)+1)*E14+INDEX(Symboles!$G$6:$G$101,MOD(10+$C14+(-3),$B$3)+1)*F14+INDEX(Symboles!$G$6:$G$101,MOD(10+$C14+(-2),$B$3)+1)*G14+INDEX(Symboles!$G$6:$G$101,MOD(10+$C14+(-1),$B$3)+1)*H14+INDEX(Symboles!$G$6:$G$101,MOD(10+$C14+(0),$B$3)+1)*I14+INDEX(Symboles!$G$6:$G$101,MOD(10+$C14+(1),$B$3)+1)*J14+INDEX(Symboles!$G$6:$G$101,MOD(10+$C14+(2),$B$3)+1)*K14+INDEX(Symboles!$G$6:$G$101,MOD(10+$C14+(3),$B$3)+1)*L14+INDEX(Symboles!$G$6:$G$101,MOD(10+$C14+(4),$B$3)+1)*M14+IF($B$6=0,0,$B$6*NORMSINV(0.000001+0.999998*RAND())))</f>
        <v/>
      </c>
      <c r="AA14" s="30">
        <f>IF(12&gt;$B$3,99,INDEX(Symboles!$G$6:$G$101,MOD(11+$C14+(-4),$B$3)+1)*E14+INDEX(Symboles!$G$6:$G$101,MOD(11+$C14+(-3),$B$3)+1)*F14+INDEX(Symboles!$G$6:$G$101,MOD(11+$C14+(-2),$B$3)+1)*G14+INDEX(Symboles!$G$6:$G$101,MOD(11+$C14+(-1),$B$3)+1)*H14+INDEX(Symboles!$G$6:$G$101,MOD(11+$C14+(0),$B$3)+1)*I14+INDEX(Symboles!$G$6:$G$101,MOD(11+$C14+(1),$B$3)+1)*J14+INDEX(Symboles!$G$6:$G$101,MOD(11+$C14+(2),$B$3)+1)*K14+INDEX(Symboles!$G$6:$G$101,MOD(11+$C14+(3),$B$3)+1)*L14+INDEX(Symboles!$G$6:$G$101,MOD(11+$C14+(4),$B$3)+1)*M14+IF($B$6=0,0,$B$6*NORMSINV(0.000001+0.999998*RAND())))</f>
        <v/>
      </c>
      <c r="AB14" s="30">
        <f>IF(13&gt;$B$3,99,INDEX(Symboles!$G$6:$G$101,MOD(12+$C14+(-4),$B$3)+1)*E14+INDEX(Symboles!$G$6:$G$101,MOD(12+$C14+(-3),$B$3)+1)*F14+INDEX(Symboles!$G$6:$G$101,MOD(12+$C14+(-2),$B$3)+1)*G14+INDEX(Symboles!$G$6:$G$101,MOD(12+$C14+(-1),$B$3)+1)*H14+INDEX(Symboles!$G$6:$G$101,MOD(12+$C14+(0),$B$3)+1)*I14+INDEX(Symboles!$G$6:$G$101,MOD(12+$C14+(1),$B$3)+1)*J14+INDEX(Symboles!$G$6:$G$101,MOD(12+$C14+(2),$B$3)+1)*K14+INDEX(Symboles!$G$6:$G$101,MOD(12+$C14+(3),$B$3)+1)*L14+INDEX(Symboles!$G$6:$G$101,MOD(12+$C14+(4),$B$3)+1)*M14+IF($B$6=0,0,$B$6*NORMSINV(0.000001+0.999998*RAND())))</f>
        <v/>
      </c>
      <c r="AC14" s="30">
        <f>IF(14&gt;$B$3,99,INDEX(Symboles!$G$6:$G$101,MOD(13+$C14+(-4),$B$3)+1)*E14+INDEX(Symboles!$G$6:$G$101,MOD(13+$C14+(-3),$B$3)+1)*F14+INDEX(Symboles!$G$6:$G$101,MOD(13+$C14+(-2),$B$3)+1)*G14+INDEX(Symboles!$G$6:$G$101,MOD(13+$C14+(-1),$B$3)+1)*H14+INDEX(Symboles!$G$6:$G$101,MOD(13+$C14+(0),$B$3)+1)*I14+INDEX(Symboles!$G$6:$G$101,MOD(13+$C14+(1),$B$3)+1)*J14+INDEX(Symboles!$G$6:$G$101,MOD(13+$C14+(2),$B$3)+1)*K14+INDEX(Symboles!$G$6:$G$101,MOD(13+$C14+(3),$B$3)+1)*L14+INDEX(Symboles!$G$6:$G$101,MOD(13+$C14+(4),$B$3)+1)*M14+IF($B$6=0,0,$B$6*NORMSINV(0.000001+0.999998*RAND())))</f>
        <v/>
      </c>
      <c r="AD14" s="30">
        <f>IF(15&gt;$B$3,99,INDEX(Symboles!$G$6:$G$101,MOD(14+$C14+(-4),$B$3)+1)*E14+INDEX(Symboles!$G$6:$G$101,MOD(14+$C14+(-3),$B$3)+1)*F14+INDEX(Symboles!$G$6:$G$101,MOD(14+$C14+(-2),$B$3)+1)*G14+INDEX(Symboles!$G$6:$G$101,MOD(14+$C14+(-1),$B$3)+1)*H14+INDEX(Symboles!$G$6:$G$101,MOD(14+$C14+(0),$B$3)+1)*I14+INDEX(Symboles!$G$6:$G$101,MOD(14+$C14+(1),$B$3)+1)*J14+INDEX(Symboles!$G$6:$G$101,MOD(14+$C14+(2),$B$3)+1)*K14+INDEX(Symboles!$G$6:$G$101,MOD(14+$C14+(3),$B$3)+1)*L14+INDEX(Symboles!$G$6:$G$101,MOD(14+$C14+(4),$B$3)+1)*M14+IF($B$6=0,0,$B$6*NORMSINV(0.000001+0.999998*RAND())))</f>
        <v/>
      </c>
      <c r="AE14" s="30">
        <f>IF(16&gt;$B$3,99,INDEX(Symboles!$G$6:$G$101,MOD(15+$C14+(-4),$B$3)+1)*E14+INDEX(Symboles!$G$6:$G$101,MOD(15+$C14+(-3),$B$3)+1)*F14+INDEX(Symboles!$G$6:$G$101,MOD(15+$C14+(-2),$B$3)+1)*G14+INDEX(Symboles!$G$6:$G$101,MOD(15+$C14+(-1),$B$3)+1)*H14+INDEX(Symboles!$G$6:$G$101,MOD(15+$C14+(0),$B$3)+1)*I14+INDEX(Symboles!$G$6:$G$101,MOD(15+$C14+(1),$B$3)+1)*J14+INDEX(Symboles!$G$6:$G$101,MOD(15+$C14+(2),$B$3)+1)*K14+INDEX(Symboles!$G$6:$G$101,MOD(15+$C14+(3),$B$3)+1)*L14+INDEX(Symboles!$G$6:$G$101,MOD(15+$C14+(4),$B$3)+1)*M14+IF($B$6=0,0,$B$6*NORMSINV(0.000001+0.999998*RAND())))</f>
        <v/>
      </c>
      <c r="AF14" s="30">
        <f>IF(17&gt;$B$3,99,INDEX(Symboles!$G$6:$G$101,MOD(16+$C14+(-4),$B$3)+1)*E14+INDEX(Symboles!$G$6:$G$101,MOD(16+$C14+(-3),$B$3)+1)*F14+INDEX(Symboles!$G$6:$G$101,MOD(16+$C14+(-2),$B$3)+1)*G14+INDEX(Symboles!$G$6:$G$101,MOD(16+$C14+(-1),$B$3)+1)*H14+INDEX(Symboles!$G$6:$G$101,MOD(16+$C14+(0),$B$3)+1)*I14+INDEX(Symboles!$G$6:$G$101,MOD(16+$C14+(1),$B$3)+1)*J14+INDEX(Symboles!$G$6:$G$101,MOD(16+$C14+(2),$B$3)+1)*K14+INDEX(Symboles!$G$6:$G$101,MOD(16+$C14+(3),$B$3)+1)*L14+INDEX(Symboles!$G$6:$G$101,MOD(16+$C14+(4),$B$3)+1)*M14+IF($B$6=0,0,$B$6*NORMSINV(0.000001+0.999998*RAND())))</f>
        <v/>
      </c>
      <c r="AG14" s="30">
        <f>IF(18&gt;$B$3,99,INDEX(Symboles!$G$6:$G$101,MOD(17+$C14+(-4),$B$3)+1)*E14+INDEX(Symboles!$G$6:$G$101,MOD(17+$C14+(-3),$B$3)+1)*F14+INDEX(Symboles!$G$6:$G$101,MOD(17+$C14+(-2),$B$3)+1)*G14+INDEX(Symboles!$G$6:$G$101,MOD(17+$C14+(-1),$B$3)+1)*H14+INDEX(Symboles!$G$6:$G$101,MOD(17+$C14+(0),$B$3)+1)*I14+INDEX(Symboles!$G$6:$G$101,MOD(17+$C14+(1),$B$3)+1)*J14+INDEX(Symboles!$G$6:$G$101,MOD(17+$C14+(2),$B$3)+1)*K14+INDEX(Symboles!$G$6:$G$101,MOD(17+$C14+(3),$B$3)+1)*L14+INDEX(Symboles!$G$6:$G$101,MOD(17+$C14+(4),$B$3)+1)*M14+IF($B$6=0,0,$B$6*NORMSINV(0.000001+0.999998*RAND())))</f>
        <v/>
      </c>
      <c r="AH14" s="30">
        <f>IF(19&gt;$B$3,99,INDEX(Symboles!$G$6:$G$101,MOD(18+$C14+(-4),$B$3)+1)*E14+INDEX(Symboles!$G$6:$G$101,MOD(18+$C14+(-3),$B$3)+1)*F14+INDEX(Symboles!$G$6:$G$101,MOD(18+$C14+(-2),$B$3)+1)*G14+INDEX(Symboles!$G$6:$G$101,MOD(18+$C14+(-1),$B$3)+1)*H14+INDEX(Symboles!$G$6:$G$101,MOD(18+$C14+(0),$B$3)+1)*I14+INDEX(Symboles!$G$6:$G$101,MOD(18+$C14+(1),$B$3)+1)*J14+INDEX(Symboles!$G$6:$G$101,MOD(18+$C14+(2),$B$3)+1)*K14+INDEX(Symboles!$G$6:$G$101,MOD(18+$C14+(3),$B$3)+1)*L14+INDEX(Symboles!$G$6:$G$101,MOD(18+$C14+(4),$B$3)+1)*M14+IF($B$6=0,0,$B$6*NORMSINV(0.000001+0.999998*RAND())))</f>
        <v/>
      </c>
      <c r="AI14" s="30">
        <f>IF(20&gt;$B$3,99,INDEX(Symboles!$G$6:$G$101,MOD(19+$C14+(-4),$B$3)+1)*E14+INDEX(Symboles!$G$6:$G$101,MOD(19+$C14+(-3),$B$3)+1)*F14+INDEX(Symboles!$G$6:$G$101,MOD(19+$C14+(-2),$B$3)+1)*G14+INDEX(Symboles!$G$6:$G$101,MOD(19+$C14+(-1),$B$3)+1)*H14+INDEX(Symboles!$G$6:$G$101,MOD(19+$C14+(0),$B$3)+1)*I14+INDEX(Symboles!$G$6:$G$101,MOD(19+$C14+(1),$B$3)+1)*J14+INDEX(Symboles!$G$6:$G$101,MOD(19+$C14+(2),$B$3)+1)*K14+INDEX(Symboles!$G$6:$G$101,MOD(19+$C14+(3),$B$3)+1)*L14+INDEX(Symboles!$G$6:$G$101,MOD(19+$C14+(4),$B$3)+1)*M14+IF($B$6=0,0,$B$6*NORMSINV(0.000001+0.999998*RAND())))</f>
        <v/>
      </c>
      <c r="AJ14" s="30">
        <f>IF(21&gt;$B$3,99,INDEX(Symboles!$G$6:$G$101,MOD(20+$C14+(-4),$B$3)+1)*E14+INDEX(Symboles!$G$6:$G$101,MOD(20+$C14+(-3),$B$3)+1)*F14+INDEX(Symboles!$G$6:$G$101,MOD(20+$C14+(-2),$B$3)+1)*G14+INDEX(Symboles!$G$6:$G$101,MOD(20+$C14+(-1),$B$3)+1)*H14+INDEX(Symboles!$G$6:$G$101,MOD(20+$C14+(0),$B$3)+1)*I14+INDEX(Symboles!$G$6:$G$101,MOD(20+$C14+(1),$B$3)+1)*J14+INDEX(Symboles!$G$6:$G$101,MOD(20+$C14+(2),$B$3)+1)*K14+INDEX(Symboles!$G$6:$G$101,MOD(20+$C14+(3),$B$3)+1)*L14+INDEX(Symboles!$G$6:$G$101,MOD(20+$C14+(4),$B$3)+1)*M14+IF($B$6=0,0,$B$6*NORMSINV(0.000001+0.999998*RAND())))</f>
        <v/>
      </c>
      <c r="AK14" s="30">
        <f>IF(22&gt;$B$3,99,INDEX(Symboles!$G$6:$G$101,MOD(21+$C14+(-4),$B$3)+1)*E14+INDEX(Symboles!$G$6:$G$101,MOD(21+$C14+(-3),$B$3)+1)*F14+INDEX(Symboles!$G$6:$G$101,MOD(21+$C14+(-2),$B$3)+1)*G14+INDEX(Symboles!$G$6:$G$101,MOD(21+$C14+(-1),$B$3)+1)*H14+INDEX(Symboles!$G$6:$G$101,MOD(21+$C14+(0),$B$3)+1)*I14+INDEX(Symboles!$G$6:$G$101,MOD(21+$C14+(1),$B$3)+1)*J14+INDEX(Symboles!$G$6:$G$101,MOD(21+$C14+(2),$B$3)+1)*K14+INDEX(Symboles!$G$6:$G$101,MOD(21+$C14+(3),$B$3)+1)*L14+INDEX(Symboles!$G$6:$G$101,MOD(21+$C14+(4),$B$3)+1)*M14+IF($B$6=0,0,$B$6*NORMSINV(0.000001+0.999998*RAND())))</f>
        <v/>
      </c>
      <c r="AL14" s="30">
        <f>IF(23&gt;$B$3,99,INDEX(Symboles!$G$6:$G$101,MOD(22+$C14+(-4),$B$3)+1)*E14+INDEX(Symboles!$G$6:$G$101,MOD(22+$C14+(-3),$B$3)+1)*F14+INDEX(Symboles!$G$6:$G$101,MOD(22+$C14+(-2),$B$3)+1)*G14+INDEX(Symboles!$G$6:$G$101,MOD(22+$C14+(-1),$B$3)+1)*H14+INDEX(Symboles!$G$6:$G$101,MOD(22+$C14+(0),$B$3)+1)*I14+INDEX(Symboles!$G$6:$G$101,MOD(22+$C14+(1),$B$3)+1)*J14+INDEX(Symboles!$G$6:$G$101,MOD(22+$C14+(2),$B$3)+1)*K14+INDEX(Symboles!$G$6:$G$101,MOD(22+$C14+(3),$B$3)+1)*L14+INDEX(Symboles!$G$6:$G$101,MOD(22+$C14+(4),$B$3)+1)*M14+IF($B$6=0,0,$B$6*NORMSINV(0.000001+0.999998*RAND())))</f>
        <v/>
      </c>
      <c r="AM14" s="30">
        <f>IF(24&gt;$B$3,99,INDEX(Symboles!$G$6:$G$101,MOD(23+$C14+(-4),$B$3)+1)*E14+INDEX(Symboles!$G$6:$G$101,MOD(23+$C14+(-3),$B$3)+1)*F14+INDEX(Symboles!$G$6:$G$101,MOD(23+$C14+(-2),$B$3)+1)*G14+INDEX(Symboles!$G$6:$G$101,MOD(23+$C14+(-1),$B$3)+1)*H14+INDEX(Symboles!$G$6:$G$101,MOD(23+$C14+(0),$B$3)+1)*I14+INDEX(Symboles!$G$6:$G$101,MOD(23+$C14+(1),$B$3)+1)*J14+INDEX(Symboles!$G$6:$G$101,MOD(23+$C14+(2),$B$3)+1)*K14+INDEX(Symboles!$G$6:$G$101,MOD(23+$C14+(3),$B$3)+1)*L14+INDEX(Symboles!$G$6:$G$101,MOD(23+$C14+(4),$B$3)+1)*M14+IF($B$6=0,0,$B$6*NORMSINV(0.000001+0.999998*RAND())))</f>
        <v/>
      </c>
      <c r="AN14" s="30">
        <f>IF(25&gt;$B$3,99,INDEX(Symboles!$G$6:$G$101,MOD(24+$C14+(-4),$B$3)+1)*E14+INDEX(Symboles!$G$6:$G$101,MOD(24+$C14+(-3),$B$3)+1)*F14+INDEX(Symboles!$G$6:$G$101,MOD(24+$C14+(-2),$B$3)+1)*G14+INDEX(Symboles!$G$6:$G$101,MOD(24+$C14+(-1),$B$3)+1)*H14+INDEX(Symboles!$G$6:$G$101,MOD(24+$C14+(0),$B$3)+1)*I14+INDEX(Symboles!$G$6:$G$101,MOD(24+$C14+(1),$B$3)+1)*J14+INDEX(Symboles!$G$6:$G$101,MOD(24+$C14+(2),$B$3)+1)*K14+INDEX(Symboles!$G$6:$G$101,MOD(24+$C14+(3),$B$3)+1)*L14+INDEX(Symboles!$G$6:$G$101,MOD(24+$C14+(4),$B$3)+1)*M14+IF($B$6=0,0,$B$6*NORMSINV(0.000001+0.999998*RAND())))</f>
        <v/>
      </c>
      <c r="AO14" s="30">
        <f>IF(26&gt;$B$3,99,INDEX(Symboles!$G$6:$G$101,MOD(25+$C14+(-4),$B$3)+1)*E14+INDEX(Symboles!$G$6:$G$101,MOD(25+$C14+(-3),$B$3)+1)*F14+INDEX(Symboles!$G$6:$G$101,MOD(25+$C14+(-2),$B$3)+1)*G14+INDEX(Symboles!$G$6:$G$101,MOD(25+$C14+(-1),$B$3)+1)*H14+INDEX(Symboles!$G$6:$G$101,MOD(25+$C14+(0),$B$3)+1)*I14+INDEX(Symboles!$G$6:$G$101,MOD(25+$C14+(1),$B$3)+1)*J14+INDEX(Symboles!$G$6:$G$101,MOD(25+$C14+(2),$B$3)+1)*K14+INDEX(Symboles!$G$6:$G$101,MOD(25+$C14+(3),$B$3)+1)*L14+INDEX(Symboles!$G$6:$G$101,MOD(25+$C14+(4),$B$3)+1)*M14+IF($B$6=0,0,$B$6*NORMSINV(0.000001+0.999998*RAND())))</f>
        <v/>
      </c>
      <c r="AP14" s="30">
        <f>IF(27&gt;$B$3,99,INDEX(Symboles!$G$6:$G$101,MOD(26+$C14+(-4),$B$3)+1)*E14+INDEX(Symboles!$G$6:$G$101,MOD(26+$C14+(-3),$B$3)+1)*F14+INDEX(Symboles!$G$6:$G$101,MOD(26+$C14+(-2),$B$3)+1)*G14+INDEX(Symboles!$G$6:$G$101,MOD(26+$C14+(-1),$B$3)+1)*H14+INDEX(Symboles!$G$6:$G$101,MOD(26+$C14+(0),$B$3)+1)*I14+INDEX(Symboles!$G$6:$G$101,MOD(26+$C14+(1),$B$3)+1)*J14+INDEX(Symboles!$G$6:$G$101,MOD(26+$C14+(2),$B$3)+1)*K14+INDEX(Symboles!$G$6:$G$101,MOD(26+$C14+(3),$B$3)+1)*L14+INDEX(Symboles!$G$6:$G$101,MOD(26+$C14+(4),$B$3)+1)*M14+IF($B$6=0,0,$B$6*NORMSINV(0.000001+0.999998*RAND())))</f>
        <v/>
      </c>
      <c r="AQ14" s="30">
        <f>IF(28&gt;$B$3,99,INDEX(Symboles!$G$6:$G$101,MOD(27+$C14+(-4),$B$3)+1)*E14+INDEX(Symboles!$G$6:$G$101,MOD(27+$C14+(-3),$B$3)+1)*F14+INDEX(Symboles!$G$6:$G$101,MOD(27+$C14+(-2),$B$3)+1)*G14+INDEX(Symboles!$G$6:$G$101,MOD(27+$C14+(-1),$B$3)+1)*H14+INDEX(Symboles!$G$6:$G$101,MOD(27+$C14+(0),$B$3)+1)*I14+INDEX(Symboles!$G$6:$G$101,MOD(27+$C14+(1),$B$3)+1)*J14+INDEX(Symboles!$G$6:$G$101,MOD(27+$C14+(2),$B$3)+1)*K14+INDEX(Symboles!$G$6:$G$101,MOD(27+$C14+(3),$B$3)+1)*L14+INDEX(Symboles!$G$6:$G$101,MOD(27+$C14+(4),$B$3)+1)*M14+IF($B$6=0,0,$B$6*NORMSINV(0.000001+0.999998*RAND())))</f>
        <v/>
      </c>
      <c r="AR14" s="30">
        <f>IF(29&gt;$B$3,99,INDEX(Symboles!$G$6:$G$101,MOD(28+$C14+(-4),$B$3)+1)*E14+INDEX(Symboles!$G$6:$G$101,MOD(28+$C14+(-3),$B$3)+1)*F14+INDEX(Symboles!$G$6:$G$101,MOD(28+$C14+(-2),$B$3)+1)*G14+INDEX(Symboles!$G$6:$G$101,MOD(28+$C14+(-1),$B$3)+1)*H14+INDEX(Symboles!$G$6:$G$101,MOD(28+$C14+(0),$B$3)+1)*I14+INDEX(Symboles!$G$6:$G$101,MOD(28+$C14+(1),$B$3)+1)*J14+INDEX(Symboles!$G$6:$G$101,MOD(28+$C14+(2),$B$3)+1)*K14+INDEX(Symboles!$G$6:$G$101,MOD(28+$C14+(3),$B$3)+1)*L14+INDEX(Symboles!$G$6:$G$101,MOD(28+$C14+(4),$B$3)+1)*M14+IF($B$6=0,0,$B$6*NORMSINV(0.000001+0.999998*RAND())))</f>
        <v/>
      </c>
      <c r="AS14" s="30">
        <f>IF(30&gt;$B$3,99,INDEX(Symboles!$G$6:$G$101,MOD(29+$C14+(-4),$B$3)+1)*E14+INDEX(Symboles!$G$6:$G$101,MOD(29+$C14+(-3),$B$3)+1)*F14+INDEX(Symboles!$G$6:$G$101,MOD(29+$C14+(-2),$B$3)+1)*G14+INDEX(Symboles!$G$6:$G$101,MOD(29+$C14+(-1),$B$3)+1)*H14+INDEX(Symboles!$G$6:$G$101,MOD(29+$C14+(0),$B$3)+1)*I14+INDEX(Symboles!$G$6:$G$101,MOD(29+$C14+(1),$B$3)+1)*J14+INDEX(Symboles!$G$6:$G$101,MOD(29+$C14+(2),$B$3)+1)*K14+INDEX(Symboles!$G$6:$G$101,MOD(29+$C14+(3),$B$3)+1)*L14+INDEX(Symboles!$G$6:$G$101,MOD(29+$C14+(4),$B$3)+1)*M14+IF($B$6=0,0,$B$6*NORMSINV(0.000001+0.999998*RAND())))</f>
        <v/>
      </c>
      <c r="AT14" s="30">
        <f>IF(31&gt;$B$3,99,INDEX(Symboles!$G$6:$G$101,MOD(30+$C14+(-4),$B$3)+1)*E14+INDEX(Symboles!$G$6:$G$101,MOD(30+$C14+(-3),$B$3)+1)*F14+INDEX(Symboles!$G$6:$G$101,MOD(30+$C14+(-2),$B$3)+1)*G14+INDEX(Symboles!$G$6:$G$101,MOD(30+$C14+(-1),$B$3)+1)*H14+INDEX(Symboles!$G$6:$G$101,MOD(30+$C14+(0),$B$3)+1)*I14+INDEX(Symboles!$G$6:$G$101,MOD(30+$C14+(1),$B$3)+1)*J14+INDEX(Symboles!$G$6:$G$101,MOD(30+$C14+(2),$B$3)+1)*K14+INDEX(Symboles!$G$6:$G$101,MOD(30+$C14+(3),$B$3)+1)*L14+INDEX(Symboles!$G$6:$G$101,MOD(30+$C14+(4),$B$3)+1)*M14+IF($B$6=0,0,$B$6*NORMSINV(0.000001+0.999998*RAND())))</f>
        <v/>
      </c>
      <c r="AU14" s="30">
        <f>IF(32&gt;$B$3,99,INDEX(Symboles!$G$6:$G$101,MOD(31+$C14+(-4),$B$3)+1)*E14+INDEX(Symboles!$G$6:$G$101,MOD(31+$C14+(-3),$B$3)+1)*F14+INDEX(Symboles!$G$6:$G$101,MOD(31+$C14+(-2),$B$3)+1)*G14+INDEX(Symboles!$G$6:$G$101,MOD(31+$C14+(-1),$B$3)+1)*H14+INDEX(Symboles!$G$6:$G$101,MOD(31+$C14+(0),$B$3)+1)*I14+INDEX(Symboles!$G$6:$G$101,MOD(31+$C14+(1),$B$3)+1)*J14+INDEX(Symboles!$G$6:$G$101,MOD(31+$C14+(2),$B$3)+1)*K14+INDEX(Symboles!$G$6:$G$101,MOD(31+$C14+(3),$B$3)+1)*L14+INDEX(Symboles!$G$6:$G$101,MOD(31+$C14+(4),$B$3)+1)*M14+IF($B$6=0,0,$B$6*NORMSINV(0.000001+0.999998*RAND())))</f>
        <v/>
      </c>
      <c r="AV14" s="30">
        <f>IF(33&gt;$B$3,99,INDEX(Symboles!$G$6:$G$101,MOD(32+$C14+(-4),$B$3)+1)*E14+INDEX(Symboles!$G$6:$G$101,MOD(32+$C14+(-3),$B$3)+1)*F14+INDEX(Symboles!$G$6:$G$101,MOD(32+$C14+(-2),$B$3)+1)*G14+INDEX(Symboles!$G$6:$G$101,MOD(32+$C14+(-1),$B$3)+1)*H14+INDEX(Symboles!$G$6:$G$101,MOD(32+$C14+(0),$B$3)+1)*I14+INDEX(Symboles!$G$6:$G$101,MOD(32+$C14+(1),$B$3)+1)*J14+INDEX(Symboles!$G$6:$G$101,MOD(32+$C14+(2),$B$3)+1)*K14+INDEX(Symboles!$G$6:$G$101,MOD(32+$C14+(3),$B$3)+1)*L14+INDEX(Symboles!$G$6:$G$101,MOD(32+$C14+(4),$B$3)+1)*M14+IF($B$6=0,0,$B$6*NORMSINV(0.000001+0.999998*RAND())))</f>
        <v/>
      </c>
      <c r="AW14" s="30">
        <f>IF(34&gt;$B$3,99,INDEX(Symboles!$G$6:$G$101,MOD(33+$C14+(-4),$B$3)+1)*E14+INDEX(Symboles!$G$6:$G$101,MOD(33+$C14+(-3),$B$3)+1)*F14+INDEX(Symboles!$G$6:$G$101,MOD(33+$C14+(-2),$B$3)+1)*G14+INDEX(Symboles!$G$6:$G$101,MOD(33+$C14+(-1),$B$3)+1)*H14+INDEX(Symboles!$G$6:$G$101,MOD(33+$C14+(0),$B$3)+1)*I14+INDEX(Symboles!$G$6:$G$101,MOD(33+$C14+(1),$B$3)+1)*J14+INDEX(Symboles!$G$6:$G$101,MOD(33+$C14+(2),$B$3)+1)*K14+INDEX(Symboles!$G$6:$G$101,MOD(33+$C14+(3),$B$3)+1)*L14+INDEX(Symboles!$G$6:$G$101,MOD(33+$C14+(4),$B$3)+1)*M14+IF($B$6=0,0,$B$6*NORMSINV(0.000001+0.999998*RAND())))</f>
        <v/>
      </c>
      <c r="AX14" s="30">
        <f>IF(35&gt;$B$3,99,INDEX(Symboles!$G$6:$G$101,MOD(34+$C14+(-4),$B$3)+1)*E14+INDEX(Symboles!$G$6:$G$101,MOD(34+$C14+(-3),$B$3)+1)*F14+INDEX(Symboles!$G$6:$G$101,MOD(34+$C14+(-2),$B$3)+1)*G14+INDEX(Symboles!$G$6:$G$101,MOD(34+$C14+(-1),$B$3)+1)*H14+INDEX(Symboles!$G$6:$G$101,MOD(34+$C14+(0),$B$3)+1)*I14+INDEX(Symboles!$G$6:$G$101,MOD(34+$C14+(1),$B$3)+1)*J14+INDEX(Symboles!$G$6:$G$101,MOD(34+$C14+(2),$B$3)+1)*K14+INDEX(Symboles!$G$6:$G$101,MOD(34+$C14+(3),$B$3)+1)*L14+INDEX(Symboles!$G$6:$G$101,MOD(34+$C14+(4),$B$3)+1)*M14+IF($B$6=0,0,$B$6*NORMSINV(0.000001+0.999998*RAND())))</f>
        <v/>
      </c>
      <c r="AY14" s="30">
        <f>IF(36&gt;$B$3,99,INDEX(Symboles!$G$6:$G$101,MOD(35+$C14+(-4),$B$3)+1)*E14+INDEX(Symboles!$G$6:$G$101,MOD(35+$C14+(-3),$B$3)+1)*F14+INDEX(Symboles!$G$6:$G$101,MOD(35+$C14+(-2),$B$3)+1)*G14+INDEX(Symboles!$G$6:$G$101,MOD(35+$C14+(-1),$B$3)+1)*H14+INDEX(Symboles!$G$6:$G$101,MOD(35+$C14+(0),$B$3)+1)*I14+INDEX(Symboles!$G$6:$G$101,MOD(35+$C14+(1),$B$3)+1)*J14+INDEX(Symboles!$G$6:$G$101,MOD(35+$C14+(2),$B$3)+1)*K14+INDEX(Symboles!$G$6:$G$101,MOD(35+$C14+(3),$B$3)+1)*L14+INDEX(Symboles!$G$6:$G$101,MOD(35+$C14+(4),$B$3)+1)*M14+IF($B$6=0,0,$B$6*NORMSINV(0.000001+0.999998*RAND())))</f>
        <v/>
      </c>
      <c r="AZ14" s="30">
        <f>IF(37&gt;$B$3,99,INDEX(Symboles!$G$6:$G$101,MOD(36+$C14+(-4),$B$3)+1)*E14+INDEX(Symboles!$G$6:$G$101,MOD(36+$C14+(-3),$B$3)+1)*F14+INDEX(Symboles!$G$6:$G$101,MOD(36+$C14+(-2),$B$3)+1)*G14+INDEX(Symboles!$G$6:$G$101,MOD(36+$C14+(-1),$B$3)+1)*H14+INDEX(Symboles!$G$6:$G$101,MOD(36+$C14+(0),$B$3)+1)*I14+INDEX(Symboles!$G$6:$G$101,MOD(36+$C14+(1),$B$3)+1)*J14+INDEX(Symboles!$G$6:$G$101,MOD(36+$C14+(2),$B$3)+1)*K14+INDEX(Symboles!$G$6:$G$101,MOD(36+$C14+(3),$B$3)+1)*L14+INDEX(Symboles!$G$6:$G$101,MOD(36+$C14+(4),$B$3)+1)*M14+IF($B$6=0,0,$B$6*NORMSINV(0.000001+0.999998*RAND())))</f>
        <v/>
      </c>
      <c r="BA14" s="30">
        <f>IF(38&gt;$B$3,99,INDEX(Symboles!$G$6:$G$101,MOD(37+$C14+(-4),$B$3)+1)*E14+INDEX(Symboles!$G$6:$G$101,MOD(37+$C14+(-3),$B$3)+1)*F14+INDEX(Symboles!$G$6:$G$101,MOD(37+$C14+(-2),$B$3)+1)*G14+INDEX(Symboles!$G$6:$G$101,MOD(37+$C14+(-1),$B$3)+1)*H14+INDEX(Symboles!$G$6:$G$101,MOD(37+$C14+(0),$B$3)+1)*I14+INDEX(Symboles!$G$6:$G$101,MOD(37+$C14+(1),$B$3)+1)*J14+INDEX(Symboles!$G$6:$G$101,MOD(37+$C14+(2),$B$3)+1)*K14+INDEX(Symboles!$G$6:$G$101,MOD(37+$C14+(3),$B$3)+1)*L14+INDEX(Symboles!$G$6:$G$101,MOD(37+$C14+(4),$B$3)+1)*M14+IF($B$6=0,0,$B$6*NORMSINV(0.000001+0.999998*RAND())))</f>
        <v/>
      </c>
      <c r="BB14" s="30">
        <f>IF(39&gt;$B$3,99,INDEX(Symboles!$G$6:$G$101,MOD(38+$C14+(-4),$B$3)+1)*E14+INDEX(Symboles!$G$6:$G$101,MOD(38+$C14+(-3),$B$3)+1)*F14+INDEX(Symboles!$G$6:$G$101,MOD(38+$C14+(-2),$B$3)+1)*G14+INDEX(Symboles!$G$6:$G$101,MOD(38+$C14+(-1),$B$3)+1)*H14+INDEX(Symboles!$G$6:$G$101,MOD(38+$C14+(0),$B$3)+1)*I14+INDEX(Symboles!$G$6:$G$101,MOD(38+$C14+(1),$B$3)+1)*J14+INDEX(Symboles!$G$6:$G$101,MOD(38+$C14+(2),$B$3)+1)*K14+INDEX(Symboles!$G$6:$G$101,MOD(38+$C14+(3),$B$3)+1)*L14+INDEX(Symboles!$G$6:$G$101,MOD(38+$C14+(4),$B$3)+1)*M14+IF($B$6=0,0,$B$6*NORMSINV(0.000001+0.999998*RAND())))</f>
        <v/>
      </c>
      <c r="BC14" s="30">
        <f>IF(40&gt;$B$3,99,INDEX(Symboles!$G$6:$G$101,MOD(39+$C14+(-4),$B$3)+1)*E14+INDEX(Symboles!$G$6:$G$101,MOD(39+$C14+(-3),$B$3)+1)*F14+INDEX(Symboles!$G$6:$G$101,MOD(39+$C14+(-2),$B$3)+1)*G14+INDEX(Symboles!$G$6:$G$101,MOD(39+$C14+(-1),$B$3)+1)*H14+INDEX(Symboles!$G$6:$G$101,MOD(39+$C14+(0),$B$3)+1)*I14+INDEX(Symboles!$G$6:$G$101,MOD(39+$C14+(1),$B$3)+1)*J14+INDEX(Symboles!$G$6:$G$101,MOD(39+$C14+(2),$B$3)+1)*K14+INDEX(Symboles!$G$6:$G$101,MOD(39+$C14+(3),$B$3)+1)*L14+INDEX(Symboles!$G$6:$G$101,MOD(39+$C14+(4),$B$3)+1)*M14+IF($B$6=0,0,$B$6*NORMSINV(0.000001+0.999998*RAND())))</f>
        <v/>
      </c>
      <c r="BD14" s="30">
        <f>IF(41&gt;$B$3,99,INDEX(Symboles!$G$6:$G$101,MOD(40+$C14+(-4),$B$3)+1)*E14+INDEX(Symboles!$G$6:$G$101,MOD(40+$C14+(-3),$B$3)+1)*F14+INDEX(Symboles!$G$6:$G$101,MOD(40+$C14+(-2),$B$3)+1)*G14+INDEX(Symboles!$G$6:$G$101,MOD(40+$C14+(-1),$B$3)+1)*H14+INDEX(Symboles!$G$6:$G$101,MOD(40+$C14+(0),$B$3)+1)*I14+INDEX(Symboles!$G$6:$G$101,MOD(40+$C14+(1),$B$3)+1)*J14+INDEX(Symboles!$G$6:$G$101,MOD(40+$C14+(2),$B$3)+1)*K14+INDEX(Symboles!$G$6:$G$101,MOD(40+$C14+(3),$B$3)+1)*L14+INDEX(Symboles!$G$6:$G$101,MOD(40+$C14+(4),$B$3)+1)*M14+IF($B$6=0,0,$B$6*NORMSINV(0.000001+0.999998*RAND())))</f>
        <v/>
      </c>
      <c r="BE14" s="30">
        <f>IF(42&gt;$B$3,99,INDEX(Symboles!$G$6:$G$101,MOD(41+$C14+(-4),$B$3)+1)*E14+INDEX(Symboles!$G$6:$G$101,MOD(41+$C14+(-3),$B$3)+1)*F14+INDEX(Symboles!$G$6:$G$101,MOD(41+$C14+(-2),$B$3)+1)*G14+INDEX(Symboles!$G$6:$G$101,MOD(41+$C14+(-1),$B$3)+1)*H14+INDEX(Symboles!$G$6:$G$101,MOD(41+$C14+(0),$B$3)+1)*I14+INDEX(Symboles!$G$6:$G$101,MOD(41+$C14+(1),$B$3)+1)*J14+INDEX(Symboles!$G$6:$G$101,MOD(41+$C14+(2),$B$3)+1)*K14+INDEX(Symboles!$G$6:$G$101,MOD(41+$C14+(3),$B$3)+1)*L14+INDEX(Symboles!$G$6:$G$101,MOD(41+$C14+(4),$B$3)+1)*M14+IF($B$6=0,0,$B$6*NORMSINV(0.000001+0.999998*RAND())))</f>
        <v/>
      </c>
      <c r="BF14" s="30">
        <f>IF(43&gt;$B$3,99,INDEX(Symboles!$G$6:$G$101,MOD(42+$C14+(-4),$B$3)+1)*E14+INDEX(Symboles!$G$6:$G$101,MOD(42+$C14+(-3),$B$3)+1)*F14+INDEX(Symboles!$G$6:$G$101,MOD(42+$C14+(-2),$B$3)+1)*G14+INDEX(Symboles!$G$6:$G$101,MOD(42+$C14+(-1),$B$3)+1)*H14+INDEX(Symboles!$G$6:$G$101,MOD(42+$C14+(0),$B$3)+1)*I14+INDEX(Symboles!$G$6:$G$101,MOD(42+$C14+(1),$B$3)+1)*J14+INDEX(Symboles!$G$6:$G$101,MOD(42+$C14+(2),$B$3)+1)*K14+INDEX(Symboles!$G$6:$G$101,MOD(42+$C14+(3),$B$3)+1)*L14+INDEX(Symboles!$G$6:$G$101,MOD(42+$C14+(4),$B$3)+1)*M14+IF($B$6=0,0,$B$6*NORMSINV(0.000001+0.999998*RAND())))</f>
        <v/>
      </c>
      <c r="BG14" s="30">
        <f>IF(44&gt;$B$3,99,INDEX(Symboles!$G$6:$G$101,MOD(43+$C14+(-4),$B$3)+1)*E14+INDEX(Symboles!$G$6:$G$101,MOD(43+$C14+(-3),$B$3)+1)*F14+INDEX(Symboles!$G$6:$G$101,MOD(43+$C14+(-2),$B$3)+1)*G14+INDEX(Symboles!$G$6:$G$101,MOD(43+$C14+(-1),$B$3)+1)*H14+INDEX(Symboles!$G$6:$G$101,MOD(43+$C14+(0),$B$3)+1)*I14+INDEX(Symboles!$G$6:$G$101,MOD(43+$C14+(1),$B$3)+1)*J14+INDEX(Symboles!$G$6:$G$101,MOD(43+$C14+(2),$B$3)+1)*K14+INDEX(Symboles!$G$6:$G$101,MOD(43+$C14+(3),$B$3)+1)*L14+INDEX(Symboles!$G$6:$G$101,MOD(43+$C14+(4),$B$3)+1)*M14+IF($B$6=0,0,$B$6*NORMSINV(0.000001+0.999998*RAND())))</f>
        <v/>
      </c>
      <c r="BH14" s="30">
        <f>IF(45&gt;$B$3,99,INDEX(Symboles!$G$6:$G$101,MOD(44+$C14+(-4),$B$3)+1)*E14+INDEX(Symboles!$G$6:$G$101,MOD(44+$C14+(-3),$B$3)+1)*F14+INDEX(Symboles!$G$6:$G$101,MOD(44+$C14+(-2),$B$3)+1)*G14+INDEX(Symboles!$G$6:$G$101,MOD(44+$C14+(-1),$B$3)+1)*H14+INDEX(Symboles!$G$6:$G$101,MOD(44+$C14+(0),$B$3)+1)*I14+INDEX(Symboles!$G$6:$G$101,MOD(44+$C14+(1),$B$3)+1)*J14+INDEX(Symboles!$G$6:$G$101,MOD(44+$C14+(2),$B$3)+1)*K14+INDEX(Symboles!$G$6:$G$101,MOD(44+$C14+(3),$B$3)+1)*L14+INDEX(Symboles!$G$6:$G$101,MOD(44+$C14+(4),$B$3)+1)*M14+IF($B$6=0,0,$B$6*NORMSINV(0.000001+0.999998*RAND())))</f>
        <v/>
      </c>
      <c r="BI14" s="30">
        <f>IF(46&gt;$B$3,99,INDEX(Symboles!$G$6:$G$101,MOD(45+$C14+(-4),$B$3)+1)*E14+INDEX(Symboles!$G$6:$G$101,MOD(45+$C14+(-3),$B$3)+1)*F14+INDEX(Symboles!$G$6:$G$101,MOD(45+$C14+(-2),$B$3)+1)*G14+INDEX(Symboles!$G$6:$G$101,MOD(45+$C14+(-1),$B$3)+1)*H14+INDEX(Symboles!$G$6:$G$101,MOD(45+$C14+(0),$B$3)+1)*I14+INDEX(Symboles!$G$6:$G$101,MOD(45+$C14+(1),$B$3)+1)*J14+INDEX(Symboles!$G$6:$G$101,MOD(45+$C14+(2),$B$3)+1)*K14+INDEX(Symboles!$G$6:$G$101,MOD(45+$C14+(3),$B$3)+1)*L14+INDEX(Symboles!$G$6:$G$101,MOD(45+$C14+(4),$B$3)+1)*M14+IF($B$6=0,0,$B$6*NORMSINV(0.000001+0.999998*RAND())))</f>
        <v/>
      </c>
      <c r="BJ14" s="30">
        <f>IF(47&gt;$B$3,99,INDEX(Symboles!$G$6:$G$101,MOD(46+$C14+(-4),$B$3)+1)*E14+INDEX(Symboles!$G$6:$G$101,MOD(46+$C14+(-3),$B$3)+1)*F14+INDEX(Symboles!$G$6:$G$101,MOD(46+$C14+(-2),$B$3)+1)*G14+INDEX(Symboles!$G$6:$G$101,MOD(46+$C14+(-1),$B$3)+1)*H14+INDEX(Symboles!$G$6:$G$101,MOD(46+$C14+(0),$B$3)+1)*I14+INDEX(Symboles!$G$6:$G$101,MOD(46+$C14+(1),$B$3)+1)*J14+INDEX(Symboles!$G$6:$G$101,MOD(46+$C14+(2),$B$3)+1)*K14+INDEX(Symboles!$G$6:$G$101,MOD(46+$C14+(3),$B$3)+1)*L14+INDEX(Symboles!$G$6:$G$101,MOD(46+$C14+(4),$B$3)+1)*M14+IF($B$6=0,0,$B$6*NORMSINV(0.000001+0.999998*RAND())))</f>
        <v/>
      </c>
      <c r="BK14" s="30">
        <f>IF(48&gt;$B$3,99,INDEX(Symboles!$G$6:$G$101,MOD(47+$C14+(-4),$B$3)+1)*E14+INDEX(Symboles!$G$6:$G$101,MOD(47+$C14+(-3),$B$3)+1)*F14+INDEX(Symboles!$G$6:$G$101,MOD(47+$C14+(-2),$B$3)+1)*G14+INDEX(Symboles!$G$6:$G$101,MOD(47+$C14+(-1),$B$3)+1)*H14+INDEX(Symboles!$G$6:$G$101,MOD(47+$C14+(0),$B$3)+1)*I14+INDEX(Symboles!$G$6:$G$101,MOD(47+$C14+(1),$B$3)+1)*J14+INDEX(Symboles!$G$6:$G$101,MOD(47+$C14+(2),$B$3)+1)*K14+INDEX(Symboles!$G$6:$G$101,MOD(47+$C14+(3),$B$3)+1)*L14+INDEX(Symboles!$G$6:$G$101,MOD(47+$C14+(4),$B$3)+1)*M14+IF($B$6=0,0,$B$6*NORMSINV(0.000001+0.999998*RAND())))</f>
        <v/>
      </c>
      <c r="BL14" s="30">
        <f>IF(49&gt;$B$3,99,INDEX(Symboles!$G$6:$G$101,MOD(48+$C14+(-4),$B$3)+1)*E14+INDEX(Symboles!$G$6:$G$101,MOD(48+$C14+(-3),$B$3)+1)*F14+INDEX(Symboles!$G$6:$G$101,MOD(48+$C14+(-2),$B$3)+1)*G14+INDEX(Symboles!$G$6:$G$101,MOD(48+$C14+(-1),$B$3)+1)*H14+INDEX(Symboles!$G$6:$G$101,MOD(48+$C14+(0),$B$3)+1)*I14+INDEX(Symboles!$G$6:$G$101,MOD(48+$C14+(1),$B$3)+1)*J14+INDEX(Symboles!$G$6:$G$101,MOD(48+$C14+(2),$B$3)+1)*K14+INDEX(Symboles!$G$6:$G$101,MOD(48+$C14+(3),$B$3)+1)*L14+INDEX(Symboles!$G$6:$G$101,MOD(48+$C14+(4),$B$3)+1)*M14+IF($B$6=0,0,$B$6*NORMSINV(0.000001+0.999998*RAND())))</f>
        <v/>
      </c>
      <c r="BM14" s="30">
        <f>IF(50&gt;$B$3,99,INDEX(Symboles!$G$6:$G$101,MOD(49+$C14+(-4),$B$3)+1)*E14+INDEX(Symboles!$G$6:$G$101,MOD(49+$C14+(-3),$B$3)+1)*F14+INDEX(Symboles!$G$6:$G$101,MOD(49+$C14+(-2),$B$3)+1)*G14+INDEX(Symboles!$G$6:$G$101,MOD(49+$C14+(-1),$B$3)+1)*H14+INDEX(Symboles!$G$6:$G$101,MOD(49+$C14+(0),$B$3)+1)*I14+INDEX(Symboles!$G$6:$G$101,MOD(49+$C14+(1),$B$3)+1)*J14+INDEX(Symboles!$G$6:$G$101,MOD(49+$C14+(2),$B$3)+1)*K14+INDEX(Symboles!$G$6:$G$101,MOD(49+$C14+(3),$B$3)+1)*L14+INDEX(Symboles!$G$6:$G$101,MOD(49+$C14+(4),$B$3)+1)*M14+IF($B$6=0,0,$B$6*NORMSINV(0.000001+0.999998*RAND())))</f>
        <v/>
      </c>
      <c r="BN14" s="30">
        <f>IF(51&gt;$B$3,99,INDEX(Symboles!$G$6:$G$101,MOD(50+$C14+(-4),$B$3)+1)*E14+INDEX(Symboles!$G$6:$G$101,MOD(50+$C14+(-3),$B$3)+1)*F14+INDEX(Symboles!$G$6:$G$101,MOD(50+$C14+(-2),$B$3)+1)*G14+INDEX(Symboles!$G$6:$G$101,MOD(50+$C14+(-1),$B$3)+1)*H14+INDEX(Symboles!$G$6:$G$101,MOD(50+$C14+(0),$B$3)+1)*I14+INDEX(Symboles!$G$6:$G$101,MOD(50+$C14+(1),$B$3)+1)*J14+INDEX(Symboles!$G$6:$G$101,MOD(50+$C14+(2),$B$3)+1)*K14+INDEX(Symboles!$G$6:$G$101,MOD(50+$C14+(3),$B$3)+1)*L14+INDEX(Symboles!$G$6:$G$101,MOD(50+$C14+(4),$B$3)+1)*M14+IF($B$6=0,0,$B$6*NORMSINV(0.000001+0.999998*RAND())))</f>
        <v/>
      </c>
      <c r="BO14" s="30">
        <f>IF(52&gt;$B$3,99,INDEX(Symboles!$G$6:$G$101,MOD(51+$C14+(-4),$B$3)+1)*E14+INDEX(Symboles!$G$6:$G$101,MOD(51+$C14+(-3),$B$3)+1)*F14+INDEX(Symboles!$G$6:$G$101,MOD(51+$C14+(-2),$B$3)+1)*G14+INDEX(Symboles!$G$6:$G$101,MOD(51+$C14+(-1),$B$3)+1)*H14+INDEX(Symboles!$G$6:$G$101,MOD(51+$C14+(0),$B$3)+1)*I14+INDEX(Symboles!$G$6:$G$101,MOD(51+$C14+(1),$B$3)+1)*J14+INDEX(Symboles!$G$6:$G$101,MOD(51+$C14+(2),$B$3)+1)*K14+INDEX(Symboles!$G$6:$G$101,MOD(51+$C14+(3),$B$3)+1)*L14+INDEX(Symboles!$G$6:$G$101,MOD(51+$C14+(4),$B$3)+1)*M14+IF($B$6=0,0,$B$6*NORMSINV(0.000001+0.999998*RAND())))</f>
        <v/>
      </c>
      <c r="BP14" s="30">
        <f>IF(53&gt;$B$3,99,INDEX(Symboles!$G$6:$G$101,MOD(52+$C14+(-4),$B$3)+1)*E14+INDEX(Symboles!$G$6:$G$101,MOD(52+$C14+(-3),$B$3)+1)*F14+INDEX(Symboles!$G$6:$G$101,MOD(52+$C14+(-2),$B$3)+1)*G14+INDEX(Symboles!$G$6:$G$101,MOD(52+$C14+(-1),$B$3)+1)*H14+INDEX(Symboles!$G$6:$G$101,MOD(52+$C14+(0),$B$3)+1)*I14+INDEX(Symboles!$G$6:$G$101,MOD(52+$C14+(1),$B$3)+1)*J14+INDEX(Symboles!$G$6:$G$101,MOD(52+$C14+(2),$B$3)+1)*K14+INDEX(Symboles!$G$6:$G$101,MOD(52+$C14+(3),$B$3)+1)*L14+INDEX(Symboles!$G$6:$G$101,MOD(52+$C14+(4),$B$3)+1)*M14+IF($B$6=0,0,$B$6*NORMSINV(0.000001+0.999998*RAND())))</f>
        <v/>
      </c>
      <c r="BQ14" s="30">
        <f>IF(54&gt;$B$3,99,INDEX(Symboles!$G$6:$G$101,MOD(53+$C14+(-4),$B$3)+1)*E14+INDEX(Symboles!$G$6:$G$101,MOD(53+$C14+(-3),$B$3)+1)*F14+INDEX(Symboles!$G$6:$G$101,MOD(53+$C14+(-2),$B$3)+1)*G14+INDEX(Symboles!$G$6:$G$101,MOD(53+$C14+(-1),$B$3)+1)*H14+INDEX(Symboles!$G$6:$G$101,MOD(53+$C14+(0),$B$3)+1)*I14+INDEX(Symboles!$G$6:$G$101,MOD(53+$C14+(1),$B$3)+1)*J14+INDEX(Symboles!$G$6:$G$101,MOD(53+$C14+(2),$B$3)+1)*K14+INDEX(Symboles!$G$6:$G$101,MOD(53+$C14+(3),$B$3)+1)*L14+INDEX(Symboles!$G$6:$G$101,MOD(53+$C14+(4),$B$3)+1)*M14+IF($B$6=0,0,$B$6*NORMSINV(0.000001+0.999998*RAND())))</f>
        <v/>
      </c>
      <c r="BR14" s="30">
        <f>IF(55&gt;$B$3,99,INDEX(Symboles!$G$6:$G$101,MOD(54+$C14+(-4),$B$3)+1)*E14+INDEX(Symboles!$G$6:$G$101,MOD(54+$C14+(-3),$B$3)+1)*F14+INDEX(Symboles!$G$6:$G$101,MOD(54+$C14+(-2),$B$3)+1)*G14+INDEX(Symboles!$G$6:$G$101,MOD(54+$C14+(-1),$B$3)+1)*H14+INDEX(Symboles!$G$6:$G$101,MOD(54+$C14+(0),$B$3)+1)*I14+INDEX(Symboles!$G$6:$G$101,MOD(54+$C14+(1),$B$3)+1)*J14+INDEX(Symboles!$G$6:$G$101,MOD(54+$C14+(2),$B$3)+1)*K14+INDEX(Symboles!$G$6:$G$101,MOD(54+$C14+(3),$B$3)+1)*L14+INDEX(Symboles!$G$6:$G$101,MOD(54+$C14+(4),$B$3)+1)*M14+IF($B$6=0,0,$B$6*NORMSINV(0.000001+0.999998*RAND())))</f>
        <v/>
      </c>
      <c r="BS14" s="30">
        <f>IF(56&gt;$B$3,99,INDEX(Symboles!$G$6:$G$101,MOD(55+$C14+(-4),$B$3)+1)*E14+INDEX(Symboles!$G$6:$G$101,MOD(55+$C14+(-3),$B$3)+1)*F14+INDEX(Symboles!$G$6:$G$101,MOD(55+$C14+(-2),$B$3)+1)*G14+INDEX(Symboles!$G$6:$G$101,MOD(55+$C14+(-1),$B$3)+1)*H14+INDEX(Symboles!$G$6:$G$101,MOD(55+$C14+(0),$B$3)+1)*I14+INDEX(Symboles!$G$6:$G$101,MOD(55+$C14+(1),$B$3)+1)*J14+INDEX(Symboles!$G$6:$G$101,MOD(55+$C14+(2),$B$3)+1)*K14+INDEX(Symboles!$G$6:$G$101,MOD(55+$C14+(3),$B$3)+1)*L14+INDEX(Symboles!$G$6:$G$101,MOD(55+$C14+(4),$B$3)+1)*M14+IF($B$6=0,0,$B$6*NORMSINV(0.000001+0.999998*RAND())))</f>
        <v/>
      </c>
      <c r="BT14" s="30">
        <f>IF(57&gt;$B$3,99,INDEX(Symboles!$G$6:$G$101,MOD(56+$C14+(-4),$B$3)+1)*E14+INDEX(Symboles!$G$6:$G$101,MOD(56+$C14+(-3),$B$3)+1)*F14+INDEX(Symboles!$G$6:$G$101,MOD(56+$C14+(-2),$B$3)+1)*G14+INDEX(Symboles!$G$6:$G$101,MOD(56+$C14+(-1),$B$3)+1)*H14+INDEX(Symboles!$G$6:$G$101,MOD(56+$C14+(0),$B$3)+1)*I14+INDEX(Symboles!$G$6:$G$101,MOD(56+$C14+(1),$B$3)+1)*J14+INDEX(Symboles!$G$6:$G$101,MOD(56+$C14+(2),$B$3)+1)*K14+INDEX(Symboles!$G$6:$G$101,MOD(56+$C14+(3),$B$3)+1)*L14+INDEX(Symboles!$G$6:$G$101,MOD(56+$C14+(4),$B$3)+1)*M14+IF($B$6=0,0,$B$6*NORMSINV(0.000001+0.999998*RAND())))</f>
        <v/>
      </c>
      <c r="BU14" s="30">
        <f>IF(58&gt;$B$3,99,INDEX(Symboles!$G$6:$G$101,MOD(57+$C14+(-4),$B$3)+1)*E14+INDEX(Symboles!$G$6:$G$101,MOD(57+$C14+(-3),$B$3)+1)*F14+INDEX(Symboles!$G$6:$G$101,MOD(57+$C14+(-2),$B$3)+1)*G14+INDEX(Symboles!$G$6:$G$101,MOD(57+$C14+(-1),$B$3)+1)*H14+INDEX(Symboles!$G$6:$G$101,MOD(57+$C14+(0),$B$3)+1)*I14+INDEX(Symboles!$G$6:$G$101,MOD(57+$C14+(1),$B$3)+1)*J14+INDEX(Symboles!$G$6:$G$101,MOD(57+$C14+(2),$B$3)+1)*K14+INDEX(Symboles!$G$6:$G$101,MOD(57+$C14+(3),$B$3)+1)*L14+INDEX(Symboles!$G$6:$G$101,MOD(57+$C14+(4),$B$3)+1)*M14+IF($B$6=0,0,$B$6*NORMSINV(0.000001+0.999998*RAND())))</f>
        <v/>
      </c>
      <c r="BV14" s="30">
        <f>IF(59&gt;$B$3,99,INDEX(Symboles!$G$6:$G$101,MOD(58+$C14+(-4),$B$3)+1)*E14+INDEX(Symboles!$G$6:$G$101,MOD(58+$C14+(-3),$B$3)+1)*F14+INDEX(Symboles!$G$6:$G$101,MOD(58+$C14+(-2),$B$3)+1)*G14+INDEX(Symboles!$G$6:$G$101,MOD(58+$C14+(-1),$B$3)+1)*H14+INDEX(Symboles!$G$6:$G$101,MOD(58+$C14+(0),$B$3)+1)*I14+INDEX(Symboles!$G$6:$G$101,MOD(58+$C14+(1),$B$3)+1)*J14+INDEX(Symboles!$G$6:$G$101,MOD(58+$C14+(2),$B$3)+1)*K14+INDEX(Symboles!$G$6:$G$101,MOD(58+$C14+(3),$B$3)+1)*L14+INDEX(Symboles!$G$6:$G$101,MOD(58+$C14+(4),$B$3)+1)*M14+IF($B$6=0,0,$B$6*NORMSINV(0.000001+0.999998*RAND())))</f>
        <v/>
      </c>
      <c r="BW14" s="30">
        <f>IF(60&gt;$B$3,99,INDEX(Symboles!$G$6:$G$101,MOD(59+$C14+(-4),$B$3)+1)*E14+INDEX(Symboles!$G$6:$G$101,MOD(59+$C14+(-3),$B$3)+1)*F14+INDEX(Symboles!$G$6:$G$101,MOD(59+$C14+(-2),$B$3)+1)*G14+INDEX(Symboles!$G$6:$G$101,MOD(59+$C14+(-1),$B$3)+1)*H14+INDEX(Symboles!$G$6:$G$101,MOD(59+$C14+(0),$B$3)+1)*I14+INDEX(Symboles!$G$6:$G$101,MOD(59+$C14+(1),$B$3)+1)*J14+INDEX(Symboles!$G$6:$G$101,MOD(59+$C14+(2),$B$3)+1)*K14+INDEX(Symboles!$G$6:$G$101,MOD(59+$C14+(3),$B$3)+1)*L14+INDEX(Symboles!$G$6:$G$101,MOD(59+$C14+(4),$B$3)+1)*M14+IF($B$6=0,0,$B$6*NORMSINV(0.000001+0.999998*RAND())))</f>
        <v/>
      </c>
      <c r="BX14" s="30">
        <f>IF(61&gt;$B$3,99,INDEX(Symboles!$G$6:$G$101,MOD(60+$C14+(-4),$B$3)+1)*E14+INDEX(Symboles!$G$6:$G$101,MOD(60+$C14+(-3),$B$3)+1)*F14+INDEX(Symboles!$G$6:$G$101,MOD(60+$C14+(-2),$B$3)+1)*G14+INDEX(Symboles!$G$6:$G$101,MOD(60+$C14+(-1),$B$3)+1)*H14+INDEX(Symboles!$G$6:$G$101,MOD(60+$C14+(0),$B$3)+1)*I14+INDEX(Symboles!$G$6:$G$101,MOD(60+$C14+(1),$B$3)+1)*J14+INDEX(Symboles!$G$6:$G$101,MOD(60+$C14+(2),$B$3)+1)*K14+INDEX(Symboles!$G$6:$G$101,MOD(60+$C14+(3),$B$3)+1)*L14+INDEX(Symboles!$G$6:$G$101,MOD(60+$C14+(4),$B$3)+1)*M14+IF($B$6=0,0,$B$6*NORMSINV(0.000001+0.999998*RAND())))</f>
        <v/>
      </c>
      <c r="BY14" s="30">
        <f>IF(62&gt;$B$3,99,INDEX(Symboles!$G$6:$G$101,MOD(61+$C14+(-4),$B$3)+1)*E14+INDEX(Symboles!$G$6:$G$101,MOD(61+$C14+(-3),$B$3)+1)*F14+INDEX(Symboles!$G$6:$G$101,MOD(61+$C14+(-2),$B$3)+1)*G14+INDEX(Symboles!$G$6:$G$101,MOD(61+$C14+(-1),$B$3)+1)*H14+INDEX(Symboles!$G$6:$G$101,MOD(61+$C14+(0),$B$3)+1)*I14+INDEX(Symboles!$G$6:$G$101,MOD(61+$C14+(1),$B$3)+1)*J14+INDEX(Symboles!$G$6:$G$101,MOD(61+$C14+(2),$B$3)+1)*K14+INDEX(Symboles!$G$6:$G$101,MOD(61+$C14+(3),$B$3)+1)*L14+INDEX(Symboles!$G$6:$G$101,MOD(61+$C14+(4),$B$3)+1)*M14+IF($B$6=0,0,$B$6*NORMSINV(0.000001+0.999998*RAND())))</f>
        <v/>
      </c>
      <c r="BZ14" s="30">
        <f>IF(63&gt;$B$3,99,INDEX(Symboles!$G$6:$G$101,MOD(62+$C14+(-4),$B$3)+1)*E14+INDEX(Symboles!$G$6:$G$101,MOD(62+$C14+(-3),$B$3)+1)*F14+INDEX(Symboles!$G$6:$G$101,MOD(62+$C14+(-2),$B$3)+1)*G14+INDEX(Symboles!$G$6:$G$101,MOD(62+$C14+(-1),$B$3)+1)*H14+INDEX(Symboles!$G$6:$G$101,MOD(62+$C14+(0),$B$3)+1)*I14+INDEX(Symboles!$G$6:$G$101,MOD(62+$C14+(1),$B$3)+1)*J14+INDEX(Symboles!$G$6:$G$101,MOD(62+$C14+(2),$B$3)+1)*K14+INDEX(Symboles!$G$6:$G$101,MOD(62+$C14+(3),$B$3)+1)*L14+INDEX(Symboles!$G$6:$G$101,MOD(62+$C14+(4),$B$3)+1)*M14+IF($B$6=0,0,$B$6*NORMSINV(0.000001+0.999998*RAND())))</f>
        <v/>
      </c>
      <c r="CA14" s="30">
        <f>IF(64&gt;$B$3,99,INDEX(Symboles!$G$6:$G$101,MOD(63+$C14+(-4),$B$3)+1)*E14+INDEX(Symboles!$G$6:$G$101,MOD(63+$C14+(-3),$B$3)+1)*F14+INDEX(Symboles!$G$6:$G$101,MOD(63+$C14+(-2),$B$3)+1)*G14+INDEX(Symboles!$G$6:$G$101,MOD(63+$C14+(-1),$B$3)+1)*H14+INDEX(Symboles!$G$6:$G$101,MOD(63+$C14+(0),$B$3)+1)*I14+INDEX(Symboles!$G$6:$G$101,MOD(63+$C14+(1),$B$3)+1)*J14+INDEX(Symboles!$G$6:$G$101,MOD(63+$C14+(2),$B$3)+1)*K14+INDEX(Symboles!$G$6:$G$101,MOD(63+$C14+(3),$B$3)+1)*L14+INDEX(Symboles!$G$6:$G$101,MOD(63+$C14+(4),$B$3)+1)*M14+IF($B$6=0,0,$B$6*NORMSINV(0.000001+0.999998*RAND())))</f>
        <v/>
      </c>
      <c r="CB14" s="30">
        <f>IF(65&gt;$B$3,99,INDEX(Symboles!$G$6:$G$101,MOD(64+$C14+(-4),$B$3)+1)*E14+INDEX(Symboles!$G$6:$G$101,MOD(64+$C14+(-3),$B$3)+1)*F14+INDEX(Symboles!$G$6:$G$101,MOD(64+$C14+(-2),$B$3)+1)*G14+INDEX(Symboles!$G$6:$G$101,MOD(64+$C14+(-1),$B$3)+1)*H14+INDEX(Symboles!$G$6:$G$101,MOD(64+$C14+(0),$B$3)+1)*I14+INDEX(Symboles!$G$6:$G$101,MOD(64+$C14+(1),$B$3)+1)*J14+INDEX(Symboles!$G$6:$G$101,MOD(64+$C14+(2),$B$3)+1)*K14+INDEX(Symboles!$G$6:$G$101,MOD(64+$C14+(3),$B$3)+1)*L14+INDEX(Symboles!$G$6:$G$101,MOD(64+$C14+(4),$B$3)+1)*M14+IF($B$6=0,0,$B$6*NORMSINV(0.000001+0.999998*RAND())))</f>
        <v/>
      </c>
      <c r="CC14" s="30">
        <f>IF(66&gt;$B$3,99,INDEX(Symboles!$G$6:$G$101,MOD(65+$C14+(-4),$B$3)+1)*E14+INDEX(Symboles!$G$6:$G$101,MOD(65+$C14+(-3),$B$3)+1)*F14+INDEX(Symboles!$G$6:$G$101,MOD(65+$C14+(-2),$B$3)+1)*G14+INDEX(Symboles!$G$6:$G$101,MOD(65+$C14+(-1),$B$3)+1)*H14+INDEX(Symboles!$G$6:$G$101,MOD(65+$C14+(0),$B$3)+1)*I14+INDEX(Symboles!$G$6:$G$101,MOD(65+$C14+(1),$B$3)+1)*J14+INDEX(Symboles!$G$6:$G$101,MOD(65+$C14+(2),$B$3)+1)*K14+INDEX(Symboles!$G$6:$G$101,MOD(65+$C14+(3),$B$3)+1)*L14+INDEX(Symboles!$G$6:$G$101,MOD(65+$C14+(4),$B$3)+1)*M14+IF($B$6=0,0,$B$6*NORMSINV(0.000001+0.999998*RAND())))</f>
        <v/>
      </c>
      <c r="CD14" s="30">
        <f>IF(67&gt;$B$3,99,INDEX(Symboles!$G$6:$G$101,MOD(66+$C14+(-4),$B$3)+1)*E14+INDEX(Symboles!$G$6:$G$101,MOD(66+$C14+(-3),$B$3)+1)*F14+INDEX(Symboles!$G$6:$G$101,MOD(66+$C14+(-2),$B$3)+1)*G14+INDEX(Symboles!$G$6:$G$101,MOD(66+$C14+(-1),$B$3)+1)*H14+INDEX(Symboles!$G$6:$G$101,MOD(66+$C14+(0),$B$3)+1)*I14+INDEX(Symboles!$G$6:$G$101,MOD(66+$C14+(1),$B$3)+1)*J14+INDEX(Symboles!$G$6:$G$101,MOD(66+$C14+(2),$B$3)+1)*K14+INDEX(Symboles!$G$6:$G$101,MOD(66+$C14+(3),$B$3)+1)*L14+INDEX(Symboles!$G$6:$G$101,MOD(66+$C14+(4),$B$3)+1)*M14+IF($B$6=0,0,$B$6*NORMSINV(0.000001+0.999998*RAND())))</f>
        <v/>
      </c>
      <c r="CE14" s="30">
        <f>IF(68&gt;$B$3,99,INDEX(Symboles!$G$6:$G$101,MOD(67+$C14+(-4),$B$3)+1)*E14+INDEX(Symboles!$G$6:$G$101,MOD(67+$C14+(-3),$B$3)+1)*F14+INDEX(Symboles!$G$6:$G$101,MOD(67+$C14+(-2),$B$3)+1)*G14+INDEX(Symboles!$G$6:$G$101,MOD(67+$C14+(-1),$B$3)+1)*H14+INDEX(Symboles!$G$6:$G$101,MOD(67+$C14+(0),$B$3)+1)*I14+INDEX(Symboles!$G$6:$G$101,MOD(67+$C14+(1),$B$3)+1)*J14+INDEX(Symboles!$G$6:$G$101,MOD(67+$C14+(2),$B$3)+1)*K14+INDEX(Symboles!$G$6:$G$101,MOD(67+$C14+(3),$B$3)+1)*L14+INDEX(Symboles!$G$6:$G$101,MOD(67+$C14+(4),$B$3)+1)*M14+IF($B$6=0,0,$B$6*NORMSINV(0.000001+0.999998*RAND())))</f>
        <v/>
      </c>
      <c r="CF14" s="30">
        <f>IF(69&gt;$B$3,99,INDEX(Symboles!$G$6:$G$101,MOD(68+$C14+(-4),$B$3)+1)*E14+INDEX(Symboles!$G$6:$G$101,MOD(68+$C14+(-3),$B$3)+1)*F14+INDEX(Symboles!$G$6:$G$101,MOD(68+$C14+(-2),$B$3)+1)*G14+INDEX(Symboles!$G$6:$G$101,MOD(68+$C14+(-1),$B$3)+1)*H14+INDEX(Symboles!$G$6:$G$101,MOD(68+$C14+(0),$B$3)+1)*I14+INDEX(Symboles!$G$6:$G$101,MOD(68+$C14+(1),$B$3)+1)*J14+INDEX(Symboles!$G$6:$G$101,MOD(68+$C14+(2),$B$3)+1)*K14+INDEX(Symboles!$G$6:$G$101,MOD(68+$C14+(3),$B$3)+1)*L14+INDEX(Symboles!$G$6:$G$101,MOD(68+$C14+(4),$B$3)+1)*M14+IF($B$6=0,0,$B$6*NORMSINV(0.000001+0.999998*RAND())))</f>
        <v/>
      </c>
      <c r="CG14" s="30">
        <f>IF(70&gt;$B$3,99,INDEX(Symboles!$G$6:$G$101,MOD(69+$C14+(-4),$B$3)+1)*E14+INDEX(Symboles!$G$6:$G$101,MOD(69+$C14+(-3),$B$3)+1)*F14+INDEX(Symboles!$G$6:$G$101,MOD(69+$C14+(-2),$B$3)+1)*G14+INDEX(Symboles!$G$6:$G$101,MOD(69+$C14+(-1),$B$3)+1)*H14+INDEX(Symboles!$G$6:$G$101,MOD(69+$C14+(0),$B$3)+1)*I14+INDEX(Symboles!$G$6:$G$101,MOD(69+$C14+(1),$B$3)+1)*J14+INDEX(Symboles!$G$6:$G$101,MOD(69+$C14+(2),$B$3)+1)*K14+INDEX(Symboles!$G$6:$G$101,MOD(69+$C14+(3),$B$3)+1)*L14+INDEX(Symboles!$G$6:$G$101,MOD(69+$C14+(4),$B$3)+1)*M14+IF($B$6=0,0,$B$6*NORMSINV(0.000001+0.999998*RAND())))</f>
        <v/>
      </c>
      <c r="CH14" s="30">
        <f>IF(71&gt;$B$3,99,INDEX(Symboles!$G$6:$G$101,MOD(70+$C14+(-4),$B$3)+1)*E14+INDEX(Symboles!$G$6:$G$101,MOD(70+$C14+(-3),$B$3)+1)*F14+INDEX(Symboles!$G$6:$G$101,MOD(70+$C14+(-2),$B$3)+1)*G14+INDEX(Symboles!$G$6:$G$101,MOD(70+$C14+(-1),$B$3)+1)*H14+INDEX(Symboles!$G$6:$G$101,MOD(70+$C14+(0),$B$3)+1)*I14+INDEX(Symboles!$G$6:$G$101,MOD(70+$C14+(1),$B$3)+1)*J14+INDEX(Symboles!$G$6:$G$101,MOD(70+$C14+(2),$B$3)+1)*K14+INDEX(Symboles!$G$6:$G$101,MOD(70+$C14+(3),$B$3)+1)*L14+INDEX(Symboles!$G$6:$G$101,MOD(70+$C14+(4),$B$3)+1)*M14+IF($B$6=0,0,$B$6*NORMSINV(0.000001+0.999998*RAND())))</f>
        <v/>
      </c>
      <c r="CI14" s="30">
        <f>IF(72&gt;$B$3,99,INDEX(Symboles!$G$6:$G$101,MOD(71+$C14+(-4),$B$3)+1)*E14+INDEX(Symboles!$G$6:$G$101,MOD(71+$C14+(-3),$B$3)+1)*F14+INDEX(Symboles!$G$6:$G$101,MOD(71+$C14+(-2),$B$3)+1)*G14+INDEX(Symboles!$G$6:$G$101,MOD(71+$C14+(-1),$B$3)+1)*H14+INDEX(Symboles!$G$6:$G$101,MOD(71+$C14+(0),$B$3)+1)*I14+INDEX(Symboles!$G$6:$G$101,MOD(71+$C14+(1),$B$3)+1)*J14+INDEX(Symboles!$G$6:$G$101,MOD(71+$C14+(2),$B$3)+1)*K14+INDEX(Symboles!$G$6:$G$101,MOD(71+$C14+(3),$B$3)+1)*L14+INDEX(Symboles!$G$6:$G$101,MOD(71+$C14+(4),$B$3)+1)*M14+IF($B$6=0,0,$B$6*NORMSINV(0.000001+0.999998*RAND())))</f>
        <v/>
      </c>
      <c r="CJ14" s="30">
        <f>IF(73&gt;$B$3,99,INDEX(Symboles!$G$6:$G$101,MOD(72+$C14+(-4),$B$3)+1)*E14+INDEX(Symboles!$G$6:$G$101,MOD(72+$C14+(-3),$B$3)+1)*F14+INDEX(Symboles!$G$6:$G$101,MOD(72+$C14+(-2),$B$3)+1)*G14+INDEX(Symboles!$G$6:$G$101,MOD(72+$C14+(-1),$B$3)+1)*H14+INDEX(Symboles!$G$6:$G$101,MOD(72+$C14+(0),$B$3)+1)*I14+INDEX(Symboles!$G$6:$G$101,MOD(72+$C14+(1),$B$3)+1)*J14+INDEX(Symboles!$G$6:$G$101,MOD(72+$C14+(2),$B$3)+1)*K14+INDEX(Symboles!$G$6:$G$101,MOD(72+$C14+(3),$B$3)+1)*L14+INDEX(Symboles!$G$6:$G$101,MOD(72+$C14+(4),$B$3)+1)*M14+IF($B$6=0,0,$B$6*NORMSINV(0.000001+0.999998*RAND())))</f>
        <v/>
      </c>
      <c r="CK14" s="30">
        <f>IF(74&gt;$B$3,99,INDEX(Symboles!$G$6:$G$101,MOD(73+$C14+(-4),$B$3)+1)*E14+INDEX(Symboles!$G$6:$G$101,MOD(73+$C14+(-3),$B$3)+1)*F14+INDEX(Symboles!$G$6:$G$101,MOD(73+$C14+(-2),$B$3)+1)*G14+INDEX(Symboles!$G$6:$G$101,MOD(73+$C14+(-1),$B$3)+1)*H14+INDEX(Symboles!$G$6:$G$101,MOD(73+$C14+(0),$B$3)+1)*I14+INDEX(Symboles!$G$6:$G$101,MOD(73+$C14+(1),$B$3)+1)*J14+INDEX(Symboles!$G$6:$G$101,MOD(73+$C14+(2),$B$3)+1)*K14+INDEX(Symboles!$G$6:$G$101,MOD(73+$C14+(3),$B$3)+1)*L14+INDEX(Symboles!$G$6:$G$101,MOD(73+$C14+(4),$B$3)+1)*M14+IF($B$6=0,0,$B$6*NORMSINV(0.000001+0.999998*RAND())))</f>
        <v/>
      </c>
      <c r="CL14" s="30">
        <f>IF(75&gt;$B$3,99,INDEX(Symboles!$G$6:$G$101,MOD(74+$C14+(-4),$B$3)+1)*E14+INDEX(Symboles!$G$6:$G$101,MOD(74+$C14+(-3),$B$3)+1)*F14+INDEX(Symboles!$G$6:$G$101,MOD(74+$C14+(-2),$B$3)+1)*G14+INDEX(Symboles!$G$6:$G$101,MOD(74+$C14+(-1),$B$3)+1)*H14+INDEX(Symboles!$G$6:$G$101,MOD(74+$C14+(0),$B$3)+1)*I14+INDEX(Symboles!$G$6:$G$101,MOD(74+$C14+(1),$B$3)+1)*J14+INDEX(Symboles!$G$6:$G$101,MOD(74+$C14+(2),$B$3)+1)*K14+INDEX(Symboles!$G$6:$G$101,MOD(74+$C14+(3),$B$3)+1)*L14+INDEX(Symboles!$G$6:$G$101,MOD(74+$C14+(4),$B$3)+1)*M14+IF($B$6=0,0,$B$6*NORMSINV(0.000001+0.999998*RAND())))</f>
        <v/>
      </c>
      <c r="CM14" s="30">
        <f>IF(76&gt;$B$3,99,INDEX(Symboles!$G$6:$G$101,MOD(75+$C14+(-4),$B$3)+1)*E14+INDEX(Symboles!$G$6:$G$101,MOD(75+$C14+(-3),$B$3)+1)*F14+INDEX(Symboles!$G$6:$G$101,MOD(75+$C14+(-2),$B$3)+1)*G14+INDEX(Symboles!$G$6:$G$101,MOD(75+$C14+(-1),$B$3)+1)*H14+INDEX(Symboles!$G$6:$G$101,MOD(75+$C14+(0),$B$3)+1)*I14+INDEX(Symboles!$G$6:$G$101,MOD(75+$C14+(1),$B$3)+1)*J14+INDEX(Symboles!$G$6:$G$101,MOD(75+$C14+(2),$B$3)+1)*K14+INDEX(Symboles!$G$6:$G$101,MOD(75+$C14+(3),$B$3)+1)*L14+INDEX(Symboles!$G$6:$G$101,MOD(75+$C14+(4),$B$3)+1)*M14+IF($B$6=0,0,$B$6*NORMSINV(0.000001+0.999998*RAND())))</f>
        <v/>
      </c>
      <c r="CN14" s="30">
        <f>IF(77&gt;$B$3,99,INDEX(Symboles!$G$6:$G$101,MOD(76+$C14+(-4),$B$3)+1)*E14+INDEX(Symboles!$G$6:$G$101,MOD(76+$C14+(-3),$B$3)+1)*F14+INDEX(Symboles!$G$6:$G$101,MOD(76+$C14+(-2),$B$3)+1)*G14+INDEX(Symboles!$G$6:$G$101,MOD(76+$C14+(-1),$B$3)+1)*H14+INDEX(Symboles!$G$6:$G$101,MOD(76+$C14+(0),$B$3)+1)*I14+INDEX(Symboles!$G$6:$G$101,MOD(76+$C14+(1),$B$3)+1)*J14+INDEX(Symboles!$G$6:$G$101,MOD(76+$C14+(2),$B$3)+1)*K14+INDEX(Symboles!$G$6:$G$101,MOD(76+$C14+(3),$B$3)+1)*L14+INDEX(Symboles!$G$6:$G$101,MOD(76+$C14+(4),$B$3)+1)*M14+IF($B$6=0,0,$B$6*NORMSINV(0.000001+0.999998*RAND())))</f>
        <v/>
      </c>
      <c r="CO14" s="30">
        <f>IF(78&gt;$B$3,99,INDEX(Symboles!$G$6:$G$101,MOD(77+$C14+(-4),$B$3)+1)*E14+INDEX(Symboles!$G$6:$G$101,MOD(77+$C14+(-3),$B$3)+1)*F14+INDEX(Symboles!$G$6:$G$101,MOD(77+$C14+(-2),$B$3)+1)*G14+INDEX(Symboles!$G$6:$G$101,MOD(77+$C14+(-1),$B$3)+1)*H14+INDEX(Symboles!$G$6:$G$101,MOD(77+$C14+(0),$B$3)+1)*I14+INDEX(Symboles!$G$6:$G$101,MOD(77+$C14+(1),$B$3)+1)*J14+INDEX(Symboles!$G$6:$G$101,MOD(77+$C14+(2),$B$3)+1)*K14+INDEX(Symboles!$G$6:$G$101,MOD(77+$C14+(3),$B$3)+1)*L14+INDEX(Symboles!$G$6:$G$101,MOD(77+$C14+(4),$B$3)+1)*M14+IF($B$6=0,0,$B$6*NORMSINV(0.000001+0.999998*RAND())))</f>
        <v/>
      </c>
      <c r="CP14" s="30">
        <f>IF(79&gt;$B$3,99,INDEX(Symboles!$G$6:$G$101,MOD(78+$C14+(-4),$B$3)+1)*E14+INDEX(Symboles!$G$6:$G$101,MOD(78+$C14+(-3),$B$3)+1)*F14+INDEX(Symboles!$G$6:$G$101,MOD(78+$C14+(-2),$B$3)+1)*G14+INDEX(Symboles!$G$6:$G$101,MOD(78+$C14+(-1),$B$3)+1)*H14+INDEX(Symboles!$G$6:$G$101,MOD(78+$C14+(0),$B$3)+1)*I14+INDEX(Symboles!$G$6:$G$101,MOD(78+$C14+(1),$B$3)+1)*J14+INDEX(Symboles!$G$6:$G$101,MOD(78+$C14+(2),$B$3)+1)*K14+INDEX(Symboles!$G$6:$G$101,MOD(78+$C14+(3),$B$3)+1)*L14+INDEX(Symboles!$G$6:$G$101,MOD(78+$C14+(4),$B$3)+1)*M14+IF($B$6=0,0,$B$6*NORMSINV(0.000001+0.999998*RAND())))</f>
        <v/>
      </c>
      <c r="CQ14" s="30">
        <f>IF(80&gt;$B$3,99,INDEX(Symboles!$G$6:$G$101,MOD(79+$C14+(-4),$B$3)+1)*E14+INDEX(Symboles!$G$6:$G$101,MOD(79+$C14+(-3),$B$3)+1)*F14+INDEX(Symboles!$G$6:$G$101,MOD(79+$C14+(-2),$B$3)+1)*G14+INDEX(Symboles!$G$6:$G$101,MOD(79+$C14+(-1),$B$3)+1)*H14+INDEX(Symboles!$G$6:$G$101,MOD(79+$C14+(0),$B$3)+1)*I14+INDEX(Symboles!$G$6:$G$101,MOD(79+$C14+(1),$B$3)+1)*J14+INDEX(Symboles!$G$6:$G$101,MOD(79+$C14+(2),$B$3)+1)*K14+INDEX(Symboles!$G$6:$G$101,MOD(79+$C14+(3),$B$3)+1)*L14+INDEX(Symboles!$G$6:$G$101,MOD(79+$C14+(4),$B$3)+1)*M14+IF($B$6=0,0,$B$6*NORMSINV(0.000001+0.999998*RAND())))</f>
        <v/>
      </c>
      <c r="CR14" s="30">
        <f>IF(81&gt;$B$3,99,INDEX(Symboles!$G$6:$G$101,MOD(80+$C14+(-4),$B$3)+1)*E14+INDEX(Symboles!$G$6:$G$101,MOD(80+$C14+(-3),$B$3)+1)*F14+INDEX(Symboles!$G$6:$G$101,MOD(80+$C14+(-2),$B$3)+1)*G14+INDEX(Symboles!$G$6:$G$101,MOD(80+$C14+(-1),$B$3)+1)*H14+INDEX(Symboles!$G$6:$G$101,MOD(80+$C14+(0),$B$3)+1)*I14+INDEX(Symboles!$G$6:$G$101,MOD(80+$C14+(1),$B$3)+1)*J14+INDEX(Symboles!$G$6:$G$101,MOD(80+$C14+(2),$B$3)+1)*K14+INDEX(Symboles!$G$6:$G$101,MOD(80+$C14+(3),$B$3)+1)*L14+INDEX(Symboles!$G$6:$G$101,MOD(80+$C14+(4),$B$3)+1)*M14+IF($B$6=0,0,$B$6*NORMSINV(0.000001+0.999998*RAND())))</f>
        <v/>
      </c>
      <c r="CS14" s="30">
        <f>IF(82&gt;$B$3,99,INDEX(Symboles!$G$6:$G$101,MOD(81+$C14+(-4),$B$3)+1)*E14+INDEX(Symboles!$G$6:$G$101,MOD(81+$C14+(-3),$B$3)+1)*F14+INDEX(Symboles!$G$6:$G$101,MOD(81+$C14+(-2),$B$3)+1)*G14+INDEX(Symboles!$G$6:$G$101,MOD(81+$C14+(-1),$B$3)+1)*H14+INDEX(Symboles!$G$6:$G$101,MOD(81+$C14+(0),$B$3)+1)*I14+INDEX(Symboles!$G$6:$G$101,MOD(81+$C14+(1),$B$3)+1)*J14+INDEX(Symboles!$G$6:$G$101,MOD(81+$C14+(2),$B$3)+1)*K14+INDEX(Symboles!$G$6:$G$101,MOD(81+$C14+(3),$B$3)+1)*L14+INDEX(Symboles!$G$6:$G$101,MOD(81+$C14+(4),$B$3)+1)*M14+IF($B$6=0,0,$B$6*NORMSINV(0.000001+0.999998*RAND())))</f>
        <v/>
      </c>
      <c r="CT14" s="30">
        <f>IF(83&gt;$B$3,99,INDEX(Symboles!$G$6:$G$101,MOD(82+$C14+(-4),$B$3)+1)*E14+INDEX(Symboles!$G$6:$G$101,MOD(82+$C14+(-3),$B$3)+1)*F14+INDEX(Symboles!$G$6:$G$101,MOD(82+$C14+(-2),$B$3)+1)*G14+INDEX(Symboles!$G$6:$G$101,MOD(82+$C14+(-1),$B$3)+1)*H14+INDEX(Symboles!$G$6:$G$101,MOD(82+$C14+(0),$B$3)+1)*I14+INDEX(Symboles!$G$6:$G$101,MOD(82+$C14+(1),$B$3)+1)*J14+INDEX(Symboles!$G$6:$G$101,MOD(82+$C14+(2),$B$3)+1)*K14+INDEX(Symboles!$G$6:$G$101,MOD(82+$C14+(3),$B$3)+1)*L14+INDEX(Symboles!$G$6:$G$101,MOD(82+$C14+(4),$B$3)+1)*M14+IF($B$6=0,0,$B$6*NORMSINV(0.000001+0.999998*RAND())))</f>
        <v/>
      </c>
      <c r="CU14" s="30">
        <f>IF(84&gt;$B$3,99,INDEX(Symboles!$G$6:$G$101,MOD(83+$C14+(-4),$B$3)+1)*E14+INDEX(Symboles!$G$6:$G$101,MOD(83+$C14+(-3),$B$3)+1)*F14+INDEX(Symboles!$G$6:$G$101,MOD(83+$C14+(-2),$B$3)+1)*G14+INDEX(Symboles!$G$6:$G$101,MOD(83+$C14+(-1),$B$3)+1)*H14+INDEX(Symboles!$G$6:$G$101,MOD(83+$C14+(0),$B$3)+1)*I14+INDEX(Symboles!$G$6:$G$101,MOD(83+$C14+(1),$B$3)+1)*J14+INDEX(Symboles!$G$6:$G$101,MOD(83+$C14+(2),$B$3)+1)*K14+INDEX(Symboles!$G$6:$G$101,MOD(83+$C14+(3),$B$3)+1)*L14+INDEX(Symboles!$G$6:$G$101,MOD(83+$C14+(4),$B$3)+1)*M14+IF($B$6=0,0,$B$6*NORMSINV(0.000001+0.999998*RAND())))</f>
        <v/>
      </c>
      <c r="CV14" s="30">
        <f>IF(85&gt;$B$3,99,INDEX(Symboles!$G$6:$G$101,MOD(84+$C14+(-4),$B$3)+1)*E14+INDEX(Symboles!$G$6:$G$101,MOD(84+$C14+(-3),$B$3)+1)*F14+INDEX(Symboles!$G$6:$G$101,MOD(84+$C14+(-2),$B$3)+1)*G14+INDEX(Symboles!$G$6:$G$101,MOD(84+$C14+(-1),$B$3)+1)*H14+INDEX(Symboles!$G$6:$G$101,MOD(84+$C14+(0),$B$3)+1)*I14+INDEX(Symboles!$G$6:$G$101,MOD(84+$C14+(1),$B$3)+1)*J14+INDEX(Symboles!$G$6:$G$101,MOD(84+$C14+(2),$B$3)+1)*K14+INDEX(Symboles!$G$6:$G$101,MOD(84+$C14+(3),$B$3)+1)*L14+INDEX(Symboles!$G$6:$G$101,MOD(84+$C14+(4),$B$3)+1)*M14+IF($B$6=0,0,$B$6*NORMSINV(0.000001+0.999998*RAND())))</f>
        <v/>
      </c>
      <c r="CW14" s="30">
        <f>IF(86&gt;$B$3,99,INDEX(Symboles!$G$6:$G$101,MOD(85+$C14+(-4),$B$3)+1)*E14+INDEX(Symboles!$G$6:$G$101,MOD(85+$C14+(-3),$B$3)+1)*F14+INDEX(Symboles!$G$6:$G$101,MOD(85+$C14+(-2),$B$3)+1)*G14+INDEX(Symboles!$G$6:$G$101,MOD(85+$C14+(-1),$B$3)+1)*H14+INDEX(Symboles!$G$6:$G$101,MOD(85+$C14+(0),$B$3)+1)*I14+INDEX(Symboles!$G$6:$G$101,MOD(85+$C14+(1),$B$3)+1)*J14+INDEX(Symboles!$G$6:$G$101,MOD(85+$C14+(2),$B$3)+1)*K14+INDEX(Symboles!$G$6:$G$101,MOD(85+$C14+(3),$B$3)+1)*L14+INDEX(Symboles!$G$6:$G$101,MOD(85+$C14+(4),$B$3)+1)*M14+IF($B$6=0,0,$B$6*NORMSINV(0.000001+0.999998*RAND())))</f>
        <v/>
      </c>
      <c r="CX14" s="30">
        <f>IF(87&gt;$B$3,99,INDEX(Symboles!$G$6:$G$101,MOD(86+$C14+(-4),$B$3)+1)*E14+INDEX(Symboles!$G$6:$G$101,MOD(86+$C14+(-3),$B$3)+1)*F14+INDEX(Symboles!$G$6:$G$101,MOD(86+$C14+(-2),$B$3)+1)*G14+INDEX(Symboles!$G$6:$G$101,MOD(86+$C14+(-1),$B$3)+1)*H14+INDEX(Symboles!$G$6:$G$101,MOD(86+$C14+(0),$B$3)+1)*I14+INDEX(Symboles!$G$6:$G$101,MOD(86+$C14+(1),$B$3)+1)*J14+INDEX(Symboles!$G$6:$G$101,MOD(86+$C14+(2),$B$3)+1)*K14+INDEX(Symboles!$G$6:$G$101,MOD(86+$C14+(3),$B$3)+1)*L14+INDEX(Symboles!$G$6:$G$101,MOD(86+$C14+(4),$B$3)+1)*M14+IF($B$6=0,0,$B$6*NORMSINV(0.000001+0.999998*RAND())))</f>
        <v/>
      </c>
      <c r="CY14" s="30">
        <f>IF(88&gt;$B$3,99,INDEX(Symboles!$G$6:$G$101,MOD(87+$C14+(-4),$B$3)+1)*E14+INDEX(Symboles!$G$6:$G$101,MOD(87+$C14+(-3),$B$3)+1)*F14+INDEX(Symboles!$G$6:$G$101,MOD(87+$C14+(-2),$B$3)+1)*G14+INDEX(Symboles!$G$6:$G$101,MOD(87+$C14+(-1),$B$3)+1)*H14+INDEX(Symboles!$G$6:$G$101,MOD(87+$C14+(0),$B$3)+1)*I14+INDEX(Symboles!$G$6:$G$101,MOD(87+$C14+(1),$B$3)+1)*J14+INDEX(Symboles!$G$6:$G$101,MOD(87+$C14+(2),$B$3)+1)*K14+INDEX(Symboles!$G$6:$G$101,MOD(87+$C14+(3),$B$3)+1)*L14+INDEX(Symboles!$G$6:$G$101,MOD(87+$C14+(4),$B$3)+1)*M14+IF($B$6=0,0,$B$6*NORMSINV(0.000001+0.999998*RAND())))</f>
        <v/>
      </c>
      <c r="CZ14" s="30">
        <f>IF(89&gt;$B$3,99,INDEX(Symboles!$G$6:$G$101,MOD(88+$C14+(-4),$B$3)+1)*E14+INDEX(Symboles!$G$6:$G$101,MOD(88+$C14+(-3),$B$3)+1)*F14+INDEX(Symboles!$G$6:$G$101,MOD(88+$C14+(-2),$B$3)+1)*G14+INDEX(Symboles!$G$6:$G$101,MOD(88+$C14+(-1),$B$3)+1)*H14+INDEX(Symboles!$G$6:$G$101,MOD(88+$C14+(0),$B$3)+1)*I14+INDEX(Symboles!$G$6:$G$101,MOD(88+$C14+(1),$B$3)+1)*J14+INDEX(Symboles!$G$6:$G$101,MOD(88+$C14+(2),$B$3)+1)*K14+INDEX(Symboles!$G$6:$G$101,MOD(88+$C14+(3),$B$3)+1)*L14+INDEX(Symboles!$G$6:$G$101,MOD(88+$C14+(4),$B$3)+1)*M14+IF($B$6=0,0,$B$6*NORMSINV(0.000001+0.999998*RAND())))</f>
        <v/>
      </c>
      <c r="DA14" s="30">
        <f>IF(90&gt;$B$3,99,INDEX(Symboles!$G$6:$G$101,MOD(89+$C14+(-4),$B$3)+1)*E14+INDEX(Symboles!$G$6:$G$101,MOD(89+$C14+(-3),$B$3)+1)*F14+INDEX(Symboles!$G$6:$G$101,MOD(89+$C14+(-2),$B$3)+1)*G14+INDEX(Symboles!$G$6:$G$101,MOD(89+$C14+(-1),$B$3)+1)*H14+INDEX(Symboles!$G$6:$G$101,MOD(89+$C14+(0),$B$3)+1)*I14+INDEX(Symboles!$G$6:$G$101,MOD(89+$C14+(1),$B$3)+1)*J14+INDEX(Symboles!$G$6:$G$101,MOD(89+$C14+(2),$B$3)+1)*K14+INDEX(Symboles!$G$6:$G$101,MOD(89+$C14+(3),$B$3)+1)*L14+INDEX(Symboles!$G$6:$G$101,MOD(89+$C14+(4),$B$3)+1)*M14+IF($B$6=0,0,$B$6*NORMSINV(0.000001+0.999998*RAND())))</f>
        <v/>
      </c>
      <c r="DB14" s="30">
        <f>IF(91&gt;$B$3,99,INDEX(Symboles!$G$6:$G$101,MOD(90+$C14+(-4),$B$3)+1)*E14+INDEX(Symboles!$G$6:$G$101,MOD(90+$C14+(-3),$B$3)+1)*F14+INDEX(Symboles!$G$6:$G$101,MOD(90+$C14+(-2),$B$3)+1)*G14+INDEX(Symboles!$G$6:$G$101,MOD(90+$C14+(-1),$B$3)+1)*H14+INDEX(Symboles!$G$6:$G$101,MOD(90+$C14+(0),$B$3)+1)*I14+INDEX(Symboles!$G$6:$G$101,MOD(90+$C14+(1),$B$3)+1)*J14+INDEX(Symboles!$G$6:$G$101,MOD(90+$C14+(2),$B$3)+1)*K14+INDEX(Symboles!$G$6:$G$101,MOD(90+$C14+(3),$B$3)+1)*L14+INDEX(Symboles!$G$6:$G$101,MOD(90+$C14+(4),$B$3)+1)*M14+IF($B$6=0,0,$B$6*NORMSINV(0.000001+0.999998*RAND())))</f>
        <v/>
      </c>
      <c r="DC14" s="30">
        <f>IF(92&gt;$B$3,99,INDEX(Symboles!$G$6:$G$101,MOD(91+$C14+(-4),$B$3)+1)*E14+INDEX(Symboles!$G$6:$G$101,MOD(91+$C14+(-3),$B$3)+1)*F14+INDEX(Symboles!$G$6:$G$101,MOD(91+$C14+(-2),$B$3)+1)*G14+INDEX(Symboles!$G$6:$G$101,MOD(91+$C14+(-1),$B$3)+1)*H14+INDEX(Symboles!$G$6:$G$101,MOD(91+$C14+(0),$B$3)+1)*I14+INDEX(Symboles!$G$6:$G$101,MOD(91+$C14+(1),$B$3)+1)*J14+INDEX(Symboles!$G$6:$G$101,MOD(91+$C14+(2),$B$3)+1)*K14+INDEX(Symboles!$G$6:$G$101,MOD(91+$C14+(3),$B$3)+1)*L14+INDEX(Symboles!$G$6:$G$101,MOD(91+$C14+(4),$B$3)+1)*M14+IF($B$6=0,0,$B$6*NORMSINV(0.000001+0.999998*RAND())))</f>
        <v/>
      </c>
      <c r="DD14" s="30">
        <f>IF(93&gt;$B$3,99,INDEX(Symboles!$G$6:$G$101,MOD(92+$C14+(-4),$B$3)+1)*E14+INDEX(Symboles!$G$6:$G$101,MOD(92+$C14+(-3),$B$3)+1)*F14+INDEX(Symboles!$G$6:$G$101,MOD(92+$C14+(-2),$B$3)+1)*G14+INDEX(Symboles!$G$6:$G$101,MOD(92+$C14+(-1),$B$3)+1)*H14+INDEX(Symboles!$G$6:$G$101,MOD(92+$C14+(0),$B$3)+1)*I14+INDEX(Symboles!$G$6:$G$101,MOD(92+$C14+(1),$B$3)+1)*J14+INDEX(Symboles!$G$6:$G$101,MOD(92+$C14+(2),$B$3)+1)*K14+INDEX(Symboles!$G$6:$G$101,MOD(92+$C14+(3),$B$3)+1)*L14+INDEX(Symboles!$G$6:$G$101,MOD(92+$C14+(4),$B$3)+1)*M14+IF($B$6=0,0,$B$6*NORMSINV(0.000001+0.999998*RAND())))</f>
        <v/>
      </c>
      <c r="DE14" s="30">
        <f>IF(94&gt;$B$3,99,INDEX(Symboles!$G$6:$G$101,MOD(93+$C14+(-4),$B$3)+1)*E14+INDEX(Symboles!$G$6:$G$101,MOD(93+$C14+(-3),$B$3)+1)*F14+INDEX(Symboles!$G$6:$G$101,MOD(93+$C14+(-2),$B$3)+1)*G14+INDEX(Symboles!$G$6:$G$101,MOD(93+$C14+(-1),$B$3)+1)*H14+INDEX(Symboles!$G$6:$G$101,MOD(93+$C14+(0),$B$3)+1)*I14+INDEX(Symboles!$G$6:$G$101,MOD(93+$C14+(1),$B$3)+1)*J14+INDEX(Symboles!$G$6:$G$101,MOD(93+$C14+(2),$B$3)+1)*K14+INDEX(Symboles!$G$6:$G$101,MOD(93+$C14+(3),$B$3)+1)*L14+INDEX(Symboles!$G$6:$G$101,MOD(93+$C14+(4),$B$3)+1)*M14+IF($B$6=0,0,$B$6*NORMSINV(0.000001+0.999998*RAND())))</f>
        <v/>
      </c>
      <c r="DF14" s="30">
        <f>IF(95&gt;$B$3,99,INDEX(Symboles!$G$6:$G$101,MOD(94+$C14+(-4),$B$3)+1)*E14+INDEX(Symboles!$G$6:$G$101,MOD(94+$C14+(-3),$B$3)+1)*F14+INDEX(Symboles!$G$6:$G$101,MOD(94+$C14+(-2),$B$3)+1)*G14+INDEX(Symboles!$G$6:$G$101,MOD(94+$C14+(-1),$B$3)+1)*H14+INDEX(Symboles!$G$6:$G$101,MOD(94+$C14+(0),$B$3)+1)*I14+INDEX(Symboles!$G$6:$G$101,MOD(94+$C14+(1),$B$3)+1)*J14+INDEX(Symboles!$G$6:$G$101,MOD(94+$C14+(2),$B$3)+1)*K14+INDEX(Symboles!$G$6:$G$101,MOD(94+$C14+(3),$B$3)+1)*L14+INDEX(Symboles!$G$6:$G$101,MOD(94+$C14+(4),$B$3)+1)*M14+IF($B$6=0,0,$B$6*NORMSINV(0.000001+0.999998*RAND())))</f>
        <v/>
      </c>
      <c r="DG14" s="30">
        <f>IF(96&gt;$B$3,99,INDEX(Symboles!$G$6:$G$101,MOD(95+$C14+(-4),$B$3)+1)*E14+INDEX(Symboles!$G$6:$G$101,MOD(95+$C14+(-3),$B$3)+1)*F14+INDEX(Symboles!$G$6:$G$101,MOD(95+$C14+(-2),$B$3)+1)*G14+INDEX(Symboles!$G$6:$G$101,MOD(95+$C14+(-1),$B$3)+1)*H14+INDEX(Symboles!$G$6:$G$101,MOD(95+$C14+(0),$B$3)+1)*I14+INDEX(Symboles!$G$6:$G$101,MOD(95+$C14+(1),$B$3)+1)*J14+INDEX(Symboles!$G$6:$G$101,MOD(95+$C14+(2),$B$3)+1)*K14+INDEX(Symboles!$G$6:$G$101,MOD(95+$C14+(3),$B$3)+1)*L14+INDEX(Symboles!$G$6:$G$101,MOD(95+$C14+(4),$B$3)+1)*M14+IF($B$6=0,0,$B$6*NORMSINV(0.000001+0.999998*RAND())))</f>
        <v/>
      </c>
      <c r="DI14" s="30">
        <f>IF(1&gt;$B$3,99,INDEX(Symboles!$H$6:$H$101,MOD(0+$C14+(-4),$B$3)+1)*E14+INDEX(Symboles!$H$6:$H$101,MOD(0+$C14+(-3),$B$3)+1)*F14+INDEX(Symboles!$H$6:$H$101,MOD(0+$C14+(-2),$B$3)+1)*G14+INDEX(Symboles!$H$6:$H$101,MOD(0+$C14+(-1),$B$3)+1)*H14+INDEX(Symboles!$H$6:$H$101,MOD(0+$C14+(0),$B$3)+1)*I14+INDEX(Symboles!$H$6:$H$101,MOD(0+$C14+(1),$B$3)+1)*J14+INDEX(Symboles!$H$6:$H$101,MOD(0+$C14+(2),$B$3)+1)*K14+INDEX(Symboles!$H$6:$H$101,MOD(0+$C14+(3),$B$3)+1)*L14+INDEX(Symboles!$H$6:$H$101,MOD(0+$C14+(4),$B$3)+1)*M14+IF($B$6=0,0,$B$6*NORMSINV(0.000001+0.999998*RAND())))</f>
        <v/>
      </c>
      <c r="DJ14" s="30">
        <f>IF(2&gt;$B$3,99,INDEX(Symboles!$H$6:$H$101,MOD(1+$C14+(-4),$B$3)+1)*E14+INDEX(Symboles!$H$6:$H$101,MOD(1+$C14+(-3),$B$3)+1)*F14+INDEX(Symboles!$H$6:$H$101,MOD(1+$C14+(-2),$B$3)+1)*G14+INDEX(Symboles!$H$6:$H$101,MOD(1+$C14+(-1),$B$3)+1)*H14+INDEX(Symboles!$H$6:$H$101,MOD(1+$C14+(0),$B$3)+1)*I14+INDEX(Symboles!$H$6:$H$101,MOD(1+$C14+(1),$B$3)+1)*J14+INDEX(Symboles!$H$6:$H$101,MOD(1+$C14+(2),$B$3)+1)*K14+INDEX(Symboles!$H$6:$H$101,MOD(1+$C14+(3),$B$3)+1)*L14+INDEX(Symboles!$H$6:$H$101,MOD(1+$C14+(4),$B$3)+1)*M14+IF($B$6=0,0,$B$6*NORMSINV(0.000001+0.999998*RAND())))</f>
        <v/>
      </c>
      <c r="DK14" s="30">
        <f>IF(3&gt;$B$3,99,INDEX(Symboles!$H$6:$H$101,MOD(2+$C14+(-4),$B$3)+1)*E14+INDEX(Symboles!$H$6:$H$101,MOD(2+$C14+(-3),$B$3)+1)*F14+INDEX(Symboles!$H$6:$H$101,MOD(2+$C14+(-2),$B$3)+1)*G14+INDEX(Symboles!$H$6:$H$101,MOD(2+$C14+(-1),$B$3)+1)*H14+INDEX(Symboles!$H$6:$H$101,MOD(2+$C14+(0),$B$3)+1)*I14+INDEX(Symboles!$H$6:$H$101,MOD(2+$C14+(1),$B$3)+1)*J14+INDEX(Symboles!$H$6:$H$101,MOD(2+$C14+(2),$B$3)+1)*K14+INDEX(Symboles!$H$6:$H$101,MOD(2+$C14+(3),$B$3)+1)*L14+INDEX(Symboles!$H$6:$H$101,MOD(2+$C14+(4),$B$3)+1)*M14+IF($B$6=0,0,$B$6*NORMSINV(0.000001+0.999998*RAND())))</f>
        <v/>
      </c>
      <c r="DL14" s="30">
        <f>IF(4&gt;$B$3,99,INDEX(Symboles!$H$6:$H$101,MOD(3+$C14+(-4),$B$3)+1)*E14+INDEX(Symboles!$H$6:$H$101,MOD(3+$C14+(-3),$B$3)+1)*F14+INDEX(Symboles!$H$6:$H$101,MOD(3+$C14+(-2),$B$3)+1)*G14+INDEX(Symboles!$H$6:$H$101,MOD(3+$C14+(-1),$B$3)+1)*H14+INDEX(Symboles!$H$6:$H$101,MOD(3+$C14+(0),$B$3)+1)*I14+INDEX(Symboles!$H$6:$H$101,MOD(3+$C14+(1),$B$3)+1)*J14+INDEX(Symboles!$H$6:$H$101,MOD(3+$C14+(2),$B$3)+1)*K14+INDEX(Symboles!$H$6:$H$101,MOD(3+$C14+(3),$B$3)+1)*L14+INDEX(Symboles!$H$6:$H$101,MOD(3+$C14+(4),$B$3)+1)*M14+IF($B$6=0,0,$B$6*NORMSINV(0.000001+0.999998*RAND())))</f>
        <v/>
      </c>
      <c r="DM14" s="30">
        <f>IF(5&gt;$B$3,99,INDEX(Symboles!$H$6:$H$101,MOD(4+$C14+(-4),$B$3)+1)*E14+INDEX(Symboles!$H$6:$H$101,MOD(4+$C14+(-3),$B$3)+1)*F14+INDEX(Symboles!$H$6:$H$101,MOD(4+$C14+(-2),$B$3)+1)*G14+INDEX(Symboles!$H$6:$H$101,MOD(4+$C14+(-1),$B$3)+1)*H14+INDEX(Symboles!$H$6:$H$101,MOD(4+$C14+(0),$B$3)+1)*I14+INDEX(Symboles!$H$6:$H$101,MOD(4+$C14+(1),$B$3)+1)*J14+INDEX(Symboles!$H$6:$H$101,MOD(4+$C14+(2),$B$3)+1)*K14+INDEX(Symboles!$H$6:$H$101,MOD(4+$C14+(3),$B$3)+1)*L14+INDEX(Symboles!$H$6:$H$101,MOD(4+$C14+(4),$B$3)+1)*M14+IF($B$6=0,0,$B$6*NORMSINV(0.000001+0.999998*RAND())))</f>
        <v/>
      </c>
      <c r="DN14" s="30">
        <f>IF(6&gt;$B$3,99,INDEX(Symboles!$H$6:$H$101,MOD(5+$C14+(-4),$B$3)+1)*E14+INDEX(Symboles!$H$6:$H$101,MOD(5+$C14+(-3),$B$3)+1)*F14+INDEX(Symboles!$H$6:$H$101,MOD(5+$C14+(-2),$B$3)+1)*G14+INDEX(Symboles!$H$6:$H$101,MOD(5+$C14+(-1),$B$3)+1)*H14+INDEX(Symboles!$H$6:$H$101,MOD(5+$C14+(0),$B$3)+1)*I14+INDEX(Symboles!$H$6:$H$101,MOD(5+$C14+(1),$B$3)+1)*J14+INDEX(Symboles!$H$6:$H$101,MOD(5+$C14+(2),$B$3)+1)*K14+INDEX(Symboles!$H$6:$H$101,MOD(5+$C14+(3),$B$3)+1)*L14+INDEX(Symboles!$H$6:$H$101,MOD(5+$C14+(4),$B$3)+1)*M14+IF($B$6=0,0,$B$6*NORMSINV(0.000001+0.999998*RAND())))</f>
        <v/>
      </c>
      <c r="DO14" s="30">
        <f>IF(7&gt;$B$3,99,INDEX(Symboles!$H$6:$H$101,MOD(6+$C14+(-4),$B$3)+1)*E14+INDEX(Symboles!$H$6:$H$101,MOD(6+$C14+(-3),$B$3)+1)*F14+INDEX(Symboles!$H$6:$H$101,MOD(6+$C14+(-2),$B$3)+1)*G14+INDEX(Symboles!$H$6:$H$101,MOD(6+$C14+(-1),$B$3)+1)*H14+INDEX(Symboles!$H$6:$H$101,MOD(6+$C14+(0),$B$3)+1)*I14+INDEX(Symboles!$H$6:$H$101,MOD(6+$C14+(1),$B$3)+1)*J14+INDEX(Symboles!$H$6:$H$101,MOD(6+$C14+(2),$B$3)+1)*K14+INDEX(Symboles!$H$6:$H$101,MOD(6+$C14+(3),$B$3)+1)*L14+INDEX(Symboles!$H$6:$H$101,MOD(6+$C14+(4),$B$3)+1)*M14+IF($B$6=0,0,$B$6*NORMSINV(0.000001+0.999998*RAND())))</f>
        <v/>
      </c>
      <c r="DP14" s="30">
        <f>IF(8&gt;$B$3,99,INDEX(Symboles!$H$6:$H$101,MOD(7+$C14+(-4),$B$3)+1)*E14+INDEX(Symboles!$H$6:$H$101,MOD(7+$C14+(-3),$B$3)+1)*F14+INDEX(Symboles!$H$6:$H$101,MOD(7+$C14+(-2),$B$3)+1)*G14+INDEX(Symboles!$H$6:$H$101,MOD(7+$C14+(-1),$B$3)+1)*H14+INDEX(Symboles!$H$6:$H$101,MOD(7+$C14+(0),$B$3)+1)*I14+INDEX(Symboles!$H$6:$H$101,MOD(7+$C14+(1),$B$3)+1)*J14+INDEX(Symboles!$H$6:$H$101,MOD(7+$C14+(2),$B$3)+1)*K14+INDEX(Symboles!$H$6:$H$101,MOD(7+$C14+(3),$B$3)+1)*L14+INDEX(Symboles!$H$6:$H$101,MOD(7+$C14+(4),$B$3)+1)*M14+IF($B$6=0,0,$B$6*NORMSINV(0.000001+0.999998*RAND())))</f>
        <v/>
      </c>
      <c r="DQ14" s="30">
        <f>IF(9&gt;$B$3,99,INDEX(Symboles!$H$6:$H$101,MOD(8+$C14+(-4),$B$3)+1)*E14+INDEX(Symboles!$H$6:$H$101,MOD(8+$C14+(-3),$B$3)+1)*F14+INDEX(Symboles!$H$6:$H$101,MOD(8+$C14+(-2),$B$3)+1)*G14+INDEX(Symboles!$H$6:$H$101,MOD(8+$C14+(-1),$B$3)+1)*H14+INDEX(Symboles!$H$6:$H$101,MOD(8+$C14+(0),$B$3)+1)*I14+INDEX(Symboles!$H$6:$H$101,MOD(8+$C14+(1),$B$3)+1)*J14+INDEX(Symboles!$H$6:$H$101,MOD(8+$C14+(2),$B$3)+1)*K14+INDEX(Symboles!$H$6:$H$101,MOD(8+$C14+(3),$B$3)+1)*L14+INDEX(Symboles!$H$6:$H$101,MOD(8+$C14+(4),$B$3)+1)*M14+IF($B$6=0,0,$B$6*NORMSINV(0.000001+0.999998*RAND())))</f>
        <v/>
      </c>
      <c r="DR14" s="30">
        <f>IF(10&gt;$B$3,99,INDEX(Symboles!$H$6:$H$101,MOD(9+$C14+(-4),$B$3)+1)*E14+INDEX(Symboles!$H$6:$H$101,MOD(9+$C14+(-3),$B$3)+1)*F14+INDEX(Symboles!$H$6:$H$101,MOD(9+$C14+(-2),$B$3)+1)*G14+INDEX(Symboles!$H$6:$H$101,MOD(9+$C14+(-1),$B$3)+1)*H14+INDEX(Symboles!$H$6:$H$101,MOD(9+$C14+(0),$B$3)+1)*I14+INDEX(Symboles!$H$6:$H$101,MOD(9+$C14+(1),$B$3)+1)*J14+INDEX(Symboles!$H$6:$H$101,MOD(9+$C14+(2),$B$3)+1)*K14+INDEX(Symboles!$H$6:$H$101,MOD(9+$C14+(3),$B$3)+1)*L14+INDEX(Symboles!$H$6:$H$101,MOD(9+$C14+(4),$B$3)+1)*M14+IF($B$6=0,0,$B$6*NORMSINV(0.000001+0.999998*RAND())))</f>
        <v/>
      </c>
      <c r="DS14" s="30">
        <f>IF(11&gt;$B$3,99,INDEX(Symboles!$H$6:$H$101,MOD(10+$C14+(-4),$B$3)+1)*E14+INDEX(Symboles!$H$6:$H$101,MOD(10+$C14+(-3),$B$3)+1)*F14+INDEX(Symboles!$H$6:$H$101,MOD(10+$C14+(-2),$B$3)+1)*G14+INDEX(Symboles!$H$6:$H$101,MOD(10+$C14+(-1),$B$3)+1)*H14+INDEX(Symboles!$H$6:$H$101,MOD(10+$C14+(0),$B$3)+1)*I14+INDEX(Symboles!$H$6:$H$101,MOD(10+$C14+(1),$B$3)+1)*J14+INDEX(Symboles!$H$6:$H$101,MOD(10+$C14+(2),$B$3)+1)*K14+INDEX(Symboles!$H$6:$H$101,MOD(10+$C14+(3),$B$3)+1)*L14+INDEX(Symboles!$H$6:$H$101,MOD(10+$C14+(4),$B$3)+1)*M14+IF($B$6=0,0,$B$6*NORMSINV(0.000001+0.999998*RAND())))</f>
        <v/>
      </c>
      <c r="DT14" s="30">
        <f>IF(12&gt;$B$3,99,INDEX(Symboles!$H$6:$H$101,MOD(11+$C14+(-4),$B$3)+1)*E14+INDEX(Symboles!$H$6:$H$101,MOD(11+$C14+(-3),$B$3)+1)*F14+INDEX(Symboles!$H$6:$H$101,MOD(11+$C14+(-2),$B$3)+1)*G14+INDEX(Symboles!$H$6:$H$101,MOD(11+$C14+(-1),$B$3)+1)*H14+INDEX(Symboles!$H$6:$H$101,MOD(11+$C14+(0),$B$3)+1)*I14+INDEX(Symboles!$H$6:$H$101,MOD(11+$C14+(1),$B$3)+1)*J14+INDEX(Symboles!$H$6:$H$101,MOD(11+$C14+(2),$B$3)+1)*K14+INDEX(Symboles!$H$6:$H$101,MOD(11+$C14+(3),$B$3)+1)*L14+INDEX(Symboles!$H$6:$H$101,MOD(11+$C14+(4),$B$3)+1)*M14+IF($B$6=0,0,$B$6*NORMSINV(0.000001+0.999998*RAND())))</f>
        <v/>
      </c>
      <c r="DU14" s="30">
        <f>IF(13&gt;$B$3,99,INDEX(Symboles!$H$6:$H$101,MOD(12+$C14+(-4),$B$3)+1)*E14+INDEX(Symboles!$H$6:$H$101,MOD(12+$C14+(-3),$B$3)+1)*F14+INDEX(Symboles!$H$6:$H$101,MOD(12+$C14+(-2),$B$3)+1)*G14+INDEX(Symboles!$H$6:$H$101,MOD(12+$C14+(-1),$B$3)+1)*H14+INDEX(Symboles!$H$6:$H$101,MOD(12+$C14+(0),$B$3)+1)*I14+INDEX(Symboles!$H$6:$H$101,MOD(12+$C14+(1),$B$3)+1)*J14+INDEX(Symboles!$H$6:$H$101,MOD(12+$C14+(2),$B$3)+1)*K14+INDEX(Symboles!$H$6:$H$101,MOD(12+$C14+(3),$B$3)+1)*L14+INDEX(Symboles!$H$6:$H$101,MOD(12+$C14+(4),$B$3)+1)*M14+IF($B$6=0,0,$B$6*NORMSINV(0.000001+0.999998*RAND())))</f>
        <v/>
      </c>
      <c r="DV14" s="30">
        <f>IF(14&gt;$B$3,99,INDEX(Symboles!$H$6:$H$101,MOD(13+$C14+(-4),$B$3)+1)*E14+INDEX(Symboles!$H$6:$H$101,MOD(13+$C14+(-3),$B$3)+1)*F14+INDEX(Symboles!$H$6:$H$101,MOD(13+$C14+(-2),$B$3)+1)*G14+INDEX(Symboles!$H$6:$H$101,MOD(13+$C14+(-1),$B$3)+1)*H14+INDEX(Symboles!$H$6:$H$101,MOD(13+$C14+(0),$B$3)+1)*I14+INDEX(Symboles!$H$6:$H$101,MOD(13+$C14+(1),$B$3)+1)*J14+INDEX(Symboles!$H$6:$H$101,MOD(13+$C14+(2),$B$3)+1)*K14+INDEX(Symboles!$H$6:$H$101,MOD(13+$C14+(3),$B$3)+1)*L14+INDEX(Symboles!$H$6:$H$101,MOD(13+$C14+(4),$B$3)+1)*M14+IF($B$6=0,0,$B$6*NORMSINV(0.000001+0.999998*RAND())))</f>
        <v/>
      </c>
      <c r="DW14" s="30">
        <f>IF(15&gt;$B$3,99,INDEX(Symboles!$H$6:$H$101,MOD(14+$C14+(-4),$B$3)+1)*E14+INDEX(Symboles!$H$6:$H$101,MOD(14+$C14+(-3),$B$3)+1)*F14+INDEX(Symboles!$H$6:$H$101,MOD(14+$C14+(-2),$B$3)+1)*G14+INDEX(Symboles!$H$6:$H$101,MOD(14+$C14+(-1),$B$3)+1)*H14+INDEX(Symboles!$H$6:$H$101,MOD(14+$C14+(0),$B$3)+1)*I14+INDEX(Symboles!$H$6:$H$101,MOD(14+$C14+(1),$B$3)+1)*J14+INDEX(Symboles!$H$6:$H$101,MOD(14+$C14+(2),$B$3)+1)*K14+INDEX(Symboles!$H$6:$H$101,MOD(14+$C14+(3),$B$3)+1)*L14+INDEX(Symboles!$H$6:$H$101,MOD(14+$C14+(4),$B$3)+1)*M14+IF($B$6=0,0,$B$6*NORMSINV(0.000001+0.999998*RAND())))</f>
        <v/>
      </c>
      <c r="DX14" s="30">
        <f>IF(16&gt;$B$3,99,INDEX(Symboles!$H$6:$H$101,MOD(15+$C14+(-4),$B$3)+1)*E14+INDEX(Symboles!$H$6:$H$101,MOD(15+$C14+(-3),$B$3)+1)*F14+INDEX(Symboles!$H$6:$H$101,MOD(15+$C14+(-2),$B$3)+1)*G14+INDEX(Symboles!$H$6:$H$101,MOD(15+$C14+(-1),$B$3)+1)*H14+INDEX(Symboles!$H$6:$H$101,MOD(15+$C14+(0),$B$3)+1)*I14+INDEX(Symboles!$H$6:$H$101,MOD(15+$C14+(1),$B$3)+1)*J14+INDEX(Symboles!$H$6:$H$101,MOD(15+$C14+(2),$B$3)+1)*K14+INDEX(Symboles!$H$6:$H$101,MOD(15+$C14+(3),$B$3)+1)*L14+INDEX(Symboles!$H$6:$H$101,MOD(15+$C14+(4),$B$3)+1)*M14+IF($B$6=0,0,$B$6*NORMSINV(0.000001+0.999998*RAND())))</f>
        <v/>
      </c>
      <c r="DY14" s="30">
        <f>IF(17&gt;$B$3,99,INDEX(Symboles!$H$6:$H$101,MOD(16+$C14+(-4),$B$3)+1)*E14+INDEX(Symboles!$H$6:$H$101,MOD(16+$C14+(-3),$B$3)+1)*F14+INDEX(Symboles!$H$6:$H$101,MOD(16+$C14+(-2),$B$3)+1)*G14+INDEX(Symboles!$H$6:$H$101,MOD(16+$C14+(-1),$B$3)+1)*H14+INDEX(Symboles!$H$6:$H$101,MOD(16+$C14+(0),$B$3)+1)*I14+INDEX(Symboles!$H$6:$H$101,MOD(16+$C14+(1),$B$3)+1)*J14+INDEX(Symboles!$H$6:$H$101,MOD(16+$C14+(2),$B$3)+1)*K14+INDEX(Symboles!$H$6:$H$101,MOD(16+$C14+(3),$B$3)+1)*L14+INDEX(Symboles!$H$6:$H$101,MOD(16+$C14+(4),$B$3)+1)*M14+IF($B$6=0,0,$B$6*NORMSINV(0.000001+0.999998*RAND())))</f>
        <v/>
      </c>
      <c r="DZ14" s="30">
        <f>IF(18&gt;$B$3,99,INDEX(Symboles!$H$6:$H$101,MOD(17+$C14+(-4),$B$3)+1)*E14+INDEX(Symboles!$H$6:$H$101,MOD(17+$C14+(-3),$B$3)+1)*F14+INDEX(Symboles!$H$6:$H$101,MOD(17+$C14+(-2),$B$3)+1)*G14+INDEX(Symboles!$H$6:$H$101,MOD(17+$C14+(-1),$B$3)+1)*H14+INDEX(Symboles!$H$6:$H$101,MOD(17+$C14+(0),$B$3)+1)*I14+INDEX(Symboles!$H$6:$H$101,MOD(17+$C14+(1),$B$3)+1)*J14+INDEX(Symboles!$H$6:$H$101,MOD(17+$C14+(2),$B$3)+1)*K14+INDEX(Symboles!$H$6:$H$101,MOD(17+$C14+(3),$B$3)+1)*L14+INDEX(Symboles!$H$6:$H$101,MOD(17+$C14+(4),$B$3)+1)*M14+IF($B$6=0,0,$B$6*NORMSINV(0.000001+0.999998*RAND())))</f>
        <v/>
      </c>
      <c r="EA14" s="30">
        <f>IF(19&gt;$B$3,99,INDEX(Symboles!$H$6:$H$101,MOD(18+$C14+(-4),$B$3)+1)*E14+INDEX(Symboles!$H$6:$H$101,MOD(18+$C14+(-3),$B$3)+1)*F14+INDEX(Symboles!$H$6:$H$101,MOD(18+$C14+(-2),$B$3)+1)*G14+INDEX(Symboles!$H$6:$H$101,MOD(18+$C14+(-1),$B$3)+1)*H14+INDEX(Symboles!$H$6:$H$101,MOD(18+$C14+(0),$B$3)+1)*I14+INDEX(Symboles!$H$6:$H$101,MOD(18+$C14+(1),$B$3)+1)*J14+INDEX(Symboles!$H$6:$H$101,MOD(18+$C14+(2),$B$3)+1)*K14+INDEX(Symboles!$H$6:$H$101,MOD(18+$C14+(3),$B$3)+1)*L14+INDEX(Symboles!$H$6:$H$101,MOD(18+$C14+(4),$B$3)+1)*M14+IF($B$6=0,0,$B$6*NORMSINV(0.000001+0.999998*RAND())))</f>
        <v/>
      </c>
      <c r="EB14" s="30">
        <f>IF(20&gt;$B$3,99,INDEX(Symboles!$H$6:$H$101,MOD(19+$C14+(-4),$B$3)+1)*E14+INDEX(Symboles!$H$6:$H$101,MOD(19+$C14+(-3),$B$3)+1)*F14+INDEX(Symboles!$H$6:$H$101,MOD(19+$C14+(-2),$B$3)+1)*G14+INDEX(Symboles!$H$6:$H$101,MOD(19+$C14+(-1),$B$3)+1)*H14+INDEX(Symboles!$H$6:$H$101,MOD(19+$C14+(0),$B$3)+1)*I14+INDEX(Symboles!$H$6:$H$101,MOD(19+$C14+(1),$B$3)+1)*J14+INDEX(Symboles!$H$6:$H$101,MOD(19+$C14+(2),$B$3)+1)*K14+INDEX(Symboles!$H$6:$H$101,MOD(19+$C14+(3),$B$3)+1)*L14+INDEX(Symboles!$H$6:$H$101,MOD(19+$C14+(4),$B$3)+1)*M14+IF($B$6=0,0,$B$6*NORMSINV(0.000001+0.999998*RAND())))</f>
        <v/>
      </c>
      <c r="EC14" s="30">
        <f>IF(21&gt;$B$3,99,INDEX(Symboles!$H$6:$H$101,MOD(20+$C14+(-4),$B$3)+1)*E14+INDEX(Symboles!$H$6:$H$101,MOD(20+$C14+(-3),$B$3)+1)*F14+INDEX(Symboles!$H$6:$H$101,MOD(20+$C14+(-2),$B$3)+1)*G14+INDEX(Symboles!$H$6:$H$101,MOD(20+$C14+(-1),$B$3)+1)*H14+INDEX(Symboles!$H$6:$H$101,MOD(20+$C14+(0),$B$3)+1)*I14+INDEX(Symboles!$H$6:$H$101,MOD(20+$C14+(1),$B$3)+1)*J14+INDEX(Symboles!$H$6:$H$101,MOD(20+$C14+(2),$B$3)+1)*K14+INDEX(Symboles!$H$6:$H$101,MOD(20+$C14+(3),$B$3)+1)*L14+INDEX(Symboles!$H$6:$H$101,MOD(20+$C14+(4),$B$3)+1)*M14+IF($B$6=0,0,$B$6*NORMSINV(0.000001+0.999998*RAND())))</f>
        <v/>
      </c>
      <c r="ED14" s="30">
        <f>IF(22&gt;$B$3,99,INDEX(Symboles!$H$6:$H$101,MOD(21+$C14+(-4),$B$3)+1)*E14+INDEX(Symboles!$H$6:$H$101,MOD(21+$C14+(-3),$B$3)+1)*F14+INDEX(Symboles!$H$6:$H$101,MOD(21+$C14+(-2),$B$3)+1)*G14+INDEX(Symboles!$H$6:$H$101,MOD(21+$C14+(-1),$B$3)+1)*H14+INDEX(Symboles!$H$6:$H$101,MOD(21+$C14+(0),$B$3)+1)*I14+INDEX(Symboles!$H$6:$H$101,MOD(21+$C14+(1),$B$3)+1)*J14+INDEX(Symboles!$H$6:$H$101,MOD(21+$C14+(2),$B$3)+1)*K14+INDEX(Symboles!$H$6:$H$101,MOD(21+$C14+(3),$B$3)+1)*L14+INDEX(Symboles!$H$6:$H$101,MOD(21+$C14+(4),$B$3)+1)*M14+IF($B$6=0,0,$B$6*NORMSINV(0.000001+0.999998*RAND())))</f>
        <v/>
      </c>
      <c r="EE14" s="30">
        <f>IF(23&gt;$B$3,99,INDEX(Symboles!$H$6:$H$101,MOD(22+$C14+(-4),$B$3)+1)*E14+INDEX(Symboles!$H$6:$H$101,MOD(22+$C14+(-3),$B$3)+1)*F14+INDEX(Symboles!$H$6:$H$101,MOD(22+$C14+(-2),$B$3)+1)*G14+INDEX(Symboles!$H$6:$H$101,MOD(22+$C14+(-1),$B$3)+1)*H14+INDEX(Symboles!$H$6:$H$101,MOD(22+$C14+(0),$B$3)+1)*I14+INDEX(Symboles!$H$6:$H$101,MOD(22+$C14+(1),$B$3)+1)*J14+INDEX(Symboles!$H$6:$H$101,MOD(22+$C14+(2),$B$3)+1)*K14+INDEX(Symboles!$H$6:$H$101,MOD(22+$C14+(3),$B$3)+1)*L14+INDEX(Symboles!$H$6:$H$101,MOD(22+$C14+(4),$B$3)+1)*M14+IF($B$6=0,0,$B$6*NORMSINV(0.000001+0.999998*RAND())))</f>
        <v/>
      </c>
      <c r="EF14" s="30">
        <f>IF(24&gt;$B$3,99,INDEX(Symboles!$H$6:$H$101,MOD(23+$C14+(-4),$B$3)+1)*E14+INDEX(Symboles!$H$6:$H$101,MOD(23+$C14+(-3),$B$3)+1)*F14+INDEX(Symboles!$H$6:$H$101,MOD(23+$C14+(-2),$B$3)+1)*G14+INDEX(Symboles!$H$6:$H$101,MOD(23+$C14+(-1),$B$3)+1)*H14+INDEX(Symboles!$H$6:$H$101,MOD(23+$C14+(0),$B$3)+1)*I14+INDEX(Symboles!$H$6:$H$101,MOD(23+$C14+(1),$B$3)+1)*J14+INDEX(Symboles!$H$6:$H$101,MOD(23+$C14+(2),$B$3)+1)*K14+INDEX(Symboles!$H$6:$H$101,MOD(23+$C14+(3),$B$3)+1)*L14+INDEX(Symboles!$H$6:$H$101,MOD(23+$C14+(4),$B$3)+1)*M14+IF($B$6=0,0,$B$6*NORMSINV(0.000001+0.999998*RAND())))</f>
        <v/>
      </c>
      <c r="EG14" s="30">
        <f>IF(25&gt;$B$3,99,INDEX(Symboles!$H$6:$H$101,MOD(24+$C14+(-4),$B$3)+1)*E14+INDEX(Symboles!$H$6:$H$101,MOD(24+$C14+(-3),$B$3)+1)*F14+INDEX(Symboles!$H$6:$H$101,MOD(24+$C14+(-2),$B$3)+1)*G14+INDEX(Symboles!$H$6:$H$101,MOD(24+$C14+(-1),$B$3)+1)*H14+INDEX(Symboles!$H$6:$H$101,MOD(24+$C14+(0),$B$3)+1)*I14+INDEX(Symboles!$H$6:$H$101,MOD(24+$C14+(1),$B$3)+1)*J14+INDEX(Symboles!$H$6:$H$101,MOD(24+$C14+(2),$B$3)+1)*K14+INDEX(Symboles!$H$6:$H$101,MOD(24+$C14+(3),$B$3)+1)*L14+INDEX(Symboles!$H$6:$H$101,MOD(24+$C14+(4),$B$3)+1)*M14+IF($B$6=0,0,$B$6*NORMSINV(0.000001+0.999998*RAND())))</f>
        <v/>
      </c>
      <c r="EH14" s="30">
        <f>IF(26&gt;$B$3,99,INDEX(Symboles!$H$6:$H$101,MOD(25+$C14+(-4),$B$3)+1)*E14+INDEX(Symboles!$H$6:$H$101,MOD(25+$C14+(-3),$B$3)+1)*F14+INDEX(Symboles!$H$6:$H$101,MOD(25+$C14+(-2),$B$3)+1)*G14+INDEX(Symboles!$H$6:$H$101,MOD(25+$C14+(-1),$B$3)+1)*H14+INDEX(Symboles!$H$6:$H$101,MOD(25+$C14+(0),$B$3)+1)*I14+INDEX(Symboles!$H$6:$H$101,MOD(25+$C14+(1),$B$3)+1)*J14+INDEX(Symboles!$H$6:$H$101,MOD(25+$C14+(2),$B$3)+1)*K14+INDEX(Symboles!$H$6:$H$101,MOD(25+$C14+(3),$B$3)+1)*L14+INDEX(Symboles!$H$6:$H$101,MOD(25+$C14+(4),$B$3)+1)*M14+IF($B$6=0,0,$B$6*NORMSINV(0.000001+0.999998*RAND())))</f>
        <v/>
      </c>
      <c r="EI14" s="30">
        <f>IF(27&gt;$B$3,99,INDEX(Symboles!$H$6:$H$101,MOD(26+$C14+(-4),$B$3)+1)*E14+INDEX(Symboles!$H$6:$H$101,MOD(26+$C14+(-3),$B$3)+1)*F14+INDEX(Symboles!$H$6:$H$101,MOD(26+$C14+(-2),$B$3)+1)*G14+INDEX(Symboles!$H$6:$H$101,MOD(26+$C14+(-1),$B$3)+1)*H14+INDEX(Symboles!$H$6:$H$101,MOD(26+$C14+(0),$B$3)+1)*I14+INDEX(Symboles!$H$6:$H$101,MOD(26+$C14+(1),$B$3)+1)*J14+INDEX(Symboles!$H$6:$H$101,MOD(26+$C14+(2),$B$3)+1)*K14+INDEX(Symboles!$H$6:$H$101,MOD(26+$C14+(3),$B$3)+1)*L14+INDEX(Symboles!$H$6:$H$101,MOD(26+$C14+(4),$B$3)+1)*M14+IF($B$6=0,0,$B$6*NORMSINV(0.000001+0.999998*RAND())))</f>
        <v/>
      </c>
      <c r="EJ14" s="30">
        <f>IF(28&gt;$B$3,99,INDEX(Symboles!$H$6:$H$101,MOD(27+$C14+(-4),$B$3)+1)*E14+INDEX(Symboles!$H$6:$H$101,MOD(27+$C14+(-3),$B$3)+1)*F14+INDEX(Symboles!$H$6:$H$101,MOD(27+$C14+(-2),$B$3)+1)*G14+INDEX(Symboles!$H$6:$H$101,MOD(27+$C14+(-1),$B$3)+1)*H14+INDEX(Symboles!$H$6:$H$101,MOD(27+$C14+(0),$B$3)+1)*I14+INDEX(Symboles!$H$6:$H$101,MOD(27+$C14+(1),$B$3)+1)*J14+INDEX(Symboles!$H$6:$H$101,MOD(27+$C14+(2),$B$3)+1)*K14+INDEX(Symboles!$H$6:$H$101,MOD(27+$C14+(3),$B$3)+1)*L14+INDEX(Symboles!$H$6:$H$101,MOD(27+$C14+(4),$B$3)+1)*M14+IF($B$6=0,0,$B$6*NORMSINV(0.000001+0.999998*RAND())))</f>
        <v/>
      </c>
      <c r="EK14" s="30">
        <f>IF(29&gt;$B$3,99,INDEX(Symboles!$H$6:$H$101,MOD(28+$C14+(-4),$B$3)+1)*E14+INDEX(Symboles!$H$6:$H$101,MOD(28+$C14+(-3),$B$3)+1)*F14+INDEX(Symboles!$H$6:$H$101,MOD(28+$C14+(-2),$B$3)+1)*G14+INDEX(Symboles!$H$6:$H$101,MOD(28+$C14+(-1),$B$3)+1)*H14+INDEX(Symboles!$H$6:$H$101,MOD(28+$C14+(0),$B$3)+1)*I14+INDEX(Symboles!$H$6:$H$101,MOD(28+$C14+(1),$B$3)+1)*J14+INDEX(Symboles!$H$6:$H$101,MOD(28+$C14+(2),$B$3)+1)*K14+INDEX(Symboles!$H$6:$H$101,MOD(28+$C14+(3),$B$3)+1)*L14+INDEX(Symboles!$H$6:$H$101,MOD(28+$C14+(4),$B$3)+1)*M14+IF($B$6=0,0,$B$6*NORMSINV(0.000001+0.999998*RAND())))</f>
        <v/>
      </c>
      <c r="EL14" s="30">
        <f>IF(30&gt;$B$3,99,INDEX(Symboles!$H$6:$H$101,MOD(29+$C14+(-4),$B$3)+1)*E14+INDEX(Symboles!$H$6:$H$101,MOD(29+$C14+(-3),$B$3)+1)*F14+INDEX(Symboles!$H$6:$H$101,MOD(29+$C14+(-2),$B$3)+1)*G14+INDEX(Symboles!$H$6:$H$101,MOD(29+$C14+(-1),$B$3)+1)*H14+INDEX(Symboles!$H$6:$H$101,MOD(29+$C14+(0),$B$3)+1)*I14+INDEX(Symboles!$H$6:$H$101,MOD(29+$C14+(1),$B$3)+1)*J14+INDEX(Symboles!$H$6:$H$101,MOD(29+$C14+(2),$B$3)+1)*K14+INDEX(Symboles!$H$6:$H$101,MOD(29+$C14+(3),$B$3)+1)*L14+INDEX(Symboles!$H$6:$H$101,MOD(29+$C14+(4),$B$3)+1)*M14+IF($B$6=0,0,$B$6*NORMSINV(0.000001+0.999998*RAND())))</f>
        <v/>
      </c>
      <c r="EM14" s="30">
        <f>IF(31&gt;$B$3,99,INDEX(Symboles!$H$6:$H$101,MOD(30+$C14+(-4),$B$3)+1)*E14+INDEX(Symboles!$H$6:$H$101,MOD(30+$C14+(-3),$B$3)+1)*F14+INDEX(Symboles!$H$6:$H$101,MOD(30+$C14+(-2),$B$3)+1)*G14+INDEX(Symboles!$H$6:$H$101,MOD(30+$C14+(-1),$B$3)+1)*H14+INDEX(Symboles!$H$6:$H$101,MOD(30+$C14+(0),$B$3)+1)*I14+INDEX(Symboles!$H$6:$H$101,MOD(30+$C14+(1),$B$3)+1)*J14+INDEX(Symboles!$H$6:$H$101,MOD(30+$C14+(2),$B$3)+1)*K14+INDEX(Symboles!$H$6:$H$101,MOD(30+$C14+(3),$B$3)+1)*L14+INDEX(Symboles!$H$6:$H$101,MOD(30+$C14+(4),$B$3)+1)*M14+IF($B$6=0,0,$B$6*NORMSINV(0.000001+0.999998*RAND())))</f>
        <v/>
      </c>
      <c r="EN14" s="30">
        <f>IF(32&gt;$B$3,99,INDEX(Symboles!$H$6:$H$101,MOD(31+$C14+(-4),$B$3)+1)*E14+INDEX(Symboles!$H$6:$H$101,MOD(31+$C14+(-3),$B$3)+1)*F14+INDEX(Symboles!$H$6:$H$101,MOD(31+$C14+(-2),$B$3)+1)*G14+INDEX(Symboles!$H$6:$H$101,MOD(31+$C14+(-1),$B$3)+1)*H14+INDEX(Symboles!$H$6:$H$101,MOD(31+$C14+(0),$B$3)+1)*I14+INDEX(Symboles!$H$6:$H$101,MOD(31+$C14+(1),$B$3)+1)*J14+INDEX(Symboles!$H$6:$H$101,MOD(31+$C14+(2),$B$3)+1)*K14+INDEX(Symboles!$H$6:$H$101,MOD(31+$C14+(3),$B$3)+1)*L14+INDEX(Symboles!$H$6:$H$101,MOD(31+$C14+(4),$B$3)+1)*M14+IF($B$6=0,0,$B$6*NORMSINV(0.000001+0.999998*RAND())))</f>
        <v/>
      </c>
      <c r="EO14" s="30">
        <f>IF(33&gt;$B$3,99,INDEX(Symboles!$H$6:$H$101,MOD(32+$C14+(-4),$B$3)+1)*E14+INDEX(Symboles!$H$6:$H$101,MOD(32+$C14+(-3),$B$3)+1)*F14+INDEX(Symboles!$H$6:$H$101,MOD(32+$C14+(-2),$B$3)+1)*G14+INDEX(Symboles!$H$6:$H$101,MOD(32+$C14+(-1),$B$3)+1)*H14+INDEX(Symboles!$H$6:$H$101,MOD(32+$C14+(0),$B$3)+1)*I14+INDEX(Symboles!$H$6:$H$101,MOD(32+$C14+(1),$B$3)+1)*J14+INDEX(Symboles!$H$6:$H$101,MOD(32+$C14+(2),$B$3)+1)*K14+INDEX(Symboles!$H$6:$H$101,MOD(32+$C14+(3),$B$3)+1)*L14+INDEX(Symboles!$H$6:$H$101,MOD(32+$C14+(4),$B$3)+1)*M14+IF($B$6=0,0,$B$6*NORMSINV(0.000001+0.999998*RAND())))</f>
        <v/>
      </c>
      <c r="EP14" s="30">
        <f>IF(34&gt;$B$3,99,INDEX(Symboles!$H$6:$H$101,MOD(33+$C14+(-4),$B$3)+1)*E14+INDEX(Symboles!$H$6:$H$101,MOD(33+$C14+(-3),$B$3)+1)*F14+INDEX(Symboles!$H$6:$H$101,MOD(33+$C14+(-2),$B$3)+1)*G14+INDEX(Symboles!$H$6:$H$101,MOD(33+$C14+(-1),$B$3)+1)*H14+INDEX(Symboles!$H$6:$H$101,MOD(33+$C14+(0),$B$3)+1)*I14+INDEX(Symboles!$H$6:$H$101,MOD(33+$C14+(1),$B$3)+1)*J14+INDEX(Symboles!$H$6:$H$101,MOD(33+$C14+(2),$B$3)+1)*K14+INDEX(Symboles!$H$6:$H$101,MOD(33+$C14+(3),$B$3)+1)*L14+INDEX(Symboles!$H$6:$H$101,MOD(33+$C14+(4),$B$3)+1)*M14+IF($B$6=0,0,$B$6*NORMSINV(0.000001+0.999998*RAND())))</f>
        <v/>
      </c>
      <c r="EQ14" s="30">
        <f>IF(35&gt;$B$3,99,INDEX(Symboles!$H$6:$H$101,MOD(34+$C14+(-4),$B$3)+1)*E14+INDEX(Symboles!$H$6:$H$101,MOD(34+$C14+(-3),$B$3)+1)*F14+INDEX(Symboles!$H$6:$H$101,MOD(34+$C14+(-2),$B$3)+1)*G14+INDEX(Symboles!$H$6:$H$101,MOD(34+$C14+(-1),$B$3)+1)*H14+INDEX(Symboles!$H$6:$H$101,MOD(34+$C14+(0),$B$3)+1)*I14+INDEX(Symboles!$H$6:$H$101,MOD(34+$C14+(1),$B$3)+1)*J14+INDEX(Symboles!$H$6:$H$101,MOD(34+$C14+(2),$B$3)+1)*K14+INDEX(Symboles!$H$6:$H$101,MOD(34+$C14+(3),$B$3)+1)*L14+INDEX(Symboles!$H$6:$H$101,MOD(34+$C14+(4),$B$3)+1)*M14+IF($B$6=0,0,$B$6*NORMSINV(0.000001+0.999998*RAND())))</f>
        <v/>
      </c>
      <c r="ER14" s="30">
        <f>IF(36&gt;$B$3,99,INDEX(Symboles!$H$6:$H$101,MOD(35+$C14+(-4),$B$3)+1)*E14+INDEX(Symboles!$H$6:$H$101,MOD(35+$C14+(-3),$B$3)+1)*F14+INDEX(Symboles!$H$6:$H$101,MOD(35+$C14+(-2),$B$3)+1)*G14+INDEX(Symboles!$H$6:$H$101,MOD(35+$C14+(-1),$B$3)+1)*H14+INDEX(Symboles!$H$6:$H$101,MOD(35+$C14+(0),$B$3)+1)*I14+INDEX(Symboles!$H$6:$H$101,MOD(35+$C14+(1),$B$3)+1)*J14+INDEX(Symboles!$H$6:$H$101,MOD(35+$C14+(2),$B$3)+1)*K14+INDEX(Symboles!$H$6:$H$101,MOD(35+$C14+(3),$B$3)+1)*L14+INDEX(Symboles!$H$6:$H$101,MOD(35+$C14+(4),$B$3)+1)*M14+IF($B$6=0,0,$B$6*NORMSINV(0.000001+0.999998*RAND())))</f>
        <v/>
      </c>
      <c r="ES14" s="30">
        <f>IF(37&gt;$B$3,99,INDEX(Symboles!$H$6:$H$101,MOD(36+$C14+(-4),$B$3)+1)*E14+INDEX(Symboles!$H$6:$H$101,MOD(36+$C14+(-3),$B$3)+1)*F14+INDEX(Symboles!$H$6:$H$101,MOD(36+$C14+(-2),$B$3)+1)*G14+INDEX(Symboles!$H$6:$H$101,MOD(36+$C14+(-1),$B$3)+1)*H14+INDEX(Symboles!$H$6:$H$101,MOD(36+$C14+(0),$B$3)+1)*I14+INDEX(Symboles!$H$6:$H$101,MOD(36+$C14+(1),$B$3)+1)*J14+INDEX(Symboles!$H$6:$H$101,MOD(36+$C14+(2),$B$3)+1)*K14+INDEX(Symboles!$H$6:$H$101,MOD(36+$C14+(3),$B$3)+1)*L14+INDEX(Symboles!$H$6:$H$101,MOD(36+$C14+(4),$B$3)+1)*M14+IF($B$6=0,0,$B$6*NORMSINV(0.000001+0.999998*RAND())))</f>
        <v/>
      </c>
      <c r="ET14" s="30">
        <f>IF(38&gt;$B$3,99,INDEX(Symboles!$H$6:$H$101,MOD(37+$C14+(-4),$B$3)+1)*E14+INDEX(Symboles!$H$6:$H$101,MOD(37+$C14+(-3),$B$3)+1)*F14+INDEX(Symboles!$H$6:$H$101,MOD(37+$C14+(-2),$B$3)+1)*G14+INDEX(Symboles!$H$6:$H$101,MOD(37+$C14+(-1),$B$3)+1)*H14+INDEX(Symboles!$H$6:$H$101,MOD(37+$C14+(0),$B$3)+1)*I14+INDEX(Symboles!$H$6:$H$101,MOD(37+$C14+(1),$B$3)+1)*J14+INDEX(Symboles!$H$6:$H$101,MOD(37+$C14+(2),$B$3)+1)*K14+INDEX(Symboles!$H$6:$H$101,MOD(37+$C14+(3),$B$3)+1)*L14+INDEX(Symboles!$H$6:$H$101,MOD(37+$C14+(4),$B$3)+1)*M14+IF($B$6=0,0,$B$6*NORMSINV(0.000001+0.999998*RAND())))</f>
        <v/>
      </c>
      <c r="EU14" s="30">
        <f>IF(39&gt;$B$3,99,INDEX(Symboles!$H$6:$H$101,MOD(38+$C14+(-4),$B$3)+1)*E14+INDEX(Symboles!$H$6:$H$101,MOD(38+$C14+(-3),$B$3)+1)*F14+INDEX(Symboles!$H$6:$H$101,MOD(38+$C14+(-2),$B$3)+1)*G14+INDEX(Symboles!$H$6:$H$101,MOD(38+$C14+(-1),$B$3)+1)*H14+INDEX(Symboles!$H$6:$H$101,MOD(38+$C14+(0),$B$3)+1)*I14+INDEX(Symboles!$H$6:$H$101,MOD(38+$C14+(1),$B$3)+1)*J14+INDEX(Symboles!$H$6:$H$101,MOD(38+$C14+(2),$B$3)+1)*K14+INDEX(Symboles!$H$6:$H$101,MOD(38+$C14+(3),$B$3)+1)*L14+INDEX(Symboles!$H$6:$H$101,MOD(38+$C14+(4),$B$3)+1)*M14+IF($B$6=0,0,$B$6*NORMSINV(0.000001+0.999998*RAND())))</f>
        <v/>
      </c>
      <c r="EV14" s="30">
        <f>IF(40&gt;$B$3,99,INDEX(Symboles!$H$6:$H$101,MOD(39+$C14+(-4),$B$3)+1)*E14+INDEX(Symboles!$H$6:$H$101,MOD(39+$C14+(-3),$B$3)+1)*F14+INDEX(Symboles!$H$6:$H$101,MOD(39+$C14+(-2),$B$3)+1)*G14+INDEX(Symboles!$H$6:$H$101,MOD(39+$C14+(-1),$B$3)+1)*H14+INDEX(Symboles!$H$6:$H$101,MOD(39+$C14+(0),$B$3)+1)*I14+INDEX(Symboles!$H$6:$H$101,MOD(39+$C14+(1),$B$3)+1)*J14+INDEX(Symboles!$H$6:$H$101,MOD(39+$C14+(2),$B$3)+1)*K14+INDEX(Symboles!$H$6:$H$101,MOD(39+$C14+(3),$B$3)+1)*L14+INDEX(Symboles!$H$6:$H$101,MOD(39+$C14+(4),$B$3)+1)*M14+IF($B$6=0,0,$B$6*NORMSINV(0.000001+0.999998*RAND())))</f>
        <v/>
      </c>
      <c r="EW14" s="30">
        <f>IF(41&gt;$B$3,99,INDEX(Symboles!$H$6:$H$101,MOD(40+$C14+(-4),$B$3)+1)*E14+INDEX(Symboles!$H$6:$H$101,MOD(40+$C14+(-3),$B$3)+1)*F14+INDEX(Symboles!$H$6:$H$101,MOD(40+$C14+(-2),$B$3)+1)*G14+INDEX(Symboles!$H$6:$H$101,MOD(40+$C14+(-1),$B$3)+1)*H14+INDEX(Symboles!$H$6:$H$101,MOD(40+$C14+(0),$B$3)+1)*I14+INDEX(Symboles!$H$6:$H$101,MOD(40+$C14+(1),$B$3)+1)*J14+INDEX(Symboles!$H$6:$H$101,MOD(40+$C14+(2),$B$3)+1)*K14+INDEX(Symboles!$H$6:$H$101,MOD(40+$C14+(3),$B$3)+1)*L14+INDEX(Symboles!$H$6:$H$101,MOD(40+$C14+(4),$B$3)+1)*M14+IF($B$6=0,0,$B$6*NORMSINV(0.000001+0.999998*RAND())))</f>
        <v/>
      </c>
      <c r="EX14" s="30">
        <f>IF(42&gt;$B$3,99,INDEX(Symboles!$H$6:$H$101,MOD(41+$C14+(-4),$B$3)+1)*E14+INDEX(Symboles!$H$6:$H$101,MOD(41+$C14+(-3),$B$3)+1)*F14+INDEX(Symboles!$H$6:$H$101,MOD(41+$C14+(-2),$B$3)+1)*G14+INDEX(Symboles!$H$6:$H$101,MOD(41+$C14+(-1),$B$3)+1)*H14+INDEX(Symboles!$H$6:$H$101,MOD(41+$C14+(0),$B$3)+1)*I14+INDEX(Symboles!$H$6:$H$101,MOD(41+$C14+(1),$B$3)+1)*J14+INDEX(Symboles!$H$6:$H$101,MOD(41+$C14+(2),$B$3)+1)*K14+INDEX(Symboles!$H$6:$H$101,MOD(41+$C14+(3),$B$3)+1)*L14+INDEX(Symboles!$H$6:$H$101,MOD(41+$C14+(4),$B$3)+1)*M14+IF($B$6=0,0,$B$6*NORMSINV(0.000001+0.999998*RAND())))</f>
        <v/>
      </c>
      <c r="EY14" s="30">
        <f>IF(43&gt;$B$3,99,INDEX(Symboles!$H$6:$H$101,MOD(42+$C14+(-4),$B$3)+1)*E14+INDEX(Symboles!$H$6:$H$101,MOD(42+$C14+(-3),$B$3)+1)*F14+INDEX(Symboles!$H$6:$H$101,MOD(42+$C14+(-2),$B$3)+1)*G14+INDEX(Symboles!$H$6:$H$101,MOD(42+$C14+(-1),$B$3)+1)*H14+INDEX(Symboles!$H$6:$H$101,MOD(42+$C14+(0),$B$3)+1)*I14+INDEX(Symboles!$H$6:$H$101,MOD(42+$C14+(1),$B$3)+1)*J14+INDEX(Symboles!$H$6:$H$101,MOD(42+$C14+(2),$B$3)+1)*K14+INDEX(Symboles!$H$6:$H$101,MOD(42+$C14+(3),$B$3)+1)*L14+INDEX(Symboles!$H$6:$H$101,MOD(42+$C14+(4),$B$3)+1)*M14+IF($B$6=0,0,$B$6*NORMSINV(0.000001+0.999998*RAND())))</f>
        <v/>
      </c>
      <c r="EZ14" s="30">
        <f>IF(44&gt;$B$3,99,INDEX(Symboles!$H$6:$H$101,MOD(43+$C14+(-4),$B$3)+1)*E14+INDEX(Symboles!$H$6:$H$101,MOD(43+$C14+(-3),$B$3)+1)*F14+INDEX(Symboles!$H$6:$H$101,MOD(43+$C14+(-2),$B$3)+1)*G14+INDEX(Symboles!$H$6:$H$101,MOD(43+$C14+(-1),$B$3)+1)*H14+INDEX(Symboles!$H$6:$H$101,MOD(43+$C14+(0),$B$3)+1)*I14+INDEX(Symboles!$H$6:$H$101,MOD(43+$C14+(1),$B$3)+1)*J14+INDEX(Symboles!$H$6:$H$101,MOD(43+$C14+(2),$B$3)+1)*K14+INDEX(Symboles!$H$6:$H$101,MOD(43+$C14+(3),$B$3)+1)*L14+INDEX(Symboles!$H$6:$H$101,MOD(43+$C14+(4),$B$3)+1)*M14+IF($B$6=0,0,$B$6*NORMSINV(0.000001+0.999998*RAND())))</f>
        <v/>
      </c>
      <c r="FA14" s="30">
        <f>IF(45&gt;$B$3,99,INDEX(Symboles!$H$6:$H$101,MOD(44+$C14+(-4),$B$3)+1)*E14+INDEX(Symboles!$H$6:$H$101,MOD(44+$C14+(-3),$B$3)+1)*F14+INDEX(Symboles!$H$6:$H$101,MOD(44+$C14+(-2),$B$3)+1)*G14+INDEX(Symboles!$H$6:$H$101,MOD(44+$C14+(-1),$B$3)+1)*H14+INDEX(Symboles!$H$6:$H$101,MOD(44+$C14+(0),$B$3)+1)*I14+INDEX(Symboles!$H$6:$H$101,MOD(44+$C14+(1),$B$3)+1)*J14+INDEX(Symboles!$H$6:$H$101,MOD(44+$C14+(2),$B$3)+1)*K14+INDEX(Symboles!$H$6:$H$101,MOD(44+$C14+(3),$B$3)+1)*L14+INDEX(Symboles!$H$6:$H$101,MOD(44+$C14+(4),$B$3)+1)*M14+IF($B$6=0,0,$B$6*NORMSINV(0.000001+0.999998*RAND())))</f>
        <v/>
      </c>
      <c r="FB14" s="30">
        <f>IF(46&gt;$B$3,99,INDEX(Symboles!$H$6:$H$101,MOD(45+$C14+(-4),$B$3)+1)*E14+INDEX(Symboles!$H$6:$H$101,MOD(45+$C14+(-3),$B$3)+1)*F14+INDEX(Symboles!$H$6:$H$101,MOD(45+$C14+(-2),$B$3)+1)*G14+INDEX(Symboles!$H$6:$H$101,MOD(45+$C14+(-1),$B$3)+1)*H14+INDEX(Symboles!$H$6:$H$101,MOD(45+$C14+(0),$B$3)+1)*I14+INDEX(Symboles!$H$6:$H$101,MOD(45+$C14+(1),$B$3)+1)*J14+INDEX(Symboles!$H$6:$H$101,MOD(45+$C14+(2),$B$3)+1)*K14+INDEX(Symboles!$H$6:$H$101,MOD(45+$C14+(3),$B$3)+1)*L14+INDEX(Symboles!$H$6:$H$101,MOD(45+$C14+(4),$B$3)+1)*M14+IF($B$6=0,0,$B$6*NORMSINV(0.000001+0.999998*RAND())))</f>
        <v/>
      </c>
      <c r="FC14" s="30">
        <f>IF(47&gt;$B$3,99,INDEX(Symboles!$H$6:$H$101,MOD(46+$C14+(-4),$B$3)+1)*E14+INDEX(Symboles!$H$6:$H$101,MOD(46+$C14+(-3),$B$3)+1)*F14+INDEX(Symboles!$H$6:$H$101,MOD(46+$C14+(-2),$B$3)+1)*G14+INDEX(Symboles!$H$6:$H$101,MOD(46+$C14+(-1),$B$3)+1)*H14+INDEX(Symboles!$H$6:$H$101,MOD(46+$C14+(0),$B$3)+1)*I14+INDEX(Symboles!$H$6:$H$101,MOD(46+$C14+(1),$B$3)+1)*J14+INDEX(Symboles!$H$6:$H$101,MOD(46+$C14+(2),$B$3)+1)*K14+INDEX(Symboles!$H$6:$H$101,MOD(46+$C14+(3),$B$3)+1)*L14+INDEX(Symboles!$H$6:$H$101,MOD(46+$C14+(4),$B$3)+1)*M14+IF($B$6=0,0,$B$6*NORMSINV(0.000001+0.999998*RAND())))</f>
        <v/>
      </c>
      <c r="FD14" s="30">
        <f>IF(48&gt;$B$3,99,INDEX(Symboles!$H$6:$H$101,MOD(47+$C14+(-4),$B$3)+1)*E14+INDEX(Symboles!$H$6:$H$101,MOD(47+$C14+(-3),$B$3)+1)*F14+INDEX(Symboles!$H$6:$H$101,MOD(47+$C14+(-2),$B$3)+1)*G14+INDEX(Symboles!$H$6:$H$101,MOD(47+$C14+(-1),$B$3)+1)*H14+INDEX(Symboles!$H$6:$H$101,MOD(47+$C14+(0),$B$3)+1)*I14+INDEX(Symboles!$H$6:$H$101,MOD(47+$C14+(1),$B$3)+1)*J14+INDEX(Symboles!$H$6:$H$101,MOD(47+$C14+(2),$B$3)+1)*K14+INDEX(Symboles!$H$6:$H$101,MOD(47+$C14+(3),$B$3)+1)*L14+INDEX(Symboles!$H$6:$H$101,MOD(47+$C14+(4),$B$3)+1)*M14+IF($B$6=0,0,$B$6*NORMSINV(0.000001+0.999998*RAND())))</f>
        <v/>
      </c>
      <c r="FE14" s="30">
        <f>IF(49&gt;$B$3,99,INDEX(Symboles!$H$6:$H$101,MOD(48+$C14+(-4),$B$3)+1)*E14+INDEX(Symboles!$H$6:$H$101,MOD(48+$C14+(-3),$B$3)+1)*F14+INDEX(Symboles!$H$6:$H$101,MOD(48+$C14+(-2),$B$3)+1)*G14+INDEX(Symboles!$H$6:$H$101,MOD(48+$C14+(-1),$B$3)+1)*H14+INDEX(Symboles!$H$6:$H$101,MOD(48+$C14+(0),$B$3)+1)*I14+INDEX(Symboles!$H$6:$H$101,MOD(48+$C14+(1),$B$3)+1)*J14+INDEX(Symboles!$H$6:$H$101,MOD(48+$C14+(2),$B$3)+1)*K14+INDEX(Symboles!$H$6:$H$101,MOD(48+$C14+(3),$B$3)+1)*L14+INDEX(Symboles!$H$6:$H$101,MOD(48+$C14+(4),$B$3)+1)*M14+IF($B$6=0,0,$B$6*NORMSINV(0.000001+0.999998*RAND())))</f>
        <v/>
      </c>
      <c r="FF14" s="30">
        <f>IF(50&gt;$B$3,99,INDEX(Symboles!$H$6:$H$101,MOD(49+$C14+(-4),$B$3)+1)*E14+INDEX(Symboles!$H$6:$H$101,MOD(49+$C14+(-3),$B$3)+1)*F14+INDEX(Symboles!$H$6:$H$101,MOD(49+$C14+(-2),$B$3)+1)*G14+INDEX(Symboles!$H$6:$H$101,MOD(49+$C14+(-1),$B$3)+1)*H14+INDEX(Symboles!$H$6:$H$101,MOD(49+$C14+(0),$B$3)+1)*I14+INDEX(Symboles!$H$6:$H$101,MOD(49+$C14+(1),$B$3)+1)*J14+INDEX(Symboles!$H$6:$H$101,MOD(49+$C14+(2),$B$3)+1)*K14+INDEX(Symboles!$H$6:$H$101,MOD(49+$C14+(3),$B$3)+1)*L14+INDEX(Symboles!$H$6:$H$101,MOD(49+$C14+(4),$B$3)+1)*M14+IF($B$6=0,0,$B$6*NORMSINV(0.000001+0.999998*RAND())))</f>
        <v/>
      </c>
      <c r="FG14" s="30">
        <f>IF(51&gt;$B$3,99,INDEX(Symboles!$H$6:$H$101,MOD(50+$C14+(-4),$B$3)+1)*E14+INDEX(Symboles!$H$6:$H$101,MOD(50+$C14+(-3),$B$3)+1)*F14+INDEX(Symboles!$H$6:$H$101,MOD(50+$C14+(-2),$B$3)+1)*G14+INDEX(Symboles!$H$6:$H$101,MOD(50+$C14+(-1),$B$3)+1)*H14+INDEX(Symboles!$H$6:$H$101,MOD(50+$C14+(0),$B$3)+1)*I14+INDEX(Symboles!$H$6:$H$101,MOD(50+$C14+(1),$B$3)+1)*J14+INDEX(Symboles!$H$6:$H$101,MOD(50+$C14+(2),$B$3)+1)*K14+INDEX(Symboles!$H$6:$H$101,MOD(50+$C14+(3),$B$3)+1)*L14+INDEX(Symboles!$H$6:$H$101,MOD(50+$C14+(4),$B$3)+1)*M14+IF($B$6=0,0,$B$6*NORMSINV(0.000001+0.999998*RAND())))</f>
        <v/>
      </c>
      <c r="FH14" s="30">
        <f>IF(52&gt;$B$3,99,INDEX(Symboles!$H$6:$H$101,MOD(51+$C14+(-4),$B$3)+1)*E14+INDEX(Symboles!$H$6:$H$101,MOD(51+$C14+(-3),$B$3)+1)*F14+INDEX(Symboles!$H$6:$H$101,MOD(51+$C14+(-2),$B$3)+1)*G14+INDEX(Symboles!$H$6:$H$101,MOD(51+$C14+(-1),$B$3)+1)*H14+INDEX(Symboles!$H$6:$H$101,MOD(51+$C14+(0),$B$3)+1)*I14+INDEX(Symboles!$H$6:$H$101,MOD(51+$C14+(1),$B$3)+1)*J14+INDEX(Symboles!$H$6:$H$101,MOD(51+$C14+(2),$B$3)+1)*K14+INDEX(Symboles!$H$6:$H$101,MOD(51+$C14+(3),$B$3)+1)*L14+INDEX(Symboles!$H$6:$H$101,MOD(51+$C14+(4),$B$3)+1)*M14+IF($B$6=0,0,$B$6*NORMSINV(0.000001+0.999998*RAND())))</f>
        <v/>
      </c>
      <c r="FI14" s="30">
        <f>IF(53&gt;$B$3,99,INDEX(Symboles!$H$6:$H$101,MOD(52+$C14+(-4),$B$3)+1)*E14+INDEX(Symboles!$H$6:$H$101,MOD(52+$C14+(-3),$B$3)+1)*F14+INDEX(Symboles!$H$6:$H$101,MOD(52+$C14+(-2),$B$3)+1)*G14+INDEX(Symboles!$H$6:$H$101,MOD(52+$C14+(-1),$B$3)+1)*H14+INDEX(Symboles!$H$6:$H$101,MOD(52+$C14+(0),$B$3)+1)*I14+INDEX(Symboles!$H$6:$H$101,MOD(52+$C14+(1),$B$3)+1)*J14+INDEX(Symboles!$H$6:$H$101,MOD(52+$C14+(2),$B$3)+1)*K14+INDEX(Symboles!$H$6:$H$101,MOD(52+$C14+(3),$B$3)+1)*L14+INDEX(Symboles!$H$6:$H$101,MOD(52+$C14+(4),$B$3)+1)*M14+IF($B$6=0,0,$B$6*NORMSINV(0.000001+0.999998*RAND())))</f>
        <v/>
      </c>
      <c r="FJ14" s="30">
        <f>IF(54&gt;$B$3,99,INDEX(Symboles!$H$6:$H$101,MOD(53+$C14+(-4),$B$3)+1)*E14+INDEX(Symboles!$H$6:$H$101,MOD(53+$C14+(-3),$B$3)+1)*F14+INDEX(Symboles!$H$6:$H$101,MOD(53+$C14+(-2),$B$3)+1)*G14+INDEX(Symboles!$H$6:$H$101,MOD(53+$C14+(-1),$B$3)+1)*H14+INDEX(Symboles!$H$6:$H$101,MOD(53+$C14+(0),$B$3)+1)*I14+INDEX(Symboles!$H$6:$H$101,MOD(53+$C14+(1),$B$3)+1)*J14+INDEX(Symboles!$H$6:$H$101,MOD(53+$C14+(2),$B$3)+1)*K14+INDEX(Symboles!$H$6:$H$101,MOD(53+$C14+(3),$B$3)+1)*L14+INDEX(Symboles!$H$6:$H$101,MOD(53+$C14+(4),$B$3)+1)*M14+IF($B$6=0,0,$B$6*NORMSINV(0.000001+0.999998*RAND())))</f>
        <v/>
      </c>
      <c r="FK14" s="30">
        <f>IF(55&gt;$B$3,99,INDEX(Symboles!$H$6:$H$101,MOD(54+$C14+(-4),$B$3)+1)*E14+INDEX(Symboles!$H$6:$H$101,MOD(54+$C14+(-3),$B$3)+1)*F14+INDEX(Symboles!$H$6:$H$101,MOD(54+$C14+(-2),$B$3)+1)*G14+INDEX(Symboles!$H$6:$H$101,MOD(54+$C14+(-1),$B$3)+1)*H14+INDEX(Symboles!$H$6:$H$101,MOD(54+$C14+(0),$B$3)+1)*I14+INDEX(Symboles!$H$6:$H$101,MOD(54+$C14+(1),$B$3)+1)*J14+INDEX(Symboles!$H$6:$H$101,MOD(54+$C14+(2),$B$3)+1)*K14+INDEX(Symboles!$H$6:$H$101,MOD(54+$C14+(3),$B$3)+1)*L14+INDEX(Symboles!$H$6:$H$101,MOD(54+$C14+(4),$B$3)+1)*M14+IF($B$6=0,0,$B$6*NORMSINV(0.000001+0.999998*RAND())))</f>
        <v/>
      </c>
      <c r="FL14" s="30">
        <f>IF(56&gt;$B$3,99,INDEX(Symboles!$H$6:$H$101,MOD(55+$C14+(-4),$B$3)+1)*E14+INDEX(Symboles!$H$6:$H$101,MOD(55+$C14+(-3),$B$3)+1)*F14+INDEX(Symboles!$H$6:$H$101,MOD(55+$C14+(-2),$B$3)+1)*G14+INDEX(Symboles!$H$6:$H$101,MOD(55+$C14+(-1),$B$3)+1)*H14+INDEX(Symboles!$H$6:$H$101,MOD(55+$C14+(0),$B$3)+1)*I14+INDEX(Symboles!$H$6:$H$101,MOD(55+$C14+(1),$B$3)+1)*J14+INDEX(Symboles!$H$6:$H$101,MOD(55+$C14+(2),$B$3)+1)*K14+INDEX(Symboles!$H$6:$H$101,MOD(55+$C14+(3),$B$3)+1)*L14+INDEX(Symboles!$H$6:$H$101,MOD(55+$C14+(4),$B$3)+1)*M14+IF($B$6=0,0,$B$6*NORMSINV(0.000001+0.999998*RAND())))</f>
        <v/>
      </c>
      <c r="FM14" s="30">
        <f>IF(57&gt;$B$3,99,INDEX(Symboles!$H$6:$H$101,MOD(56+$C14+(-4),$B$3)+1)*E14+INDEX(Symboles!$H$6:$H$101,MOD(56+$C14+(-3),$B$3)+1)*F14+INDEX(Symboles!$H$6:$H$101,MOD(56+$C14+(-2),$B$3)+1)*G14+INDEX(Symboles!$H$6:$H$101,MOD(56+$C14+(-1),$B$3)+1)*H14+INDEX(Symboles!$H$6:$H$101,MOD(56+$C14+(0),$B$3)+1)*I14+INDEX(Symboles!$H$6:$H$101,MOD(56+$C14+(1),$B$3)+1)*J14+INDEX(Symboles!$H$6:$H$101,MOD(56+$C14+(2),$B$3)+1)*K14+INDEX(Symboles!$H$6:$H$101,MOD(56+$C14+(3),$B$3)+1)*L14+INDEX(Symboles!$H$6:$H$101,MOD(56+$C14+(4),$B$3)+1)*M14+IF($B$6=0,0,$B$6*NORMSINV(0.000001+0.999998*RAND())))</f>
        <v/>
      </c>
      <c r="FN14" s="30">
        <f>IF(58&gt;$B$3,99,INDEX(Symboles!$H$6:$H$101,MOD(57+$C14+(-4),$B$3)+1)*E14+INDEX(Symboles!$H$6:$H$101,MOD(57+$C14+(-3),$B$3)+1)*F14+INDEX(Symboles!$H$6:$H$101,MOD(57+$C14+(-2),$B$3)+1)*G14+INDEX(Symboles!$H$6:$H$101,MOD(57+$C14+(-1),$B$3)+1)*H14+INDEX(Symboles!$H$6:$H$101,MOD(57+$C14+(0),$B$3)+1)*I14+INDEX(Symboles!$H$6:$H$101,MOD(57+$C14+(1),$B$3)+1)*J14+INDEX(Symboles!$H$6:$H$101,MOD(57+$C14+(2),$B$3)+1)*K14+INDEX(Symboles!$H$6:$H$101,MOD(57+$C14+(3),$B$3)+1)*L14+INDEX(Symboles!$H$6:$H$101,MOD(57+$C14+(4),$B$3)+1)*M14+IF($B$6=0,0,$B$6*NORMSINV(0.000001+0.999998*RAND())))</f>
        <v/>
      </c>
      <c r="FO14" s="30">
        <f>IF(59&gt;$B$3,99,INDEX(Symboles!$H$6:$H$101,MOD(58+$C14+(-4),$B$3)+1)*E14+INDEX(Symboles!$H$6:$H$101,MOD(58+$C14+(-3),$B$3)+1)*F14+INDEX(Symboles!$H$6:$H$101,MOD(58+$C14+(-2),$B$3)+1)*G14+INDEX(Symboles!$H$6:$H$101,MOD(58+$C14+(-1),$B$3)+1)*H14+INDEX(Symboles!$H$6:$H$101,MOD(58+$C14+(0),$B$3)+1)*I14+INDEX(Symboles!$H$6:$H$101,MOD(58+$C14+(1),$B$3)+1)*J14+INDEX(Symboles!$H$6:$H$101,MOD(58+$C14+(2),$B$3)+1)*K14+INDEX(Symboles!$H$6:$H$101,MOD(58+$C14+(3),$B$3)+1)*L14+INDEX(Symboles!$H$6:$H$101,MOD(58+$C14+(4),$B$3)+1)*M14+IF($B$6=0,0,$B$6*NORMSINV(0.000001+0.999998*RAND())))</f>
        <v/>
      </c>
      <c r="FP14" s="30">
        <f>IF(60&gt;$B$3,99,INDEX(Symboles!$H$6:$H$101,MOD(59+$C14+(-4),$B$3)+1)*E14+INDEX(Symboles!$H$6:$H$101,MOD(59+$C14+(-3),$B$3)+1)*F14+INDEX(Symboles!$H$6:$H$101,MOD(59+$C14+(-2),$B$3)+1)*G14+INDEX(Symboles!$H$6:$H$101,MOD(59+$C14+(-1),$B$3)+1)*H14+INDEX(Symboles!$H$6:$H$101,MOD(59+$C14+(0),$B$3)+1)*I14+INDEX(Symboles!$H$6:$H$101,MOD(59+$C14+(1),$B$3)+1)*J14+INDEX(Symboles!$H$6:$H$101,MOD(59+$C14+(2),$B$3)+1)*K14+INDEX(Symboles!$H$6:$H$101,MOD(59+$C14+(3),$B$3)+1)*L14+INDEX(Symboles!$H$6:$H$101,MOD(59+$C14+(4),$B$3)+1)*M14+IF($B$6=0,0,$B$6*NORMSINV(0.000001+0.999998*RAND())))</f>
        <v/>
      </c>
      <c r="FQ14" s="30">
        <f>IF(61&gt;$B$3,99,INDEX(Symboles!$H$6:$H$101,MOD(60+$C14+(-4),$B$3)+1)*E14+INDEX(Symboles!$H$6:$H$101,MOD(60+$C14+(-3),$B$3)+1)*F14+INDEX(Symboles!$H$6:$H$101,MOD(60+$C14+(-2),$B$3)+1)*G14+INDEX(Symboles!$H$6:$H$101,MOD(60+$C14+(-1),$B$3)+1)*H14+INDEX(Symboles!$H$6:$H$101,MOD(60+$C14+(0),$B$3)+1)*I14+INDEX(Symboles!$H$6:$H$101,MOD(60+$C14+(1),$B$3)+1)*J14+INDEX(Symboles!$H$6:$H$101,MOD(60+$C14+(2),$B$3)+1)*K14+INDEX(Symboles!$H$6:$H$101,MOD(60+$C14+(3),$B$3)+1)*L14+INDEX(Symboles!$H$6:$H$101,MOD(60+$C14+(4),$B$3)+1)*M14+IF($B$6=0,0,$B$6*NORMSINV(0.000001+0.999998*RAND())))</f>
        <v/>
      </c>
      <c r="FR14" s="30">
        <f>IF(62&gt;$B$3,99,INDEX(Symboles!$H$6:$H$101,MOD(61+$C14+(-4),$B$3)+1)*E14+INDEX(Symboles!$H$6:$H$101,MOD(61+$C14+(-3),$B$3)+1)*F14+INDEX(Symboles!$H$6:$H$101,MOD(61+$C14+(-2),$B$3)+1)*G14+INDEX(Symboles!$H$6:$H$101,MOD(61+$C14+(-1),$B$3)+1)*H14+INDEX(Symboles!$H$6:$H$101,MOD(61+$C14+(0),$B$3)+1)*I14+INDEX(Symboles!$H$6:$H$101,MOD(61+$C14+(1),$B$3)+1)*J14+INDEX(Symboles!$H$6:$H$101,MOD(61+$C14+(2),$B$3)+1)*K14+INDEX(Symboles!$H$6:$H$101,MOD(61+$C14+(3),$B$3)+1)*L14+INDEX(Symboles!$H$6:$H$101,MOD(61+$C14+(4),$B$3)+1)*M14+IF($B$6=0,0,$B$6*NORMSINV(0.000001+0.999998*RAND())))</f>
        <v/>
      </c>
      <c r="FS14" s="30">
        <f>IF(63&gt;$B$3,99,INDEX(Symboles!$H$6:$H$101,MOD(62+$C14+(-4),$B$3)+1)*E14+INDEX(Symboles!$H$6:$H$101,MOD(62+$C14+(-3),$B$3)+1)*F14+INDEX(Symboles!$H$6:$H$101,MOD(62+$C14+(-2),$B$3)+1)*G14+INDEX(Symboles!$H$6:$H$101,MOD(62+$C14+(-1),$B$3)+1)*H14+INDEX(Symboles!$H$6:$H$101,MOD(62+$C14+(0),$B$3)+1)*I14+INDEX(Symboles!$H$6:$H$101,MOD(62+$C14+(1),$B$3)+1)*J14+INDEX(Symboles!$H$6:$H$101,MOD(62+$C14+(2),$B$3)+1)*K14+INDEX(Symboles!$H$6:$H$101,MOD(62+$C14+(3),$B$3)+1)*L14+INDEX(Symboles!$H$6:$H$101,MOD(62+$C14+(4),$B$3)+1)*M14+IF($B$6=0,0,$B$6*NORMSINV(0.000001+0.999998*RAND())))</f>
        <v/>
      </c>
      <c r="FT14" s="30">
        <f>IF(64&gt;$B$3,99,INDEX(Symboles!$H$6:$H$101,MOD(63+$C14+(-4),$B$3)+1)*E14+INDEX(Symboles!$H$6:$H$101,MOD(63+$C14+(-3),$B$3)+1)*F14+INDEX(Symboles!$H$6:$H$101,MOD(63+$C14+(-2),$B$3)+1)*G14+INDEX(Symboles!$H$6:$H$101,MOD(63+$C14+(-1),$B$3)+1)*H14+INDEX(Symboles!$H$6:$H$101,MOD(63+$C14+(0),$B$3)+1)*I14+INDEX(Symboles!$H$6:$H$101,MOD(63+$C14+(1),$B$3)+1)*J14+INDEX(Symboles!$H$6:$H$101,MOD(63+$C14+(2),$B$3)+1)*K14+INDEX(Symboles!$H$6:$H$101,MOD(63+$C14+(3),$B$3)+1)*L14+INDEX(Symboles!$H$6:$H$101,MOD(63+$C14+(4),$B$3)+1)*M14+IF($B$6=0,0,$B$6*NORMSINV(0.000001+0.999998*RAND())))</f>
        <v/>
      </c>
      <c r="FU14" s="30">
        <f>IF(65&gt;$B$3,99,INDEX(Symboles!$H$6:$H$101,MOD(64+$C14+(-4),$B$3)+1)*E14+INDEX(Symboles!$H$6:$H$101,MOD(64+$C14+(-3),$B$3)+1)*F14+INDEX(Symboles!$H$6:$H$101,MOD(64+$C14+(-2),$B$3)+1)*G14+INDEX(Symboles!$H$6:$H$101,MOD(64+$C14+(-1),$B$3)+1)*H14+INDEX(Symboles!$H$6:$H$101,MOD(64+$C14+(0),$B$3)+1)*I14+INDEX(Symboles!$H$6:$H$101,MOD(64+$C14+(1),$B$3)+1)*J14+INDEX(Symboles!$H$6:$H$101,MOD(64+$C14+(2),$B$3)+1)*K14+INDEX(Symboles!$H$6:$H$101,MOD(64+$C14+(3),$B$3)+1)*L14+INDEX(Symboles!$H$6:$H$101,MOD(64+$C14+(4),$B$3)+1)*M14+IF($B$6=0,0,$B$6*NORMSINV(0.000001+0.999998*RAND())))</f>
        <v/>
      </c>
      <c r="FV14" s="30">
        <f>IF(66&gt;$B$3,99,INDEX(Symboles!$H$6:$H$101,MOD(65+$C14+(-4),$B$3)+1)*E14+INDEX(Symboles!$H$6:$H$101,MOD(65+$C14+(-3),$B$3)+1)*F14+INDEX(Symboles!$H$6:$H$101,MOD(65+$C14+(-2),$B$3)+1)*G14+INDEX(Symboles!$H$6:$H$101,MOD(65+$C14+(-1),$B$3)+1)*H14+INDEX(Symboles!$H$6:$H$101,MOD(65+$C14+(0),$B$3)+1)*I14+INDEX(Symboles!$H$6:$H$101,MOD(65+$C14+(1),$B$3)+1)*J14+INDEX(Symboles!$H$6:$H$101,MOD(65+$C14+(2),$B$3)+1)*K14+INDEX(Symboles!$H$6:$H$101,MOD(65+$C14+(3),$B$3)+1)*L14+INDEX(Symboles!$H$6:$H$101,MOD(65+$C14+(4),$B$3)+1)*M14+IF($B$6=0,0,$B$6*NORMSINV(0.000001+0.999998*RAND())))</f>
        <v/>
      </c>
      <c r="FW14" s="30">
        <f>IF(67&gt;$B$3,99,INDEX(Symboles!$H$6:$H$101,MOD(66+$C14+(-4),$B$3)+1)*E14+INDEX(Symboles!$H$6:$H$101,MOD(66+$C14+(-3),$B$3)+1)*F14+INDEX(Symboles!$H$6:$H$101,MOD(66+$C14+(-2),$B$3)+1)*G14+INDEX(Symboles!$H$6:$H$101,MOD(66+$C14+(-1),$B$3)+1)*H14+INDEX(Symboles!$H$6:$H$101,MOD(66+$C14+(0),$B$3)+1)*I14+INDEX(Symboles!$H$6:$H$101,MOD(66+$C14+(1),$B$3)+1)*J14+INDEX(Symboles!$H$6:$H$101,MOD(66+$C14+(2),$B$3)+1)*K14+INDEX(Symboles!$H$6:$H$101,MOD(66+$C14+(3),$B$3)+1)*L14+INDEX(Symboles!$H$6:$H$101,MOD(66+$C14+(4),$B$3)+1)*M14+IF($B$6=0,0,$B$6*NORMSINV(0.000001+0.999998*RAND())))</f>
        <v/>
      </c>
      <c r="FX14" s="30">
        <f>IF(68&gt;$B$3,99,INDEX(Symboles!$H$6:$H$101,MOD(67+$C14+(-4),$B$3)+1)*E14+INDEX(Symboles!$H$6:$H$101,MOD(67+$C14+(-3),$B$3)+1)*F14+INDEX(Symboles!$H$6:$H$101,MOD(67+$C14+(-2),$B$3)+1)*G14+INDEX(Symboles!$H$6:$H$101,MOD(67+$C14+(-1),$B$3)+1)*H14+INDEX(Symboles!$H$6:$H$101,MOD(67+$C14+(0),$B$3)+1)*I14+INDEX(Symboles!$H$6:$H$101,MOD(67+$C14+(1),$B$3)+1)*J14+INDEX(Symboles!$H$6:$H$101,MOD(67+$C14+(2),$B$3)+1)*K14+INDEX(Symboles!$H$6:$H$101,MOD(67+$C14+(3),$B$3)+1)*L14+INDEX(Symboles!$H$6:$H$101,MOD(67+$C14+(4),$B$3)+1)*M14+IF($B$6=0,0,$B$6*NORMSINV(0.000001+0.999998*RAND())))</f>
        <v/>
      </c>
      <c r="FY14" s="30">
        <f>IF(69&gt;$B$3,99,INDEX(Symboles!$H$6:$H$101,MOD(68+$C14+(-4),$B$3)+1)*E14+INDEX(Symboles!$H$6:$H$101,MOD(68+$C14+(-3),$B$3)+1)*F14+INDEX(Symboles!$H$6:$H$101,MOD(68+$C14+(-2),$B$3)+1)*G14+INDEX(Symboles!$H$6:$H$101,MOD(68+$C14+(-1),$B$3)+1)*H14+INDEX(Symboles!$H$6:$H$101,MOD(68+$C14+(0),$B$3)+1)*I14+INDEX(Symboles!$H$6:$H$101,MOD(68+$C14+(1),$B$3)+1)*J14+INDEX(Symboles!$H$6:$H$101,MOD(68+$C14+(2),$B$3)+1)*K14+INDEX(Symboles!$H$6:$H$101,MOD(68+$C14+(3),$B$3)+1)*L14+INDEX(Symboles!$H$6:$H$101,MOD(68+$C14+(4),$B$3)+1)*M14+IF($B$6=0,0,$B$6*NORMSINV(0.000001+0.999998*RAND())))</f>
        <v/>
      </c>
      <c r="FZ14" s="30">
        <f>IF(70&gt;$B$3,99,INDEX(Symboles!$H$6:$H$101,MOD(69+$C14+(-4),$B$3)+1)*E14+INDEX(Symboles!$H$6:$H$101,MOD(69+$C14+(-3),$B$3)+1)*F14+INDEX(Symboles!$H$6:$H$101,MOD(69+$C14+(-2),$B$3)+1)*G14+INDEX(Symboles!$H$6:$H$101,MOD(69+$C14+(-1),$B$3)+1)*H14+INDEX(Symboles!$H$6:$H$101,MOD(69+$C14+(0),$B$3)+1)*I14+INDEX(Symboles!$H$6:$H$101,MOD(69+$C14+(1),$B$3)+1)*J14+INDEX(Symboles!$H$6:$H$101,MOD(69+$C14+(2),$B$3)+1)*K14+INDEX(Symboles!$H$6:$H$101,MOD(69+$C14+(3),$B$3)+1)*L14+INDEX(Symboles!$H$6:$H$101,MOD(69+$C14+(4),$B$3)+1)*M14+IF($B$6=0,0,$B$6*NORMSINV(0.000001+0.999998*RAND())))</f>
        <v/>
      </c>
      <c r="GA14" s="30">
        <f>IF(71&gt;$B$3,99,INDEX(Symboles!$H$6:$H$101,MOD(70+$C14+(-4),$B$3)+1)*E14+INDEX(Symboles!$H$6:$H$101,MOD(70+$C14+(-3),$B$3)+1)*F14+INDEX(Symboles!$H$6:$H$101,MOD(70+$C14+(-2),$B$3)+1)*G14+INDEX(Symboles!$H$6:$H$101,MOD(70+$C14+(-1),$B$3)+1)*H14+INDEX(Symboles!$H$6:$H$101,MOD(70+$C14+(0),$B$3)+1)*I14+INDEX(Symboles!$H$6:$H$101,MOD(70+$C14+(1),$B$3)+1)*J14+INDEX(Symboles!$H$6:$H$101,MOD(70+$C14+(2),$B$3)+1)*K14+INDEX(Symboles!$H$6:$H$101,MOD(70+$C14+(3),$B$3)+1)*L14+INDEX(Symboles!$H$6:$H$101,MOD(70+$C14+(4),$B$3)+1)*M14+IF($B$6=0,0,$B$6*NORMSINV(0.000001+0.999998*RAND())))</f>
        <v/>
      </c>
      <c r="GB14" s="30">
        <f>IF(72&gt;$B$3,99,INDEX(Symboles!$H$6:$H$101,MOD(71+$C14+(-4),$B$3)+1)*E14+INDEX(Symboles!$H$6:$H$101,MOD(71+$C14+(-3),$B$3)+1)*F14+INDEX(Symboles!$H$6:$H$101,MOD(71+$C14+(-2),$B$3)+1)*G14+INDEX(Symboles!$H$6:$H$101,MOD(71+$C14+(-1),$B$3)+1)*H14+INDEX(Symboles!$H$6:$H$101,MOD(71+$C14+(0),$B$3)+1)*I14+INDEX(Symboles!$H$6:$H$101,MOD(71+$C14+(1),$B$3)+1)*J14+INDEX(Symboles!$H$6:$H$101,MOD(71+$C14+(2),$B$3)+1)*K14+INDEX(Symboles!$H$6:$H$101,MOD(71+$C14+(3),$B$3)+1)*L14+INDEX(Symboles!$H$6:$H$101,MOD(71+$C14+(4),$B$3)+1)*M14+IF($B$6=0,0,$B$6*NORMSINV(0.000001+0.999998*RAND())))</f>
        <v/>
      </c>
      <c r="GC14" s="30">
        <f>IF(73&gt;$B$3,99,INDEX(Symboles!$H$6:$H$101,MOD(72+$C14+(-4),$B$3)+1)*E14+INDEX(Symboles!$H$6:$H$101,MOD(72+$C14+(-3),$B$3)+1)*F14+INDEX(Symboles!$H$6:$H$101,MOD(72+$C14+(-2),$B$3)+1)*G14+INDEX(Symboles!$H$6:$H$101,MOD(72+$C14+(-1),$B$3)+1)*H14+INDEX(Symboles!$H$6:$H$101,MOD(72+$C14+(0),$B$3)+1)*I14+INDEX(Symboles!$H$6:$H$101,MOD(72+$C14+(1),$B$3)+1)*J14+INDEX(Symboles!$H$6:$H$101,MOD(72+$C14+(2),$B$3)+1)*K14+INDEX(Symboles!$H$6:$H$101,MOD(72+$C14+(3),$B$3)+1)*L14+INDEX(Symboles!$H$6:$H$101,MOD(72+$C14+(4),$B$3)+1)*M14+IF($B$6=0,0,$B$6*NORMSINV(0.000001+0.999998*RAND())))</f>
        <v/>
      </c>
      <c r="GD14" s="30">
        <f>IF(74&gt;$B$3,99,INDEX(Symboles!$H$6:$H$101,MOD(73+$C14+(-4),$B$3)+1)*E14+INDEX(Symboles!$H$6:$H$101,MOD(73+$C14+(-3),$B$3)+1)*F14+INDEX(Symboles!$H$6:$H$101,MOD(73+$C14+(-2),$B$3)+1)*G14+INDEX(Symboles!$H$6:$H$101,MOD(73+$C14+(-1),$B$3)+1)*H14+INDEX(Symboles!$H$6:$H$101,MOD(73+$C14+(0),$B$3)+1)*I14+INDEX(Symboles!$H$6:$H$101,MOD(73+$C14+(1),$B$3)+1)*J14+INDEX(Symboles!$H$6:$H$101,MOD(73+$C14+(2),$B$3)+1)*K14+INDEX(Symboles!$H$6:$H$101,MOD(73+$C14+(3),$B$3)+1)*L14+INDEX(Symboles!$H$6:$H$101,MOD(73+$C14+(4),$B$3)+1)*M14+IF($B$6=0,0,$B$6*NORMSINV(0.000001+0.999998*RAND())))</f>
        <v/>
      </c>
      <c r="GE14" s="30">
        <f>IF(75&gt;$B$3,99,INDEX(Symboles!$H$6:$H$101,MOD(74+$C14+(-4),$B$3)+1)*E14+INDEX(Symboles!$H$6:$H$101,MOD(74+$C14+(-3),$B$3)+1)*F14+INDEX(Symboles!$H$6:$H$101,MOD(74+$C14+(-2),$B$3)+1)*G14+INDEX(Symboles!$H$6:$H$101,MOD(74+$C14+(-1),$B$3)+1)*H14+INDEX(Symboles!$H$6:$H$101,MOD(74+$C14+(0),$B$3)+1)*I14+INDEX(Symboles!$H$6:$H$101,MOD(74+$C14+(1),$B$3)+1)*J14+INDEX(Symboles!$H$6:$H$101,MOD(74+$C14+(2),$B$3)+1)*K14+INDEX(Symboles!$H$6:$H$101,MOD(74+$C14+(3),$B$3)+1)*L14+INDEX(Symboles!$H$6:$H$101,MOD(74+$C14+(4),$B$3)+1)*M14+IF($B$6=0,0,$B$6*NORMSINV(0.000001+0.999998*RAND())))</f>
        <v/>
      </c>
      <c r="GF14" s="30">
        <f>IF(76&gt;$B$3,99,INDEX(Symboles!$H$6:$H$101,MOD(75+$C14+(-4),$B$3)+1)*E14+INDEX(Symboles!$H$6:$H$101,MOD(75+$C14+(-3),$B$3)+1)*F14+INDEX(Symboles!$H$6:$H$101,MOD(75+$C14+(-2),$B$3)+1)*G14+INDEX(Symboles!$H$6:$H$101,MOD(75+$C14+(-1),$B$3)+1)*H14+INDEX(Symboles!$H$6:$H$101,MOD(75+$C14+(0),$B$3)+1)*I14+INDEX(Symboles!$H$6:$H$101,MOD(75+$C14+(1),$B$3)+1)*J14+INDEX(Symboles!$H$6:$H$101,MOD(75+$C14+(2),$B$3)+1)*K14+INDEX(Symboles!$H$6:$H$101,MOD(75+$C14+(3),$B$3)+1)*L14+INDEX(Symboles!$H$6:$H$101,MOD(75+$C14+(4),$B$3)+1)*M14+IF($B$6=0,0,$B$6*NORMSINV(0.000001+0.999998*RAND())))</f>
        <v/>
      </c>
      <c r="GG14" s="30">
        <f>IF(77&gt;$B$3,99,INDEX(Symboles!$H$6:$H$101,MOD(76+$C14+(-4),$B$3)+1)*E14+INDEX(Symboles!$H$6:$H$101,MOD(76+$C14+(-3),$B$3)+1)*F14+INDEX(Symboles!$H$6:$H$101,MOD(76+$C14+(-2),$B$3)+1)*G14+INDEX(Symboles!$H$6:$H$101,MOD(76+$C14+(-1),$B$3)+1)*H14+INDEX(Symboles!$H$6:$H$101,MOD(76+$C14+(0),$B$3)+1)*I14+INDEX(Symboles!$H$6:$H$101,MOD(76+$C14+(1),$B$3)+1)*J14+INDEX(Symboles!$H$6:$H$101,MOD(76+$C14+(2),$B$3)+1)*K14+INDEX(Symboles!$H$6:$H$101,MOD(76+$C14+(3),$B$3)+1)*L14+INDEX(Symboles!$H$6:$H$101,MOD(76+$C14+(4),$B$3)+1)*M14+IF($B$6=0,0,$B$6*NORMSINV(0.000001+0.999998*RAND())))</f>
        <v/>
      </c>
      <c r="GH14" s="30">
        <f>IF(78&gt;$B$3,99,INDEX(Symboles!$H$6:$H$101,MOD(77+$C14+(-4),$B$3)+1)*E14+INDEX(Symboles!$H$6:$H$101,MOD(77+$C14+(-3),$B$3)+1)*F14+INDEX(Symboles!$H$6:$H$101,MOD(77+$C14+(-2),$B$3)+1)*G14+INDEX(Symboles!$H$6:$H$101,MOD(77+$C14+(-1),$B$3)+1)*H14+INDEX(Symboles!$H$6:$H$101,MOD(77+$C14+(0),$B$3)+1)*I14+INDEX(Symboles!$H$6:$H$101,MOD(77+$C14+(1),$B$3)+1)*J14+INDEX(Symboles!$H$6:$H$101,MOD(77+$C14+(2),$B$3)+1)*K14+INDEX(Symboles!$H$6:$H$101,MOD(77+$C14+(3),$B$3)+1)*L14+INDEX(Symboles!$H$6:$H$101,MOD(77+$C14+(4),$B$3)+1)*M14+IF($B$6=0,0,$B$6*NORMSINV(0.000001+0.999998*RAND())))</f>
        <v/>
      </c>
      <c r="GI14" s="30">
        <f>IF(79&gt;$B$3,99,INDEX(Symboles!$H$6:$H$101,MOD(78+$C14+(-4),$B$3)+1)*E14+INDEX(Symboles!$H$6:$H$101,MOD(78+$C14+(-3),$B$3)+1)*F14+INDEX(Symboles!$H$6:$H$101,MOD(78+$C14+(-2),$B$3)+1)*G14+INDEX(Symboles!$H$6:$H$101,MOD(78+$C14+(-1),$B$3)+1)*H14+INDEX(Symboles!$H$6:$H$101,MOD(78+$C14+(0),$B$3)+1)*I14+INDEX(Symboles!$H$6:$H$101,MOD(78+$C14+(1),$B$3)+1)*J14+INDEX(Symboles!$H$6:$H$101,MOD(78+$C14+(2),$B$3)+1)*K14+INDEX(Symboles!$H$6:$H$101,MOD(78+$C14+(3),$B$3)+1)*L14+INDEX(Symboles!$H$6:$H$101,MOD(78+$C14+(4),$B$3)+1)*M14+IF($B$6=0,0,$B$6*NORMSINV(0.000001+0.999998*RAND())))</f>
        <v/>
      </c>
      <c r="GJ14" s="30">
        <f>IF(80&gt;$B$3,99,INDEX(Symboles!$H$6:$H$101,MOD(79+$C14+(-4),$B$3)+1)*E14+INDEX(Symboles!$H$6:$H$101,MOD(79+$C14+(-3),$B$3)+1)*F14+INDEX(Symboles!$H$6:$H$101,MOD(79+$C14+(-2),$B$3)+1)*G14+INDEX(Symboles!$H$6:$H$101,MOD(79+$C14+(-1),$B$3)+1)*H14+INDEX(Symboles!$H$6:$H$101,MOD(79+$C14+(0),$B$3)+1)*I14+INDEX(Symboles!$H$6:$H$101,MOD(79+$C14+(1),$B$3)+1)*J14+INDEX(Symboles!$H$6:$H$101,MOD(79+$C14+(2),$B$3)+1)*K14+INDEX(Symboles!$H$6:$H$101,MOD(79+$C14+(3),$B$3)+1)*L14+INDEX(Symboles!$H$6:$H$101,MOD(79+$C14+(4),$B$3)+1)*M14+IF($B$6=0,0,$B$6*NORMSINV(0.000001+0.999998*RAND())))</f>
        <v/>
      </c>
      <c r="GK14" s="30">
        <f>IF(81&gt;$B$3,99,INDEX(Symboles!$H$6:$H$101,MOD(80+$C14+(-4),$B$3)+1)*E14+INDEX(Symboles!$H$6:$H$101,MOD(80+$C14+(-3),$B$3)+1)*F14+INDEX(Symboles!$H$6:$H$101,MOD(80+$C14+(-2),$B$3)+1)*G14+INDEX(Symboles!$H$6:$H$101,MOD(80+$C14+(-1),$B$3)+1)*H14+INDEX(Symboles!$H$6:$H$101,MOD(80+$C14+(0),$B$3)+1)*I14+INDEX(Symboles!$H$6:$H$101,MOD(80+$C14+(1),$B$3)+1)*J14+INDEX(Symboles!$H$6:$H$101,MOD(80+$C14+(2),$B$3)+1)*K14+INDEX(Symboles!$H$6:$H$101,MOD(80+$C14+(3),$B$3)+1)*L14+INDEX(Symboles!$H$6:$H$101,MOD(80+$C14+(4),$B$3)+1)*M14+IF($B$6=0,0,$B$6*NORMSINV(0.000001+0.999998*RAND())))</f>
        <v/>
      </c>
      <c r="GL14" s="30">
        <f>IF(82&gt;$B$3,99,INDEX(Symboles!$H$6:$H$101,MOD(81+$C14+(-4),$B$3)+1)*E14+INDEX(Symboles!$H$6:$H$101,MOD(81+$C14+(-3),$B$3)+1)*F14+INDEX(Symboles!$H$6:$H$101,MOD(81+$C14+(-2),$B$3)+1)*G14+INDEX(Symboles!$H$6:$H$101,MOD(81+$C14+(-1),$B$3)+1)*H14+INDEX(Symboles!$H$6:$H$101,MOD(81+$C14+(0),$B$3)+1)*I14+INDEX(Symboles!$H$6:$H$101,MOD(81+$C14+(1),$B$3)+1)*J14+INDEX(Symboles!$H$6:$H$101,MOD(81+$C14+(2),$B$3)+1)*K14+INDEX(Symboles!$H$6:$H$101,MOD(81+$C14+(3),$B$3)+1)*L14+INDEX(Symboles!$H$6:$H$101,MOD(81+$C14+(4),$B$3)+1)*M14+IF($B$6=0,0,$B$6*NORMSINV(0.000001+0.999998*RAND())))</f>
        <v/>
      </c>
      <c r="GM14" s="30">
        <f>IF(83&gt;$B$3,99,INDEX(Symboles!$H$6:$H$101,MOD(82+$C14+(-4),$B$3)+1)*E14+INDEX(Symboles!$H$6:$H$101,MOD(82+$C14+(-3),$B$3)+1)*F14+INDEX(Symboles!$H$6:$H$101,MOD(82+$C14+(-2),$B$3)+1)*G14+INDEX(Symboles!$H$6:$H$101,MOD(82+$C14+(-1),$B$3)+1)*H14+INDEX(Symboles!$H$6:$H$101,MOD(82+$C14+(0),$B$3)+1)*I14+INDEX(Symboles!$H$6:$H$101,MOD(82+$C14+(1),$B$3)+1)*J14+INDEX(Symboles!$H$6:$H$101,MOD(82+$C14+(2),$B$3)+1)*K14+INDEX(Symboles!$H$6:$H$101,MOD(82+$C14+(3),$B$3)+1)*L14+INDEX(Symboles!$H$6:$H$101,MOD(82+$C14+(4),$B$3)+1)*M14+IF($B$6=0,0,$B$6*NORMSINV(0.000001+0.999998*RAND())))</f>
        <v/>
      </c>
      <c r="GN14" s="30">
        <f>IF(84&gt;$B$3,99,INDEX(Symboles!$H$6:$H$101,MOD(83+$C14+(-4),$B$3)+1)*E14+INDEX(Symboles!$H$6:$H$101,MOD(83+$C14+(-3),$B$3)+1)*F14+INDEX(Symboles!$H$6:$H$101,MOD(83+$C14+(-2),$B$3)+1)*G14+INDEX(Symboles!$H$6:$H$101,MOD(83+$C14+(-1),$B$3)+1)*H14+INDEX(Symboles!$H$6:$H$101,MOD(83+$C14+(0),$B$3)+1)*I14+INDEX(Symboles!$H$6:$H$101,MOD(83+$C14+(1),$B$3)+1)*J14+INDEX(Symboles!$H$6:$H$101,MOD(83+$C14+(2),$B$3)+1)*K14+INDEX(Symboles!$H$6:$H$101,MOD(83+$C14+(3),$B$3)+1)*L14+INDEX(Symboles!$H$6:$H$101,MOD(83+$C14+(4),$B$3)+1)*M14+IF($B$6=0,0,$B$6*NORMSINV(0.000001+0.999998*RAND())))</f>
        <v/>
      </c>
      <c r="GO14" s="30">
        <f>IF(85&gt;$B$3,99,INDEX(Symboles!$H$6:$H$101,MOD(84+$C14+(-4),$B$3)+1)*E14+INDEX(Symboles!$H$6:$H$101,MOD(84+$C14+(-3),$B$3)+1)*F14+INDEX(Symboles!$H$6:$H$101,MOD(84+$C14+(-2),$B$3)+1)*G14+INDEX(Symboles!$H$6:$H$101,MOD(84+$C14+(-1),$B$3)+1)*H14+INDEX(Symboles!$H$6:$H$101,MOD(84+$C14+(0),$B$3)+1)*I14+INDEX(Symboles!$H$6:$H$101,MOD(84+$C14+(1),$B$3)+1)*J14+INDEX(Symboles!$H$6:$H$101,MOD(84+$C14+(2),$B$3)+1)*K14+INDEX(Symboles!$H$6:$H$101,MOD(84+$C14+(3),$B$3)+1)*L14+INDEX(Symboles!$H$6:$H$101,MOD(84+$C14+(4),$B$3)+1)*M14+IF($B$6=0,0,$B$6*NORMSINV(0.000001+0.999998*RAND())))</f>
        <v/>
      </c>
      <c r="GP14" s="30">
        <f>IF(86&gt;$B$3,99,INDEX(Symboles!$H$6:$H$101,MOD(85+$C14+(-4),$B$3)+1)*E14+INDEX(Symboles!$H$6:$H$101,MOD(85+$C14+(-3),$B$3)+1)*F14+INDEX(Symboles!$H$6:$H$101,MOD(85+$C14+(-2),$B$3)+1)*G14+INDEX(Symboles!$H$6:$H$101,MOD(85+$C14+(-1),$B$3)+1)*H14+INDEX(Symboles!$H$6:$H$101,MOD(85+$C14+(0),$B$3)+1)*I14+INDEX(Symboles!$H$6:$H$101,MOD(85+$C14+(1),$B$3)+1)*J14+INDEX(Symboles!$H$6:$H$101,MOD(85+$C14+(2),$B$3)+1)*K14+INDEX(Symboles!$H$6:$H$101,MOD(85+$C14+(3),$B$3)+1)*L14+INDEX(Symboles!$H$6:$H$101,MOD(85+$C14+(4),$B$3)+1)*M14+IF($B$6=0,0,$B$6*NORMSINV(0.000001+0.999998*RAND())))</f>
        <v/>
      </c>
      <c r="GQ14" s="30">
        <f>IF(87&gt;$B$3,99,INDEX(Symboles!$H$6:$H$101,MOD(86+$C14+(-4),$B$3)+1)*E14+INDEX(Symboles!$H$6:$H$101,MOD(86+$C14+(-3),$B$3)+1)*F14+INDEX(Symboles!$H$6:$H$101,MOD(86+$C14+(-2),$B$3)+1)*G14+INDEX(Symboles!$H$6:$H$101,MOD(86+$C14+(-1),$B$3)+1)*H14+INDEX(Symboles!$H$6:$H$101,MOD(86+$C14+(0),$B$3)+1)*I14+INDEX(Symboles!$H$6:$H$101,MOD(86+$C14+(1),$B$3)+1)*J14+INDEX(Symboles!$H$6:$H$101,MOD(86+$C14+(2),$B$3)+1)*K14+INDEX(Symboles!$H$6:$H$101,MOD(86+$C14+(3),$B$3)+1)*L14+INDEX(Symboles!$H$6:$H$101,MOD(86+$C14+(4),$B$3)+1)*M14+IF($B$6=0,0,$B$6*NORMSINV(0.000001+0.999998*RAND())))</f>
        <v/>
      </c>
      <c r="GR14" s="30">
        <f>IF(88&gt;$B$3,99,INDEX(Symboles!$H$6:$H$101,MOD(87+$C14+(-4),$B$3)+1)*E14+INDEX(Symboles!$H$6:$H$101,MOD(87+$C14+(-3),$B$3)+1)*F14+INDEX(Symboles!$H$6:$H$101,MOD(87+$C14+(-2),$B$3)+1)*G14+INDEX(Symboles!$H$6:$H$101,MOD(87+$C14+(-1),$B$3)+1)*H14+INDEX(Symboles!$H$6:$H$101,MOD(87+$C14+(0),$B$3)+1)*I14+INDEX(Symboles!$H$6:$H$101,MOD(87+$C14+(1),$B$3)+1)*J14+INDEX(Symboles!$H$6:$H$101,MOD(87+$C14+(2),$B$3)+1)*K14+INDEX(Symboles!$H$6:$H$101,MOD(87+$C14+(3),$B$3)+1)*L14+INDEX(Symboles!$H$6:$H$101,MOD(87+$C14+(4),$B$3)+1)*M14+IF($B$6=0,0,$B$6*NORMSINV(0.000001+0.999998*RAND())))</f>
        <v/>
      </c>
      <c r="GS14" s="30">
        <f>IF(89&gt;$B$3,99,INDEX(Symboles!$H$6:$H$101,MOD(88+$C14+(-4),$B$3)+1)*E14+INDEX(Symboles!$H$6:$H$101,MOD(88+$C14+(-3),$B$3)+1)*F14+INDEX(Symboles!$H$6:$H$101,MOD(88+$C14+(-2),$B$3)+1)*G14+INDEX(Symboles!$H$6:$H$101,MOD(88+$C14+(-1),$B$3)+1)*H14+INDEX(Symboles!$H$6:$H$101,MOD(88+$C14+(0),$B$3)+1)*I14+INDEX(Symboles!$H$6:$H$101,MOD(88+$C14+(1),$B$3)+1)*J14+INDEX(Symboles!$H$6:$H$101,MOD(88+$C14+(2),$B$3)+1)*K14+INDEX(Symboles!$H$6:$H$101,MOD(88+$C14+(3),$B$3)+1)*L14+INDEX(Symboles!$H$6:$H$101,MOD(88+$C14+(4),$B$3)+1)*M14+IF($B$6=0,0,$B$6*NORMSINV(0.000001+0.999998*RAND())))</f>
        <v/>
      </c>
      <c r="GT14" s="30">
        <f>IF(90&gt;$B$3,99,INDEX(Symboles!$H$6:$H$101,MOD(89+$C14+(-4),$B$3)+1)*E14+INDEX(Symboles!$H$6:$H$101,MOD(89+$C14+(-3),$B$3)+1)*F14+INDEX(Symboles!$H$6:$H$101,MOD(89+$C14+(-2),$B$3)+1)*G14+INDEX(Symboles!$H$6:$H$101,MOD(89+$C14+(-1),$B$3)+1)*H14+INDEX(Symboles!$H$6:$H$101,MOD(89+$C14+(0),$B$3)+1)*I14+INDEX(Symboles!$H$6:$H$101,MOD(89+$C14+(1),$B$3)+1)*J14+INDEX(Symboles!$H$6:$H$101,MOD(89+$C14+(2),$B$3)+1)*K14+INDEX(Symboles!$H$6:$H$101,MOD(89+$C14+(3),$B$3)+1)*L14+INDEX(Symboles!$H$6:$H$101,MOD(89+$C14+(4),$B$3)+1)*M14+IF($B$6=0,0,$B$6*NORMSINV(0.000001+0.999998*RAND())))</f>
        <v/>
      </c>
      <c r="GU14" s="30">
        <f>IF(91&gt;$B$3,99,INDEX(Symboles!$H$6:$H$101,MOD(90+$C14+(-4),$B$3)+1)*E14+INDEX(Symboles!$H$6:$H$101,MOD(90+$C14+(-3),$B$3)+1)*F14+INDEX(Symboles!$H$6:$H$101,MOD(90+$C14+(-2),$B$3)+1)*G14+INDEX(Symboles!$H$6:$H$101,MOD(90+$C14+(-1),$B$3)+1)*H14+INDEX(Symboles!$H$6:$H$101,MOD(90+$C14+(0),$B$3)+1)*I14+INDEX(Symboles!$H$6:$H$101,MOD(90+$C14+(1),$B$3)+1)*J14+INDEX(Symboles!$H$6:$H$101,MOD(90+$C14+(2),$B$3)+1)*K14+INDEX(Symboles!$H$6:$H$101,MOD(90+$C14+(3),$B$3)+1)*L14+INDEX(Symboles!$H$6:$H$101,MOD(90+$C14+(4),$B$3)+1)*M14+IF($B$6=0,0,$B$6*NORMSINV(0.000001+0.999998*RAND())))</f>
        <v/>
      </c>
      <c r="GV14" s="30">
        <f>IF(92&gt;$B$3,99,INDEX(Symboles!$H$6:$H$101,MOD(91+$C14+(-4),$B$3)+1)*E14+INDEX(Symboles!$H$6:$H$101,MOD(91+$C14+(-3),$B$3)+1)*F14+INDEX(Symboles!$H$6:$H$101,MOD(91+$C14+(-2),$B$3)+1)*G14+INDEX(Symboles!$H$6:$H$101,MOD(91+$C14+(-1),$B$3)+1)*H14+INDEX(Symboles!$H$6:$H$101,MOD(91+$C14+(0),$B$3)+1)*I14+INDEX(Symboles!$H$6:$H$101,MOD(91+$C14+(1),$B$3)+1)*J14+INDEX(Symboles!$H$6:$H$101,MOD(91+$C14+(2),$B$3)+1)*K14+INDEX(Symboles!$H$6:$H$101,MOD(91+$C14+(3),$B$3)+1)*L14+INDEX(Symboles!$H$6:$H$101,MOD(91+$C14+(4),$B$3)+1)*M14+IF($B$6=0,0,$B$6*NORMSINV(0.000001+0.999998*RAND())))</f>
        <v/>
      </c>
      <c r="GW14" s="30">
        <f>IF(93&gt;$B$3,99,INDEX(Symboles!$H$6:$H$101,MOD(92+$C14+(-4),$B$3)+1)*E14+INDEX(Symboles!$H$6:$H$101,MOD(92+$C14+(-3),$B$3)+1)*F14+INDEX(Symboles!$H$6:$H$101,MOD(92+$C14+(-2),$B$3)+1)*G14+INDEX(Symboles!$H$6:$H$101,MOD(92+$C14+(-1),$B$3)+1)*H14+INDEX(Symboles!$H$6:$H$101,MOD(92+$C14+(0),$B$3)+1)*I14+INDEX(Symboles!$H$6:$H$101,MOD(92+$C14+(1),$B$3)+1)*J14+INDEX(Symboles!$H$6:$H$101,MOD(92+$C14+(2),$B$3)+1)*K14+INDEX(Symboles!$H$6:$H$101,MOD(92+$C14+(3),$B$3)+1)*L14+INDEX(Symboles!$H$6:$H$101,MOD(92+$C14+(4),$B$3)+1)*M14+IF($B$6=0,0,$B$6*NORMSINV(0.000001+0.999998*RAND())))</f>
        <v/>
      </c>
      <c r="GX14" s="30">
        <f>IF(94&gt;$B$3,99,INDEX(Symboles!$H$6:$H$101,MOD(93+$C14+(-4),$B$3)+1)*E14+INDEX(Symboles!$H$6:$H$101,MOD(93+$C14+(-3),$B$3)+1)*F14+INDEX(Symboles!$H$6:$H$101,MOD(93+$C14+(-2),$B$3)+1)*G14+INDEX(Symboles!$H$6:$H$101,MOD(93+$C14+(-1),$B$3)+1)*H14+INDEX(Symboles!$H$6:$H$101,MOD(93+$C14+(0),$B$3)+1)*I14+INDEX(Symboles!$H$6:$H$101,MOD(93+$C14+(1),$B$3)+1)*J14+INDEX(Symboles!$H$6:$H$101,MOD(93+$C14+(2),$B$3)+1)*K14+INDEX(Symboles!$H$6:$H$101,MOD(93+$C14+(3),$B$3)+1)*L14+INDEX(Symboles!$H$6:$H$101,MOD(93+$C14+(4),$B$3)+1)*M14+IF($B$6=0,0,$B$6*NORMSINV(0.000001+0.999998*RAND())))</f>
        <v/>
      </c>
      <c r="GY14" s="30">
        <f>IF(95&gt;$B$3,99,INDEX(Symboles!$H$6:$H$101,MOD(94+$C14+(-4),$B$3)+1)*E14+INDEX(Symboles!$H$6:$H$101,MOD(94+$C14+(-3),$B$3)+1)*F14+INDEX(Symboles!$H$6:$H$101,MOD(94+$C14+(-2),$B$3)+1)*G14+INDEX(Symboles!$H$6:$H$101,MOD(94+$C14+(-1),$B$3)+1)*H14+INDEX(Symboles!$H$6:$H$101,MOD(94+$C14+(0),$B$3)+1)*I14+INDEX(Symboles!$H$6:$H$101,MOD(94+$C14+(1),$B$3)+1)*J14+INDEX(Symboles!$H$6:$H$101,MOD(94+$C14+(2),$B$3)+1)*K14+INDEX(Symboles!$H$6:$H$101,MOD(94+$C14+(3),$B$3)+1)*L14+INDEX(Symboles!$H$6:$H$101,MOD(94+$C14+(4),$B$3)+1)*M14+IF($B$6=0,0,$B$6*NORMSINV(0.000001+0.999998*RAND())))</f>
        <v/>
      </c>
      <c r="GZ14" s="30">
        <f>IF(96&gt;$B$3,99,INDEX(Symboles!$H$6:$H$101,MOD(95+$C14+(-4),$B$3)+1)*E14+INDEX(Symboles!$H$6:$H$101,MOD(95+$C14+(-3),$B$3)+1)*F14+INDEX(Symboles!$H$6:$H$101,MOD(95+$C14+(-2),$B$3)+1)*G14+INDEX(Symboles!$H$6:$H$101,MOD(95+$C14+(-1),$B$3)+1)*H14+INDEX(Symboles!$H$6:$H$101,MOD(95+$C14+(0),$B$3)+1)*I14+INDEX(Symboles!$H$6:$H$101,MOD(95+$C14+(1),$B$3)+1)*J14+INDEX(Symboles!$H$6:$H$101,MOD(95+$C14+(2),$B$3)+1)*K14+INDEX(Symboles!$H$6:$H$101,MOD(95+$C14+(3),$B$3)+1)*L14+INDEX(Symboles!$H$6:$H$101,MOD(95+$C14+(4),$B$3)+1)*M14+IF($B$6=0,0,$B$6*NORMSINV(0.000001+0.999998*RAND())))</f>
        <v/>
      </c>
    </row>
    <row r="15">
      <c r="A15" s="28" t="n">
        <v>5</v>
      </c>
      <c r="B15" s="28" t="n">
        <v>-0.6875</v>
      </c>
      <c r="C15" s="28" t="n">
        <v>-1</v>
      </c>
      <c r="D15" s="28" t="n">
        <v>13</v>
      </c>
      <c r="E15" s="29">
        <f>IF($B$4=1,0,IF(ABS(1-(2*$B$5*4.3125)^2)&lt;0.000001,PI()/4*SIN(PI()/(2*$B$5))/(PI()/(2*$B$5)),SIN(PI()*4.3125)/(PI()*4.3125)*COS(PI()*$B$5*4.3125)/(1-(2*$B$5*4.3125)^2)))</f>
        <v/>
      </c>
      <c r="F15" s="29">
        <f>IF($B$4=1,0,IF(ABS(1-(2*$B$5*3.3125)^2)&lt;0.000001,PI()/4*SIN(PI()/(2*$B$5))/(PI()/(2*$B$5)),SIN(PI()*3.3125)/(PI()*3.3125)*COS(PI()*$B$5*3.3125)/(1-(2*$B$5*3.3125)^2)))</f>
        <v/>
      </c>
      <c r="G15" s="29">
        <f>IF($B$4=1,0,IF(ABS(1-(2*$B$5*2.3125)^2)&lt;0.000001,PI()/4*SIN(PI()/(2*$B$5))/(PI()/(2*$B$5)),SIN(PI()*2.3125)/(PI()*2.3125)*COS(PI()*$B$5*2.3125)/(1-(2*$B$5*2.3125)^2)))</f>
        <v/>
      </c>
      <c r="H15" s="29">
        <f>IF($B$4=1,0,IF(ABS(1-(2*$B$5*1.3125)^2)&lt;0.000001,PI()/4*SIN(PI()/(2*$B$5))/(PI()/(2*$B$5)),SIN(PI()*1.3125)/(PI()*1.3125)*COS(PI()*$B$5*1.3125)/(1-(2*$B$5*1.3125)^2)))</f>
        <v/>
      </c>
      <c r="I15" s="29">
        <f>IF($B$4=1,1,IF(ABS(1-(2*$B$5*0.3125)^2)&lt;0.000001,PI()/4*SIN(PI()/(2*$B$5))/(PI()/(2*$B$5)),SIN(PI()*0.3125)/(PI()*0.3125)*COS(PI()*$B$5*0.3125)/(1-(2*$B$5*0.3125)^2)))</f>
        <v/>
      </c>
      <c r="J15" s="29">
        <f>IF($B$4=1,0,IF(ABS(1-(2*$B$5*-0.6875)^2)&lt;0.000001,PI()/4*SIN(PI()/(2*$B$5))/(PI()/(2*$B$5)),SIN(PI()*-0.6875)/(PI()*-0.6875)*COS(PI()*$B$5*-0.6875)/(1-(2*$B$5*-0.6875)^2)))</f>
        <v/>
      </c>
      <c r="K15" s="29">
        <f>IF($B$4=1,0,IF(ABS(1-(2*$B$5*-1.6875)^2)&lt;0.000001,PI()/4*SIN(PI()/(2*$B$5))/(PI()/(2*$B$5)),SIN(PI()*-1.6875)/(PI()*-1.6875)*COS(PI()*$B$5*-1.6875)/(1-(2*$B$5*-1.6875)^2)))</f>
        <v/>
      </c>
      <c r="L15" s="29">
        <f>IF($B$4=1,0,IF(ABS(1-(2*$B$5*-2.6875)^2)&lt;0.000001,PI()/4*SIN(PI()/(2*$B$5))/(PI()/(2*$B$5)),SIN(PI()*-2.6875)/(PI()*-2.6875)*COS(PI()*$B$5*-2.6875)/(1-(2*$B$5*-2.6875)^2)))</f>
        <v/>
      </c>
      <c r="M15" s="29">
        <f>IF($B$4=1,0,IF(ABS(1-(2*$B$5*-3.6875)^2)&lt;0.000001,PI()/4*SIN(PI()/(2*$B$5))/(PI()/(2*$B$5)),SIN(PI()*-3.6875)/(PI()*-3.6875)*COS(PI()*$B$5*-3.6875)/(1-(2*$B$5*-3.6875)^2)))</f>
        <v/>
      </c>
      <c r="P15" s="30">
        <f>IF(1&gt;$B$3,99,INDEX(Symboles!$G$6:$G$101,MOD(0+$C15+(-4),$B$3)+1)*E15+INDEX(Symboles!$G$6:$G$101,MOD(0+$C15+(-3),$B$3)+1)*F15+INDEX(Symboles!$G$6:$G$101,MOD(0+$C15+(-2),$B$3)+1)*G15+INDEX(Symboles!$G$6:$G$101,MOD(0+$C15+(-1),$B$3)+1)*H15+INDEX(Symboles!$G$6:$G$101,MOD(0+$C15+(0),$B$3)+1)*I15+INDEX(Symboles!$G$6:$G$101,MOD(0+$C15+(1),$B$3)+1)*J15+INDEX(Symboles!$G$6:$G$101,MOD(0+$C15+(2),$B$3)+1)*K15+INDEX(Symboles!$G$6:$G$101,MOD(0+$C15+(3),$B$3)+1)*L15+INDEX(Symboles!$G$6:$G$101,MOD(0+$C15+(4),$B$3)+1)*M15+IF($B$6=0,0,$B$6*NORMSINV(0.000001+0.999998*RAND())))</f>
        <v/>
      </c>
      <c r="Q15" s="30">
        <f>IF(2&gt;$B$3,99,INDEX(Symboles!$G$6:$G$101,MOD(1+$C15+(-4),$B$3)+1)*E15+INDEX(Symboles!$G$6:$G$101,MOD(1+$C15+(-3),$B$3)+1)*F15+INDEX(Symboles!$G$6:$G$101,MOD(1+$C15+(-2),$B$3)+1)*G15+INDEX(Symboles!$G$6:$G$101,MOD(1+$C15+(-1),$B$3)+1)*H15+INDEX(Symboles!$G$6:$G$101,MOD(1+$C15+(0),$B$3)+1)*I15+INDEX(Symboles!$G$6:$G$101,MOD(1+$C15+(1),$B$3)+1)*J15+INDEX(Symboles!$G$6:$G$101,MOD(1+$C15+(2),$B$3)+1)*K15+INDEX(Symboles!$G$6:$G$101,MOD(1+$C15+(3),$B$3)+1)*L15+INDEX(Symboles!$G$6:$G$101,MOD(1+$C15+(4),$B$3)+1)*M15+IF($B$6=0,0,$B$6*NORMSINV(0.000001+0.999998*RAND())))</f>
        <v/>
      </c>
      <c r="R15" s="30">
        <f>IF(3&gt;$B$3,99,INDEX(Symboles!$G$6:$G$101,MOD(2+$C15+(-4),$B$3)+1)*E15+INDEX(Symboles!$G$6:$G$101,MOD(2+$C15+(-3),$B$3)+1)*F15+INDEX(Symboles!$G$6:$G$101,MOD(2+$C15+(-2),$B$3)+1)*G15+INDEX(Symboles!$G$6:$G$101,MOD(2+$C15+(-1),$B$3)+1)*H15+INDEX(Symboles!$G$6:$G$101,MOD(2+$C15+(0),$B$3)+1)*I15+INDEX(Symboles!$G$6:$G$101,MOD(2+$C15+(1),$B$3)+1)*J15+INDEX(Symboles!$G$6:$G$101,MOD(2+$C15+(2),$B$3)+1)*K15+INDEX(Symboles!$G$6:$G$101,MOD(2+$C15+(3),$B$3)+1)*L15+INDEX(Symboles!$G$6:$G$101,MOD(2+$C15+(4),$B$3)+1)*M15+IF($B$6=0,0,$B$6*NORMSINV(0.000001+0.999998*RAND())))</f>
        <v/>
      </c>
      <c r="S15" s="30">
        <f>IF(4&gt;$B$3,99,INDEX(Symboles!$G$6:$G$101,MOD(3+$C15+(-4),$B$3)+1)*E15+INDEX(Symboles!$G$6:$G$101,MOD(3+$C15+(-3),$B$3)+1)*F15+INDEX(Symboles!$G$6:$G$101,MOD(3+$C15+(-2),$B$3)+1)*G15+INDEX(Symboles!$G$6:$G$101,MOD(3+$C15+(-1),$B$3)+1)*H15+INDEX(Symboles!$G$6:$G$101,MOD(3+$C15+(0),$B$3)+1)*I15+INDEX(Symboles!$G$6:$G$101,MOD(3+$C15+(1),$B$3)+1)*J15+INDEX(Symboles!$G$6:$G$101,MOD(3+$C15+(2),$B$3)+1)*K15+INDEX(Symboles!$G$6:$G$101,MOD(3+$C15+(3),$B$3)+1)*L15+INDEX(Symboles!$G$6:$G$101,MOD(3+$C15+(4),$B$3)+1)*M15+IF($B$6=0,0,$B$6*NORMSINV(0.000001+0.999998*RAND())))</f>
        <v/>
      </c>
      <c r="T15" s="30">
        <f>IF(5&gt;$B$3,99,INDEX(Symboles!$G$6:$G$101,MOD(4+$C15+(-4),$B$3)+1)*E15+INDEX(Symboles!$G$6:$G$101,MOD(4+$C15+(-3),$B$3)+1)*F15+INDEX(Symboles!$G$6:$G$101,MOD(4+$C15+(-2),$B$3)+1)*G15+INDEX(Symboles!$G$6:$G$101,MOD(4+$C15+(-1),$B$3)+1)*H15+INDEX(Symboles!$G$6:$G$101,MOD(4+$C15+(0),$B$3)+1)*I15+INDEX(Symboles!$G$6:$G$101,MOD(4+$C15+(1),$B$3)+1)*J15+INDEX(Symboles!$G$6:$G$101,MOD(4+$C15+(2),$B$3)+1)*K15+INDEX(Symboles!$G$6:$G$101,MOD(4+$C15+(3),$B$3)+1)*L15+INDEX(Symboles!$G$6:$G$101,MOD(4+$C15+(4),$B$3)+1)*M15+IF($B$6=0,0,$B$6*NORMSINV(0.000001+0.999998*RAND())))</f>
        <v/>
      </c>
      <c r="U15" s="30">
        <f>IF(6&gt;$B$3,99,INDEX(Symboles!$G$6:$G$101,MOD(5+$C15+(-4),$B$3)+1)*E15+INDEX(Symboles!$G$6:$G$101,MOD(5+$C15+(-3),$B$3)+1)*F15+INDEX(Symboles!$G$6:$G$101,MOD(5+$C15+(-2),$B$3)+1)*G15+INDEX(Symboles!$G$6:$G$101,MOD(5+$C15+(-1),$B$3)+1)*H15+INDEX(Symboles!$G$6:$G$101,MOD(5+$C15+(0),$B$3)+1)*I15+INDEX(Symboles!$G$6:$G$101,MOD(5+$C15+(1),$B$3)+1)*J15+INDEX(Symboles!$G$6:$G$101,MOD(5+$C15+(2),$B$3)+1)*K15+INDEX(Symboles!$G$6:$G$101,MOD(5+$C15+(3),$B$3)+1)*L15+INDEX(Symboles!$G$6:$G$101,MOD(5+$C15+(4),$B$3)+1)*M15+IF($B$6=0,0,$B$6*NORMSINV(0.000001+0.999998*RAND())))</f>
        <v/>
      </c>
      <c r="V15" s="30">
        <f>IF(7&gt;$B$3,99,INDEX(Symboles!$G$6:$G$101,MOD(6+$C15+(-4),$B$3)+1)*E15+INDEX(Symboles!$G$6:$G$101,MOD(6+$C15+(-3),$B$3)+1)*F15+INDEX(Symboles!$G$6:$G$101,MOD(6+$C15+(-2),$B$3)+1)*G15+INDEX(Symboles!$G$6:$G$101,MOD(6+$C15+(-1),$B$3)+1)*H15+INDEX(Symboles!$G$6:$G$101,MOD(6+$C15+(0),$B$3)+1)*I15+INDEX(Symboles!$G$6:$G$101,MOD(6+$C15+(1),$B$3)+1)*J15+INDEX(Symboles!$G$6:$G$101,MOD(6+$C15+(2),$B$3)+1)*K15+INDEX(Symboles!$G$6:$G$101,MOD(6+$C15+(3),$B$3)+1)*L15+INDEX(Symboles!$G$6:$G$101,MOD(6+$C15+(4),$B$3)+1)*M15+IF($B$6=0,0,$B$6*NORMSINV(0.000001+0.999998*RAND())))</f>
        <v/>
      </c>
      <c r="W15" s="30">
        <f>IF(8&gt;$B$3,99,INDEX(Symboles!$G$6:$G$101,MOD(7+$C15+(-4),$B$3)+1)*E15+INDEX(Symboles!$G$6:$G$101,MOD(7+$C15+(-3),$B$3)+1)*F15+INDEX(Symboles!$G$6:$G$101,MOD(7+$C15+(-2),$B$3)+1)*G15+INDEX(Symboles!$G$6:$G$101,MOD(7+$C15+(-1),$B$3)+1)*H15+INDEX(Symboles!$G$6:$G$101,MOD(7+$C15+(0),$B$3)+1)*I15+INDEX(Symboles!$G$6:$G$101,MOD(7+$C15+(1),$B$3)+1)*J15+INDEX(Symboles!$G$6:$G$101,MOD(7+$C15+(2),$B$3)+1)*K15+INDEX(Symboles!$G$6:$G$101,MOD(7+$C15+(3),$B$3)+1)*L15+INDEX(Symboles!$G$6:$G$101,MOD(7+$C15+(4),$B$3)+1)*M15+IF($B$6=0,0,$B$6*NORMSINV(0.000001+0.999998*RAND())))</f>
        <v/>
      </c>
      <c r="X15" s="30">
        <f>IF(9&gt;$B$3,99,INDEX(Symboles!$G$6:$G$101,MOD(8+$C15+(-4),$B$3)+1)*E15+INDEX(Symboles!$G$6:$G$101,MOD(8+$C15+(-3),$B$3)+1)*F15+INDEX(Symboles!$G$6:$G$101,MOD(8+$C15+(-2),$B$3)+1)*G15+INDEX(Symboles!$G$6:$G$101,MOD(8+$C15+(-1),$B$3)+1)*H15+INDEX(Symboles!$G$6:$G$101,MOD(8+$C15+(0),$B$3)+1)*I15+INDEX(Symboles!$G$6:$G$101,MOD(8+$C15+(1),$B$3)+1)*J15+INDEX(Symboles!$G$6:$G$101,MOD(8+$C15+(2),$B$3)+1)*K15+INDEX(Symboles!$G$6:$G$101,MOD(8+$C15+(3),$B$3)+1)*L15+INDEX(Symboles!$G$6:$G$101,MOD(8+$C15+(4),$B$3)+1)*M15+IF($B$6=0,0,$B$6*NORMSINV(0.000001+0.999998*RAND())))</f>
        <v/>
      </c>
      <c r="Y15" s="30">
        <f>IF(10&gt;$B$3,99,INDEX(Symboles!$G$6:$G$101,MOD(9+$C15+(-4),$B$3)+1)*E15+INDEX(Symboles!$G$6:$G$101,MOD(9+$C15+(-3),$B$3)+1)*F15+INDEX(Symboles!$G$6:$G$101,MOD(9+$C15+(-2),$B$3)+1)*G15+INDEX(Symboles!$G$6:$G$101,MOD(9+$C15+(-1),$B$3)+1)*H15+INDEX(Symboles!$G$6:$G$101,MOD(9+$C15+(0),$B$3)+1)*I15+INDEX(Symboles!$G$6:$G$101,MOD(9+$C15+(1),$B$3)+1)*J15+INDEX(Symboles!$G$6:$G$101,MOD(9+$C15+(2),$B$3)+1)*K15+INDEX(Symboles!$G$6:$G$101,MOD(9+$C15+(3),$B$3)+1)*L15+INDEX(Symboles!$G$6:$G$101,MOD(9+$C15+(4),$B$3)+1)*M15+IF($B$6=0,0,$B$6*NORMSINV(0.000001+0.999998*RAND())))</f>
        <v/>
      </c>
      <c r="Z15" s="30">
        <f>IF(11&gt;$B$3,99,INDEX(Symboles!$G$6:$G$101,MOD(10+$C15+(-4),$B$3)+1)*E15+INDEX(Symboles!$G$6:$G$101,MOD(10+$C15+(-3),$B$3)+1)*F15+INDEX(Symboles!$G$6:$G$101,MOD(10+$C15+(-2),$B$3)+1)*G15+INDEX(Symboles!$G$6:$G$101,MOD(10+$C15+(-1),$B$3)+1)*H15+INDEX(Symboles!$G$6:$G$101,MOD(10+$C15+(0),$B$3)+1)*I15+INDEX(Symboles!$G$6:$G$101,MOD(10+$C15+(1),$B$3)+1)*J15+INDEX(Symboles!$G$6:$G$101,MOD(10+$C15+(2),$B$3)+1)*K15+INDEX(Symboles!$G$6:$G$101,MOD(10+$C15+(3),$B$3)+1)*L15+INDEX(Symboles!$G$6:$G$101,MOD(10+$C15+(4),$B$3)+1)*M15+IF($B$6=0,0,$B$6*NORMSINV(0.000001+0.999998*RAND())))</f>
        <v/>
      </c>
      <c r="AA15" s="30">
        <f>IF(12&gt;$B$3,99,INDEX(Symboles!$G$6:$G$101,MOD(11+$C15+(-4),$B$3)+1)*E15+INDEX(Symboles!$G$6:$G$101,MOD(11+$C15+(-3),$B$3)+1)*F15+INDEX(Symboles!$G$6:$G$101,MOD(11+$C15+(-2),$B$3)+1)*G15+INDEX(Symboles!$G$6:$G$101,MOD(11+$C15+(-1),$B$3)+1)*H15+INDEX(Symboles!$G$6:$G$101,MOD(11+$C15+(0),$B$3)+1)*I15+INDEX(Symboles!$G$6:$G$101,MOD(11+$C15+(1),$B$3)+1)*J15+INDEX(Symboles!$G$6:$G$101,MOD(11+$C15+(2),$B$3)+1)*K15+INDEX(Symboles!$G$6:$G$101,MOD(11+$C15+(3),$B$3)+1)*L15+INDEX(Symboles!$G$6:$G$101,MOD(11+$C15+(4),$B$3)+1)*M15+IF($B$6=0,0,$B$6*NORMSINV(0.000001+0.999998*RAND())))</f>
        <v/>
      </c>
      <c r="AB15" s="30">
        <f>IF(13&gt;$B$3,99,INDEX(Symboles!$G$6:$G$101,MOD(12+$C15+(-4),$B$3)+1)*E15+INDEX(Symboles!$G$6:$G$101,MOD(12+$C15+(-3),$B$3)+1)*F15+INDEX(Symboles!$G$6:$G$101,MOD(12+$C15+(-2),$B$3)+1)*G15+INDEX(Symboles!$G$6:$G$101,MOD(12+$C15+(-1),$B$3)+1)*H15+INDEX(Symboles!$G$6:$G$101,MOD(12+$C15+(0),$B$3)+1)*I15+INDEX(Symboles!$G$6:$G$101,MOD(12+$C15+(1),$B$3)+1)*J15+INDEX(Symboles!$G$6:$G$101,MOD(12+$C15+(2),$B$3)+1)*K15+INDEX(Symboles!$G$6:$G$101,MOD(12+$C15+(3),$B$3)+1)*L15+INDEX(Symboles!$G$6:$G$101,MOD(12+$C15+(4),$B$3)+1)*M15+IF($B$6=0,0,$B$6*NORMSINV(0.000001+0.999998*RAND())))</f>
        <v/>
      </c>
      <c r="AC15" s="30">
        <f>IF(14&gt;$B$3,99,INDEX(Symboles!$G$6:$G$101,MOD(13+$C15+(-4),$B$3)+1)*E15+INDEX(Symboles!$G$6:$G$101,MOD(13+$C15+(-3),$B$3)+1)*F15+INDEX(Symboles!$G$6:$G$101,MOD(13+$C15+(-2),$B$3)+1)*G15+INDEX(Symboles!$G$6:$G$101,MOD(13+$C15+(-1),$B$3)+1)*H15+INDEX(Symboles!$G$6:$G$101,MOD(13+$C15+(0),$B$3)+1)*I15+INDEX(Symboles!$G$6:$G$101,MOD(13+$C15+(1),$B$3)+1)*J15+INDEX(Symboles!$G$6:$G$101,MOD(13+$C15+(2),$B$3)+1)*K15+INDEX(Symboles!$G$6:$G$101,MOD(13+$C15+(3),$B$3)+1)*L15+INDEX(Symboles!$G$6:$G$101,MOD(13+$C15+(4),$B$3)+1)*M15+IF($B$6=0,0,$B$6*NORMSINV(0.000001+0.999998*RAND())))</f>
        <v/>
      </c>
      <c r="AD15" s="30">
        <f>IF(15&gt;$B$3,99,INDEX(Symboles!$G$6:$G$101,MOD(14+$C15+(-4),$B$3)+1)*E15+INDEX(Symboles!$G$6:$G$101,MOD(14+$C15+(-3),$B$3)+1)*F15+INDEX(Symboles!$G$6:$G$101,MOD(14+$C15+(-2),$B$3)+1)*G15+INDEX(Symboles!$G$6:$G$101,MOD(14+$C15+(-1),$B$3)+1)*H15+INDEX(Symboles!$G$6:$G$101,MOD(14+$C15+(0),$B$3)+1)*I15+INDEX(Symboles!$G$6:$G$101,MOD(14+$C15+(1),$B$3)+1)*J15+INDEX(Symboles!$G$6:$G$101,MOD(14+$C15+(2),$B$3)+1)*K15+INDEX(Symboles!$G$6:$G$101,MOD(14+$C15+(3),$B$3)+1)*L15+INDEX(Symboles!$G$6:$G$101,MOD(14+$C15+(4),$B$3)+1)*M15+IF($B$6=0,0,$B$6*NORMSINV(0.000001+0.999998*RAND())))</f>
        <v/>
      </c>
      <c r="AE15" s="30">
        <f>IF(16&gt;$B$3,99,INDEX(Symboles!$G$6:$G$101,MOD(15+$C15+(-4),$B$3)+1)*E15+INDEX(Symboles!$G$6:$G$101,MOD(15+$C15+(-3),$B$3)+1)*F15+INDEX(Symboles!$G$6:$G$101,MOD(15+$C15+(-2),$B$3)+1)*G15+INDEX(Symboles!$G$6:$G$101,MOD(15+$C15+(-1),$B$3)+1)*H15+INDEX(Symboles!$G$6:$G$101,MOD(15+$C15+(0),$B$3)+1)*I15+INDEX(Symboles!$G$6:$G$101,MOD(15+$C15+(1),$B$3)+1)*J15+INDEX(Symboles!$G$6:$G$101,MOD(15+$C15+(2),$B$3)+1)*K15+INDEX(Symboles!$G$6:$G$101,MOD(15+$C15+(3),$B$3)+1)*L15+INDEX(Symboles!$G$6:$G$101,MOD(15+$C15+(4),$B$3)+1)*M15+IF($B$6=0,0,$B$6*NORMSINV(0.000001+0.999998*RAND())))</f>
        <v/>
      </c>
      <c r="AF15" s="30">
        <f>IF(17&gt;$B$3,99,INDEX(Symboles!$G$6:$G$101,MOD(16+$C15+(-4),$B$3)+1)*E15+INDEX(Symboles!$G$6:$G$101,MOD(16+$C15+(-3),$B$3)+1)*F15+INDEX(Symboles!$G$6:$G$101,MOD(16+$C15+(-2),$B$3)+1)*G15+INDEX(Symboles!$G$6:$G$101,MOD(16+$C15+(-1),$B$3)+1)*H15+INDEX(Symboles!$G$6:$G$101,MOD(16+$C15+(0),$B$3)+1)*I15+INDEX(Symboles!$G$6:$G$101,MOD(16+$C15+(1),$B$3)+1)*J15+INDEX(Symboles!$G$6:$G$101,MOD(16+$C15+(2),$B$3)+1)*K15+INDEX(Symboles!$G$6:$G$101,MOD(16+$C15+(3),$B$3)+1)*L15+INDEX(Symboles!$G$6:$G$101,MOD(16+$C15+(4),$B$3)+1)*M15+IF($B$6=0,0,$B$6*NORMSINV(0.000001+0.999998*RAND())))</f>
        <v/>
      </c>
      <c r="AG15" s="30">
        <f>IF(18&gt;$B$3,99,INDEX(Symboles!$G$6:$G$101,MOD(17+$C15+(-4),$B$3)+1)*E15+INDEX(Symboles!$G$6:$G$101,MOD(17+$C15+(-3),$B$3)+1)*F15+INDEX(Symboles!$G$6:$G$101,MOD(17+$C15+(-2),$B$3)+1)*G15+INDEX(Symboles!$G$6:$G$101,MOD(17+$C15+(-1),$B$3)+1)*H15+INDEX(Symboles!$G$6:$G$101,MOD(17+$C15+(0),$B$3)+1)*I15+INDEX(Symboles!$G$6:$G$101,MOD(17+$C15+(1),$B$3)+1)*J15+INDEX(Symboles!$G$6:$G$101,MOD(17+$C15+(2),$B$3)+1)*K15+INDEX(Symboles!$G$6:$G$101,MOD(17+$C15+(3),$B$3)+1)*L15+INDEX(Symboles!$G$6:$G$101,MOD(17+$C15+(4),$B$3)+1)*M15+IF($B$6=0,0,$B$6*NORMSINV(0.000001+0.999998*RAND())))</f>
        <v/>
      </c>
      <c r="AH15" s="30">
        <f>IF(19&gt;$B$3,99,INDEX(Symboles!$G$6:$G$101,MOD(18+$C15+(-4),$B$3)+1)*E15+INDEX(Symboles!$G$6:$G$101,MOD(18+$C15+(-3),$B$3)+1)*F15+INDEX(Symboles!$G$6:$G$101,MOD(18+$C15+(-2),$B$3)+1)*G15+INDEX(Symboles!$G$6:$G$101,MOD(18+$C15+(-1),$B$3)+1)*H15+INDEX(Symboles!$G$6:$G$101,MOD(18+$C15+(0),$B$3)+1)*I15+INDEX(Symboles!$G$6:$G$101,MOD(18+$C15+(1),$B$3)+1)*J15+INDEX(Symboles!$G$6:$G$101,MOD(18+$C15+(2),$B$3)+1)*K15+INDEX(Symboles!$G$6:$G$101,MOD(18+$C15+(3),$B$3)+1)*L15+INDEX(Symboles!$G$6:$G$101,MOD(18+$C15+(4),$B$3)+1)*M15+IF($B$6=0,0,$B$6*NORMSINV(0.000001+0.999998*RAND())))</f>
        <v/>
      </c>
      <c r="AI15" s="30">
        <f>IF(20&gt;$B$3,99,INDEX(Symboles!$G$6:$G$101,MOD(19+$C15+(-4),$B$3)+1)*E15+INDEX(Symboles!$G$6:$G$101,MOD(19+$C15+(-3),$B$3)+1)*F15+INDEX(Symboles!$G$6:$G$101,MOD(19+$C15+(-2),$B$3)+1)*G15+INDEX(Symboles!$G$6:$G$101,MOD(19+$C15+(-1),$B$3)+1)*H15+INDEX(Symboles!$G$6:$G$101,MOD(19+$C15+(0),$B$3)+1)*I15+INDEX(Symboles!$G$6:$G$101,MOD(19+$C15+(1),$B$3)+1)*J15+INDEX(Symboles!$G$6:$G$101,MOD(19+$C15+(2),$B$3)+1)*K15+INDEX(Symboles!$G$6:$G$101,MOD(19+$C15+(3),$B$3)+1)*L15+INDEX(Symboles!$G$6:$G$101,MOD(19+$C15+(4),$B$3)+1)*M15+IF($B$6=0,0,$B$6*NORMSINV(0.000001+0.999998*RAND())))</f>
        <v/>
      </c>
      <c r="AJ15" s="30">
        <f>IF(21&gt;$B$3,99,INDEX(Symboles!$G$6:$G$101,MOD(20+$C15+(-4),$B$3)+1)*E15+INDEX(Symboles!$G$6:$G$101,MOD(20+$C15+(-3),$B$3)+1)*F15+INDEX(Symboles!$G$6:$G$101,MOD(20+$C15+(-2),$B$3)+1)*G15+INDEX(Symboles!$G$6:$G$101,MOD(20+$C15+(-1),$B$3)+1)*H15+INDEX(Symboles!$G$6:$G$101,MOD(20+$C15+(0),$B$3)+1)*I15+INDEX(Symboles!$G$6:$G$101,MOD(20+$C15+(1),$B$3)+1)*J15+INDEX(Symboles!$G$6:$G$101,MOD(20+$C15+(2),$B$3)+1)*K15+INDEX(Symboles!$G$6:$G$101,MOD(20+$C15+(3),$B$3)+1)*L15+INDEX(Symboles!$G$6:$G$101,MOD(20+$C15+(4),$B$3)+1)*M15+IF($B$6=0,0,$B$6*NORMSINV(0.000001+0.999998*RAND())))</f>
        <v/>
      </c>
      <c r="AK15" s="30">
        <f>IF(22&gt;$B$3,99,INDEX(Symboles!$G$6:$G$101,MOD(21+$C15+(-4),$B$3)+1)*E15+INDEX(Symboles!$G$6:$G$101,MOD(21+$C15+(-3),$B$3)+1)*F15+INDEX(Symboles!$G$6:$G$101,MOD(21+$C15+(-2),$B$3)+1)*G15+INDEX(Symboles!$G$6:$G$101,MOD(21+$C15+(-1),$B$3)+1)*H15+INDEX(Symboles!$G$6:$G$101,MOD(21+$C15+(0),$B$3)+1)*I15+INDEX(Symboles!$G$6:$G$101,MOD(21+$C15+(1),$B$3)+1)*J15+INDEX(Symboles!$G$6:$G$101,MOD(21+$C15+(2),$B$3)+1)*K15+INDEX(Symboles!$G$6:$G$101,MOD(21+$C15+(3),$B$3)+1)*L15+INDEX(Symboles!$G$6:$G$101,MOD(21+$C15+(4),$B$3)+1)*M15+IF($B$6=0,0,$B$6*NORMSINV(0.000001+0.999998*RAND())))</f>
        <v/>
      </c>
      <c r="AL15" s="30">
        <f>IF(23&gt;$B$3,99,INDEX(Symboles!$G$6:$G$101,MOD(22+$C15+(-4),$B$3)+1)*E15+INDEX(Symboles!$G$6:$G$101,MOD(22+$C15+(-3),$B$3)+1)*F15+INDEX(Symboles!$G$6:$G$101,MOD(22+$C15+(-2),$B$3)+1)*G15+INDEX(Symboles!$G$6:$G$101,MOD(22+$C15+(-1),$B$3)+1)*H15+INDEX(Symboles!$G$6:$G$101,MOD(22+$C15+(0),$B$3)+1)*I15+INDEX(Symboles!$G$6:$G$101,MOD(22+$C15+(1),$B$3)+1)*J15+INDEX(Symboles!$G$6:$G$101,MOD(22+$C15+(2),$B$3)+1)*K15+INDEX(Symboles!$G$6:$G$101,MOD(22+$C15+(3),$B$3)+1)*L15+INDEX(Symboles!$G$6:$G$101,MOD(22+$C15+(4),$B$3)+1)*M15+IF($B$6=0,0,$B$6*NORMSINV(0.000001+0.999998*RAND())))</f>
        <v/>
      </c>
      <c r="AM15" s="30">
        <f>IF(24&gt;$B$3,99,INDEX(Symboles!$G$6:$G$101,MOD(23+$C15+(-4),$B$3)+1)*E15+INDEX(Symboles!$G$6:$G$101,MOD(23+$C15+(-3),$B$3)+1)*F15+INDEX(Symboles!$G$6:$G$101,MOD(23+$C15+(-2),$B$3)+1)*G15+INDEX(Symboles!$G$6:$G$101,MOD(23+$C15+(-1),$B$3)+1)*H15+INDEX(Symboles!$G$6:$G$101,MOD(23+$C15+(0),$B$3)+1)*I15+INDEX(Symboles!$G$6:$G$101,MOD(23+$C15+(1),$B$3)+1)*J15+INDEX(Symboles!$G$6:$G$101,MOD(23+$C15+(2),$B$3)+1)*K15+INDEX(Symboles!$G$6:$G$101,MOD(23+$C15+(3),$B$3)+1)*L15+INDEX(Symboles!$G$6:$G$101,MOD(23+$C15+(4),$B$3)+1)*M15+IF($B$6=0,0,$B$6*NORMSINV(0.000001+0.999998*RAND())))</f>
        <v/>
      </c>
      <c r="AN15" s="30">
        <f>IF(25&gt;$B$3,99,INDEX(Symboles!$G$6:$G$101,MOD(24+$C15+(-4),$B$3)+1)*E15+INDEX(Symboles!$G$6:$G$101,MOD(24+$C15+(-3),$B$3)+1)*F15+INDEX(Symboles!$G$6:$G$101,MOD(24+$C15+(-2),$B$3)+1)*G15+INDEX(Symboles!$G$6:$G$101,MOD(24+$C15+(-1),$B$3)+1)*H15+INDEX(Symboles!$G$6:$G$101,MOD(24+$C15+(0),$B$3)+1)*I15+INDEX(Symboles!$G$6:$G$101,MOD(24+$C15+(1),$B$3)+1)*J15+INDEX(Symboles!$G$6:$G$101,MOD(24+$C15+(2),$B$3)+1)*K15+INDEX(Symboles!$G$6:$G$101,MOD(24+$C15+(3),$B$3)+1)*L15+INDEX(Symboles!$G$6:$G$101,MOD(24+$C15+(4),$B$3)+1)*M15+IF($B$6=0,0,$B$6*NORMSINV(0.000001+0.999998*RAND())))</f>
        <v/>
      </c>
      <c r="AO15" s="30">
        <f>IF(26&gt;$B$3,99,INDEX(Symboles!$G$6:$G$101,MOD(25+$C15+(-4),$B$3)+1)*E15+INDEX(Symboles!$G$6:$G$101,MOD(25+$C15+(-3),$B$3)+1)*F15+INDEX(Symboles!$G$6:$G$101,MOD(25+$C15+(-2),$B$3)+1)*G15+INDEX(Symboles!$G$6:$G$101,MOD(25+$C15+(-1),$B$3)+1)*H15+INDEX(Symboles!$G$6:$G$101,MOD(25+$C15+(0),$B$3)+1)*I15+INDEX(Symboles!$G$6:$G$101,MOD(25+$C15+(1),$B$3)+1)*J15+INDEX(Symboles!$G$6:$G$101,MOD(25+$C15+(2),$B$3)+1)*K15+INDEX(Symboles!$G$6:$G$101,MOD(25+$C15+(3),$B$3)+1)*L15+INDEX(Symboles!$G$6:$G$101,MOD(25+$C15+(4),$B$3)+1)*M15+IF($B$6=0,0,$B$6*NORMSINV(0.000001+0.999998*RAND())))</f>
        <v/>
      </c>
      <c r="AP15" s="30">
        <f>IF(27&gt;$B$3,99,INDEX(Symboles!$G$6:$G$101,MOD(26+$C15+(-4),$B$3)+1)*E15+INDEX(Symboles!$G$6:$G$101,MOD(26+$C15+(-3),$B$3)+1)*F15+INDEX(Symboles!$G$6:$G$101,MOD(26+$C15+(-2),$B$3)+1)*G15+INDEX(Symboles!$G$6:$G$101,MOD(26+$C15+(-1),$B$3)+1)*H15+INDEX(Symboles!$G$6:$G$101,MOD(26+$C15+(0),$B$3)+1)*I15+INDEX(Symboles!$G$6:$G$101,MOD(26+$C15+(1),$B$3)+1)*J15+INDEX(Symboles!$G$6:$G$101,MOD(26+$C15+(2),$B$3)+1)*K15+INDEX(Symboles!$G$6:$G$101,MOD(26+$C15+(3),$B$3)+1)*L15+INDEX(Symboles!$G$6:$G$101,MOD(26+$C15+(4),$B$3)+1)*M15+IF($B$6=0,0,$B$6*NORMSINV(0.000001+0.999998*RAND())))</f>
        <v/>
      </c>
      <c r="AQ15" s="30">
        <f>IF(28&gt;$B$3,99,INDEX(Symboles!$G$6:$G$101,MOD(27+$C15+(-4),$B$3)+1)*E15+INDEX(Symboles!$G$6:$G$101,MOD(27+$C15+(-3),$B$3)+1)*F15+INDEX(Symboles!$G$6:$G$101,MOD(27+$C15+(-2),$B$3)+1)*G15+INDEX(Symboles!$G$6:$G$101,MOD(27+$C15+(-1),$B$3)+1)*H15+INDEX(Symboles!$G$6:$G$101,MOD(27+$C15+(0),$B$3)+1)*I15+INDEX(Symboles!$G$6:$G$101,MOD(27+$C15+(1),$B$3)+1)*J15+INDEX(Symboles!$G$6:$G$101,MOD(27+$C15+(2),$B$3)+1)*K15+INDEX(Symboles!$G$6:$G$101,MOD(27+$C15+(3),$B$3)+1)*L15+INDEX(Symboles!$G$6:$G$101,MOD(27+$C15+(4),$B$3)+1)*M15+IF($B$6=0,0,$B$6*NORMSINV(0.000001+0.999998*RAND())))</f>
        <v/>
      </c>
      <c r="AR15" s="30">
        <f>IF(29&gt;$B$3,99,INDEX(Symboles!$G$6:$G$101,MOD(28+$C15+(-4),$B$3)+1)*E15+INDEX(Symboles!$G$6:$G$101,MOD(28+$C15+(-3),$B$3)+1)*F15+INDEX(Symboles!$G$6:$G$101,MOD(28+$C15+(-2),$B$3)+1)*G15+INDEX(Symboles!$G$6:$G$101,MOD(28+$C15+(-1),$B$3)+1)*H15+INDEX(Symboles!$G$6:$G$101,MOD(28+$C15+(0),$B$3)+1)*I15+INDEX(Symboles!$G$6:$G$101,MOD(28+$C15+(1),$B$3)+1)*J15+INDEX(Symboles!$G$6:$G$101,MOD(28+$C15+(2),$B$3)+1)*K15+INDEX(Symboles!$G$6:$G$101,MOD(28+$C15+(3),$B$3)+1)*L15+INDEX(Symboles!$G$6:$G$101,MOD(28+$C15+(4),$B$3)+1)*M15+IF($B$6=0,0,$B$6*NORMSINV(0.000001+0.999998*RAND())))</f>
        <v/>
      </c>
      <c r="AS15" s="30">
        <f>IF(30&gt;$B$3,99,INDEX(Symboles!$G$6:$G$101,MOD(29+$C15+(-4),$B$3)+1)*E15+INDEX(Symboles!$G$6:$G$101,MOD(29+$C15+(-3),$B$3)+1)*F15+INDEX(Symboles!$G$6:$G$101,MOD(29+$C15+(-2),$B$3)+1)*G15+INDEX(Symboles!$G$6:$G$101,MOD(29+$C15+(-1),$B$3)+1)*H15+INDEX(Symboles!$G$6:$G$101,MOD(29+$C15+(0),$B$3)+1)*I15+INDEX(Symboles!$G$6:$G$101,MOD(29+$C15+(1),$B$3)+1)*J15+INDEX(Symboles!$G$6:$G$101,MOD(29+$C15+(2),$B$3)+1)*K15+INDEX(Symboles!$G$6:$G$101,MOD(29+$C15+(3),$B$3)+1)*L15+INDEX(Symboles!$G$6:$G$101,MOD(29+$C15+(4),$B$3)+1)*M15+IF($B$6=0,0,$B$6*NORMSINV(0.000001+0.999998*RAND())))</f>
        <v/>
      </c>
      <c r="AT15" s="30">
        <f>IF(31&gt;$B$3,99,INDEX(Symboles!$G$6:$G$101,MOD(30+$C15+(-4),$B$3)+1)*E15+INDEX(Symboles!$G$6:$G$101,MOD(30+$C15+(-3),$B$3)+1)*F15+INDEX(Symboles!$G$6:$G$101,MOD(30+$C15+(-2),$B$3)+1)*G15+INDEX(Symboles!$G$6:$G$101,MOD(30+$C15+(-1),$B$3)+1)*H15+INDEX(Symboles!$G$6:$G$101,MOD(30+$C15+(0),$B$3)+1)*I15+INDEX(Symboles!$G$6:$G$101,MOD(30+$C15+(1),$B$3)+1)*J15+INDEX(Symboles!$G$6:$G$101,MOD(30+$C15+(2),$B$3)+1)*K15+INDEX(Symboles!$G$6:$G$101,MOD(30+$C15+(3),$B$3)+1)*L15+INDEX(Symboles!$G$6:$G$101,MOD(30+$C15+(4),$B$3)+1)*M15+IF($B$6=0,0,$B$6*NORMSINV(0.000001+0.999998*RAND())))</f>
        <v/>
      </c>
      <c r="AU15" s="30">
        <f>IF(32&gt;$B$3,99,INDEX(Symboles!$G$6:$G$101,MOD(31+$C15+(-4),$B$3)+1)*E15+INDEX(Symboles!$G$6:$G$101,MOD(31+$C15+(-3),$B$3)+1)*F15+INDEX(Symboles!$G$6:$G$101,MOD(31+$C15+(-2),$B$3)+1)*G15+INDEX(Symboles!$G$6:$G$101,MOD(31+$C15+(-1),$B$3)+1)*H15+INDEX(Symboles!$G$6:$G$101,MOD(31+$C15+(0),$B$3)+1)*I15+INDEX(Symboles!$G$6:$G$101,MOD(31+$C15+(1),$B$3)+1)*J15+INDEX(Symboles!$G$6:$G$101,MOD(31+$C15+(2),$B$3)+1)*K15+INDEX(Symboles!$G$6:$G$101,MOD(31+$C15+(3),$B$3)+1)*L15+INDEX(Symboles!$G$6:$G$101,MOD(31+$C15+(4),$B$3)+1)*M15+IF($B$6=0,0,$B$6*NORMSINV(0.000001+0.999998*RAND())))</f>
        <v/>
      </c>
      <c r="AV15" s="30">
        <f>IF(33&gt;$B$3,99,INDEX(Symboles!$G$6:$G$101,MOD(32+$C15+(-4),$B$3)+1)*E15+INDEX(Symboles!$G$6:$G$101,MOD(32+$C15+(-3),$B$3)+1)*F15+INDEX(Symboles!$G$6:$G$101,MOD(32+$C15+(-2),$B$3)+1)*G15+INDEX(Symboles!$G$6:$G$101,MOD(32+$C15+(-1),$B$3)+1)*H15+INDEX(Symboles!$G$6:$G$101,MOD(32+$C15+(0),$B$3)+1)*I15+INDEX(Symboles!$G$6:$G$101,MOD(32+$C15+(1),$B$3)+1)*J15+INDEX(Symboles!$G$6:$G$101,MOD(32+$C15+(2),$B$3)+1)*K15+INDEX(Symboles!$G$6:$G$101,MOD(32+$C15+(3),$B$3)+1)*L15+INDEX(Symboles!$G$6:$G$101,MOD(32+$C15+(4),$B$3)+1)*M15+IF($B$6=0,0,$B$6*NORMSINV(0.000001+0.999998*RAND())))</f>
        <v/>
      </c>
      <c r="AW15" s="30">
        <f>IF(34&gt;$B$3,99,INDEX(Symboles!$G$6:$G$101,MOD(33+$C15+(-4),$B$3)+1)*E15+INDEX(Symboles!$G$6:$G$101,MOD(33+$C15+(-3),$B$3)+1)*F15+INDEX(Symboles!$G$6:$G$101,MOD(33+$C15+(-2),$B$3)+1)*G15+INDEX(Symboles!$G$6:$G$101,MOD(33+$C15+(-1),$B$3)+1)*H15+INDEX(Symboles!$G$6:$G$101,MOD(33+$C15+(0),$B$3)+1)*I15+INDEX(Symboles!$G$6:$G$101,MOD(33+$C15+(1),$B$3)+1)*J15+INDEX(Symboles!$G$6:$G$101,MOD(33+$C15+(2),$B$3)+1)*K15+INDEX(Symboles!$G$6:$G$101,MOD(33+$C15+(3),$B$3)+1)*L15+INDEX(Symboles!$G$6:$G$101,MOD(33+$C15+(4),$B$3)+1)*M15+IF($B$6=0,0,$B$6*NORMSINV(0.000001+0.999998*RAND())))</f>
        <v/>
      </c>
      <c r="AX15" s="30">
        <f>IF(35&gt;$B$3,99,INDEX(Symboles!$G$6:$G$101,MOD(34+$C15+(-4),$B$3)+1)*E15+INDEX(Symboles!$G$6:$G$101,MOD(34+$C15+(-3),$B$3)+1)*F15+INDEX(Symboles!$G$6:$G$101,MOD(34+$C15+(-2),$B$3)+1)*G15+INDEX(Symboles!$G$6:$G$101,MOD(34+$C15+(-1),$B$3)+1)*H15+INDEX(Symboles!$G$6:$G$101,MOD(34+$C15+(0),$B$3)+1)*I15+INDEX(Symboles!$G$6:$G$101,MOD(34+$C15+(1),$B$3)+1)*J15+INDEX(Symboles!$G$6:$G$101,MOD(34+$C15+(2),$B$3)+1)*K15+INDEX(Symboles!$G$6:$G$101,MOD(34+$C15+(3),$B$3)+1)*L15+INDEX(Symboles!$G$6:$G$101,MOD(34+$C15+(4),$B$3)+1)*M15+IF($B$6=0,0,$B$6*NORMSINV(0.000001+0.999998*RAND())))</f>
        <v/>
      </c>
      <c r="AY15" s="30">
        <f>IF(36&gt;$B$3,99,INDEX(Symboles!$G$6:$G$101,MOD(35+$C15+(-4),$B$3)+1)*E15+INDEX(Symboles!$G$6:$G$101,MOD(35+$C15+(-3),$B$3)+1)*F15+INDEX(Symboles!$G$6:$G$101,MOD(35+$C15+(-2),$B$3)+1)*G15+INDEX(Symboles!$G$6:$G$101,MOD(35+$C15+(-1),$B$3)+1)*H15+INDEX(Symboles!$G$6:$G$101,MOD(35+$C15+(0),$B$3)+1)*I15+INDEX(Symboles!$G$6:$G$101,MOD(35+$C15+(1),$B$3)+1)*J15+INDEX(Symboles!$G$6:$G$101,MOD(35+$C15+(2),$B$3)+1)*K15+INDEX(Symboles!$G$6:$G$101,MOD(35+$C15+(3),$B$3)+1)*L15+INDEX(Symboles!$G$6:$G$101,MOD(35+$C15+(4),$B$3)+1)*M15+IF($B$6=0,0,$B$6*NORMSINV(0.000001+0.999998*RAND())))</f>
        <v/>
      </c>
      <c r="AZ15" s="30">
        <f>IF(37&gt;$B$3,99,INDEX(Symboles!$G$6:$G$101,MOD(36+$C15+(-4),$B$3)+1)*E15+INDEX(Symboles!$G$6:$G$101,MOD(36+$C15+(-3),$B$3)+1)*F15+INDEX(Symboles!$G$6:$G$101,MOD(36+$C15+(-2),$B$3)+1)*G15+INDEX(Symboles!$G$6:$G$101,MOD(36+$C15+(-1),$B$3)+1)*H15+INDEX(Symboles!$G$6:$G$101,MOD(36+$C15+(0),$B$3)+1)*I15+INDEX(Symboles!$G$6:$G$101,MOD(36+$C15+(1),$B$3)+1)*J15+INDEX(Symboles!$G$6:$G$101,MOD(36+$C15+(2),$B$3)+1)*K15+INDEX(Symboles!$G$6:$G$101,MOD(36+$C15+(3),$B$3)+1)*L15+INDEX(Symboles!$G$6:$G$101,MOD(36+$C15+(4),$B$3)+1)*M15+IF($B$6=0,0,$B$6*NORMSINV(0.000001+0.999998*RAND())))</f>
        <v/>
      </c>
      <c r="BA15" s="30">
        <f>IF(38&gt;$B$3,99,INDEX(Symboles!$G$6:$G$101,MOD(37+$C15+(-4),$B$3)+1)*E15+INDEX(Symboles!$G$6:$G$101,MOD(37+$C15+(-3),$B$3)+1)*F15+INDEX(Symboles!$G$6:$G$101,MOD(37+$C15+(-2),$B$3)+1)*G15+INDEX(Symboles!$G$6:$G$101,MOD(37+$C15+(-1),$B$3)+1)*H15+INDEX(Symboles!$G$6:$G$101,MOD(37+$C15+(0),$B$3)+1)*I15+INDEX(Symboles!$G$6:$G$101,MOD(37+$C15+(1),$B$3)+1)*J15+INDEX(Symboles!$G$6:$G$101,MOD(37+$C15+(2),$B$3)+1)*K15+INDEX(Symboles!$G$6:$G$101,MOD(37+$C15+(3),$B$3)+1)*L15+INDEX(Symboles!$G$6:$G$101,MOD(37+$C15+(4),$B$3)+1)*M15+IF($B$6=0,0,$B$6*NORMSINV(0.000001+0.999998*RAND())))</f>
        <v/>
      </c>
      <c r="BB15" s="30">
        <f>IF(39&gt;$B$3,99,INDEX(Symboles!$G$6:$G$101,MOD(38+$C15+(-4),$B$3)+1)*E15+INDEX(Symboles!$G$6:$G$101,MOD(38+$C15+(-3),$B$3)+1)*F15+INDEX(Symboles!$G$6:$G$101,MOD(38+$C15+(-2),$B$3)+1)*G15+INDEX(Symboles!$G$6:$G$101,MOD(38+$C15+(-1),$B$3)+1)*H15+INDEX(Symboles!$G$6:$G$101,MOD(38+$C15+(0),$B$3)+1)*I15+INDEX(Symboles!$G$6:$G$101,MOD(38+$C15+(1),$B$3)+1)*J15+INDEX(Symboles!$G$6:$G$101,MOD(38+$C15+(2),$B$3)+1)*K15+INDEX(Symboles!$G$6:$G$101,MOD(38+$C15+(3),$B$3)+1)*L15+INDEX(Symboles!$G$6:$G$101,MOD(38+$C15+(4),$B$3)+1)*M15+IF($B$6=0,0,$B$6*NORMSINV(0.000001+0.999998*RAND())))</f>
        <v/>
      </c>
      <c r="BC15" s="30">
        <f>IF(40&gt;$B$3,99,INDEX(Symboles!$G$6:$G$101,MOD(39+$C15+(-4),$B$3)+1)*E15+INDEX(Symboles!$G$6:$G$101,MOD(39+$C15+(-3),$B$3)+1)*F15+INDEX(Symboles!$G$6:$G$101,MOD(39+$C15+(-2),$B$3)+1)*G15+INDEX(Symboles!$G$6:$G$101,MOD(39+$C15+(-1),$B$3)+1)*H15+INDEX(Symboles!$G$6:$G$101,MOD(39+$C15+(0),$B$3)+1)*I15+INDEX(Symboles!$G$6:$G$101,MOD(39+$C15+(1),$B$3)+1)*J15+INDEX(Symboles!$G$6:$G$101,MOD(39+$C15+(2),$B$3)+1)*K15+INDEX(Symboles!$G$6:$G$101,MOD(39+$C15+(3),$B$3)+1)*L15+INDEX(Symboles!$G$6:$G$101,MOD(39+$C15+(4),$B$3)+1)*M15+IF($B$6=0,0,$B$6*NORMSINV(0.000001+0.999998*RAND())))</f>
        <v/>
      </c>
      <c r="BD15" s="30">
        <f>IF(41&gt;$B$3,99,INDEX(Symboles!$G$6:$G$101,MOD(40+$C15+(-4),$B$3)+1)*E15+INDEX(Symboles!$G$6:$G$101,MOD(40+$C15+(-3),$B$3)+1)*F15+INDEX(Symboles!$G$6:$G$101,MOD(40+$C15+(-2),$B$3)+1)*G15+INDEX(Symboles!$G$6:$G$101,MOD(40+$C15+(-1),$B$3)+1)*H15+INDEX(Symboles!$G$6:$G$101,MOD(40+$C15+(0),$B$3)+1)*I15+INDEX(Symboles!$G$6:$G$101,MOD(40+$C15+(1),$B$3)+1)*J15+INDEX(Symboles!$G$6:$G$101,MOD(40+$C15+(2),$B$3)+1)*K15+INDEX(Symboles!$G$6:$G$101,MOD(40+$C15+(3),$B$3)+1)*L15+INDEX(Symboles!$G$6:$G$101,MOD(40+$C15+(4),$B$3)+1)*M15+IF($B$6=0,0,$B$6*NORMSINV(0.000001+0.999998*RAND())))</f>
        <v/>
      </c>
      <c r="BE15" s="30">
        <f>IF(42&gt;$B$3,99,INDEX(Symboles!$G$6:$G$101,MOD(41+$C15+(-4),$B$3)+1)*E15+INDEX(Symboles!$G$6:$G$101,MOD(41+$C15+(-3),$B$3)+1)*F15+INDEX(Symboles!$G$6:$G$101,MOD(41+$C15+(-2),$B$3)+1)*G15+INDEX(Symboles!$G$6:$G$101,MOD(41+$C15+(-1),$B$3)+1)*H15+INDEX(Symboles!$G$6:$G$101,MOD(41+$C15+(0),$B$3)+1)*I15+INDEX(Symboles!$G$6:$G$101,MOD(41+$C15+(1),$B$3)+1)*J15+INDEX(Symboles!$G$6:$G$101,MOD(41+$C15+(2),$B$3)+1)*K15+INDEX(Symboles!$G$6:$G$101,MOD(41+$C15+(3),$B$3)+1)*L15+INDEX(Symboles!$G$6:$G$101,MOD(41+$C15+(4),$B$3)+1)*M15+IF($B$6=0,0,$B$6*NORMSINV(0.000001+0.999998*RAND())))</f>
        <v/>
      </c>
      <c r="BF15" s="30">
        <f>IF(43&gt;$B$3,99,INDEX(Symboles!$G$6:$G$101,MOD(42+$C15+(-4),$B$3)+1)*E15+INDEX(Symboles!$G$6:$G$101,MOD(42+$C15+(-3),$B$3)+1)*F15+INDEX(Symboles!$G$6:$G$101,MOD(42+$C15+(-2),$B$3)+1)*G15+INDEX(Symboles!$G$6:$G$101,MOD(42+$C15+(-1),$B$3)+1)*H15+INDEX(Symboles!$G$6:$G$101,MOD(42+$C15+(0),$B$3)+1)*I15+INDEX(Symboles!$G$6:$G$101,MOD(42+$C15+(1),$B$3)+1)*J15+INDEX(Symboles!$G$6:$G$101,MOD(42+$C15+(2),$B$3)+1)*K15+INDEX(Symboles!$G$6:$G$101,MOD(42+$C15+(3),$B$3)+1)*L15+INDEX(Symboles!$G$6:$G$101,MOD(42+$C15+(4),$B$3)+1)*M15+IF($B$6=0,0,$B$6*NORMSINV(0.000001+0.999998*RAND())))</f>
        <v/>
      </c>
      <c r="BG15" s="30">
        <f>IF(44&gt;$B$3,99,INDEX(Symboles!$G$6:$G$101,MOD(43+$C15+(-4),$B$3)+1)*E15+INDEX(Symboles!$G$6:$G$101,MOD(43+$C15+(-3),$B$3)+1)*F15+INDEX(Symboles!$G$6:$G$101,MOD(43+$C15+(-2),$B$3)+1)*G15+INDEX(Symboles!$G$6:$G$101,MOD(43+$C15+(-1),$B$3)+1)*H15+INDEX(Symboles!$G$6:$G$101,MOD(43+$C15+(0),$B$3)+1)*I15+INDEX(Symboles!$G$6:$G$101,MOD(43+$C15+(1),$B$3)+1)*J15+INDEX(Symboles!$G$6:$G$101,MOD(43+$C15+(2),$B$3)+1)*K15+INDEX(Symboles!$G$6:$G$101,MOD(43+$C15+(3),$B$3)+1)*L15+INDEX(Symboles!$G$6:$G$101,MOD(43+$C15+(4),$B$3)+1)*M15+IF($B$6=0,0,$B$6*NORMSINV(0.000001+0.999998*RAND())))</f>
        <v/>
      </c>
      <c r="BH15" s="30">
        <f>IF(45&gt;$B$3,99,INDEX(Symboles!$G$6:$G$101,MOD(44+$C15+(-4),$B$3)+1)*E15+INDEX(Symboles!$G$6:$G$101,MOD(44+$C15+(-3),$B$3)+1)*F15+INDEX(Symboles!$G$6:$G$101,MOD(44+$C15+(-2),$B$3)+1)*G15+INDEX(Symboles!$G$6:$G$101,MOD(44+$C15+(-1),$B$3)+1)*H15+INDEX(Symboles!$G$6:$G$101,MOD(44+$C15+(0),$B$3)+1)*I15+INDEX(Symboles!$G$6:$G$101,MOD(44+$C15+(1),$B$3)+1)*J15+INDEX(Symboles!$G$6:$G$101,MOD(44+$C15+(2),$B$3)+1)*K15+INDEX(Symboles!$G$6:$G$101,MOD(44+$C15+(3),$B$3)+1)*L15+INDEX(Symboles!$G$6:$G$101,MOD(44+$C15+(4),$B$3)+1)*M15+IF($B$6=0,0,$B$6*NORMSINV(0.000001+0.999998*RAND())))</f>
        <v/>
      </c>
      <c r="BI15" s="30">
        <f>IF(46&gt;$B$3,99,INDEX(Symboles!$G$6:$G$101,MOD(45+$C15+(-4),$B$3)+1)*E15+INDEX(Symboles!$G$6:$G$101,MOD(45+$C15+(-3),$B$3)+1)*F15+INDEX(Symboles!$G$6:$G$101,MOD(45+$C15+(-2),$B$3)+1)*G15+INDEX(Symboles!$G$6:$G$101,MOD(45+$C15+(-1),$B$3)+1)*H15+INDEX(Symboles!$G$6:$G$101,MOD(45+$C15+(0),$B$3)+1)*I15+INDEX(Symboles!$G$6:$G$101,MOD(45+$C15+(1),$B$3)+1)*J15+INDEX(Symboles!$G$6:$G$101,MOD(45+$C15+(2),$B$3)+1)*K15+INDEX(Symboles!$G$6:$G$101,MOD(45+$C15+(3),$B$3)+1)*L15+INDEX(Symboles!$G$6:$G$101,MOD(45+$C15+(4),$B$3)+1)*M15+IF($B$6=0,0,$B$6*NORMSINV(0.000001+0.999998*RAND())))</f>
        <v/>
      </c>
      <c r="BJ15" s="30">
        <f>IF(47&gt;$B$3,99,INDEX(Symboles!$G$6:$G$101,MOD(46+$C15+(-4),$B$3)+1)*E15+INDEX(Symboles!$G$6:$G$101,MOD(46+$C15+(-3),$B$3)+1)*F15+INDEX(Symboles!$G$6:$G$101,MOD(46+$C15+(-2),$B$3)+1)*G15+INDEX(Symboles!$G$6:$G$101,MOD(46+$C15+(-1),$B$3)+1)*H15+INDEX(Symboles!$G$6:$G$101,MOD(46+$C15+(0),$B$3)+1)*I15+INDEX(Symboles!$G$6:$G$101,MOD(46+$C15+(1),$B$3)+1)*J15+INDEX(Symboles!$G$6:$G$101,MOD(46+$C15+(2),$B$3)+1)*K15+INDEX(Symboles!$G$6:$G$101,MOD(46+$C15+(3),$B$3)+1)*L15+INDEX(Symboles!$G$6:$G$101,MOD(46+$C15+(4),$B$3)+1)*M15+IF($B$6=0,0,$B$6*NORMSINV(0.000001+0.999998*RAND())))</f>
        <v/>
      </c>
      <c r="BK15" s="30">
        <f>IF(48&gt;$B$3,99,INDEX(Symboles!$G$6:$G$101,MOD(47+$C15+(-4),$B$3)+1)*E15+INDEX(Symboles!$G$6:$G$101,MOD(47+$C15+(-3),$B$3)+1)*F15+INDEX(Symboles!$G$6:$G$101,MOD(47+$C15+(-2),$B$3)+1)*G15+INDEX(Symboles!$G$6:$G$101,MOD(47+$C15+(-1),$B$3)+1)*H15+INDEX(Symboles!$G$6:$G$101,MOD(47+$C15+(0),$B$3)+1)*I15+INDEX(Symboles!$G$6:$G$101,MOD(47+$C15+(1),$B$3)+1)*J15+INDEX(Symboles!$G$6:$G$101,MOD(47+$C15+(2),$B$3)+1)*K15+INDEX(Symboles!$G$6:$G$101,MOD(47+$C15+(3),$B$3)+1)*L15+INDEX(Symboles!$G$6:$G$101,MOD(47+$C15+(4),$B$3)+1)*M15+IF($B$6=0,0,$B$6*NORMSINV(0.000001+0.999998*RAND())))</f>
        <v/>
      </c>
      <c r="BL15" s="30">
        <f>IF(49&gt;$B$3,99,INDEX(Symboles!$G$6:$G$101,MOD(48+$C15+(-4),$B$3)+1)*E15+INDEX(Symboles!$G$6:$G$101,MOD(48+$C15+(-3),$B$3)+1)*F15+INDEX(Symboles!$G$6:$G$101,MOD(48+$C15+(-2),$B$3)+1)*G15+INDEX(Symboles!$G$6:$G$101,MOD(48+$C15+(-1),$B$3)+1)*H15+INDEX(Symboles!$G$6:$G$101,MOD(48+$C15+(0),$B$3)+1)*I15+INDEX(Symboles!$G$6:$G$101,MOD(48+$C15+(1),$B$3)+1)*J15+INDEX(Symboles!$G$6:$G$101,MOD(48+$C15+(2),$B$3)+1)*K15+INDEX(Symboles!$G$6:$G$101,MOD(48+$C15+(3),$B$3)+1)*L15+INDEX(Symboles!$G$6:$G$101,MOD(48+$C15+(4),$B$3)+1)*M15+IF($B$6=0,0,$B$6*NORMSINV(0.000001+0.999998*RAND())))</f>
        <v/>
      </c>
      <c r="BM15" s="30">
        <f>IF(50&gt;$B$3,99,INDEX(Symboles!$G$6:$G$101,MOD(49+$C15+(-4),$B$3)+1)*E15+INDEX(Symboles!$G$6:$G$101,MOD(49+$C15+(-3),$B$3)+1)*F15+INDEX(Symboles!$G$6:$G$101,MOD(49+$C15+(-2),$B$3)+1)*G15+INDEX(Symboles!$G$6:$G$101,MOD(49+$C15+(-1),$B$3)+1)*H15+INDEX(Symboles!$G$6:$G$101,MOD(49+$C15+(0),$B$3)+1)*I15+INDEX(Symboles!$G$6:$G$101,MOD(49+$C15+(1),$B$3)+1)*J15+INDEX(Symboles!$G$6:$G$101,MOD(49+$C15+(2),$B$3)+1)*K15+INDEX(Symboles!$G$6:$G$101,MOD(49+$C15+(3),$B$3)+1)*L15+INDEX(Symboles!$G$6:$G$101,MOD(49+$C15+(4),$B$3)+1)*M15+IF($B$6=0,0,$B$6*NORMSINV(0.000001+0.999998*RAND())))</f>
        <v/>
      </c>
      <c r="BN15" s="30">
        <f>IF(51&gt;$B$3,99,INDEX(Symboles!$G$6:$G$101,MOD(50+$C15+(-4),$B$3)+1)*E15+INDEX(Symboles!$G$6:$G$101,MOD(50+$C15+(-3),$B$3)+1)*F15+INDEX(Symboles!$G$6:$G$101,MOD(50+$C15+(-2),$B$3)+1)*G15+INDEX(Symboles!$G$6:$G$101,MOD(50+$C15+(-1),$B$3)+1)*H15+INDEX(Symboles!$G$6:$G$101,MOD(50+$C15+(0),$B$3)+1)*I15+INDEX(Symboles!$G$6:$G$101,MOD(50+$C15+(1),$B$3)+1)*J15+INDEX(Symboles!$G$6:$G$101,MOD(50+$C15+(2),$B$3)+1)*K15+INDEX(Symboles!$G$6:$G$101,MOD(50+$C15+(3),$B$3)+1)*L15+INDEX(Symboles!$G$6:$G$101,MOD(50+$C15+(4),$B$3)+1)*M15+IF($B$6=0,0,$B$6*NORMSINV(0.000001+0.999998*RAND())))</f>
        <v/>
      </c>
      <c r="BO15" s="30">
        <f>IF(52&gt;$B$3,99,INDEX(Symboles!$G$6:$G$101,MOD(51+$C15+(-4),$B$3)+1)*E15+INDEX(Symboles!$G$6:$G$101,MOD(51+$C15+(-3),$B$3)+1)*F15+INDEX(Symboles!$G$6:$G$101,MOD(51+$C15+(-2),$B$3)+1)*G15+INDEX(Symboles!$G$6:$G$101,MOD(51+$C15+(-1),$B$3)+1)*H15+INDEX(Symboles!$G$6:$G$101,MOD(51+$C15+(0),$B$3)+1)*I15+INDEX(Symboles!$G$6:$G$101,MOD(51+$C15+(1),$B$3)+1)*J15+INDEX(Symboles!$G$6:$G$101,MOD(51+$C15+(2),$B$3)+1)*K15+INDEX(Symboles!$G$6:$G$101,MOD(51+$C15+(3),$B$3)+1)*L15+INDEX(Symboles!$G$6:$G$101,MOD(51+$C15+(4),$B$3)+1)*M15+IF($B$6=0,0,$B$6*NORMSINV(0.000001+0.999998*RAND())))</f>
        <v/>
      </c>
      <c r="BP15" s="30">
        <f>IF(53&gt;$B$3,99,INDEX(Symboles!$G$6:$G$101,MOD(52+$C15+(-4),$B$3)+1)*E15+INDEX(Symboles!$G$6:$G$101,MOD(52+$C15+(-3),$B$3)+1)*F15+INDEX(Symboles!$G$6:$G$101,MOD(52+$C15+(-2),$B$3)+1)*G15+INDEX(Symboles!$G$6:$G$101,MOD(52+$C15+(-1),$B$3)+1)*H15+INDEX(Symboles!$G$6:$G$101,MOD(52+$C15+(0),$B$3)+1)*I15+INDEX(Symboles!$G$6:$G$101,MOD(52+$C15+(1),$B$3)+1)*J15+INDEX(Symboles!$G$6:$G$101,MOD(52+$C15+(2),$B$3)+1)*K15+INDEX(Symboles!$G$6:$G$101,MOD(52+$C15+(3),$B$3)+1)*L15+INDEX(Symboles!$G$6:$G$101,MOD(52+$C15+(4),$B$3)+1)*M15+IF($B$6=0,0,$B$6*NORMSINV(0.000001+0.999998*RAND())))</f>
        <v/>
      </c>
      <c r="BQ15" s="30">
        <f>IF(54&gt;$B$3,99,INDEX(Symboles!$G$6:$G$101,MOD(53+$C15+(-4),$B$3)+1)*E15+INDEX(Symboles!$G$6:$G$101,MOD(53+$C15+(-3),$B$3)+1)*F15+INDEX(Symboles!$G$6:$G$101,MOD(53+$C15+(-2),$B$3)+1)*G15+INDEX(Symboles!$G$6:$G$101,MOD(53+$C15+(-1),$B$3)+1)*H15+INDEX(Symboles!$G$6:$G$101,MOD(53+$C15+(0),$B$3)+1)*I15+INDEX(Symboles!$G$6:$G$101,MOD(53+$C15+(1),$B$3)+1)*J15+INDEX(Symboles!$G$6:$G$101,MOD(53+$C15+(2),$B$3)+1)*K15+INDEX(Symboles!$G$6:$G$101,MOD(53+$C15+(3),$B$3)+1)*L15+INDEX(Symboles!$G$6:$G$101,MOD(53+$C15+(4),$B$3)+1)*M15+IF($B$6=0,0,$B$6*NORMSINV(0.000001+0.999998*RAND())))</f>
        <v/>
      </c>
      <c r="BR15" s="30">
        <f>IF(55&gt;$B$3,99,INDEX(Symboles!$G$6:$G$101,MOD(54+$C15+(-4),$B$3)+1)*E15+INDEX(Symboles!$G$6:$G$101,MOD(54+$C15+(-3),$B$3)+1)*F15+INDEX(Symboles!$G$6:$G$101,MOD(54+$C15+(-2),$B$3)+1)*G15+INDEX(Symboles!$G$6:$G$101,MOD(54+$C15+(-1),$B$3)+1)*H15+INDEX(Symboles!$G$6:$G$101,MOD(54+$C15+(0),$B$3)+1)*I15+INDEX(Symboles!$G$6:$G$101,MOD(54+$C15+(1),$B$3)+1)*J15+INDEX(Symboles!$G$6:$G$101,MOD(54+$C15+(2),$B$3)+1)*K15+INDEX(Symboles!$G$6:$G$101,MOD(54+$C15+(3),$B$3)+1)*L15+INDEX(Symboles!$G$6:$G$101,MOD(54+$C15+(4),$B$3)+1)*M15+IF($B$6=0,0,$B$6*NORMSINV(0.000001+0.999998*RAND())))</f>
        <v/>
      </c>
      <c r="BS15" s="30">
        <f>IF(56&gt;$B$3,99,INDEX(Symboles!$G$6:$G$101,MOD(55+$C15+(-4),$B$3)+1)*E15+INDEX(Symboles!$G$6:$G$101,MOD(55+$C15+(-3),$B$3)+1)*F15+INDEX(Symboles!$G$6:$G$101,MOD(55+$C15+(-2),$B$3)+1)*G15+INDEX(Symboles!$G$6:$G$101,MOD(55+$C15+(-1),$B$3)+1)*H15+INDEX(Symboles!$G$6:$G$101,MOD(55+$C15+(0),$B$3)+1)*I15+INDEX(Symboles!$G$6:$G$101,MOD(55+$C15+(1),$B$3)+1)*J15+INDEX(Symboles!$G$6:$G$101,MOD(55+$C15+(2),$B$3)+1)*K15+INDEX(Symboles!$G$6:$G$101,MOD(55+$C15+(3),$B$3)+1)*L15+INDEX(Symboles!$G$6:$G$101,MOD(55+$C15+(4),$B$3)+1)*M15+IF($B$6=0,0,$B$6*NORMSINV(0.000001+0.999998*RAND())))</f>
        <v/>
      </c>
      <c r="BT15" s="30">
        <f>IF(57&gt;$B$3,99,INDEX(Symboles!$G$6:$G$101,MOD(56+$C15+(-4),$B$3)+1)*E15+INDEX(Symboles!$G$6:$G$101,MOD(56+$C15+(-3),$B$3)+1)*F15+INDEX(Symboles!$G$6:$G$101,MOD(56+$C15+(-2),$B$3)+1)*G15+INDEX(Symboles!$G$6:$G$101,MOD(56+$C15+(-1),$B$3)+1)*H15+INDEX(Symboles!$G$6:$G$101,MOD(56+$C15+(0),$B$3)+1)*I15+INDEX(Symboles!$G$6:$G$101,MOD(56+$C15+(1),$B$3)+1)*J15+INDEX(Symboles!$G$6:$G$101,MOD(56+$C15+(2),$B$3)+1)*K15+INDEX(Symboles!$G$6:$G$101,MOD(56+$C15+(3),$B$3)+1)*L15+INDEX(Symboles!$G$6:$G$101,MOD(56+$C15+(4),$B$3)+1)*M15+IF($B$6=0,0,$B$6*NORMSINV(0.000001+0.999998*RAND())))</f>
        <v/>
      </c>
      <c r="BU15" s="30">
        <f>IF(58&gt;$B$3,99,INDEX(Symboles!$G$6:$G$101,MOD(57+$C15+(-4),$B$3)+1)*E15+INDEX(Symboles!$G$6:$G$101,MOD(57+$C15+(-3),$B$3)+1)*F15+INDEX(Symboles!$G$6:$G$101,MOD(57+$C15+(-2),$B$3)+1)*G15+INDEX(Symboles!$G$6:$G$101,MOD(57+$C15+(-1),$B$3)+1)*H15+INDEX(Symboles!$G$6:$G$101,MOD(57+$C15+(0),$B$3)+1)*I15+INDEX(Symboles!$G$6:$G$101,MOD(57+$C15+(1),$B$3)+1)*J15+INDEX(Symboles!$G$6:$G$101,MOD(57+$C15+(2),$B$3)+1)*K15+INDEX(Symboles!$G$6:$G$101,MOD(57+$C15+(3),$B$3)+1)*L15+INDEX(Symboles!$G$6:$G$101,MOD(57+$C15+(4),$B$3)+1)*M15+IF($B$6=0,0,$B$6*NORMSINV(0.000001+0.999998*RAND())))</f>
        <v/>
      </c>
      <c r="BV15" s="30">
        <f>IF(59&gt;$B$3,99,INDEX(Symboles!$G$6:$G$101,MOD(58+$C15+(-4),$B$3)+1)*E15+INDEX(Symboles!$G$6:$G$101,MOD(58+$C15+(-3),$B$3)+1)*F15+INDEX(Symboles!$G$6:$G$101,MOD(58+$C15+(-2),$B$3)+1)*G15+INDEX(Symboles!$G$6:$G$101,MOD(58+$C15+(-1),$B$3)+1)*H15+INDEX(Symboles!$G$6:$G$101,MOD(58+$C15+(0),$B$3)+1)*I15+INDEX(Symboles!$G$6:$G$101,MOD(58+$C15+(1),$B$3)+1)*J15+INDEX(Symboles!$G$6:$G$101,MOD(58+$C15+(2),$B$3)+1)*K15+INDEX(Symboles!$G$6:$G$101,MOD(58+$C15+(3),$B$3)+1)*L15+INDEX(Symboles!$G$6:$G$101,MOD(58+$C15+(4),$B$3)+1)*M15+IF($B$6=0,0,$B$6*NORMSINV(0.000001+0.999998*RAND())))</f>
        <v/>
      </c>
      <c r="BW15" s="30">
        <f>IF(60&gt;$B$3,99,INDEX(Symboles!$G$6:$G$101,MOD(59+$C15+(-4),$B$3)+1)*E15+INDEX(Symboles!$G$6:$G$101,MOD(59+$C15+(-3),$B$3)+1)*F15+INDEX(Symboles!$G$6:$G$101,MOD(59+$C15+(-2),$B$3)+1)*G15+INDEX(Symboles!$G$6:$G$101,MOD(59+$C15+(-1),$B$3)+1)*H15+INDEX(Symboles!$G$6:$G$101,MOD(59+$C15+(0),$B$3)+1)*I15+INDEX(Symboles!$G$6:$G$101,MOD(59+$C15+(1),$B$3)+1)*J15+INDEX(Symboles!$G$6:$G$101,MOD(59+$C15+(2),$B$3)+1)*K15+INDEX(Symboles!$G$6:$G$101,MOD(59+$C15+(3),$B$3)+1)*L15+INDEX(Symboles!$G$6:$G$101,MOD(59+$C15+(4),$B$3)+1)*M15+IF($B$6=0,0,$B$6*NORMSINV(0.000001+0.999998*RAND())))</f>
        <v/>
      </c>
      <c r="BX15" s="30">
        <f>IF(61&gt;$B$3,99,INDEX(Symboles!$G$6:$G$101,MOD(60+$C15+(-4),$B$3)+1)*E15+INDEX(Symboles!$G$6:$G$101,MOD(60+$C15+(-3),$B$3)+1)*F15+INDEX(Symboles!$G$6:$G$101,MOD(60+$C15+(-2),$B$3)+1)*G15+INDEX(Symboles!$G$6:$G$101,MOD(60+$C15+(-1),$B$3)+1)*H15+INDEX(Symboles!$G$6:$G$101,MOD(60+$C15+(0),$B$3)+1)*I15+INDEX(Symboles!$G$6:$G$101,MOD(60+$C15+(1),$B$3)+1)*J15+INDEX(Symboles!$G$6:$G$101,MOD(60+$C15+(2),$B$3)+1)*K15+INDEX(Symboles!$G$6:$G$101,MOD(60+$C15+(3),$B$3)+1)*L15+INDEX(Symboles!$G$6:$G$101,MOD(60+$C15+(4),$B$3)+1)*M15+IF($B$6=0,0,$B$6*NORMSINV(0.000001+0.999998*RAND())))</f>
        <v/>
      </c>
      <c r="BY15" s="30">
        <f>IF(62&gt;$B$3,99,INDEX(Symboles!$G$6:$G$101,MOD(61+$C15+(-4),$B$3)+1)*E15+INDEX(Symboles!$G$6:$G$101,MOD(61+$C15+(-3),$B$3)+1)*F15+INDEX(Symboles!$G$6:$G$101,MOD(61+$C15+(-2),$B$3)+1)*G15+INDEX(Symboles!$G$6:$G$101,MOD(61+$C15+(-1),$B$3)+1)*H15+INDEX(Symboles!$G$6:$G$101,MOD(61+$C15+(0),$B$3)+1)*I15+INDEX(Symboles!$G$6:$G$101,MOD(61+$C15+(1),$B$3)+1)*J15+INDEX(Symboles!$G$6:$G$101,MOD(61+$C15+(2),$B$3)+1)*K15+INDEX(Symboles!$G$6:$G$101,MOD(61+$C15+(3),$B$3)+1)*L15+INDEX(Symboles!$G$6:$G$101,MOD(61+$C15+(4),$B$3)+1)*M15+IF($B$6=0,0,$B$6*NORMSINV(0.000001+0.999998*RAND())))</f>
        <v/>
      </c>
      <c r="BZ15" s="30">
        <f>IF(63&gt;$B$3,99,INDEX(Symboles!$G$6:$G$101,MOD(62+$C15+(-4),$B$3)+1)*E15+INDEX(Symboles!$G$6:$G$101,MOD(62+$C15+(-3),$B$3)+1)*F15+INDEX(Symboles!$G$6:$G$101,MOD(62+$C15+(-2),$B$3)+1)*G15+INDEX(Symboles!$G$6:$G$101,MOD(62+$C15+(-1),$B$3)+1)*H15+INDEX(Symboles!$G$6:$G$101,MOD(62+$C15+(0),$B$3)+1)*I15+INDEX(Symboles!$G$6:$G$101,MOD(62+$C15+(1),$B$3)+1)*J15+INDEX(Symboles!$G$6:$G$101,MOD(62+$C15+(2),$B$3)+1)*K15+INDEX(Symboles!$G$6:$G$101,MOD(62+$C15+(3),$B$3)+1)*L15+INDEX(Symboles!$G$6:$G$101,MOD(62+$C15+(4),$B$3)+1)*M15+IF($B$6=0,0,$B$6*NORMSINV(0.000001+0.999998*RAND())))</f>
        <v/>
      </c>
      <c r="CA15" s="30">
        <f>IF(64&gt;$B$3,99,INDEX(Symboles!$G$6:$G$101,MOD(63+$C15+(-4),$B$3)+1)*E15+INDEX(Symboles!$G$6:$G$101,MOD(63+$C15+(-3),$B$3)+1)*F15+INDEX(Symboles!$G$6:$G$101,MOD(63+$C15+(-2),$B$3)+1)*G15+INDEX(Symboles!$G$6:$G$101,MOD(63+$C15+(-1),$B$3)+1)*H15+INDEX(Symboles!$G$6:$G$101,MOD(63+$C15+(0),$B$3)+1)*I15+INDEX(Symboles!$G$6:$G$101,MOD(63+$C15+(1),$B$3)+1)*J15+INDEX(Symboles!$G$6:$G$101,MOD(63+$C15+(2),$B$3)+1)*K15+INDEX(Symboles!$G$6:$G$101,MOD(63+$C15+(3),$B$3)+1)*L15+INDEX(Symboles!$G$6:$G$101,MOD(63+$C15+(4),$B$3)+1)*M15+IF($B$6=0,0,$B$6*NORMSINV(0.000001+0.999998*RAND())))</f>
        <v/>
      </c>
      <c r="CB15" s="30">
        <f>IF(65&gt;$B$3,99,INDEX(Symboles!$G$6:$G$101,MOD(64+$C15+(-4),$B$3)+1)*E15+INDEX(Symboles!$G$6:$G$101,MOD(64+$C15+(-3),$B$3)+1)*F15+INDEX(Symboles!$G$6:$G$101,MOD(64+$C15+(-2),$B$3)+1)*G15+INDEX(Symboles!$G$6:$G$101,MOD(64+$C15+(-1),$B$3)+1)*H15+INDEX(Symboles!$G$6:$G$101,MOD(64+$C15+(0),$B$3)+1)*I15+INDEX(Symboles!$G$6:$G$101,MOD(64+$C15+(1),$B$3)+1)*J15+INDEX(Symboles!$G$6:$G$101,MOD(64+$C15+(2),$B$3)+1)*K15+INDEX(Symboles!$G$6:$G$101,MOD(64+$C15+(3),$B$3)+1)*L15+INDEX(Symboles!$G$6:$G$101,MOD(64+$C15+(4),$B$3)+1)*M15+IF($B$6=0,0,$B$6*NORMSINV(0.000001+0.999998*RAND())))</f>
        <v/>
      </c>
      <c r="CC15" s="30">
        <f>IF(66&gt;$B$3,99,INDEX(Symboles!$G$6:$G$101,MOD(65+$C15+(-4),$B$3)+1)*E15+INDEX(Symboles!$G$6:$G$101,MOD(65+$C15+(-3),$B$3)+1)*F15+INDEX(Symboles!$G$6:$G$101,MOD(65+$C15+(-2),$B$3)+1)*G15+INDEX(Symboles!$G$6:$G$101,MOD(65+$C15+(-1),$B$3)+1)*H15+INDEX(Symboles!$G$6:$G$101,MOD(65+$C15+(0),$B$3)+1)*I15+INDEX(Symboles!$G$6:$G$101,MOD(65+$C15+(1),$B$3)+1)*J15+INDEX(Symboles!$G$6:$G$101,MOD(65+$C15+(2),$B$3)+1)*K15+INDEX(Symboles!$G$6:$G$101,MOD(65+$C15+(3),$B$3)+1)*L15+INDEX(Symboles!$G$6:$G$101,MOD(65+$C15+(4),$B$3)+1)*M15+IF($B$6=0,0,$B$6*NORMSINV(0.000001+0.999998*RAND())))</f>
        <v/>
      </c>
      <c r="CD15" s="30">
        <f>IF(67&gt;$B$3,99,INDEX(Symboles!$G$6:$G$101,MOD(66+$C15+(-4),$B$3)+1)*E15+INDEX(Symboles!$G$6:$G$101,MOD(66+$C15+(-3),$B$3)+1)*F15+INDEX(Symboles!$G$6:$G$101,MOD(66+$C15+(-2),$B$3)+1)*G15+INDEX(Symboles!$G$6:$G$101,MOD(66+$C15+(-1),$B$3)+1)*H15+INDEX(Symboles!$G$6:$G$101,MOD(66+$C15+(0),$B$3)+1)*I15+INDEX(Symboles!$G$6:$G$101,MOD(66+$C15+(1),$B$3)+1)*J15+INDEX(Symboles!$G$6:$G$101,MOD(66+$C15+(2),$B$3)+1)*K15+INDEX(Symboles!$G$6:$G$101,MOD(66+$C15+(3),$B$3)+1)*L15+INDEX(Symboles!$G$6:$G$101,MOD(66+$C15+(4),$B$3)+1)*M15+IF($B$6=0,0,$B$6*NORMSINV(0.000001+0.999998*RAND())))</f>
        <v/>
      </c>
      <c r="CE15" s="30">
        <f>IF(68&gt;$B$3,99,INDEX(Symboles!$G$6:$G$101,MOD(67+$C15+(-4),$B$3)+1)*E15+INDEX(Symboles!$G$6:$G$101,MOD(67+$C15+(-3),$B$3)+1)*F15+INDEX(Symboles!$G$6:$G$101,MOD(67+$C15+(-2),$B$3)+1)*G15+INDEX(Symboles!$G$6:$G$101,MOD(67+$C15+(-1),$B$3)+1)*H15+INDEX(Symboles!$G$6:$G$101,MOD(67+$C15+(0),$B$3)+1)*I15+INDEX(Symboles!$G$6:$G$101,MOD(67+$C15+(1),$B$3)+1)*J15+INDEX(Symboles!$G$6:$G$101,MOD(67+$C15+(2),$B$3)+1)*K15+INDEX(Symboles!$G$6:$G$101,MOD(67+$C15+(3),$B$3)+1)*L15+INDEX(Symboles!$G$6:$G$101,MOD(67+$C15+(4),$B$3)+1)*M15+IF($B$6=0,0,$B$6*NORMSINV(0.000001+0.999998*RAND())))</f>
        <v/>
      </c>
      <c r="CF15" s="30">
        <f>IF(69&gt;$B$3,99,INDEX(Symboles!$G$6:$G$101,MOD(68+$C15+(-4),$B$3)+1)*E15+INDEX(Symboles!$G$6:$G$101,MOD(68+$C15+(-3),$B$3)+1)*F15+INDEX(Symboles!$G$6:$G$101,MOD(68+$C15+(-2),$B$3)+1)*G15+INDEX(Symboles!$G$6:$G$101,MOD(68+$C15+(-1),$B$3)+1)*H15+INDEX(Symboles!$G$6:$G$101,MOD(68+$C15+(0),$B$3)+1)*I15+INDEX(Symboles!$G$6:$G$101,MOD(68+$C15+(1),$B$3)+1)*J15+INDEX(Symboles!$G$6:$G$101,MOD(68+$C15+(2),$B$3)+1)*K15+INDEX(Symboles!$G$6:$G$101,MOD(68+$C15+(3),$B$3)+1)*L15+INDEX(Symboles!$G$6:$G$101,MOD(68+$C15+(4),$B$3)+1)*M15+IF($B$6=0,0,$B$6*NORMSINV(0.000001+0.999998*RAND())))</f>
        <v/>
      </c>
      <c r="CG15" s="30">
        <f>IF(70&gt;$B$3,99,INDEX(Symboles!$G$6:$G$101,MOD(69+$C15+(-4),$B$3)+1)*E15+INDEX(Symboles!$G$6:$G$101,MOD(69+$C15+(-3),$B$3)+1)*F15+INDEX(Symboles!$G$6:$G$101,MOD(69+$C15+(-2),$B$3)+1)*G15+INDEX(Symboles!$G$6:$G$101,MOD(69+$C15+(-1),$B$3)+1)*H15+INDEX(Symboles!$G$6:$G$101,MOD(69+$C15+(0),$B$3)+1)*I15+INDEX(Symboles!$G$6:$G$101,MOD(69+$C15+(1),$B$3)+1)*J15+INDEX(Symboles!$G$6:$G$101,MOD(69+$C15+(2),$B$3)+1)*K15+INDEX(Symboles!$G$6:$G$101,MOD(69+$C15+(3),$B$3)+1)*L15+INDEX(Symboles!$G$6:$G$101,MOD(69+$C15+(4),$B$3)+1)*M15+IF($B$6=0,0,$B$6*NORMSINV(0.000001+0.999998*RAND())))</f>
        <v/>
      </c>
      <c r="CH15" s="30">
        <f>IF(71&gt;$B$3,99,INDEX(Symboles!$G$6:$G$101,MOD(70+$C15+(-4),$B$3)+1)*E15+INDEX(Symboles!$G$6:$G$101,MOD(70+$C15+(-3),$B$3)+1)*F15+INDEX(Symboles!$G$6:$G$101,MOD(70+$C15+(-2),$B$3)+1)*G15+INDEX(Symboles!$G$6:$G$101,MOD(70+$C15+(-1),$B$3)+1)*H15+INDEX(Symboles!$G$6:$G$101,MOD(70+$C15+(0),$B$3)+1)*I15+INDEX(Symboles!$G$6:$G$101,MOD(70+$C15+(1),$B$3)+1)*J15+INDEX(Symboles!$G$6:$G$101,MOD(70+$C15+(2),$B$3)+1)*K15+INDEX(Symboles!$G$6:$G$101,MOD(70+$C15+(3),$B$3)+1)*L15+INDEX(Symboles!$G$6:$G$101,MOD(70+$C15+(4),$B$3)+1)*M15+IF($B$6=0,0,$B$6*NORMSINV(0.000001+0.999998*RAND())))</f>
        <v/>
      </c>
      <c r="CI15" s="30">
        <f>IF(72&gt;$B$3,99,INDEX(Symboles!$G$6:$G$101,MOD(71+$C15+(-4),$B$3)+1)*E15+INDEX(Symboles!$G$6:$G$101,MOD(71+$C15+(-3),$B$3)+1)*F15+INDEX(Symboles!$G$6:$G$101,MOD(71+$C15+(-2),$B$3)+1)*G15+INDEX(Symboles!$G$6:$G$101,MOD(71+$C15+(-1),$B$3)+1)*H15+INDEX(Symboles!$G$6:$G$101,MOD(71+$C15+(0),$B$3)+1)*I15+INDEX(Symboles!$G$6:$G$101,MOD(71+$C15+(1),$B$3)+1)*J15+INDEX(Symboles!$G$6:$G$101,MOD(71+$C15+(2),$B$3)+1)*K15+INDEX(Symboles!$G$6:$G$101,MOD(71+$C15+(3),$B$3)+1)*L15+INDEX(Symboles!$G$6:$G$101,MOD(71+$C15+(4),$B$3)+1)*M15+IF($B$6=0,0,$B$6*NORMSINV(0.000001+0.999998*RAND())))</f>
        <v/>
      </c>
      <c r="CJ15" s="30">
        <f>IF(73&gt;$B$3,99,INDEX(Symboles!$G$6:$G$101,MOD(72+$C15+(-4),$B$3)+1)*E15+INDEX(Symboles!$G$6:$G$101,MOD(72+$C15+(-3),$B$3)+1)*F15+INDEX(Symboles!$G$6:$G$101,MOD(72+$C15+(-2),$B$3)+1)*G15+INDEX(Symboles!$G$6:$G$101,MOD(72+$C15+(-1),$B$3)+1)*H15+INDEX(Symboles!$G$6:$G$101,MOD(72+$C15+(0),$B$3)+1)*I15+INDEX(Symboles!$G$6:$G$101,MOD(72+$C15+(1),$B$3)+1)*J15+INDEX(Symboles!$G$6:$G$101,MOD(72+$C15+(2),$B$3)+1)*K15+INDEX(Symboles!$G$6:$G$101,MOD(72+$C15+(3),$B$3)+1)*L15+INDEX(Symboles!$G$6:$G$101,MOD(72+$C15+(4),$B$3)+1)*M15+IF($B$6=0,0,$B$6*NORMSINV(0.000001+0.999998*RAND())))</f>
        <v/>
      </c>
      <c r="CK15" s="30">
        <f>IF(74&gt;$B$3,99,INDEX(Symboles!$G$6:$G$101,MOD(73+$C15+(-4),$B$3)+1)*E15+INDEX(Symboles!$G$6:$G$101,MOD(73+$C15+(-3),$B$3)+1)*F15+INDEX(Symboles!$G$6:$G$101,MOD(73+$C15+(-2),$B$3)+1)*G15+INDEX(Symboles!$G$6:$G$101,MOD(73+$C15+(-1),$B$3)+1)*H15+INDEX(Symboles!$G$6:$G$101,MOD(73+$C15+(0),$B$3)+1)*I15+INDEX(Symboles!$G$6:$G$101,MOD(73+$C15+(1),$B$3)+1)*J15+INDEX(Symboles!$G$6:$G$101,MOD(73+$C15+(2),$B$3)+1)*K15+INDEX(Symboles!$G$6:$G$101,MOD(73+$C15+(3),$B$3)+1)*L15+INDEX(Symboles!$G$6:$G$101,MOD(73+$C15+(4),$B$3)+1)*M15+IF($B$6=0,0,$B$6*NORMSINV(0.000001+0.999998*RAND())))</f>
        <v/>
      </c>
      <c r="CL15" s="30">
        <f>IF(75&gt;$B$3,99,INDEX(Symboles!$G$6:$G$101,MOD(74+$C15+(-4),$B$3)+1)*E15+INDEX(Symboles!$G$6:$G$101,MOD(74+$C15+(-3),$B$3)+1)*F15+INDEX(Symboles!$G$6:$G$101,MOD(74+$C15+(-2),$B$3)+1)*G15+INDEX(Symboles!$G$6:$G$101,MOD(74+$C15+(-1),$B$3)+1)*H15+INDEX(Symboles!$G$6:$G$101,MOD(74+$C15+(0),$B$3)+1)*I15+INDEX(Symboles!$G$6:$G$101,MOD(74+$C15+(1),$B$3)+1)*J15+INDEX(Symboles!$G$6:$G$101,MOD(74+$C15+(2),$B$3)+1)*K15+INDEX(Symboles!$G$6:$G$101,MOD(74+$C15+(3),$B$3)+1)*L15+INDEX(Symboles!$G$6:$G$101,MOD(74+$C15+(4),$B$3)+1)*M15+IF($B$6=0,0,$B$6*NORMSINV(0.000001+0.999998*RAND())))</f>
        <v/>
      </c>
      <c r="CM15" s="30">
        <f>IF(76&gt;$B$3,99,INDEX(Symboles!$G$6:$G$101,MOD(75+$C15+(-4),$B$3)+1)*E15+INDEX(Symboles!$G$6:$G$101,MOD(75+$C15+(-3),$B$3)+1)*F15+INDEX(Symboles!$G$6:$G$101,MOD(75+$C15+(-2),$B$3)+1)*G15+INDEX(Symboles!$G$6:$G$101,MOD(75+$C15+(-1),$B$3)+1)*H15+INDEX(Symboles!$G$6:$G$101,MOD(75+$C15+(0),$B$3)+1)*I15+INDEX(Symboles!$G$6:$G$101,MOD(75+$C15+(1),$B$3)+1)*J15+INDEX(Symboles!$G$6:$G$101,MOD(75+$C15+(2),$B$3)+1)*K15+INDEX(Symboles!$G$6:$G$101,MOD(75+$C15+(3),$B$3)+1)*L15+INDEX(Symboles!$G$6:$G$101,MOD(75+$C15+(4),$B$3)+1)*M15+IF($B$6=0,0,$B$6*NORMSINV(0.000001+0.999998*RAND())))</f>
        <v/>
      </c>
      <c r="CN15" s="30">
        <f>IF(77&gt;$B$3,99,INDEX(Symboles!$G$6:$G$101,MOD(76+$C15+(-4),$B$3)+1)*E15+INDEX(Symboles!$G$6:$G$101,MOD(76+$C15+(-3),$B$3)+1)*F15+INDEX(Symboles!$G$6:$G$101,MOD(76+$C15+(-2),$B$3)+1)*G15+INDEX(Symboles!$G$6:$G$101,MOD(76+$C15+(-1),$B$3)+1)*H15+INDEX(Symboles!$G$6:$G$101,MOD(76+$C15+(0),$B$3)+1)*I15+INDEX(Symboles!$G$6:$G$101,MOD(76+$C15+(1),$B$3)+1)*J15+INDEX(Symboles!$G$6:$G$101,MOD(76+$C15+(2),$B$3)+1)*K15+INDEX(Symboles!$G$6:$G$101,MOD(76+$C15+(3),$B$3)+1)*L15+INDEX(Symboles!$G$6:$G$101,MOD(76+$C15+(4),$B$3)+1)*M15+IF($B$6=0,0,$B$6*NORMSINV(0.000001+0.999998*RAND())))</f>
        <v/>
      </c>
      <c r="CO15" s="30">
        <f>IF(78&gt;$B$3,99,INDEX(Symboles!$G$6:$G$101,MOD(77+$C15+(-4),$B$3)+1)*E15+INDEX(Symboles!$G$6:$G$101,MOD(77+$C15+(-3),$B$3)+1)*F15+INDEX(Symboles!$G$6:$G$101,MOD(77+$C15+(-2),$B$3)+1)*G15+INDEX(Symboles!$G$6:$G$101,MOD(77+$C15+(-1),$B$3)+1)*H15+INDEX(Symboles!$G$6:$G$101,MOD(77+$C15+(0),$B$3)+1)*I15+INDEX(Symboles!$G$6:$G$101,MOD(77+$C15+(1),$B$3)+1)*J15+INDEX(Symboles!$G$6:$G$101,MOD(77+$C15+(2),$B$3)+1)*K15+INDEX(Symboles!$G$6:$G$101,MOD(77+$C15+(3),$B$3)+1)*L15+INDEX(Symboles!$G$6:$G$101,MOD(77+$C15+(4),$B$3)+1)*M15+IF($B$6=0,0,$B$6*NORMSINV(0.000001+0.999998*RAND())))</f>
        <v/>
      </c>
      <c r="CP15" s="30">
        <f>IF(79&gt;$B$3,99,INDEX(Symboles!$G$6:$G$101,MOD(78+$C15+(-4),$B$3)+1)*E15+INDEX(Symboles!$G$6:$G$101,MOD(78+$C15+(-3),$B$3)+1)*F15+INDEX(Symboles!$G$6:$G$101,MOD(78+$C15+(-2),$B$3)+1)*G15+INDEX(Symboles!$G$6:$G$101,MOD(78+$C15+(-1),$B$3)+1)*H15+INDEX(Symboles!$G$6:$G$101,MOD(78+$C15+(0),$B$3)+1)*I15+INDEX(Symboles!$G$6:$G$101,MOD(78+$C15+(1),$B$3)+1)*J15+INDEX(Symboles!$G$6:$G$101,MOD(78+$C15+(2),$B$3)+1)*K15+INDEX(Symboles!$G$6:$G$101,MOD(78+$C15+(3),$B$3)+1)*L15+INDEX(Symboles!$G$6:$G$101,MOD(78+$C15+(4),$B$3)+1)*M15+IF($B$6=0,0,$B$6*NORMSINV(0.000001+0.999998*RAND())))</f>
        <v/>
      </c>
      <c r="CQ15" s="30">
        <f>IF(80&gt;$B$3,99,INDEX(Symboles!$G$6:$G$101,MOD(79+$C15+(-4),$B$3)+1)*E15+INDEX(Symboles!$G$6:$G$101,MOD(79+$C15+(-3),$B$3)+1)*F15+INDEX(Symboles!$G$6:$G$101,MOD(79+$C15+(-2),$B$3)+1)*G15+INDEX(Symboles!$G$6:$G$101,MOD(79+$C15+(-1),$B$3)+1)*H15+INDEX(Symboles!$G$6:$G$101,MOD(79+$C15+(0),$B$3)+1)*I15+INDEX(Symboles!$G$6:$G$101,MOD(79+$C15+(1),$B$3)+1)*J15+INDEX(Symboles!$G$6:$G$101,MOD(79+$C15+(2),$B$3)+1)*K15+INDEX(Symboles!$G$6:$G$101,MOD(79+$C15+(3),$B$3)+1)*L15+INDEX(Symboles!$G$6:$G$101,MOD(79+$C15+(4),$B$3)+1)*M15+IF($B$6=0,0,$B$6*NORMSINV(0.000001+0.999998*RAND())))</f>
        <v/>
      </c>
      <c r="CR15" s="30">
        <f>IF(81&gt;$B$3,99,INDEX(Symboles!$G$6:$G$101,MOD(80+$C15+(-4),$B$3)+1)*E15+INDEX(Symboles!$G$6:$G$101,MOD(80+$C15+(-3),$B$3)+1)*F15+INDEX(Symboles!$G$6:$G$101,MOD(80+$C15+(-2),$B$3)+1)*G15+INDEX(Symboles!$G$6:$G$101,MOD(80+$C15+(-1),$B$3)+1)*H15+INDEX(Symboles!$G$6:$G$101,MOD(80+$C15+(0),$B$3)+1)*I15+INDEX(Symboles!$G$6:$G$101,MOD(80+$C15+(1),$B$3)+1)*J15+INDEX(Symboles!$G$6:$G$101,MOD(80+$C15+(2),$B$3)+1)*K15+INDEX(Symboles!$G$6:$G$101,MOD(80+$C15+(3),$B$3)+1)*L15+INDEX(Symboles!$G$6:$G$101,MOD(80+$C15+(4),$B$3)+1)*M15+IF($B$6=0,0,$B$6*NORMSINV(0.000001+0.999998*RAND())))</f>
        <v/>
      </c>
      <c r="CS15" s="30">
        <f>IF(82&gt;$B$3,99,INDEX(Symboles!$G$6:$G$101,MOD(81+$C15+(-4),$B$3)+1)*E15+INDEX(Symboles!$G$6:$G$101,MOD(81+$C15+(-3),$B$3)+1)*F15+INDEX(Symboles!$G$6:$G$101,MOD(81+$C15+(-2),$B$3)+1)*G15+INDEX(Symboles!$G$6:$G$101,MOD(81+$C15+(-1),$B$3)+1)*H15+INDEX(Symboles!$G$6:$G$101,MOD(81+$C15+(0),$B$3)+1)*I15+INDEX(Symboles!$G$6:$G$101,MOD(81+$C15+(1),$B$3)+1)*J15+INDEX(Symboles!$G$6:$G$101,MOD(81+$C15+(2),$B$3)+1)*K15+INDEX(Symboles!$G$6:$G$101,MOD(81+$C15+(3),$B$3)+1)*L15+INDEX(Symboles!$G$6:$G$101,MOD(81+$C15+(4),$B$3)+1)*M15+IF($B$6=0,0,$B$6*NORMSINV(0.000001+0.999998*RAND())))</f>
        <v/>
      </c>
      <c r="CT15" s="30">
        <f>IF(83&gt;$B$3,99,INDEX(Symboles!$G$6:$G$101,MOD(82+$C15+(-4),$B$3)+1)*E15+INDEX(Symboles!$G$6:$G$101,MOD(82+$C15+(-3),$B$3)+1)*F15+INDEX(Symboles!$G$6:$G$101,MOD(82+$C15+(-2),$B$3)+1)*G15+INDEX(Symboles!$G$6:$G$101,MOD(82+$C15+(-1),$B$3)+1)*H15+INDEX(Symboles!$G$6:$G$101,MOD(82+$C15+(0),$B$3)+1)*I15+INDEX(Symboles!$G$6:$G$101,MOD(82+$C15+(1),$B$3)+1)*J15+INDEX(Symboles!$G$6:$G$101,MOD(82+$C15+(2),$B$3)+1)*K15+INDEX(Symboles!$G$6:$G$101,MOD(82+$C15+(3),$B$3)+1)*L15+INDEX(Symboles!$G$6:$G$101,MOD(82+$C15+(4),$B$3)+1)*M15+IF($B$6=0,0,$B$6*NORMSINV(0.000001+0.999998*RAND())))</f>
        <v/>
      </c>
      <c r="CU15" s="30">
        <f>IF(84&gt;$B$3,99,INDEX(Symboles!$G$6:$G$101,MOD(83+$C15+(-4),$B$3)+1)*E15+INDEX(Symboles!$G$6:$G$101,MOD(83+$C15+(-3),$B$3)+1)*F15+INDEX(Symboles!$G$6:$G$101,MOD(83+$C15+(-2),$B$3)+1)*G15+INDEX(Symboles!$G$6:$G$101,MOD(83+$C15+(-1),$B$3)+1)*H15+INDEX(Symboles!$G$6:$G$101,MOD(83+$C15+(0),$B$3)+1)*I15+INDEX(Symboles!$G$6:$G$101,MOD(83+$C15+(1),$B$3)+1)*J15+INDEX(Symboles!$G$6:$G$101,MOD(83+$C15+(2),$B$3)+1)*K15+INDEX(Symboles!$G$6:$G$101,MOD(83+$C15+(3),$B$3)+1)*L15+INDEX(Symboles!$G$6:$G$101,MOD(83+$C15+(4),$B$3)+1)*M15+IF($B$6=0,0,$B$6*NORMSINV(0.000001+0.999998*RAND())))</f>
        <v/>
      </c>
      <c r="CV15" s="30">
        <f>IF(85&gt;$B$3,99,INDEX(Symboles!$G$6:$G$101,MOD(84+$C15+(-4),$B$3)+1)*E15+INDEX(Symboles!$G$6:$G$101,MOD(84+$C15+(-3),$B$3)+1)*F15+INDEX(Symboles!$G$6:$G$101,MOD(84+$C15+(-2),$B$3)+1)*G15+INDEX(Symboles!$G$6:$G$101,MOD(84+$C15+(-1),$B$3)+1)*H15+INDEX(Symboles!$G$6:$G$101,MOD(84+$C15+(0),$B$3)+1)*I15+INDEX(Symboles!$G$6:$G$101,MOD(84+$C15+(1),$B$3)+1)*J15+INDEX(Symboles!$G$6:$G$101,MOD(84+$C15+(2),$B$3)+1)*K15+INDEX(Symboles!$G$6:$G$101,MOD(84+$C15+(3),$B$3)+1)*L15+INDEX(Symboles!$G$6:$G$101,MOD(84+$C15+(4),$B$3)+1)*M15+IF($B$6=0,0,$B$6*NORMSINV(0.000001+0.999998*RAND())))</f>
        <v/>
      </c>
      <c r="CW15" s="30">
        <f>IF(86&gt;$B$3,99,INDEX(Symboles!$G$6:$G$101,MOD(85+$C15+(-4),$B$3)+1)*E15+INDEX(Symboles!$G$6:$G$101,MOD(85+$C15+(-3),$B$3)+1)*F15+INDEX(Symboles!$G$6:$G$101,MOD(85+$C15+(-2),$B$3)+1)*G15+INDEX(Symboles!$G$6:$G$101,MOD(85+$C15+(-1),$B$3)+1)*H15+INDEX(Symboles!$G$6:$G$101,MOD(85+$C15+(0),$B$3)+1)*I15+INDEX(Symboles!$G$6:$G$101,MOD(85+$C15+(1),$B$3)+1)*J15+INDEX(Symboles!$G$6:$G$101,MOD(85+$C15+(2),$B$3)+1)*K15+INDEX(Symboles!$G$6:$G$101,MOD(85+$C15+(3),$B$3)+1)*L15+INDEX(Symboles!$G$6:$G$101,MOD(85+$C15+(4),$B$3)+1)*M15+IF($B$6=0,0,$B$6*NORMSINV(0.000001+0.999998*RAND())))</f>
        <v/>
      </c>
      <c r="CX15" s="30">
        <f>IF(87&gt;$B$3,99,INDEX(Symboles!$G$6:$G$101,MOD(86+$C15+(-4),$B$3)+1)*E15+INDEX(Symboles!$G$6:$G$101,MOD(86+$C15+(-3),$B$3)+1)*F15+INDEX(Symboles!$G$6:$G$101,MOD(86+$C15+(-2),$B$3)+1)*G15+INDEX(Symboles!$G$6:$G$101,MOD(86+$C15+(-1),$B$3)+1)*H15+INDEX(Symboles!$G$6:$G$101,MOD(86+$C15+(0),$B$3)+1)*I15+INDEX(Symboles!$G$6:$G$101,MOD(86+$C15+(1),$B$3)+1)*J15+INDEX(Symboles!$G$6:$G$101,MOD(86+$C15+(2),$B$3)+1)*K15+INDEX(Symboles!$G$6:$G$101,MOD(86+$C15+(3),$B$3)+1)*L15+INDEX(Symboles!$G$6:$G$101,MOD(86+$C15+(4),$B$3)+1)*M15+IF($B$6=0,0,$B$6*NORMSINV(0.000001+0.999998*RAND())))</f>
        <v/>
      </c>
      <c r="CY15" s="30">
        <f>IF(88&gt;$B$3,99,INDEX(Symboles!$G$6:$G$101,MOD(87+$C15+(-4),$B$3)+1)*E15+INDEX(Symboles!$G$6:$G$101,MOD(87+$C15+(-3),$B$3)+1)*F15+INDEX(Symboles!$G$6:$G$101,MOD(87+$C15+(-2),$B$3)+1)*G15+INDEX(Symboles!$G$6:$G$101,MOD(87+$C15+(-1),$B$3)+1)*H15+INDEX(Symboles!$G$6:$G$101,MOD(87+$C15+(0),$B$3)+1)*I15+INDEX(Symboles!$G$6:$G$101,MOD(87+$C15+(1),$B$3)+1)*J15+INDEX(Symboles!$G$6:$G$101,MOD(87+$C15+(2),$B$3)+1)*K15+INDEX(Symboles!$G$6:$G$101,MOD(87+$C15+(3),$B$3)+1)*L15+INDEX(Symboles!$G$6:$G$101,MOD(87+$C15+(4),$B$3)+1)*M15+IF($B$6=0,0,$B$6*NORMSINV(0.000001+0.999998*RAND())))</f>
        <v/>
      </c>
      <c r="CZ15" s="30">
        <f>IF(89&gt;$B$3,99,INDEX(Symboles!$G$6:$G$101,MOD(88+$C15+(-4),$B$3)+1)*E15+INDEX(Symboles!$G$6:$G$101,MOD(88+$C15+(-3),$B$3)+1)*F15+INDEX(Symboles!$G$6:$G$101,MOD(88+$C15+(-2),$B$3)+1)*G15+INDEX(Symboles!$G$6:$G$101,MOD(88+$C15+(-1),$B$3)+1)*H15+INDEX(Symboles!$G$6:$G$101,MOD(88+$C15+(0),$B$3)+1)*I15+INDEX(Symboles!$G$6:$G$101,MOD(88+$C15+(1),$B$3)+1)*J15+INDEX(Symboles!$G$6:$G$101,MOD(88+$C15+(2),$B$3)+1)*K15+INDEX(Symboles!$G$6:$G$101,MOD(88+$C15+(3),$B$3)+1)*L15+INDEX(Symboles!$G$6:$G$101,MOD(88+$C15+(4),$B$3)+1)*M15+IF($B$6=0,0,$B$6*NORMSINV(0.000001+0.999998*RAND())))</f>
        <v/>
      </c>
      <c r="DA15" s="30">
        <f>IF(90&gt;$B$3,99,INDEX(Symboles!$G$6:$G$101,MOD(89+$C15+(-4),$B$3)+1)*E15+INDEX(Symboles!$G$6:$G$101,MOD(89+$C15+(-3),$B$3)+1)*F15+INDEX(Symboles!$G$6:$G$101,MOD(89+$C15+(-2),$B$3)+1)*G15+INDEX(Symboles!$G$6:$G$101,MOD(89+$C15+(-1),$B$3)+1)*H15+INDEX(Symboles!$G$6:$G$101,MOD(89+$C15+(0),$B$3)+1)*I15+INDEX(Symboles!$G$6:$G$101,MOD(89+$C15+(1),$B$3)+1)*J15+INDEX(Symboles!$G$6:$G$101,MOD(89+$C15+(2),$B$3)+1)*K15+INDEX(Symboles!$G$6:$G$101,MOD(89+$C15+(3),$B$3)+1)*L15+INDEX(Symboles!$G$6:$G$101,MOD(89+$C15+(4),$B$3)+1)*M15+IF($B$6=0,0,$B$6*NORMSINV(0.000001+0.999998*RAND())))</f>
        <v/>
      </c>
      <c r="DB15" s="30">
        <f>IF(91&gt;$B$3,99,INDEX(Symboles!$G$6:$G$101,MOD(90+$C15+(-4),$B$3)+1)*E15+INDEX(Symboles!$G$6:$G$101,MOD(90+$C15+(-3),$B$3)+1)*F15+INDEX(Symboles!$G$6:$G$101,MOD(90+$C15+(-2),$B$3)+1)*G15+INDEX(Symboles!$G$6:$G$101,MOD(90+$C15+(-1),$B$3)+1)*H15+INDEX(Symboles!$G$6:$G$101,MOD(90+$C15+(0),$B$3)+1)*I15+INDEX(Symboles!$G$6:$G$101,MOD(90+$C15+(1),$B$3)+1)*J15+INDEX(Symboles!$G$6:$G$101,MOD(90+$C15+(2),$B$3)+1)*K15+INDEX(Symboles!$G$6:$G$101,MOD(90+$C15+(3),$B$3)+1)*L15+INDEX(Symboles!$G$6:$G$101,MOD(90+$C15+(4),$B$3)+1)*M15+IF($B$6=0,0,$B$6*NORMSINV(0.000001+0.999998*RAND())))</f>
        <v/>
      </c>
      <c r="DC15" s="30">
        <f>IF(92&gt;$B$3,99,INDEX(Symboles!$G$6:$G$101,MOD(91+$C15+(-4),$B$3)+1)*E15+INDEX(Symboles!$G$6:$G$101,MOD(91+$C15+(-3),$B$3)+1)*F15+INDEX(Symboles!$G$6:$G$101,MOD(91+$C15+(-2),$B$3)+1)*G15+INDEX(Symboles!$G$6:$G$101,MOD(91+$C15+(-1),$B$3)+1)*H15+INDEX(Symboles!$G$6:$G$101,MOD(91+$C15+(0),$B$3)+1)*I15+INDEX(Symboles!$G$6:$G$101,MOD(91+$C15+(1),$B$3)+1)*J15+INDEX(Symboles!$G$6:$G$101,MOD(91+$C15+(2),$B$3)+1)*K15+INDEX(Symboles!$G$6:$G$101,MOD(91+$C15+(3),$B$3)+1)*L15+INDEX(Symboles!$G$6:$G$101,MOD(91+$C15+(4),$B$3)+1)*M15+IF($B$6=0,0,$B$6*NORMSINV(0.000001+0.999998*RAND())))</f>
        <v/>
      </c>
      <c r="DD15" s="30">
        <f>IF(93&gt;$B$3,99,INDEX(Symboles!$G$6:$G$101,MOD(92+$C15+(-4),$B$3)+1)*E15+INDEX(Symboles!$G$6:$G$101,MOD(92+$C15+(-3),$B$3)+1)*F15+INDEX(Symboles!$G$6:$G$101,MOD(92+$C15+(-2),$B$3)+1)*G15+INDEX(Symboles!$G$6:$G$101,MOD(92+$C15+(-1),$B$3)+1)*H15+INDEX(Symboles!$G$6:$G$101,MOD(92+$C15+(0),$B$3)+1)*I15+INDEX(Symboles!$G$6:$G$101,MOD(92+$C15+(1),$B$3)+1)*J15+INDEX(Symboles!$G$6:$G$101,MOD(92+$C15+(2),$B$3)+1)*K15+INDEX(Symboles!$G$6:$G$101,MOD(92+$C15+(3),$B$3)+1)*L15+INDEX(Symboles!$G$6:$G$101,MOD(92+$C15+(4),$B$3)+1)*M15+IF($B$6=0,0,$B$6*NORMSINV(0.000001+0.999998*RAND())))</f>
        <v/>
      </c>
      <c r="DE15" s="30">
        <f>IF(94&gt;$B$3,99,INDEX(Symboles!$G$6:$G$101,MOD(93+$C15+(-4),$B$3)+1)*E15+INDEX(Symboles!$G$6:$G$101,MOD(93+$C15+(-3),$B$3)+1)*F15+INDEX(Symboles!$G$6:$G$101,MOD(93+$C15+(-2),$B$3)+1)*G15+INDEX(Symboles!$G$6:$G$101,MOD(93+$C15+(-1),$B$3)+1)*H15+INDEX(Symboles!$G$6:$G$101,MOD(93+$C15+(0),$B$3)+1)*I15+INDEX(Symboles!$G$6:$G$101,MOD(93+$C15+(1),$B$3)+1)*J15+INDEX(Symboles!$G$6:$G$101,MOD(93+$C15+(2),$B$3)+1)*K15+INDEX(Symboles!$G$6:$G$101,MOD(93+$C15+(3),$B$3)+1)*L15+INDEX(Symboles!$G$6:$G$101,MOD(93+$C15+(4),$B$3)+1)*M15+IF($B$6=0,0,$B$6*NORMSINV(0.000001+0.999998*RAND())))</f>
        <v/>
      </c>
      <c r="DF15" s="30">
        <f>IF(95&gt;$B$3,99,INDEX(Symboles!$G$6:$G$101,MOD(94+$C15+(-4),$B$3)+1)*E15+INDEX(Symboles!$G$6:$G$101,MOD(94+$C15+(-3),$B$3)+1)*F15+INDEX(Symboles!$G$6:$G$101,MOD(94+$C15+(-2),$B$3)+1)*G15+INDEX(Symboles!$G$6:$G$101,MOD(94+$C15+(-1),$B$3)+1)*H15+INDEX(Symboles!$G$6:$G$101,MOD(94+$C15+(0),$B$3)+1)*I15+INDEX(Symboles!$G$6:$G$101,MOD(94+$C15+(1),$B$3)+1)*J15+INDEX(Symboles!$G$6:$G$101,MOD(94+$C15+(2),$B$3)+1)*K15+INDEX(Symboles!$G$6:$G$101,MOD(94+$C15+(3),$B$3)+1)*L15+INDEX(Symboles!$G$6:$G$101,MOD(94+$C15+(4),$B$3)+1)*M15+IF($B$6=0,0,$B$6*NORMSINV(0.000001+0.999998*RAND())))</f>
        <v/>
      </c>
      <c r="DG15" s="30">
        <f>IF(96&gt;$B$3,99,INDEX(Symboles!$G$6:$G$101,MOD(95+$C15+(-4),$B$3)+1)*E15+INDEX(Symboles!$G$6:$G$101,MOD(95+$C15+(-3),$B$3)+1)*F15+INDEX(Symboles!$G$6:$G$101,MOD(95+$C15+(-2),$B$3)+1)*G15+INDEX(Symboles!$G$6:$G$101,MOD(95+$C15+(-1),$B$3)+1)*H15+INDEX(Symboles!$G$6:$G$101,MOD(95+$C15+(0),$B$3)+1)*I15+INDEX(Symboles!$G$6:$G$101,MOD(95+$C15+(1),$B$3)+1)*J15+INDEX(Symboles!$G$6:$G$101,MOD(95+$C15+(2),$B$3)+1)*K15+INDEX(Symboles!$G$6:$G$101,MOD(95+$C15+(3),$B$3)+1)*L15+INDEX(Symboles!$G$6:$G$101,MOD(95+$C15+(4),$B$3)+1)*M15+IF($B$6=0,0,$B$6*NORMSINV(0.000001+0.999998*RAND())))</f>
        <v/>
      </c>
      <c r="DI15" s="30">
        <f>IF(1&gt;$B$3,99,INDEX(Symboles!$H$6:$H$101,MOD(0+$C15+(-4),$B$3)+1)*E15+INDEX(Symboles!$H$6:$H$101,MOD(0+$C15+(-3),$B$3)+1)*F15+INDEX(Symboles!$H$6:$H$101,MOD(0+$C15+(-2),$B$3)+1)*G15+INDEX(Symboles!$H$6:$H$101,MOD(0+$C15+(-1),$B$3)+1)*H15+INDEX(Symboles!$H$6:$H$101,MOD(0+$C15+(0),$B$3)+1)*I15+INDEX(Symboles!$H$6:$H$101,MOD(0+$C15+(1),$B$3)+1)*J15+INDEX(Symboles!$H$6:$H$101,MOD(0+$C15+(2),$B$3)+1)*K15+INDEX(Symboles!$H$6:$H$101,MOD(0+$C15+(3),$B$3)+1)*L15+INDEX(Symboles!$H$6:$H$101,MOD(0+$C15+(4),$B$3)+1)*M15+IF($B$6=0,0,$B$6*NORMSINV(0.000001+0.999998*RAND())))</f>
        <v/>
      </c>
      <c r="DJ15" s="30">
        <f>IF(2&gt;$B$3,99,INDEX(Symboles!$H$6:$H$101,MOD(1+$C15+(-4),$B$3)+1)*E15+INDEX(Symboles!$H$6:$H$101,MOD(1+$C15+(-3),$B$3)+1)*F15+INDEX(Symboles!$H$6:$H$101,MOD(1+$C15+(-2),$B$3)+1)*G15+INDEX(Symboles!$H$6:$H$101,MOD(1+$C15+(-1),$B$3)+1)*H15+INDEX(Symboles!$H$6:$H$101,MOD(1+$C15+(0),$B$3)+1)*I15+INDEX(Symboles!$H$6:$H$101,MOD(1+$C15+(1),$B$3)+1)*J15+INDEX(Symboles!$H$6:$H$101,MOD(1+$C15+(2),$B$3)+1)*K15+INDEX(Symboles!$H$6:$H$101,MOD(1+$C15+(3),$B$3)+1)*L15+INDEX(Symboles!$H$6:$H$101,MOD(1+$C15+(4),$B$3)+1)*M15+IF($B$6=0,0,$B$6*NORMSINV(0.000001+0.999998*RAND())))</f>
        <v/>
      </c>
      <c r="DK15" s="30">
        <f>IF(3&gt;$B$3,99,INDEX(Symboles!$H$6:$H$101,MOD(2+$C15+(-4),$B$3)+1)*E15+INDEX(Symboles!$H$6:$H$101,MOD(2+$C15+(-3),$B$3)+1)*F15+INDEX(Symboles!$H$6:$H$101,MOD(2+$C15+(-2),$B$3)+1)*G15+INDEX(Symboles!$H$6:$H$101,MOD(2+$C15+(-1),$B$3)+1)*H15+INDEX(Symboles!$H$6:$H$101,MOD(2+$C15+(0),$B$3)+1)*I15+INDEX(Symboles!$H$6:$H$101,MOD(2+$C15+(1),$B$3)+1)*J15+INDEX(Symboles!$H$6:$H$101,MOD(2+$C15+(2),$B$3)+1)*K15+INDEX(Symboles!$H$6:$H$101,MOD(2+$C15+(3),$B$3)+1)*L15+INDEX(Symboles!$H$6:$H$101,MOD(2+$C15+(4),$B$3)+1)*M15+IF($B$6=0,0,$B$6*NORMSINV(0.000001+0.999998*RAND())))</f>
        <v/>
      </c>
      <c r="DL15" s="30">
        <f>IF(4&gt;$B$3,99,INDEX(Symboles!$H$6:$H$101,MOD(3+$C15+(-4),$B$3)+1)*E15+INDEX(Symboles!$H$6:$H$101,MOD(3+$C15+(-3),$B$3)+1)*F15+INDEX(Symboles!$H$6:$H$101,MOD(3+$C15+(-2),$B$3)+1)*G15+INDEX(Symboles!$H$6:$H$101,MOD(3+$C15+(-1),$B$3)+1)*H15+INDEX(Symboles!$H$6:$H$101,MOD(3+$C15+(0),$B$3)+1)*I15+INDEX(Symboles!$H$6:$H$101,MOD(3+$C15+(1),$B$3)+1)*J15+INDEX(Symboles!$H$6:$H$101,MOD(3+$C15+(2),$B$3)+1)*K15+INDEX(Symboles!$H$6:$H$101,MOD(3+$C15+(3),$B$3)+1)*L15+INDEX(Symboles!$H$6:$H$101,MOD(3+$C15+(4),$B$3)+1)*M15+IF($B$6=0,0,$B$6*NORMSINV(0.000001+0.999998*RAND())))</f>
        <v/>
      </c>
      <c r="DM15" s="30">
        <f>IF(5&gt;$B$3,99,INDEX(Symboles!$H$6:$H$101,MOD(4+$C15+(-4),$B$3)+1)*E15+INDEX(Symboles!$H$6:$H$101,MOD(4+$C15+(-3),$B$3)+1)*F15+INDEX(Symboles!$H$6:$H$101,MOD(4+$C15+(-2),$B$3)+1)*G15+INDEX(Symboles!$H$6:$H$101,MOD(4+$C15+(-1),$B$3)+1)*H15+INDEX(Symboles!$H$6:$H$101,MOD(4+$C15+(0),$B$3)+1)*I15+INDEX(Symboles!$H$6:$H$101,MOD(4+$C15+(1),$B$3)+1)*J15+INDEX(Symboles!$H$6:$H$101,MOD(4+$C15+(2),$B$3)+1)*K15+INDEX(Symboles!$H$6:$H$101,MOD(4+$C15+(3),$B$3)+1)*L15+INDEX(Symboles!$H$6:$H$101,MOD(4+$C15+(4),$B$3)+1)*M15+IF($B$6=0,0,$B$6*NORMSINV(0.000001+0.999998*RAND())))</f>
        <v/>
      </c>
      <c r="DN15" s="30">
        <f>IF(6&gt;$B$3,99,INDEX(Symboles!$H$6:$H$101,MOD(5+$C15+(-4),$B$3)+1)*E15+INDEX(Symboles!$H$6:$H$101,MOD(5+$C15+(-3),$B$3)+1)*F15+INDEX(Symboles!$H$6:$H$101,MOD(5+$C15+(-2),$B$3)+1)*G15+INDEX(Symboles!$H$6:$H$101,MOD(5+$C15+(-1),$B$3)+1)*H15+INDEX(Symboles!$H$6:$H$101,MOD(5+$C15+(0),$B$3)+1)*I15+INDEX(Symboles!$H$6:$H$101,MOD(5+$C15+(1),$B$3)+1)*J15+INDEX(Symboles!$H$6:$H$101,MOD(5+$C15+(2),$B$3)+1)*K15+INDEX(Symboles!$H$6:$H$101,MOD(5+$C15+(3),$B$3)+1)*L15+INDEX(Symboles!$H$6:$H$101,MOD(5+$C15+(4),$B$3)+1)*M15+IF($B$6=0,0,$B$6*NORMSINV(0.000001+0.999998*RAND())))</f>
        <v/>
      </c>
      <c r="DO15" s="30">
        <f>IF(7&gt;$B$3,99,INDEX(Symboles!$H$6:$H$101,MOD(6+$C15+(-4),$B$3)+1)*E15+INDEX(Symboles!$H$6:$H$101,MOD(6+$C15+(-3),$B$3)+1)*F15+INDEX(Symboles!$H$6:$H$101,MOD(6+$C15+(-2),$B$3)+1)*G15+INDEX(Symboles!$H$6:$H$101,MOD(6+$C15+(-1),$B$3)+1)*H15+INDEX(Symboles!$H$6:$H$101,MOD(6+$C15+(0),$B$3)+1)*I15+INDEX(Symboles!$H$6:$H$101,MOD(6+$C15+(1),$B$3)+1)*J15+INDEX(Symboles!$H$6:$H$101,MOD(6+$C15+(2),$B$3)+1)*K15+INDEX(Symboles!$H$6:$H$101,MOD(6+$C15+(3),$B$3)+1)*L15+INDEX(Symboles!$H$6:$H$101,MOD(6+$C15+(4),$B$3)+1)*M15+IF($B$6=0,0,$B$6*NORMSINV(0.000001+0.999998*RAND())))</f>
        <v/>
      </c>
      <c r="DP15" s="30">
        <f>IF(8&gt;$B$3,99,INDEX(Symboles!$H$6:$H$101,MOD(7+$C15+(-4),$B$3)+1)*E15+INDEX(Symboles!$H$6:$H$101,MOD(7+$C15+(-3),$B$3)+1)*F15+INDEX(Symboles!$H$6:$H$101,MOD(7+$C15+(-2),$B$3)+1)*G15+INDEX(Symboles!$H$6:$H$101,MOD(7+$C15+(-1),$B$3)+1)*H15+INDEX(Symboles!$H$6:$H$101,MOD(7+$C15+(0),$B$3)+1)*I15+INDEX(Symboles!$H$6:$H$101,MOD(7+$C15+(1),$B$3)+1)*J15+INDEX(Symboles!$H$6:$H$101,MOD(7+$C15+(2),$B$3)+1)*K15+INDEX(Symboles!$H$6:$H$101,MOD(7+$C15+(3),$B$3)+1)*L15+INDEX(Symboles!$H$6:$H$101,MOD(7+$C15+(4),$B$3)+1)*M15+IF($B$6=0,0,$B$6*NORMSINV(0.000001+0.999998*RAND())))</f>
        <v/>
      </c>
      <c r="DQ15" s="30">
        <f>IF(9&gt;$B$3,99,INDEX(Symboles!$H$6:$H$101,MOD(8+$C15+(-4),$B$3)+1)*E15+INDEX(Symboles!$H$6:$H$101,MOD(8+$C15+(-3),$B$3)+1)*F15+INDEX(Symboles!$H$6:$H$101,MOD(8+$C15+(-2),$B$3)+1)*G15+INDEX(Symboles!$H$6:$H$101,MOD(8+$C15+(-1),$B$3)+1)*H15+INDEX(Symboles!$H$6:$H$101,MOD(8+$C15+(0),$B$3)+1)*I15+INDEX(Symboles!$H$6:$H$101,MOD(8+$C15+(1),$B$3)+1)*J15+INDEX(Symboles!$H$6:$H$101,MOD(8+$C15+(2),$B$3)+1)*K15+INDEX(Symboles!$H$6:$H$101,MOD(8+$C15+(3),$B$3)+1)*L15+INDEX(Symboles!$H$6:$H$101,MOD(8+$C15+(4),$B$3)+1)*M15+IF($B$6=0,0,$B$6*NORMSINV(0.000001+0.999998*RAND())))</f>
        <v/>
      </c>
      <c r="DR15" s="30">
        <f>IF(10&gt;$B$3,99,INDEX(Symboles!$H$6:$H$101,MOD(9+$C15+(-4),$B$3)+1)*E15+INDEX(Symboles!$H$6:$H$101,MOD(9+$C15+(-3),$B$3)+1)*F15+INDEX(Symboles!$H$6:$H$101,MOD(9+$C15+(-2),$B$3)+1)*G15+INDEX(Symboles!$H$6:$H$101,MOD(9+$C15+(-1),$B$3)+1)*H15+INDEX(Symboles!$H$6:$H$101,MOD(9+$C15+(0),$B$3)+1)*I15+INDEX(Symboles!$H$6:$H$101,MOD(9+$C15+(1),$B$3)+1)*J15+INDEX(Symboles!$H$6:$H$101,MOD(9+$C15+(2),$B$3)+1)*K15+INDEX(Symboles!$H$6:$H$101,MOD(9+$C15+(3),$B$3)+1)*L15+INDEX(Symboles!$H$6:$H$101,MOD(9+$C15+(4),$B$3)+1)*M15+IF($B$6=0,0,$B$6*NORMSINV(0.000001+0.999998*RAND())))</f>
        <v/>
      </c>
      <c r="DS15" s="30">
        <f>IF(11&gt;$B$3,99,INDEX(Symboles!$H$6:$H$101,MOD(10+$C15+(-4),$B$3)+1)*E15+INDEX(Symboles!$H$6:$H$101,MOD(10+$C15+(-3),$B$3)+1)*F15+INDEX(Symboles!$H$6:$H$101,MOD(10+$C15+(-2),$B$3)+1)*G15+INDEX(Symboles!$H$6:$H$101,MOD(10+$C15+(-1),$B$3)+1)*H15+INDEX(Symboles!$H$6:$H$101,MOD(10+$C15+(0),$B$3)+1)*I15+INDEX(Symboles!$H$6:$H$101,MOD(10+$C15+(1),$B$3)+1)*J15+INDEX(Symboles!$H$6:$H$101,MOD(10+$C15+(2),$B$3)+1)*K15+INDEX(Symboles!$H$6:$H$101,MOD(10+$C15+(3),$B$3)+1)*L15+INDEX(Symboles!$H$6:$H$101,MOD(10+$C15+(4),$B$3)+1)*M15+IF($B$6=0,0,$B$6*NORMSINV(0.000001+0.999998*RAND())))</f>
        <v/>
      </c>
      <c r="DT15" s="30">
        <f>IF(12&gt;$B$3,99,INDEX(Symboles!$H$6:$H$101,MOD(11+$C15+(-4),$B$3)+1)*E15+INDEX(Symboles!$H$6:$H$101,MOD(11+$C15+(-3),$B$3)+1)*F15+INDEX(Symboles!$H$6:$H$101,MOD(11+$C15+(-2),$B$3)+1)*G15+INDEX(Symboles!$H$6:$H$101,MOD(11+$C15+(-1),$B$3)+1)*H15+INDEX(Symboles!$H$6:$H$101,MOD(11+$C15+(0),$B$3)+1)*I15+INDEX(Symboles!$H$6:$H$101,MOD(11+$C15+(1),$B$3)+1)*J15+INDEX(Symboles!$H$6:$H$101,MOD(11+$C15+(2),$B$3)+1)*K15+INDEX(Symboles!$H$6:$H$101,MOD(11+$C15+(3),$B$3)+1)*L15+INDEX(Symboles!$H$6:$H$101,MOD(11+$C15+(4),$B$3)+1)*M15+IF($B$6=0,0,$B$6*NORMSINV(0.000001+0.999998*RAND())))</f>
        <v/>
      </c>
      <c r="DU15" s="30">
        <f>IF(13&gt;$B$3,99,INDEX(Symboles!$H$6:$H$101,MOD(12+$C15+(-4),$B$3)+1)*E15+INDEX(Symboles!$H$6:$H$101,MOD(12+$C15+(-3),$B$3)+1)*F15+INDEX(Symboles!$H$6:$H$101,MOD(12+$C15+(-2),$B$3)+1)*G15+INDEX(Symboles!$H$6:$H$101,MOD(12+$C15+(-1),$B$3)+1)*H15+INDEX(Symboles!$H$6:$H$101,MOD(12+$C15+(0),$B$3)+1)*I15+INDEX(Symboles!$H$6:$H$101,MOD(12+$C15+(1),$B$3)+1)*J15+INDEX(Symboles!$H$6:$H$101,MOD(12+$C15+(2),$B$3)+1)*K15+INDEX(Symboles!$H$6:$H$101,MOD(12+$C15+(3),$B$3)+1)*L15+INDEX(Symboles!$H$6:$H$101,MOD(12+$C15+(4),$B$3)+1)*M15+IF($B$6=0,0,$B$6*NORMSINV(0.000001+0.999998*RAND())))</f>
        <v/>
      </c>
      <c r="DV15" s="30">
        <f>IF(14&gt;$B$3,99,INDEX(Symboles!$H$6:$H$101,MOD(13+$C15+(-4),$B$3)+1)*E15+INDEX(Symboles!$H$6:$H$101,MOD(13+$C15+(-3),$B$3)+1)*F15+INDEX(Symboles!$H$6:$H$101,MOD(13+$C15+(-2),$B$3)+1)*G15+INDEX(Symboles!$H$6:$H$101,MOD(13+$C15+(-1),$B$3)+1)*H15+INDEX(Symboles!$H$6:$H$101,MOD(13+$C15+(0),$B$3)+1)*I15+INDEX(Symboles!$H$6:$H$101,MOD(13+$C15+(1),$B$3)+1)*J15+INDEX(Symboles!$H$6:$H$101,MOD(13+$C15+(2),$B$3)+1)*K15+INDEX(Symboles!$H$6:$H$101,MOD(13+$C15+(3),$B$3)+1)*L15+INDEX(Symboles!$H$6:$H$101,MOD(13+$C15+(4),$B$3)+1)*M15+IF($B$6=0,0,$B$6*NORMSINV(0.000001+0.999998*RAND())))</f>
        <v/>
      </c>
      <c r="DW15" s="30">
        <f>IF(15&gt;$B$3,99,INDEX(Symboles!$H$6:$H$101,MOD(14+$C15+(-4),$B$3)+1)*E15+INDEX(Symboles!$H$6:$H$101,MOD(14+$C15+(-3),$B$3)+1)*F15+INDEX(Symboles!$H$6:$H$101,MOD(14+$C15+(-2),$B$3)+1)*G15+INDEX(Symboles!$H$6:$H$101,MOD(14+$C15+(-1),$B$3)+1)*H15+INDEX(Symboles!$H$6:$H$101,MOD(14+$C15+(0),$B$3)+1)*I15+INDEX(Symboles!$H$6:$H$101,MOD(14+$C15+(1),$B$3)+1)*J15+INDEX(Symboles!$H$6:$H$101,MOD(14+$C15+(2),$B$3)+1)*K15+INDEX(Symboles!$H$6:$H$101,MOD(14+$C15+(3),$B$3)+1)*L15+INDEX(Symboles!$H$6:$H$101,MOD(14+$C15+(4),$B$3)+1)*M15+IF($B$6=0,0,$B$6*NORMSINV(0.000001+0.999998*RAND())))</f>
        <v/>
      </c>
      <c r="DX15" s="30">
        <f>IF(16&gt;$B$3,99,INDEX(Symboles!$H$6:$H$101,MOD(15+$C15+(-4),$B$3)+1)*E15+INDEX(Symboles!$H$6:$H$101,MOD(15+$C15+(-3),$B$3)+1)*F15+INDEX(Symboles!$H$6:$H$101,MOD(15+$C15+(-2),$B$3)+1)*G15+INDEX(Symboles!$H$6:$H$101,MOD(15+$C15+(-1),$B$3)+1)*H15+INDEX(Symboles!$H$6:$H$101,MOD(15+$C15+(0),$B$3)+1)*I15+INDEX(Symboles!$H$6:$H$101,MOD(15+$C15+(1),$B$3)+1)*J15+INDEX(Symboles!$H$6:$H$101,MOD(15+$C15+(2),$B$3)+1)*K15+INDEX(Symboles!$H$6:$H$101,MOD(15+$C15+(3),$B$3)+1)*L15+INDEX(Symboles!$H$6:$H$101,MOD(15+$C15+(4),$B$3)+1)*M15+IF($B$6=0,0,$B$6*NORMSINV(0.000001+0.999998*RAND())))</f>
        <v/>
      </c>
      <c r="DY15" s="30">
        <f>IF(17&gt;$B$3,99,INDEX(Symboles!$H$6:$H$101,MOD(16+$C15+(-4),$B$3)+1)*E15+INDEX(Symboles!$H$6:$H$101,MOD(16+$C15+(-3),$B$3)+1)*F15+INDEX(Symboles!$H$6:$H$101,MOD(16+$C15+(-2),$B$3)+1)*G15+INDEX(Symboles!$H$6:$H$101,MOD(16+$C15+(-1),$B$3)+1)*H15+INDEX(Symboles!$H$6:$H$101,MOD(16+$C15+(0),$B$3)+1)*I15+INDEX(Symboles!$H$6:$H$101,MOD(16+$C15+(1),$B$3)+1)*J15+INDEX(Symboles!$H$6:$H$101,MOD(16+$C15+(2),$B$3)+1)*K15+INDEX(Symboles!$H$6:$H$101,MOD(16+$C15+(3),$B$3)+1)*L15+INDEX(Symboles!$H$6:$H$101,MOD(16+$C15+(4),$B$3)+1)*M15+IF($B$6=0,0,$B$6*NORMSINV(0.000001+0.999998*RAND())))</f>
        <v/>
      </c>
      <c r="DZ15" s="30">
        <f>IF(18&gt;$B$3,99,INDEX(Symboles!$H$6:$H$101,MOD(17+$C15+(-4),$B$3)+1)*E15+INDEX(Symboles!$H$6:$H$101,MOD(17+$C15+(-3),$B$3)+1)*F15+INDEX(Symboles!$H$6:$H$101,MOD(17+$C15+(-2),$B$3)+1)*G15+INDEX(Symboles!$H$6:$H$101,MOD(17+$C15+(-1),$B$3)+1)*H15+INDEX(Symboles!$H$6:$H$101,MOD(17+$C15+(0),$B$3)+1)*I15+INDEX(Symboles!$H$6:$H$101,MOD(17+$C15+(1),$B$3)+1)*J15+INDEX(Symboles!$H$6:$H$101,MOD(17+$C15+(2),$B$3)+1)*K15+INDEX(Symboles!$H$6:$H$101,MOD(17+$C15+(3),$B$3)+1)*L15+INDEX(Symboles!$H$6:$H$101,MOD(17+$C15+(4),$B$3)+1)*M15+IF($B$6=0,0,$B$6*NORMSINV(0.000001+0.999998*RAND())))</f>
        <v/>
      </c>
      <c r="EA15" s="30">
        <f>IF(19&gt;$B$3,99,INDEX(Symboles!$H$6:$H$101,MOD(18+$C15+(-4),$B$3)+1)*E15+INDEX(Symboles!$H$6:$H$101,MOD(18+$C15+(-3),$B$3)+1)*F15+INDEX(Symboles!$H$6:$H$101,MOD(18+$C15+(-2),$B$3)+1)*G15+INDEX(Symboles!$H$6:$H$101,MOD(18+$C15+(-1),$B$3)+1)*H15+INDEX(Symboles!$H$6:$H$101,MOD(18+$C15+(0),$B$3)+1)*I15+INDEX(Symboles!$H$6:$H$101,MOD(18+$C15+(1),$B$3)+1)*J15+INDEX(Symboles!$H$6:$H$101,MOD(18+$C15+(2),$B$3)+1)*K15+INDEX(Symboles!$H$6:$H$101,MOD(18+$C15+(3),$B$3)+1)*L15+INDEX(Symboles!$H$6:$H$101,MOD(18+$C15+(4),$B$3)+1)*M15+IF($B$6=0,0,$B$6*NORMSINV(0.000001+0.999998*RAND())))</f>
        <v/>
      </c>
      <c r="EB15" s="30">
        <f>IF(20&gt;$B$3,99,INDEX(Symboles!$H$6:$H$101,MOD(19+$C15+(-4),$B$3)+1)*E15+INDEX(Symboles!$H$6:$H$101,MOD(19+$C15+(-3),$B$3)+1)*F15+INDEX(Symboles!$H$6:$H$101,MOD(19+$C15+(-2),$B$3)+1)*G15+INDEX(Symboles!$H$6:$H$101,MOD(19+$C15+(-1),$B$3)+1)*H15+INDEX(Symboles!$H$6:$H$101,MOD(19+$C15+(0),$B$3)+1)*I15+INDEX(Symboles!$H$6:$H$101,MOD(19+$C15+(1),$B$3)+1)*J15+INDEX(Symboles!$H$6:$H$101,MOD(19+$C15+(2),$B$3)+1)*K15+INDEX(Symboles!$H$6:$H$101,MOD(19+$C15+(3),$B$3)+1)*L15+INDEX(Symboles!$H$6:$H$101,MOD(19+$C15+(4),$B$3)+1)*M15+IF($B$6=0,0,$B$6*NORMSINV(0.000001+0.999998*RAND())))</f>
        <v/>
      </c>
      <c r="EC15" s="30">
        <f>IF(21&gt;$B$3,99,INDEX(Symboles!$H$6:$H$101,MOD(20+$C15+(-4),$B$3)+1)*E15+INDEX(Symboles!$H$6:$H$101,MOD(20+$C15+(-3),$B$3)+1)*F15+INDEX(Symboles!$H$6:$H$101,MOD(20+$C15+(-2),$B$3)+1)*G15+INDEX(Symboles!$H$6:$H$101,MOD(20+$C15+(-1),$B$3)+1)*H15+INDEX(Symboles!$H$6:$H$101,MOD(20+$C15+(0),$B$3)+1)*I15+INDEX(Symboles!$H$6:$H$101,MOD(20+$C15+(1),$B$3)+1)*J15+INDEX(Symboles!$H$6:$H$101,MOD(20+$C15+(2),$B$3)+1)*K15+INDEX(Symboles!$H$6:$H$101,MOD(20+$C15+(3),$B$3)+1)*L15+INDEX(Symboles!$H$6:$H$101,MOD(20+$C15+(4),$B$3)+1)*M15+IF($B$6=0,0,$B$6*NORMSINV(0.000001+0.999998*RAND())))</f>
        <v/>
      </c>
      <c r="ED15" s="30">
        <f>IF(22&gt;$B$3,99,INDEX(Symboles!$H$6:$H$101,MOD(21+$C15+(-4),$B$3)+1)*E15+INDEX(Symboles!$H$6:$H$101,MOD(21+$C15+(-3),$B$3)+1)*F15+INDEX(Symboles!$H$6:$H$101,MOD(21+$C15+(-2),$B$3)+1)*G15+INDEX(Symboles!$H$6:$H$101,MOD(21+$C15+(-1),$B$3)+1)*H15+INDEX(Symboles!$H$6:$H$101,MOD(21+$C15+(0),$B$3)+1)*I15+INDEX(Symboles!$H$6:$H$101,MOD(21+$C15+(1),$B$3)+1)*J15+INDEX(Symboles!$H$6:$H$101,MOD(21+$C15+(2),$B$3)+1)*K15+INDEX(Symboles!$H$6:$H$101,MOD(21+$C15+(3),$B$3)+1)*L15+INDEX(Symboles!$H$6:$H$101,MOD(21+$C15+(4),$B$3)+1)*M15+IF($B$6=0,0,$B$6*NORMSINV(0.000001+0.999998*RAND())))</f>
        <v/>
      </c>
      <c r="EE15" s="30">
        <f>IF(23&gt;$B$3,99,INDEX(Symboles!$H$6:$H$101,MOD(22+$C15+(-4),$B$3)+1)*E15+INDEX(Symboles!$H$6:$H$101,MOD(22+$C15+(-3),$B$3)+1)*F15+INDEX(Symboles!$H$6:$H$101,MOD(22+$C15+(-2),$B$3)+1)*G15+INDEX(Symboles!$H$6:$H$101,MOD(22+$C15+(-1),$B$3)+1)*H15+INDEX(Symboles!$H$6:$H$101,MOD(22+$C15+(0),$B$3)+1)*I15+INDEX(Symboles!$H$6:$H$101,MOD(22+$C15+(1),$B$3)+1)*J15+INDEX(Symboles!$H$6:$H$101,MOD(22+$C15+(2),$B$3)+1)*K15+INDEX(Symboles!$H$6:$H$101,MOD(22+$C15+(3),$B$3)+1)*L15+INDEX(Symboles!$H$6:$H$101,MOD(22+$C15+(4),$B$3)+1)*M15+IF($B$6=0,0,$B$6*NORMSINV(0.000001+0.999998*RAND())))</f>
        <v/>
      </c>
      <c r="EF15" s="30">
        <f>IF(24&gt;$B$3,99,INDEX(Symboles!$H$6:$H$101,MOD(23+$C15+(-4),$B$3)+1)*E15+INDEX(Symboles!$H$6:$H$101,MOD(23+$C15+(-3),$B$3)+1)*F15+INDEX(Symboles!$H$6:$H$101,MOD(23+$C15+(-2),$B$3)+1)*G15+INDEX(Symboles!$H$6:$H$101,MOD(23+$C15+(-1),$B$3)+1)*H15+INDEX(Symboles!$H$6:$H$101,MOD(23+$C15+(0),$B$3)+1)*I15+INDEX(Symboles!$H$6:$H$101,MOD(23+$C15+(1),$B$3)+1)*J15+INDEX(Symboles!$H$6:$H$101,MOD(23+$C15+(2),$B$3)+1)*K15+INDEX(Symboles!$H$6:$H$101,MOD(23+$C15+(3),$B$3)+1)*L15+INDEX(Symboles!$H$6:$H$101,MOD(23+$C15+(4),$B$3)+1)*M15+IF($B$6=0,0,$B$6*NORMSINV(0.000001+0.999998*RAND())))</f>
        <v/>
      </c>
      <c r="EG15" s="30">
        <f>IF(25&gt;$B$3,99,INDEX(Symboles!$H$6:$H$101,MOD(24+$C15+(-4),$B$3)+1)*E15+INDEX(Symboles!$H$6:$H$101,MOD(24+$C15+(-3),$B$3)+1)*F15+INDEX(Symboles!$H$6:$H$101,MOD(24+$C15+(-2),$B$3)+1)*G15+INDEX(Symboles!$H$6:$H$101,MOD(24+$C15+(-1),$B$3)+1)*H15+INDEX(Symboles!$H$6:$H$101,MOD(24+$C15+(0),$B$3)+1)*I15+INDEX(Symboles!$H$6:$H$101,MOD(24+$C15+(1),$B$3)+1)*J15+INDEX(Symboles!$H$6:$H$101,MOD(24+$C15+(2),$B$3)+1)*K15+INDEX(Symboles!$H$6:$H$101,MOD(24+$C15+(3),$B$3)+1)*L15+INDEX(Symboles!$H$6:$H$101,MOD(24+$C15+(4),$B$3)+1)*M15+IF($B$6=0,0,$B$6*NORMSINV(0.000001+0.999998*RAND())))</f>
        <v/>
      </c>
      <c r="EH15" s="30">
        <f>IF(26&gt;$B$3,99,INDEX(Symboles!$H$6:$H$101,MOD(25+$C15+(-4),$B$3)+1)*E15+INDEX(Symboles!$H$6:$H$101,MOD(25+$C15+(-3),$B$3)+1)*F15+INDEX(Symboles!$H$6:$H$101,MOD(25+$C15+(-2),$B$3)+1)*G15+INDEX(Symboles!$H$6:$H$101,MOD(25+$C15+(-1),$B$3)+1)*H15+INDEX(Symboles!$H$6:$H$101,MOD(25+$C15+(0),$B$3)+1)*I15+INDEX(Symboles!$H$6:$H$101,MOD(25+$C15+(1),$B$3)+1)*J15+INDEX(Symboles!$H$6:$H$101,MOD(25+$C15+(2),$B$3)+1)*K15+INDEX(Symboles!$H$6:$H$101,MOD(25+$C15+(3),$B$3)+1)*L15+INDEX(Symboles!$H$6:$H$101,MOD(25+$C15+(4),$B$3)+1)*M15+IF($B$6=0,0,$B$6*NORMSINV(0.000001+0.999998*RAND())))</f>
        <v/>
      </c>
      <c r="EI15" s="30">
        <f>IF(27&gt;$B$3,99,INDEX(Symboles!$H$6:$H$101,MOD(26+$C15+(-4),$B$3)+1)*E15+INDEX(Symboles!$H$6:$H$101,MOD(26+$C15+(-3),$B$3)+1)*F15+INDEX(Symboles!$H$6:$H$101,MOD(26+$C15+(-2),$B$3)+1)*G15+INDEX(Symboles!$H$6:$H$101,MOD(26+$C15+(-1),$B$3)+1)*H15+INDEX(Symboles!$H$6:$H$101,MOD(26+$C15+(0),$B$3)+1)*I15+INDEX(Symboles!$H$6:$H$101,MOD(26+$C15+(1),$B$3)+1)*J15+INDEX(Symboles!$H$6:$H$101,MOD(26+$C15+(2),$B$3)+1)*K15+INDEX(Symboles!$H$6:$H$101,MOD(26+$C15+(3),$B$3)+1)*L15+INDEX(Symboles!$H$6:$H$101,MOD(26+$C15+(4),$B$3)+1)*M15+IF($B$6=0,0,$B$6*NORMSINV(0.000001+0.999998*RAND())))</f>
        <v/>
      </c>
      <c r="EJ15" s="30">
        <f>IF(28&gt;$B$3,99,INDEX(Symboles!$H$6:$H$101,MOD(27+$C15+(-4),$B$3)+1)*E15+INDEX(Symboles!$H$6:$H$101,MOD(27+$C15+(-3),$B$3)+1)*F15+INDEX(Symboles!$H$6:$H$101,MOD(27+$C15+(-2),$B$3)+1)*G15+INDEX(Symboles!$H$6:$H$101,MOD(27+$C15+(-1),$B$3)+1)*H15+INDEX(Symboles!$H$6:$H$101,MOD(27+$C15+(0),$B$3)+1)*I15+INDEX(Symboles!$H$6:$H$101,MOD(27+$C15+(1),$B$3)+1)*J15+INDEX(Symboles!$H$6:$H$101,MOD(27+$C15+(2),$B$3)+1)*K15+INDEX(Symboles!$H$6:$H$101,MOD(27+$C15+(3),$B$3)+1)*L15+INDEX(Symboles!$H$6:$H$101,MOD(27+$C15+(4),$B$3)+1)*M15+IF($B$6=0,0,$B$6*NORMSINV(0.000001+0.999998*RAND())))</f>
        <v/>
      </c>
      <c r="EK15" s="30">
        <f>IF(29&gt;$B$3,99,INDEX(Symboles!$H$6:$H$101,MOD(28+$C15+(-4),$B$3)+1)*E15+INDEX(Symboles!$H$6:$H$101,MOD(28+$C15+(-3),$B$3)+1)*F15+INDEX(Symboles!$H$6:$H$101,MOD(28+$C15+(-2),$B$3)+1)*G15+INDEX(Symboles!$H$6:$H$101,MOD(28+$C15+(-1),$B$3)+1)*H15+INDEX(Symboles!$H$6:$H$101,MOD(28+$C15+(0),$B$3)+1)*I15+INDEX(Symboles!$H$6:$H$101,MOD(28+$C15+(1),$B$3)+1)*J15+INDEX(Symboles!$H$6:$H$101,MOD(28+$C15+(2),$B$3)+1)*K15+INDEX(Symboles!$H$6:$H$101,MOD(28+$C15+(3),$B$3)+1)*L15+INDEX(Symboles!$H$6:$H$101,MOD(28+$C15+(4),$B$3)+1)*M15+IF($B$6=0,0,$B$6*NORMSINV(0.000001+0.999998*RAND())))</f>
        <v/>
      </c>
      <c r="EL15" s="30">
        <f>IF(30&gt;$B$3,99,INDEX(Symboles!$H$6:$H$101,MOD(29+$C15+(-4),$B$3)+1)*E15+INDEX(Symboles!$H$6:$H$101,MOD(29+$C15+(-3),$B$3)+1)*F15+INDEX(Symboles!$H$6:$H$101,MOD(29+$C15+(-2),$B$3)+1)*G15+INDEX(Symboles!$H$6:$H$101,MOD(29+$C15+(-1),$B$3)+1)*H15+INDEX(Symboles!$H$6:$H$101,MOD(29+$C15+(0),$B$3)+1)*I15+INDEX(Symboles!$H$6:$H$101,MOD(29+$C15+(1),$B$3)+1)*J15+INDEX(Symboles!$H$6:$H$101,MOD(29+$C15+(2),$B$3)+1)*K15+INDEX(Symboles!$H$6:$H$101,MOD(29+$C15+(3),$B$3)+1)*L15+INDEX(Symboles!$H$6:$H$101,MOD(29+$C15+(4),$B$3)+1)*M15+IF($B$6=0,0,$B$6*NORMSINV(0.000001+0.999998*RAND())))</f>
        <v/>
      </c>
      <c r="EM15" s="30">
        <f>IF(31&gt;$B$3,99,INDEX(Symboles!$H$6:$H$101,MOD(30+$C15+(-4),$B$3)+1)*E15+INDEX(Symboles!$H$6:$H$101,MOD(30+$C15+(-3),$B$3)+1)*F15+INDEX(Symboles!$H$6:$H$101,MOD(30+$C15+(-2),$B$3)+1)*G15+INDEX(Symboles!$H$6:$H$101,MOD(30+$C15+(-1),$B$3)+1)*H15+INDEX(Symboles!$H$6:$H$101,MOD(30+$C15+(0),$B$3)+1)*I15+INDEX(Symboles!$H$6:$H$101,MOD(30+$C15+(1),$B$3)+1)*J15+INDEX(Symboles!$H$6:$H$101,MOD(30+$C15+(2),$B$3)+1)*K15+INDEX(Symboles!$H$6:$H$101,MOD(30+$C15+(3),$B$3)+1)*L15+INDEX(Symboles!$H$6:$H$101,MOD(30+$C15+(4),$B$3)+1)*M15+IF($B$6=0,0,$B$6*NORMSINV(0.000001+0.999998*RAND())))</f>
        <v/>
      </c>
      <c r="EN15" s="30">
        <f>IF(32&gt;$B$3,99,INDEX(Symboles!$H$6:$H$101,MOD(31+$C15+(-4),$B$3)+1)*E15+INDEX(Symboles!$H$6:$H$101,MOD(31+$C15+(-3),$B$3)+1)*F15+INDEX(Symboles!$H$6:$H$101,MOD(31+$C15+(-2),$B$3)+1)*G15+INDEX(Symboles!$H$6:$H$101,MOD(31+$C15+(-1),$B$3)+1)*H15+INDEX(Symboles!$H$6:$H$101,MOD(31+$C15+(0),$B$3)+1)*I15+INDEX(Symboles!$H$6:$H$101,MOD(31+$C15+(1),$B$3)+1)*J15+INDEX(Symboles!$H$6:$H$101,MOD(31+$C15+(2),$B$3)+1)*K15+INDEX(Symboles!$H$6:$H$101,MOD(31+$C15+(3),$B$3)+1)*L15+INDEX(Symboles!$H$6:$H$101,MOD(31+$C15+(4),$B$3)+1)*M15+IF($B$6=0,0,$B$6*NORMSINV(0.000001+0.999998*RAND())))</f>
        <v/>
      </c>
      <c r="EO15" s="30">
        <f>IF(33&gt;$B$3,99,INDEX(Symboles!$H$6:$H$101,MOD(32+$C15+(-4),$B$3)+1)*E15+INDEX(Symboles!$H$6:$H$101,MOD(32+$C15+(-3),$B$3)+1)*F15+INDEX(Symboles!$H$6:$H$101,MOD(32+$C15+(-2),$B$3)+1)*G15+INDEX(Symboles!$H$6:$H$101,MOD(32+$C15+(-1),$B$3)+1)*H15+INDEX(Symboles!$H$6:$H$101,MOD(32+$C15+(0),$B$3)+1)*I15+INDEX(Symboles!$H$6:$H$101,MOD(32+$C15+(1),$B$3)+1)*J15+INDEX(Symboles!$H$6:$H$101,MOD(32+$C15+(2),$B$3)+1)*K15+INDEX(Symboles!$H$6:$H$101,MOD(32+$C15+(3),$B$3)+1)*L15+INDEX(Symboles!$H$6:$H$101,MOD(32+$C15+(4),$B$3)+1)*M15+IF($B$6=0,0,$B$6*NORMSINV(0.000001+0.999998*RAND())))</f>
        <v/>
      </c>
      <c r="EP15" s="30">
        <f>IF(34&gt;$B$3,99,INDEX(Symboles!$H$6:$H$101,MOD(33+$C15+(-4),$B$3)+1)*E15+INDEX(Symboles!$H$6:$H$101,MOD(33+$C15+(-3),$B$3)+1)*F15+INDEX(Symboles!$H$6:$H$101,MOD(33+$C15+(-2),$B$3)+1)*G15+INDEX(Symboles!$H$6:$H$101,MOD(33+$C15+(-1),$B$3)+1)*H15+INDEX(Symboles!$H$6:$H$101,MOD(33+$C15+(0),$B$3)+1)*I15+INDEX(Symboles!$H$6:$H$101,MOD(33+$C15+(1),$B$3)+1)*J15+INDEX(Symboles!$H$6:$H$101,MOD(33+$C15+(2),$B$3)+1)*K15+INDEX(Symboles!$H$6:$H$101,MOD(33+$C15+(3),$B$3)+1)*L15+INDEX(Symboles!$H$6:$H$101,MOD(33+$C15+(4),$B$3)+1)*M15+IF($B$6=0,0,$B$6*NORMSINV(0.000001+0.999998*RAND())))</f>
        <v/>
      </c>
      <c r="EQ15" s="30">
        <f>IF(35&gt;$B$3,99,INDEX(Symboles!$H$6:$H$101,MOD(34+$C15+(-4),$B$3)+1)*E15+INDEX(Symboles!$H$6:$H$101,MOD(34+$C15+(-3),$B$3)+1)*F15+INDEX(Symboles!$H$6:$H$101,MOD(34+$C15+(-2),$B$3)+1)*G15+INDEX(Symboles!$H$6:$H$101,MOD(34+$C15+(-1),$B$3)+1)*H15+INDEX(Symboles!$H$6:$H$101,MOD(34+$C15+(0),$B$3)+1)*I15+INDEX(Symboles!$H$6:$H$101,MOD(34+$C15+(1),$B$3)+1)*J15+INDEX(Symboles!$H$6:$H$101,MOD(34+$C15+(2),$B$3)+1)*K15+INDEX(Symboles!$H$6:$H$101,MOD(34+$C15+(3),$B$3)+1)*L15+INDEX(Symboles!$H$6:$H$101,MOD(34+$C15+(4),$B$3)+1)*M15+IF($B$6=0,0,$B$6*NORMSINV(0.000001+0.999998*RAND())))</f>
        <v/>
      </c>
      <c r="ER15" s="30">
        <f>IF(36&gt;$B$3,99,INDEX(Symboles!$H$6:$H$101,MOD(35+$C15+(-4),$B$3)+1)*E15+INDEX(Symboles!$H$6:$H$101,MOD(35+$C15+(-3),$B$3)+1)*F15+INDEX(Symboles!$H$6:$H$101,MOD(35+$C15+(-2),$B$3)+1)*G15+INDEX(Symboles!$H$6:$H$101,MOD(35+$C15+(-1),$B$3)+1)*H15+INDEX(Symboles!$H$6:$H$101,MOD(35+$C15+(0),$B$3)+1)*I15+INDEX(Symboles!$H$6:$H$101,MOD(35+$C15+(1),$B$3)+1)*J15+INDEX(Symboles!$H$6:$H$101,MOD(35+$C15+(2),$B$3)+1)*K15+INDEX(Symboles!$H$6:$H$101,MOD(35+$C15+(3),$B$3)+1)*L15+INDEX(Symboles!$H$6:$H$101,MOD(35+$C15+(4),$B$3)+1)*M15+IF($B$6=0,0,$B$6*NORMSINV(0.000001+0.999998*RAND())))</f>
        <v/>
      </c>
      <c r="ES15" s="30">
        <f>IF(37&gt;$B$3,99,INDEX(Symboles!$H$6:$H$101,MOD(36+$C15+(-4),$B$3)+1)*E15+INDEX(Symboles!$H$6:$H$101,MOD(36+$C15+(-3),$B$3)+1)*F15+INDEX(Symboles!$H$6:$H$101,MOD(36+$C15+(-2),$B$3)+1)*G15+INDEX(Symboles!$H$6:$H$101,MOD(36+$C15+(-1),$B$3)+1)*H15+INDEX(Symboles!$H$6:$H$101,MOD(36+$C15+(0),$B$3)+1)*I15+INDEX(Symboles!$H$6:$H$101,MOD(36+$C15+(1),$B$3)+1)*J15+INDEX(Symboles!$H$6:$H$101,MOD(36+$C15+(2),$B$3)+1)*K15+INDEX(Symboles!$H$6:$H$101,MOD(36+$C15+(3),$B$3)+1)*L15+INDEX(Symboles!$H$6:$H$101,MOD(36+$C15+(4),$B$3)+1)*M15+IF($B$6=0,0,$B$6*NORMSINV(0.000001+0.999998*RAND())))</f>
        <v/>
      </c>
      <c r="ET15" s="30">
        <f>IF(38&gt;$B$3,99,INDEX(Symboles!$H$6:$H$101,MOD(37+$C15+(-4),$B$3)+1)*E15+INDEX(Symboles!$H$6:$H$101,MOD(37+$C15+(-3),$B$3)+1)*F15+INDEX(Symboles!$H$6:$H$101,MOD(37+$C15+(-2),$B$3)+1)*G15+INDEX(Symboles!$H$6:$H$101,MOD(37+$C15+(-1),$B$3)+1)*H15+INDEX(Symboles!$H$6:$H$101,MOD(37+$C15+(0),$B$3)+1)*I15+INDEX(Symboles!$H$6:$H$101,MOD(37+$C15+(1),$B$3)+1)*J15+INDEX(Symboles!$H$6:$H$101,MOD(37+$C15+(2),$B$3)+1)*K15+INDEX(Symboles!$H$6:$H$101,MOD(37+$C15+(3),$B$3)+1)*L15+INDEX(Symboles!$H$6:$H$101,MOD(37+$C15+(4),$B$3)+1)*M15+IF($B$6=0,0,$B$6*NORMSINV(0.000001+0.999998*RAND())))</f>
        <v/>
      </c>
      <c r="EU15" s="30">
        <f>IF(39&gt;$B$3,99,INDEX(Symboles!$H$6:$H$101,MOD(38+$C15+(-4),$B$3)+1)*E15+INDEX(Symboles!$H$6:$H$101,MOD(38+$C15+(-3),$B$3)+1)*F15+INDEX(Symboles!$H$6:$H$101,MOD(38+$C15+(-2),$B$3)+1)*G15+INDEX(Symboles!$H$6:$H$101,MOD(38+$C15+(-1),$B$3)+1)*H15+INDEX(Symboles!$H$6:$H$101,MOD(38+$C15+(0),$B$3)+1)*I15+INDEX(Symboles!$H$6:$H$101,MOD(38+$C15+(1),$B$3)+1)*J15+INDEX(Symboles!$H$6:$H$101,MOD(38+$C15+(2),$B$3)+1)*K15+INDEX(Symboles!$H$6:$H$101,MOD(38+$C15+(3),$B$3)+1)*L15+INDEX(Symboles!$H$6:$H$101,MOD(38+$C15+(4),$B$3)+1)*M15+IF($B$6=0,0,$B$6*NORMSINV(0.000001+0.999998*RAND())))</f>
        <v/>
      </c>
      <c r="EV15" s="30">
        <f>IF(40&gt;$B$3,99,INDEX(Symboles!$H$6:$H$101,MOD(39+$C15+(-4),$B$3)+1)*E15+INDEX(Symboles!$H$6:$H$101,MOD(39+$C15+(-3),$B$3)+1)*F15+INDEX(Symboles!$H$6:$H$101,MOD(39+$C15+(-2),$B$3)+1)*G15+INDEX(Symboles!$H$6:$H$101,MOD(39+$C15+(-1),$B$3)+1)*H15+INDEX(Symboles!$H$6:$H$101,MOD(39+$C15+(0),$B$3)+1)*I15+INDEX(Symboles!$H$6:$H$101,MOD(39+$C15+(1),$B$3)+1)*J15+INDEX(Symboles!$H$6:$H$101,MOD(39+$C15+(2),$B$3)+1)*K15+INDEX(Symboles!$H$6:$H$101,MOD(39+$C15+(3),$B$3)+1)*L15+INDEX(Symboles!$H$6:$H$101,MOD(39+$C15+(4),$B$3)+1)*M15+IF($B$6=0,0,$B$6*NORMSINV(0.000001+0.999998*RAND())))</f>
        <v/>
      </c>
      <c r="EW15" s="30">
        <f>IF(41&gt;$B$3,99,INDEX(Symboles!$H$6:$H$101,MOD(40+$C15+(-4),$B$3)+1)*E15+INDEX(Symboles!$H$6:$H$101,MOD(40+$C15+(-3),$B$3)+1)*F15+INDEX(Symboles!$H$6:$H$101,MOD(40+$C15+(-2),$B$3)+1)*G15+INDEX(Symboles!$H$6:$H$101,MOD(40+$C15+(-1),$B$3)+1)*H15+INDEX(Symboles!$H$6:$H$101,MOD(40+$C15+(0),$B$3)+1)*I15+INDEX(Symboles!$H$6:$H$101,MOD(40+$C15+(1),$B$3)+1)*J15+INDEX(Symboles!$H$6:$H$101,MOD(40+$C15+(2),$B$3)+1)*K15+INDEX(Symboles!$H$6:$H$101,MOD(40+$C15+(3),$B$3)+1)*L15+INDEX(Symboles!$H$6:$H$101,MOD(40+$C15+(4),$B$3)+1)*M15+IF($B$6=0,0,$B$6*NORMSINV(0.000001+0.999998*RAND())))</f>
        <v/>
      </c>
      <c r="EX15" s="30">
        <f>IF(42&gt;$B$3,99,INDEX(Symboles!$H$6:$H$101,MOD(41+$C15+(-4),$B$3)+1)*E15+INDEX(Symboles!$H$6:$H$101,MOD(41+$C15+(-3),$B$3)+1)*F15+INDEX(Symboles!$H$6:$H$101,MOD(41+$C15+(-2),$B$3)+1)*G15+INDEX(Symboles!$H$6:$H$101,MOD(41+$C15+(-1),$B$3)+1)*H15+INDEX(Symboles!$H$6:$H$101,MOD(41+$C15+(0),$B$3)+1)*I15+INDEX(Symboles!$H$6:$H$101,MOD(41+$C15+(1),$B$3)+1)*J15+INDEX(Symboles!$H$6:$H$101,MOD(41+$C15+(2),$B$3)+1)*K15+INDEX(Symboles!$H$6:$H$101,MOD(41+$C15+(3),$B$3)+1)*L15+INDEX(Symboles!$H$6:$H$101,MOD(41+$C15+(4),$B$3)+1)*M15+IF($B$6=0,0,$B$6*NORMSINV(0.000001+0.999998*RAND())))</f>
        <v/>
      </c>
      <c r="EY15" s="30">
        <f>IF(43&gt;$B$3,99,INDEX(Symboles!$H$6:$H$101,MOD(42+$C15+(-4),$B$3)+1)*E15+INDEX(Symboles!$H$6:$H$101,MOD(42+$C15+(-3),$B$3)+1)*F15+INDEX(Symboles!$H$6:$H$101,MOD(42+$C15+(-2),$B$3)+1)*G15+INDEX(Symboles!$H$6:$H$101,MOD(42+$C15+(-1),$B$3)+1)*H15+INDEX(Symboles!$H$6:$H$101,MOD(42+$C15+(0),$B$3)+1)*I15+INDEX(Symboles!$H$6:$H$101,MOD(42+$C15+(1),$B$3)+1)*J15+INDEX(Symboles!$H$6:$H$101,MOD(42+$C15+(2),$B$3)+1)*K15+INDEX(Symboles!$H$6:$H$101,MOD(42+$C15+(3),$B$3)+1)*L15+INDEX(Symboles!$H$6:$H$101,MOD(42+$C15+(4),$B$3)+1)*M15+IF($B$6=0,0,$B$6*NORMSINV(0.000001+0.999998*RAND())))</f>
        <v/>
      </c>
      <c r="EZ15" s="30">
        <f>IF(44&gt;$B$3,99,INDEX(Symboles!$H$6:$H$101,MOD(43+$C15+(-4),$B$3)+1)*E15+INDEX(Symboles!$H$6:$H$101,MOD(43+$C15+(-3),$B$3)+1)*F15+INDEX(Symboles!$H$6:$H$101,MOD(43+$C15+(-2),$B$3)+1)*G15+INDEX(Symboles!$H$6:$H$101,MOD(43+$C15+(-1),$B$3)+1)*H15+INDEX(Symboles!$H$6:$H$101,MOD(43+$C15+(0),$B$3)+1)*I15+INDEX(Symboles!$H$6:$H$101,MOD(43+$C15+(1),$B$3)+1)*J15+INDEX(Symboles!$H$6:$H$101,MOD(43+$C15+(2),$B$3)+1)*K15+INDEX(Symboles!$H$6:$H$101,MOD(43+$C15+(3),$B$3)+1)*L15+INDEX(Symboles!$H$6:$H$101,MOD(43+$C15+(4),$B$3)+1)*M15+IF($B$6=0,0,$B$6*NORMSINV(0.000001+0.999998*RAND())))</f>
        <v/>
      </c>
      <c r="FA15" s="30">
        <f>IF(45&gt;$B$3,99,INDEX(Symboles!$H$6:$H$101,MOD(44+$C15+(-4),$B$3)+1)*E15+INDEX(Symboles!$H$6:$H$101,MOD(44+$C15+(-3),$B$3)+1)*F15+INDEX(Symboles!$H$6:$H$101,MOD(44+$C15+(-2),$B$3)+1)*G15+INDEX(Symboles!$H$6:$H$101,MOD(44+$C15+(-1),$B$3)+1)*H15+INDEX(Symboles!$H$6:$H$101,MOD(44+$C15+(0),$B$3)+1)*I15+INDEX(Symboles!$H$6:$H$101,MOD(44+$C15+(1),$B$3)+1)*J15+INDEX(Symboles!$H$6:$H$101,MOD(44+$C15+(2),$B$3)+1)*K15+INDEX(Symboles!$H$6:$H$101,MOD(44+$C15+(3),$B$3)+1)*L15+INDEX(Symboles!$H$6:$H$101,MOD(44+$C15+(4),$B$3)+1)*M15+IF($B$6=0,0,$B$6*NORMSINV(0.000001+0.999998*RAND())))</f>
        <v/>
      </c>
      <c r="FB15" s="30">
        <f>IF(46&gt;$B$3,99,INDEX(Symboles!$H$6:$H$101,MOD(45+$C15+(-4),$B$3)+1)*E15+INDEX(Symboles!$H$6:$H$101,MOD(45+$C15+(-3),$B$3)+1)*F15+INDEX(Symboles!$H$6:$H$101,MOD(45+$C15+(-2),$B$3)+1)*G15+INDEX(Symboles!$H$6:$H$101,MOD(45+$C15+(-1),$B$3)+1)*H15+INDEX(Symboles!$H$6:$H$101,MOD(45+$C15+(0),$B$3)+1)*I15+INDEX(Symboles!$H$6:$H$101,MOD(45+$C15+(1),$B$3)+1)*J15+INDEX(Symboles!$H$6:$H$101,MOD(45+$C15+(2),$B$3)+1)*K15+INDEX(Symboles!$H$6:$H$101,MOD(45+$C15+(3),$B$3)+1)*L15+INDEX(Symboles!$H$6:$H$101,MOD(45+$C15+(4),$B$3)+1)*M15+IF($B$6=0,0,$B$6*NORMSINV(0.000001+0.999998*RAND())))</f>
        <v/>
      </c>
      <c r="FC15" s="30">
        <f>IF(47&gt;$B$3,99,INDEX(Symboles!$H$6:$H$101,MOD(46+$C15+(-4),$B$3)+1)*E15+INDEX(Symboles!$H$6:$H$101,MOD(46+$C15+(-3),$B$3)+1)*F15+INDEX(Symboles!$H$6:$H$101,MOD(46+$C15+(-2),$B$3)+1)*G15+INDEX(Symboles!$H$6:$H$101,MOD(46+$C15+(-1),$B$3)+1)*H15+INDEX(Symboles!$H$6:$H$101,MOD(46+$C15+(0),$B$3)+1)*I15+INDEX(Symboles!$H$6:$H$101,MOD(46+$C15+(1),$B$3)+1)*J15+INDEX(Symboles!$H$6:$H$101,MOD(46+$C15+(2),$B$3)+1)*K15+INDEX(Symboles!$H$6:$H$101,MOD(46+$C15+(3),$B$3)+1)*L15+INDEX(Symboles!$H$6:$H$101,MOD(46+$C15+(4),$B$3)+1)*M15+IF($B$6=0,0,$B$6*NORMSINV(0.000001+0.999998*RAND())))</f>
        <v/>
      </c>
      <c r="FD15" s="30">
        <f>IF(48&gt;$B$3,99,INDEX(Symboles!$H$6:$H$101,MOD(47+$C15+(-4),$B$3)+1)*E15+INDEX(Symboles!$H$6:$H$101,MOD(47+$C15+(-3),$B$3)+1)*F15+INDEX(Symboles!$H$6:$H$101,MOD(47+$C15+(-2),$B$3)+1)*G15+INDEX(Symboles!$H$6:$H$101,MOD(47+$C15+(-1),$B$3)+1)*H15+INDEX(Symboles!$H$6:$H$101,MOD(47+$C15+(0),$B$3)+1)*I15+INDEX(Symboles!$H$6:$H$101,MOD(47+$C15+(1),$B$3)+1)*J15+INDEX(Symboles!$H$6:$H$101,MOD(47+$C15+(2),$B$3)+1)*K15+INDEX(Symboles!$H$6:$H$101,MOD(47+$C15+(3),$B$3)+1)*L15+INDEX(Symboles!$H$6:$H$101,MOD(47+$C15+(4),$B$3)+1)*M15+IF($B$6=0,0,$B$6*NORMSINV(0.000001+0.999998*RAND())))</f>
        <v/>
      </c>
      <c r="FE15" s="30">
        <f>IF(49&gt;$B$3,99,INDEX(Symboles!$H$6:$H$101,MOD(48+$C15+(-4),$B$3)+1)*E15+INDEX(Symboles!$H$6:$H$101,MOD(48+$C15+(-3),$B$3)+1)*F15+INDEX(Symboles!$H$6:$H$101,MOD(48+$C15+(-2),$B$3)+1)*G15+INDEX(Symboles!$H$6:$H$101,MOD(48+$C15+(-1),$B$3)+1)*H15+INDEX(Symboles!$H$6:$H$101,MOD(48+$C15+(0),$B$3)+1)*I15+INDEX(Symboles!$H$6:$H$101,MOD(48+$C15+(1),$B$3)+1)*J15+INDEX(Symboles!$H$6:$H$101,MOD(48+$C15+(2),$B$3)+1)*K15+INDEX(Symboles!$H$6:$H$101,MOD(48+$C15+(3),$B$3)+1)*L15+INDEX(Symboles!$H$6:$H$101,MOD(48+$C15+(4),$B$3)+1)*M15+IF($B$6=0,0,$B$6*NORMSINV(0.000001+0.999998*RAND())))</f>
        <v/>
      </c>
      <c r="FF15" s="30">
        <f>IF(50&gt;$B$3,99,INDEX(Symboles!$H$6:$H$101,MOD(49+$C15+(-4),$B$3)+1)*E15+INDEX(Symboles!$H$6:$H$101,MOD(49+$C15+(-3),$B$3)+1)*F15+INDEX(Symboles!$H$6:$H$101,MOD(49+$C15+(-2),$B$3)+1)*G15+INDEX(Symboles!$H$6:$H$101,MOD(49+$C15+(-1),$B$3)+1)*H15+INDEX(Symboles!$H$6:$H$101,MOD(49+$C15+(0),$B$3)+1)*I15+INDEX(Symboles!$H$6:$H$101,MOD(49+$C15+(1),$B$3)+1)*J15+INDEX(Symboles!$H$6:$H$101,MOD(49+$C15+(2),$B$3)+1)*K15+INDEX(Symboles!$H$6:$H$101,MOD(49+$C15+(3),$B$3)+1)*L15+INDEX(Symboles!$H$6:$H$101,MOD(49+$C15+(4),$B$3)+1)*M15+IF($B$6=0,0,$B$6*NORMSINV(0.000001+0.999998*RAND())))</f>
        <v/>
      </c>
      <c r="FG15" s="30">
        <f>IF(51&gt;$B$3,99,INDEX(Symboles!$H$6:$H$101,MOD(50+$C15+(-4),$B$3)+1)*E15+INDEX(Symboles!$H$6:$H$101,MOD(50+$C15+(-3),$B$3)+1)*F15+INDEX(Symboles!$H$6:$H$101,MOD(50+$C15+(-2),$B$3)+1)*G15+INDEX(Symboles!$H$6:$H$101,MOD(50+$C15+(-1),$B$3)+1)*H15+INDEX(Symboles!$H$6:$H$101,MOD(50+$C15+(0),$B$3)+1)*I15+INDEX(Symboles!$H$6:$H$101,MOD(50+$C15+(1),$B$3)+1)*J15+INDEX(Symboles!$H$6:$H$101,MOD(50+$C15+(2),$B$3)+1)*K15+INDEX(Symboles!$H$6:$H$101,MOD(50+$C15+(3),$B$3)+1)*L15+INDEX(Symboles!$H$6:$H$101,MOD(50+$C15+(4),$B$3)+1)*M15+IF($B$6=0,0,$B$6*NORMSINV(0.000001+0.999998*RAND())))</f>
        <v/>
      </c>
      <c r="FH15" s="30">
        <f>IF(52&gt;$B$3,99,INDEX(Symboles!$H$6:$H$101,MOD(51+$C15+(-4),$B$3)+1)*E15+INDEX(Symboles!$H$6:$H$101,MOD(51+$C15+(-3),$B$3)+1)*F15+INDEX(Symboles!$H$6:$H$101,MOD(51+$C15+(-2),$B$3)+1)*G15+INDEX(Symboles!$H$6:$H$101,MOD(51+$C15+(-1),$B$3)+1)*H15+INDEX(Symboles!$H$6:$H$101,MOD(51+$C15+(0),$B$3)+1)*I15+INDEX(Symboles!$H$6:$H$101,MOD(51+$C15+(1),$B$3)+1)*J15+INDEX(Symboles!$H$6:$H$101,MOD(51+$C15+(2),$B$3)+1)*K15+INDEX(Symboles!$H$6:$H$101,MOD(51+$C15+(3),$B$3)+1)*L15+INDEX(Symboles!$H$6:$H$101,MOD(51+$C15+(4),$B$3)+1)*M15+IF($B$6=0,0,$B$6*NORMSINV(0.000001+0.999998*RAND())))</f>
        <v/>
      </c>
      <c r="FI15" s="30">
        <f>IF(53&gt;$B$3,99,INDEX(Symboles!$H$6:$H$101,MOD(52+$C15+(-4),$B$3)+1)*E15+INDEX(Symboles!$H$6:$H$101,MOD(52+$C15+(-3),$B$3)+1)*F15+INDEX(Symboles!$H$6:$H$101,MOD(52+$C15+(-2),$B$3)+1)*G15+INDEX(Symboles!$H$6:$H$101,MOD(52+$C15+(-1),$B$3)+1)*H15+INDEX(Symboles!$H$6:$H$101,MOD(52+$C15+(0),$B$3)+1)*I15+INDEX(Symboles!$H$6:$H$101,MOD(52+$C15+(1),$B$3)+1)*J15+INDEX(Symboles!$H$6:$H$101,MOD(52+$C15+(2),$B$3)+1)*K15+INDEX(Symboles!$H$6:$H$101,MOD(52+$C15+(3),$B$3)+1)*L15+INDEX(Symboles!$H$6:$H$101,MOD(52+$C15+(4),$B$3)+1)*M15+IF($B$6=0,0,$B$6*NORMSINV(0.000001+0.999998*RAND())))</f>
        <v/>
      </c>
      <c r="FJ15" s="30">
        <f>IF(54&gt;$B$3,99,INDEX(Symboles!$H$6:$H$101,MOD(53+$C15+(-4),$B$3)+1)*E15+INDEX(Symboles!$H$6:$H$101,MOD(53+$C15+(-3),$B$3)+1)*F15+INDEX(Symboles!$H$6:$H$101,MOD(53+$C15+(-2),$B$3)+1)*G15+INDEX(Symboles!$H$6:$H$101,MOD(53+$C15+(-1),$B$3)+1)*H15+INDEX(Symboles!$H$6:$H$101,MOD(53+$C15+(0),$B$3)+1)*I15+INDEX(Symboles!$H$6:$H$101,MOD(53+$C15+(1),$B$3)+1)*J15+INDEX(Symboles!$H$6:$H$101,MOD(53+$C15+(2),$B$3)+1)*K15+INDEX(Symboles!$H$6:$H$101,MOD(53+$C15+(3),$B$3)+1)*L15+INDEX(Symboles!$H$6:$H$101,MOD(53+$C15+(4),$B$3)+1)*M15+IF($B$6=0,0,$B$6*NORMSINV(0.000001+0.999998*RAND())))</f>
        <v/>
      </c>
      <c r="FK15" s="30">
        <f>IF(55&gt;$B$3,99,INDEX(Symboles!$H$6:$H$101,MOD(54+$C15+(-4),$B$3)+1)*E15+INDEX(Symboles!$H$6:$H$101,MOD(54+$C15+(-3),$B$3)+1)*F15+INDEX(Symboles!$H$6:$H$101,MOD(54+$C15+(-2),$B$3)+1)*G15+INDEX(Symboles!$H$6:$H$101,MOD(54+$C15+(-1),$B$3)+1)*H15+INDEX(Symboles!$H$6:$H$101,MOD(54+$C15+(0),$B$3)+1)*I15+INDEX(Symboles!$H$6:$H$101,MOD(54+$C15+(1),$B$3)+1)*J15+INDEX(Symboles!$H$6:$H$101,MOD(54+$C15+(2),$B$3)+1)*K15+INDEX(Symboles!$H$6:$H$101,MOD(54+$C15+(3),$B$3)+1)*L15+INDEX(Symboles!$H$6:$H$101,MOD(54+$C15+(4),$B$3)+1)*M15+IF($B$6=0,0,$B$6*NORMSINV(0.000001+0.999998*RAND())))</f>
        <v/>
      </c>
      <c r="FL15" s="30">
        <f>IF(56&gt;$B$3,99,INDEX(Symboles!$H$6:$H$101,MOD(55+$C15+(-4),$B$3)+1)*E15+INDEX(Symboles!$H$6:$H$101,MOD(55+$C15+(-3),$B$3)+1)*F15+INDEX(Symboles!$H$6:$H$101,MOD(55+$C15+(-2),$B$3)+1)*G15+INDEX(Symboles!$H$6:$H$101,MOD(55+$C15+(-1),$B$3)+1)*H15+INDEX(Symboles!$H$6:$H$101,MOD(55+$C15+(0),$B$3)+1)*I15+INDEX(Symboles!$H$6:$H$101,MOD(55+$C15+(1),$B$3)+1)*J15+INDEX(Symboles!$H$6:$H$101,MOD(55+$C15+(2),$B$3)+1)*K15+INDEX(Symboles!$H$6:$H$101,MOD(55+$C15+(3),$B$3)+1)*L15+INDEX(Symboles!$H$6:$H$101,MOD(55+$C15+(4),$B$3)+1)*M15+IF($B$6=0,0,$B$6*NORMSINV(0.000001+0.999998*RAND())))</f>
        <v/>
      </c>
      <c r="FM15" s="30">
        <f>IF(57&gt;$B$3,99,INDEX(Symboles!$H$6:$H$101,MOD(56+$C15+(-4),$B$3)+1)*E15+INDEX(Symboles!$H$6:$H$101,MOD(56+$C15+(-3),$B$3)+1)*F15+INDEX(Symboles!$H$6:$H$101,MOD(56+$C15+(-2),$B$3)+1)*G15+INDEX(Symboles!$H$6:$H$101,MOD(56+$C15+(-1),$B$3)+1)*H15+INDEX(Symboles!$H$6:$H$101,MOD(56+$C15+(0),$B$3)+1)*I15+INDEX(Symboles!$H$6:$H$101,MOD(56+$C15+(1),$B$3)+1)*J15+INDEX(Symboles!$H$6:$H$101,MOD(56+$C15+(2),$B$3)+1)*K15+INDEX(Symboles!$H$6:$H$101,MOD(56+$C15+(3),$B$3)+1)*L15+INDEX(Symboles!$H$6:$H$101,MOD(56+$C15+(4),$B$3)+1)*M15+IF($B$6=0,0,$B$6*NORMSINV(0.000001+0.999998*RAND())))</f>
        <v/>
      </c>
      <c r="FN15" s="30">
        <f>IF(58&gt;$B$3,99,INDEX(Symboles!$H$6:$H$101,MOD(57+$C15+(-4),$B$3)+1)*E15+INDEX(Symboles!$H$6:$H$101,MOD(57+$C15+(-3),$B$3)+1)*F15+INDEX(Symboles!$H$6:$H$101,MOD(57+$C15+(-2),$B$3)+1)*G15+INDEX(Symboles!$H$6:$H$101,MOD(57+$C15+(-1),$B$3)+1)*H15+INDEX(Symboles!$H$6:$H$101,MOD(57+$C15+(0),$B$3)+1)*I15+INDEX(Symboles!$H$6:$H$101,MOD(57+$C15+(1),$B$3)+1)*J15+INDEX(Symboles!$H$6:$H$101,MOD(57+$C15+(2),$B$3)+1)*K15+INDEX(Symboles!$H$6:$H$101,MOD(57+$C15+(3),$B$3)+1)*L15+INDEX(Symboles!$H$6:$H$101,MOD(57+$C15+(4),$B$3)+1)*M15+IF($B$6=0,0,$B$6*NORMSINV(0.000001+0.999998*RAND())))</f>
        <v/>
      </c>
      <c r="FO15" s="30">
        <f>IF(59&gt;$B$3,99,INDEX(Symboles!$H$6:$H$101,MOD(58+$C15+(-4),$B$3)+1)*E15+INDEX(Symboles!$H$6:$H$101,MOD(58+$C15+(-3),$B$3)+1)*F15+INDEX(Symboles!$H$6:$H$101,MOD(58+$C15+(-2),$B$3)+1)*G15+INDEX(Symboles!$H$6:$H$101,MOD(58+$C15+(-1),$B$3)+1)*H15+INDEX(Symboles!$H$6:$H$101,MOD(58+$C15+(0),$B$3)+1)*I15+INDEX(Symboles!$H$6:$H$101,MOD(58+$C15+(1),$B$3)+1)*J15+INDEX(Symboles!$H$6:$H$101,MOD(58+$C15+(2),$B$3)+1)*K15+INDEX(Symboles!$H$6:$H$101,MOD(58+$C15+(3),$B$3)+1)*L15+INDEX(Symboles!$H$6:$H$101,MOD(58+$C15+(4),$B$3)+1)*M15+IF($B$6=0,0,$B$6*NORMSINV(0.000001+0.999998*RAND())))</f>
        <v/>
      </c>
      <c r="FP15" s="30">
        <f>IF(60&gt;$B$3,99,INDEX(Symboles!$H$6:$H$101,MOD(59+$C15+(-4),$B$3)+1)*E15+INDEX(Symboles!$H$6:$H$101,MOD(59+$C15+(-3),$B$3)+1)*F15+INDEX(Symboles!$H$6:$H$101,MOD(59+$C15+(-2),$B$3)+1)*G15+INDEX(Symboles!$H$6:$H$101,MOD(59+$C15+(-1),$B$3)+1)*H15+INDEX(Symboles!$H$6:$H$101,MOD(59+$C15+(0),$B$3)+1)*I15+INDEX(Symboles!$H$6:$H$101,MOD(59+$C15+(1),$B$3)+1)*J15+INDEX(Symboles!$H$6:$H$101,MOD(59+$C15+(2),$B$3)+1)*K15+INDEX(Symboles!$H$6:$H$101,MOD(59+$C15+(3),$B$3)+1)*L15+INDEX(Symboles!$H$6:$H$101,MOD(59+$C15+(4),$B$3)+1)*M15+IF($B$6=0,0,$B$6*NORMSINV(0.000001+0.999998*RAND())))</f>
        <v/>
      </c>
      <c r="FQ15" s="30">
        <f>IF(61&gt;$B$3,99,INDEX(Symboles!$H$6:$H$101,MOD(60+$C15+(-4),$B$3)+1)*E15+INDEX(Symboles!$H$6:$H$101,MOD(60+$C15+(-3),$B$3)+1)*F15+INDEX(Symboles!$H$6:$H$101,MOD(60+$C15+(-2),$B$3)+1)*G15+INDEX(Symboles!$H$6:$H$101,MOD(60+$C15+(-1),$B$3)+1)*H15+INDEX(Symboles!$H$6:$H$101,MOD(60+$C15+(0),$B$3)+1)*I15+INDEX(Symboles!$H$6:$H$101,MOD(60+$C15+(1),$B$3)+1)*J15+INDEX(Symboles!$H$6:$H$101,MOD(60+$C15+(2),$B$3)+1)*K15+INDEX(Symboles!$H$6:$H$101,MOD(60+$C15+(3),$B$3)+1)*L15+INDEX(Symboles!$H$6:$H$101,MOD(60+$C15+(4),$B$3)+1)*M15+IF($B$6=0,0,$B$6*NORMSINV(0.000001+0.999998*RAND())))</f>
        <v/>
      </c>
      <c r="FR15" s="30">
        <f>IF(62&gt;$B$3,99,INDEX(Symboles!$H$6:$H$101,MOD(61+$C15+(-4),$B$3)+1)*E15+INDEX(Symboles!$H$6:$H$101,MOD(61+$C15+(-3),$B$3)+1)*F15+INDEX(Symboles!$H$6:$H$101,MOD(61+$C15+(-2),$B$3)+1)*G15+INDEX(Symboles!$H$6:$H$101,MOD(61+$C15+(-1),$B$3)+1)*H15+INDEX(Symboles!$H$6:$H$101,MOD(61+$C15+(0),$B$3)+1)*I15+INDEX(Symboles!$H$6:$H$101,MOD(61+$C15+(1),$B$3)+1)*J15+INDEX(Symboles!$H$6:$H$101,MOD(61+$C15+(2),$B$3)+1)*K15+INDEX(Symboles!$H$6:$H$101,MOD(61+$C15+(3),$B$3)+1)*L15+INDEX(Symboles!$H$6:$H$101,MOD(61+$C15+(4),$B$3)+1)*M15+IF($B$6=0,0,$B$6*NORMSINV(0.000001+0.999998*RAND())))</f>
        <v/>
      </c>
      <c r="FS15" s="30">
        <f>IF(63&gt;$B$3,99,INDEX(Symboles!$H$6:$H$101,MOD(62+$C15+(-4),$B$3)+1)*E15+INDEX(Symboles!$H$6:$H$101,MOD(62+$C15+(-3),$B$3)+1)*F15+INDEX(Symboles!$H$6:$H$101,MOD(62+$C15+(-2),$B$3)+1)*G15+INDEX(Symboles!$H$6:$H$101,MOD(62+$C15+(-1),$B$3)+1)*H15+INDEX(Symboles!$H$6:$H$101,MOD(62+$C15+(0),$B$3)+1)*I15+INDEX(Symboles!$H$6:$H$101,MOD(62+$C15+(1),$B$3)+1)*J15+INDEX(Symboles!$H$6:$H$101,MOD(62+$C15+(2),$B$3)+1)*K15+INDEX(Symboles!$H$6:$H$101,MOD(62+$C15+(3),$B$3)+1)*L15+INDEX(Symboles!$H$6:$H$101,MOD(62+$C15+(4),$B$3)+1)*M15+IF($B$6=0,0,$B$6*NORMSINV(0.000001+0.999998*RAND())))</f>
        <v/>
      </c>
      <c r="FT15" s="30">
        <f>IF(64&gt;$B$3,99,INDEX(Symboles!$H$6:$H$101,MOD(63+$C15+(-4),$B$3)+1)*E15+INDEX(Symboles!$H$6:$H$101,MOD(63+$C15+(-3),$B$3)+1)*F15+INDEX(Symboles!$H$6:$H$101,MOD(63+$C15+(-2),$B$3)+1)*G15+INDEX(Symboles!$H$6:$H$101,MOD(63+$C15+(-1),$B$3)+1)*H15+INDEX(Symboles!$H$6:$H$101,MOD(63+$C15+(0),$B$3)+1)*I15+INDEX(Symboles!$H$6:$H$101,MOD(63+$C15+(1),$B$3)+1)*J15+INDEX(Symboles!$H$6:$H$101,MOD(63+$C15+(2),$B$3)+1)*K15+INDEX(Symboles!$H$6:$H$101,MOD(63+$C15+(3),$B$3)+1)*L15+INDEX(Symboles!$H$6:$H$101,MOD(63+$C15+(4),$B$3)+1)*M15+IF($B$6=0,0,$B$6*NORMSINV(0.000001+0.999998*RAND())))</f>
        <v/>
      </c>
      <c r="FU15" s="30">
        <f>IF(65&gt;$B$3,99,INDEX(Symboles!$H$6:$H$101,MOD(64+$C15+(-4),$B$3)+1)*E15+INDEX(Symboles!$H$6:$H$101,MOD(64+$C15+(-3),$B$3)+1)*F15+INDEX(Symboles!$H$6:$H$101,MOD(64+$C15+(-2),$B$3)+1)*G15+INDEX(Symboles!$H$6:$H$101,MOD(64+$C15+(-1),$B$3)+1)*H15+INDEX(Symboles!$H$6:$H$101,MOD(64+$C15+(0),$B$3)+1)*I15+INDEX(Symboles!$H$6:$H$101,MOD(64+$C15+(1),$B$3)+1)*J15+INDEX(Symboles!$H$6:$H$101,MOD(64+$C15+(2),$B$3)+1)*K15+INDEX(Symboles!$H$6:$H$101,MOD(64+$C15+(3),$B$3)+1)*L15+INDEX(Symboles!$H$6:$H$101,MOD(64+$C15+(4),$B$3)+1)*M15+IF($B$6=0,0,$B$6*NORMSINV(0.000001+0.999998*RAND())))</f>
        <v/>
      </c>
      <c r="FV15" s="30">
        <f>IF(66&gt;$B$3,99,INDEX(Symboles!$H$6:$H$101,MOD(65+$C15+(-4),$B$3)+1)*E15+INDEX(Symboles!$H$6:$H$101,MOD(65+$C15+(-3),$B$3)+1)*F15+INDEX(Symboles!$H$6:$H$101,MOD(65+$C15+(-2),$B$3)+1)*G15+INDEX(Symboles!$H$6:$H$101,MOD(65+$C15+(-1),$B$3)+1)*H15+INDEX(Symboles!$H$6:$H$101,MOD(65+$C15+(0),$B$3)+1)*I15+INDEX(Symboles!$H$6:$H$101,MOD(65+$C15+(1),$B$3)+1)*J15+INDEX(Symboles!$H$6:$H$101,MOD(65+$C15+(2),$B$3)+1)*K15+INDEX(Symboles!$H$6:$H$101,MOD(65+$C15+(3),$B$3)+1)*L15+INDEX(Symboles!$H$6:$H$101,MOD(65+$C15+(4),$B$3)+1)*M15+IF($B$6=0,0,$B$6*NORMSINV(0.000001+0.999998*RAND())))</f>
        <v/>
      </c>
      <c r="FW15" s="30">
        <f>IF(67&gt;$B$3,99,INDEX(Symboles!$H$6:$H$101,MOD(66+$C15+(-4),$B$3)+1)*E15+INDEX(Symboles!$H$6:$H$101,MOD(66+$C15+(-3),$B$3)+1)*F15+INDEX(Symboles!$H$6:$H$101,MOD(66+$C15+(-2),$B$3)+1)*G15+INDEX(Symboles!$H$6:$H$101,MOD(66+$C15+(-1),$B$3)+1)*H15+INDEX(Symboles!$H$6:$H$101,MOD(66+$C15+(0),$B$3)+1)*I15+INDEX(Symboles!$H$6:$H$101,MOD(66+$C15+(1),$B$3)+1)*J15+INDEX(Symboles!$H$6:$H$101,MOD(66+$C15+(2),$B$3)+1)*K15+INDEX(Symboles!$H$6:$H$101,MOD(66+$C15+(3),$B$3)+1)*L15+INDEX(Symboles!$H$6:$H$101,MOD(66+$C15+(4),$B$3)+1)*M15+IF($B$6=0,0,$B$6*NORMSINV(0.000001+0.999998*RAND())))</f>
        <v/>
      </c>
      <c r="FX15" s="30">
        <f>IF(68&gt;$B$3,99,INDEX(Symboles!$H$6:$H$101,MOD(67+$C15+(-4),$B$3)+1)*E15+INDEX(Symboles!$H$6:$H$101,MOD(67+$C15+(-3),$B$3)+1)*F15+INDEX(Symboles!$H$6:$H$101,MOD(67+$C15+(-2),$B$3)+1)*G15+INDEX(Symboles!$H$6:$H$101,MOD(67+$C15+(-1),$B$3)+1)*H15+INDEX(Symboles!$H$6:$H$101,MOD(67+$C15+(0),$B$3)+1)*I15+INDEX(Symboles!$H$6:$H$101,MOD(67+$C15+(1),$B$3)+1)*J15+INDEX(Symboles!$H$6:$H$101,MOD(67+$C15+(2),$B$3)+1)*K15+INDEX(Symboles!$H$6:$H$101,MOD(67+$C15+(3),$B$3)+1)*L15+INDEX(Symboles!$H$6:$H$101,MOD(67+$C15+(4),$B$3)+1)*M15+IF($B$6=0,0,$B$6*NORMSINV(0.000001+0.999998*RAND())))</f>
        <v/>
      </c>
      <c r="FY15" s="30">
        <f>IF(69&gt;$B$3,99,INDEX(Symboles!$H$6:$H$101,MOD(68+$C15+(-4),$B$3)+1)*E15+INDEX(Symboles!$H$6:$H$101,MOD(68+$C15+(-3),$B$3)+1)*F15+INDEX(Symboles!$H$6:$H$101,MOD(68+$C15+(-2),$B$3)+1)*G15+INDEX(Symboles!$H$6:$H$101,MOD(68+$C15+(-1),$B$3)+1)*H15+INDEX(Symboles!$H$6:$H$101,MOD(68+$C15+(0),$B$3)+1)*I15+INDEX(Symboles!$H$6:$H$101,MOD(68+$C15+(1),$B$3)+1)*J15+INDEX(Symboles!$H$6:$H$101,MOD(68+$C15+(2),$B$3)+1)*K15+INDEX(Symboles!$H$6:$H$101,MOD(68+$C15+(3),$B$3)+1)*L15+INDEX(Symboles!$H$6:$H$101,MOD(68+$C15+(4),$B$3)+1)*M15+IF($B$6=0,0,$B$6*NORMSINV(0.000001+0.999998*RAND())))</f>
        <v/>
      </c>
      <c r="FZ15" s="30">
        <f>IF(70&gt;$B$3,99,INDEX(Symboles!$H$6:$H$101,MOD(69+$C15+(-4),$B$3)+1)*E15+INDEX(Symboles!$H$6:$H$101,MOD(69+$C15+(-3),$B$3)+1)*F15+INDEX(Symboles!$H$6:$H$101,MOD(69+$C15+(-2),$B$3)+1)*G15+INDEX(Symboles!$H$6:$H$101,MOD(69+$C15+(-1),$B$3)+1)*H15+INDEX(Symboles!$H$6:$H$101,MOD(69+$C15+(0),$B$3)+1)*I15+INDEX(Symboles!$H$6:$H$101,MOD(69+$C15+(1),$B$3)+1)*J15+INDEX(Symboles!$H$6:$H$101,MOD(69+$C15+(2),$B$3)+1)*K15+INDEX(Symboles!$H$6:$H$101,MOD(69+$C15+(3),$B$3)+1)*L15+INDEX(Symboles!$H$6:$H$101,MOD(69+$C15+(4),$B$3)+1)*M15+IF($B$6=0,0,$B$6*NORMSINV(0.000001+0.999998*RAND())))</f>
        <v/>
      </c>
      <c r="GA15" s="30">
        <f>IF(71&gt;$B$3,99,INDEX(Symboles!$H$6:$H$101,MOD(70+$C15+(-4),$B$3)+1)*E15+INDEX(Symboles!$H$6:$H$101,MOD(70+$C15+(-3),$B$3)+1)*F15+INDEX(Symboles!$H$6:$H$101,MOD(70+$C15+(-2),$B$3)+1)*G15+INDEX(Symboles!$H$6:$H$101,MOD(70+$C15+(-1),$B$3)+1)*H15+INDEX(Symboles!$H$6:$H$101,MOD(70+$C15+(0),$B$3)+1)*I15+INDEX(Symboles!$H$6:$H$101,MOD(70+$C15+(1),$B$3)+1)*J15+INDEX(Symboles!$H$6:$H$101,MOD(70+$C15+(2),$B$3)+1)*K15+INDEX(Symboles!$H$6:$H$101,MOD(70+$C15+(3),$B$3)+1)*L15+INDEX(Symboles!$H$6:$H$101,MOD(70+$C15+(4),$B$3)+1)*M15+IF($B$6=0,0,$B$6*NORMSINV(0.000001+0.999998*RAND())))</f>
        <v/>
      </c>
      <c r="GB15" s="30">
        <f>IF(72&gt;$B$3,99,INDEX(Symboles!$H$6:$H$101,MOD(71+$C15+(-4),$B$3)+1)*E15+INDEX(Symboles!$H$6:$H$101,MOD(71+$C15+(-3),$B$3)+1)*F15+INDEX(Symboles!$H$6:$H$101,MOD(71+$C15+(-2),$B$3)+1)*G15+INDEX(Symboles!$H$6:$H$101,MOD(71+$C15+(-1),$B$3)+1)*H15+INDEX(Symboles!$H$6:$H$101,MOD(71+$C15+(0),$B$3)+1)*I15+INDEX(Symboles!$H$6:$H$101,MOD(71+$C15+(1),$B$3)+1)*J15+INDEX(Symboles!$H$6:$H$101,MOD(71+$C15+(2),$B$3)+1)*K15+INDEX(Symboles!$H$6:$H$101,MOD(71+$C15+(3),$B$3)+1)*L15+INDEX(Symboles!$H$6:$H$101,MOD(71+$C15+(4),$B$3)+1)*M15+IF($B$6=0,0,$B$6*NORMSINV(0.000001+0.999998*RAND())))</f>
        <v/>
      </c>
      <c r="GC15" s="30">
        <f>IF(73&gt;$B$3,99,INDEX(Symboles!$H$6:$H$101,MOD(72+$C15+(-4),$B$3)+1)*E15+INDEX(Symboles!$H$6:$H$101,MOD(72+$C15+(-3),$B$3)+1)*F15+INDEX(Symboles!$H$6:$H$101,MOD(72+$C15+(-2),$B$3)+1)*G15+INDEX(Symboles!$H$6:$H$101,MOD(72+$C15+(-1),$B$3)+1)*H15+INDEX(Symboles!$H$6:$H$101,MOD(72+$C15+(0),$B$3)+1)*I15+INDEX(Symboles!$H$6:$H$101,MOD(72+$C15+(1),$B$3)+1)*J15+INDEX(Symboles!$H$6:$H$101,MOD(72+$C15+(2),$B$3)+1)*K15+INDEX(Symboles!$H$6:$H$101,MOD(72+$C15+(3),$B$3)+1)*L15+INDEX(Symboles!$H$6:$H$101,MOD(72+$C15+(4),$B$3)+1)*M15+IF($B$6=0,0,$B$6*NORMSINV(0.000001+0.999998*RAND())))</f>
        <v/>
      </c>
      <c r="GD15" s="30">
        <f>IF(74&gt;$B$3,99,INDEX(Symboles!$H$6:$H$101,MOD(73+$C15+(-4),$B$3)+1)*E15+INDEX(Symboles!$H$6:$H$101,MOD(73+$C15+(-3),$B$3)+1)*F15+INDEX(Symboles!$H$6:$H$101,MOD(73+$C15+(-2),$B$3)+1)*G15+INDEX(Symboles!$H$6:$H$101,MOD(73+$C15+(-1),$B$3)+1)*H15+INDEX(Symboles!$H$6:$H$101,MOD(73+$C15+(0),$B$3)+1)*I15+INDEX(Symboles!$H$6:$H$101,MOD(73+$C15+(1),$B$3)+1)*J15+INDEX(Symboles!$H$6:$H$101,MOD(73+$C15+(2),$B$3)+1)*K15+INDEX(Symboles!$H$6:$H$101,MOD(73+$C15+(3),$B$3)+1)*L15+INDEX(Symboles!$H$6:$H$101,MOD(73+$C15+(4),$B$3)+1)*M15+IF($B$6=0,0,$B$6*NORMSINV(0.000001+0.999998*RAND())))</f>
        <v/>
      </c>
      <c r="GE15" s="30">
        <f>IF(75&gt;$B$3,99,INDEX(Symboles!$H$6:$H$101,MOD(74+$C15+(-4),$B$3)+1)*E15+INDEX(Symboles!$H$6:$H$101,MOD(74+$C15+(-3),$B$3)+1)*F15+INDEX(Symboles!$H$6:$H$101,MOD(74+$C15+(-2),$B$3)+1)*G15+INDEX(Symboles!$H$6:$H$101,MOD(74+$C15+(-1),$B$3)+1)*H15+INDEX(Symboles!$H$6:$H$101,MOD(74+$C15+(0),$B$3)+1)*I15+INDEX(Symboles!$H$6:$H$101,MOD(74+$C15+(1),$B$3)+1)*J15+INDEX(Symboles!$H$6:$H$101,MOD(74+$C15+(2),$B$3)+1)*K15+INDEX(Symboles!$H$6:$H$101,MOD(74+$C15+(3),$B$3)+1)*L15+INDEX(Symboles!$H$6:$H$101,MOD(74+$C15+(4),$B$3)+1)*M15+IF($B$6=0,0,$B$6*NORMSINV(0.000001+0.999998*RAND())))</f>
        <v/>
      </c>
      <c r="GF15" s="30">
        <f>IF(76&gt;$B$3,99,INDEX(Symboles!$H$6:$H$101,MOD(75+$C15+(-4),$B$3)+1)*E15+INDEX(Symboles!$H$6:$H$101,MOD(75+$C15+(-3),$B$3)+1)*F15+INDEX(Symboles!$H$6:$H$101,MOD(75+$C15+(-2),$B$3)+1)*G15+INDEX(Symboles!$H$6:$H$101,MOD(75+$C15+(-1),$B$3)+1)*H15+INDEX(Symboles!$H$6:$H$101,MOD(75+$C15+(0),$B$3)+1)*I15+INDEX(Symboles!$H$6:$H$101,MOD(75+$C15+(1),$B$3)+1)*J15+INDEX(Symboles!$H$6:$H$101,MOD(75+$C15+(2),$B$3)+1)*K15+INDEX(Symboles!$H$6:$H$101,MOD(75+$C15+(3),$B$3)+1)*L15+INDEX(Symboles!$H$6:$H$101,MOD(75+$C15+(4),$B$3)+1)*M15+IF($B$6=0,0,$B$6*NORMSINV(0.000001+0.999998*RAND())))</f>
        <v/>
      </c>
      <c r="GG15" s="30">
        <f>IF(77&gt;$B$3,99,INDEX(Symboles!$H$6:$H$101,MOD(76+$C15+(-4),$B$3)+1)*E15+INDEX(Symboles!$H$6:$H$101,MOD(76+$C15+(-3),$B$3)+1)*F15+INDEX(Symboles!$H$6:$H$101,MOD(76+$C15+(-2),$B$3)+1)*G15+INDEX(Symboles!$H$6:$H$101,MOD(76+$C15+(-1),$B$3)+1)*H15+INDEX(Symboles!$H$6:$H$101,MOD(76+$C15+(0),$B$3)+1)*I15+INDEX(Symboles!$H$6:$H$101,MOD(76+$C15+(1),$B$3)+1)*J15+INDEX(Symboles!$H$6:$H$101,MOD(76+$C15+(2),$B$3)+1)*K15+INDEX(Symboles!$H$6:$H$101,MOD(76+$C15+(3),$B$3)+1)*L15+INDEX(Symboles!$H$6:$H$101,MOD(76+$C15+(4),$B$3)+1)*M15+IF($B$6=0,0,$B$6*NORMSINV(0.000001+0.999998*RAND())))</f>
        <v/>
      </c>
      <c r="GH15" s="30">
        <f>IF(78&gt;$B$3,99,INDEX(Symboles!$H$6:$H$101,MOD(77+$C15+(-4),$B$3)+1)*E15+INDEX(Symboles!$H$6:$H$101,MOD(77+$C15+(-3),$B$3)+1)*F15+INDEX(Symboles!$H$6:$H$101,MOD(77+$C15+(-2),$B$3)+1)*G15+INDEX(Symboles!$H$6:$H$101,MOD(77+$C15+(-1),$B$3)+1)*H15+INDEX(Symboles!$H$6:$H$101,MOD(77+$C15+(0),$B$3)+1)*I15+INDEX(Symboles!$H$6:$H$101,MOD(77+$C15+(1),$B$3)+1)*J15+INDEX(Symboles!$H$6:$H$101,MOD(77+$C15+(2),$B$3)+1)*K15+INDEX(Symboles!$H$6:$H$101,MOD(77+$C15+(3),$B$3)+1)*L15+INDEX(Symboles!$H$6:$H$101,MOD(77+$C15+(4),$B$3)+1)*M15+IF($B$6=0,0,$B$6*NORMSINV(0.000001+0.999998*RAND())))</f>
        <v/>
      </c>
      <c r="GI15" s="30">
        <f>IF(79&gt;$B$3,99,INDEX(Symboles!$H$6:$H$101,MOD(78+$C15+(-4),$B$3)+1)*E15+INDEX(Symboles!$H$6:$H$101,MOD(78+$C15+(-3),$B$3)+1)*F15+INDEX(Symboles!$H$6:$H$101,MOD(78+$C15+(-2),$B$3)+1)*G15+INDEX(Symboles!$H$6:$H$101,MOD(78+$C15+(-1),$B$3)+1)*H15+INDEX(Symboles!$H$6:$H$101,MOD(78+$C15+(0),$B$3)+1)*I15+INDEX(Symboles!$H$6:$H$101,MOD(78+$C15+(1),$B$3)+1)*J15+INDEX(Symboles!$H$6:$H$101,MOD(78+$C15+(2),$B$3)+1)*K15+INDEX(Symboles!$H$6:$H$101,MOD(78+$C15+(3),$B$3)+1)*L15+INDEX(Symboles!$H$6:$H$101,MOD(78+$C15+(4),$B$3)+1)*M15+IF($B$6=0,0,$B$6*NORMSINV(0.000001+0.999998*RAND())))</f>
        <v/>
      </c>
      <c r="GJ15" s="30">
        <f>IF(80&gt;$B$3,99,INDEX(Symboles!$H$6:$H$101,MOD(79+$C15+(-4),$B$3)+1)*E15+INDEX(Symboles!$H$6:$H$101,MOD(79+$C15+(-3),$B$3)+1)*F15+INDEX(Symboles!$H$6:$H$101,MOD(79+$C15+(-2),$B$3)+1)*G15+INDEX(Symboles!$H$6:$H$101,MOD(79+$C15+(-1),$B$3)+1)*H15+INDEX(Symboles!$H$6:$H$101,MOD(79+$C15+(0),$B$3)+1)*I15+INDEX(Symboles!$H$6:$H$101,MOD(79+$C15+(1),$B$3)+1)*J15+INDEX(Symboles!$H$6:$H$101,MOD(79+$C15+(2),$B$3)+1)*K15+INDEX(Symboles!$H$6:$H$101,MOD(79+$C15+(3),$B$3)+1)*L15+INDEX(Symboles!$H$6:$H$101,MOD(79+$C15+(4),$B$3)+1)*M15+IF($B$6=0,0,$B$6*NORMSINV(0.000001+0.999998*RAND())))</f>
        <v/>
      </c>
      <c r="GK15" s="30">
        <f>IF(81&gt;$B$3,99,INDEX(Symboles!$H$6:$H$101,MOD(80+$C15+(-4),$B$3)+1)*E15+INDEX(Symboles!$H$6:$H$101,MOD(80+$C15+(-3),$B$3)+1)*F15+INDEX(Symboles!$H$6:$H$101,MOD(80+$C15+(-2),$B$3)+1)*G15+INDEX(Symboles!$H$6:$H$101,MOD(80+$C15+(-1),$B$3)+1)*H15+INDEX(Symboles!$H$6:$H$101,MOD(80+$C15+(0),$B$3)+1)*I15+INDEX(Symboles!$H$6:$H$101,MOD(80+$C15+(1),$B$3)+1)*J15+INDEX(Symboles!$H$6:$H$101,MOD(80+$C15+(2),$B$3)+1)*K15+INDEX(Symboles!$H$6:$H$101,MOD(80+$C15+(3),$B$3)+1)*L15+INDEX(Symboles!$H$6:$H$101,MOD(80+$C15+(4),$B$3)+1)*M15+IF($B$6=0,0,$B$6*NORMSINV(0.000001+0.999998*RAND())))</f>
        <v/>
      </c>
      <c r="GL15" s="30">
        <f>IF(82&gt;$B$3,99,INDEX(Symboles!$H$6:$H$101,MOD(81+$C15+(-4),$B$3)+1)*E15+INDEX(Symboles!$H$6:$H$101,MOD(81+$C15+(-3),$B$3)+1)*F15+INDEX(Symboles!$H$6:$H$101,MOD(81+$C15+(-2),$B$3)+1)*G15+INDEX(Symboles!$H$6:$H$101,MOD(81+$C15+(-1),$B$3)+1)*H15+INDEX(Symboles!$H$6:$H$101,MOD(81+$C15+(0),$B$3)+1)*I15+INDEX(Symboles!$H$6:$H$101,MOD(81+$C15+(1),$B$3)+1)*J15+INDEX(Symboles!$H$6:$H$101,MOD(81+$C15+(2),$B$3)+1)*K15+INDEX(Symboles!$H$6:$H$101,MOD(81+$C15+(3),$B$3)+1)*L15+INDEX(Symboles!$H$6:$H$101,MOD(81+$C15+(4),$B$3)+1)*M15+IF($B$6=0,0,$B$6*NORMSINV(0.000001+0.999998*RAND())))</f>
        <v/>
      </c>
      <c r="GM15" s="30">
        <f>IF(83&gt;$B$3,99,INDEX(Symboles!$H$6:$H$101,MOD(82+$C15+(-4),$B$3)+1)*E15+INDEX(Symboles!$H$6:$H$101,MOD(82+$C15+(-3),$B$3)+1)*F15+INDEX(Symboles!$H$6:$H$101,MOD(82+$C15+(-2),$B$3)+1)*G15+INDEX(Symboles!$H$6:$H$101,MOD(82+$C15+(-1),$B$3)+1)*H15+INDEX(Symboles!$H$6:$H$101,MOD(82+$C15+(0),$B$3)+1)*I15+INDEX(Symboles!$H$6:$H$101,MOD(82+$C15+(1),$B$3)+1)*J15+INDEX(Symboles!$H$6:$H$101,MOD(82+$C15+(2),$B$3)+1)*K15+INDEX(Symboles!$H$6:$H$101,MOD(82+$C15+(3),$B$3)+1)*L15+INDEX(Symboles!$H$6:$H$101,MOD(82+$C15+(4),$B$3)+1)*M15+IF($B$6=0,0,$B$6*NORMSINV(0.000001+0.999998*RAND())))</f>
        <v/>
      </c>
      <c r="GN15" s="30">
        <f>IF(84&gt;$B$3,99,INDEX(Symboles!$H$6:$H$101,MOD(83+$C15+(-4),$B$3)+1)*E15+INDEX(Symboles!$H$6:$H$101,MOD(83+$C15+(-3),$B$3)+1)*F15+INDEX(Symboles!$H$6:$H$101,MOD(83+$C15+(-2),$B$3)+1)*G15+INDEX(Symboles!$H$6:$H$101,MOD(83+$C15+(-1),$B$3)+1)*H15+INDEX(Symboles!$H$6:$H$101,MOD(83+$C15+(0),$B$3)+1)*I15+INDEX(Symboles!$H$6:$H$101,MOD(83+$C15+(1),$B$3)+1)*J15+INDEX(Symboles!$H$6:$H$101,MOD(83+$C15+(2),$B$3)+1)*K15+INDEX(Symboles!$H$6:$H$101,MOD(83+$C15+(3),$B$3)+1)*L15+INDEX(Symboles!$H$6:$H$101,MOD(83+$C15+(4),$B$3)+1)*M15+IF($B$6=0,0,$B$6*NORMSINV(0.000001+0.999998*RAND())))</f>
        <v/>
      </c>
      <c r="GO15" s="30">
        <f>IF(85&gt;$B$3,99,INDEX(Symboles!$H$6:$H$101,MOD(84+$C15+(-4),$B$3)+1)*E15+INDEX(Symboles!$H$6:$H$101,MOD(84+$C15+(-3),$B$3)+1)*F15+INDEX(Symboles!$H$6:$H$101,MOD(84+$C15+(-2),$B$3)+1)*G15+INDEX(Symboles!$H$6:$H$101,MOD(84+$C15+(-1),$B$3)+1)*H15+INDEX(Symboles!$H$6:$H$101,MOD(84+$C15+(0),$B$3)+1)*I15+INDEX(Symboles!$H$6:$H$101,MOD(84+$C15+(1),$B$3)+1)*J15+INDEX(Symboles!$H$6:$H$101,MOD(84+$C15+(2),$B$3)+1)*K15+INDEX(Symboles!$H$6:$H$101,MOD(84+$C15+(3),$B$3)+1)*L15+INDEX(Symboles!$H$6:$H$101,MOD(84+$C15+(4),$B$3)+1)*M15+IF($B$6=0,0,$B$6*NORMSINV(0.000001+0.999998*RAND())))</f>
        <v/>
      </c>
      <c r="GP15" s="30">
        <f>IF(86&gt;$B$3,99,INDEX(Symboles!$H$6:$H$101,MOD(85+$C15+(-4),$B$3)+1)*E15+INDEX(Symboles!$H$6:$H$101,MOD(85+$C15+(-3),$B$3)+1)*F15+INDEX(Symboles!$H$6:$H$101,MOD(85+$C15+(-2),$B$3)+1)*G15+INDEX(Symboles!$H$6:$H$101,MOD(85+$C15+(-1),$B$3)+1)*H15+INDEX(Symboles!$H$6:$H$101,MOD(85+$C15+(0),$B$3)+1)*I15+INDEX(Symboles!$H$6:$H$101,MOD(85+$C15+(1),$B$3)+1)*J15+INDEX(Symboles!$H$6:$H$101,MOD(85+$C15+(2),$B$3)+1)*K15+INDEX(Symboles!$H$6:$H$101,MOD(85+$C15+(3),$B$3)+1)*L15+INDEX(Symboles!$H$6:$H$101,MOD(85+$C15+(4),$B$3)+1)*M15+IF($B$6=0,0,$B$6*NORMSINV(0.000001+0.999998*RAND())))</f>
        <v/>
      </c>
      <c r="GQ15" s="30">
        <f>IF(87&gt;$B$3,99,INDEX(Symboles!$H$6:$H$101,MOD(86+$C15+(-4),$B$3)+1)*E15+INDEX(Symboles!$H$6:$H$101,MOD(86+$C15+(-3),$B$3)+1)*F15+INDEX(Symboles!$H$6:$H$101,MOD(86+$C15+(-2),$B$3)+1)*G15+INDEX(Symboles!$H$6:$H$101,MOD(86+$C15+(-1),$B$3)+1)*H15+INDEX(Symboles!$H$6:$H$101,MOD(86+$C15+(0),$B$3)+1)*I15+INDEX(Symboles!$H$6:$H$101,MOD(86+$C15+(1),$B$3)+1)*J15+INDEX(Symboles!$H$6:$H$101,MOD(86+$C15+(2),$B$3)+1)*K15+INDEX(Symboles!$H$6:$H$101,MOD(86+$C15+(3),$B$3)+1)*L15+INDEX(Symboles!$H$6:$H$101,MOD(86+$C15+(4),$B$3)+1)*M15+IF($B$6=0,0,$B$6*NORMSINV(0.000001+0.999998*RAND())))</f>
        <v/>
      </c>
      <c r="GR15" s="30">
        <f>IF(88&gt;$B$3,99,INDEX(Symboles!$H$6:$H$101,MOD(87+$C15+(-4),$B$3)+1)*E15+INDEX(Symboles!$H$6:$H$101,MOD(87+$C15+(-3),$B$3)+1)*F15+INDEX(Symboles!$H$6:$H$101,MOD(87+$C15+(-2),$B$3)+1)*G15+INDEX(Symboles!$H$6:$H$101,MOD(87+$C15+(-1),$B$3)+1)*H15+INDEX(Symboles!$H$6:$H$101,MOD(87+$C15+(0),$B$3)+1)*I15+INDEX(Symboles!$H$6:$H$101,MOD(87+$C15+(1),$B$3)+1)*J15+INDEX(Symboles!$H$6:$H$101,MOD(87+$C15+(2),$B$3)+1)*K15+INDEX(Symboles!$H$6:$H$101,MOD(87+$C15+(3),$B$3)+1)*L15+INDEX(Symboles!$H$6:$H$101,MOD(87+$C15+(4),$B$3)+1)*M15+IF($B$6=0,0,$B$6*NORMSINV(0.000001+0.999998*RAND())))</f>
        <v/>
      </c>
      <c r="GS15" s="30">
        <f>IF(89&gt;$B$3,99,INDEX(Symboles!$H$6:$H$101,MOD(88+$C15+(-4),$B$3)+1)*E15+INDEX(Symboles!$H$6:$H$101,MOD(88+$C15+(-3),$B$3)+1)*F15+INDEX(Symboles!$H$6:$H$101,MOD(88+$C15+(-2),$B$3)+1)*G15+INDEX(Symboles!$H$6:$H$101,MOD(88+$C15+(-1),$B$3)+1)*H15+INDEX(Symboles!$H$6:$H$101,MOD(88+$C15+(0),$B$3)+1)*I15+INDEX(Symboles!$H$6:$H$101,MOD(88+$C15+(1),$B$3)+1)*J15+INDEX(Symboles!$H$6:$H$101,MOD(88+$C15+(2),$B$3)+1)*K15+INDEX(Symboles!$H$6:$H$101,MOD(88+$C15+(3),$B$3)+1)*L15+INDEX(Symboles!$H$6:$H$101,MOD(88+$C15+(4),$B$3)+1)*M15+IF($B$6=0,0,$B$6*NORMSINV(0.000001+0.999998*RAND())))</f>
        <v/>
      </c>
      <c r="GT15" s="30">
        <f>IF(90&gt;$B$3,99,INDEX(Symboles!$H$6:$H$101,MOD(89+$C15+(-4),$B$3)+1)*E15+INDEX(Symboles!$H$6:$H$101,MOD(89+$C15+(-3),$B$3)+1)*F15+INDEX(Symboles!$H$6:$H$101,MOD(89+$C15+(-2),$B$3)+1)*G15+INDEX(Symboles!$H$6:$H$101,MOD(89+$C15+(-1),$B$3)+1)*H15+INDEX(Symboles!$H$6:$H$101,MOD(89+$C15+(0),$B$3)+1)*I15+INDEX(Symboles!$H$6:$H$101,MOD(89+$C15+(1),$B$3)+1)*J15+INDEX(Symboles!$H$6:$H$101,MOD(89+$C15+(2),$B$3)+1)*K15+INDEX(Symboles!$H$6:$H$101,MOD(89+$C15+(3),$B$3)+1)*L15+INDEX(Symboles!$H$6:$H$101,MOD(89+$C15+(4),$B$3)+1)*M15+IF($B$6=0,0,$B$6*NORMSINV(0.000001+0.999998*RAND())))</f>
        <v/>
      </c>
      <c r="GU15" s="30">
        <f>IF(91&gt;$B$3,99,INDEX(Symboles!$H$6:$H$101,MOD(90+$C15+(-4),$B$3)+1)*E15+INDEX(Symboles!$H$6:$H$101,MOD(90+$C15+(-3),$B$3)+1)*F15+INDEX(Symboles!$H$6:$H$101,MOD(90+$C15+(-2),$B$3)+1)*G15+INDEX(Symboles!$H$6:$H$101,MOD(90+$C15+(-1),$B$3)+1)*H15+INDEX(Symboles!$H$6:$H$101,MOD(90+$C15+(0),$B$3)+1)*I15+INDEX(Symboles!$H$6:$H$101,MOD(90+$C15+(1),$B$3)+1)*J15+INDEX(Symboles!$H$6:$H$101,MOD(90+$C15+(2),$B$3)+1)*K15+INDEX(Symboles!$H$6:$H$101,MOD(90+$C15+(3),$B$3)+1)*L15+INDEX(Symboles!$H$6:$H$101,MOD(90+$C15+(4),$B$3)+1)*M15+IF($B$6=0,0,$B$6*NORMSINV(0.000001+0.999998*RAND())))</f>
        <v/>
      </c>
      <c r="GV15" s="30">
        <f>IF(92&gt;$B$3,99,INDEX(Symboles!$H$6:$H$101,MOD(91+$C15+(-4),$B$3)+1)*E15+INDEX(Symboles!$H$6:$H$101,MOD(91+$C15+(-3),$B$3)+1)*F15+INDEX(Symboles!$H$6:$H$101,MOD(91+$C15+(-2),$B$3)+1)*G15+INDEX(Symboles!$H$6:$H$101,MOD(91+$C15+(-1),$B$3)+1)*H15+INDEX(Symboles!$H$6:$H$101,MOD(91+$C15+(0),$B$3)+1)*I15+INDEX(Symboles!$H$6:$H$101,MOD(91+$C15+(1),$B$3)+1)*J15+INDEX(Symboles!$H$6:$H$101,MOD(91+$C15+(2),$B$3)+1)*K15+INDEX(Symboles!$H$6:$H$101,MOD(91+$C15+(3),$B$3)+1)*L15+INDEX(Symboles!$H$6:$H$101,MOD(91+$C15+(4),$B$3)+1)*M15+IF($B$6=0,0,$B$6*NORMSINV(0.000001+0.999998*RAND())))</f>
        <v/>
      </c>
      <c r="GW15" s="30">
        <f>IF(93&gt;$B$3,99,INDEX(Symboles!$H$6:$H$101,MOD(92+$C15+(-4),$B$3)+1)*E15+INDEX(Symboles!$H$6:$H$101,MOD(92+$C15+(-3),$B$3)+1)*F15+INDEX(Symboles!$H$6:$H$101,MOD(92+$C15+(-2),$B$3)+1)*G15+INDEX(Symboles!$H$6:$H$101,MOD(92+$C15+(-1),$B$3)+1)*H15+INDEX(Symboles!$H$6:$H$101,MOD(92+$C15+(0),$B$3)+1)*I15+INDEX(Symboles!$H$6:$H$101,MOD(92+$C15+(1),$B$3)+1)*J15+INDEX(Symboles!$H$6:$H$101,MOD(92+$C15+(2),$B$3)+1)*K15+INDEX(Symboles!$H$6:$H$101,MOD(92+$C15+(3),$B$3)+1)*L15+INDEX(Symboles!$H$6:$H$101,MOD(92+$C15+(4),$B$3)+1)*M15+IF($B$6=0,0,$B$6*NORMSINV(0.000001+0.999998*RAND())))</f>
        <v/>
      </c>
      <c r="GX15" s="30">
        <f>IF(94&gt;$B$3,99,INDEX(Symboles!$H$6:$H$101,MOD(93+$C15+(-4),$B$3)+1)*E15+INDEX(Symboles!$H$6:$H$101,MOD(93+$C15+(-3),$B$3)+1)*F15+INDEX(Symboles!$H$6:$H$101,MOD(93+$C15+(-2),$B$3)+1)*G15+INDEX(Symboles!$H$6:$H$101,MOD(93+$C15+(-1),$B$3)+1)*H15+INDEX(Symboles!$H$6:$H$101,MOD(93+$C15+(0),$B$3)+1)*I15+INDEX(Symboles!$H$6:$H$101,MOD(93+$C15+(1),$B$3)+1)*J15+INDEX(Symboles!$H$6:$H$101,MOD(93+$C15+(2),$B$3)+1)*K15+INDEX(Symboles!$H$6:$H$101,MOD(93+$C15+(3),$B$3)+1)*L15+INDEX(Symboles!$H$6:$H$101,MOD(93+$C15+(4),$B$3)+1)*M15+IF($B$6=0,0,$B$6*NORMSINV(0.000001+0.999998*RAND())))</f>
        <v/>
      </c>
      <c r="GY15" s="30">
        <f>IF(95&gt;$B$3,99,INDEX(Symboles!$H$6:$H$101,MOD(94+$C15+(-4),$B$3)+1)*E15+INDEX(Symboles!$H$6:$H$101,MOD(94+$C15+(-3),$B$3)+1)*F15+INDEX(Symboles!$H$6:$H$101,MOD(94+$C15+(-2),$B$3)+1)*G15+INDEX(Symboles!$H$6:$H$101,MOD(94+$C15+(-1),$B$3)+1)*H15+INDEX(Symboles!$H$6:$H$101,MOD(94+$C15+(0),$B$3)+1)*I15+INDEX(Symboles!$H$6:$H$101,MOD(94+$C15+(1),$B$3)+1)*J15+INDEX(Symboles!$H$6:$H$101,MOD(94+$C15+(2),$B$3)+1)*K15+INDEX(Symboles!$H$6:$H$101,MOD(94+$C15+(3),$B$3)+1)*L15+INDEX(Symboles!$H$6:$H$101,MOD(94+$C15+(4),$B$3)+1)*M15+IF($B$6=0,0,$B$6*NORMSINV(0.000001+0.999998*RAND())))</f>
        <v/>
      </c>
      <c r="GZ15" s="30">
        <f>IF(96&gt;$B$3,99,INDEX(Symboles!$H$6:$H$101,MOD(95+$C15+(-4),$B$3)+1)*E15+INDEX(Symboles!$H$6:$H$101,MOD(95+$C15+(-3),$B$3)+1)*F15+INDEX(Symboles!$H$6:$H$101,MOD(95+$C15+(-2),$B$3)+1)*G15+INDEX(Symboles!$H$6:$H$101,MOD(95+$C15+(-1),$B$3)+1)*H15+INDEX(Symboles!$H$6:$H$101,MOD(95+$C15+(0),$B$3)+1)*I15+INDEX(Symboles!$H$6:$H$101,MOD(95+$C15+(1),$B$3)+1)*J15+INDEX(Symboles!$H$6:$H$101,MOD(95+$C15+(2),$B$3)+1)*K15+INDEX(Symboles!$H$6:$H$101,MOD(95+$C15+(3),$B$3)+1)*L15+INDEX(Symboles!$H$6:$H$101,MOD(95+$C15+(4),$B$3)+1)*M15+IF($B$6=0,0,$B$6*NORMSINV(0.000001+0.999998*RAND())))</f>
        <v/>
      </c>
    </row>
    <row r="16">
      <c r="A16" s="28" t="n">
        <v>6</v>
      </c>
      <c r="B16" s="28" t="n">
        <v>-0.625</v>
      </c>
      <c r="C16" s="28" t="n">
        <v>-1</v>
      </c>
      <c r="D16" s="28" t="n">
        <v>14</v>
      </c>
      <c r="E16" s="29">
        <f>IF($B$4=1,0,IF(ABS(1-(2*$B$5*4.375)^2)&lt;0.000001,PI()/4*SIN(PI()/(2*$B$5))/(PI()/(2*$B$5)),SIN(PI()*4.375)/(PI()*4.375)*COS(PI()*$B$5*4.375)/(1-(2*$B$5*4.375)^2)))</f>
        <v/>
      </c>
      <c r="F16" s="29">
        <f>IF($B$4=1,0,IF(ABS(1-(2*$B$5*3.375)^2)&lt;0.000001,PI()/4*SIN(PI()/(2*$B$5))/(PI()/(2*$B$5)),SIN(PI()*3.375)/(PI()*3.375)*COS(PI()*$B$5*3.375)/(1-(2*$B$5*3.375)^2)))</f>
        <v/>
      </c>
      <c r="G16" s="29">
        <f>IF($B$4=1,0,IF(ABS(1-(2*$B$5*2.375)^2)&lt;0.000001,PI()/4*SIN(PI()/(2*$B$5))/(PI()/(2*$B$5)),SIN(PI()*2.375)/(PI()*2.375)*COS(PI()*$B$5*2.375)/(1-(2*$B$5*2.375)^2)))</f>
        <v/>
      </c>
      <c r="H16" s="29">
        <f>IF($B$4=1,0,IF(ABS(1-(2*$B$5*1.375)^2)&lt;0.000001,PI()/4*SIN(PI()/(2*$B$5))/(PI()/(2*$B$5)),SIN(PI()*1.375)/(PI()*1.375)*COS(PI()*$B$5*1.375)/(1-(2*$B$5*1.375)^2)))</f>
        <v/>
      </c>
      <c r="I16" s="29">
        <f>IF($B$4=1,1,IF(ABS(1-(2*$B$5*0.375)^2)&lt;0.000001,PI()/4*SIN(PI()/(2*$B$5))/(PI()/(2*$B$5)),SIN(PI()*0.375)/(PI()*0.375)*COS(PI()*$B$5*0.375)/(1-(2*$B$5*0.375)^2)))</f>
        <v/>
      </c>
      <c r="J16" s="29">
        <f>IF($B$4=1,0,IF(ABS(1-(2*$B$5*-0.625)^2)&lt;0.000001,PI()/4*SIN(PI()/(2*$B$5))/(PI()/(2*$B$5)),SIN(PI()*-0.625)/(PI()*-0.625)*COS(PI()*$B$5*-0.625)/(1-(2*$B$5*-0.625)^2)))</f>
        <v/>
      </c>
      <c r="K16" s="29">
        <f>IF($B$4=1,0,IF(ABS(1-(2*$B$5*-1.625)^2)&lt;0.000001,PI()/4*SIN(PI()/(2*$B$5))/(PI()/(2*$B$5)),SIN(PI()*-1.625)/(PI()*-1.625)*COS(PI()*$B$5*-1.625)/(1-(2*$B$5*-1.625)^2)))</f>
        <v/>
      </c>
      <c r="L16" s="29">
        <f>IF($B$4=1,0,IF(ABS(1-(2*$B$5*-2.625)^2)&lt;0.000001,PI()/4*SIN(PI()/(2*$B$5))/(PI()/(2*$B$5)),SIN(PI()*-2.625)/(PI()*-2.625)*COS(PI()*$B$5*-2.625)/(1-(2*$B$5*-2.625)^2)))</f>
        <v/>
      </c>
      <c r="M16" s="29">
        <f>IF($B$4=1,0,IF(ABS(1-(2*$B$5*-3.625)^2)&lt;0.000001,PI()/4*SIN(PI()/(2*$B$5))/(PI()/(2*$B$5)),SIN(PI()*-3.625)/(PI()*-3.625)*COS(PI()*$B$5*-3.625)/(1-(2*$B$5*-3.625)^2)))</f>
        <v/>
      </c>
      <c r="P16" s="30">
        <f>IF(1&gt;$B$3,99,INDEX(Symboles!$G$6:$G$101,MOD(0+$C16+(-4),$B$3)+1)*E16+INDEX(Symboles!$G$6:$G$101,MOD(0+$C16+(-3),$B$3)+1)*F16+INDEX(Symboles!$G$6:$G$101,MOD(0+$C16+(-2),$B$3)+1)*G16+INDEX(Symboles!$G$6:$G$101,MOD(0+$C16+(-1),$B$3)+1)*H16+INDEX(Symboles!$G$6:$G$101,MOD(0+$C16+(0),$B$3)+1)*I16+INDEX(Symboles!$G$6:$G$101,MOD(0+$C16+(1),$B$3)+1)*J16+INDEX(Symboles!$G$6:$G$101,MOD(0+$C16+(2),$B$3)+1)*K16+INDEX(Symboles!$G$6:$G$101,MOD(0+$C16+(3),$B$3)+1)*L16+INDEX(Symboles!$G$6:$G$101,MOD(0+$C16+(4),$B$3)+1)*M16+IF($B$6=0,0,$B$6*NORMSINV(0.000001+0.999998*RAND())))</f>
        <v/>
      </c>
      <c r="Q16" s="30">
        <f>IF(2&gt;$B$3,99,INDEX(Symboles!$G$6:$G$101,MOD(1+$C16+(-4),$B$3)+1)*E16+INDEX(Symboles!$G$6:$G$101,MOD(1+$C16+(-3),$B$3)+1)*F16+INDEX(Symboles!$G$6:$G$101,MOD(1+$C16+(-2),$B$3)+1)*G16+INDEX(Symboles!$G$6:$G$101,MOD(1+$C16+(-1),$B$3)+1)*H16+INDEX(Symboles!$G$6:$G$101,MOD(1+$C16+(0),$B$3)+1)*I16+INDEX(Symboles!$G$6:$G$101,MOD(1+$C16+(1),$B$3)+1)*J16+INDEX(Symboles!$G$6:$G$101,MOD(1+$C16+(2),$B$3)+1)*K16+INDEX(Symboles!$G$6:$G$101,MOD(1+$C16+(3),$B$3)+1)*L16+INDEX(Symboles!$G$6:$G$101,MOD(1+$C16+(4),$B$3)+1)*M16+IF($B$6=0,0,$B$6*NORMSINV(0.000001+0.999998*RAND())))</f>
        <v/>
      </c>
      <c r="R16" s="30">
        <f>IF(3&gt;$B$3,99,INDEX(Symboles!$G$6:$G$101,MOD(2+$C16+(-4),$B$3)+1)*E16+INDEX(Symboles!$G$6:$G$101,MOD(2+$C16+(-3),$B$3)+1)*F16+INDEX(Symboles!$G$6:$G$101,MOD(2+$C16+(-2),$B$3)+1)*G16+INDEX(Symboles!$G$6:$G$101,MOD(2+$C16+(-1),$B$3)+1)*H16+INDEX(Symboles!$G$6:$G$101,MOD(2+$C16+(0),$B$3)+1)*I16+INDEX(Symboles!$G$6:$G$101,MOD(2+$C16+(1),$B$3)+1)*J16+INDEX(Symboles!$G$6:$G$101,MOD(2+$C16+(2),$B$3)+1)*K16+INDEX(Symboles!$G$6:$G$101,MOD(2+$C16+(3),$B$3)+1)*L16+INDEX(Symboles!$G$6:$G$101,MOD(2+$C16+(4),$B$3)+1)*M16+IF($B$6=0,0,$B$6*NORMSINV(0.000001+0.999998*RAND())))</f>
        <v/>
      </c>
      <c r="S16" s="30">
        <f>IF(4&gt;$B$3,99,INDEX(Symboles!$G$6:$G$101,MOD(3+$C16+(-4),$B$3)+1)*E16+INDEX(Symboles!$G$6:$G$101,MOD(3+$C16+(-3),$B$3)+1)*F16+INDEX(Symboles!$G$6:$G$101,MOD(3+$C16+(-2),$B$3)+1)*G16+INDEX(Symboles!$G$6:$G$101,MOD(3+$C16+(-1),$B$3)+1)*H16+INDEX(Symboles!$G$6:$G$101,MOD(3+$C16+(0),$B$3)+1)*I16+INDEX(Symboles!$G$6:$G$101,MOD(3+$C16+(1),$B$3)+1)*J16+INDEX(Symboles!$G$6:$G$101,MOD(3+$C16+(2),$B$3)+1)*K16+INDEX(Symboles!$G$6:$G$101,MOD(3+$C16+(3),$B$3)+1)*L16+INDEX(Symboles!$G$6:$G$101,MOD(3+$C16+(4),$B$3)+1)*M16+IF($B$6=0,0,$B$6*NORMSINV(0.000001+0.999998*RAND())))</f>
        <v/>
      </c>
      <c r="T16" s="30">
        <f>IF(5&gt;$B$3,99,INDEX(Symboles!$G$6:$G$101,MOD(4+$C16+(-4),$B$3)+1)*E16+INDEX(Symboles!$G$6:$G$101,MOD(4+$C16+(-3),$B$3)+1)*F16+INDEX(Symboles!$G$6:$G$101,MOD(4+$C16+(-2),$B$3)+1)*G16+INDEX(Symboles!$G$6:$G$101,MOD(4+$C16+(-1),$B$3)+1)*H16+INDEX(Symboles!$G$6:$G$101,MOD(4+$C16+(0),$B$3)+1)*I16+INDEX(Symboles!$G$6:$G$101,MOD(4+$C16+(1),$B$3)+1)*J16+INDEX(Symboles!$G$6:$G$101,MOD(4+$C16+(2),$B$3)+1)*K16+INDEX(Symboles!$G$6:$G$101,MOD(4+$C16+(3),$B$3)+1)*L16+INDEX(Symboles!$G$6:$G$101,MOD(4+$C16+(4),$B$3)+1)*M16+IF($B$6=0,0,$B$6*NORMSINV(0.000001+0.999998*RAND())))</f>
        <v/>
      </c>
      <c r="U16" s="30">
        <f>IF(6&gt;$B$3,99,INDEX(Symboles!$G$6:$G$101,MOD(5+$C16+(-4),$B$3)+1)*E16+INDEX(Symboles!$G$6:$G$101,MOD(5+$C16+(-3),$B$3)+1)*F16+INDEX(Symboles!$G$6:$G$101,MOD(5+$C16+(-2),$B$3)+1)*G16+INDEX(Symboles!$G$6:$G$101,MOD(5+$C16+(-1),$B$3)+1)*H16+INDEX(Symboles!$G$6:$G$101,MOD(5+$C16+(0),$B$3)+1)*I16+INDEX(Symboles!$G$6:$G$101,MOD(5+$C16+(1),$B$3)+1)*J16+INDEX(Symboles!$G$6:$G$101,MOD(5+$C16+(2),$B$3)+1)*K16+INDEX(Symboles!$G$6:$G$101,MOD(5+$C16+(3),$B$3)+1)*L16+INDEX(Symboles!$G$6:$G$101,MOD(5+$C16+(4),$B$3)+1)*M16+IF($B$6=0,0,$B$6*NORMSINV(0.000001+0.999998*RAND())))</f>
        <v/>
      </c>
      <c r="V16" s="30">
        <f>IF(7&gt;$B$3,99,INDEX(Symboles!$G$6:$G$101,MOD(6+$C16+(-4),$B$3)+1)*E16+INDEX(Symboles!$G$6:$G$101,MOD(6+$C16+(-3),$B$3)+1)*F16+INDEX(Symboles!$G$6:$G$101,MOD(6+$C16+(-2),$B$3)+1)*G16+INDEX(Symboles!$G$6:$G$101,MOD(6+$C16+(-1),$B$3)+1)*H16+INDEX(Symboles!$G$6:$G$101,MOD(6+$C16+(0),$B$3)+1)*I16+INDEX(Symboles!$G$6:$G$101,MOD(6+$C16+(1),$B$3)+1)*J16+INDEX(Symboles!$G$6:$G$101,MOD(6+$C16+(2),$B$3)+1)*K16+INDEX(Symboles!$G$6:$G$101,MOD(6+$C16+(3),$B$3)+1)*L16+INDEX(Symboles!$G$6:$G$101,MOD(6+$C16+(4),$B$3)+1)*M16+IF($B$6=0,0,$B$6*NORMSINV(0.000001+0.999998*RAND())))</f>
        <v/>
      </c>
      <c r="W16" s="30">
        <f>IF(8&gt;$B$3,99,INDEX(Symboles!$G$6:$G$101,MOD(7+$C16+(-4),$B$3)+1)*E16+INDEX(Symboles!$G$6:$G$101,MOD(7+$C16+(-3),$B$3)+1)*F16+INDEX(Symboles!$G$6:$G$101,MOD(7+$C16+(-2),$B$3)+1)*G16+INDEX(Symboles!$G$6:$G$101,MOD(7+$C16+(-1),$B$3)+1)*H16+INDEX(Symboles!$G$6:$G$101,MOD(7+$C16+(0),$B$3)+1)*I16+INDEX(Symboles!$G$6:$G$101,MOD(7+$C16+(1),$B$3)+1)*J16+INDEX(Symboles!$G$6:$G$101,MOD(7+$C16+(2),$B$3)+1)*K16+INDEX(Symboles!$G$6:$G$101,MOD(7+$C16+(3),$B$3)+1)*L16+INDEX(Symboles!$G$6:$G$101,MOD(7+$C16+(4),$B$3)+1)*M16+IF($B$6=0,0,$B$6*NORMSINV(0.000001+0.999998*RAND())))</f>
        <v/>
      </c>
      <c r="X16" s="30">
        <f>IF(9&gt;$B$3,99,INDEX(Symboles!$G$6:$G$101,MOD(8+$C16+(-4),$B$3)+1)*E16+INDEX(Symboles!$G$6:$G$101,MOD(8+$C16+(-3),$B$3)+1)*F16+INDEX(Symboles!$G$6:$G$101,MOD(8+$C16+(-2),$B$3)+1)*G16+INDEX(Symboles!$G$6:$G$101,MOD(8+$C16+(-1),$B$3)+1)*H16+INDEX(Symboles!$G$6:$G$101,MOD(8+$C16+(0),$B$3)+1)*I16+INDEX(Symboles!$G$6:$G$101,MOD(8+$C16+(1),$B$3)+1)*J16+INDEX(Symboles!$G$6:$G$101,MOD(8+$C16+(2),$B$3)+1)*K16+INDEX(Symboles!$G$6:$G$101,MOD(8+$C16+(3),$B$3)+1)*L16+INDEX(Symboles!$G$6:$G$101,MOD(8+$C16+(4),$B$3)+1)*M16+IF($B$6=0,0,$B$6*NORMSINV(0.000001+0.999998*RAND())))</f>
        <v/>
      </c>
      <c r="Y16" s="30">
        <f>IF(10&gt;$B$3,99,INDEX(Symboles!$G$6:$G$101,MOD(9+$C16+(-4),$B$3)+1)*E16+INDEX(Symboles!$G$6:$G$101,MOD(9+$C16+(-3),$B$3)+1)*F16+INDEX(Symboles!$G$6:$G$101,MOD(9+$C16+(-2),$B$3)+1)*G16+INDEX(Symboles!$G$6:$G$101,MOD(9+$C16+(-1),$B$3)+1)*H16+INDEX(Symboles!$G$6:$G$101,MOD(9+$C16+(0),$B$3)+1)*I16+INDEX(Symboles!$G$6:$G$101,MOD(9+$C16+(1),$B$3)+1)*J16+INDEX(Symboles!$G$6:$G$101,MOD(9+$C16+(2),$B$3)+1)*K16+INDEX(Symboles!$G$6:$G$101,MOD(9+$C16+(3),$B$3)+1)*L16+INDEX(Symboles!$G$6:$G$101,MOD(9+$C16+(4),$B$3)+1)*M16+IF($B$6=0,0,$B$6*NORMSINV(0.000001+0.999998*RAND())))</f>
        <v/>
      </c>
      <c r="Z16" s="30">
        <f>IF(11&gt;$B$3,99,INDEX(Symboles!$G$6:$G$101,MOD(10+$C16+(-4),$B$3)+1)*E16+INDEX(Symboles!$G$6:$G$101,MOD(10+$C16+(-3),$B$3)+1)*F16+INDEX(Symboles!$G$6:$G$101,MOD(10+$C16+(-2),$B$3)+1)*G16+INDEX(Symboles!$G$6:$G$101,MOD(10+$C16+(-1),$B$3)+1)*H16+INDEX(Symboles!$G$6:$G$101,MOD(10+$C16+(0),$B$3)+1)*I16+INDEX(Symboles!$G$6:$G$101,MOD(10+$C16+(1),$B$3)+1)*J16+INDEX(Symboles!$G$6:$G$101,MOD(10+$C16+(2),$B$3)+1)*K16+INDEX(Symboles!$G$6:$G$101,MOD(10+$C16+(3),$B$3)+1)*L16+INDEX(Symboles!$G$6:$G$101,MOD(10+$C16+(4),$B$3)+1)*M16+IF($B$6=0,0,$B$6*NORMSINV(0.000001+0.999998*RAND())))</f>
        <v/>
      </c>
      <c r="AA16" s="30">
        <f>IF(12&gt;$B$3,99,INDEX(Symboles!$G$6:$G$101,MOD(11+$C16+(-4),$B$3)+1)*E16+INDEX(Symboles!$G$6:$G$101,MOD(11+$C16+(-3),$B$3)+1)*F16+INDEX(Symboles!$G$6:$G$101,MOD(11+$C16+(-2),$B$3)+1)*G16+INDEX(Symboles!$G$6:$G$101,MOD(11+$C16+(-1),$B$3)+1)*H16+INDEX(Symboles!$G$6:$G$101,MOD(11+$C16+(0),$B$3)+1)*I16+INDEX(Symboles!$G$6:$G$101,MOD(11+$C16+(1),$B$3)+1)*J16+INDEX(Symboles!$G$6:$G$101,MOD(11+$C16+(2),$B$3)+1)*K16+INDEX(Symboles!$G$6:$G$101,MOD(11+$C16+(3),$B$3)+1)*L16+INDEX(Symboles!$G$6:$G$101,MOD(11+$C16+(4),$B$3)+1)*M16+IF($B$6=0,0,$B$6*NORMSINV(0.000001+0.999998*RAND())))</f>
        <v/>
      </c>
      <c r="AB16" s="30">
        <f>IF(13&gt;$B$3,99,INDEX(Symboles!$G$6:$G$101,MOD(12+$C16+(-4),$B$3)+1)*E16+INDEX(Symboles!$G$6:$G$101,MOD(12+$C16+(-3),$B$3)+1)*F16+INDEX(Symboles!$G$6:$G$101,MOD(12+$C16+(-2),$B$3)+1)*G16+INDEX(Symboles!$G$6:$G$101,MOD(12+$C16+(-1),$B$3)+1)*H16+INDEX(Symboles!$G$6:$G$101,MOD(12+$C16+(0),$B$3)+1)*I16+INDEX(Symboles!$G$6:$G$101,MOD(12+$C16+(1),$B$3)+1)*J16+INDEX(Symboles!$G$6:$G$101,MOD(12+$C16+(2),$B$3)+1)*K16+INDEX(Symboles!$G$6:$G$101,MOD(12+$C16+(3),$B$3)+1)*L16+INDEX(Symboles!$G$6:$G$101,MOD(12+$C16+(4),$B$3)+1)*M16+IF($B$6=0,0,$B$6*NORMSINV(0.000001+0.999998*RAND())))</f>
        <v/>
      </c>
      <c r="AC16" s="30">
        <f>IF(14&gt;$B$3,99,INDEX(Symboles!$G$6:$G$101,MOD(13+$C16+(-4),$B$3)+1)*E16+INDEX(Symboles!$G$6:$G$101,MOD(13+$C16+(-3),$B$3)+1)*F16+INDEX(Symboles!$G$6:$G$101,MOD(13+$C16+(-2),$B$3)+1)*G16+INDEX(Symboles!$G$6:$G$101,MOD(13+$C16+(-1),$B$3)+1)*H16+INDEX(Symboles!$G$6:$G$101,MOD(13+$C16+(0),$B$3)+1)*I16+INDEX(Symboles!$G$6:$G$101,MOD(13+$C16+(1),$B$3)+1)*J16+INDEX(Symboles!$G$6:$G$101,MOD(13+$C16+(2),$B$3)+1)*K16+INDEX(Symboles!$G$6:$G$101,MOD(13+$C16+(3),$B$3)+1)*L16+INDEX(Symboles!$G$6:$G$101,MOD(13+$C16+(4),$B$3)+1)*M16+IF($B$6=0,0,$B$6*NORMSINV(0.000001+0.999998*RAND())))</f>
        <v/>
      </c>
      <c r="AD16" s="30">
        <f>IF(15&gt;$B$3,99,INDEX(Symboles!$G$6:$G$101,MOD(14+$C16+(-4),$B$3)+1)*E16+INDEX(Symboles!$G$6:$G$101,MOD(14+$C16+(-3),$B$3)+1)*F16+INDEX(Symboles!$G$6:$G$101,MOD(14+$C16+(-2),$B$3)+1)*G16+INDEX(Symboles!$G$6:$G$101,MOD(14+$C16+(-1),$B$3)+1)*H16+INDEX(Symboles!$G$6:$G$101,MOD(14+$C16+(0),$B$3)+1)*I16+INDEX(Symboles!$G$6:$G$101,MOD(14+$C16+(1),$B$3)+1)*J16+INDEX(Symboles!$G$6:$G$101,MOD(14+$C16+(2),$B$3)+1)*K16+INDEX(Symboles!$G$6:$G$101,MOD(14+$C16+(3),$B$3)+1)*L16+INDEX(Symboles!$G$6:$G$101,MOD(14+$C16+(4),$B$3)+1)*M16+IF($B$6=0,0,$B$6*NORMSINV(0.000001+0.999998*RAND())))</f>
        <v/>
      </c>
      <c r="AE16" s="30">
        <f>IF(16&gt;$B$3,99,INDEX(Symboles!$G$6:$G$101,MOD(15+$C16+(-4),$B$3)+1)*E16+INDEX(Symboles!$G$6:$G$101,MOD(15+$C16+(-3),$B$3)+1)*F16+INDEX(Symboles!$G$6:$G$101,MOD(15+$C16+(-2),$B$3)+1)*G16+INDEX(Symboles!$G$6:$G$101,MOD(15+$C16+(-1),$B$3)+1)*H16+INDEX(Symboles!$G$6:$G$101,MOD(15+$C16+(0),$B$3)+1)*I16+INDEX(Symboles!$G$6:$G$101,MOD(15+$C16+(1),$B$3)+1)*J16+INDEX(Symboles!$G$6:$G$101,MOD(15+$C16+(2),$B$3)+1)*K16+INDEX(Symboles!$G$6:$G$101,MOD(15+$C16+(3),$B$3)+1)*L16+INDEX(Symboles!$G$6:$G$101,MOD(15+$C16+(4),$B$3)+1)*M16+IF($B$6=0,0,$B$6*NORMSINV(0.000001+0.999998*RAND())))</f>
        <v/>
      </c>
      <c r="AF16" s="30">
        <f>IF(17&gt;$B$3,99,INDEX(Symboles!$G$6:$G$101,MOD(16+$C16+(-4),$B$3)+1)*E16+INDEX(Symboles!$G$6:$G$101,MOD(16+$C16+(-3),$B$3)+1)*F16+INDEX(Symboles!$G$6:$G$101,MOD(16+$C16+(-2),$B$3)+1)*G16+INDEX(Symboles!$G$6:$G$101,MOD(16+$C16+(-1),$B$3)+1)*H16+INDEX(Symboles!$G$6:$G$101,MOD(16+$C16+(0),$B$3)+1)*I16+INDEX(Symboles!$G$6:$G$101,MOD(16+$C16+(1),$B$3)+1)*J16+INDEX(Symboles!$G$6:$G$101,MOD(16+$C16+(2),$B$3)+1)*K16+INDEX(Symboles!$G$6:$G$101,MOD(16+$C16+(3),$B$3)+1)*L16+INDEX(Symboles!$G$6:$G$101,MOD(16+$C16+(4),$B$3)+1)*M16+IF($B$6=0,0,$B$6*NORMSINV(0.000001+0.999998*RAND())))</f>
        <v/>
      </c>
      <c r="AG16" s="30">
        <f>IF(18&gt;$B$3,99,INDEX(Symboles!$G$6:$G$101,MOD(17+$C16+(-4),$B$3)+1)*E16+INDEX(Symboles!$G$6:$G$101,MOD(17+$C16+(-3),$B$3)+1)*F16+INDEX(Symboles!$G$6:$G$101,MOD(17+$C16+(-2),$B$3)+1)*G16+INDEX(Symboles!$G$6:$G$101,MOD(17+$C16+(-1),$B$3)+1)*H16+INDEX(Symboles!$G$6:$G$101,MOD(17+$C16+(0),$B$3)+1)*I16+INDEX(Symboles!$G$6:$G$101,MOD(17+$C16+(1),$B$3)+1)*J16+INDEX(Symboles!$G$6:$G$101,MOD(17+$C16+(2),$B$3)+1)*K16+INDEX(Symboles!$G$6:$G$101,MOD(17+$C16+(3),$B$3)+1)*L16+INDEX(Symboles!$G$6:$G$101,MOD(17+$C16+(4),$B$3)+1)*M16+IF($B$6=0,0,$B$6*NORMSINV(0.000001+0.999998*RAND())))</f>
        <v/>
      </c>
      <c r="AH16" s="30">
        <f>IF(19&gt;$B$3,99,INDEX(Symboles!$G$6:$G$101,MOD(18+$C16+(-4),$B$3)+1)*E16+INDEX(Symboles!$G$6:$G$101,MOD(18+$C16+(-3),$B$3)+1)*F16+INDEX(Symboles!$G$6:$G$101,MOD(18+$C16+(-2),$B$3)+1)*G16+INDEX(Symboles!$G$6:$G$101,MOD(18+$C16+(-1),$B$3)+1)*H16+INDEX(Symboles!$G$6:$G$101,MOD(18+$C16+(0),$B$3)+1)*I16+INDEX(Symboles!$G$6:$G$101,MOD(18+$C16+(1),$B$3)+1)*J16+INDEX(Symboles!$G$6:$G$101,MOD(18+$C16+(2),$B$3)+1)*K16+INDEX(Symboles!$G$6:$G$101,MOD(18+$C16+(3),$B$3)+1)*L16+INDEX(Symboles!$G$6:$G$101,MOD(18+$C16+(4),$B$3)+1)*M16+IF($B$6=0,0,$B$6*NORMSINV(0.000001+0.999998*RAND())))</f>
        <v/>
      </c>
      <c r="AI16" s="30">
        <f>IF(20&gt;$B$3,99,INDEX(Symboles!$G$6:$G$101,MOD(19+$C16+(-4),$B$3)+1)*E16+INDEX(Symboles!$G$6:$G$101,MOD(19+$C16+(-3),$B$3)+1)*F16+INDEX(Symboles!$G$6:$G$101,MOD(19+$C16+(-2),$B$3)+1)*G16+INDEX(Symboles!$G$6:$G$101,MOD(19+$C16+(-1),$B$3)+1)*H16+INDEX(Symboles!$G$6:$G$101,MOD(19+$C16+(0),$B$3)+1)*I16+INDEX(Symboles!$G$6:$G$101,MOD(19+$C16+(1),$B$3)+1)*J16+INDEX(Symboles!$G$6:$G$101,MOD(19+$C16+(2),$B$3)+1)*K16+INDEX(Symboles!$G$6:$G$101,MOD(19+$C16+(3),$B$3)+1)*L16+INDEX(Symboles!$G$6:$G$101,MOD(19+$C16+(4),$B$3)+1)*M16+IF($B$6=0,0,$B$6*NORMSINV(0.000001+0.999998*RAND())))</f>
        <v/>
      </c>
      <c r="AJ16" s="30">
        <f>IF(21&gt;$B$3,99,INDEX(Symboles!$G$6:$G$101,MOD(20+$C16+(-4),$B$3)+1)*E16+INDEX(Symboles!$G$6:$G$101,MOD(20+$C16+(-3),$B$3)+1)*F16+INDEX(Symboles!$G$6:$G$101,MOD(20+$C16+(-2),$B$3)+1)*G16+INDEX(Symboles!$G$6:$G$101,MOD(20+$C16+(-1),$B$3)+1)*H16+INDEX(Symboles!$G$6:$G$101,MOD(20+$C16+(0),$B$3)+1)*I16+INDEX(Symboles!$G$6:$G$101,MOD(20+$C16+(1),$B$3)+1)*J16+INDEX(Symboles!$G$6:$G$101,MOD(20+$C16+(2),$B$3)+1)*K16+INDEX(Symboles!$G$6:$G$101,MOD(20+$C16+(3),$B$3)+1)*L16+INDEX(Symboles!$G$6:$G$101,MOD(20+$C16+(4),$B$3)+1)*M16+IF($B$6=0,0,$B$6*NORMSINV(0.000001+0.999998*RAND())))</f>
        <v/>
      </c>
      <c r="AK16" s="30">
        <f>IF(22&gt;$B$3,99,INDEX(Symboles!$G$6:$G$101,MOD(21+$C16+(-4),$B$3)+1)*E16+INDEX(Symboles!$G$6:$G$101,MOD(21+$C16+(-3),$B$3)+1)*F16+INDEX(Symboles!$G$6:$G$101,MOD(21+$C16+(-2),$B$3)+1)*G16+INDEX(Symboles!$G$6:$G$101,MOD(21+$C16+(-1),$B$3)+1)*H16+INDEX(Symboles!$G$6:$G$101,MOD(21+$C16+(0),$B$3)+1)*I16+INDEX(Symboles!$G$6:$G$101,MOD(21+$C16+(1),$B$3)+1)*J16+INDEX(Symboles!$G$6:$G$101,MOD(21+$C16+(2),$B$3)+1)*K16+INDEX(Symboles!$G$6:$G$101,MOD(21+$C16+(3),$B$3)+1)*L16+INDEX(Symboles!$G$6:$G$101,MOD(21+$C16+(4),$B$3)+1)*M16+IF($B$6=0,0,$B$6*NORMSINV(0.000001+0.999998*RAND())))</f>
        <v/>
      </c>
      <c r="AL16" s="30">
        <f>IF(23&gt;$B$3,99,INDEX(Symboles!$G$6:$G$101,MOD(22+$C16+(-4),$B$3)+1)*E16+INDEX(Symboles!$G$6:$G$101,MOD(22+$C16+(-3),$B$3)+1)*F16+INDEX(Symboles!$G$6:$G$101,MOD(22+$C16+(-2),$B$3)+1)*G16+INDEX(Symboles!$G$6:$G$101,MOD(22+$C16+(-1),$B$3)+1)*H16+INDEX(Symboles!$G$6:$G$101,MOD(22+$C16+(0),$B$3)+1)*I16+INDEX(Symboles!$G$6:$G$101,MOD(22+$C16+(1),$B$3)+1)*J16+INDEX(Symboles!$G$6:$G$101,MOD(22+$C16+(2),$B$3)+1)*K16+INDEX(Symboles!$G$6:$G$101,MOD(22+$C16+(3),$B$3)+1)*L16+INDEX(Symboles!$G$6:$G$101,MOD(22+$C16+(4),$B$3)+1)*M16+IF($B$6=0,0,$B$6*NORMSINV(0.000001+0.999998*RAND())))</f>
        <v/>
      </c>
      <c r="AM16" s="30">
        <f>IF(24&gt;$B$3,99,INDEX(Symboles!$G$6:$G$101,MOD(23+$C16+(-4),$B$3)+1)*E16+INDEX(Symboles!$G$6:$G$101,MOD(23+$C16+(-3),$B$3)+1)*F16+INDEX(Symboles!$G$6:$G$101,MOD(23+$C16+(-2),$B$3)+1)*G16+INDEX(Symboles!$G$6:$G$101,MOD(23+$C16+(-1),$B$3)+1)*H16+INDEX(Symboles!$G$6:$G$101,MOD(23+$C16+(0),$B$3)+1)*I16+INDEX(Symboles!$G$6:$G$101,MOD(23+$C16+(1),$B$3)+1)*J16+INDEX(Symboles!$G$6:$G$101,MOD(23+$C16+(2),$B$3)+1)*K16+INDEX(Symboles!$G$6:$G$101,MOD(23+$C16+(3),$B$3)+1)*L16+INDEX(Symboles!$G$6:$G$101,MOD(23+$C16+(4),$B$3)+1)*M16+IF($B$6=0,0,$B$6*NORMSINV(0.000001+0.999998*RAND())))</f>
        <v/>
      </c>
      <c r="AN16" s="30">
        <f>IF(25&gt;$B$3,99,INDEX(Symboles!$G$6:$G$101,MOD(24+$C16+(-4),$B$3)+1)*E16+INDEX(Symboles!$G$6:$G$101,MOD(24+$C16+(-3),$B$3)+1)*F16+INDEX(Symboles!$G$6:$G$101,MOD(24+$C16+(-2),$B$3)+1)*G16+INDEX(Symboles!$G$6:$G$101,MOD(24+$C16+(-1),$B$3)+1)*H16+INDEX(Symboles!$G$6:$G$101,MOD(24+$C16+(0),$B$3)+1)*I16+INDEX(Symboles!$G$6:$G$101,MOD(24+$C16+(1),$B$3)+1)*J16+INDEX(Symboles!$G$6:$G$101,MOD(24+$C16+(2),$B$3)+1)*K16+INDEX(Symboles!$G$6:$G$101,MOD(24+$C16+(3),$B$3)+1)*L16+INDEX(Symboles!$G$6:$G$101,MOD(24+$C16+(4),$B$3)+1)*M16+IF($B$6=0,0,$B$6*NORMSINV(0.000001+0.999998*RAND())))</f>
        <v/>
      </c>
      <c r="AO16" s="30">
        <f>IF(26&gt;$B$3,99,INDEX(Symboles!$G$6:$G$101,MOD(25+$C16+(-4),$B$3)+1)*E16+INDEX(Symboles!$G$6:$G$101,MOD(25+$C16+(-3),$B$3)+1)*F16+INDEX(Symboles!$G$6:$G$101,MOD(25+$C16+(-2),$B$3)+1)*G16+INDEX(Symboles!$G$6:$G$101,MOD(25+$C16+(-1),$B$3)+1)*H16+INDEX(Symboles!$G$6:$G$101,MOD(25+$C16+(0),$B$3)+1)*I16+INDEX(Symboles!$G$6:$G$101,MOD(25+$C16+(1),$B$3)+1)*J16+INDEX(Symboles!$G$6:$G$101,MOD(25+$C16+(2),$B$3)+1)*K16+INDEX(Symboles!$G$6:$G$101,MOD(25+$C16+(3),$B$3)+1)*L16+INDEX(Symboles!$G$6:$G$101,MOD(25+$C16+(4),$B$3)+1)*M16+IF($B$6=0,0,$B$6*NORMSINV(0.000001+0.999998*RAND())))</f>
        <v/>
      </c>
      <c r="AP16" s="30">
        <f>IF(27&gt;$B$3,99,INDEX(Symboles!$G$6:$G$101,MOD(26+$C16+(-4),$B$3)+1)*E16+INDEX(Symboles!$G$6:$G$101,MOD(26+$C16+(-3),$B$3)+1)*F16+INDEX(Symboles!$G$6:$G$101,MOD(26+$C16+(-2),$B$3)+1)*G16+INDEX(Symboles!$G$6:$G$101,MOD(26+$C16+(-1),$B$3)+1)*H16+INDEX(Symboles!$G$6:$G$101,MOD(26+$C16+(0),$B$3)+1)*I16+INDEX(Symboles!$G$6:$G$101,MOD(26+$C16+(1),$B$3)+1)*J16+INDEX(Symboles!$G$6:$G$101,MOD(26+$C16+(2),$B$3)+1)*K16+INDEX(Symboles!$G$6:$G$101,MOD(26+$C16+(3),$B$3)+1)*L16+INDEX(Symboles!$G$6:$G$101,MOD(26+$C16+(4),$B$3)+1)*M16+IF($B$6=0,0,$B$6*NORMSINV(0.000001+0.999998*RAND())))</f>
        <v/>
      </c>
      <c r="AQ16" s="30">
        <f>IF(28&gt;$B$3,99,INDEX(Symboles!$G$6:$G$101,MOD(27+$C16+(-4),$B$3)+1)*E16+INDEX(Symboles!$G$6:$G$101,MOD(27+$C16+(-3),$B$3)+1)*F16+INDEX(Symboles!$G$6:$G$101,MOD(27+$C16+(-2),$B$3)+1)*G16+INDEX(Symboles!$G$6:$G$101,MOD(27+$C16+(-1),$B$3)+1)*H16+INDEX(Symboles!$G$6:$G$101,MOD(27+$C16+(0),$B$3)+1)*I16+INDEX(Symboles!$G$6:$G$101,MOD(27+$C16+(1),$B$3)+1)*J16+INDEX(Symboles!$G$6:$G$101,MOD(27+$C16+(2),$B$3)+1)*K16+INDEX(Symboles!$G$6:$G$101,MOD(27+$C16+(3),$B$3)+1)*L16+INDEX(Symboles!$G$6:$G$101,MOD(27+$C16+(4),$B$3)+1)*M16+IF($B$6=0,0,$B$6*NORMSINV(0.000001+0.999998*RAND())))</f>
        <v/>
      </c>
      <c r="AR16" s="30">
        <f>IF(29&gt;$B$3,99,INDEX(Symboles!$G$6:$G$101,MOD(28+$C16+(-4),$B$3)+1)*E16+INDEX(Symboles!$G$6:$G$101,MOD(28+$C16+(-3),$B$3)+1)*F16+INDEX(Symboles!$G$6:$G$101,MOD(28+$C16+(-2),$B$3)+1)*G16+INDEX(Symboles!$G$6:$G$101,MOD(28+$C16+(-1),$B$3)+1)*H16+INDEX(Symboles!$G$6:$G$101,MOD(28+$C16+(0),$B$3)+1)*I16+INDEX(Symboles!$G$6:$G$101,MOD(28+$C16+(1),$B$3)+1)*J16+INDEX(Symboles!$G$6:$G$101,MOD(28+$C16+(2),$B$3)+1)*K16+INDEX(Symboles!$G$6:$G$101,MOD(28+$C16+(3),$B$3)+1)*L16+INDEX(Symboles!$G$6:$G$101,MOD(28+$C16+(4),$B$3)+1)*M16+IF($B$6=0,0,$B$6*NORMSINV(0.000001+0.999998*RAND())))</f>
        <v/>
      </c>
      <c r="AS16" s="30">
        <f>IF(30&gt;$B$3,99,INDEX(Symboles!$G$6:$G$101,MOD(29+$C16+(-4),$B$3)+1)*E16+INDEX(Symboles!$G$6:$G$101,MOD(29+$C16+(-3),$B$3)+1)*F16+INDEX(Symboles!$G$6:$G$101,MOD(29+$C16+(-2),$B$3)+1)*G16+INDEX(Symboles!$G$6:$G$101,MOD(29+$C16+(-1),$B$3)+1)*H16+INDEX(Symboles!$G$6:$G$101,MOD(29+$C16+(0),$B$3)+1)*I16+INDEX(Symboles!$G$6:$G$101,MOD(29+$C16+(1),$B$3)+1)*J16+INDEX(Symboles!$G$6:$G$101,MOD(29+$C16+(2),$B$3)+1)*K16+INDEX(Symboles!$G$6:$G$101,MOD(29+$C16+(3),$B$3)+1)*L16+INDEX(Symboles!$G$6:$G$101,MOD(29+$C16+(4),$B$3)+1)*M16+IF($B$6=0,0,$B$6*NORMSINV(0.000001+0.999998*RAND())))</f>
        <v/>
      </c>
      <c r="AT16" s="30">
        <f>IF(31&gt;$B$3,99,INDEX(Symboles!$G$6:$G$101,MOD(30+$C16+(-4),$B$3)+1)*E16+INDEX(Symboles!$G$6:$G$101,MOD(30+$C16+(-3),$B$3)+1)*F16+INDEX(Symboles!$G$6:$G$101,MOD(30+$C16+(-2),$B$3)+1)*G16+INDEX(Symboles!$G$6:$G$101,MOD(30+$C16+(-1),$B$3)+1)*H16+INDEX(Symboles!$G$6:$G$101,MOD(30+$C16+(0),$B$3)+1)*I16+INDEX(Symboles!$G$6:$G$101,MOD(30+$C16+(1),$B$3)+1)*J16+INDEX(Symboles!$G$6:$G$101,MOD(30+$C16+(2),$B$3)+1)*K16+INDEX(Symboles!$G$6:$G$101,MOD(30+$C16+(3),$B$3)+1)*L16+INDEX(Symboles!$G$6:$G$101,MOD(30+$C16+(4),$B$3)+1)*M16+IF($B$6=0,0,$B$6*NORMSINV(0.000001+0.999998*RAND())))</f>
        <v/>
      </c>
      <c r="AU16" s="30">
        <f>IF(32&gt;$B$3,99,INDEX(Symboles!$G$6:$G$101,MOD(31+$C16+(-4),$B$3)+1)*E16+INDEX(Symboles!$G$6:$G$101,MOD(31+$C16+(-3),$B$3)+1)*F16+INDEX(Symboles!$G$6:$G$101,MOD(31+$C16+(-2),$B$3)+1)*G16+INDEX(Symboles!$G$6:$G$101,MOD(31+$C16+(-1),$B$3)+1)*H16+INDEX(Symboles!$G$6:$G$101,MOD(31+$C16+(0),$B$3)+1)*I16+INDEX(Symboles!$G$6:$G$101,MOD(31+$C16+(1),$B$3)+1)*J16+INDEX(Symboles!$G$6:$G$101,MOD(31+$C16+(2),$B$3)+1)*K16+INDEX(Symboles!$G$6:$G$101,MOD(31+$C16+(3),$B$3)+1)*L16+INDEX(Symboles!$G$6:$G$101,MOD(31+$C16+(4),$B$3)+1)*M16+IF($B$6=0,0,$B$6*NORMSINV(0.000001+0.999998*RAND())))</f>
        <v/>
      </c>
      <c r="AV16" s="30">
        <f>IF(33&gt;$B$3,99,INDEX(Symboles!$G$6:$G$101,MOD(32+$C16+(-4),$B$3)+1)*E16+INDEX(Symboles!$G$6:$G$101,MOD(32+$C16+(-3),$B$3)+1)*F16+INDEX(Symboles!$G$6:$G$101,MOD(32+$C16+(-2),$B$3)+1)*G16+INDEX(Symboles!$G$6:$G$101,MOD(32+$C16+(-1),$B$3)+1)*H16+INDEX(Symboles!$G$6:$G$101,MOD(32+$C16+(0),$B$3)+1)*I16+INDEX(Symboles!$G$6:$G$101,MOD(32+$C16+(1),$B$3)+1)*J16+INDEX(Symboles!$G$6:$G$101,MOD(32+$C16+(2),$B$3)+1)*K16+INDEX(Symboles!$G$6:$G$101,MOD(32+$C16+(3),$B$3)+1)*L16+INDEX(Symboles!$G$6:$G$101,MOD(32+$C16+(4),$B$3)+1)*M16+IF($B$6=0,0,$B$6*NORMSINV(0.000001+0.999998*RAND())))</f>
        <v/>
      </c>
      <c r="AW16" s="30">
        <f>IF(34&gt;$B$3,99,INDEX(Symboles!$G$6:$G$101,MOD(33+$C16+(-4),$B$3)+1)*E16+INDEX(Symboles!$G$6:$G$101,MOD(33+$C16+(-3),$B$3)+1)*F16+INDEX(Symboles!$G$6:$G$101,MOD(33+$C16+(-2),$B$3)+1)*G16+INDEX(Symboles!$G$6:$G$101,MOD(33+$C16+(-1),$B$3)+1)*H16+INDEX(Symboles!$G$6:$G$101,MOD(33+$C16+(0),$B$3)+1)*I16+INDEX(Symboles!$G$6:$G$101,MOD(33+$C16+(1),$B$3)+1)*J16+INDEX(Symboles!$G$6:$G$101,MOD(33+$C16+(2),$B$3)+1)*K16+INDEX(Symboles!$G$6:$G$101,MOD(33+$C16+(3),$B$3)+1)*L16+INDEX(Symboles!$G$6:$G$101,MOD(33+$C16+(4),$B$3)+1)*M16+IF($B$6=0,0,$B$6*NORMSINV(0.000001+0.999998*RAND())))</f>
        <v/>
      </c>
      <c r="AX16" s="30">
        <f>IF(35&gt;$B$3,99,INDEX(Symboles!$G$6:$G$101,MOD(34+$C16+(-4),$B$3)+1)*E16+INDEX(Symboles!$G$6:$G$101,MOD(34+$C16+(-3),$B$3)+1)*F16+INDEX(Symboles!$G$6:$G$101,MOD(34+$C16+(-2),$B$3)+1)*G16+INDEX(Symboles!$G$6:$G$101,MOD(34+$C16+(-1),$B$3)+1)*H16+INDEX(Symboles!$G$6:$G$101,MOD(34+$C16+(0),$B$3)+1)*I16+INDEX(Symboles!$G$6:$G$101,MOD(34+$C16+(1),$B$3)+1)*J16+INDEX(Symboles!$G$6:$G$101,MOD(34+$C16+(2),$B$3)+1)*K16+INDEX(Symboles!$G$6:$G$101,MOD(34+$C16+(3),$B$3)+1)*L16+INDEX(Symboles!$G$6:$G$101,MOD(34+$C16+(4),$B$3)+1)*M16+IF($B$6=0,0,$B$6*NORMSINV(0.000001+0.999998*RAND())))</f>
        <v/>
      </c>
      <c r="AY16" s="30">
        <f>IF(36&gt;$B$3,99,INDEX(Symboles!$G$6:$G$101,MOD(35+$C16+(-4),$B$3)+1)*E16+INDEX(Symboles!$G$6:$G$101,MOD(35+$C16+(-3),$B$3)+1)*F16+INDEX(Symboles!$G$6:$G$101,MOD(35+$C16+(-2),$B$3)+1)*G16+INDEX(Symboles!$G$6:$G$101,MOD(35+$C16+(-1),$B$3)+1)*H16+INDEX(Symboles!$G$6:$G$101,MOD(35+$C16+(0),$B$3)+1)*I16+INDEX(Symboles!$G$6:$G$101,MOD(35+$C16+(1),$B$3)+1)*J16+INDEX(Symboles!$G$6:$G$101,MOD(35+$C16+(2),$B$3)+1)*K16+INDEX(Symboles!$G$6:$G$101,MOD(35+$C16+(3),$B$3)+1)*L16+INDEX(Symboles!$G$6:$G$101,MOD(35+$C16+(4),$B$3)+1)*M16+IF($B$6=0,0,$B$6*NORMSINV(0.000001+0.999998*RAND())))</f>
        <v/>
      </c>
      <c r="AZ16" s="30">
        <f>IF(37&gt;$B$3,99,INDEX(Symboles!$G$6:$G$101,MOD(36+$C16+(-4),$B$3)+1)*E16+INDEX(Symboles!$G$6:$G$101,MOD(36+$C16+(-3),$B$3)+1)*F16+INDEX(Symboles!$G$6:$G$101,MOD(36+$C16+(-2),$B$3)+1)*G16+INDEX(Symboles!$G$6:$G$101,MOD(36+$C16+(-1),$B$3)+1)*H16+INDEX(Symboles!$G$6:$G$101,MOD(36+$C16+(0),$B$3)+1)*I16+INDEX(Symboles!$G$6:$G$101,MOD(36+$C16+(1),$B$3)+1)*J16+INDEX(Symboles!$G$6:$G$101,MOD(36+$C16+(2),$B$3)+1)*K16+INDEX(Symboles!$G$6:$G$101,MOD(36+$C16+(3),$B$3)+1)*L16+INDEX(Symboles!$G$6:$G$101,MOD(36+$C16+(4),$B$3)+1)*M16+IF($B$6=0,0,$B$6*NORMSINV(0.000001+0.999998*RAND())))</f>
        <v/>
      </c>
      <c r="BA16" s="30">
        <f>IF(38&gt;$B$3,99,INDEX(Symboles!$G$6:$G$101,MOD(37+$C16+(-4),$B$3)+1)*E16+INDEX(Symboles!$G$6:$G$101,MOD(37+$C16+(-3),$B$3)+1)*F16+INDEX(Symboles!$G$6:$G$101,MOD(37+$C16+(-2),$B$3)+1)*G16+INDEX(Symboles!$G$6:$G$101,MOD(37+$C16+(-1),$B$3)+1)*H16+INDEX(Symboles!$G$6:$G$101,MOD(37+$C16+(0),$B$3)+1)*I16+INDEX(Symboles!$G$6:$G$101,MOD(37+$C16+(1),$B$3)+1)*J16+INDEX(Symboles!$G$6:$G$101,MOD(37+$C16+(2),$B$3)+1)*K16+INDEX(Symboles!$G$6:$G$101,MOD(37+$C16+(3),$B$3)+1)*L16+INDEX(Symboles!$G$6:$G$101,MOD(37+$C16+(4),$B$3)+1)*M16+IF($B$6=0,0,$B$6*NORMSINV(0.000001+0.999998*RAND())))</f>
        <v/>
      </c>
      <c r="BB16" s="30">
        <f>IF(39&gt;$B$3,99,INDEX(Symboles!$G$6:$G$101,MOD(38+$C16+(-4),$B$3)+1)*E16+INDEX(Symboles!$G$6:$G$101,MOD(38+$C16+(-3),$B$3)+1)*F16+INDEX(Symboles!$G$6:$G$101,MOD(38+$C16+(-2),$B$3)+1)*G16+INDEX(Symboles!$G$6:$G$101,MOD(38+$C16+(-1),$B$3)+1)*H16+INDEX(Symboles!$G$6:$G$101,MOD(38+$C16+(0),$B$3)+1)*I16+INDEX(Symboles!$G$6:$G$101,MOD(38+$C16+(1),$B$3)+1)*J16+INDEX(Symboles!$G$6:$G$101,MOD(38+$C16+(2),$B$3)+1)*K16+INDEX(Symboles!$G$6:$G$101,MOD(38+$C16+(3),$B$3)+1)*L16+INDEX(Symboles!$G$6:$G$101,MOD(38+$C16+(4),$B$3)+1)*M16+IF($B$6=0,0,$B$6*NORMSINV(0.000001+0.999998*RAND())))</f>
        <v/>
      </c>
      <c r="BC16" s="30">
        <f>IF(40&gt;$B$3,99,INDEX(Symboles!$G$6:$G$101,MOD(39+$C16+(-4),$B$3)+1)*E16+INDEX(Symboles!$G$6:$G$101,MOD(39+$C16+(-3),$B$3)+1)*F16+INDEX(Symboles!$G$6:$G$101,MOD(39+$C16+(-2),$B$3)+1)*G16+INDEX(Symboles!$G$6:$G$101,MOD(39+$C16+(-1),$B$3)+1)*H16+INDEX(Symboles!$G$6:$G$101,MOD(39+$C16+(0),$B$3)+1)*I16+INDEX(Symboles!$G$6:$G$101,MOD(39+$C16+(1),$B$3)+1)*J16+INDEX(Symboles!$G$6:$G$101,MOD(39+$C16+(2),$B$3)+1)*K16+INDEX(Symboles!$G$6:$G$101,MOD(39+$C16+(3),$B$3)+1)*L16+INDEX(Symboles!$G$6:$G$101,MOD(39+$C16+(4),$B$3)+1)*M16+IF($B$6=0,0,$B$6*NORMSINV(0.000001+0.999998*RAND())))</f>
        <v/>
      </c>
      <c r="BD16" s="30">
        <f>IF(41&gt;$B$3,99,INDEX(Symboles!$G$6:$G$101,MOD(40+$C16+(-4),$B$3)+1)*E16+INDEX(Symboles!$G$6:$G$101,MOD(40+$C16+(-3),$B$3)+1)*F16+INDEX(Symboles!$G$6:$G$101,MOD(40+$C16+(-2),$B$3)+1)*G16+INDEX(Symboles!$G$6:$G$101,MOD(40+$C16+(-1),$B$3)+1)*H16+INDEX(Symboles!$G$6:$G$101,MOD(40+$C16+(0),$B$3)+1)*I16+INDEX(Symboles!$G$6:$G$101,MOD(40+$C16+(1),$B$3)+1)*J16+INDEX(Symboles!$G$6:$G$101,MOD(40+$C16+(2),$B$3)+1)*K16+INDEX(Symboles!$G$6:$G$101,MOD(40+$C16+(3),$B$3)+1)*L16+INDEX(Symboles!$G$6:$G$101,MOD(40+$C16+(4),$B$3)+1)*M16+IF($B$6=0,0,$B$6*NORMSINV(0.000001+0.999998*RAND())))</f>
        <v/>
      </c>
      <c r="BE16" s="30">
        <f>IF(42&gt;$B$3,99,INDEX(Symboles!$G$6:$G$101,MOD(41+$C16+(-4),$B$3)+1)*E16+INDEX(Symboles!$G$6:$G$101,MOD(41+$C16+(-3),$B$3)+1)*F16+INDEX(Symboles!$G$6:$G$101,MOD(41+$C16+(-2),$B$3)+1)*G16+INDEX(Symboles!$G$6:$G$101,MOD(41+$C16+(-1),$B$3)+1)*H16+INDEX(Symboles!$G$6:$G$101,MOD(41+$C16+(0),$B$3)+1)*I16+INDEX(Symboles!$G$6:$G$101,MOD(41+$C16+(1),$B$3)+1)*J16+INDEX(Symboles!$G$6:$G$101,MOD(41+$C16+(2),$B$3)+1)*K16+INDEX(Symboles!$G$6:$G$101,MOD(41+$C16+(3),$B$3)+1)*L16+INDEX(Symboles!$G$6:$G$101,MOD(41+$C16+(4),$B$3)+1)*M16+IF($B$6=0,0,$B$6*NORMSINV(0.000001+0.999998*RAND())))</f>
        <v/>
      </c>
      <c r="BF16" s="30">
        <f>IF(43&gt;$B$3,99,INDEX(Symboles!$G$6:$G$101,MOD(42+$C16+(-4),$B$3)+1)*E16+INDEX(Symboles!$G$6:$G$101,MOD(42+$C16+(-3),$B$3)+1)*F16+INDEX(Symboles!$G$6:$G$101,MOD(42+$C16+(-2),$B$3)+1)*G16+INDEX(Symboles!$G$6:$G$101,MOD(42+$C16+(-1),$B$3)+1)*H16+INDEX(Symboles!$G$6:$G$101,MOD(42+$C16+(0),$B$3)+1)*I16+INDEX(Symboles!$G$6:$G$101,MOD(42+$C16+(1),$B$3)+1)*J16+INDEX(Symboles!$G$6:$G$101,MOD(42+$C16+(2),$B$3)+1)*K16+INDEX(Symboles!$G$6:$G$101,MOD(42+$C16+(3),$B$3)+1)*L16+INDEX(Symboles!$G$6:$G$101,MOD(42+$C16+(4),$B$3)+1)*M16+IF($B$6=0,0,$B$6*NORMSINV(0.000001+0.999998*RAND())))</f>
        <v/>
      </c>
      <c r="BG16" s="30">
        <f>IF(44&gt;$B$3,99,INDEX(Symboles!$G$6:$G$101,MOD(43+$C16+(-4),$B$3)+1)*E16+INDEX(Symboles!$G$6:$G$101,MOD(43+$C16+(-3),$B$3)+1)*F16+INDEX(Symboles!$G$6:$G$101,MOD(43+$C16+(-2),$B$3)+1)*G16+INDEX(Symboles!$G$6:$G$101,MOD(43+$C16+(-1),$B$3)+1)*H16+INDEX(Symboles!$G$6:$G$101,MOD(43+$C16+(0),$B$3)+1)*I16+INDEX(Symboles!$G$6:$G$101,MOD(43+$C16+(1),$B$3)+1)*J16+INDEX(Symboles!$G$6:$G$101,MOD(43+$C16+(2),$B$3)+1)*K16+INDEX(Symboles!$G$6:$G$101,MOD(43+$C16+(3),$B$3)+1)*L16+INDEX(Symboles!$G$6:$G$101,MOD(43+$C16+(4),$B$3)+1)*M16+IF($B$6=0,0,$B$6*NORMSINV(0.000001+0.999998*RAND())))</f>
        <v/>
      </c>
      <c r="BH16" s="30">
        <f>IF(45&gt;$B$3,99,INDEX(Symboles!$G$6:$G$101,MOD(44+$C16+(-4),$B$3)+1)*E16+INDEX(Symboles!$G$6:$G$101,MOD(44+$C16+(-3),$B$3)+1)*F16+INDEX(Symboles!$G$6:$G$101,MOD(44+$C16+(-2),$B$3)+1)*G16+INDEX(Symboles!$G$6:$G$101,MOD(44+$C16+(-1),$B$3)+1)*H16+INDEX(Symboles!$G$6:$G$101,MOD(44+$C16+(0),$B$3)+1)*I16+INDEX(Symboles!$G$6:$G$101,MOD(44+$C16+(1),$B$3)+1)*J16+INDEX(Symboles!$G$6:$G$101,MOD(44+$C16+(2),$B$3)+1)*K16+INDEX(Symboles!$G$6:$G$101,MOD(44+$C16+(3),$B$3)+1)*L16+INDEX(Symboles!$G$6:$G$101,MOD(44+$C16+(4),$B$3)+1)*M16+IF($B$6=0,0,$B$6*NORMSINV(0.000001+0.999998*RAND())))</f>
        <v/>
      </c>
      <c r="BI16" s="30">
        <f>IF(46&gt;$B$3,99,INDEX(Symboles!$G$6:$G$101,MOD(45+$C16+(-4),$B$3)+1)*E16+INDEX(Symboles!$G$6:$G$101,MOD(45+$C16+(-3),$B$3)+1)*F16+INDEX(Symboles!$G$6:$G$101,MOD(45+$C16+(-2),$B$3)+1)*G16+INDEX(Symboles!$G$6:$G$101,MOD(45+$C16+(-1),$B$3)+1)*H16+INDEX(Symboles!$G$6:$G$101,MOD(45+$C16+(0),$B$3)+1)*I16+INDEX(Symboles!$G$6:$G$101,MOD(45+$C16+(1),$B$3)+1)*J16+INDEX(Symboles!$G$6:$G$101,MOD(45+$C16+(2),$B$3)+1)*K16+INDEX(Symboles!$G$6:$G$101,MOD(45+$C16+(3),$B$3)+1)*L16+INDEX(Symboles!$G$6:$G$101,MOD(45+$C16+(4),$B$3)+1)*M16+IF($B$6=0,0,$B$6*NORMSINV(0.000001+0.999998*RAND())))</f>
        <v/>
      </c>
      <c r="BJ16" s="30">
        <f>IF(47&gt;$B$3,99,INDEX(Symboles!$G$6:$G$101,MOD(46+$C16+(-4),$B$3)+1)*E16+INDEX(Symboles!$G$6:$G$101,MOD(46+$C16+(-3),$B$3)+1)*F16+INDEX(Symboles!$G$6:$G$101,MOD(46+$C16+(-2),$B$3)+1)*G16+INDEX(Symboles!$G$6:$G$101,MOD(46+$C16+(-1),$B$3)+1)*H16+INDEX(Symboles!$G$6:$G$101,MOD(46+$C16+(0),$B$3)+1)*I16+INDEX(Symboles!$G$6:$G$101,MOD(46+$C16+(1),$B$3)+1)*J16+INDEX(Symboles!$G$6:$G$101,MOD(46+$C16+(2),$B$3)+1)*K16+INDEX(Symboles!$G$6:$G$101,MOD(46+$C16+(3),$B$3)+1)*L16+INDEX(Symboles!$G$6:$G$101,MOD(46+$C16+(4),$B$3)+1)*M16+IF($B$6=0,0,$B$6*NORMSINV(0.000001+0.999998*RAND())))</f>
        <v/>
      </c>
      <c r="BK16" s="30">
        <f>IF(48&gt;$B$3,99,INDEX(Symboles!$G$6:$G$101,MOD(47+$C16+(-4),$B$3)+1)*E16+INDEX(Symboles!$G$6:$G$101,MOD(47+$C16+(-3),$B$3)+1)*F16+INDEX(Symboles!$G$6:$G$101,MOD(47+$C16+(-2),$B$3)+1)*G16+INDEX(Symboles!$G$6:$G$101,MOD(47+$C16+(-1),$B$3)+1)*H16+INDEX(Symboles!$G$6:$G$101,MOD(47+$C16+(0),$B$3)+1)*I16+INDEX(Symboles!$G$6:$G$101,MOD(47+$C16+(1),$B$3)+1)*J16+INDEX(Symboles!$G$6:$G$101,MOD(47+$C16+(2),$B$3)+1)*K16+INDEX(Symboles!$G$6:$G$101,MOD(47+$C16+(3),$B$3)+1)*L16+INDEX(Symboles!$G$6:$G$101,MOD(47+$C16+(4),$B$3)+1)*M16+IF($B$6=0,0,$B$6*NORMSINV(0.000001+0.999998*RAND())))</f>
        <v/>
      </c>
      <c r="BL16" s="30">
        <f>IF(49&gt;$B$3,99,INDEX(Symboles!$G$6:$G$101,MOD(48+$C16+(-4),$B$3)+1)*E16+INDEX(Symboles!$G$6:$G$101,MOD(48+$C16+(-3),$B$3)+1)*F16+INDEX(Symboles!$G$6:$G$101,MOD(48+$C16+(-2),$B$3)+1)*G16+INDEX(Symboles!$G$6:$G$101,MOD(48+$C16+(-1),$B$3)+1)*H16+INDEX(Symboles!$G$6:$G$101,MOD(48+$C16+(0),$B$3)+1)*I16+INDEX(Symboles!$G$6:$G$101,MOD(48+$C16+(1),$B$3)+1)*J16+INDEX(Symboles!$G$6:$G$101,MOD(48+$C16+(2),$B$3)+1)*K16+INDEX(Symboles!$G$6:$G$101,MOD(48+$C16+(3),$B$3)+1)*L16+INDEX(Symboles!$G$6:$G$101,MOD(48+$C16+(4),$B$3)+1)*M16+IF($B$6=0,0,$B$6*NORMSINV(0.000001+0.999998*RAND())))</f>
        <v/>
      </c>
      <c r="BM16" s="30">
        <f>IF(50&gt;$B$3,99,INDEX(Symboles!$G$6:$G$101,MOD(49+$C16+(-4),$B$3)+1)*E16+INDEX(Symboles!$G$6:$G$101,MOD(49+$C16+(-3),$B$3)+1)*F16+INDEX(Symboles!$G$6:$G$101,MOD(49+$C16+(-2),$B$3)+1)*G16+INDEX(Symboles!$G$6:$G$101,MOD(49+$C16+(-1),$B$3)+1)*H16+INDEX(Symboles!$G$6:$G$101,MOD(49+$C16+(0),$B$3)+1)*I16+INDEX(Symboles!$G$6:$G$101,MOD(49+$C16+(1),$B$3)+1)*J16+INDEX(Symboles!$G$6:$G$101,MOD(49+$C16+(2),$B$3)+1)*K16+INDEX(Symboles!$G$6:$G$101,MOD(49+$C16+(3),$B$3)+1)*L16+INDEX(Symboles!$G$6:$G$101,MOD(49+$C16+(4),$B$3)+1)*M16+IF($B$6=0,0,$B$6*NORMSINV(0.000001+0.999998*RAND())))</f>
        <v/>
      </c>
      <c r="BN16" s="30">
        <f>IF(51&gt;$B$3,99,INDEX(Symboles!$G$6:$G$101,MOD(50+$C16+(-4),$B$3)+1)*E16+INDEX(Symboles!$G$6:$G$101,MOD(50+$C16+(-3),$B$3)+1)*F16+INDEX(Symboles!$G$6:$G$101,MOD(50+$C16+(-2),$B$3)+1)*G16+INDEX(Symboles!$G$6:$G$101,MOD(50+$C16+(-1),$B$3)+1)*H16+INDEX(Symboles!$G$6:$G$101,MOD(50+$C16+(0),$B$3)+1)*I16+INDEX(Symboles!$G$6:$G$101,MOD(50+$C16+(1),$B$3)+1)*J16+INDEX(Symboles!$G$6:$G$101,MOD(50+$C16+(2),$B$3)+1)*K16+INDEX(Symboles!$G$6:$G$101,MOD(50+$C16+(3),$B$3)+1)*L16+INDEX(Symboles!$G$6:$G$101,MOD(50+$C16+(4),$B$3)+1)*M16+IF($B$6=0,0,$B$6*NORMSINV(0.000001+0.999998*RAND())))</f>
        <v/>
      </c>
      <c r="BO16" s="30">
        <f>IF(52&gt;$B$3,99,INDEX(Symboles!$G$6:$G$101,MOD(51+$C16+(-4),$B$3)+1)*E16+INDEX(Symboles!$G$6:$G$101,MOD(51+$C16+(-3),$B$3)+1)*F16+INDEX(Symboles!$G$6:$G$101,MOD(51+$C16+(-2),$B$3)+1)*G16+INDEX(Symboles!$G$6:$G$101,MOD(51+$C16+(-1),$B$3)+1)*H16+INDEX(Symboles!$G$6:$G$101,MOD(51+$C16+(0),$B$3)+1)*I16+INDEX(Symboles!$G$6:$G$101,MOD(51+$C16+(1),$B$3)+1)*J16+INDEX(Symboles!$G$6:$G$101,MOD(51+$C16+(2),$B$3)+1)*K16+INDEX(Symboles!$G$6:$G$101,MOD(51+$C16+(3),$B$3)+1)*L16+INDEX(Symboles!$G$6:$G$101,MOD(51+$C16+(4),$B$3)+1)*M16+IF($B$6=0,0,$B$6*NORMSINV(0.000001+0.999998*RAND())))</f>
        <v/>
      </c>
      <c r="BP16" s="30">
        <f>IF(53&gt;$B$3,99,INDEX(Symboles!$G$6:$G$101,MOD(52+$C16+(-4),$B$3)+1)*E16+INDEX(Symboles!$G$6:$G$101,MOD(52+$C16+(-3),$B$3)+1)*F16+INDEX(Symboles!$G$6:$G$101,MOD(52+$C16+(-2),$B$3)+1)*G16+INDEX(Symboles!$G$6:$G$101,MOD(52+$C16+(-1),$B$3)+1)*H16+INDEX(Symboles!$G$6:$G$101,MOD(52+$C16+(0),$B$3)+1)*I16+INDEX(Symboles!$G$6:$G$101,MOD(52+$C16+(1),$B$3)+1)*J16+INDEX(Symboles!$G$6:$G$101,MOD(52+$C16+(2),$B$3)+1)*K16+INDEX(Symboles!$G$6:$G$101,MOD(52+$C16+(3),$B$3)+1)*L16+INDEX(Symboles!$G$6:$G$101,MOD(52+$C16+(4),$B$3)+1)*M16+IF($B$6=0,0,$B$6*NORMSINV(0.000001+0.999998*RAND())))</f>
        <v/>
      </c>
      <c r="BQ16" s="30">
        <f>IF(54&gt;$B$3,99,INDEX(Symboles!$G$6:$G$101,MOD(53+$C16+(-4),$B$3)+1)*E16+INDEX(Symboles!$G$6:$G$101,MOD(53+$C16+(-3),$B$3)+1)*F16+INDEX(Symboles!$G$6:$G$101,MOD(53+$C16+(-2),$B$3)+1)*G16+INDEX(Symboles!$G$6:$G$101,MOD(53+$C16+(-1),$B$3)+1)*H16+INDEX(Symboles!$G$6:$G$101,MOD(53+$C16+(0),$B$3)+1)*I16+INDEX(Symboles!$G$6:$G$101,MOD(53+$C16+(1),$B$3)+1)*J16+INDEX(Symboles!$G$6:$G$101,MOD(53+$C16+(2),$B$3)+1)*K16+INDEX(Symboles!$G$6:$G$101,MOD(53+$C16+(3),$B$3)+1)*L16+INDEX(Symboles!$G$6:$G$101,MOD(53+$C16+(4),$B$3)+1)*M16+IF($B$6=0,0,$B$6*NORMSINV(0.000001+0.999998*RAND())))</f>
        <v/>
      </c>
      <c r="BR16" s="30">
        <f>IF(55&gt;$B$3,99,INDEX(Symboles!$G$6:$G$101,MOD(54+$C16+(-4),$B$3)+1)*E16+INDEX(Symboles!$G$6:$G$101,MOD(54+$C16+(-3),$B$3)+1)*F16+INDEX(Symboles!$G$6:$G$101,MOD(54+$C16+(-2),$B$3)+1)*G16+INDEX(Symboles!$G$6:$G$101,MOD(54+$C16+(-1),$B$3)+1)*H16+INDEX(Symboles!$G$6:$G$101,MOD(54+$C16+(0),$B$3)+1)*I16+INDEX(Symboles!$G$6:$G$101,MOD(54+$C16+(1),$B$3)+1)*J16+INDEX(Symboles!$G$6:$G$101,MOD(54+$C16+(2),$B$3)+1)*K16+INDEX(Symboles!$G$6:$G$101,MOD(54+$C16+(3),$B$3)+1)*L16+INDEX(Symboles!$G$6:$G$101,MOD(54+$C16+(4),$B$3)+1)*M16+IF($B$6=0,0,$B$6*NORMSINV(0.000001+0.999998*RAND())))</f>
        <v/>
      </c>
      <c r="BS16" s="30">
        <f>IF(56&gt;$B$3,99,INDEX(Symboles!$G$6:$G$101,MOD(55+$C16+(-4),$B$3)+1)*E16+INDEX(Symboles!$G$6:$G$101,MOD(55+$C16+(-3),$B$3)+1)*F16+INDEX(Symboles!$G$6:$G$101,MOD(55+$C16+(-2),$B$3)+1)*G16+INDEX(Symboles!$G$6:$G$101,MOD(55+$C16+(-1),$B$3)+1)*H16+INDEX(Symboles!$G$6:$G$101,MOD(55+$C16+(0),$B$3)+1)*I16+INDEX(Symboles!$G$6:$G$101,MOD(55+$C16+(1),$B$3)+1)*J16+INDEX(Symboles!$G$6:$G$101,MOD(55+$C16+(2),$B$3)+1)*K16+INDEX(Symboles!$G$6:$G$101,MOD(55+$C16+(3),$B$3)+1)*L16+INDEX(Symboles!$G$6:$G$101,MOD(55+$C16+(4),$B$3)+1)*M16+IF($B$6=0,0,$B$6*NORMSINV(0.000001+0.999998*RAND())))</f>
        <v/>
      </c>
      <c r="BT16" s="30">
        <f>IF(57&gt;$B$3,99,INDEX(Symboles!$G$6:$G$101,MOD(56+$C16+(-4),$B$3)+1)*E16+INDEX(Symboles!$G$6:$G$101,MOD(56+$C16+(-3),$B$3)+1)*F16+INDEX(Symboles!$G$6:$G$101,MOD(56+$C16+(-2),$B$3)+1)*G16+INDEX(Symboles!$G$6:$G$101,MOD(56+$C16+(-1),$B$3)+1)*H16+INDEX(Symboles!$G$6:$G$101,MOD(56+$C16+(0),$B$3)+1)*I16+INDEX(Symboles!$G$6:$G$101,MOD(56+$C16+(1),$B$3)+1)*J16+INDEX(Symboles!$G$6:$G$101,MOD(56+$C16+(2),$B$3)+1)*K16+INDEX(Symboles!$G$6:$G$101,MOD(56+$C16+(3),$B$3)+1)*L16+INDEX(Symboles!$G$6:$G$101,MOD(56+$C16+(4),$B$3)+1)*M16+IF($B$6=0,0,$B$6*NORMSINV(0.000001+0.999998*RAND())))</f>
        <v/>
      </c>
      <c r="BU16" s="30">
        <f>IF(58&gt;$B$3,99,INDEX(Symboles!$G$6:$G$101,MOD(57+$C16+(-4),$B$3)+1)*E16+INDEX(Symboles!$G$6:$G$101,MOD(57+$C16+(-3),$B$3)+1)*F16+INDEX(Symboles!$G$6:$G$101,MOD(57+$C16+(-2),$B$3)+1)*G16+INDEX(Symboles!$G$6:$G$101,MOD(57+$C16+(-1),$B$3)+1)*H16+INDEX(Symboles!$G$6:$G$101,MOD(57+$C16+(0),$B$3)+1)*I16+INDEX(Symboles!$G$6:$G$101,MOD(57+$C16+(1),$B$3)+1)*J16+INDEX(Symboles!$G$6:$G$101,MOD(57+$C16+(2),$B$3)+1)*K16+INDEX(Symboles!$G$6:$G$101,MOD(57+$C16+(3),$B$3)+1)*L16+INDEX(Symboles!$G$6:$G$101,MOD(57+$C16+(4),$B$3)+1)*M16+IF($B$6=0,0,$B$6*NORMSINV(0.000001+0.999998*RAND())))</f>
        <v/>
      </c>
      <c r="BV16" s="30">
        <f>IF(59&gt;$B$3,99,INDEX(Symboles!$G$6:$G$101,MOD(58+$C16+(-4),$B$3)+1)*E16+INDEX(Symboles!$G$6:$G$101,MOD(58+$C16+(-3),$B$3)+1)*F16+INDEX(Symboles!$G$6:$G$101,MOD(58+$C16+(-2),$B$3)+1)*G16+INDEX(Symboles!$G$6:$G$101,MOD(58+$C16+(-1),$B$3)+1)*H16+INDEX(Symboles!$G$6:$G$101,MOD(58+$C16+(0),$B$3)+1)*I16+INDEX(Symboles!$G$6:$G$101,MOD(58+$C16+(1),$B$3)+1)*J16+INDEX(Symboles!$G$6:$G$101,MOD(58+$C16+(2),$B$3)+1)*K16+INDEX(Symboles!$G$6:$G$101,MOD(58+$C16+(3),$B$3)+1)*L16+INDEX(Symboles!$G$6:$G$101,MOD(58+$C16+(4),$B$3)+1)*M16+IF($B$6=0,0,$B$6*NORMSINV(0.000001+0.999998*RAND())))</f>
        <v/>
      </c>
      <c r="BW16" s="30">
        <f>IF(60&gt;$B$3,99,INDEX(Symboles!$G$6:$G$101,MOD(59+$C16+(-4),$B$3)+1)*E16+INDEX(Symboles!$G$6:$G$101,MOD(59+$C16+(-3),$B$3)+1)*F16+INDEX(Symboles!$G$6:$G$101,MOD(59+$C16+(-2),$B$3)+1)*G16+INDEX(Symboles!$G$6:$G$101,MOD(59+$C16+(-1),$B$3)+1)*H16+INDEX(Symboles!$G$6:$G$101,MOD(59+$C16+(0),$B$3)+1)*I16+INDEX(Symboles!$G$6:$G$101,MOD(59+$C16+(1),$B$3)+1)*J16+INDEX(Symboles!$G$6:$G$101,MOD(59+$C16+(2),$B$3)+1)*K16+INDEX(Symboles!$G$6:$G$101,MOD(59+$C16+(3),$B$3)+1)*L16+INDEX(Symboles!$G$6:$G$101,MOD(59+$C16+(4),$B$3)+1)*M16+IF($B$6=0,0,$B$6*NORMSINV(0.000001+0.999998*RAND())))</f>
        <v/>
      </c>
      <c r="BX16" s="30">
        <f>IF(61&gt;$B$3,99,INDEX(Symboles!$G$6:$G$101,MOD(60+$C16+(-4),$B$3)+1)*E16+INDEX(Symboles!$G$6:$G$101,MOD(60+$C16+(-3),$B$3)+1)*F16+INDEX(Symboles!$G$6:$G$101,MOD(60+$C16+(-2),$B$3)+1)*G16+INDEX(Symboles!$G$6:$G$101,MOD(60+$C16+(-1),$B$3)+1)*H16+INDEX(Symboles!$G$6:$G$101,MOD(60+$C16+(0),$B$3)+1)*I16+INDEX(Symboles!$G$6:$G$101,MOD(60+$C16+(1),$B$3)+1)*J16+INDEX(Symboles!$G$6:$G$101,MOD(60+$C16+(2),$B$3)+1)*K16+INDEX(Symboles!$G$6:$G$101,MOD(60+$C16+(3),$B$3)+1)*L16+INDEX(Symboles!$G$6:$G$101,MOD(60+$C16+(4),$B$3)+1)*M16+IF($B$6=0,0,$B$6*NORMSINV(0.000001+0.999998*RAND())))</f>
        <v/>
      </c>
      <c r="BY16" s="30">
        <f>IF(62&gt;$B$3,99,INDEX(Symboles!$G$6:$G$101,MOD(61+$C16+(-4),$B$3)+1)*E16+INDEX(Symboles!$G$6:$G$101,MOD(61+$C16+(-3),$B$3)+1)*F16+INDEX(Symboles!$G$6:$G$101,MOD(61+$C16+(-2),$B$3)+1)*G16+INDEX(Symboles!$G$6:$G$101,MOD(61+$C16+(-1),$B$3)+1)*H16+INDEX(Symboles!$G$6:$G$101,MOD(61+$C16+(0),$B$3)+1)*I16+INDEX(Symboles!$G$6:$G$101,MOD(61+$C16+(1),$B$3)+1)*J16+INDEX(Symboles!$G$6:$G$101,MOD(61+$C16+(2),$B$3)+1)*K16+INDEX(Symboles!$G$6:$G$101,MOD(61+$C16+(3),$B$3)+1)*L16+INDEX(Symboles!$G$6:$G$101,MOD(61+$C16+(4),$B$3)+1)*M16+IF($B$6=0,0,$B$6*NORMSINV(0.000001+0.999998*RAND())))</f>
        <v/>
      </c>
      <c r="BZ16" s="30">
        <f>IF(63&gt;$B$3,99,INDEX(Symboles!$G$6:$G$101,MOD(62+$C16+(-4),$B$3)+1)*E16+INDEX(Symboles!$G$6:$G$101,MOD(62+$C16+(-3),$B$3)+1)*F16+INDEX(Symboles!$G$6:$G$101,MOD(62+$C16+(-2),$B$3)+1)*G16+INDEX(Symboles!$G$6:$G$101,MOD(62+$C16+(-1),$B$3)+1)*H16+INDEX(Symboles!$G$6:$G$101,MOD(62+$C16+(0),$B$3)+1)*I16+INDEX(Symboles!$G$6:$G$101,MOD(62+$C16+(1),$B$3)+1)*J16+INDEX(Symboles!$G$6:$G$101,MOD(62+$C16+(2),$B$3)+1)*K16+INDEX(Symboles!$G$6:$G$101,MOD(62+$C16+(3),$B$3)+1)*L16+INDEX(Symboles!$G$6:$G$101,MOD(62+$C16+(4),$B$3)+1)*M16+IF($B$6=0,0,$B$6*NORMSINV(0.000001+0.999998*RAND())))</f>
        <v/>
      </c>
      <c r="CA16" s="30">
        <f>IF(64&gt;$B$3,99,INDEX(Symboles!$G$6:$G$101,MOD(63+$C16+(-4),$B$3)+1)*E16+INDEX(Symboles!$G$6:$G$101,MOD(63+$C16+(-3),$B$3)+1)*F16+INDEX(Symboles!$G$6:$G$101,MOD(63+$C16+(-2),$B$3)+1)*G16+INDEX(Symboles!$G$6:$G$101,MOD(63+$C16+(-1),$B$3)+1)*H16+INDEX(Symboles!$G$6:$G$101,MOD(63+$C16+(0),$B$3)+1)*I16+INDEX(Symboles!$G$6:$G$101,MOD(63+$C16+(1),$B$3)+1)*J16+INDEX(Symboles!$G$6:$G$101,MOD(63+$C16+(2),$B$3)+1)*K16+INDEX(Symboles!$G$6:$G$101,MOD(63+$C16+(3),$B$3)+1)*L16+INDEX(Symboles!$G$6:$G$101,MOD(63+$C16+(4),$B$3)+1)*M16+IF($B$6=0,0,$B$6*NORMSINV(0.000001+0.999998*RAND())))</f>
        <v/>
      </c>
      <c r="CB16" s="30">
        <f>IF(65&gt;$B$3,99,INDEX(Symboles!$G$6:$G$101,MOD(64+$C16+(-4),$B$3)+1)*E16+INDEX(Symboles!$G$6:$G$101,MOD(64+$C16+(-3),$B$3)+1)*F16+INDEX(Symboles!$G$6:$G$101,MOD(64+$C16+(-2),$B$3)+1)*G16+INDEX(Symboles!$G$6:$G$101,MOD(64+$C16+(-1),$B$3)+1)*H16+INDEX(Symboles!$G$6:$G$101,MOD(64+$C16+(0),$B$3)+1)*I16+INDEX(Symboles!$G$6:$G$101,MOD(64+$C16+(1),$B$3)+1)*J16+INDEX(Symboles!$G$6:$G$101,MOD(64+$C16+(2),$B$3)+1)*K16+INDEX(Symboles!$G$6:$G$101,MOD(64+$C16+(3),$B$3)+1)*L16+INDEX(Symboles!$G$6:$G$101,MOD(64+$C16+(4),$B$3)+1)*M16+IF($B$6=0,0,$B$6*NORMSINV(0.000001+0.999998*RAND())))</f>
        <v/>
      </c>
      <c r="CC16" s="30">
        <f>IF(66&gt;$B$3,99,INDEX(Symboles!$G$6:$G$101,MOD(65+$C16+(-4),$B$3)+1)*E16+INDEX(Symboles!$G$6:$G$101,MOD(65+$C16+(-3),$B$3)+1)*F16+INDEX(Symboles!$G$6:$G$101,MOD(65+$C16+(-2),$B$3)+1)*G16+INDEX(Symboles!$G$6:$G$101,MOD(65+$C16+(-1),$B$3)+1)*H16+INDEX(Symboles!$G$6:$G$101,MOD(65+$C16+(0),$B$3)+1)*I16+INDEX(Symboles!$G$6:$G$101,MOD(65+$C16+(1),$B$3)+1)*J16+INDEX(Symboles!$G$6:$G$101,MOD(65+$C16+(2),$B$3)+1)*K16+INDEX(Symboles!$G$6:$G$101,MOD(65+$C16+(3),$B$3)+1)*L16+INDEX(Symboles!$G$6:$G$101,MOD(65+$C16+(4),$B$3)+1)*M16+IF($B$6=0,0,$B$6*NORMSINV(0.000001+0.999998*RAND())))</f>
        <v/>
      </c>
      <c r="CD16" s="30">
        <f>IF(67&gt;$B$3,99,INDEX(Symboles!$G$6:$G$101,MOD(66+$C16+(-4),$B$3)+1)*E16+INDEX(Symboles!$G$6:$G$101,MOD(66+$C16+(-3),$B$3)+1)*F16+INDEX(Symboles!$G$6:$G$101,MOD(66+$C16+(-2),$B$3)+1)*G16+INDEX(Symboles!$G$6:$G$101,MOD(66+$C16+(-1),$B$3)+1)*H16+INDEX(Symboles!$G$6:$G$101,MOD(66+$C16+(0),$B$3)+1)*I16+INDEX(Symboles!$G$6:$G$101,MOD(66+$C16+(1),$B$3)+1)*J16+INDEX(Symboles!$G$6:$G$101,MOD(66+$C16+(2),$B$3)+1)*K16+INDEX(Symboles!$G$6:$G$101,MOD(66+$C16+(3),$B$3)+1)*L16+INDEX(Symboles!$G$6:$G$101,MOD(66+$C16+(4),$B$3)+1)*M16+IF($B$6=0,0,$B$6*NORMSINV(0.000001+0.999998*RAND())))</f>
        <v/>
      </c>
      <c r="CE16" s="30">
        <f>IF(68&gt;$B$3,99,INDEX(Symboles!$G$6:$G$101,MOD(67+$C16+(-4),$B$3)+1)*E16+INDEX(Symboles!$G$6:$G$101,MOD(67+$C16+(-3),$B$3)+1)*F16+INDEX(Symboles!$G$6:$G$101,MOD(67+$C16+(-2),$B$3)+1)*G16+INDEX(Symboles!$G$6:$G$101,MOD(67+$C16+(-1),$B$3)+1)*H16+INDEX(Symboles!$G$6:$G$101,MOD(67+$C16+(0),$B$3)+1)*I16+INDEX(Symboles!$G$6:$G$101,MOD(67+$C16+(1),$B$3)+1)*J16+INDEX(Symboles!$G$6:$G$101,MOD(67+$C16+(2),$B$3)+1)*K16+INDEX(Symboles!$G$6:$G$101,MOD(67+$C16+(3),$B$3)+1)*L16+INDEX(Symboles!$G$6:$G$101,MOD(67+$C16+(4),$B$3)+1)*M16+IF($B$6=0,0,$B$6*NORMSINV(0.000001+0.999998*RAND())))</f>
        <v/>
      </c>
      <c r="CF16" s="30">
        <f>IF(69&gt;$B$3,99,INDEX(Symboles!$G$6:$G$101,MOD(68+$C16+(-4),$B$3)+1)*E16+INDEX(Symboles!$G$6:$G$101,MOD(68+$C16+(-3),$B$3)+1)*F16+INDEX(Symboles!$G$6:$G$101,MOD(68+$C16+(-2),$B$3)+1)*G16+INDEX(Symboles!$G$6:$G$101,MOD(68+$C16+(-1),$B$3)+1)*H16+INDEX(Symboles!$G$6:$G$101,MOD(68+$C16+(0),$B$3)+1)*I16+INDEX(Symboles!$G$6:$G$101,MOD(68+$C16+(1),$B$3)+1)*J16+INDEX(Symboles!$G$6:$G$101,MOD(68+$C16+(2),$B$3)+1)*K16+INDEX(Symboles!$G$6:$G$101,MOD(68+$C16+(3),$B$3)+1)*L16+INDEX(Symboles!$G$6:$G$101,MOD(68+$C16+(4),$B$3)+1)*M16+IF($B$6=0,0,$B$6*NORMSINV(0.000001+0.999998*RAND())))</f>
        <v/>
      </c>
      <c r="CG16" s="30">
        <f>IF(70&gt;$B$3,99,INDEX(Symboles!$G$6:$G$101,MOD(69+$C16+(-4),$B$3)+1)*E16+INDEX(Symboles!$G$6:$G$101,MOD(69+$C16+(-3),$B$3)+1)*F16+INDEX(Symboles!$G$6:$G$101,MOD(69+$C16+(-2),$B$3)+1)*G16+INDEX(Symboles!$G$6:$G$101,MOD(69+$C16+(-1),$B$3)+1)*H16+INDEX(Symboles!$G$6:$G$101,MOD(69+$C16+(0),$B$3)+1)*I16+INDEX(Symboles!$G$6:$G$101,MOD(69+$C16+(1),$B$3)+1)*J16+INDEX(Symboles!$G$6:$G$101,MOD(69+$C16+(2),$B$3)+1)*K16+INDEX(Symboles!$G$6:$G$101,MOD(69+$C16+(3),$B$3)+1)*L16+INDEX(Symboles!$G$6:$G$101,MOD(69+$C16+(4),$B$3)+1)*M16+IF($B$6=0,0,$B$6*NORMSINV(0.000001+0.999998*RAND())))</f>
        <v/>
      </c>
      <c r="CH16" s="30">
        <f>IF(71&gt;$B$3,99,INDEX(Symboles!$G$6:$G$101,MOD(70+$C16+(-4),$B$3)+1)*E16+INDEX(Symboles!$G$6:$G$101,MOD(70+$C16+(-3),$B$3)+1)*F16+INDEX(Symboles!$G$6:$G$101,MOD(70+$C16+(-2),$B$3)+1)*G16+INDEX(Symboles!$G$6:$G$101,MOD(70+$C16+(-1),$B$3)+1)*H16+INDEX(Symboles!$G$6:$G$101,MOD(70+$C16+(0),$B$3)+1)*I16+INDEX(Symboles!$G$6:$G$101,MOD(70+$C16+(1),$B$3)+1)*J16+INDEX(Symboles!$G$6:$G$101,MOD(70+$C16+(2),$B$3)+1)*K16+INDEX(Symboles!$G$6:$G$101,MOD(70+$C16+(3),$B$3)+1)*L16+INDEX(Symboles!$G$6:$G$101,MOD(70+$C16+(4),$B$3)+1)*M16+IF($B$6=0,0,$B$6*NORMSINV(0.000001+0.999998*RAND())))</f>
        <v/>
      </c>
      <c r="CI16" s="30">
        <f>IF(72&gt;$B$3,99,INDEX(Symboles!$G$6:$G$101,MOD(71+$C16+(-4),$B$3)+1)*E16+INDEX(Symboles!$G$6:$G$101,MOD(71+$C16+(-3),$B$3)+1)*F16+INDEX(Symboles!$G$6:$G$101,MOD(71+$C16+(-2),$B$3)+1)*G16+INDEX(Symboles!$G$6:$G$101,MOD(71+$C16+(-1),$B$3)+1)*H16+INDEX(Symboles!$G$6:$G$101,MOD(71+$C16+(0),$B$3)+1)*I16+INDEX(Symboles!$G$6:$G$101,MOD(71+$C16+(1),$B$3)+1)*J16+INDEX(Symboles!$G$6:$G$101,MOD(71+$C16+(2),$B$3)+1)*K16+INDEX(Symboles!$G$6:$G$101,MOD(71+$C16+(3),$B$3)+1)*L16+INDEX(Symboles!$G$6:$G$101,MOD(71+$C16+(4),$B$3)+1)*M16+IF($B$6=0,0,$B$6*NORMSINV(0.000001+0.999998*RAND())))</f>
        <v/>
      </c>
      <c r="CJ16" s="30">
        <f>IF(73&gt;$B$3,99,INDEX(Symboles!$G$6:$G$101,MOD(72+$C16+(-4),$B$3)+1)*E16+INDEX(Symboles!$G$6:$G$101,MOD(72+$C16+(-3),$B$3)+1)*F16+INDEX(Symboles!$G$6:$G$101,MOD(72+$C16+(-2),$B$3)+1)*G16+INDEX(Symboles!$G$6:$G$101,MOD(72+$C16+(-1),$B$3)+1)*H16+INDEX(Symboles!$G$6:$G$101,MOD(72+$C16+(0),$B$3)+1)*I16+INDEX(Symboles!$G$6:$G$101,MOD(72+$C16+(1),$B$3)+1)*J16+INDEX(Symboles!$G$6:$G$101,MOD(72+$C16+(2),$B$3)+1)*K16+INDEX(Symboles!$G$6:$G$101,MOD(72+$C16+(3),$B$3)+1)*L16+INDEX(Symboles!$G$6:$G$101,MOD(72+$C16+(4),$B$3)+1)*M16+IF($B$6=0,0,$B$6*NORMSINV(0.000001+0.999998*RAND())))</f>
        <v/>
      </c>
      <c r="CK16" s="30">
        <f>IF(74&gt;$B$3,99,INDEX(Symboles!$G$6:$G$101,MOD(73+$C16+(-4),$B$3)+1)*E16+INDEX(Symboles!$G$6:$G$101,MOD(73+$C16+(-3),$B$3)+1)*F16+INDEX(Symboles!$G$6:$G$101,MOD(73+$C16+(-2),$B$3)+1)*G16+INDEX(Symboles!$G$6:$G$101,MOD(73+$C16+(-1),$B$3)+1)*H16+INDEX(Symboles!$G$6:$G$101,MOD(73+$C16+(0),$B$3)+1)*I16+INDEX(Symboles!$G$6:$G$101,MOD(73+$C16+(1),$B$3)+1)*J16+INDEX(Symboles!$G$6:$G$101,MOD(73+$C16+(2),$B$3)+1)*K16+INDEX(Symboles!$G$6:$G$101,MOD(73+$C16+(3),$B$3)+1)*L16+INDEX(Symboles!$G$6:$G$101,MOD(73+$C16+(4),$B$3)+1)*M16+IF($B$6=0,0,$B$6*NORMSINV(0.000001+0.999998*RAND())))</f>
        <v/>
      </c>
      <c r="CL16" s="30">
        <f>IF(75&gt;$B$3,99,INDEX(Symboles!$G$6:$G$101,MOD(74+$C16+(-4),$B$3)+1)*E16+INDEX(Symboles!$G$6:$G$101,MOD(74+$C16+(-3),$B$3)+1)*F16+INDEX(Symboles!$G$6:$G$101,MOD(74+$C16+(-2),$B$3)+1)*G16+INDEX(Symboles!$G$6:$G$101,MOD(74+$C16+(-1),$B$3)+1)*H16+INDEX(Symboles!$G$6:$G$101,MOD(74+$C16+(0),$B$3)+1)*I16+INDEX(Symboles!$G$6:$G$101,MOD(74+$C16+(1),$B$3)+1)*J16+INDEX(Symboles!$G$6:$G$101,MOD(74+$C16+(2),$B$3)+1)*K16+INDEX(Symboles!$G$6:$G$101,MOD(74+$C16+(3),$B$3)+1)*L16+INDEX(Symboles!$G$6:$G$101,MOD(74+$C16+(4),$B$3)+1)*M16+IF($B$6=0,0,$B$6*NORMSINV(0.000001+0.999998*RAND())))</f>
        <v/>
      </c>
      <c r="CM16" s="30">
        <f>IF(76&gt;$B$3,99,INDEX(Symboles!$G$6:$G$101,MOD(75+$C16+(-4),$B$3)+1)*E16+INDEX(Symboles!$G$6:$G$101,MOD(75+$C16+(-3),$B$3)+1)*F16+INDEX(Symboles!$G$6:$G$101,MOD(75+$C16+(-2),$B$3)+1)*G16+INDEX(Symboles!$G$6:$G$101,MOD(75+$C16+(-1),$B$3)+1)*H16+INDEX(Symboles!$G$6:$G$101,MOD(75+$C16+(0),$B$3)+1)*I16+INDEX(Symboles!$G$6:$G$101,MOD(75+$C16+(1),$B$3)+1)*J16+INDEX(Symboles!$G$6:$G$101,MOD(75+$C16+(2),$B$3)+1)*K16+INDEX(Symboles!$G$6:$G$101,MOD(75+$C16+(3),$B$3)+1)*L16+INDEX(Symboles!$G$6:$G$101,MOD(75+$C16+(4),$B$3)+1)*M16+IF($B$6=0,0,$B$6*NORMSINV(0.000001+0.999998*RAND())))</f>
        <v/>
      </c>
      <c r="CN16" s="30">
        <f>IF(77&gt;$B$3,99,INDEX(Symboles!$G$6:$G$101,MOD(76+$C16+(-4),$B$3)+1)*E16+INDEX(Symboles!$G$6:$G$101,MOD(76+$C16+(-3),$B$3)+1)*F16+INDEX(Symboles!$G$6:$G$101,MOD(76+$C16+(-2),$B$3)+1)*G16+INDEX(Symboles!$G$6:$G$101,MOD(76+$C16+(-1),$B$3)+1)*H16+INDEX(Symboles!$G$6:$G$101,MOD(76+$C16+(0),$B$3)+1)*I16+INDEX(Symboles!$G$6:$G$101,MOD(76+$C16+(1),$B$3)+1)*J16+INDEX(Symboles!$G$6:$G$101,MOD(76+$C16+(2),$B$3)+1)*K16+INDEX(Symboles!$G$6:$G$101,MOD(76+$C16+(3),$B$3)+1)*L16+INDEX(Symboles!$G$6:$G$101,MOD(76+$C16+(4),$B$3)+1)*M16+IF($B$6=0,0,$B$6*NORMSINV(0.000001+0.999998*RAND())))</f>
        <v/>
      </c>
      <c r="CO16" s="30">
        <f>IF(78&gt;$B$3,99,INDEX(Symboles!$G$6:$G$101,MOD(77+$C16+(-4),$B$3)+1)*E16+INDEX(Symboles!$G$6:$G$101,MOD(77+$C16+(-3),$B$3)+1)*F16+INDEX(Symboles!$G$6:$G$101,MOD(77+$C16+(-2),$B$3)+1)*G16+INDEX(Symboles!$G$6:$G$101,MOD(77+$C16+(-1),$B$3)+1)*H16+INDEX(Symboles!$G$6:$G$101,MOD(77+$C16+(0),$B$3)+1)*I16+INDEX(Symboles!$G$6:$G$101,MOD(77+$C16+(1),$B$3)+1)*J16+INDEX(Symboles!$G$6:$G$101,MOD(77+$C16+(2),$B$3)+1)*K16+INDEX(Symboles!$G$6:$G$101,MOD(77+$C16+(3),$B$3)+1)*L16+INDEX(Symboles!$G$6:$G$101,MOD(77+$C16+(4),$B$3)+1)*M16+IF($B$6=0,0,$B$6*NORMSINV(0.000001+0.999998*RAND())))</f>
        <v/>
      </c>
      <c r="CP16" s="30">
        <f>IF(79&gt;$B$3,99,INDEX(Symboles!$G$6:$G$101,MOD(78+$C16+(-4),$B$3)+1)*E16+INDEX(Symboles!$G$6:$G$101,MOD(78+$C16+(-3),$B$3)+1)*F16+INDEX(Symboles!$G$6:$G$101,MOD(78+$C16+(-2),$B$3)+1)*G16+INDEX(Symboles!$G$6:$G$101,MOD(78+$C16+(-1),$B$3)+1)*H16+INDEX(Symboles!$G$6:$G$101,MOD(78+$C16+(0),$B$3)+1)*I16+INDEX(Symboles!$G$6:$G$101,MOD(78+$C16+(1),$B$3)+1)*J16+INDEX(Symboles!$G$6:$G$101,MOD(78+$C16+(2),$B$3)+1)*K16+INDEX(Symboles!$G$6:$G$101,MOD(78+$C16+(3),$B$3)+1)*L16+INDEX(Symboles!$G$6:$G$101,MOD(78+$C16+(4),$B$3)+1)*M16+IF($B$6=0,0,$B$6*NORMSINV(0.000001+0.999998*RAND())))</f>
        <v/>
      </c>
      <c r="CQ16" s="30">
        <f>IF(80&gt;$B$3,99,INDEX(Symboles!$G$6:$G$101,MOD(79+$C16+(-4),$B$3)+1)*E16+INDEX(Symboles!$G$6:$G$101,MOD(79+$C16+(-3),$B$3)+1)*F16+INDEX(Symboles!$G$6:$G$101,MOD(79+$C16+(-2),$B$3)+1)*G16+INDEX(Symboles!$G$6:$G$101,MOD(79+$C16+(-1),$B$3)+1)*H16+INDEX(Symboles!$G$6:$G$101,MOD(79+$C16+(0),$B$3)+1)*I16+INDEX(Symboles!$G$6:$G$101,MOD(79+$C16+(1),$B$3)+1)*J16+INDEX(Symboles!$G$6:$G$101,MOD(79+$C16+(2),$B$3)+1)*K16+INDEX(Symboles!$G$6:$G$101,MOD(79+$C16+(3),$B$3)+1)*L16+INDEX(Symboles!$G$6:$G$101,MOD(79+$C16+(4),$B$3)+1)*M16+IF($B$6=0,0,$B$6*NORMSINV(0.000001+0.999998*RAND())))</f>
        <v/>
      </c>
      <c r="CR16" s="30">
        <f>IF(81&gt;$B$3,99,INDEX(Symboles!$G$6:$G$101,MOD(80+$C16+(-4),$B$3)+1)*E16+INDEX(Symboles!$G$6:$G$101,MOD(80+$C16+(-3),$B$3)+1)*F16+INDEX(Symboles!$G$6:$G$101,MOD(80+$C16+(-2),$B$3)+1)*G16+INDEX(Symboles!$G$6:$G$101,MOD(80+$C16+(-1),$B$3)+1)*H16+INDEX(Symboles!$G$6:$G$101,MOD(80+$C16+(0),$B$3)+1)*I16+INDEX(Symboles!$G$6:$G$101,MOD(80+$C16+(1),$B$3)+1)*J16+INDEX(Symboles!$G$6:$G$101,MOD(80+$C16+(2),$B$3)+1)*K16+INDEX(Symboles!$G$6:$G$101,MOD(80+$C16+(3),$B$3)+1)*L16+INDEX(Symboles!$G$6:$G$101,MOD(80+$C16+(4),$B$3)+1)*M16+IF($B$6=0,0,$B$6*NORMSINV(0.000001+0.999998*RAND())))</f>
        <v/>
      </c>
      <c r="CS16" s="30">
        <f>IF(82&gt;$B$3,99,INDEX(Symboles!$G$6:$G$101,MOD(81+$C16+(-4),$B$3)+1)*E16+INDEX(Symboles!$G$6:$G$101,MOD(81+$C16+(-3),$B$3)+1)*F16+INDEX(Symboles!$G$6:$G$101,MOD(81+$C16+(-2),$B$3)+1)*G16+INDEX(Symboles!$G$6:$G$101,MOD(81+$C16+(-1),$B$3)+1)*H16+INDEX(Symboles!$G$6:$G$101,MOD(81+$C16+(0),$B$3)+1)*I16+INDEX(Symboles!$G$6:$G$101,MOD(81+$C16+(1),$B$3)+1)*J16+INDEX(Symboles!$G$6:$G$101,MOD(81+$C16+(2),$B$3)+1)*K16+INDEX(Symboles!$G$6:$G$101,MOD(81+$C16+(3),$B$3)+1)*L16+INDEX(Symboles!$G$6:$G$101,MOD(81+$C16+(4),$B$3)+1)*M16+IF($B$6=0,0,$B$6*NORMSINV(0.000001+0.999998*RAND())))</f>
        <v/>
      </c>
      <c r="CT16" s="30">
        <f>IF(83&gt;$B$3,99,INDEX(Symboles!$G$6:$G$101,MOD(82+$C16+(-4),$B$3)+1)*E16+INDEX(Symboles!$G$6:$G$101,MOD(82+$C16+(-3),$B$3)+1)*F16+INDEX(Symboles!$G$6:$G$101,MOD(82+$C16+(-2),$B$3)+1)*G16+INDEX(Symboles!$G$6:$G$101,MOD(82+$C16+(-1),$B$3)+1)*H16+INDEX(Symboles!$G$6:$G$101,MOD(82+$C16+(0),$B$3)+1)*I16+INDEX(Symboles!$G$6:$G$101,MOD(82+$C16+(1),$B$3)+1)*J16+INDEX(Symboles!$G$6:$G$101,MOD(82+$C16+(2),$B$3)+1)*K16+INDEX(Symboles!$G$6:$G$101,MOD(82+$C16+(3),$B$3)+1)*L16+INDEX(Symboles!$G$6:$G$101,MOD(82+$C16+(4),$B$3)+1)*M16+IF($B$6=0,0,$B$6*NORMSINV(0.000001+0.999998*RAND())))</f>
        <v/>
      </c>
      <c r="CU16" s="30">
        <f>IF(84&gt;$B$3,99,INDEX(Symboles!$G$6:$G$101,MOD(83+$C16+(-4),$B$3)+1)*E16+INDEX(Symboles!$G$6:$G$101,MOD(83+$C16+(-3),$B$3)+1)*F16+INDEX(Symboles!$G$6:$G$101,MOD(83+$C16+(-2),$B$3)+1)*G16+INDEX(Symboles!$G$6:$G$101,MOD(83+$C16+(-1),$B$3)+1)*H16+INDEX(Symboles!$G$6:$G$101,MOD(83+$C16+(0),$B$3)+1)*I16+INDEX(Symboles!$G$6:$G$101,MOD(83+$C16+(1),$B$3)+1)*J16+INDEX(Symboles!$G$6:$G$101,MOD(83+$C16+(2),$B$3)+1)*K16+INDEX(Symboles!$G$6:$G$101,MOD(83+$C16+(3),$B$3)+1)*L16+INDEX(Symboles!$G$6:$G$101,MOD(83+$C16+(4),$B$3)+1)*M16+IF($B$6=0,0,$B$6*NORMSINV(0.000001+0.999998*RAND())))</f>
        <v/>
      </c>
      <c r="CV16" s="30">
        <f>IF(85&gt;$B$3,99,INDEX(Symboles!$G$6:$G$101,MOD(84+$C16+(-4),$B$3)+1)*E16+INDEX(Symboles!$G$6:$G$101,MOD(84+$C16+(-3),$B$3)+1)*F16+INDEX(Symboles!$G$6:$G$101,MOD(84+$C16+(-2),$B$3)+1)*G16+INDEX(Symboles!$G$6:$G$101,MOD(84+$C16+(-1),$B$3)+1)*H16+INDEX(Symboles!$G$6:$G$101,MOD(84+$C16+(0),$B$3)+1)*I16+INDEX(Symboles!$G$6:$G$101,MOD(84+$C16+(1),$B$3)+1)*J16+INDEX(Symboles!$G$6:$G$101,MOD(84+$C16+(2),$B$3)+1)*K16+INDEX(Symboles!$G$6:$G$101,MOD(84+$C16+(3),$B$3)+1)*L16+INDEX(Symboles!$G$6:$G$101,MOD(84+$C16+(4),$B$3)+1)*M16+IF($B$6=0,0,$B$6*NORMSINV(0.000001+0.999998*RAND())))</f>
        <v/>
      </c>
      <c r="CW16" s="30">
        <f>IF(86&gt;$B$3,99,INDEX(Symboles!$G$6:$G$101,MOD(85+$C16+(-4),$B$3)+1)*E16+INDEX(Symboles!$G$6:$G$101,MOD(85+$C16+(-3),$B$3)+1)*F16+INDEX(Symboles!$G$6:$G$101,MOD(85+$C16+(-2),$B$3)+1)*G16+INDEX(Symboles!$G$6:$G$101,MOD(85+$C16+(-1),$B$3)+1)*H16+INDEX(Symboles!$G$6:$G$101,MOD(85+$C16+(0),$B$3)+1)*I16+INDEX(Symboles!$G$6:$G$101,MOD(85+$C16+(1),$B$3)+1)*J16+INDEX(Symboles!$G$6:$G$101,MOD(85+$C16+(2),$B$3)+1)*K16+INDEX(Symboles!$G$6:$G$101,MOD(85+$C16+(3),$B$3)+1)*L16+INDEX(Symboles!$G$6:$G$101,MOD(85+$C16+(4),$B$3)+1)*M16+IF($B$6=0,0,$B$6*NORMSINV(0.000001+0.999998*RAND())))</f>
        <v/>
      </c>
      <c r="CX16" s="30">
        <f>IF(87&gt;$B$3,99,INDEX(Symboles!$G$6:$G$101,MOD(86+$C16+(-4),$B$3)+1)*E16+INDEX(Symboles!$G$6:$G$101,MOD(86+$C16+(-3),$B$3)+1)*F16+INDEX(Symboles!$G$6:$G$101,MOD(86+$C16+(-2),$B$3)+1)*G16+INDEX(Symboles!$G$6:$G$101,MOD(86+$C16+(-1),$B$3)+1)*H16+INDEX(Symboles!$G$6:$G$101,MOD(86+$C16+(0),$B$3)+1)*I16+INDEX(Symboles!$G$6:$G$101,MOD(86+$C16+(1),$B$3)+1)*J16+INDEX(Symboles!$G$6:$G$101,MOD(86+$C16+(2),$B$3)+1)*K16+INDEX(Symboles!$G$6:$G$101,MOD(86+$C16+(3),$B$3)+1)*L16+INDEX(Symboles!$G$6:$G$101,MOD(86+$C16+(4),$B$3)+1)*M16+IF($B$6=0,0,$B$6*NORMSINV(0.000001+0.999998*RAND())))</f>
        <v/>
      </c>
      <c r="CY16" s="30">
        <f>IF(88&gt;$B$3,99,INDEX(Symboles!$G$6:$G$101,MOD(87+$C16+(-4),$B$3)+1)*E16+INDEX(Symboles!$G$6:$G$101,MOD(87+$C16+(-3),$B$3)+1)*F16+INDEX(Symboles!$G$6:$G$101,MOD(87+$C16+(-2),$B$3)+1)*G16+INDEX(Symboles!$G$6:$G$101,MOD(87+$C16+(-1),$B$3)+1)*H16+INDEX(Symboles!$G$6:$G$101,MOD(87+$C16+(0),$B$3)+1)*I16+INDEX(Symboles!$G$6:$G$101,MOD(87+$C16+(1),$B$3)+1)*J16+INDEX(Symboles!$G$6:$G$101,MOD(87+$C16+(2),$B$3)+1)*K16+INDEX(Symboles!$G$6:$G$101,MOD(87+$C16+(3),$B$3)+1)*L16+INDEX(Symboles!$G$6:$G$101,MOD(87+$C16+(4),$B$3)+1)*M16+IF($B$6=0,0,$B$6*NORMSINV(0.000001+0.999998*RAND())))</f>
        <v/>
      </c>
      <c r="CZ16" s="30">
        <f>IF(89&gt;$B$3,99,INDEX(Symboles!$G$6:$G$101,MOD(88+$C16+(-4),$B$3)+1)*E16+INDEX(Symboles!$G$6:$G$101,MOD(88+$C16+(-3),$B$3)+1)*F16+INDEX(Symboles!$G$6:$G$101,MOD(88+$C16+(-2),$B$3)+1)*G16+INDEX(Symboles!$G$6:$G$101,MOD(88+$C16+(-1),$B$3)+1)*H16+INDEX(Symboles!$G$6:$G$101,MOD(88+$C16+(0),$B$3)+1)*I16+INDEX(Symboles!$G$6:$G$101,MOD(88+$C16+(1),$B$3)+1)*J16+INDEX(Symboles!$G$6:$G$101,MOD(88+$C16+(2),$B$3)+1)*K16+INDEX(Symboles!$G$6:$G$101,MOD(88+$C16+(3),$B$3)+1)*L16+INDEX(Symboles!$G$6:$G$101,MOD(88+$C16+(4),$B$3)+1)*M16+IF($B$6=0,0,$B$6*NORMSINV(0.000001+0.999998*RAND())))</f>
        <v/>
      </c>
      <c r="DA16" s="30">
        <f>IF(90&gt;$B$3,99,INDEX(Symboles!$G$6:$G$101,MOD(89+$C16+(-4),$B$3)+1)*E16+INDEX(Symboles!$G$6:$G$101,MOD(89+$C16+(-3),$B$3)+1)*F16+INDEX(Symboles!$G$6:$G$101,MOD(89+$C16+(-2),$B$3)+1)*G16+INDEX(Symboles!$G$6:$G$101,MOD(89+$C16+(-1),$B$3)+1)*H16+INDEX(Symboles!$G$6:$G$101,MOD(89+$C16+(0),$B$3)+1)*I16+INDEX(Symboles!$G$6:$G$101,MOD(89+$C16+(1),$B$3)+1)*J16+INDEX(Symboles!$G$6:$G$101,MOD(89+$C16+(2),$B$3)+1)*K16+INDEX(Symboles!$G$6:$G$101,MOD(89+$C16+(3),$B$3)+1)*L16+INDEX(Symboles!$G$6:$G$101,MOD(89+$C16+(4),$B$3)+1)*M16+IF($B$6=0,0,$B$6*NORMSINV(0.000001+0.999998*RAND())))</f>
        <v/>
      </c>
      <c r="DB16" s="30">
        <f>IF(91&gt;$B$3,99,INDEX(Symboles!$G$6:$G$101,MOD(90+$C16+(-4),$B$3)+1)*E16+INDEX(Symboles!$G$6:$G$101,MOD(90+$C16+(-3),$B$3)+1)*F16+INDEX(Symboles!$G$6:$G$101,MOD(90+$C16+(-2),$B$3)+1)*G16+INDEX(Symboles!$G$6:$G$101,MOD(90+$C16+(-1),$B$3)+1)*H16+INDEX(Symboles!$G$6:$G$101,MOD(90+$C16+(0),$B$3)+1)*I16+INDEX(Symboles!$G$6:$G$101,MOD(90+$C16+(1),$B$3)+1)*J16+INDEX(Symboles!$G$6:$G$101,MOD(90+$C16+(2),$B$3)+1)*K16+INDEX(Symboles!$G$6:$G$101,MOD(90+$C16+(3),$B$3)+1)*L16+INDEX(Symboles!$G$6:$G$101,MOD(90+$C16+(4),$B$3)+1)*M16+IF($B$6=0,0,$B$6*NORMSINV(0.000001+0.999998*RAND())))</f>
        <v/>
      </c>
      <c r="DC16" s="30">
        <f>IF(92&gt;$B$3,99,INDEX(Symboles!$G$6:$G$101,MOD(91+$C16+(-4),$B$3)+1)*E16+INDEX(Symboles!$G$6:$G$101,MOD(91+$C16+(-3),$B$3)+1)*F16+INDEX(Symboles!$G$6:$G$101,MOD(91+$C16+(-2),$B$3)+1)*G16+INDEX(Symboles!$G$6:$G$101,MOD(91+$C16+(-1),$B$3)+1)*H16+INDEX(Symboles!$G$6:$G$101,MOD(91+$C16+(0),$B$3)+1)*I16+INDEX(Symboles!$G$6:$G$101,MOD(91+$C16+(1),$B$3)+1)*J16+INDEX(Symboles!$G$6:$G$101,MOD(91+$C16+(2),$B$3)+1)*K16+INDEX(Symboles!$G$6:$G$101,MOD(91+$C16+(3),$B$3)+1)*L16+INDEX(Symboles!$G$6:$G$101,MOD(91+$C16+(4),$B$3)+1)*M16+IF($B$6=0,0,$B$6*NORMSINV(0.000001+0.999998*RAND())))</f>
        <v/>
      </c>
      <c r="DD16" s="30">
        <f>IF(93&gt;$B$3,99,INDEX(Symboles!$G$6:$G$101,MOD(92+$C16+(-4),$B$3)+1)*E16+INDEX(Symboles!$G$6:$G$101,MOD(92+$C16+(-3),$B$3)+1)*F16+INDEX(Symboles!$G$6:$G$101,MOD(92+$C16+(-2),$B$3)+1)*G16+INDEX(Symboles!$G$6:$G$101,MOD(92+$C16+(-1),$B$3)+1)*H16+INDEX(Symboles!$G$6:$G$101,MOD(92+$C16+(0),$B$3)+1)*I16+INDEX(Symboles!$G$6:$G$101,MOD(92+$C16+(1),$B$3)+1)*J16+INDEX(Symboles!$G$6:$G$101,MOD(92+$C16+(2),$B$3)+1)*K16+INDEX(Symboles!$G$6:$G$101,MOD(92+$C16+(3),$B$3)+1)*L16+INDEX(Symboles!$G$6:$G$101,MOD(92+$C16+(4),$B$3)+1)*M16+IF($B$6=0,0,$B$6*NORMSINV(0.000001+0.999998*RAND())))</f>
        <v/>
      </c>
      <c r="DE16" s="30">
        <f>IF(94&gt;$B$3,99,INDEX(Symboles!$G$6:$G$101,MOD(93+$C16+(-4),$B$3)+1)*E16+INDEX(Symboles!$G$6:$G$101,MOD(93+$C16+(-3),$B$3)+1)*F16+INDEX(Symboles!$G$6:$G$101,MOD(93+$C16+(-2),$B$3)+1)*G16+INDEX(Symboles!$G$6:$G$101,MOD(93+$C16+(-1),$B$3)+1)*H16+INDEX(Symboles!$G$6:$G$101,MOD(93+$C16+(0),$B$3)+1)*I16+INDEX(Symboles!$G$6:$G$101,MOD(93+$C16+(1),$B$3)+1)*J16+INDEX(Symboles!$G$6:$G$101,MOD(93+$C16+(2),$B$3)+1)*K16+INDEX(Symboles!$G$6:$G$101,MOD(93+$C16+(3),$B$3)+1)*L16+INDEX(Symboles!$G$6:$G$101,MOD(93+$C16+(4),$B$3)+1)*M16+IF($B$6=0,0,$B$6*NORMSINV(0.000001+0.999998*RAND())))</f>
        <v/>
      </c>
      <c r="DF16" s="30">
        <f>IF(95&gt;$B$3,99,INDEX(Symboles!$G$6:$G$101,MOD(94+$C16+(-4),$B$3)+1)*E16+INDEX(Symboles!$G$6:$G$101,MOD(94+$C16+(-3),$B$3)+1)*F16+INDEX(Symboles!$G$6:$G$101,MOD(94+$C16+(-2),$B$3)+1)*G16+INDEX(Symboles!$G$6:$G$101,MOD(94+$C16+(-1),$B$3)+1)*H16+INDEX(Symboles!$G$6:$G$101,MOD(94+$C16+(0),$B$3)+1)*I16+INDEX(Symboles!$G$6:$G$101,MOD(94+$C16+(1),$B$3)+1)*J16+INDEX(Symboles!$G$6:$G$101,MOD(94+$C16+(2),$B$3)+1)*K16+INDEX(Symboles!$G$6:$G$101,MOD(94+$C16+(3),$B$3)+1)*L16+INDEX(Symboles!$G$6:$G$101,MOD(94+$C16+(4),$B$3)+1)*M16+IF($B$6=0,0,$B$6*NORMSINV(0.000001+0.999998*RAND())))</f>
        <v/>
      </c>
      <c r="DG16" s="30">
        <f>IF(96&gt;$B$3,99,INDEX(Symboles!$G$6:$G$101,MOD(95+$C16+(-4),$B$3)+1)*E16+INDEX(Symboles!$G$6:$G$101,MOD(95+$C16+(-3),$B$3)+1)*F16+INDEX(Symboles!$G$6:$G$101,MOD(95+$C16+(-2),$B$3)+1)*G16+INDEX(Symboles!$G$6:$G$101,MOD(95+$C16+(-1),$B$3)+1)*H16+INDEX(Symboles!$G$6:$G$101,MOD(95+$C16+(0),$B$3)+1)*I16+INDEX(Symboles!$G$6:$G$101,MOD(95+$C16+(1),$B$3)+1)*J16+INDEX(Symboles!$G$6:$G$101,MOD(95+$C16+(2),$B$3)+1)*K16+INDEX(Symboles!$G$6:$G$101,MOD(95+$C16+(3),$B$3)+1)*L16+INDEX(Symboles!$G$6:$G$101,MOD(95+$C16+(4),$B$3)+1)*M16+IF($B$6=0,0,$B$6*NORMSINV(0.000001+0.999998*RAND())))</f>
        <v/>
      </c>
      <c r="DI16" s="30">
        <f>IF(1&gt;$B$3,99,INDEX(Symboles!$H$6:$H$101,MOD(0+$C16+(-4),$B$3)+1)*E16+INDEX(Symboles!$H$6:$H$101,MOD(0+$C16+(-3),$B$3)+1)*F16+INDEX(Symboles!$H$6:$H$101,MOD(0+$C16+(-2),$B$3)+1)*G16+INDEX(Symboles!$H$6:$H$101,MOD(0+$C16+(-1),$B$3)+1)*H16+INDEX(Symboles!$H$6:$H$101,MOD(0+$C16+(0),$B$3)+1)*I16+INDEX(Symboles!$H$6:$H$101,MOD(0+$C16+(1),$B$3)+1)*J16+INDEX(Symboles!$H$6:$H$101,MOD(0+$C16+(2),$B$3)+1)*K16+INDEX(Symboles!$H$6:$H$101,MOD(0+$C16+(3),$B$3)+1)*L16+INDEX(Symboles!$H$6:$H$101,MOD(0+$C16+(4),$B$3)+1)*M16+IF($B$6=0,0,$B$6*NORMSINV(0.000001+0.999998*RAND())))</f>
        <v/>
      </c>
      <c r="DJ16" s="30">
        <f>IF(2&gt;$B$3,99,INDEX(Symboles!$H$6:$H$101,MOD(1+$C16+(-4),$B$3)+1)*E16+INDEX(Symboles!$H$6:$H$101,MOD(1+$C16+(-3),$B$3)+1)*F16+INDEX(Symboles!$H$6:$H$101,MOD(1+$C16+(-2),$B$3)+1)*G16+INDEX(Symboles!$H$6:$H$101,MOD(1+$C16+(-1),$B$3)+1)*H16+INDEX(Symboles!$H$6:$H$101,MOD(1+$C16+(0),$B$3)+1)*I16+INDEX(Symboles!$H$6:$H$101,MOD(1+$C16+(1),$B$3)+1)*J16+INDEX(Symboles!$H$6:$H$101,MOD(1+$C16+(2),$B$3)+1)*K16+INDEX(Symboles!$H$6:$H$101,MOD(1+$C16+(3),$B$3)+1)*L16+INDEX(Symboles!$H$6:$H$101,MOD(1+$C16+(4),$B$3)+1)*M16+IF($B$6=0,0,$B$6*NORMSINV(0.000001+0.999998*RAND())))</f>
        <v/>
      </c>
      <c r="DK16" s="30">
        <f>IF(3&gt;$B$3,99,INDEX(Symboles!$H$6:$H$101,MOD(2+$C16+(-4),$B$3)+1)*E16+INDEX(Symboles!$H$6:$H$101,MOD(2+$C16+(-3),$B$3)+1)*F16+INDEX(Symboles!$H$6:$H$101,MOD(2+$C16+(-2),$B$3)+1)*G16+INDEX(Symboles!$H$6:$H$101,MOD(2+$C16+(-1),$B$3)+1)*H16+INDEX(Symboles!$H$6:$H$101,MOD(2+$C16+(0),$B$3)+1)*I16+INDEX(Symboles!$H$6:$H$101,MOD(2+$C16+(1),$B$3)+1)*J16+INDEX(Symboles!$H$6:$H$101,MOD(2+$C16+(2),$B$3)+1)*K16+INDEX(Symboles!$H$6:$H$101,MOD(2+$C16+(3),$B$3)+1)*L16+INDEX(Symboles!$H$6:$H$101,MOD(2+$C16+(4),$B$3)+1)*M16+IF($B$6=0,0,$B$6*NORMSINV(0.000001+0.999998*RAND())))</f>
        <v/>
      </c>
      <c r="DL16" s="30">
        <f>IF(4&gt;$B$3,99,INDEX(Symboles!$H$6:$H$101,MOD(3+$C16+(-4),$B$3)+1)*E16+INDEX(Symboles!$H$6:$H$101,MOD(3+$C16+(-3),$B$3)+1)*F16+INDEX(Symboles!$H$6:$H$101,MOD(3+$C16+(-2),$B$3)+1)*G16+INDEX(Symboles!$H$6:$H$101,MOD(3+$C16+(-1),$B$3)+1)*H16+INDEX(Symboles!$H$6:$H$101,MOD(3+$C16+(0),$B$3)+1)*I16+INDEX(Symboles!$H$6:$H$101,MOD(3+$C16+(1),$B$3)+1)*J16+INDEX(Symboles!$H$6:$H$101,MOD(3+$C16+(2),$B$3)+1)*K16+INDEX(Symboles!$H$6:$H$101,MOD(3+$C16+(3),$B$3)+1)*L16+INDEX(Symboles!$H$6:$H$101,MOD(3+$C16+(4),$B$3)+1)*M16+IF($B$6=0,0,$B$6*NORMSINV(0.000001+0.999998*RAND())))</f>
        <v/>
      </c>
      <c r="DM16" s="30">
        <f>IF(5&gt;$B$3,99,INDEX(Symboles!$H$6:$H$101,MOD(4+$C16+(-4),$B$3)+1)*E16+INDEX(Symboles!$H$6:$H$101,MOD(4+$C16+(-3),$B$3)+1)*F16+INDEX(Symboles!$H$6:$H$101,MOD(4+$C16+(-2),$B$3)+1)*G16+INDEX(Symboles!$H$6:$H$101,MOD(4+$C16+(-1),$B$3)+1)*H16+INDEX(Symboles!$H$6:$H$101,MOD(4+$C16+(0),$B$3)+1)*I16+INDEX(Symboles!$H$6:$H$101,MOD(4+$C16+(1),$B$3)+1)*J16+INDEX(Symboles!$H$6:$H$101,MOD(4+$C16+(2),$B$3)+1)*K16+INDEX(Symboles!$H$6:$H$101,MOD(4+$C16+(3),$B$3)+1)*L16+INDEX(Symboles!$H$6:$H$101,MOD(4+$C16+(4),$B$3)+1)*M16+IF($B$6=0,0,$B$6*NORMSINV(0.000001+0.999998*RAND())))</f>
        <v/>
      </c>
      <c r="DN16" s="30">
        <f>IF(6&gt;$B$3,99,INDEX(Symboles!$H$6:$H$101,MOD(5+$C16+(-4),$B$3)+1)*E16+INDEX(Symboles!$H$6:$H$101,MOD(5+$C16+(-3),$B$3)+1)*F16+INDEX(Symboles!$H$6:$H$101,MOD(5+$C16+(-2),$B$3)+1)*G16+INDEX(Symboles!$H$6:$H$101,MOD(5+$C16+(-1),$B$3)+1)*H16+INDEX(Symboles!$H$6:$H$101,MOD(5+$C16+(0),$B$3)+1)*I16+INDEX(Symboles!$H$6:$H$101,MOD(5+$C16+(1),$B$3)+1)*J16+INDEX(Symboles!$H$6:$H$101,MOD(5+$C16+(2),$B$3)+1)*K16+INDEX(Symboles!$H$6:$H$101,MOD(5+$C16+(3),$B$3)+1)*L16+INDEX(Symboles!$H$6:$H$101,MOD(5+$C16+(4),$B$3)+1)*M16+IF($B$6=0,0,$B$6*NORMSINV(0.000001+0.999998*RAND())))</f>
        <v/>
      </c>
      <c r="DO16" s="30">
        <f>IF(7&gt;$B$3,99,INDEX(Symboles!$H$6:$H$101,MOD(6+$C16+(-4),$B$3)+1)*E16+INDEX(Symboles!$H$6:$H$101,MOD(6+$C16+(-3),$B$3)+1)*F16+INDEX(Symboles!$H$6:$H$101,MOD(6+$C16+(-2),$B$3)+1)*G16+INDEX(Symboles!$H$6:$H$101,MOD(6+$C16+(-1),$B$3)+1)*H16+INDEX(Symboles!$H$6:$H$101,MOD(6+$C16+(0),$B$3)+1)*I16+INDEX(Symboles!$H$6:$H$101,MOD(6+$C16+(1),$B$3)+1)*J16+INDEX(Symboles!$H$6:$H$101,MOD(6+$C16+(2),$B$3)+1)*K16+INDEX(Symboles!$H$6:$H$101,MOD(6+$C16+(3),$B$3)+1)*L16+INDEX(Symboles!$H$6:$H$101,MOD(6+$C16+(4),$B$3)+1)*M16+IF($B$6=0,0,$B$6*NORMSINV(0.000001+0.999998*RAND())))</f>
        <v/>
      </c>
      <c r="DP16" s="30">
        <f>IF(8&gt;$B$3,99,INDEX(Symboles!$H$6:$H$101,MOD(7+$C16+(-4),$B$3)+1)*E16+INDEX(Symboles!$H$6:$H$101,MOD(7+$C16+(-3),$B$3)+1)*F16+INDEX(Symboles!$H$6:$H$101,MOD(7+$C16+(-2),$B$3)+1)*G16+INDEX(Symboles!$H$6:$H$101,MOD(7+$C16+(-1),$B$3)+1)*H16+INDEX(Symboles!$H$6:$H$101,MOD(7+$C16+(0),$B$3)+1)*I16+INDEX(Symboles!$H$6:$H$101,MOD(7+$C16+(1),$B$3)+1)*J16+INDEX(Symboles!$H$6:$H$101,MOD(7+$C16+(2),$B$3)+1)*K16+INDEX(Symboles!$H$6:$H$101,MOD(7+$C16+(3),$B$3)+1)*L16+INDEX(Symboles!$H$6:$H$101,MOD(7+$C16+(4),$B$3)+1)*M16+IF($B$6=0,0,$B$6*NORMSINV(0.000001+0.999998*RAND())))</f>
        <v/>
      </c>
      <c r="DQ16" s="30">
        <f>IF(9&gt;$B$3,99,INDEX(Symboles!$H$6:$H$101,MOD(8+$C16+(-4),$B$3)+1)*E16+INDEX(Symboles!$H$6:$H$101,MOD(8+$C16+(-3),$B$3)+1)*F16+INDEX(Symboles!$H$6:$H$101,MOD(8+$C16+(-2),$B$3)+1)*G16+INDEX(Symboles!$H$6:$H$101,MOD(8+$C16+(-1),$B$3)+1)*H16+INDEX(Symboles!$H$6:$H$101,MOD(8+$C16+(0),$B$3)+1)*I16+INDEX(Symboles!$H$6:$H$101,MOD(8+$C16+(1),$B$3)+1)*J16+INDEX(Symboles!$H$6:$H$101,MOD(8+$C16+(2),$B$3)+1)*K16+INDEX(Symboles!$H$6:$H$101,MOD(8+$C16+(3),$B$3)+1)*L16+INDEX(Symboles!$H$6:$H$101,MOD(8+$C16+(4),$B$3)+1)*M16+IF($B$6=0,0,$B$6*NORMSINV(0.000001+0.999998*RAND())))</f>
        <v/>
      </c>
      <c r="DR16" s="30">
        <f>IF(10&gt;$B$3,99,INDEX(Symboles!$H$6:$H$101,MOD(9+$C16+(-4),$B$3)+1)*E16+INDEX(Symboles!$H$6:$H$101,MOD(9+$C16+(-3),$B$3)+1)*F16+INDEX(Symboles!$H$6:$H$101,MOD(9+$C16+(-2),$B$3)+1)*G16+INDEX(Symboles!$H$6:$H$101,MOD(9+$C16+(-1),$B$3)+1)*H16+INDEX(Symboles!$H$6:$H$101,MOD(9+$C16+(0),$B$3)+1)*I16+INDEX(Symboles!$H$6:$H$101,MOD(9+$C16+(1),$B$3)+1)*J16+INDEX(Symboles!$H$6:$H$101,MOD(9+$C16+(2),$B$3)+1)*K16+INDEX(Symboles!$H$6:$H$101,MOD(9+$C16+(3),$B$3)+1)*L16+INDEX(Symboles!$H$6:$H$101,MOD(9+$C16+(4),$B$3)+1)*M16+IF($B$6=0,0,$B$6*NORMSINV(0.000001+0.999998*RAND())))</f>
        <v/>
      </c>
      <c r="DS16" s="30">
        <f>IF(11&gt;$B$3,99,INDEX(Symboles!$H$6:$H$101,MOD(10+$C16+(-4),$B$3)+1)*E16+INDEX(Symboles!$H$6:$H$101,MOD(10+$C16+(-3),$B$3)+1)*F16+INDEX(Symboles!$H$6:$H$101,MOD(10+$C16+(-2),$B$3)+1)*G16+INDEX(Symboles!$H$6:$H$101,MOD(10+$C16+(-1),$B$3)+1)*H16+INDEX(Symboles!$H$6:$H$101,MOD(10+$C16+(0),$B$3)+1)*I16+INDEX(Symboles!$H$6:$H$101,MOD(10+$C16+(1),$B$3)+1)*J16+INDEX(Symboles!$H$6:$H$101,MOD(10+$C16+(2),$B$3)+1)*K16+INDEX(Symboles!$H$6:$H$101,MOD(10+$C16+(3),$B$3)+1)*L16+INDEX(Symboles!$H$6:$H$101,MOD(10+$C16+(4),$B$3)+1)*M16+IF($B$6=0,0,$B$6*NORMSINV(0.000001+0.999998*RAND())))</f>
        <v/>
      </c>
      <c r="DT16" s="30">
        <f>IF(12&gt;$B$3,99,INDEX(Symboles!$H$6:$H$101,MOD(11+$C16+(-4),$B$3)+1)*E16+INDEX(Symboles!$H$6:$H$101,MOD(11+$C16+(-3),$B$3)+1)*F16+INDEX(Symboles!$H$6:$H$101,MOD(11+$C16+(-2),$B$3)+1)*G16+INDEX(Symboles!$H$6:$H$101,MOD(11+$C16+(-1),$B$3)+1)*H16+INDEX(Symboles!$H$6:$H$101,MOD(11+$C16+(0),$B$3)+1)*I16+INDEX(Symboles!$H$6:$H$101,MOD(11+$C16+(1),$B$3)+1)*J16+INDEX(Symboles!$H$6:$H$101,MOD(11+$C16+(2),$B$3)+1)*K16+INDEX(Symboles!$H$6:$H$101,MOD(11+$C16+(3),$B$3)+1)*L16+INDEX(Symboles!$H$6:$H$101,MOD(11+$C16+(4),$B$3)+1)*M16+IF($B$6=0,0,$B$6*NORMSINV(0.000001+0.999998*RAND())))</f>
        <v/>
      </c>
      <c r="DU16" s="30">
        <f>IF(13&gt;$B$3,99,INDEX(Symboles!$H$6:$H$101,MOD(12+$C16+(-4),$B$3)+1)*E16+INDEX(Symboles!$H$6:$H$101,MOD(12+$C16+(-3),$B$3)+1)*F16+INDEX(Symboles!$H$6:$H$101,MOD(12+$C16+(-2),$B$3)+1)*G16+INDEX(Symboles!$H$6:$H$101,MOD(12+$C16+(-1),$B$3)+1)*H16+INDEX(Symboles!$H$6:$H$101,MOD(12+$C16+(0),$B$3)+1)*I16+INDEX(Symboles!$H$6:$H$101,MOD(12+$C16+(1),$B$3)+1)*J16+INDEX(Symboles!$H$6:$H$101,MOD(12+$C16+(2),$B$3)+1)*K16+INDEX(Symboles!$H$6:$H$101,MOD(12+$C16+(3),$B$3)+1)*L16+INDEX(Symboles!$H$6:$H$101,MOD(12+$C16+(4),$B$3)+1)*M16+IF($B$6=0,0,$B$6*NORMSINV(0.000001+0.999998*RAND())))</f>
        <v/>
      </c>
      <c r="DV16" s="30">
        <f>IF(14&gt;$B$3,99,INDEX(Symboles!$H$6:$H$101,MOD(13+$C16+(-4),$B$3)+1)*E16+INDEX(Symboles!$H$6:$H$101,MOD(13+$C16+(-3),$B$3)+1)*F16+INDEX(Symboles!$H$6:$H$101,MOD(13+$C16+(-2),$B$3)+1)*G16+INDEX(Symboles!$H$6:$H$101,MOD(13+$C16+(-1),$B$3)+1)*H16+INDEX(Symboles!$H$6:$H$101,MOD(13+$C16+(0),$B$3)+1)*I16+INDEX(Symboles!$H$6:$H$101,MOD(13+$C16+(1),$B$3)+1)*J16+INDEX(Symboles!$H$6:$H$101,MOD(13+$C16+(2),$B$3)+1)*K16+INDEX(Symboles!$H$6:$H$101,MOD(13+$C16+(3),$B$3)+1)*L16+INDEX(Symboles!$H$6:$H$101,MOD(13+$C16+(4),$B$3)+1)*M16+IF($B$6=0,0,$B$6*NORMSINV(0.000001+0.999998*RAND())))</f>
        <v/>
      </c>
      <c r="DW16" s="30">
        <f>IF(15&gt;$B$3,99,INDEX(Symboles!$H$6:$H$101,MOD(14+$C16+(-4),$B$3)+1)*E16+INDEX(Symboles!$H$6:$H$101,MOD(14+$C16+(-3),$B$3)+1)*F16+INDEX(Symboles!$H$6:$H$101,MOD(14+$C16+(-2),$B$3)+1)*G16+INDEX(Symboles!$H$6:$H$101,MOD(14+$C16+(-1),$B$3)+1)*H16+INDEX(Symboles!$H$6:$H$101,MOD(14+$C16+(0),$B$3)+1)*I16+INDEX(Symboles!$H$6:$H$101,MOD(14+$C16+(1),$B$3)+1)*J16+INDEX(Symboles!$H$6:$H$101,MOD(14+$C16+(2),$B$3)+1)*K16+INDEX(Symboles!$H$6:$H$101,MOD(14+$C16+(3),$B$3)+1)*L16+INDEX(Symboles!$H$6:$H$101,MOD(14+$C16+(4),$B$3)+1)*M16+IF($B$6=0,0,$B$6*NORMSINV(0.000001+0.999998*RAND())))</f>
        <v/>
      </c>
      <c r="DX16" s="30">
        <f>IF(16&gt;$B$3,99,INDEX(Symboles!$H$6:$H$101,MOD(15+$C16+(-4),$B$3)+1)*E16+INDEX(Symboles!$H$6:$H$101,MOD(15+$C16+(-3),$B$3)+1)*F16+INDEX(Symboles!$H$6:$H$101,MOD(15+$C16+(-2),$B$3)+1)*G16+INDEX(Symboles!$H$6:$H$101,MOD(15+$C16+(-1),$B$3)+1)*H16+INDEX(Symboles!$H$6:$H$101,MOD(15+$C16+(0),$B$3)+1)*I16+INDEX(Symboles!$H$6:$H$101,MOD(15+$C16+(1),$B$3)+1)*J16+INDEX(Symboles!$H$6:$H$101,MOD(15+$C16+(2),$B$3)+1)*K16+INDEX(Symboles!$H$6:$H$101,MOD(15+$C16+(3),$B$3)+1)*L16+INDEX(Symboles!$H$6:$H$101,MOD(15+$C16+(4),$B$3)+1)*M16+IF($B$6=0,0,$B$6*NORMSINV(0.000001+0.999998*RAND())))</f>
        <v/>
      </c>
      <c r="DY16" s="30">
        <f>IF(17&gt;$B$3,99,INDEX(Symboles!$H$6:$H$101,MOD(16+$C16+(-4),$B$3)+1)*E16+INDEX(Symboles!$H$6:$H$101,MOD(16+$C16+(-3),$B$3)+1)*F16+INDEX(Symboles!$H$6:$H$101,MOD(16+$C16+(-2),$B$3)+1)*G16+INDEX(Symboles!$H$6:$H$101,MOD(16+$C16+(-1),$B$3)+1)*H16+INDEX(Symboles!$H$6:$H$101,MOD(16+$C16+(0),$B$3)+1)*I16+INDEX(Symboles!$H$6:$H$101,MOD(16+$C16+(1),$B$3)+1)*J16+INDEX(Symboles!$H$6:$H$101,MOD(16+$C16+(2),$B$3)+1)*K16+INDEX(Symboles!$H$6:$H$101,MOD(16+$C16+(3),$B$3)+1)*L16+INDEX(Symboles!$H$6:$H$101,MOD(16+$C16+(4),$B$3)+1)*M16+IF($B$6=0,0,$B$6*NORMSINV(0.000001+0.999998*RAND())))</f>
        <v/>
      </c>
      <c r="DZ16" s="30">
        <f>IF(18&gt;$B$3,99,INDEX(Symboles!$H$6:$H$101,MOD(17+$C16+(-4),$B$3)+1)*E16+INDEX(Symboles!$H$6:$H$101,MOD(17+$C16+(-3),$B$3)+1)*F16+INDEX(Symboles!$H$6:$H$101,MOD(17+$C16+(-2),$B$3)+1)*G16+INDEX(Symboles!$H$6:$H$101,MOD(17+$C16+(-1),$B$3)+1)*H16+INDEX(Symboles!$H$6:$H$101,MOD(17+$C16+(0),$B$3)+1)*I16+INDEX(Symboles!$H$6:$H$101,MOD(17+$C16+(1),$B$3)+1)*J16+INDEX(Symboles!$H$6:$H$101,MOD(17+$C16+(2),$B$3)+1)*K16+INDEX(Symboles!$H$6:$H$101,MOD(17+$C16+(3),$B$3)+1)*L16+INDEX(Symboles!$H$6:$H$101,MOD(17+$C16+(4),$B$3)+1)*M16+IF($B$6=0,0,$B$6*NORMSINV(0.000001+0.999998*RAND())))</f>
        <v/>
      </c>
      <c r="EA16" s="30">
        <f>IF(19&gt;$B$3,99,INDEX(Symboles!$H$6:$H$101,MOD(18+$C16+(-4),$B$3)+1)*E16+INDEX(Symboles!$H$6:$H$101,MOD(18+$C16+(-3),$B$3)+1)*F16+INDEX(Symboles!$H$6:$H$101,MOD(18+$C16+(-2),$B$3)+1)*G16+INDEX(Symboles!$H$6:$H$101,MOD(18+$C16+(-1),$B$3)+1)*H16+INDEX(Symboles!$H$6:$H$101,MOD(18+$C16+(0),$B$3)+1)*I16+INDEX(Symboles!$H$6:$H$101,MOD(18+$C16+(1),$B$3)+1)*J16+INDEX(Symboles!$H$6:$H$101,MOD(18+$C16+(2),$B$3)+1)*K16+INDEX(Symboles!$H$6:$H$101,MOD(18+$C16+(3),$B$3)+1)*L16+INDEX(Symboles!$H$6:$H$101,MOD(18+$C16+(4),$B$3)+1)*M16+IF($B$6=0,0,$B$6*NORMSINV(0.000001+0.999998*RAND())))</f>
        <v/>
      </c>
      <c r="EB16" s="30">
        <f>IF(20&gt;$B$3,99,INDEX(Symboles!$H$6:$H$101,MOD(19+$C16+(-4),$B$3)+1)*E16+INDEX(Symboles!$H$6:$H$101,MOD(19+$C16+(-3),$B$3)+1)*F16+INDEX(Symboles!$H$6:$H$101,MOD(19+$C16+(-2),$B$3)+1)*G16+INDEX(Symboles!$H$6:$H$101,MOD(19+$C16+(-1),$B$3)+1)*H16+INDEX(Symboles!$H$6:$H$101,MOD(19+$C16+(0),$B$3)+1)*I16+INDEX(Symboles!$H$6:$H$101,MOD(19+$C16+(1),$B$3)+1)*J16+INDEX(Symboles!$H$6:$H$101,MOD(19+$C16+(2),$B$3)+1)*K16+INDEX(Symboles!$H$6:$H$101,MOD(19+$C16+(3),$B$3)+1)*L16+INDEX(Symboles!$H$6:$H$101,MOD(19+$C16+(4),$B$3)+1)*M16+IF($B$6=0,0,$B$6*NORMSINV(0.000001+0.999998*RAND())))</f>
        <v/>
      </c>
      <c r="EC16" s="30">
        <f>IF(21&gt;$B$3,99,INDEX(Symboles!$H$6:$H$101,MOD(20+$C16+(-4),$B$3)+1)*E16+INDEX(Symboles!$H$6:$H$101,MOD(20+$C16+(-3),$B$3)+1)*F16+INDEX(Symboles!$H$6:$H$101,MOD(20+$C16+(-2),$B$3)+1)*G16+INDEX(Symboles!$H$6:$H$101,MOD(20+$C16+(-1),$B$3)+1)*H16+INDEX(Symboles!$H$6:$H$101,MOD(20+$C16+(0),$B$3)+1)*I16+INDEX(Symboles!$H$6:$H$101,MOD(20+$C16+(1),$B$3)+1)*J16+INDEX(Symboles!$H$6:$H$101,MOD(20+$C16+(2),$B$3)+1)*K16+INDEX(Symboles!$H$6:$H$101,MOD(20+$C16+(3),$B$3)+1)*L16+INDEX(Symboles!$H$6:$H$101,MOD(20+$C16+(4),$B$3)+1)*M16+IF($B$6=0,0,$B$6*NORMSINV(0.000001+0.999998*RAND())))</f>
        <v/>
      </c>
      <c r="ED16" s="30">
        <f>IF(22&gt;$B$3,99,INDEX(Symboles!$H$6:$H$101,MOD(21+$C16+(-4),$B$3)+1)*E16+INDEX(Symboles!$H$6:$H$101,MOD(21+$C16+(-3),$B$3)+1)*F16+INDEX(Symboles!$H$6:$H$101,MOD(21+$C16+(-2),$B$3)+1)*G16+INDEX(Symboles!$H$6:$H$101,MOD(21+$C16+(-1),$B$3)+1)*H16+INDEX(Symboles!$H$6:$H$101,MOD(21+$C16+(0),$B$3)+1)*I16+INDEX(Symboles!$H$6:$H$101,MOD(21+$C16+(1),$B$3)+1)*J16+INDEX(Symboles!$H$6:$H$101,MOD(21+$C16+(2),$B$3)+1)*K16+INDEX(Symboles!$H$6:$H$101,MOD(21+$C16+(3),$B$3)+1)*L16+INDEX(Symboles!$H$6:$H$101,MOD(21+$C16+(4),$B$3)+1)*M16+IF($B$6=0,0,$B$6*NORMSINV(0.000001+0.999998*RAND())))</f>
        <v/>
      </c>
      <c r="EE16" s="30">
        <f>IF(23&gt;$B$3,99,INDEX(Symboles!$H$6:$H$101,MOD(22+$C16+(-4),$B$3)+1)*E16+INDEX(Symboles!$H$6:$H$101,MOD(22+$C16+(-3),$B$3)+1)*F16+INDEX(Symboles!$H$6:$H$101,MOD(22+$C16+(-2),$B$3)+1)*G16+INDEX(Symboles!$H$6:$H$101,MOD(22+$C16+(-1),$B$3)+1)*H16+INDEX(Symboles!$H$6:$H$101,MOD(22+$C16+(0),$B$3)+1)*I16+INDEX(Symboles!$H$6:$H$101,MOD(22+$C16+(1),$B$3)+1)*J16+INDEX(Symboles!$H$6:$H$101,MOD(22+$C16+(2),$B$3)+1)*K16+INDEX(Symboles!$H$6:$H$101,MOD(22+$C16+(3),$B$3)+1)*L16+INDEX(Symboles!$H$6:$H$101,MOD(22+$C16+(4),$B$3)+1)*M16+IF($B$6=0,0,$B$6*NORMSINV(0.000001+0.999998*RAND())))</f>
        <v/>
      </c>
      <c r="EF16" s="30">
        <f>IF(24&gt;$B$3,99,INDEX(Symboles!$H$6:$H$101,MOD(23+$C16+(-4),$B$3)+1)*E16+INDEX(Symboles!$H$6:$H$101,MOD(23+$C16+(-3),$B$3)+1)*F16+INDEX(Symboles!$H$6:$H$101,MOD(23+$C16+(-2),$B$3)+1)*G16+INDEX(Symboles!$H$6:$H$101,MOD(23+$C16+(-1),$B$3)+1)*H16+INDEX(Symboles!$H$6:$H$101,MOD(23+$C16+(0),$B$3)+1)*I16+INDEX(Symboles!$H$6:$H$101,MOD(23+$C16+(1),$B$3)+1)*J16+INDEX(Symboles!$H$6:$H$101,MOD(23+$C16+(2),$B$3)+1)*K16+INDEX(Symboles!$H$6:$H$101,MOD(23+$C16+(3),$B$3)+1)*L16+INDEX(Symboles!$H$6:$H$101,MOD(23+$C16+(4),$B$3)+1)*M16+IF($B$6=0,0,$B$6*NORMSINV(0.000001+0.999998*RAND())))</f>
        <v/>
      </c>
      <c r="EG16" s="30">
        <f>IF(25&gt;$B$3,99,INDEX(Symboles!$H$6:$H$101,MOD(24+$C16+(-4),$B$3)+1)*E16+INDEX(Symboles!$H$6:$H$101,MOD(24+$C16+(-3),$B$3)+1)*F16+INDEX(Symboles!$H$6:$H$101,MOD(24+$C16+(-2),$B$3)+1)*G16+INDEX(Symboles!$H$6:$H$101,MOD(24+$C16+(-1),$B$3)+1)*H16+INDEX(Symboles!$H$6:$H$101,MOD(24+$C16+(0),$B$3)+1)*I16+INDEX(Symboles!$H$6:$H$101,MOD(24+$C16+(1),$B$3)+1)*J16+INDEX(Symboles!$H$6:$H$101,MOD(24+$C16+(2),$B$3)+1)*K16+INDEX(Symboles!$H$6:$H$101,MOD(24+$C16+(3),$B$3)+1)*L16+INDEX(Symboles!$H$6:$H$101,MOD(24+$C16+(4),$B$3)+1)*M16+IF($B$6=0,0,$B$6*NORMSINV(0.000001+0.999998*RAND())))</f>
        <v/>
      </c>
      <c r="EH16" s="30">
        <f>IF(26&gt;$B$3,99,INDEX(Symboles!$H$6:$H$101,MOD(25+$C16+(-4),$B$3)+1)*E16+INDEX(Symboles!$H$6:$H$101,MOD(25+$C16+(-3),$B$3)+1)*F16+INDEX(Symboles!$H$6:$H$101,MOD(25+$C16+(-2),$B$3)+1)*G16+INDEX(Symboles!$H$6:$H$101,MOD(25+$C16+(-1),$B$3)+1)*H16+INDEX(Symboles!$H$6:$H$101,MOD(25+$C16+(0),$B$3)+1)*I16+INDEX(Symboles!$H$6:$H$101,MOD(25+$C16+(1),$B$3)+1)*J16+INDEX(Symboles!$H$6:$H$101,MOD(25+$C16+(2),$B$3)+1)*K16+INDEX(Symboles!$H$6:$H$101,MOD(25+$C16+(3),$B$3)+1)*L16+INDEX(Symboles!$H$6:$H$101,MOD(25+$C16+(4),$B$3)+1)*M16+IF($B$6=0,0,$B$6*NORMSINV(0.000001+0.999998*RAND())))</f>
        <v/>
      </c>
      <c r="EI16" s="30">
        <f>IF(27&gt;$B$3,99,INDEX(Symboles!$H$6:$H$101,MOD(26+$C16+(-4),$B$3)+1)*E16+INDEX(Symboles!$H$6:$H$101,MOD(26+$C16+(-3),$B$3)+1)*F16+INDEX(Symboles!$H$6:$H$101,MOD(26+$C16+(-2),$B$3)+1)*G16+INDEX(Symboles!$H$6:$H$101,MOD(26+$C16+(-1),$B$3)+1)*H16+INDEX(Symboles!$H$6:$H$101,MOD(26+$C16+(0),$B$3)+1)*I16+INDEX(Symboles!$H$6:$H$101,MOD(26+$C16+(1),$B$3)+1)*J16+INDEX(Symboles!$H$6:$H$101,MOD(26+$C16+(2),$B$3)+1)*K16+INDEX(Symboles!$H$6:$H$101,MOD(26+$C16+(3),$B$3)+1)*L16+INDEX(Symboles!$H$6:$H$101,MOD(26+$C16+(4),$B$3)+1)*M16+IF($B$6=0,0,$B$6*NORMSINV(0.000001+0.999998*RAND())))</f>
        <v/>
      </c>
      <c r="EJ16" s="30">
        <f>IF(28&gt;$B$3,99,INDEX(Symboles!$H$6:$H$101,MOD(27+$C16+(-4),$B$3)+1)*E16+INDEX(Symboles!$H$6:$H$101,MOD(27+$C16+(-3),$B$3)+1)*F16+INDEX(Symboles!$H$6:$H$101,MOD(27+$C16+(-2),$B$3)+1)*G16+INDEX(Symboles!$H$6:$H$101,MOD(27+$C16+(-1),$B$3)+1)*H16+INDEX(Symboles!$H$6:$H$101,MOD(27+$C16+(0),$B$3)+1)*I16+INDEX(Symboles!$H$6:$H$101,MOD(27+$C16+(1),$B$3)+1)*J16+INDEX(Symboles!$H$6:$H$101,MOD(27+$C16+(2),$B$3)+1)*K16+INDEX(Symboles!$H$6:$H$101,MOD(27+$C16+(3),$B$3)+1)*L16+INDEX(Symboles!$H$6:$H$101,MOD(27+$C16+(4),$B$3)+1)*M16+IF($B$6=0,0,$B$6*NORMSINV(0.000001+0.999998*RAND())))</f>
        <v/>
      </c>
      <c r="EK16" s="30">
        <f>IF(29&gt;$B$3,99,INDEX(Symboles!$H$6:$H$101,MOD(28+$C16+(-4),$B$3)+1)*E16+INDEX(Symboles!$H$6:$H$101,MOD(28+$C16+(-3),$B$3)+1)*F16+INDEX(Symboles!$H$6:$H$101,MOD(28+$C16+(-2),$B$3)+1)*G16+INDEX(Symboles!$H$6:$H$101,MOD(28+$C16+(-1),$B$3)+1)*H16+INDEX(Symboles!$H$6:$H$101,MOD(28+$C16+(0),$B$3)+1)*I16+INDEX(Symboles!$H$6:$H$101,MOD(28+$C16+(1),$B$3)+1)*J16+INDEX(Symboles!$H$6:$H$101,MOD(28+$C16+(2),$B$3)+1)*K16+INDEX(Symboles!$H$6:$H$101,MOD(28+$C16+(3),$B$3)+1)*L16+INDEX(Symboles!$H$6:$H$101,MOD(28+$C16+(4),$B$3)+1)*M16+IF($B$6=0,0,$B$6*NORMSINV(0.000001+0.999998*RAND())))</f>
        <v/>
      </c>
      <c r="EL16" s="30">
        <f>IF(30&gt;$B$3,99,INDEX(Symboles!$H$6:$H$101,MOD(29+$C16+(-4),$B$3)+1)*E16+INDEX(Symboles!$H$6:$H$101,MOD(29+$C16+(-3),$B$3)+1)*F16+INDEX(Symboles!$H$6:$H$101,MOD(29+$C16+(-2),$B$3)+1)*G16+INDEX(Symboles!$H$6:$H$101,MOD(29+$C16+(-1),$B$3)+1)*H16+INDEX(Symboles!$H$6:$H$101,MOD(29+$C16+(0),$B$3)+1)*I16+INDEX(Symboles!$H$6:$H$101,MOD(29+$C16+(1),$B$3)+1)*J16+INDEX(Symboles!$H$6:$H$101,MOD(29+$C16+(2),$B$3)+1)*K16+INDEX(Symboles!$H$6:$H$101,MOD(29+$C16+(3),$B$3)+1)*L16+INDEX(Symboles!$H$6:$H$101,MOD(29+$C16+(4),$B$3)+1)*M16+IF($B$6=0,0,$B$6*NORMSINV(0.000001+0.999998*RAND())))</f>
        <v/>
      </c>
      <c r="EM16" s="30">
        <f>IF(31&gt;$B$3,99,INDEX(Symboles!$H$6:$H$101,MOD(30+$C16+(-4),$B$3)+1)*E16+INDEX(Symboles!$H$6:$H$101,MOD(30+$C16+(-3),$B$3)+1)*F16+INDEX(Symboles!$H$6:$H$101,MOD(30+$C16+(-2),$B$3)+1)*G16+INDEX(Symboles!$H$6:$H$101,MOD(30+$C16+(-1),$B$3)+1)*H16+INDEX(Symboles!$H$6:$H$101,MOD(30+$C16+(0),$B$3)+1)*I16+INDEX(Symboles!$H$6:$H$101,MOD(30+$C16+(1),$B$3)+1)*J16+INDEX(Symboles!$H$6:$H$101,MOD(30+$C16+(2),$B$3)+1)*K16+INDEX(Symboles!$H$6:$H$101,MOD(30+$C16+(3),$B$3)+1)*L16+INDEX(Symboles!$H$6:$H$101,MOD(30+$C16+(4),$B$3)+1)*M16+IF($B$6=0,0,$B$6*NORMSINV(0.000001+0.999998*RAND())))</f>
        <v/>
      </c>
      <c r="EN16" s="30">
        <f>IF(32&gt;$B$3,99,INDEX(Symboles!$H$6:$H$101,MOD(31+$C16+(-4),$B$3)+1)*E16+INDEX(Symboles!$H$6:$H$101,MOD(31+$C16+(-3),$B$3)+1)*F16+INDEX(Symboles!$H$6:$H$101,MOD(31+$C16+(-2),$B$3)+1)*G16+INDEX(Symboles!$H$6:$H$101,MOD(31+$C16+(-1),$B$3)+1)*H16+INDEX(Symboles!$H$6:$H$101,MOD(31+$C16+(0),$B$3)+1)*I16+INDEX(Symboles!$H$6:$H$101,MOD(31+$C16+(1),$B$3)+1)*J16+INDEX(Symboles!$H$6:$H$101,MOD(31+$C16+(2),$B$3)+1)*K16+INDEX(Symboles!$H$6:$H$101,MOD(31+$C16+(3),$B$3)+1)*L16+INDEX(Symboles!$H$6:$H$101,MOD(31+$C16+(4),$B$3)+1)*M16+IF($B$6=0,0,$B$6*NORMSINV(0.000001+0.999998*RAND())))</f>
        <v/>
      </c>
      <c r="EO16" s="30">
        <f>IF(33&gt;$B$3,99,INDEX(Symboles!$H$6:$H$101,MOD(32+$C16+(-4),$B$3)+1)*E16+INDEX(Symboles!$H$6:$H$101,MOD(32+$C16+(-3),$B$3)+1)*F16+INDEX(Symboles!$H$6:$H$101,MOD(32+$C16+(-2),$B$3)+1)*G16+INDEX(Symboles!$H$6:$H$101,MOD(32+$C16+(-1),$B$3)+1)*H16+INDEX(Symboles!$H$6:$H$101,MOD(32+$C16+(0),$B$3)+1)*I16+INDEX(Symboles!$H$6:$H$101,MOD(32+$C16+(1),$B$3)+1)*J16+INDEX(Symboles!$H$6:$H$101,MOD(32+$C16+(2),$B$3)+1)*K16+INDEX(Symboles!$H$6:$H$101,MOD(32+$C16+(3),$B$3)+1)*L16+INDEX(Symboles!$H$6:$H$101,MOD(32+$C16+(4),$B$3)+1)*M16+IF($B$6=0,0,$B$6*NORMSINV(0.000001+0.999998*RAND())))</f>
        <v/>
      </c>
      <c r="EP16" s="30">
        <f>IF(34&gt;$B$3,99,INDEX(Symboles!$H$6:$H$101,MOD(33+$C16+(-4),$B$3)+1)*E16+INDEX(Symboles!$H$6:$H$101,MOD(33+$C16+(-3),$B$3)+1)*F16+INDEX(Symboles!$H$6:$H$101,MOD(33+$C16+(-2),$B$3)+1)*G16+INDEX(Symboles!$H$6:$H$101,MOD(33+$C16+(-1),$B$3)+1)*H16+INDEX(Symboles!$H$6:$H$101,MOD(33+$C16+(0),$B$3)+1)*I16+INDEX(Symboles!$H$6:$H$101,MOD(33+$C16+(1),$B$3)+1)*J16+INDEX(Symboles!$H$6:$H$101,MOD(33+$C16+(2),$B$3)+1)*K16+INDEX(Symboles!$H$6:$H$101,MOD(33+$C16+(3),$B$3)+1)*L16+INDEX(Symboles!$H$6:$H$101,MOD(33+$C16+(4),$B$3)+1)*M16+IF($B$6=0,0,$B$6*NORMSINV(0.000001+0.999998*RAND())))</f>
        <v/>
      </c>
      <c r="EQ16" s="30">
        <f>IF(35&gt;$B$3,99,INDEX(Symboles!$H$6:$H$101,MOD(34+$C16+(-4),$B$3)+1)*E16+INDEX(Symboles!$H$6:$H$101,MOD(34+$C16+(-3),$B$3)+1)*F16+INDEX(Symboles!$H$6:$H$101,MOD(34+$C16+(-2),$B$3)+1)*G16+INDEX(Symboles!$H$6:$H$101,MOD(34+$C16+(-1),$B$3)+1)*H16+INDEX(Symboles!$H$6:$H$101,MOD(34+$C16+(0),$B$3)+1)*I16+INDEX(Symboles!$H$6:$H$101,MOD(34+$C16+(1),$B$3)+1)*J16+INDEX(Symboles!$H$6:$H$101,MOD(34+$C16+(2),$B$3)+1)*K16+INDEX(Symboles!$H$6:$H$101,MOD(34+$C16+(3),$B$3)+1)*L16+INDEX(Symboles!$H$6:$H$101,MOD(34+$C16+(4),$B$3)+1)*M16+IF($B$6=0,0,$B$6*NORMSINV(0.000001+0.999998*RAND())))</f>
        <v/>
      </c>
      <c r="ER16" s="30">
        <f>IF(36&gt;$B$3,99,INDEX(Symboles!$H$6:$H$101,MOD(35+$C16+(-4),$B$3)+1)*E16+INDEX(Symboles!$H$6:$H$101,MOD(35+$C16+(-3),$B$3)+1)*F16+INDEX(Symboles!$H$6:$H$101,MOD(35+$C16+(-2),$B$3)+1)*G16+INDEX(Symboles!$H$6:$H$101,MOD(35+$C16+(-1),$B$3)+1)*H16+INDEX(Symboles!$H$6:$H$101,MOD(35+$C16+(0),$B$3)+1)*I16+INDEX(Symboles!$H$6:$H$101,MOD(35+$C16+(1),$B$3)+1)*J16+INDEX(Symboles!$H$6:$H$101,MOD(35+$C16+(2),$B$3)+1)*K16+INDEX(Symboles!$H$6:$H$101,MOD(35+$C16+(3),$B$3)+1)*L16+INDEX(Symboles!$H$6:$H$101,MOD(35+$C16+(4),$B$3)+1)*M16+IF($B$6=0,0,$B$6*NORMSINV(0.000001+0.999998*RAND())))</f>
        <v/>
      </c>
      <c r="ES16" s="30">
        <f>IF(37&gt;$B$3,99,INDEX(Symboles!$H$6:$H$101,MOD(36+$C16+(-4),$B$3)+1)*E16+INDEX(Symboles!$H$6:$H$101,MOD(36+$C16+(-3),$B$3)+1)*F16+INDEX(Symboles!$H$6:$H$101,MOD(36+$C16+(-2),$B$3)+1)*G16+INDEX(Symboles!$H$6:$H$101,MOD(36+$C16+(-1),$B$3)+1)*H16+INDEX(Symboles!$H$6:$H$101,MOD(36+$C16+(0),$B$3)+1)*I16+INDEX(Symboles!$H$6:$H$101,MOD(36+$C16+(1),$B$3)+1)*J16+INDEX(Symboles!$H$6:$H$101,MOD(36+$C16+(2),$B$3)+1)*K16+INDEX(Symboles!$H$6:$H$101,MOD(36+$C16+(3),$B$3)+1)*L16+INDEX(Symboles!$H$6:$H$101,MOD(36+$C16+(4),$B$3)+1)*M16+IF($B$6=0,0,$B$6*NORMSINV(0.000001+0.999998*RAND())))</f>
        <v/>
      </c>
      <c r="ET16" s="30">
        <f>IF(38&gt;$B$3,99,INDEX(Symboles!$H$6:$H$101,MOD(37+$C16+(-4),$B$3)+1)*E16+INDEX(Symboles!$H$6:$H$101,MOD(37+$C16+(-3),$B$3)+1)*F16+INDEX(Symboles!$H$6:$H$101,MOD(37+$C16+(-2),$B$3)+1)*G16+INDEX(Symboles!$H$6:$H$101,MOD(37+$C16+(-1),$B$3)+1)*H16+INDEX(Symboles!$H$6:$H$101,MOD(37+$C16+(0),$B$3)+1)*I16+INDEX(Symboles!$H$6:$H$101,MOD(37+$C16+(1),$B$3)+1)*J16+INDEX(Symboles!$H$6:$H$101,MOD(37+$C16+(2),$B$3)+1)*K16+INDEX(Symboles!$H$6:$H$101,MOD(37+$C16+(3),$B$3)+1)*L16+INDEX(Symboles!$H$6:$H$101,MOD(37+$C16+(4),$B$3)+1)*M16+IF($B$6=0,0,$B$6*NORMSINV(0.000001+0.999998*RAND())))</f>
        <v/>
      </c>
      <c r="EU16" s="30">
        <f>IF(39&gt;$B$3,99,INDEX(Symboles!$H$6:$H$101,MOD(38+$C16+(-4),$B$3)+1)*E16+INDEX(Symboles!$H$6:$H$101,MOD(38+$C16+(-3),$B$3)+1)*F16+INDEX(Symboles!$H$6:$H$101,MOD(38+$C16+(-2),$B$3)+1)*G16+INDEX(Symboles!$H$6:$H$101,MOD(38+$C16+(-1),$B$3)+1)*H16+INDEX(Symboles!$H$6:$H$101,MOD(38+$C16+(0),$B$3)+1)*I16+INDEX(Symboles!$H$6:$H$101,MOD(38+$C16+(1),$B$3)+1)*J16+INDEX(Symboles!$H$6:$H$101,MOD(38+$C16+(2),$B$3)+1)*K16+INDEX(Symboles!$H$6:$H$101,MOD(38+$C16+(3),$B$3)+1)*L16+INDEX(Symboles!$H$6:$H$101,MOD(38+$C16+(4),$B$3)+1)*M16+IF($B$6=0,0,$B$6*NORMSINV(0.000001+0.999998*RAND())))</f>
        <v/>
      </c>
      <c r="EV16" s="30">
        <f>IF(40&gt;$B$3,99,INDEX(Symboles!$H$6:$H$101,MOD(39+$C16+(-4),$B$3)+1)*E16+INDEX(Symboles!$H$6:$H$101,MOD(39+$C16+(-3),$B$3)+1)*F16+INDEX(Symboles!$H$6:$H$101,MOD(39+$C16+(-2),$B$3)+1)*G16+INDEX(Symboles!$H$6:$H$101,MOD(39+$C16+(-1),$B$3)+1)*H16+INDEX(Symboles!$H$6:$H$101,MOD(39+$C16+(0),$B$3)+1)*I16+INDEX(Symboles!$H$6:$H$101,MOD(39+$C16+(1),$B$3)+1)*J16+INDEX(Symboles!$H$6:$H$101,MOD(39+$C16+(2),$B$3)+1)*K16+INDEX(Symboles!$H$6:$H$101,MOD(39+$C16+(3),$B$3)+1)*L16+INDEX(Symboles!$H$6:$H$101,MOD(39+$C16+(4),$B$3)+1)*M16+IF($B$6=0,0,$B$6*NORMSINV(0.000001+0.999998*RAND())))</f>
        <v/>
      </c>
      <c r="EW16" s="30">
        <f>IF(41&gt;$B$3,99,INDEX(Symboles!$H$6:$H$101,MOD(40+$C16+(-4),$B$3)+1)*E16+INDEX(Symboles!$H$6:$H$101,MOD(40+$C16+(-3),$B$3)+1)*F16+INDEX(Symboles!$H$6:$H$101,MOD(40+$C16+(-2),$B$3)+1)*G16+INDEX(Symboles!$H$6:$H$101,MOD(40+$C16+(-1),$B$3)+1)*H16+INDEX(Symboles!$H$6:$H$101,MOD(40+$C16+(0),$B$3)+1)*I16+INDEX(Symboles!$H$6:$H$101,MOD(40+$C16+(1),$B$3)+1)*J16+INDEX(Symboles!$H$6:$H$101,MOD(40+$C16+(2),$B$3)+1)*K16+INDEX(Symboles!$H$6:$H$101,MOD(40+$C16+(3),$B$3)+1)*L16+INDEX(Symboles!$H$6:$H$101,MOD(40+$C16+(4),$B$3)+1)*M16+IF($B$6=0,0,$B$6*NORMSINV(0.000001+0.999998*RAND())))</f>
        <v/>
      </c>
      <c r="EX16" s="30">
        <f>IF(42&gt;$B$3,99,INDEX(Symboles!$H$6:$H$101,MOD(41+$C16+(-4),$B$3)+1)*E16+INDEX(Symboles!$H$6:$H$101,MOD(41+$C16+(-3),$B$3)+1)*F16+INDEX(Symboles!$H$6:$H$101,MOD(41+$C16+(-2),$B$3)+1)*G16+INDEX(Symboles!$H$6:$H$101,MOD(41+$C16+(-1),$B$3)+1)*H16+INDEX(Symboles!$H$6:$H$101,MOD(41+$C16+(0),$B$3)+1)*I16+INDEX(Symboles!$H$6:$H$101,MOD(41+$C16+(1),$B$3)+1)*J16+INDEX(Symboles!$H$6:$H$101,MOD(41+$C16+(2),$B$3)+1)*K16+INDEX(Symboles!$H$6:$H$101,MOD(41+$C16+(3),$B$3)+1)*L16+INDEX(Symboles!$H$6:$H$101,MOD(41+$C16+(4),$B$3)+1)*M16+IF($B$6=0,0,$B$6*NORMSINV(0.000001+0.999998*RAND())))</f>
        <v/>
      </c>
      <c r="EY16" s="30">
        <f>IF(43&gt;$B$3,99,INDEX(Symboles!$H$6:$H$101,MOD(42+$C16+(-4),$B$3)+1)*E16+INDEX(Symboles!$H$6:$H$101,MOD(42+$C16+(-3),$B$3)+1)*F16+INDEX(Symboles!$H$6:$H$101,MOD(42+$C16+(-2),$B$3)+1)*G16+INDEX(Symboles!$H$6:$H$101,MOD(42+$C16+(-1),$B$3)+1)*H16+INDEX(Symboles!$H$6:$H$101,MOD(42+$C16+(0),$B$3)+1)*I16+INDEX(Symboles!$H$6:$H$101,MOD(42+$C16+(1),$B$3)+1)*J16+INDEX(Symboles!$H$6:$H$101,MOD(42+$C16+(2),$B$3)+1)*K16+INDEX(Symboles!$H$6:$H$101,MOD(42+$C16+(3),$B$3)+1)*L16+INDEX(Symboles!$H$6:$H$101,MOD(42+$C16+(4),$B$3)+1)*M16+IF($B$6=0,0,$B$6*NORMSINV(0.000001+0.999998*RAND())))</f>
        <v/>
      </c>
      <c r="EZ16" s="30">
        <f>IF(44&gt;$B$3,99,INDEX(Symboles!$H$6:$H$101,MOD(43+$C16+(-4),$B$3)+1)*E16+INDEX(Symboles!$H$6:$H$101,MOD(43+$C16+(-3),$B$3)+1)*F16+INDEX(Symboles!$H$6:$H$101,MOD(43+$C16+(-2),$B$3)+1)*G16+INDEX(Symboles!$H$6:$H$101,MOD(43+$C16+(-1),$B$3)+1)*H16+INDEX(Symboles!$H$6:$H$101,MOD(43+$C16+(0),$B$3)+1)*I16+INDEX(Symboles!$H$6:$H$101,MOD(43+$C16+(1),$B$3)+1)*J16+INDEX(Symboles!$H$6:$H$101,MOD(43+$C16+(2),$B$3)+1)*K16+INDEX(Symboles!$H$6:$H$101,MOD(43+$C16+(3),$B$3)+1)*L16+INDEX(Symboles!$H$6:$H$101,MOD(43+$C16+(4),$B$3)+1)*M16+IF($B$6=0,0,$B$6*NORMSINV(0.000001+0.999998*RAND())))</f>
        <v/>
      </c>
      <c r="FA16" s="30">
        <f>IF(45&gt;$B$3,99,INDEX(Symboles!$H$6:$H$101,MOD(44+$C16+(-4),$B$3)+1)*E16+INDEX(Symboles!$H$6:$H$101,MOD(44+$C16+(-3),$B$3)+1)*F16+INDEX(Symboles!$H$6:$H$101,MOD(44+$C16+(-2),$B$3)+1)*G16+INDEX(Symboles!$H$6:$H$101,MOD(44+$C16+(-1),$B$3)+1)*H16+INDEX(Symboles!$H$6:$H$101,MOD(44+$C16+(0),$B$3)+1)*I16+INDEX(Symboles!$H$6:$H$101,MOD(44+$C16+(1),$B$3)+1)*J16+INDEX(Symboles!$H$6:$H$101,MOD(44+$C16+(2),$B$3)+1)*K16+INDEX(Symboles!$H$6:$H$101,MOD(44+$C16+(3),$B$3)+1)*L16+INDEX(Symboles!$H$6:$H$101,MOD(44+$C16+(4),$B$3)+1)*M16+IF($B$6=0,0,$B$6*NORMSINV(0.000001+0.999998*RAND())))</f>
        <v/>
      </c>
      <c r="FB16" s="30">
        <f>IF(46&gt;$B$3,99,INDEX(Symboles!$H$6:$H$101,MOD(45+$C16+(-4),$B$3)+1)*E16+INDEX(Symboles!$H$6:$H$101,MOD(45+$C16+(-3),$B$3)+1)*F16+INDEX(Symboles!$H$6:$H$101,MOD(45+$C16+(-2),$B$3)+1)*G16+INDEX(Symboles!$H$6:$H$101,MOD(45+$C16+(-1),$B$3)+1)*H16+INDEX(Symboles!$H$6:$H$101,MOD(45+$C16+(0),$B$3)+1)*I16+INDEX(Symboles!$H$6:$H$101,MOD(45+$C16+(1),$B$3)+1)*J16+INDEX(Symboles!$H$6:$H$101,MOD(45+$C16+(2),$B$3)+1)*K16+INDEX(Symboles!$H$6:$H$101,MOD(45+$C16+(3),$B$3)+1)*L16+INDEX(Symboles!$H$6:$H$101,MOD(45+$C16+(4),$B$3)+1)*M16+IF($B$6=0,0,$B$6*NORMSINV(0.000001+0.999998*RAND())))</f>
        <v/>
      </c>
      <c r="FC16" s="30">
        <f>IF(47&gt;$B$3,99,INDEX(Symboles!$H$6:$H$101,MOD(46+$C16+(-4),$B$3)+1)*E16+INDEX(Symboles!$H$6:$H$101,MOD(46+$C16+(-3),$B$3)+1)*F16+INDEX(Symboles!$H$6:$H$101,MOD(46+$C16+(-2),$B$3)+1)*G16+INDEX(Symboles!$H$6:$H$101,MOD(46+$C16+(-1),$B$3)+1)*H16+INDEX(Symboles!$H$6:$H$101,MOD(46+$C16+(0),$B$3)+1)*I16+INDEX(Symboles!$H$6:$H$101,MOD(46+$C16+(1),$B$3)+1)*J16+INDEX(Symboles!$H$6:$H$101,MOD(46+$C16+(2),$B$3)+1)*K16+INDEX(Symboles!$H$6:$H$101,MOD(46+$C16+(3),$B$3)+1)*L16+INDEX(Symboles!$H$6:$H$101,MOD(46+$C16+(4),$B$3)+1)*M16+IF($B$6=0,0,$B$6*NORMSINV(0.000001+0.999998*RAND())))</f>
        <v/>
      </c>
      <c r="FD16" s="30">
        <f>IF(48&gt;$B$3,99,INDEX(Symboles!$H$6:$H$101,MOD(47+$C16+(-4),$B$3)+1)*E16+INDEX(Symboles!$H$6:$H$101,MOD(47+$C16+(-3),$B$3)+1)*F16+INDEX(Symboles!$H$6:$H$101,MOD(47+$C16+(-2),$B$3)+1)*G16+INDEX(Symboles!$H$6:$H$101,MOD(47+$C16+(-1),$B$3)+1)*H16+INDEX(Symboles!$H$6:$H$101,MOD(47+$C16+(0),$B$3)+1)*I16+INDEX(Symboles!$H$6:$H$101,MOD(47+$C16+(1),$B$3)+1)*J16+INDEX(Symboles!$H$6:$H$101,MOD(47+$C16+(2),$B$3)+1)*K16+INDEX(Symboles!$H$6:$H$101,MOD(47+$C16+(3),$B$3)+1)*L16+INDEX(Symboles!$H$6:$H$101,MOD(47+$C16+(4),$B$3)+1)*M16+IF($B$6=0,0,$B$6*NORMSINV(0.000001+0.999998*RAND())))</f>
        <v/>
      </c>
      <c r="FE16" s="30">
        <f>IF(49&gt;$B$3,99,INDEX(Symboles!$H$6:$H$101,MOD(48+$C16+(-4),$B$3)+1)*E16+INDEX(Symboles!$H$6:$H$101,MOD(48+$C16+(-3),$B$3)+1)*F16+INDEX(Symboles!$H$6:$H$101,MOD(48+$C16+(-2),$B$3)+1)*G16+INDEX(Symboles!$H$6:$H$101,MOD(48+$C16+(-1),$B$3)+1)*H16+INDEX(Symboles!$H$6:$H$101,MOD(48+$C16+(0),$B$3)+1)*I16+INDEX(Symboles!$H$6:$H$101,MOD(48+$C16+(1),$B$3)+1)*J16+INDEX(Symboles!$H$6:$H$101,MOD(48+$C16+(2),$B$3)+1)*K16+INDEX(Symboles!$H$6:$H$101,MOD(48+$C16+(3),$B$3)+1)*L16+INDEX(Symboles!$H$6:$H$101,MOD(48+$C16+(4),$B$3)+1)*M16+IF($B$6=0,0,$B$6*NORMSINV(0.000001+0.999998*RAND())))</f>
        <v/>
      </c>
      <c r="FF16" s="30">
        <f>IF(50&gt;$B$3,99,INDEX(Symboles!$H$6:$H$101,MOD(49+$C16+(-4),$B$3)+1)*E16+INDEX(Symboles!$H$6:$H$101,MOD(49+$C16+(-3),$B$3)+1)*F16+INDEX(Symboles!$H$6:$H$101,MOD(49+$C16+(-2),$B$3)+1)*G16+INDEX(Symboles!$H$6:$H$101,MOD(49+$C16+(-1),$B$3)+1)*H16+INDEX(Symboles!$H$6:$H$101,MOD(49+$C16+(0),$B$3)+1)*I16+INDEX(Symboles!$H$6:$H$101,MOD(49+$C16+(1),$B$3)+1)*J16+INDEX(Symboles!$H$6:$H$101,MOD(49+$C16+(2),$B$3)+1)*K16+INDEX(Symboles!$H$6:$H$101,MOD(49+$C16+(3),$B$3)+1)*L16+INDEX(Symboles!$H$6:$H$101,MOD(49+$C16+(4),$B$3)+1)*M16+IF($B$6=0,0,$B$6*NORMSINV(0.000001+0.999998*RAND())))</f>
        <v/>
      </c>
      <c r="FG16" s="30">
        <f>IF(51&gt;$B$3,99,INDEX(Symboles!$H$6:$H$101,MOD(50+$C16+(-4),$B$3)+1)*E16+INDEX(Symboles!$H$6:$H$101,MOD(50+$C16+(-3),$B$3)+1)*F16+INDEX(Symboles!$H$6:$H$101,MOD(50+$C16+(-2),$B$3)+1)*G16+INDEX(Symboles!$H$6:$H$101,MOD(50+$C16+(-1),$B$3)+1)*H16+INDEX(Symboles!$H$6:$H$101,MOD(50+$C16+(0),$B$3)+1)*I16+INDEX(Symboles!$H$6:$H$101,MOD(50+$C16+(1),$B$3)+1)*J16+INDEX(Symboles!$H$6:$H$101,MOD(50+$C16+(2),$B$3)+1)*K16+INDEX(Symboles!$H$6:$H$101,MOD(50+$C16+(3),$B$3)+1)*L16+INDEX(Symboles!$H$6:$H$101,MOD(50+$C16+(4),$B$3)+1)*M16+IF($B$6=0,0,$B$6*NORMSINV(0.000001+0.999998*RAND())))</f>
        <v/>
      </c>
      <c r="FH16" s="30">
        <f>IF(52&gt;$B$3,99,INDEX(Symboles!$H$6:$H$101,MOD(51+$C16+(-4),$B$3)+1)*E16+INDEX(Symboles!$H$6:$H$101,MOD(51+$C16+(-3),$B$3)+1)*F16+INDEX(Symboles!$H$6:$H$101,MOD(51+$C16+(-2),$B$3)+1)*G16+INDEX(Symboles!$H$6:$H$101,MOD(51+$C16+(-1),$B$3)+1)*H16+INDEX(Symboles!$H$6:$H$101,MOD(51+$C16+(0),$B$3)+1)*I16+INDEX(Symboles!$H$6:$H$101,MOD(51+$C16+(1),$B$3)+1)*J16+INDEX(Symboles!$H$6:$H$101,MOD(51+$C16+(2),$B$3)+1)*K16+INDEX(Symboles!$H$6:$H$101,MOD(51+$C16+(3),$B$3)+1)*L16+INDEX(Symboles!$H$6:$H$101,MOD(51+$C16+(4),$B$3)+1)*M16+IF($B$6=0,0,$B$6*NORMSINV(0.000001+0.999998*RAND())))</f>
        <v/>
      </c>
      <c r="FI16" s="30">
        <f>IF(53&gt;$B$3,99,INDEX(Symboles!$H$6:$H$101,MOD(52+$C16+(-4),$B$3)+1)*E16+INDEX(Symboles!$H$6:$H$101,MOD(52+$C16+(-3),$B$3)+1)*F16+INDEX(Symboles!$H$6:$H$101,MOD(52+$C16+(-2),$B$3)+1)*G16+INDEX(Symboles!$H$6:$H$101,MOD(52+$C16+(-1),$B$3)+1)*H16+INDEX(Symboles!$H$6:$H$101,MOD(52+$C16+(0),$B$3)+1)*I16+INDEX(Symboles!$H$6:$H$101,MOD(52+$C16+(1),$B$3)+1)*J16+INDEX(Symboles!$H$6:$H$101,MOD(52+$C16+(2),$B$3)+1)*K16+INDEX(Symboles!$H$6:$H$101,MOD(52+$C16+(3),$B$3)+1)*L16+INDEX(Symboles!$H$6:$H$101,MOD(52+$C16+(4),$B$3)+1)*M16+IF($B$6=0,0,$B$6*NORMSINV(0.000001+0.999998*RAND())))</f>
        <v/>
      </c>
      <c r="FJ16" s="30">
        <f>IF(54&gt;$B$3,99,INDEX(Symboles!$H$6:$H$101,MOD(53+$C16+(-4),$B$3)+1)*E16+INDEX(Symboles!$H$6:$H$101,MOD(53+$C16+(-3),$B$3)+1)*F16+INDEX(Symboles!$H$6:$H$101,MOD(53+$C16+(-2),$B$3)+1)*G16+INDEX(Symboles!$H$6:$H$101,MOD(53+$C16+(-1),$B$3)+1)*H16+INDEX(Symboles!$H$6:$H$101,MOD(53+$C16+(0),$B$3)+1)*I16+INDEX(Symboles!$H$6:$H$101,MOD(53+$C16+(1),$B$3)+1)*J16+INDEX(Symboles!$H$6:$H$101,MOD(53+$C16+(2),$B$3)+1)*K16+INDEX(Symboles!$H$6:$H$101,MOD(53+$C16+(3),$B$3)+1)*L16+INDEX(Symboles!$H$6:$H$101,MOD(53+$C16+(4),$B$3)+1)*M16+IF($B$6=0,0,$B$6*NORMSINV(0.000001+0.999998*RAND())))</f>
        <v/>
      </c>
      <c r="FK16" s="30">
        <f>IF(55&gt;$B$3,99,INDEX(Symboles!$H$6:$H$101,MOD(54+$C16+(-4),$B$3)+1)*E16+INDEX(Symboles!$H$6:$H$101,MOD(54+$C16+(-3),$B$3)+1)*F16+INDEX(Symboles!$H$6:$H$101,MOD(54+$C16+(-2),$B$3)+1)*G16+INDEX(Symboles!$H$6:$H$101,MOD(54+$C16+(-1),$B$3)+1)*H16+INDEX(Symboles!$H$6:$H$101,MOD(54+$C16+(0),$B$3)+1)*I16+INDEX(Symboles!$H$6:$H$101,MOD(54+$C16+(1),$B$3)+1)*J16+INDEX(Symboles!$H$6:$H$101,MOD(54+$C16+(2),$B$3)+1)*K16+INDEX(Symboles!$H$6:$H$101,MOD(54+$C16+(3),$B$3)+1)*L16+INDEX(Symboles!$H$6:$H$101,MOD(54+$C16+(4),$B$3)+1)*M16+IF($B$6=0,0,$B$6*NORMSINV(0.000001+0.999998*RAND())))</f>
        <v/>
      </c>
      <c r="FL16" s="30">
        <f>IF(56&gt;$B$3,99,INDEX(Symboles!$H$6:$H$101,MOD(55+$C16+(-4),$B$3)+1)*E16+INDEX(Symboles!$H$6:$H$101,MOD(55+$C16+(-3),$B$3)+1)*F16+INDEX(Symboles!$H$6:$H$101,MOD(55+$C16+(-2),$B$3)+1)*G16+INDEX(Symboles!$H$6:$H$101,MOD(55+$C16+(-1),$B$3)+1)*H16+INDEX(Symboles!$H$6:$H$101,MOD(55+$C16+(0),$B$3)+1)*I16+INDEX(Symboles!$H$6:$H$101,MOD(55+$C16+(1),$B$3)+1)*J16+INDEX(Symboles!$H$6:$H$101,MOD(55+$C16+(2),$B$3)+1)*K16+INDEX(Symboles!$H$6:$H$101,MOD(55+$C16+(3),$B$3)+1)*L16+INDEX(Symboles!$H$6:$H$101,MOD(55+$C16+(4),$B$3)+1)*M16+IF($B$6=0,0,$B$6*NORMSINV(0.000001+0.999998*RAND())))</f>
        <v/>
      </c>
      <c r="FM16" s="30">
        <f>IF(57&gt;$B$3,99,INDEX(Symboles!$H$6:$H$101,MOD(56+$C16+(-4),$B$3)+1)*E16+INDEX(Symboles!$H$6:$H$101,MOD(56+$C16+(-3),$B$3)+1)*F16+INDEX(Symboles!$H$6:$H$101,MOD(56+$C16+(-2),$B$3)+1)*G16+INDEX(Symboles!$H$6:$H$101,MOD(56+$C16+(-1),$B$3)+1)*H16+INDEX(Symboles!$H$6:$H$101,MOD(56+$C16+(0),$B$3)+1)*I16+INDEX(Symboles!$H$6:$H$101,MOD(56+$C16+(1),$B$3)+1)*J16+INDEX(Symboles!$H$6:$H$101,MOD(56+$C16+(2),$B$3)+1)*K16+INDEX(Symboles!$H$6:$H$101,MOD(56+$C16+(3),$B$3)+1)*L16+INDEX(Symboles!$H$6:$H$101,MOD(56+$C16+(4),$B$3)+1)*M16+IF($B$6=0,0,$B$6*NORMSINV(0.000001+0.999998*RAND())))</f>
        <v/>
      </c>
      <c r="FN16" s="30">
        <f>IF(58&gt;$B$3,99,INDEX(Symboles!$H$6:$H$101,MOD(57+$C16+(-4),$B$3)+1)*E16+INDEX(Symboles!$H$6:$H$101,MOD(57+$C16+(-3),$B$3)+1)*F16+INDEX(Symboles!$H$6:$H$101,MOD(57+$C16+(-2),$B$3)+1)*G16+INDEX(Symboles!$H$6:$H$101,MOD(57+$C16+(-1),$B$3)+1)*H16+INDEX(Symboles!$H$6:$H$101,MOD(57+$C16+(0),$B$3)+1)*I16+INDEX(Symboles!$H$6:$H$101,MOD(57+$C16+(1),$B$3)+1)*J16+INDEX(Symboles!$H$6:$H$101,MOD(57+$C16+(2),$B$3)+1)*K16+INDEX(Symboles!$H$6:$H$101,MOD(57+$C16+(3),$B$3)+1)*L16+INDEX(Symboles!$H$6:$H$101,MOD(57+$C16+(4),$B$3)+1)*M16+IF($B$6=0,0,$B$6*NORMSINV(0.000001+0.999998*RAND())))</f>
        <v/>
      </c>
      <c r="FO16" s="30">
        <f>IF(59&gt;$B$3,99,INDEX(Symboles!$H$6:$H$101,MOD(58+$C16+(-4),$B$3)+1)*E16+INDEX(Symboles!$H$6:$H$101,MOD(58+$C16+(-3),$B$3)+1)*F16+INDEX(Symboles!$H$6:$H$101,MOD(58+$C16+(-2),$B$3)+1)*G16+INDEX(Symboles!$H$6:$H$101,MOD(58+$C16+(-1),$B$3)+1)*H16+INDEX(Symboles!$H$6:$H$101,MOD(58+$C16+(0),$B$3)+1)*I16+INDEX(Symboles!$H$6:$H$101,MOD(58+$C16+(1),$B$3)+1)*J16+INDEX(Symboles!$H$6:$H$101,MOD(58+$C16+(2),$B$3)+1)*K16+INDEX(Symboles!$H$6:$H$101,MOD(58+$C16+(3),$B$3)+1)*L16+INDEX(Symboles!$H$6:$H$101,MOD(58+$C16+(4),$B$3)+1)*M16+IF($B$6=0,0,$B$6*NORMSINV(0.000001+0.999998*RAND())))</f>
        <v/>
      </c>
      <c r="FP16" s="30">
        <f>IF(60&gt;$B$3,99,INDEX(Symboles!$H$6:$H$101,MOD(59+$C16+(-4),$B$3)+1)*E16+INDEX(Symboles!$H$6:$H$101,MOD(59+$C16+(-3),$B$3)+1)*F16+INDEX(Symboles!$H$6:$H$101,MOD(59+$C16+(-2),$B$3)+1)*G16+INDEX(Symboles!$H$6:$H$101,MOD(59+$C16+(-1),$B$3)+1)*H16+INDEX(Symboles!$H$6:$H$101,MOD(59+$C16+(0),$B$3)+1)*I16+INDEX(Symboles!$H$6:$H$101,MOD(59+$C16+(1),$B$3)+1)*J16+INDEX(Symboles!$H$6:$H$101,MOD(59+$C16+(2),$B$3)+1)*K16+INDEX(Symboles!$H$6:$H$101,MOD(59+$C16+(3),$B$3)+1)*L16+INDEX(Symboles!$H$6:$H$101,MOD(59+$C16+(4),$B$3)+1)*M16+IF($B$6=0,0,$B$6*NORMSINV(0.000001+0.999998*RAND())))</f>
        <v/>
      </c>
      <c r="FQ16" s="30">
        <f>IF(61&gt;$B$3,99,INDEX(Symboles!$H$6:$H$101,MOD(60+$C16+(-4),$B$3)+1)*E16+INDEX(Symboles!$H$6:$H$101,MOD(60+$C16+(-3),$B$3)+1)*F16+INDEX(Symboles!$H$6:$H$101,MOD(60+$C16+(-2),$B$3)+1)*G16+INDEX(Symboles!$H$6:$H$101,MOD(60+$C16+(-1),$B$3)+1)*H16+INDEX(Symboles!$H$6:$H$101,MOD(60+$C16+(0),$B$3)+1)*I16+INDEX(Symboles!$H$6:$H$101,MOD(60+$C16+(1),$B$3)+1)*J16+INDEX(Symboles!$H$6:$H$101,MOD(60+$C16+(2),$B$3)+1)*K16+INDEX(Symboles!$H$6:$H$101,MOD(60+$C16+(3),$B$3)+1)*L16+INDEX(Symboles!$H$6:$H$101,MOD(60+$C16+(4),$B$3)+1)*M16+IF($B$6=0,0,$B$6*NORMSINV(0.000001+0.999998*RAND())))</f>
        <v/>
      </c>
      <c r="FR16" s="30">
        <f>IF(62&gt;$B$3,99,INDEX(Symboles!$H$6:$H$101,MOD(61+$C16+(-4),$B$3)+1)*E16+INDEX(Symboles!$H$6:$H$101,MOD(61+$C16+(-3),$B$3)+1)*F16+INDEX(Symboles!$H$6:$H$101,MOD(61+$C16+(-2),$B$3)+1)*G16+INDEX(Symboles!$H$6:$H$101,MOD(61+$C16+(-1),$B$3)+1)*H16+INDEX(Symboles!$H$6:$H$101,MOD(61+$C16+(0),$B$3)+1)*I16+INDEX(Symboles!$H$6:$H$101,MOD(61+$C16+(1),$B$3)+1)*J16+INDEX(Symboles!$H$6:$H$101,MOD(61+$C16+(2),$B$3)+1)*K16+INDEX(Symboles!$H$6:$H$101,MOD(61+$C16+(3),$B$3)+1)*L16+INDEX(Symboles!$H$6:$H$101,MOD(61+$C16+(4),$B$3)+1)*M16+IF($B$6=0,0,$B$6*NORMSINV(0.000001+0.999998*RAND())))</f>
        <v/>
      </c>
      <c r="FS16" s="30">
        <f>IF(63&gt;$B$3,99,INDEX(Symboles!$H$6:$H$101,MOD(62+$C16+(-4),$B$3)+1)*E16+INDEX(Symboles!$H$6:$H$101,MOD(62+$C16+(-3),$B$3)+1)*F16+INDEX(Symboles!$H$6:$H$101,MOD(62+$C16+(-2),$B$3)+1)*G16+INDEX(Symboles!$H$6:$H$101,MOD(62+$C16+(-1),$B$3)+1)*H16+INDEX(Symboles!$H$6:$H$101,MOD(62+$C16+(0),$B$3)+1)*I16+INDEX(Symboles!$H$6:$H$101,MOD(62+$C16+(1),$B$3)+1)*J16+INDEX(Symboles!$H$6:$H$101,MOD(62+$C16+(2),$B$3)+1)*K16+INDEX(Symboles!$H$6:$H$101,MOD(62+$C16+(3),$B$3)+1)*L16+INDEX(Symboles!$H$6:$H$101,MOD(62+$C16+(4),$B$3)+1)*M16+IF($B$6=0,0,$B$6*NORMSINV(0.000001+0.999998*RAND())))</f>
        <v/>
      </c>
      <c r="FT16" s="30">
        <f>IF(64&gt;$B$3,99,INDEX(Symboles!$H$6:$H$101,MOD(63+$C16+(-4),$B$3)+1)*E16+INDEX(Symboles!$H$6:$H$101,MOD(63+$C16+(-3),$B$3)+1)*F16+INDEX(Symboles!$H$6:$H$101,MOD(63+$C16+(-2),$B$3)+1)*G16+INDEX(Symboles!$H$6:$H$101,MOD(63+$C16+(-1),$B$3)+1)*H16+INDEX(Symboles!$H$6:$H$101,MOD(63+$C16+(0),$B$3)+1)*I16+INDEX(Symboles!$H$6:$H$101,MOD(63+$C16+(1),$B$3)+1)*J16+INDEX(Symboles!$H$6:$H$101,MOD(63+$C16+(2),$B$3)+1)*K16+INDEX(Symboles!$H$6:$H$101,MOD(63+$C16+(3),$B$3)+1)*L16+INDEX(Symboles!$H$6:$H$101,MOD(63+$C16+(4),$B$3)+1)*M16+IF($B$6=0,0,$B$6*NORMSINV(0.000001+0.999998*RAND())))</f>
        <v/>
      </c>
      <c r="FU16" s="30">
        <f>IF(65&gt;$B$3,99,INDEX(Symboles!$H$6:$H$101,MOD(64+$C16+(-4),$B$3)+1)*E16+INDEX(Symboles!$H$6:$H$101,MOD(64+$C16+(-3),$B$3)+1)*F16+INDEX(Symboles!$H$6:$H$101,MOD(64+$C16+(-2),$B$3)+1)*G16+INDEX(Symboles!$H$6:$H$101,MOD(64+$C16+(-1),$B$3)+1)*H16+INDEX(Symboles!$H$6:$H$101,MOD(64+$C16+(0),$B$3)+1)*I16+INDEX(Symboles!$H$6:$H$101,MOD(64+$C16+(1),$B$3)+1)*J16+INDEX(Symboles!$H$6:$H$101,MOD(64+$C16+(2),$B$3)+1)*K16+INDEX(Symboles!$H$6:$H$101,MOD(64+$C16+(3),$B$3)+1)*L16+INDEX(Symboles!$H$6:$H$101,MOD(64+$C16+(4),$B$3)+1)*M16+IF($B$6=0,0,$B$6*NORMSINV(0.000001+0.999998*RAND())))</f>
        <v/>
      </c>
      <c r="FV16" s="30">
        <f>IF(66&gt;$B$3,99,INDEX(Symboles!$H$6:$H$101,MOD(65+$C16+(-4),$B$3)+1)*E16+INDEX(Symboles!$H$6:$H$101,MOD(65+$C16+(-3),$B$3)+1)*F16+INDEX(Symboles!$H$6:$H$101,MOD(65+$C16+(-2),$B$3)+1)*G16+INDEX(Symboles!$H$6:$H$101,MOD(65+$C16+(-1),$B$3)+1)*H16+INDEX(Symboles!$H$6:$H$101,MOD(65+$C16+(0),$B$3)+1)*I16+INDEX(Symboles!$H$6:$H$101,MOD(65+$C16+(1),$B$3)+1)*J16+INDEX(Symboles!$H$6:$H$101,MOD(65+$C16+(2),$B$3)+1)*K16+INDEX(Symboles!$H$6:$H$101,MOD(65+$C16+(3),$B$3)+1)*L16+INDEX(Symboles!$H$6:$H$101,MOD(65+$C16+(4),$B$3)+1)*M16+IF($B$6=0,0,$B$6*NORMSINV(0.000001+0.999998*RAND())))</f>
        <v/>
      </c>
      <c r="FW16" s="30">
        <f>IF(67&gt;$B$3,99,INDEX(Symboles!$H$6:$H$101,MOD(66+$C16+(-4),$B$3)+1)*E16+INDEX(Symboles!$H$6:$H$101,MOD(66+$C16+(-3),$B$3)+1)*F16+INDEX(Symboles!$H$6:$H$101,MOD(66+$C16+(-2),$B$3)+1)*G16+INDEX(Symboles!$H$6:$H$101,MOD(66+$C16+(-1),$B$3)+1)*H16+INDEX(Symboles!$H$6:$H$101,MOD(66+$C16+(0),$B$3)+1)*I16+INDEX(Symboles!$H$6:$H$101,MOD(66+$C16+(1),$B$3)+1)*J16+INDEX(Symboles!$H$6:$H$101,MOD(66+$C16+(2),$B$3)+1)*K16+INDEX(Symboles!$H$6:$H$101,MOD(66+$C16+(3),$B$3)+1)*L16+INDEX(Symboles!$H$6:$H$101,MOD(66+$C16+(4),$B$3)+1)*M16+IF($B$6=0,0,$B$6*NORMSINV(0.000001+0.999998*RAND())))</f>
        <v/>
      </c>
      <c r="FX16" s="30">
        <f>IF(68&gt;$B$3,99,INDEX(Symboles!$H$6:$H$101,MOD(67+$C16+(-4),$B$3)+1)*E16+INDEX(Symboles!$H$6:$H$101,MOD(67+$C16+(-3),$B$3)+1)*F16+INDEX(Symboles!$H$6:$H$101,MOD(67+$C16+(-2),$B$3)+1)*G16+INDEX(Symboles!$H$6:$H$101,MOD(67+$C16+(-1),$B$3)+1)*H16+INDEX(Symboles!$H$6:$H$101,MOD(67+$C16+(0),$B$3)+1)*I16+INDEX(Symboles!$H$6:$H$101,MOD(67+$C16+(1),$B$3)+1)*J16+INDEX(Symboles!$H$6:$H$101,MOD(67+$C16+(2),$B$3)+1)*K16+INDEX(Symboles!$H$6:$H$101,MOD(67+$C16+(3),$B$3)+1)*L16+INDEX(Symboles!$H$6:$H$101,MOD(67+$C16+(4),$B$3)+1)*M16+IF($B$6=0,0,$B$6*NORMSINV(0.000001+0.999998*RAND())))</f>
        <v/>
      </c>
      <c r="FY16" s="30">
        <f>IF(69&gt;$B$3,99,INDEX(Symboles!$H$6:$H$101,MOD(68+$C16+(-4),$B$3)+1)*E16+INDEX(Symboles!$H$6:$H$101,MOD(68+$C16+(-3),$B$3)+1)*F16+INDEX(Symboles!$H$6:$H$101,MOD(68+$C16+(-2),$B$3)+1)*G16+INDEX(Symboles!$H$6:$H$101,MOD(68+$C16+(-1),$B$3)+1)*H16+INDEX(Symboles!$H$6:$H$101,MOD(68+$C16+(0),$B$3)+1)*I16+INDEX(Symboles!$H$6:$H$101,MOD(68+$C16+(1),$B$3)+1)*J16+INDEX(Symboles!$H$6:$H$101,MOD(68+$C16+(2),$B$3)+1)*K16+INDEX(Symboles!$H$6:$H$101,MOD(68+$C16+(3),$B$3)+1)*L16+INDEX(Symboles!$H$6:$H$101,MOD(68+$C16+(4),$B$3)+1)*M16+IF($B$6=0,0,$B$6*NORMSINV(0.000001+0.999998*RAND())))</f>
        <v/>
      </c>
      <c r="FZ16" s="30">
        <f>IF(70&gt;$B$3,99,INDEX(Symboles!$H$6:$H$101,MOD(69+$C16+(-4),$B$3)+1)*E16+INDEX(Symboles!$H$6:$H$101,MOD(69+$C16+(-3),$B$3)+1)*F16+INDEX(Symboles!$H$6:$H$101,MOD(69+$C16+(-2),$B$3)+1)*G16+INDEX(Symboles!$H$6:$H$101,MOD(69+$C16+(-1),$B$3)+1)*H16+INDEX(Symboles!$H$6:$H$101,MOD(69+$C16+(0),$B$3)+1)*I16+INDEX(Symboles!$H$6:$H$101,MOD(69+$C16+(1),$B$3)+1)*J16+INDEX(Symboles!$H$6:$H$101,MOD(69+$C16+(2),$B$3)+1)*K16+INDEX(Symboles!$H$6:$H$101,MOD(69+$C16+(3),$B$3)+1)*L16+INDEX(Symboles!$H$6:$H$101,MOD(69+$C16+(4),$B$3)+1)*M16+IF($B$6=0,0,$B$6*NORMSINV(0.000001+0.999998*RAND())))</f>
        <v/>
      </c>
      <c r="GA16" s="30">
        <f>IF(71&gt;$B$3,99,INDEX(Symboles!$H$6:$H$101,MOD(70+$C16+(-4),$B$3)+1)*E16+INDEX(Symboles!$H$6:$H$101,MOD(70+$C16+(-3),$B$3)+1)*F16+INDEX(Symboles!$H$6:$H$101,MOD(70+$C16+(-2),$B$3)+1)*G16+INDEX(Symboles!$H$6:$H$101,MOD(70+$C16+(-1),$B$3)+1)*H16+INDEX(Symboles!$H$6:$H$101,MOD(70+$C16+(0),$B$3)+1)*I16+INDEX(Symboles!$H$6:$H$101,MOD(70+$C16+(1),$B$3)+1)*J16+INDEX(Symboles!$H$6:$H$101,MOD(70+$C16+(2),$B$3)+1)*K16+INDEX(Symboles!$H$6:$H$101,MOD(70+$C16+(3),$B$3)+1)*L16+INDEX(Symboles!$H$6:$H$101,MOD(70+$C16+(4),$B$3)+1)*M16+IF($B$6=0,0,$B$6*NORMSINV(0.000001+0.999998*RAND())))</f>
        <v/>
      </c>
      <c r="GB16" s="30">
        <f>IF(72&gt;$B$3,99,INDEX(Symboles!$H$6:$H$101,MOD(71+$C16+(-4),$B$3)+1)*E16+INDEX(Symboles!$H$6:$H$101,MOD(71+$C16+(-3),$B$3)+1)*F16+INDEX(Symboles!$H$6:$H$101,MOD(71+$C16+(-2),$B$3)+1)*G16+INDEX(Symboles!$H$6:$H$101,MOD(71+$C16+(-1),$B$3)+1)*H16+INDEX(Symboles!$H$6:$H$101,MOD(71+$C16+(0),$B$3)+1)*I16+INDEX(Symboles!$H$6:$H$101,MOD(71+$C16+(1),$B$3)+1)*J16+INDEX(Symboles!$H$6:$H$101,MOD(71+$C16+(2),$B$3)+1)*K16+INDEX(Symboles!$H$6:$H$101,MOD(71+$C16+(3),$B$3)+1)*L16+INDEX(Symboles!$H$6:$H$101,MOD(71+$C16+(4),$B$3)+1)*M16+IF($B$6=0,0,$B$6*NORMSINV(0.000001+0.999998*RAND())))</f>
        <v/>
      </c>
      <c r="GC16" s="30">
        <f>IF(73&gt;$B$3,99,INDEX(Symboles!$H$6:$H$101,MOD(72+$C16+(-4),$B$3)+1)*E16+INDEX(Symboles!$H$6:$H$101,MOD(72+$C16+(-3),$B$3)+1)*F16+INDEX(Symboles!$H$6:$H$101,MOD(72+$C16+(-2),$B$3)+1)*G16+INDEX(Symboles!$H$6:$H$101,MOD(72+$C16+(-1),$B$3)+1)*H16+INDEX(Symboles!$H$6:$H$101,MOD(72+$C16+(0),$B$3)+1)*I16+INDEX(Symboles!$H$6:$H$101,MOD(72+$C16+(1),$B$3)+1)*J16+INDEX(Symboles!$H$6:$H$101,MOD(72+$C16+(2),$B$3)+1)*K16+INDEX(Symboles!$H$6:$H$101,MOD(72+$C16+(3),$B$3)+1)*L16+INDEX(Symboles!$H$6:$H$101,MOD(72+$C16+(4),$B$3)+1)*M16+IF($B$6=0,0,$B$6*NORMSINV(0.000001+0.999998*RAND())))</f>
        <v/>
      </c>
      <c r="GD16" s="30">
        <f>IF(74&gt;$B$3,99,INDEX(Symboles!$H$6:$H$101,MOD(73+$C16+(-4),$B$3)+1)*E16+INDEX(Symboles!$H$6:$H$101,MOD(73+$C16+(-3),$B$3)+1)*F16+INDEX(Symboles!$H$6:$H$101,MOD(73+$C16+(-2),$B$3)+1)*G16+INDEX(Symboles!$H$6:$H$101,MOD(73+$C16+(-1),$B$3)+1)*H16+INDEX(Symboles!$H$6:$H$101,MOD(73+$C16+(0),$B$3)+1)*I16+INDEX(Symboles!$H$6:$H$101,MOD(73+$C16+(1),$B$3)+1)*J16+INDEX(Symboles!$H$6:$H$101,MOD(73+$C16+(2),$B$3)+1)*K16+INDEX(Symboles!$H$6:$H$101,MOD(73+$C16+(3),$B$3)+1)*L16+INDEX(Symboles!$H$6:$H$101,MOD(73+$C16+(4),$B$3)+1)*M16+IF($B$6=0,0,$B$6*NORMSINV(0.000001+0.999998*RAND())))</f>
        <v/>
      </c>
      <c r="GE16" s="30">
        <f>IF(75&gt;$B$3,99,INDEX(Symboles!$H$6:$H$101,MOD(74+$C16+(-4),$B$3)+1)*E16+INDEX(Symboles!$H$6:$H$101,MOD(74+$C16+(-3),$B$3)+1)*F16+INDEX(Symboles!$H$6:$H$101,MOD(74+$C16+(-2),$B$3)+1)*G16+INDEX(Symboles!$H$6:$H$101,MOD(74+$C16+(-1),$B$3)+1)*H16+INDEX(Symboles!$H$6:$H$101,MOD(74+$C16+(0),$B$3)+1)*I16+INDEX(Symboles!$H$6:$H$101,MOD(74+$C16+(1),$B$3)+1)*J16+INDEX(Symboles!$H$6:$H$101,MOD(74+$C16+(2),$B$3)+1)*K16+INDEX(Symboles!$H$6:$H$101,MOD(74+$C16+(3),$B$3)+1)*L16+INDEX(Symboles!$H$6:$H$101,MOD(74+$C16+(4),$B$3)+1)*M16+IF($B$6=0,0,$B$6*NORMSINV(0.000001+0.999998*RAND())))</f>
        <v/>
      </c>
      <c r="GF16" s="30">
        <f>IF(76&gt;$B$3,99,INDEX(Symboles!$H$6:$H$101,MOD(75+$C16+(-4),$B$3)+1)*E16+INDEX(Symboles!$H$6:$H$101,MOD(75+$C16+(-3),$B$3)+1)*F16+INDEX(Symboles!$H$6:$H$101,MOD(75+$C16+(-2),$B$3)+1)*G16+INDEX(Symboles!$H$6:$H$101,MOD(75+$C16+(-1),$B$3)+1)*H16+INDEX(Symboles!$H$6:$H$101,MOD(75+$C16+(0),$B$3)+1)*I16+INDEX(Symboles!$H$6:$H$101,MOD(75+$C16+(1),$B$3)+1)*J16+INDEX(Symboles!$H$6:$H$101,MOD(75+$C16+(2),$B$3)+1)*K16+INDEX(Symboles!$H$6:$H$101,MOD(75+$C16+(3),$B$3)+1)*L16+INDEX(Symboles!$H$6:$H$101,MOD(75+$C16+(4),$B$3)+1)*M16+IF($B$6=0,0,$B$6*NORMSINV(0.000001+0.999998*RAND())))</f>
        <v/>
      </c>
      <c r="GG16" s="30">
        <f>IF(77&gt;$B$3,99,INDEX(Symboles!$H$6:$H$101,MOD(76+$C16+(-4),$B$3)+1)*E16+INDEX(Symboles!$H$6:$H$101,MOD(76+$C16+(-3),$B$3)+1)*F16+INDEX(Symboles!$H$6:$H$101,MOD(76+$C16+(-2),$B$3)+1)*G16+INDEX(Symboles!$H$6:$H$101,MOD(76+$C16+(-1),$B$3)+1)*H16+INDEX(Symboles!$H$6:$H$101,MOD(76+$C16+(0),$B$3)+1)*I16+INDEX(Symboles!$H$6:$H$101,MOD(76+$C16+(1),$B$3)+1)*J16+INDEX(Symboles!$H$6:$H$101,MOD(76+$C16+(2),$B$3)+1)*K16+INDEX(Symboles!$H$6:$H$101,MOD(76+$C16+(3),$B$3)+1)*L16+INDEX(Symboles!$H$6:$H$101,MOD(76+$C16+(4),$B$3)+1)*M16+IF($B$6=0,0,$B$6*NORMSINV(0.000001+0.999998*RAND())))</f>
        <v/>
      </c>
      <c r="GH16" s="30">
        <f>IF(78&gt;$B$3,99,INDEX(Symboles!$H$6:$H$101,MOD(77+$C16+(-4),$B$3)+1)*E16+INDEX(Symboles!$H$6:$H$101,MOD(77+$C16+(-3),$B$3)+1)*F16+INDEX(Symboles!$H$6:$H$101,MOD(77+$C16+(-2),$B$3)+1)*G16+INDEX(Symboles!$H$6:$H$101,MOD(77+$C16+(-1),$B$3)+1)*H16+INDEX(Symboles!$H$6:$H$101,MOD(77+$C16+(0),$B$3)+1)*I16+INDEX(Symboles!$H$6:$H$101,MOD(77+$C16+(1),$B$3)+1)*J16+INDEX(Symboles!$H$6:$H$101,MOD(77+$C16+(2),$B$3)+1)*K16+INDEX(Symboles!$H$6:$H$101,MOD(77+$C16+(3),$B$3)+1)*L16+INDEX(Symboles!$H$6:$H$101,MOD(77+$C16+(4),$B$3)+1)*M16+IF($B$6=0,0,$B$6*NORMSINV(0.000001+0.999998*RAND())))</f>
        <v/>
      </c>
      <c r="GI16" s="30">
        <f>IF(79&gt;$B$3,99,INDEX(Symboles!$H$6:$H$101,MOD(78+$C16+(-4),$B$3)+1)*E16+INDEX(Symboles!$H$6:$H$101,MOD(78+$C16+(-3),$B$3)+1)*F16+INDEX(Symboles!$H$6:$H$101,MOD(78+$C16+(-2),$B$3)+1)*G16+INDEX(Symboles!$H$6:$H$101,MOD(78+$C16+(-1),$B$3)+1)*H16+INDEX(Symboles!$H$6:$H$101,MOD(78+$C16+(0),$B$3)+1)*I16+INDEX(Symboles!$H$6:$H$101,MOD(78+$C16+(1),$B$3)+1)*J16+INDEX(Symboles!$H$6:$H$101,MOD(78+$C16+(2),$B$3)+1)*K16+INDEX(Symboles!$H$6:$H$101,MOD(78+$C16+(3),$B$3)+1)*L16+INDEX(Symboles!$H$6:$H$101,MOD(78+$C16+(4),$B$3)+1)*M16+IF($B$6=0,0,$B$6*NORMSINV(0.000001+0.999998*RAND())))</f>
        <v/>
      </c>
      <c r="GJ16" s="30">
        <f>IF(80&gt;$B$3,99,INDEX(Symboles!$H$6:$H$101,MOD(79+$C16+(-4),$B$3)+1)*E16+INDEX(Symboles!$H$6:$H$101,MOD(79+$C16+(-3),$B$3)+1)*F16+INDEX(Symboles!$H$6:$H$101,MOD(79+$C16+(-2),$B$3)+1)*G16+INDEX(Symboles!$H$6:$H$101,MOD(79+$C16+(-1),$B$3)+1)*H16+INDEX(Symboles!$H$6:$H$101,MOD(79+$C16+(0),$B$3)+1)*I16+INDEX(Symboles!$H$6:$H$101,MOD(79+$C16+(1),$B$3)+1)*J16+INDEX(Symboles!$H$6:$H$101,MOD(79+$C16+(2),$B$3)+1)*K16+INDEX(Symboles!$H$6:$H$101,MOD(79+$C16+(3),$B$3)+1)*L16+INDEX(Symboles!$H$6:$H$101,MOD(79+$C16+(4),$B$3)+1)*M16+IF($B$6=0,0,$B$6*NORMSINV(0.000001+0.999998*RAND())))</f>
        <v/>
      </c>
      <c r="GK16" s="30">
        <f>IF(81&gt;$B$3,99,INDEX(Symboles!$H$6:$H$101,MOD(80+$C16+(-4),$B$3)+1)*E16+INDEX(Symboles!$H$6:$H$101,MOD(80+$C16+(-3),$B$3)+1)*F16+INDEX(Symboles!$H$6:$H$101,MOD(80+$C16+(-2),$B$3)+1)*G16+INDEX(Symboles!$H$6:$H$101,MOD(80+$C16+(-1),$B$3)+1)*H16+INDEX(Symboles!$H$6:$H$101,MOD(80+$C16+(0),$B$3)+1)*I16+INDEX(Symboles!$H$6:$H$101,MOD(80+$C16+(1),$B$3)+1)*J16+INDEX(Symboles!$H$6:$H$101,MOD(80+$C16+(2),$B$3)+1)*K16+INDEX(Symboles!$H$6:$H$101,MOD(80+$C16+(3),$B$3)+1)*L16+INDEX(Symboles!$H$6:$H$101,MOD(80+$C16+(4),$B$3)+1)*M16+IF($B$6=0,0,$B$6*NORMSINV(0.000001+0.999998*RAND())))</f>
        <v/>
      </c>
      <c r="GL16" s="30">
        <f>IF(82&gt;$B$3,99,INDEX(Symboles!$H$6:$H$101,MOD(81+$C16+(-4),$B$3)+1)*E16+INDEX(Symboles!$H$6:$H$101,MOD(81+$C16+(-3),$B$3)+1)*F16+INDEX(Symboles!$H$6:$H$101,MOD(81+$C16+(-2),$B$3)+1)*G16+INDEX(Symboles!$H$6:$H$101,MOD(81+$C16+(-1),$B$3)+1)*H16+INDEX(Symboles!$H$6:$H$101,MOD(81+$C16+(0),$B$3)+1)*I16+INDEX(Symboles!$H$6:$H$101,MOD(81+$C16+(1),$B$3)+1)*J16+INDEX(Symboles!$H$6:$H$101,MOD(81+$C16+(2),$B$3)+1)*K16+INDEX(Symboles!$H$6:$H$101,MOD(81+$C16+(3),$B$3)+1)*L16+INDEX(Symboles!$H$6:$H$101,MOD(81+$C16+(4),$B$3)+1)*M16+IF($B$6=0,0,$B$6*NORMSINV(0.000001+0.999998*RAND())))</f>
        <v/>
      </c>
      <c r="GM16" s="30">
        <f>IF(83&gt;$B$3,99,INDEX(Symboles!$H$6:$H$101,MOD(82+$C16+(-4),$B$3)+1)*E16+INDEX(Symboles!$H$6:$H$101,MOD(82+$C16+(-3),$B$3)+1)*F16+INDEX(Symboles!$H$6:$H$101,MOD(82+$C16+(-2),$B$3)+1)*G16+INDEX(Symboles!$H$6:$H$101,MOD(82+$C16+(-1),$B$3)+1)*H16+INDEX(Symboles!$H$6:$H$101,MOD(82+$C16+(0),$B$3)+1)*I16+INDEX(Symboles!$H$6:$H$101,MOD(82+$C16+(1),$B$3)+1)*J16+INDEX(Symboles!$H$6:$H$101,MOD(82+$C16+(2),$B$3)+1)*K16+INDEX(Symboles!$H$6:$H$101,MOD(82+$C16+(3),$B$3)+1)*L16+INDEX(Symboles!$H$6:$H$101,MOD(82+$C16+(4),$B$3)+1)*M16+IF($B$6=0,0,$B$6*NORMSINV(0.000001+0.999998*RAND())))</f>
        <v/>
      </c>
      <c r="GN16" s="30">
        <f>IF(84&gt;$B$3,99,INDEX(Symboles!$H$6:$H$101,MOD(83+$C16+(-4),$B$3)+1)*E16+INDEX(Symboles!$H$6:$H$101,MOD(83+$C16+(-3),$B$3)+1)*F16+INDEX(Symboles!$H$6:$H$101,MOD(83+$C16+(-2),$B$3)+1)*G16+INDEX(Symboles!$H$6:$H$101,MOD(83+$C16+(-1),$B$3)+1)*H16+INDEX(Symboles!$H$6:$H$101,MOD(83+$C16+(0),$B$3)+1)*I16+INDEX(Symboles!$H$6:$H$101,MOD(83+$C16+(1),$B$3)+1)*J16+INDEX(Symboles!$H$6:$H$101,MOD(83+$C16+(2),$B$3)+1)*K16+INDEX(Symboles!$H$6:$H$101,MOD(83+$C16+(3),$B$3)+1)*L16+INDEX(Symboles!$H$6:$H$101,MOD(83+$C16+(4),$B$3)+1)*M16+IF($B$6=0,0,$B$6*NORMSINV(0.000001+0.999998*RAND())))</f>
        <v/>
      </c>
      <c r="GO16" s="30">
        <f>IF(85&gt;$B$3,99,INDEX(Symboles!$H$6:$H$101,MOD(84+$C16+(-4),$B$3)+1)*E16+INDEX(Symboles!$H$6:$H$101,MOD(84+$C16+(-3),$B$3)+1)*F16+INDEX(Symboles!$H$6:$H$101,MOD(84+$C16+(-2),$B$3)+1)*G16+INDEX(Symboles!$H$6:$H$101,MOD(84+$C16+(-1),$B$3)+1)*H16+INDEX(Symboles!$H$6:$H$101,MOD(84+$C16+(0),$B$3)+1)*I16+INDEX(Symboles!$H$6:$H$101,MOD(84+$C16+(1),$B$3)+1)*J16+INDEX(Symboles!$H$6:$H$101,MOD(84+$C16+(2),$B$3)+1)*K16+INDEX(Symboles!$H$6:$H$101,MOD(84+$C16+(3),$B$3)+1)*L16+INDEX(Symboles!$H$6:$H$101,MOD(84+$C16+(4),$B$3)+1)*M16+IF($B$6=0,0,$B$6*NORMSINV(0.000001+0.999998*RAND())))</f>
        <v/>
      </c>
      <c r="GP16" s="30">
        <f>IF(86&gt;$B$3,99,INDEX(Symboles!$H$6:$H$101,MOD(85+$C16+(-4),$B$3)+1)*E16+INDEX(Symboles!$H$6:$H$101,MOD(85+$C16+(-3),$B$3)+1)*F16+INDEX(Symboles!$H$6:$H$101,MOD(85+$C16+(-2),$B$3)+1)*G16+INDEX(Symboles!$H$6:$H$101,MOD(85+$C16+(-1),$B$3)+1)*H16+INDEX(Symboles!$H$6:$H$101,MOD(85+$C16+(0),$B$3)+1)*I16+INDEX(Symboles!$H$6:$H$101,MOD(85+$C16+(1),$B$3)+1)*J16+INDEX(Symboles!$H$6:$H$101,MOD(85+$C16+(2),$B$3)+1)*K16+INDEX(Symboles!$H$6:$H$101,MOD(85+$C16+(3),$B$3)+1)*L16+INDEX(Symboles!$H$6:$H$101,MOD(85+$C16+(4),$B$3)+1)*M16+IF($B$6=0,0,$B$6*NORMSINV(0.000001+0.999998*RAND())))</f>
        <v/>
      </c>
      <c r="GQ16" s="30">
        <f>IF(87&gt;$B$3,99,INDEX(Symboles!$H$6:$H$101,MOD(86+$C16+(-4),$B$3)+1)*E16+INDEX(Symboles!$H$6:$H$101,MOD(86+$C16+(-3),$B$3)+1)*F16+INDEX(Symboles!$H$6:$H$101,MOD(86+$C16+(-2),$B$3)+1)*G16+INDEX(Symboles!$H$6:$H$101,MOD(86+$C16+(-1),$B$3)+1)*H16+INDEX(Symboles!$H$6:$H$101,MOD(86+$C16+(0),$B$3)+1)*I16+INDEX(Symboles!$H$6:$H$101,MOD(86+$C16+(1),$B$3)+1)*J16+INDEX(Symboles!$H$6:$H$101,MOD(86+$C16+(2),$B$3)+1)*K16+INDEX(Symboles!$H$6:$H$101,MOD(86+$C16+(3),$B$3)+1)*L16+INDEX(Symboles!$H$6:$H$101,MOD(86+$C16+(4),$B$3)+1)*M16+IF($B$6=0,0,$B$6*NORMSINV(0.000001+0.999998*RAND())))</f>
        <v/>
      </c>
      <c r="GR16" s="30">
        <f>IF(88&gt;$B$3,99,INDEX(Symboles!$H$6:$H$101,MOD(87+$C16+(-4),$B$3)+1)*E16+INDEX(Symboles!$H$6:$H$101,MOD(87+$C16+(-3),$B$3)+1)*F16+INDEX(Symboles!$H$6:$H$101,MOD(87+$C16+(-2),$B$3)+1)*G16+INDEX(Symboles!$H$6:$H$101,MOD(87+$C16+(-1),$B$3)+1)*H16+INDEX(Symboles!$H$6:$H$101,MOD(87+$C16+(0),$B$3)+1)*I16+INDEX(Symboles!$H$6:$H$101,MOD(87+$C16+(1),$B$3)+1)*J16+INDEX(Symboles!$H$6:$H$101,MOD(87+$C16+(2),$B$3)+1)*K16+INDEX(Symboles!$H$6:$H$101,MOD(87+$C16+(3),$B$3)+1)*L16+INDEX(Symboles!$H$6:$H$101,MOD(87+$C16+(4),$B$3)+1)*M16+IF($B$6=0,0,$B$6*NORMSINV(0.000001+0.999998*RAND())))</f>
        <v/>
      </c>
      <c r="GS16" s="30">
        <f>IF(89&gt;$B$3,99,INDEX(Symboles!$H$6:$H$101,MOD(88+$C16+(-4),$B$3)+1)*E16+INDEX(Symboles!$H$6:$H$101,MOD(88+$C16+(-3),$B$3)+1)*F16+INDEX(Symboles!$H$6:$H$101,MOD(88+$C16+(-2),$B$3)+1)*G16+INDEX(Symboles!$H$6:$H$101,MOD(88+$C16+(-1),$B$3)+1)*H16+INDEX(Symboles!$H$6:$H$101,MOD(88+$C16+(0),$B$3)+1)*I16+INDEX(Symboles!$H$6:$H$101,MOD(88+$C16+(1),$B$3)+1)*J16+INDEX(Symboles!$H$6:$H$101,MOD(88+$C16+(2),$B$3)+1)*K16+INDEX(Symboles!$H$6:$H$101,MOD(88+$C16+(3),$B$3)+1)*L16+INDEX(Symboles!$H$6:$H$101,MOD(88+$C16+(4),$B$3)+1)*M16+IF($B$6=0,0,$B$6*NORMSINV(0.000001+0.999998*RAND())))</f>
        <v/>
      </c>
      <c r="GT16" s="30">
        <f>IF(90&gt;$B$3,99,INDEX(Symboles!$H$6:$H$101,MOD(89+$C16+(-4),$B$3)+1)*E16+INDEX(Symboles!$H$6:$H$101,MOD(89+$C16+(-3),$B$3)+1)*F16+INDEX(Symboles!$H$6:$H$101,MOD(89+$C16+(-2),$B$3)+1)*G16+INDEX(Symboles!$H$6:$H$101,MOD(89+$C16+(-1),$B$3)+1)*H16+INDEX(Symboles!$H$6:$H$101,MOD(89+$C16+(0),$B$3)+1)*I16+INDEX(Symboles!$H$6:$H$101,MOD(89+$C16+(1),$B$3)+1)*J16+INDEX(Symboles!$H$6:$H$101,MOD(89+$C16+(2),$B$3)+1)*K16+INDEX(Symboles!$H$6:$H$101,MOD(89+$C16+(3),$B$3)+1)*L16+INDEX(Symboles!$H$6:$H$101,MOD(89+$C16+(4),$B$3)+1)*M16+IF($B$6=0,0,$B$6*NORMSINV(0.000001+0.999998*RAND())))</f>
        <v/>
      </c>
      <c r="GU16" s="30">
        <f>IF(91&gt;$B$3,99,INDEX(Symboles!$H$6:$H$101,MOD(90+$C16+(-4),$B$3)+1)*E16+INDEX(Symboles!$H$6:$H$101,MOD(90+$C16+(-3),$B$3)+1)*F16+INDEX(Symboles!$H$6:$H$101,MOD(90+$C16+(-2),$B$3)+1)*G16+INDEX(Symboles!$H$6:$H$101,MOD(90+$C16+(-1),$B$3)+1)*H16+INDEX(Symboles!$H$6:$H$101,MOD(90+$C16+(0),$B$3)+1)*I16+INDEX(Symboles!$H$6:$H$101,MOD(90+$C16+(1),$B$3)+1)*J16+INDEX(Symboles!$H$6:$H$101,MOD(90+$C16+(2),$B$3)+1)*K16+INDEX(Symboles!$H$6:$H$101,MOD(90+$C16+(3),$B$3)+1)*L16+INDEX(Symboles!$H$6:$H$101,MOD(90+$C16+(4),$B$3)+1)*M16+IF($B$6=0,0,$B$6*NORMSINV(0.000001+0.999998*RAND())))</f>
        <v/>
      </c>
      <c r="GV16" s="30">
        <f>IF(92&gt;$B$3,99,INDEX(Symboles!$H$6:$H$101,MOD(91+$C16+(-4),$B$3)+1)*E16+INDEX(Symboles!$H$6:$H$101,MOD(91+$C16+(-3),$B$3)+1)*F16+INDEX(Symboles!$H$6:$H$101,MOD(91+$C16+(-2),$B$3)+1)*G16+INDEX(Symboles!$H$6:$H$101,MOD(91+$C16+(-1),$B$3)+1)*H16+INDEX(Symboles!$H$6:$H$101,MOD(91+$C16+(0),$B$3)+1)*I16+INDEX(Symboles!$H$6:$H$101,MOD(91+$C16+(1),$B$3)+1)*J16+INDEX(Symboles!$H$6:$H$101,MOD(91+$C16+(2),$B$3)+1)*K16+INDEX(Symboles!$H$6:$H$101,MOD(91+$C16+(3),$B$3)+1)*L16+INDEX(Symboles!$H$6:$H$101,MOD(91+$C16+(4),$B$3)+1)*M16+IF($B$6=0,0,$B$6*NORMSINV(0.000001+0.999998*RAND())))</f>
        <v/>
      </c>
      <c r="GW16" s="30">
        <f>IF(93&gt;$B$3,99,INDEX(Symboles!$H$6:$H$101,MOD(92+$C16+(-4),$B$3)+1)*E16+INDEX(Symboles!$H$6:$H$101,MOD(92+$C16+(-3),$B$3)+1)*F16+INDEX(Symboles!$H$6:$H$101,MOD(92+$C16+(-2),$B$3)+1)*G16+INDEX(Symboles!$H$6:$H$101,MOD(92+$C16+(-1),$B$3)+1)*H16+INDEX(Symboles!$H$6:$H$101,MOD(92+$C16+(0),$B$3)+1)*I16+INDEX(Symboles!$H$6:$H$101,MOD(92+$C16+(1),$B$3)+1)*J16+INDEX(Symboles!$H$6:$H$101,MOD(92+$C16+(2),$B$3)+1)*K16+INDEX(Symboles!$H$6:$H$101,MOD(92+$C16+(3),$B$3)+1)*L16+INDEX(Symboles!$H$6:$H$101,MOD(92+$C16+(4),$B$3)+1)*M16+IF($B$6=0,0,$B$6*NORMSINV(0.000001+0.999998*RAND())))</f>
        <v/>
      </c>
      <c r="GX16" s="30">
        <f>IF(94&gt;$B$3,99,INDEX(Symboles!$H$6:$H$101,MOD(93+$C16+(-4),$B$3)+1)*E16+INDEX(Symboles!$H$6:$H$101,MOD(93+$C16+(-3),$B$3)+1)*F16+INDEX(Symboles!$H$6:$H$101,MOD(93+$C16+(-2),$B$3)+1)*G16+INDEX(Symboles!$H$6:$H$101,MOD(93+$C16+(-1),$B$3)+1)*H16+INDEX(Symboles!$H$6:$H$101,MOD(93+$C16+(0),$B$3)+1)*I16+INDEX(Symboles!$H$6:$H$101,MOD(93+$C16+(1),$B$3)+1)*J16+INDEX(Symboles!$H$6:$H$101,MOD(93+$C16+(2),$B$3)+1)*K16+INDEX(Symboles!$H$6:$H$101,MOD(93+$C16+(3),$B$3)+1)*L16+INDEX(Symboles!$H$6:$H$101,MOD(93+$C16+(4),$B$3)+1)*M16+IF($B$6=0,0,$B$6*NORMSINV(0.000001+0.999998*RAND())))</f>
        <v/>
      </c>
      <c r="GY16" s="30">
        <f>IF(95&gt;$B$3,99,INDEX(Symboles!$H$6:$H$101,MOD(94+$C16+(-4),$B$3)+1)*E16+INDEX(Symboles!$H$6:$H$101,MOD(94+$C16+(-3),$B$3)+1)*F16+INDEX(Symboles!$H$6:$H$101,MOD(94+$C16+(-2),$B$3)+1)*G16+INDEX(Symboles!$H$6:$H$101,MOD(94+$C16+(-1),$B$3)+1)*H16+INDEX(Symboles!$H$6:$H$101,MOD(94+$C16+(0),$B$3)+1)*I16+INDEX(Symboles!$H$6:$H$101,MOD(94+$C16+(1),$B$3)+1)*J16+INDEX(Symboles!$H$6:$H$101,MOD(94+$C16+(2),$B$3)+1)*K16+INDEX(Symboles!$H$6:$H$101,MOD(94+$C16+(3),$B$3)+1)*L16+INDEX(Symboles!$H$6:$H$101,MOD(94+$C16+(4),$B$3)+1)*M16+IF($B$6=0,0,$B$6*NORMSINV(0.000001+0.999998*RAND())))</f>
        <v/>
      </c>
      <c r="GZ16" s="30">
        <f>IF(96&gt;$B$3,99,INDEX(Symboles!$H$6:$H$101,MOD(95+$C16+(-4),$B$3)+1)*E16+INDEX(Symboles!$H$6:$H$101,MOD(95+$C16+(-3),$B$3)+1)*F16+INDEX(Symboles!$H$6:$H$101,MOD(95+$C16+(-2),$B$3)+1)*G16+INDEX(Symboles!$H$6:$H$101,MOD(95+$C16+(-1),$B$3)+1)*H16+INDEX(Symboles!$H$6:$H$101,MOD(95+$C16+(0),$B$3)+1)*I16+INDEX(Symboles!$H$6:$H$101,MOD(95+$C16+(1),$B$3)+1)*J16+INDEX(Symboles!$H$6:$H$101,MOD(95+$C16+(2),$B$3)+1)*K16+INDEX(Symboles!$H$6:$H$101,MOD(95+$C16+(3),$B$3)+1)*L16+INDEX(Symboles!$H$6:$H$101,MOD(95+$C16+(4),$B$3)+1)*M16+IF($B$6=0,0,$B$6*NORMSINV(0.000001+0.999998*RAND())))</f>
        <v/>
      </c>
    </row>
    <row r="17">
      <c r="A17" s="28" t="n">
        <v>7</v>
      </c>
      <c r="B17" s="28" t="n">
        <v>-0.5625</v>
      </c>
      <c r="C17" s="28" t="n">
        <v>-1</v>
      </c>
      <c r="D17" s="28" t="n">
        <v>15</v>
      </c>
      <c r="E17" s="29">
        <f>IF($B$4=1,0,IF(ABS(1-(2*$B$5*4.4375)^2)&lt;0.000001,PI()/4*SIN(PI()/(2*$B$5))/(PI()/(2*$B$5)),SIN(PI()*4.4375)/(PI()*4.4375)*COS(PI()*$B$5*4.4375)/(1-(2*$B$5*4.4375)^2)))</f>
        <v/>
      </c>
      <c r="F17" s="29">
        <f>IF($B$4=1,0,IF(ABS(1-(2*$B$5*3.4375)^2)&lt;0.000001,PI()/4*SIN(PI()/(2*$B$5))/(PI()/(2*$B$5)),SIN(PI()*3.4375)/(PI()*3.4375)*COS(PI()*$B$5*3.4375)/(1-(2*$B$5*3.4375)^2)))</f>
        <v/>
      </c>
      <c r="G17" s="29">
        <f>IF($B$4=1,0,IF(ABS(1-(2*$B$5*2.4375)^2)&lt;0.000001,PI()/4*SIN(PI()/(2*$B$5))/(PI()/(2*$B$5)),SIN(PI()*2.4375)/(PI()*2.4375)*COS(PI()*$B$5*2.4375)/(1-(2*$B$5*2.4375)^2)))</f>
        <v/>
      </c>
      <c r="H17" s="29">
        <f>IF($B$4=1,0,IF(ABS(1-(2*$B$5*1.4375)^2)&lt;0.000001,PI()/4*SIN(PI()/(2*$B$5))/(PI()/(2*$B$5)),SIN(PI()*1.4375)/(PI()*1.4375)*COS(PI()*$B$5*1.4375)/(1-(2*$B$5*1.4375)^2)))</f>
        <v/>
      </c>
      <c r="I17" s="29">
        <f>IF($B$4=1,1,IF(ABS(1-(2*$B$5*0.4375)^2)&lt;0.000001,PI()/4*SIN(PI()/(2*$B$5))/(PI()/(2*$B$5)),SIN(PI()*0.4375)/(PI()*0.4375)*COS(PI()*$B$5*0.4375)/(1-(2*$B$5*0.4375)^2)))</f>
        <v/>
      </c>
      <c r="J17" s="29">
        <f>IF($B$4=1,0,IF(ABS(1-(2*$B$5*-0.5625)^2)&lt;0.000001,PI()/4*SIN(PI()/(2*$B$5))/(PI()/(2*$B$5)),SIN(PI()*-0.5625)/(PI()*-0.5625)*COS(PI()*$B$5*-0.5625)/(1-(2*$B$5*-0.5625)^2)))</f>
        <v/>
      </c>
      <c r="K17" s="29">
        <f>IF($B$4=1,0,IF(ABS(1-(2*$B$5*-1.5625)^2)&lt;0.000001,PI()/4*SIN(PI()/(2*$B$5))/(PI()/(2*$B$5)),SIN(PI()*-1.5625)/(PI()*-1.5625)*COS(PI()*$B$5*-1.5625)/(1-(2*$B$5*-1.5625)^2)))</f>
        <v/>
      </c>
      <c r="L17" s="29">
        <f>IF($B$4=1,0,IF(ABS(1-(2*$B$5*-2.5625)^2)&lt;0.000001,PI()/4*SIN(PI()/(2*$B$5))/(PI()/(2*$B$5)),SIN(PI()*-2.5625)/(PI()*-2.5625)*COS(PI()*$B$5*-2.5625)/(1-(2*$B$5*-2.5625)^2)))</f>
        <v/>
      </c>
      <c r="M17" s="29">
        <f>IF($B$4=1,0,IF(ABS(1-(2*$B$5*-3.5625)^2)&lt;0.000001,PI()/4*SIN(PI()/(2*$B$5))/(PI()/(2*$B$5)),SIN(PI()*-3.5625)/(PI()*-3.5625)*COS(PI()*$B$5*-3.5625)/(1-(2*$B$5*-3.5625)^2)))</f>
        <v/>
      </c>
      <c r="P17" s="30">
        <f>IF(1&gt;$B$3,99,INDEX(Symboles!$G$6:$G$101,MOD(0+$C17+(-4),$B$3)+1)*E17+INDEX(Symboles!$G$6:$G$101,MOD(0+$C17+(-3),$B$3)+1)*F17+INDEX(Symboles!$G$6:$G$101,MOD(0+$C17+(-2),$B$3)+1)*G17+INDEX(Symboles!$G$6:$G$101,MOD(0+$C17+(-1),$B$3)+1)*H17+INDEX(Symboles!$G$6:$G$101,MOD(0+$C17+(0),$B$3)+1)*I17+INDEX(Symboles!$G$6:$G$101,MOD(0+$C17+(1),$B$3)+1)*J17+INDEX(Symboles!$G$6:$G$101,MOD(0+$C17+(2),$B$3)+1)*K17+INDEX(Symboles!$G$6:$G$101,MOD(0+$C17+(3),$B$3)+1)*L17+INDEX(Symboles!$G$6:$G$101,MOD(0+$C17+(4),$B$3)+1)*M17+IF($B$6=0,0,$B$6*NORMSINV(0.000001+0.999998*RAND())))</f>
        <v/>
      </c>
      <c r="Q17" s="30">
        <f>IF(2&gt;$B$3,99,INDEX(Symboles!$G$6:$G$101,MOD(1+$C17+(-4),$B$3)+1)*E17+INDEX(Symboles!$G$6:$G$101,MOD(1+$C17+(-3),$B$3)+1)*F17+INDEX(Symboles!$G$6:$G$101,MOD(1+$C17+(-2),$B$3)+1)*G17+INDEX(Symboles!$G$6:$G$101,MOD(1+$C17+(-1),$B$3)+1)*H17+INDEX(Symboles!$G$6:$G$101,MOD(1+$C17+(0),$B$3)+1)*I17+INDEX(Symboles!$G$6:$G$101,MOD(1+$C17+(1),$B$3)+1)*J17+INDEX(Symboles!$G$6:$G$101,MOD(1+$C17+(2),$B$3)+1)*K17+INDEX(Symboles!$G$6:$G$101,MOD(1+$C17+(3),$B$3)+1)*L17+INDEX(Symboles!$G$6:$G$101,MOD(1+$C17+(4),$B$3)+1)*M17+IF($B$6=0,0,$B$6*NORMSINV(0.000001+0.999998*RAND())))</f>
        <v/>
      </c>
      <c r="R17" s="30">
        <f>IF(3&gt;$B$3,99,INDEX(Symboles!$G$6:$G$101,MOD(2+$C17+(-4),$B$3)+1)*E17+INDEX(Symboles!$G$6:$G$101,MOD(2+$C17+(-3),$B$3)+1)*F17+INDEX(Symboles!$G$6:$G$101,MOD(2+$C17+(-2),$B$3)+1)*G17+INDEX(Symboles!$G$6:$G$101,MOD(2+$C17+(-1),$B$3)+1)*H17+INDEX(Symboles!$G$6:$G$101,MOD(2+$C17+(0),$B$3)+1)*I17+INDEX(Symboles!$G$6:$G$101,MOD(2+$C17+(1),$B$3)+1)*J17+INDEX(Symboles!$G$6:$G$101,MOD(2+$C17+(2),$B$3)+1)*K17+INDEX(Symboles!$G$6:$G$101,MOD(2+$C17+(3),$B$3)+1)*L17+INDEX(Symboles!$G$6:$G$101,MOD(2+$C17+(4),$B$3)+1)*M17+IF($B$6=0,0,$B$6*NORMSINV(0.000001+0.999998*RAND())))</f>
        <v/>
      </c>
      <c r="S17" s="30">
        <f>IF(4&gt;$B$3,99,INDEX(Symboles!$G$6:$G$101,MOD(3+$C17+(-4),$B$3)+1)*E17+INDEX(Symboles!$G$6:$G$101,MOD(3+$C17+(-3),$B$3)+1)*F17+INDEX(Symboles!$G$6:$G$101,MOD(3+$C17+(-2),$B$3)+1)*G17+INDEX(Symboles!$G$6:$G$101,MOD(3+$C17+(-1),$B$3)+1)*H17+INDEX(Symboles!$G$6:$G$101,MOD(3+$C17+(0),$B$3)+1)*I17+INDEX(Symboles!$G$6:$G$101,MOD(3+$C17+(1),$B$3)+1)*J17+INDEX(Symboles!$G$6:$G$101,MOD(3+$C17+(2),$B$3)+1)*K17+INDEX(Symboles!$G$6:$G$101,MOD(3+$C17+(3),$B$3)+1)*L17+INDEX(Symboles!$G$6:$G$101,MOD(3+$C17+(4),$B$3)+1)*M17+IF($B$6=0,0,$B$6*NORMSINV(0.000001+0.999998*RAND())))</f>
        <v/>
      </c>
      <c r="T17" s="30">
        <f>IF(5&gt;$B$3,99,INDEX(Symboles!$G$6:$G$101,MOD(4+$C17+(-4),$B$3)+1)*E17+INDEX(Symboles!$G$6:$G$101,MOD(4+$C17+(-3),$B$3)+1)*F17+INDEX(Symboles!$G$6:$G$101,MOD(4+$C17+(-2),$B$3)+1)*G17+INDEX(Symboles!$G$6:$G$101,MOD(4+$C17+(-1),$B$3)+1)*H17+INDEX(Symboles!$G$6:$G$101,MOD(4+$C17+(0),$B$3)+1)*I17+INDEX(Symboles!$G$6:$G$101,MOD(4+$C17+(1),$B$3)+1)*J17+INDEX(Symboles!$G$6:$G$101,MOD(4+$C17+(2),$B$3)+1)*K17+INDEX(Symboles!$G$6:$G$101,MOD(4+$C17+(3),$B$3)+1)*L17+INDEX(Symboles!$G$6:$G$101,MOD(4+$C17+(4),$B$3)+1)*M17+IF($B$6=0,0,$B$6*NORMSINV(0.000001+0.999998*RAND())))</f>
        <v/>
      </c>
      <c r="U17" s="30">
        <f>IF(6&gt;$B$3,99,INDEX(Symboles!$G$6:$G$101,MOD(5+$C17+(-4),$B$3)+1)*E17+INDEX(Symboles!$G$6:$G$101,MOD(5+$C17+(-3),$B$3)+1)*F17+INDEX(Symboles!$G$6:$G$101,MOD(5+$C17+(-2),$B$3)+1)*G17+INDEX(Symboles!$G$6:$G$101,MOD(5+$C17+(-1),$B$3)+1)*H17+INDEX(Symboles!$G$6:$G$101,MOD(5+$C17+(0),$B$3)+1)*I17+INDEX(Symboles!$G$6:$G$101,MOD(5+$C17+(1),$B$3)+1)*J17+INDEX(Symboles!$G$6:$G$101,MOD(5+$C17+(2),$B$3)+1)*K17+INDEX(Symboles!$G$6:$G$101,MOD(5+$C17+(3),$B$3)+1)*L17+INDEX(Symboles!$G$6:$G$101,MOD(5+$C17+(4),$B$3)+1)*M17+IF($B$6=0,0,$B$6*NORMSINV(0.000001+0.999998*RAND())))</f>
        <v/>
      </c>
      <c r="V17" s="30">
        <f>IF(7&gt;$B$3,99,INDEX(Symboles!$G$6:$G$101,MOD(6+$C17+(-4),$B$3)+1)*E17+INDEX(Symboles!$G$6:$G$101,MOD(6+$C17+(-3),$B$3)+1)*F17+INDEX(Symboles!$G$6:$G$101,MOD(6+$C17+(-2),$B$3)+1)*G17+INDEX(Symboles!$G$6:$G$101,MOD(6+$C17+(-1),$B$3)+1)*H17+INDEX(Symboles!$G$6:$G$101,MOD(6+$C17+(0),$B$3)+1)*I17+INDEX(Symboles!$G$6:$G$101,MOD(6+$C17+(1),$B$3)+1)*J17+INDEX(Symboles!$G$6:$G$101,MOD(6+$C17+(2),$B$3)+1)*K17+INDEX(Symboles!$G$6:$G$101,MOD(6+$C17+(3),$B$3)+1)*L17+INDEX(Symboles!$G$6:$G$101,MOD(6+$C17+(4),$B$3)+1)*M17+IF($B$6=0,0,$B$6*NORMSINV(0.000001+0.999998*RAND())))</f>
        <v/>
      </c>
      <c r="W17" s="30">
        <f>IF(8&gt;$B$3,99,INDEX(Symboles!$G$6:$G$101,MOD(7+$C17+(-4),$B$3)+1)*E17+INDEX(Symboles!$G$6:$G$101,MOD(7+$C17+(-3),$B$3)+1)*F17+INDEX(Symboles!$G$6:$G$101,MOD(7+$C17+(-2),$B$3)+1)*G17+INDEX(Symboles!$G$6:$G$101,MOD(7+$C17+(-1),$B$3)+1)*H17+INDEX(Symboles!$G$6:$G$101,MOD(7+$C17+(0),$B$3)+1)*I17+INDEX(Symboles!$G$6:$G$101,MOD(7+$C17+(1),$B$3)+1)*J17+INDEX(Symboles!$G$6:$G$101,MOD(7+$C17+(2),$B$3)+1)*K17+INDEX(Symboles!$G$6:$G$101,MOD(7+$C17+(3),$B$3)+1)*L17+INDEX(Symboles!$G$6:$G$101,MOD(7+$C17+(4),$B$3)+1)*M17+IF($B$6=0,0,$B$6*NORMSINV(0.000001+0.999998*RAND())))</f>
        <v/>
      </c>
      <c r="X17" s="30">
        <f>IF(9&gt;$B$3,99,INDEX(Symboles!$G$6:$G$101,MOD(8+$C17+(-4),$B$3)+1)*E17+INDEX(Symboles!$G$6:$G$101,MOD(8+$C17+(-3),$B$3)+1)*F17+INDEX(Symboles!$G$6:$G$101,MOD(8+$C17+(-2),$B$3)+1)*G17+INDEX(Symboles!$G$6:$G$101,MOD(8+$C17+(-1),$B$3)+1)*H17+INDEX(Symboles!$G$6:$G$101,MOD(8+$C17+(0),$B$3)+1)*I17+INDEX(Symboles!$G$6:$G$101,MOD(8+$C17+(1),$B$3)+1)*J17+INDEX(Symboles!$G$6:$G$101,MOD(8+$C17+(2),$B$3)+1)*K17+INDEX(Symboles!$G$6:$G$101,MOD(8+$C17+(3),$B$3)+1)*L17+INDEX(Symboles!$G$6:$G$101,MOD(8+$C17+(4),$B$3)+1)*M17+IF($B$6=0,0,$B$6*NORMSINV(0.000001+0.999998*RAND())))</f>
        <v/>
      </c>
      <c r="Y17" s="30">
        <f>IF(10&gt;$B$3,99,INDEX(Symboles!$G$6:$G$101,MOD(9+$C17+(-4),$B$3)+1)*E17+INDEX(Symboles!$G$6:$G$101,MOD(9+$C17+(-3),$B$3)+1)*F17+INDEX(Symboles!$G$6:$G$101,MOD(9+$C17+(-2),$B$3)+1)*G17+INDEX(Symboles!$G$6:$G$101,MOD(9+$C17+(-1),$B$3)+1)*H17+INDEX(Symboles!$G$6:$G$101,MOD(9+$C17+(0),$B$3)+1)*I17+INDEX(Symboles!$G$6:$G$101,MOD(9+$C17+(1),$B$3)+1)*J17+INDEX(Symboles!$G$6:$G$101,MOD(9+$C17+(2),$B$3)+1)*K17+INDEX(Symboles!$G$6:$G$101,MOD(9+$C17+(3),$B$3)+1)*L17+INDEX(Symboles!$G$6:$G$101,MOD(9+$C17+(4),$B$3)+1)*M17+IF($B$6=0,0,$B$6*NORMSINV(0.000001+0.999998*RAND())))</f>
        <v/>
      </c>
      <c r="Z17" s="30">
        <f>IF(11&gt;$B$3,99,INDEX(Symboles!$G$6:$G$101,MOD(10+$C17+(-4),$B$3)+1)*E17+INDEX(Symboles!$G$6:$G$101,MOD(10+$C17+(-3),$B$3)+1)*F17+INDEX(Symboles!$G$6:$G$101,MOD(10+$C17+(-2),$B$3)+1)*G17+INDEX(Symboles!$G$6:$G$101,MOD(10+$C17+(-1),$B$3)+1)*H17+INDEX(Symboles!$G$6:$G$101,MOD(10+$C17+(0),$B$3)+1)*I17+INDEX(Symboles!$G$6:$G$101,MOD(10+$C17+(1),$B$3)+1)*J17+INDEX(Symboles!$G$6:$G$101,MOD(10+$C17+(2),$B$3)+1)*K17+INDEX(Symboles!$G$6:$G$101,MOD(10+$C17+(3),$B$3)+1)*L17+INDEX(Symboles!$G$6:$G$101,MOD(10+$C17+(4),$B$3)+1)*M17+IF($B$6=0,0,$B$6*NORMSINV(0.000001+0.999998*RAND())))</f>
        <v/>
      </c>
      <c r="AA17" s="30">
        <f>IF(12&gt;$B$3,99,INDEX(Symboles!$G$6:$G$101,MOD(11+$C17+(-4),$B$3)+1)*E17+INDEX(Symboles!$G$6:$G$101,MOD(11+$C17+(-3),$B$3)+1)*F17+INDEX(Symboles!$G$6:$G$101,MOD(11+$C17+(-2),$B$3)+1)*G17+INDEX(Symboles!$G$6:$G$101,MOD(11+$C17+(-1),$B$3)+1)*H17+INDEX(Symboles!$G$6:$G$101,MOD(11+$C17+(0),$B$3)+1)*I17+INDEX(Symboles!$G$6:$G$101,MOD(11+$C17+(1),$B$3)+1)*J17+INDEX(Symboles!$G$6:$G$101,MOD(11+$C17+(2),$B$3)+1)*K17+INDEX(Symboles!$G$6:$G$101,MOD(11+$C17+(3),$B$3)+1)*L17+INDEX(Symboles!$G$6:$G$101,MOD(11+$C17+(4),$B$3)+1)*M17+IF($B$6=0,0,$B$6*NORMSINV(0.000001+0.999998*RAND())))</f>
        <v/>
      </c>
      <c r="AB17" s="30">
        <f>IF(13&gt;$B$3,99,INDEX(Symboles!$G$6:$G$101,MOD(12+$C17+(-4),$B$3)+1)*E17+INDEX(Symboles!$G$6:$G$101,MOD(12+$C17+(-3),$B$3)+1)*F17+INDEX(Symboles!$G$6:$G$101,MOD(12+$C17+(-2),$B$3)+1)*G17+INDEX(Symboles!$G$6:$G$101,MOD(12+$C17+(-1),$B$3)+1)*H17+INDEX(Symboles!$G$6:$G$101,MOD(12+$C17+(0),$B$3)+1)*I17+INDEX(Symboles!$G$6:$G$101,MOD(12+$C17+(1),$B$3)+1)*J17+INDEX(Symboles!$G$6:$G$101,MOD(12+$C17+(2),$B$3)+1)*K17+INDEX(Symboles!$G$6:$G$101,MOD(12+$C17+(3),$B$3)+1)*L17+INDEX(Symboles!$G$6:$G$101,MOD(12+$C17+(4),$B$3)+1)*M17+IF($B$6=0,0,$B$6*NORMSINV(0.000001+0.999998*RAND())))</f>
        <v/>
      </c>
      <c r="AC17" s="30">
        <f>IF(14&gt;$B$3,99,INDEX(Symboles!$G$6:$G$101,MOD(13+$C17+(-4),$B$3)+1)*E17+INDEX(Symboles!$G$6:$G$101,MOD(13+$C17+(-3),$B$3)+1)*F17+INDEX(Symboles!$G$6:$G$101,MOD(13+$C17+(-2),$B$3)+1)*G17+INDEX(Symboles!$G$6:$G$101,MOD(13+$C17+(-1),$B$3)+1)*H17+INDEX(Symboles!$G$6:$G$101,MOD(13+$C17+(0),$B$3)+1)*I17+INDEX(Symboles!$G$6:$G$101,MOD(13+$C17+(1),$B$3)+1)*J17+INDEX(Symboles!$G$6:$G$101,MOD(13+$C17+(2),$B$3)+1)*K17+INDEX(Symboles!$G$6:$G$101,MOD(13+$C17+(3),$B$3)+1)*L17+INDEX(Symboles!$G$6:$G$101,MOD(13+$C17+(4),$B$3)+1)*M17+IF($B$6=0,0,$B$6*NORMSINV(0.000001+0.999998*RAND())))</f>
        <v/>
      </c>
      <c r="AD17" s="30">
        <f>IF(15&gt;$B$3,99,INDEX(Symboles!$G$6:$G$101,MOD(14+$C17+(-4),$B$3)+1)*E17+INDEX(Symboles!$G$6:$G$101,MOD(14+$C17+(-3),$B$3)+1)*F17+INDEX(Symboles!$G$6:$G$101,MOD(14+$C17+(-2),$B$3)+1)*G17+INDEX(Symboles!$G$6:$G$101,MOD(14+$C17+(-1),$B$3)+1)*H17+INDEX(Symboles!$G$6:$G$101,MOD(14+$C17+(0),$B$3)+1)*I17+INDEX(Symboles!$G$6:$G$101,MOD(14+$C17+(1),$B$3)+1)*J17+INDEX(Symboles!$G$6:$G$101,MOD(14+$C17+(2),$B$3)+1)*K17+INDEX(Symboles!$G$6:$G$101,MOD(14+$C17+(3),$B$3)+1)*L17+INDEX(Symboles!$G$6:$G$101,MOD(14+$C17+(4),$B$3)+1)*M17+IF($B$6=0,0,$B$6*NORMSINV(0.000001+0.999998*RAND())))</f>
        <v/>
      </c>
      <c r="AE17" s="30">
        <f>IF(16&gt;$B$3,99,INDEX(Symboles!$G$6:$G$101,MOD(15+$C17+(-4),$B$3)+1)*E17+INDEX(Symboles!$G$6:$G$101,MOD(15+$C17+(-3),$B$3)+1)*F17+INDEX(Symboles!$G$6:$G$101,MOD(15+$C17+(-2),$B$3)+1)*G17+INDEX(Symboles!$G$6:$G$101,MOD(15+$C17+(-1),$B$3)+1)*H17+INDEX(Symboles!$G$6:$G$101,MOD(15+$C17+(0),$B$3)+1)*I17+INDEX(Symboles!$G$6:$G$101,MOD(15+$C17+(1),$B$3)+1)*J17+INDEX(Symboles!$G$6:$G$101,MOD(15+$C17+(2),$B$3)+1)*K17+INDEX(Symboles!$G$6:$G$101,MOD(15+$C17+(3),$B$3)+1)*L17+INDEX(Symboles!$G$6:$G$101,MOD(15+$C17+(4),$B$3)+1)*M17+IF($B$6=0,0,$B$6*NORMSINV(0.000001+0.999998*RAND())))</f>
        <v/>
      </c>
      <c r="AF17" s="30">
        <f>IF(17&gt;$B$3,99,INDEX(Symboles!$G$6:$G$101,MOD(16+$C17+(-4),$B$3)+1)*E17+INDEX(Symboles!$G$6:$G$101,MOD(16+$C17+(-3),$B$3)+1)*F17+INDEX(Symboles!$G$6:$G$101,MOD(16+$C17+(-2),$B$3)+1)*G17+INDEX(Symboles!$G$6:$G$101,MOD(16+$C17+(-1),$B$3)+1)*H17+INDEX(Symboles!$G$6:$G$101,MOD(16+$C17+(0),$B$3)+1)*I17+INDEX(Symboles!$G$6:$G$101,MOD(16+$C17+(1),$B$3)+1)*J17+INDEX(Symboles!$G$6:$G$101,MOD(16+$C17+(2),$B$3)+1)*K17+INDEX(Symboles!$G$6:$G$101,MOD(16+$C17+(3),$B$3)+1)*L17+INDEX(Symboles!$G$6:$G$101,MOD(16+$C17+(4),$B$3)+1)*M17+IF($B$6=0,0,$B$6*NORMSINV(0.000001+0.999998*RAND())))</f>
        <v/>
      </c>
      <c r="AG17" s="30">
        <f>IF(18&gt;$B$3,99,INDEX(Symboles!$G$6:$G$101,MOD(17+$C17+(-4),$B$3)+1)*E17+INDEX(Symboles!$G$6:$G$101,MOD(17+$C17+(-3),$B$3)+1)*F17+INDEX(Symboles!$G$6:$G$101,MOD(17+$C17+(-2),$B$3)+1)*G17+INDEX(Symboles!$G$6:$G$101,MOD(17+$C17+(-1),$B$3)+1)*H17+INDEX(Symboles!$G$6:$G$101,MOD(17+$C17+(0),$B$3)+1)*I17+INDEX(Symboles!$G$6:$G$101,MOD(17+$C17+(1),$B$3)+1)*J17+INDEX(Symboles!$G$6:$G$101,MOD(17+$C17+(2),$B$3)+1)*K17+INDEX(Symboles!$G$6:$G$101,MOD(17+$C17+(3),$B$3)+1)*L17+INDEX(Symboles!$G$6:$G$101,MOD(17+$C17+(4),$B$3)+1)*M17+IF($B$6=0,0,$B$6*NORMSINV(0.000001+0.999998*RAND())))</f>
        <v/>
      </c>
      <c r="AH17" s="30">
        <f>IF(19&gt;$B$3,99,INDEX(Symboles!$G$6:$G$101,MOD(18+$C17+(-4),$B$3)+1)*E17+INDEX(Symboles!$G$6:$G$101,MOD(18+$C17+(-3),$B$3)+1)*F17+INDEX(Symboles!$G$6:$G$101,MOD(18+$C17+(-2),$B$3)+1)*G17+INDEX(Symboles!$G$6:$G$101,MOD(18+$C17+(-1),$B$3)+1)*H17+INDEX(Symboles!$G$6:$G$101,MOD(18+$C17+(0),$B$3)+1)*I17+INDEX(Symboles!$G$6:$G$101,MOD(18+$C17+(1),$B$3)+1)*J17+INDEX(Symboles!$G$6:$G$101,MOD(18+$C17+(2),$B$3)+1)*K17+INDEX(Symboles!$G$6:$G$101,MOD(18+$C17+(3),$B$3)+1)*L17+INDEX(Symboles!$G$6:$G$101,MOD(18+$C17+(4),$B$3)+1)*M17+IF($B$6=0,0,$B$6*NORMSINV(0.000001+0.999998*RAND())))</f>
        <v/>
      </c>
      <c r="AI17" s="30">
        <f>IF(20&gt;$B$3,99,INDEX(Symboles!$G$6:$G$101,MOD(19+$C17+(-4),$B$3)+1)*E17+INDEX(Symboles!$G$6:$G$101,MOD(19+$C17+(-3),$B$3)+1)*F17+INDEX(Symboles!$G$6:$G$101,MOD(19+$C17+(-2),$B$3)+1)*G17+INDEX(Symboles!$G$6:$G$101,MOD(19+$C17+(-1),$B$3)+1)*H17+INDEX(Symboles!$G$6:$G$101,MOD(19+$C17+(0),$B$3)+1)*I17+INDEX(Symboles!$G$6:$G$101,MOD(19+$C17+(1),$B$3)+1)*J17+INDEX(Symboles!$G$6:$G$101,MOD(19+$C17+(2),$B$3)+1)*K17+INDEX(Symboles!$G$6:$G$101,MOD(19+$C17+(3),$B$3)+1)*L17+INDEX(Symboles!$G$6:$G$101,MOD(19+$C17+(4),$B$3)+1)*M17+IF($B$6=0,0,$B$6*NORMSINV(0.000001+0.999998*RAND())))</f>
        <v/>
      </c>
      <c r="AJ17" s="30">
        <f>IF(21&gt;$B$3,99,INDEX(Symboles!$G$6:$G$101,MOD(20+$C17+(-4),$B$3)+1)*E17+INDEX(Symboles!$G$6:$G$101,MOD(20+$C17+(-3),$B$3)+1)*F17+INDEX(Symboles!$G$6:$G$101,MOD(20+$C17+(-2),$B$3)+1)*G17+INDEX(Symboles!$G$6:$G$101,MOD(20+$C17+(-1),$B$3)+1)*H17+INDEX(Symboles!$G$6:$G$101,MOD(20+$C17+(0),$B$3)+1)*I17+INDEX(Symboles!$G$6:$G$101,MOD(20+$C17+(1),$B$3)+1)*J17+INDEX(Symboles!$G$6:$G$101,MOD(20+$C17+(2),$B$3)+1)*K17+INDEX(Symboles!$G$6:$G$101,MOD(20+$C17+(3),$B$3)+1)*L17+INDEX(Symboles!$G$6:$G$101,MOD(20+$C17+(4),$B$3)+1)*M17+IF($B$6=0,0,$B$6*NORMSINV(0.000001+0.999998*RAND())))</f>
        <v/>
      </c>
      <c r="AK17" s="30">
        <f>IF(22&gt;$B$3,99,INDEX(Symboles!$G$6:$G$101,MOD(21+$C17+(-4),$B$3)+1)*E17+INDEX(Symboles!$G$6:$G$101,MOD(21+$C17+(-3),$B$3)+1)*F17+INDEX(Symboles!$G$6:$G$101,MOD(21+$C17+(-2),$B$3)+1)*G17+INDEX(Symboles!$G$6:$G$101,MOD(21+$C17+(-1),$B$3)+1)*H17+INDEX(Symboles!$G$6:$G$101,MOD(21+$C17+(0),$B$3)+1)*I17+INDEX(Symboles!$G$6:$G$101,MOD(21+$C17+(1),$B$3)+1)*J17+INDEX(Symboles!$G$6:$G$101,MOD(21+$C17+(2),$B$3)+1)*K17+INDEX(Symboles!$G$6:$G$101,MOD(21+$C17+(3),$B$3)+1)*L17+INDEX(Symboles!$G$6:$G$101,MOD(21+$C17+(4),$B$3)+1)*M17+IF($B$6=0,0,$B$6*NORMSINV(0.000001+0.999998*RAND())))</f>
        <v/>
      </c>
      <c r="AL17" s="30">
        <f>IF(23&gt;$B$3,99,INDEX(Symboles!$G$6:$G$101,MOD(22+$C17+(-4),$B$3)+1)*E17+INDEX(Symboles!$G$6:$G$101,MOD(22+$C17+(-3),$B$3)+1)*F17+INDEX(Symboles!$G$6:$G$101,MOD(22+$C17+(-2),$B$3)+1)*G17+INDEX(Symboles!$G$6:$G$101,MOD(22+$C17+(-1),$B$3)+1)*H17+INDEX(Symboles!$G$6:$G$101,MOD(22+$C17+(0),$B$3)+1)*I17+INDEX(Symboles!$G$6:$G$101,MOD(22+$C17+(1),$B$3)+1)*J17+INDEX(Symboles!$G$6:$G$101,MOD(22+$C17+(2),$B$3)+1)*K17+INDEX(Symboles!$G$6:$G$101,MOD(22+$C17+(3),$B$3)+1)*L17+INDEX(Symboles!$G$6:$G$101,MOD(22+$C17+(4),$B$3)+1)*M17+IF($B$6=0,0,$B$6*NORMSINV(0.000001+0.999998*RAND())))</f>
        <v/>
      </c>
      <c r="AM17" s="30">
        <f>IF(24&gt;$B$3,99,INDEX(Symboles!$G$6:$G$101,MOD(23+$C17+(-4),$B$3)+1)*E17+INDEX(Symboles!$G$6:$G$101,MOD(23+$C17+(-3),$B$3)+1)*F17+INDEX(Symboles!$G$6:$G$101,MOD(23+$C17+(-2),$B$3)+1)*G17+INDEX(Symboles!$G$6:$G$101,MOD(23+$C17+(-1),$B$3)+1)*H17+INDEX(Symboles!$G$6:$G$101,MOD(23+$C17+(0),$B$3)+1)*I17+INDEX(Symboles!$G$6:$G$101,MOD(23+$C17+(1),$B$3)+1)*J17+INDEX(Symboles!$G$6:$G$101,MOD(23+$C17+(2),$B$3)+1)*K17+INDEX(Symboles!$G$6:$G$101,MOD(23+$C17+(3),$B$3)+1)*L17+INDEX(Symboles!$G$6:$G$101,MOD(23+$C17+(4),$B$3)+1)*M17+IF($B$6=0,0,$B$6*NORMSINV(0.000001+0.999998*RAND())))</f>
        <v/>
      </c>
      <c r="AN17" s="30">
        <f>IF(25&gt;$B$3,99,INDEX(Symboles!$G$6:$G$101,MOD(24+$C17+(-4),$B$3)+1)*E17+INDEX(Symboles!$G$6:$G$101,MOD(24+$C17+(-3),$B$3)+1)*F17+INDEX(Symboles!$G$6:$G$101,MOD(24+$C17+(-2),$B$3)+1)*G17+INDEX(Symboles!$G$6:$G$101,MOD(24+$C17+(-1),$B$3)+1)*H17+INDEX(Symboles!$G$6:$G$101,MOD(24+$C17+(0),$B$3)+1)*I17+INDEX(Symboles!$G$6:$G$101,MOD(24+$C17+(1),$B$3)+1)*J17+INDEX(Symboles!$G$6:$G$101,MOD(24+$C17+(2),$B$3)+1)*K17+INDEX(Symboles!$G$6:$G$101,MOD(24+$C17+(3),$B$3)+1)*L17+INDEX(Symboles!$G$6:$G$101,MOD(24+$C17+(4),$B$3)+1)*M17+IF($B$6=0,0,$B$6*NORMSINV(0.000001+0.999998*RAND())))</f>
        <v/>
      </c>
      <c r="AO17" s="30">
        <f>IF(26&gt;$B$3,99,INDEX(Symboles!$G$6:$G$101,MOD(25+$C17+(-4),$B$3)+1)*E17+INDEX(Symboles!$G$6:$G$101,MOD(25+$C17+(-3),$B$3)+1)*F17+INDEX(Symboles!$G$6:$G$101,MOD(25+$C17+(-2),$B$3)+1)*G17+INDEX(Symboles!$G$6:$G$101,MOD(25+$C17+(-1),$B$3)+1)*H17+INDEX(Symboles!$G$6:$G$101,MOD(25+$C17+(0),$B$3)+1)*I17+INDEX(Symboles!$G$6:$G$101,MOD(25+$C17+(1),$B$3)+1)*J17+INDEX(Symboles!$G$6:$G$101,MOD(25+$C17+(2),$B$3)+1)*K17+INDEX(Symboles!$G$6:$G$101,MOD(25+$C17+(3),$B$3)+1)*L17+INDEX(Symboles!$G$6:$G$101,MOD(25+$C17+(4),$B$3)+1)*M17+IF($B$6=0,0,$B$6*NORMSINV(0.000001+0.999998*RAND())))</f>
        <v/>
      </c>
      <c r="AP17" s="30">
        <f>IF(27&gt;$B$3,99,INDEX(Symboles!$G$6:$G$101,MOD(26+$C17+(-4),$B$3)+1)*E17+INDEX(Symboles!$G$6:$G$101,MOD(26+$C17+(-3),$B$3)+1)*F17+INDEX(Symboles!$G$6:$G$101,MOD(26+$C17+(-2),$B$3)+1)*G17+INDEX(Symboles!$G$6:$G$101,MOD(26+$C17+(-1),$B$3)+1)*H17+INDEX(Symboles!$G$6:$G$101,MOD(26+$C17+(0),$B$3)+1)*I17+INDEX(Symboles!$G$6:$G$101,MOD(26+$C17+(1),$B$3)+1)*J17+INDEX(Symboles!$G$6:$G$101,MOD(26+$C17+(2),$B$3)+1)*K17+INDEX(Symboles!$G$6:$G$101,MOD(26+$C17+(3),$B$3)+1)*L17+INDEX(Symboles!$G$6:$G$101,MOD(26+$C17+(4),$B$3)+1)*M17+IF($B$6=0,0,$B$6*NORMSINV(0.000001+0.999998*RAND())))</f>
        <v/>
      </c>
      <c r="AQ17" s="30">
        <f>IF(28&gt;$B$3,99,INDEX(Symboles!$G$6:$G$101,MOD(27+$C17+(-4),$B$3)+1)*E17+INDEX(Symboles!$G$6:$G$101,MOD(27+$C17+(-3),$B$3)+1)*F17+INDEX(Symboles!$G$6:$G$101,MOD(27+$C17+(-2),$B$3)+1)*G17+INDEX(Symboles!$G$6:$G$101,MOD(27+$C17+(-1),$B$3)+1)*H17+INDEX(Symboles!$G$6:$G$101,MOD(27+$C17+(0),$B$3)+1)*I17+INDEX(Symboles!$G$6:$G$101,MOD(27+$C17+(1),$B$3)+1)*J17+INDEX(Symboles!$G$6:$G$101,MOD(27+$C17+(2),$B$3)+1)*K17+INDEX(Symboles!$G$6:$G$101,MOD(27+$C17+(3),$B$3)+1)*L17+INDEX(Symboles!$G$6:$G$101,MOD(27+$C17+(4),$B$3)+1)*M17+IF($B$6=0,0,$B$6*NORMSINV(0.000001+0.999998*RAND())))</f>
        <v/>
      </c>
      <c r="AR17" s="30">
        <f>IF(29&gt;$B$3,99,INDEX(Symboles!$G$6:$G$101,MOD(28+$C17+(-4),$B$3)+1)*E17+INDEX(Symboles!$G$6:$G$101,MOD(28+$C17+(-3),$B$3)+1)*F17+INDEX(Symboles!$G$6:$G$101,MOD(28+$C17+(-2),$B$3)+1)*G17+INDEX(Symboles!$G$6:$G$101,MOD(28+$C17+(-1),$B$3)+1)*H17+INDEX(Symboles!$G$6:$G$101,MOD(28+$C17+(0),$B$3)+1)*I17+INDEX(Symboles!$G$6:$G$101,MOD(28+$C17+(1),$B$3)+1)*J17+INDEX(Symboles!$G$6:$G$101,MOD(28+$C17+(2),$B$3)+1)*K17+INDEX(Symboles!$G$6:$G$101,MOD(28+$C17+(3),$B$3)+1)*L17+INDEX(Symboles!$G$6:$G$101,MOD(28+$C17+(4),$B$3)+1)*M17+IF($B$6=0,0,$B$6*NORMSINV(0.000001+0.999998*RAND())))</f>
        <v/>
      </c>
      <c r="AS17" s="30">
        <f>IF(30&gt;$B$3,99,INDEX(Symboles!$G$6:$G$101,MOD(29+$C17+(-4),$B$3)+1)*E17+INDEX(Symboles!$G$6:$G$101,MOD(29+$C17+(-3),$B$3)+1)*F17+INDEX(Symboles!$G$6:$G$101,MOD(29+$C17+(-2),$B$3)+1)*G17+INDEX(Symboles!$G$6:$G$101,MOD(29+$C17+(-1),$B$3)+1)*H17+INDEX(Symboles!$G$6:$G$101,MOD(29+$C17+(0),$B$3)+1)*I17+INDEX(Symboles!$G$6:$G$101,MOD(29+$C17+(1),$B$3)+1)*J17+INDEX(Symboles!$G$6:$G$101,MOD(29+$C17+(2),$B$3)+1)*K17+INDEX(Symboles!$G$6:$G$101,MOD(29+$C17+(3),$B$3)+1)*L17+INDEX(Symboles!$G$6:$G$101,MOD(29+$C17+(4),$B$3)+1)*M17+IF($B$6=0,0,$B$6*NORMSINV(0.000001+0.999998*RAND())))</f>
        <v/>
      </c>
      <c r="AT17" s="30">
        <f>IF(31&gt;$B$3,99,INDEX(Symboles!$G$6:$G$101,MOD(30+$C17+(-4),$B$3)+1)*E17+INDEX(Symboles!$G$6:$G$101,MOD(30+$C17+(-3),$B$3)+1)*F17+INDEX(Symboles!$G$6:$G$101,MOD(30+$C17+(-2),$B$3)+1)*G17+INDEX(Symboles!$G$6:$G$101,MOD(30+$C17+(-1),$B$3)+1)*H17+INDEX(Symboles!$G$6:$G$101,MOD(30+$C17+(0),$B$3)+1)*I17+INDEX(Symboles!$G$6:$G$101,MOD(30+$C17+(1),$B$3)+1)*J17+INDEX(Symboles!$G$6:$G$101,MOD(30+$C17+(2),$B$3)+1)*K17+INDEX(Symboles!$G$6:$G$101,MOD(30+$C17+(3),$B$3)+1)*L17+INDEX(Symboles!$G$6:$G$101,MOD(30+$C17+(4),$B$3)+1)*M17+IF($B$6=0,0,$B$6*NORMSINV(0.000001+0.999998*RAND())))</f>
        <v/>
      </c>
      <c r="AU17" s="30">
        <f>IF(32&gt;$B$3,99,INDEX(Symboles!$G$6:$G$101,MOD(31+$C17+(-4),$B$3)+1)*E17+INDEX(Symboles!$G$6:$G$101,MOD(31+$C17+(-3),$B$3)+1)*F17+INDEX(Symboles!$G$6:$G$101,MOD(31+$C17+(-2),$B$3)+1)*G17+INDEX(Symboles!$G$6:$G$101,MOD(31+$C17+(-1),$B$3)+1)*H17+INDEX(Symboles!$G$6:$G$101,MOD(31+$C17+(0),$B$3)+1)*I17+INDEX(Symboles!$G$6:$G$101,MOD(31+$C17+(1),$B$3)+1)*J17+INDEX(Symboles!$G$6:$G$101,MOD(31+$C17+(2),$B$3)+1)*K17+INDEX(Symboles!$G$6:$G$101,MOD(31+$C17+(3),$B$3)+1)*L17+INDEX(Symboles!$G$6:$G$101,MOD(31+$C17+(4),$B$3)+1)*M17+IF($B$6=0,0,$B$6*NORMSINV(0.000001+0.999998*RAND())))</f>
        <v/>
      </c>
      <c r="AV17" s="30">
        <f>IF(33&gt;$B$3,99,INDEX(Symboles!$G$6:$G$101,MOD(32+$C17+(-4),$B$3)+1)*E17+INDEX(Symboles!$G$6:$G$101,MOD(32+$C17+(-3),$B$3)+1)*F17+INDEX(Symboles!$G$6:$G$101,MOD(32+$C17+(-2),$B$3)+1)*G17+INDEX(Symboles!$G$6:$G$101,MOD(32+$C17+(-1),$B$3)+1)*H17+INDEX(Symboles!$G$6:$G$101,MOD(32+$C17+(0),$B$3)+1)*I17+INDEX(Symboles!$G$6:$G$101,MOD(32+$C17+(1),$B$3)+1)*J17+INDEX(Symboles!$G$6:$G$101,MOD(32+$C17+(2),$B$3)+1)*K17+INDEX(Symboles!$G$6:$G$101,MOD(32+$C17+(3),$B$3)+1)*L17+INDEX(Symboles!$G$6:$G$101,MOD(32+$C17+(4),$B$3)+1)*M17+IF($B$6=0,0,$B$6*NORMSINV(0.000001+0.999998*RAND())))</f>
        <v/>
      </c>
      <c r="AW17" s="30">
        <f>IF(34&gt;$B$3,99,INDEX(Symboles!$G$6:$G$101,MOD(33+$C17+(-4),$B$3)+1)*E17+INDEX(Symboles!$G$6:$G$101,MOD(33+$C17+(-3),$B$3)+1)*F17+INDEX(Symboles!$G$6:$G$101,MOD(33+$C17+(-2),$B$3)+1)*G17+INDEX(Symboles!$G$6:$G$101,MOD(33+$C17+(-1),$B$3)+1)*H17+INDEX(Symboles!$G$6:$G$101,MOD(33+$C17+(0),$B$3)+1)*I17+INDEX(Symboles!$G$6:$G$101,MOD(33+$C17+(1),$B$3)+1)*J17+INDEX(Symboles!$G$6:$G$101,MOD(33+$C17+(2),$B$3)+1)*K17+INDEX(Symboles!$G$6:$G$101,MOD(33+$C17+(3),$B$3)+1)*L17+INDEX(Symboles!$G$6:$G$101,MOD(33+$C17+(4),$B$3)+1)*M17+IF($B$6=0,0,$B$6*NORMSINV(0.000001+0.999998*RAND())))</f>
        <v/>
      </c>
      <c r="AX17" s="30">
        <f>IF(35&gt;$B$3,99,INDEX(Symboles!$G$6:$G$101,MOD(34+$C17+(-4),$B$3)+1)*E17+INDEX(Symboles!$G$6:$G$101,MOD(34+$C17+(-3),$B$3)+1)*F17+INDEX(Symboles!$G$6:$G$101,MOD(34+$C17+(-2),$B$3)+1)*G17+INDEX(Symboles!$G$6:$G$101,MOD(34+$C17+(-1),$B$3)+1)*H17+INDEX(Symboles!$G$6:$G$101,MOD(34+$C17+(0),$B$3)+1)*I17+INDEX(Symboles!$G$6:$G$101,MOD(34+$C17+(1),$B$3)+1)*J17+INDEX(Symboles!$G$6:$G$101,MOD(34+$C17+(2),$B$3)+1)*K17+INDEX(Symboles!$G$6:$G$101,MOD(34+$C17+(3),$B$3)+1)*L17+INDEX(Symboles!$G$6:$G$101,MOD(34+$C17+(4),$B$3)+1)*M17+IF($B$6=0,0,$B$6*NORMSINV(0.000001+0.999998*RAND())))</f>
        <v/>
      </c>
      <c r="AY17" s="30">
        <f>IF(36&gt;$B$3,99,INDEX(Symboles!$G$6:$G$101,MOD(35+$C17+(-4),$B$3)+1)*E17+INDEX(Symboles!$G$6:$G$101,MOD(35+$C17+(-3),$B$3)+1)*F17+INDEX(Symboles!$G$6:$G$101,MOD(35+$C17+(-2),$B$3)+1)*G17+INDEX(Symboles!$G$6:$G$101,MOD(35+$C17+(-1),$B$3)+1)*H17+INDEX(Symboles!$G$6:$G$101,MOD(35+$C17+(0),$B$3)+1)*I17+INDEX(Symboles!$G$6:$G$101,MOD(35+$C17+(1),$B$3)+1)*J17+INDEX(Symboles!$G$6:$G$101,MOD(35+$C17+(2),$B$3)+1)*K17+INDEX(Symboles!$G$6:$G$101,MOD(35+$C17+(3),$B$3)+1)*L17+INDEX(Symboles!$G$6:$G$101,MOD(35+$C17+(4),$B$3)+1)*M17+IF($B$6=0,0,$B$6*NORMSINV(0.000001+0.999998*RAND())))</f>
        <v/>
      </c>
      <c r="AZ17" s="30">
        <f>IF(37&gt;$B$3,99,INDEX(Symboles!$G$6:$G$101,MOD(36+$C17+(-4),$B$3)+1)*E17+INDEX(Symboles!$G$6:$G$101,MOD(36+$C17+(-3),$B$3)+1)*F17+INDEX(Symboles!$G$6:$G$101,MOD(36+$C17+(-2),$B$3)+1)*G17+INDEX(Symboles!$G$6:$G$101,MOD(36+$C17+(-1),$B$3)+1)*H17+INDEX(Symboles!$G$6:$G$101,MOD(36+$C17+(0),$B$3)+1)*I17+INDEX(Symboles!$G$6:$G$101,MOD(36+$C17+(1),$B$3)+1)*J17+INDEX(Symboles!$G$6:$G$101,MOD(36+$C17+(2),$B$3)+1)*K17+INDEX(Symboles!$G$6:$G$101,MOD(36+$C17+(3),$B$3)+1)*L17+INDEX(Symboles!$G$6:$G$101,MOD(36+$C17+(4),$B$3)+1)*M17+IF($B$6=0,0,$B$6*NORMSINV(0.000001+0.999998*RAND())))</f>
        <v/>
      </c>
      <c r="BA17" s="30">
        <f>IF(38&gt;$B$3,99,INDEX(Symboles!$G$6:$G$101,MOD(37+$C17+(-4),$B$3)+1)*E17+INDEX(Symboles!$G$6:$G$101,MOD(37+$C17+(-3),$B$3)+1)*F17+INDEX(Symboles!$G$6:$G$101,MOD(37+$C17+(-2),$B$3)+1)*G17+INDEX(Symboles!$G$6:$G$101,MOD(37+$C17+(-1),$B$3)+1)*H17+INDEX(Symboles!$G$6:$G$101,MOD(37+$C17+(0),$B$3)+1)*I17+INDEX(Symboles!$G$6:$G$101,MOD(37+$C17+(1),$B$3)+1)*J17+INDEX(Symboles!$G$6:$G$101,MOD(37+$C17+(2),$B$3)+1)*K17+INDEX(Symboles!$G$6:$G$101,MOD(37+$C17+(3),$B$3)+1)*L17+INDEX(Symboles!$G$6:$G$101,MOD(37+$C17+(4),$B$3)+1)*M17+IF($B$6=0,0,$B$6*NORMSINV(0.000001+0.999998*RAND())))</f>
        <v/>
      </c>
      <c r="BB17" s="30">
        <f>IF(39&gt;$B$3,99,INDEX(Symboles!$G$6:$G$101,MOD(38+$C17+(-4),$B$3)+1)*E17+INDEX(Symboles!$G$6:$G$101,MOD(38+$C17+(-3),$B$3)+1)*F17+INDEX(Symboles!$G$6:$G$101,MOD(38+$C17+(-2),$B$3)+1)*G17+INDEX(Symboles!$G$6:$G$101,MOD(38+$C17+(-1),$B$3)+1)*H17+INDEX(Symboles!$G$6:$G$101,MOD(38+$C17+(0),$B$3)+1)*I17+INDEX(Symboles!$G$6:$G$101,MOD(38+$C17+(1),$B$3)+1)*J17+INDEX(Symboles!$G$6:$G$101,MOD(38+$C17+(2),$B$3)+1)*K17+INDEX(Symboles!$G$6:$G$101,MOD(38+$C17+(3),$B$3)+1)*L17+INDEX(Symboles!$G$6:$G$101,MOD(38+$C17+(4),$B$3)+1)*M17+IF($B$6=0,0,$B$6*NORMSINV(0.000001+0.999998*RAND())))</f>
        <v/>
      </c>
      <c r="BC17" s="30">
        <f>IF(40&gt;$B$3,99,INDEX(Symboles!$G$6:$G$101,MOD(39+$C17+(-4),$B$3)+1)*E17+INDEX(Symboles!$G$6:$G$101,MOD(39+$C17+(-3),$B$3)+1)*F17+INDEX(Symboles!$G$6:$G$101,MOD(39+$C17+(-2),$B$3)+1)*G17+INDEX(Symboles!$G$6:$G$101,MOD(39+$C17+(-1),$B$3)+1)*H17+INDEX(Symboles!$G$6:$G$101,MOD(39+$C17+(0),$B$3)+1)*I17+INDEX(Symboles!$G$6:$G$101,MOD(39+$C17+(1),$B$3)+1)*J17+INDEX(Symboles!$G$6:$G$101,MOD(39+$C17+(2),$B$3)+1)*K17+INDEX(Symboles!$G$6:$G$101,MOD(39+$C17+(3),$B$3)+1)*L17+INDEX(Symboles!$G$6:$G$101,MOD(39+$C17+(4),$B$3)+1)*M17+IF($B$6=0,0,$B$6*NORMSINV(0.000001+0.999998*RAND())))</f>
        <v/>
      </c>
      <c r="BD17" s="30">
        <f>IF(41&gt;$B$3,99,INDEX(Symboles!$G$6:$G$101,MOD(40+$C17+(-4),$B$3)+1)*E17+INDEX(Symboles!$G$6:$G$101,MOD(40+$C17+(-3),$B$3)+1)*F17+INDEX(Symboles!$G$6:$G$101,MOD(40+$C17+(-2),$B$3)+1)*G17+INDEX(Symboles!$G$6:$G$101,MOD(40+$C17+(-1),$B$3)+1)*H17+INDEX(Symboles!$G$6:$G$101,MOD(40+$C17+(0),$B$3)+1)*I17+INDEX(Symboles!$G$6:$G$101,MOD(40+$C17+(1),$B$3)+1)*J17+INDEX(Symboles!$G$6:$G$101,MOD(40+$C17+(2),$B$3)+1)*K17+INDEX(Symboles!$G$6:$G$101,MOD(40+$C17+(3),$B$3)+1)*L17+INDEX(Symboles!$G$6:$G$101,MOD(40+$C17+(4),$B$3)+1)*M17+IF($B$6=0,0,$B$6*NORMSINV(0.000001+0.999998*RAND())))</f>
        <v/>
      </c>
      <c r="BE17" s="30">
        <f>IF(42&gt;$B$3,99,INDEX(Symboles!$G$6:$G$101,MOD(41+$C17+(-4),$B$3)+1)*E17+INDEX(Symboles!$G$6:$G$101,MOD(41+$C17+(-3),$B$3)+1)*F17+INDEX(Symboles!$G$6:$G$101,MOD(41+$C17+(-2),$B$3)+1)*G17+INDEX(Symboles!$G$6:$G$101,MOD(41+$C17+(-1),$B$3)+1)*H17+INDEX(Symboles!$G$6:$G$101,MOD(41+$C17+(0),$B$3)+1)*I17+INDEX(Symboles!$G$6:$G$101,MOD(41+$C17+(1),$B$3)+1)*J17+INDEX(Symboles!$G$6:$G$101,MOD(41+$C17+(2),$B$3)+1)*K17+INDEX(Symboles!$G$6:$G$101,MOD(41+$C17+(3),$B$3)+1)*L17+INDEX(Symboles!$G$6:$G$101,MOD(41+$C17+(4),$B$3)+1)*M17+IF($B$6=0,0,$B$6*NORMSINV(0.000001+0.999998*RAND())))</f>
        <v/>
      </c>
      <c r="BF17" s="30">
        <f>IF(43&gt;$B$3,99,INDEX(Symboles!$G$6:$G$101,MOD(42+$C17+(-4),$B$3)+1)*E17+INDEX(Symboles!$G$6:$G$101,MOD(42+$C17+(-3),$B$3)+1)*F17+INDEX(Symboles!$G$6:$G$101,MOD(42+$C17+(-2),$B$3)+1)*G17+INDEX(Symboles!$G$6:$G$101,MOD(42+$C17+(-1),$B$3)+1)*H17+INDEX(Symboles!$G$6:$G$101,MOD(42+$C17+(0),$B$3)+1)*I17+INDEX(Symboles!$G$6:$G$101,MOD(42+$C17+(1),$B$3)+1)*J17+INDEX(Symboles!$G$6:$G$101,MOD(42+$C17+(2),$B$3)+1)*K17+INDEX(Symboles!$G$6:$G$101,MOD(42+$C17+(3),$B$3)+1)*L17+INDEX(Symboles!$G$6:$G$101,MOD(42+$C17+(4),$B$3)+1)*M17+IF($B$6=0,0,$B$6*NORMSINV(0.000001+0.999998*RAND())))</f>
        <v/>
      </c>
      <c r="BG17" s="30">
        <f>IF(44&gt;$B$3,99,INDEX(Symboles!$G$6:$G$101,MOD(43+$C17+(-4),$B$3)+1)*E17+INDEX(Symboles!$G$6:$G$101,MOD(43+$C17+(-3),$B$3)+1)*F17+INDEX(Symboles!$G$6:$G$101,MOD(43+$C17+(-2),$B$3)+1)*G17+INDEX(Symboles!$G$6:$G$101,MOD(43+$C17+(-1),$B$3)+1)*H17+INDEX(Symboles!$G$6:$G$101,MOD(43+$C17+(0),$B$3)+1)*I17+INDEX(Symboles!$G$6:$G$101,MOD(43+$C17+(1),$B$3)+1)*J17+INDEX(Symboles!$G$6:$G$101,MOD(43+$C17+(2),$B$3)+1)*K17+INDEX(Symboles!$G$6:$G$101,MOD(43+$C17+(3),$B$3)+1)*L17+INDEX(Symboles!$G$6:$G$101,MOD(43+$C17+(4),$B$3)+1)*M17+IF($B$6=0,0,$B$6*NORMSINV(0.000001+0.999998*RAND())))</f>
        <v/>
      </c>
      <c r="BH17" s="30">
        <f>IF(45&gt;$B$3,99,INDEX(Symboles!$G$6:$G$101,MOD(44+$C17+(-4),$B$3)+1)*E17+INDEX(Symboles!$G$6:$G$101,MOD(44+$C17+(-3),$B$3)+1)*F17+INDEX(Symboles!$G$6:$G$101,MOD(44+$C17+(-2),$B$3)+1)*G17+INDEX(Symboles!$G$6:$G$101,MOD(44+$C17+(-1),$B$3)+1)*H17+INDEX(Symboles!$G$6:$G$101,MOD(44+$C17+(0),$B$3)+1)*I17+INDEX(Symboles!$G$6:$G$101,MOD(44+$C17+(1),$B$3)+1)*J17+INDEX(Symboles!$G$6:$G$101,MOD(44+$C17+(2),$B$3)+1)*K17+INDEX(Symboles!$G$6:$G$101,MOD(44+$C17+(3),$B$3)+1)*L17+INDEX(Symboles!$G$6:$G$101,MOD(44+$C17+(4),$B$3)+1)*M17+IF($B$6=0,0,$B$6*NORMSINV(0.000001+0.999998*RAND())))</f>
        <v/>
      </c>
      <c r="BI17" s="30">
        <f>IF(46&gt;$B$3,99,INDEX(Symboles!$G$6:$G$101,MOD(45+$C17+(-4),$B$3)+1)*E17+INDEX(Symboles!$G$6:$G$101,MOD(45+$C17+(-3),$B$3)+1)*F17+INDEX(Symboles!$G$6:$G$101,MOD(45+$C17+(-2),$B$3)+1)*G17+INDEX(Symboles!$G$6:$G$101,MOD(45+$C17+(-1),$B$3)+1)*H17+INDEX(Symboles!$G$6:$G$101,MOD(45+$C17+(0),$B$3)+1)*I17+INDEX(Symboles!$G$6:$G$101,MOD(45+$C17+(1),$B$3)+1)*J17+INDEX(Symboles!$G$6:$G$101,MOD(45+$C17+(2),$B$3)+1)*K17+INDEX(Symboles!$G$6:$G$101,MOD(45+$C17+(3),$B$3)+1)*L17+INDEX(Symboles!$G$6:$G$101,MOD(45+$C17+(4),$B$3)+1)*M17+IF($B$6=0,0,$B$6*NORMSINV(0.000001+0.999998*RAND())))</f>
        <v/>
      </c>
      <c r="BJ17" s="30">
        <f>IF(47&gt;$B$3,99,INDEX(Symboles!$G$6:$G$101,MOD(46+$C17+(-4),$B$3)+1)*E17+INDEX(Symboles!$G$6:$G$101,MOD(46+$C17+(-3),$B$3)+1)*F17+INDEX(Symboles!$G$6:$G$101,MOD(46+$C17+(-2),$B$3)+1)*G17+INDEX(Symboles!$G$6:$G$101,MOD(46+$C17+(-1),$B$3)+1)*H17+INDEX(Symboles!$G$6:$G$101,MOD(46+$C17+(0),$B$3)+1)*I17+INDEX(Symboles!$G$6:$G$101,MOD(46+$C17+(1),$B$3)+1)*J17+INDEX(Symboles!$G$6:$G$101,MOD(46+$C17+(2),$B$3)+1)*K17+INDEX(Symboles!$G$6:$G$101,MOD(46+$C17+(3),$B$3)+1)*L17+INDEX(Symboles!$G$6:$G$101,MOD(46+$C17+(4),$B$3)+1)*M17+IF($B$6=0,0,$B$6*NORMSINV(0.000001+0.999998*RAND())))</f>
        <v/>
      </c>
      <c r="BK17" s="30">
        <f>IF(48&gt;$B$3,99,INDEX(Symboles!$G$6:$G$101,MOD(47+$C17+(-4),$B$3)+1)*E17+INDEX(Symboles!$G$6:$G$101,MOD(47+$C17+(-3),$B$3)+1)*F17+INDEX(Symboles!$G$6:$G$101,MOD(47+$C17+(-2),$B$3)+1)*G17+INDEX(Symboles!$G$6:$G$101,MOD(47+$C17+(-1),$B$3)+1)*H17+INDEX(Symboles!$G$6:$G$101,MOD(47+$C17+(0),$B$3)+1)*I17+INDEX(Symboles!$G$6:$G$101,MOD(47+$C17+(1),$B$3)+1)*J17+INDEX(Symboles!$G$6:$G$101,MOD(47+$C17+(2),$B$3)+1)*K17+INDEX(Symboles!$G$6:$G$101,MOD(47+$C17+(3),$B$3)+1)*L17+INDEX(Symboles!$G$6:$G$101,MOD(47+$C17+(4),$B$3)+1)*M17+IF($B$6=0,0,$B$6*NORMSINV(0.000001+0.999998*RAND())))</f>
        <v/>
      </c>
      <c r="BL17" s="30">
        <f>IF(49&gt;$B$3,99,INDEX(Symboles!$G$6:$G$101,MOD(48+$C17+(-4),$B$3)+1)*E17+INDEX(Symboles!$G$6:$G$101,MOD(48+$C17+(-3),$B$3)+1)*F17+INDEX(Symboles!$G$6:$G$101,MOD(48+$C17+(-2),$B$3)+1)*G17+INDEX(Symboles!$G$6:$G$101,MOD(48+$C17+(-1),$B$3)+1)*H17+INDEX(Symboles!$G$6:$G$101,MOD(48+$C17+(0),$B$3)+1)*I17+INDEX(Symboles!$G$6:$G$101,MOD(48+$C17+(1),$B$3)+1)*J17+INDEX(Symboles!$G$6:$G$101,MOD(48+$C17+(2),$B$3)+1)*K17+INDEX(Symboles!$G$6:$G$101,MOD(48+$C17+(3),$B$3)+1)*L17+INDEX(Symboles!$G$6:$G$101,MOD(48+$C17+(4),$B$3)+1)*M17+IF($B$6=0,0,$B$6*NORMSINV(0.000001+0.999998*RAND())))</f>
        <v/>
      </c>
      <c r="BM17" s="30">
        <f>IF(50&gt;$B$3,99,INDEX(Symboles!$G$6:$G$101,MOD(49+$C17+(-4),$B$3)+1)*E17+INDEX(Symboles!$G$6:$G$101,MOD(49+$C17+(-3),$B$3)+1)*F17+INDEX(Symboles!$G$6:$G$101,MOD(49+$C17+(-2),$B$3)+1)*G17+INDEX(Symboles!$G$6:$G$101,MOD(49+$C17+(-1),$B$3)+1)*H17+INDEX(Symboles!$G$6:$G$101,MOD(49+$C17+(0),$B$3)+1)*I17+INDEX(Symboles!$G$6:$G$101,MOD(49+$C17+(1),$B$3)+1)*J17+INDEX(Symboles!$G$6:$G$101,MOD(49+$C17+(2),$B$3)+1)*K17+INDEX(Symboles!$G$6:$G$101,MOD(49+$C17+(3),$B$3)+1)*L17+INDEX(Symboles!$G$6:$G$101,MOD(49+$C17+(4),$B$3)+1)*M17+IF($B$6=0,0,$B$6*NORMSINV(0.000001+0.999998*RAND())))</f>
        <v/>
      </c>
      <c r="BN17" s="30">
        <f>IF(51&gt;$B$3,99,INDEX(Symboles!$G$6:$G$101,MOD(50+$C17+(-4),$B$3)+1)*E17+INDEX(Symboles!$G$6:$G$101,MOD(50+$C17+(-3),$B$3)+1)*F17+INDEX(Symboles!$G$6:$G$101,MOD(50+$C17+(-2),$B$3)+1)*G17+INDEX(Symboles!$G$6:$G$101,MOD(50+$C17+(-1),$B$3)+1)*H17+INDEX(Symboles!$G$6:$G$101,MOD(50+$C17+(0),$B$3)+1)*I17+INDEX(Symboles!$G$6:$G$101,MOD(50+$C17+(1),$B$3)+1)*J17+INDEX(Symboles!$G$6:$G$101,MOD(50+$C17+(2),$B$3)+1)*K17+INDEX(Symboles!$G$6:$G$101,MOD(50+$C17+(3),$B$3)+1)*L17+INDEX(Symboles!$G$6:$G$101,MOD(50+$C17+(4),$B$3)+1)*M17+IF($B$6=0,0,$B$6*NORMSINV(0.000001+0.999998*RAND())))</f>
        <v/>
      </c>
      <c r="BO17" s="30">
        <f>IF(52&gt;$B$3,99,INDEX(Symboles!$G$6:$G$101,MOD(51+$C17+(-4),$B$3)+1)*E17+INDEX(Symboles!$G$6:$G$101,MOD(51+$C17+(-3),$B$3)+1)*F17+INDEX(Symboles!$G$6:$G$101,MOD(51+$C17+(-2),$B$3)+1)*G17+INDEX(Symboles!$G$6:$G$101,MOD(51+$C17+(-1),$B$3)+1)*H17+INDEX(Symboles!$G$6:$G$101,MOD(51+$C17+(0),$B$3)+1)*I17+INDEX(Symboles!$G$6:$G$101,MOD(51+$C17+(1),$B$3)+1)*J17+INDEX(Symboles!$G$6:$G$101,MOD(51+$C17+(2),$B$3)+1)*K17+INDEX(Symboles!$G$6:$G$101,MOD(51+$C17+(3),$B$3)+1)*L17+INDEX(Symboles!$G$6:$G$101,MOD(51+$C17+(4),$B$3)+1)*M17+IF($B$6=0,0,$B$6*NORMSINV(0.000001+0.999998*RAND())))</f>
        <v/>
      </c>
      <c r="BP17" s="30">
        <f>IF(53&gt;$B$3,99,INDEX(Symboles!$G$6:$G$101,MOD(52+$C17+(-4),$B$3)+1)*E17+INDEX(Symboles!$G$6:$G$101,MOD(52+$C17+(-3),$B$3)+1)*F17+INDEX(Symboles!$G$6:$G$101,MOD(52+$C17+(-2),$B$3)+1)*G17+INDEX(Symboles!$G$6:$G$101,MOD(52+$C17+(-1),$B$3)+1)*H17+INDEX(Symboles!$G$6:$G$101,MOD(52+$C17+(0),$B$3)+1)*I17+INDEX(Symboles!$G$6:$G$101,MOD(52+$C17+(1),$B$3)+1)*J17+INDEX(Symboles!$G$6:$G$101,MOD(52+$C17+(2),$B$3)+1)*K17+INDEX(Symboles!$G$6:$G$101,MOD(52+$C17+(3),$B$3)+1)*L17+INDEX(Symboles!$G$6:$G$101,MOD(52+$C17+(4),$B$3)+1)*M17+IF($B$6=0,0,$B$6*NORMSINV(0.000001+0.999998*RAND())))</f>
        <v/>
      </c>
      <c r="BQ17" s="30">
        <f>IF(54&gt;$B$3,99,INDEX(Symboles!$G$6:$G$101,MOD(53+$C17+(-4),$B$3)+1)*E17+INDEX(Symboles!$G$6:$G$101,MOD(53+$C17+(-3),$B$3)+1)*F17+INDEX(Symboles!$G$6:$G$101,MOD(53+$C17+(-2),$B$3)+1)*G17+INDEX(Symboles!$G$6:$G$101,MOD(53+$C17+(-1),$B$3)+1)*H17+INDEX(Symboles!$G$6:$G$101,MOD(53+$C17+(0),$B$3)+1)*I17+INDEX(Symboles!$G$6:$G$101,MOD(53+$C17+(1),$B$3)+1)*J17+INDEX(Symboles!$G$6:$G$101,MOD(53+$C17+(2),$B$3)+1)*K17+INDEX(Symboles!$G$6:$G$101,MOD(53+$C17+(3),$B$3)+1)*L17+INDEX(Symboles!$G$6:$G$101,MOD(53+$C17+(4),$B$3)+1)*M17+IF($B$6=0,0,$B$6*NORMSINV(0.000001+0.999998*RAND())))</f>
        <v/>
      </c>
      <c r="BR17" s="30">
        <f>IF(55&gt;$B$3,99,INDEX(Symboles!$G$6:$G$101,MOD(54+$C17+(-4),$B$3)+1)*E17+INDEX(Symboles!$G$6:$G$101,MOD(54+$C17+(-3),$B$3)+1)*F17+INDEX(Symboles!$G$6:$G$101,MOD(54+$C17+(-2),$B$3)+1)*G17+INDEX(Symboles!$G$6:$G$101,MOD(54+$C17+(-1),$B$3)+1)*H17+INDEX(Symboles!$G$6:$G$101,MOD(54+$C17+(0),$B$3)+1)*I17+INDEX(Symboles!$G$6:$G$101,MOD(54+$C17+(1),$B$3)+1)*J17+INDEX(Symboles!$G$6:$G$101,MOD(54+$C17+(2),$B$3)+1)*K17+INDEX(Symboles!$G$6:$G$101,MOD(54+$C17+(3),$B$3)+1)*L17+INDEX(Symboles!$G$6:$G$101,MOD(54+$C17+(4),$B$3)+1)*M17+IF($B$6=0,0,$B$6*NORMSINV(0.000001+0.999998*RAND())))</f>
        <v/>
      </c>
      <c r="BS17" s="30">
        <f>IF(56&gt;$B$3,99,INDEX(Symboles!$G$6:$G$101,MOD(55+$C17+(-4),$B$3)+1)*E17+INDEX(Symboles!$G$6:$G$101,MOD(55+$C17+(-3),$B$3)+1)*F17+INDEX(Symboles!$G$6:$G$101,MOD(55+$C17+(-2),$B$3)+1)*G17+INDEX(Symboles!$G$6:$G$101,MOD(55+$C17+(-1),$B$3)+1)*H17+INDEX(Symboles!$G$6:$G$101,MOD(55+$C17+(0),$B$3)+1)*I17+INDEX(Symboles!$G$6:$G$101,MOD(55+$C17+(1),$B$3)+1)*J17+INDEX(Symboles!$G$6:$G$101,MOD(55+$C17+(2),$B$3)+1)*K17+INDEX(Symboles!$G$6:$G$101,MOD(55+$C17+(3),$B$3)+1)*L17+INDEX(Symboles!$G$6:$G$101,MOD(55+$C17+(4),$B$3)+1)*M17+IF($B$6=0,0,$B$6*NORMSINV(0.000001+0.999998*RAND())))</f>
        <v/>
      </c>
      <c r="BT17" s="30">
        <f>IF(57&gt;$B$3,99,INDEX(Symboles!$G$6:$G$101,MOD(56+$C17+(-4),$B$3)+1)*E17+INDEX(Symboles!$G$6:$G$101,MOD(56+$C17+(-3),$B$3)+1)*F17+INDEX(Symboles!$G$6:$G$101,MOD(56+$C17+(-2),$B$3)+1)*G17+INDEX(Symboles!$G$6:$G$101,MOD(56+$C17+(-1),$B$3)+1)*H17+INDEX(Symboles!$G$6:$G$101,MOD(56+$C17+(0),$B$3)+1)*I17+INDEX(Symboles!$G$6:$G$101,MOD(56+$C17+(1),$B$3)+1)*J17+INDEX(Symboles!$G$6:$G$101,MOD(56+$C17+(2),$B$3)+1)*K17+INDEX(Symboles!$G$6:$G$101,MOD(56+$C17+(3),$B$3)+1)*L17+INDEX(Symboles!$G$6:$G$101,MOD(56+$C17+(4),$B$3)+1)*M17+IF($B$6=0,0,$B$6*NORMSINV(0.000001+0.999998*RAND())))</f>
        <v/>
      </c>
      <c r="BU17" s="30">
        <f>IF(58&gt;$B$3,99,INDEX(Symboles!$G$6:$G$101,MOD(57+$C17+(-4),$B$3)+1)*E17+INDEX(Symboles!$G$6:$G$101,MOD(57+$C17+(-3),$B$3)+1)*F17+INDEX(Symboles!$G$6:$G$101,MOD(57+$C17+(-2),$B$3)+1)*G17+INDEX(Symboles!$G$6:$G$101,MOD(57+$C17+(-1),$B$3)+1)*H17+INDEX(Symboles!$G$6:$G$101,MOD(57+$C17+(0),$B$3)+1)*I17+INDEX(Symboles!$G$6:$G$101,MOD(57+$C17+(1),$B$3)+1)*J17+INDEX(Symboles!$G$6:$G$101,MOD(57+$C17+(2),$B$3)+1)*K17+INDEX(Symboles!$G$6:$G$101,MOD(57+$C17+(3),$B$3)+1)*L17+INDEX(Symboles!$G$6:$G$101,MOD(57+$C17+(4),$B$3)+1)*M17+IF($B$6=0,0,$B$6*NORMSINV(0.000001+0.999998*RAND())))</f>
        <v/>
      </c>
      <c r="BV17" s="30">
        <f>IF(59&gt;$B$3,99,INDEX(Symboles!$G$6:$G$101,MOD(58+$C17+(-4),$B$3)+1)*E17+INDEX(Symboles!$G$6:$G$101,MOD(58+$C17+(-3),$B$3)+1)*F17+INDEX(Symboles!$G$6:$G$101,MOD(58+$C17+(-2),$B$3)+1)*G17+INDEX(Symboles!$G$6:$G$101,MOD(58+$C17+(-1),$B$3)+1)*H17+INDEX(Symboles!$G$6:$G$101,MOD(58+$C17+(0),$B$3)+1)*I17+INDEX(Symboles!$G$6:$G$101,MOD(58+$C17+(1),$B$3)+1)*J17+INDEX(Symboles!$G$6:$G$101,MOD(58+$C17+(2),$B$3)+1)*K17+INDEX(Symboles!$G$6:$G$101,MOD(58+$C17+(3),$B$3)+1)*L17+INDEX(Symboles!$G$6:$G$101,MOD(58+$C17+(4),$B$3)+1)*M17+IF($B$6=0,0,$B$6*NORMSINV(0.000001+0.999998*RAND())))</f>
        <v/>
      </c>
      <c r="BW17" s="30">
        <f>IF(60&gt;$B$3,99,INDEX(Symboles!$G$6:$G$101,MOD(59+$C17+(-4),$B$3)+1)*E17+INDEX(Symboles!$G$6:$G$101,MOD(59+$C17+(-3),$B$3)+1)*F17+INDEX(Symboles!$G$6:$G$101,MOD(59+$C17+(-2),$B$3)+1)*G17+INDEX(Symboles!$G$6:$G$101,MOD(59+$C17+(-1),$B$3)+1)*H17+INDEX(Symboles!$G$6:$G$101,MOD(59+$C17+(0),$B$3)+1)*I17+INDEX(Symboles!$G$6:$G$101,MOD(59+$C17+(1),$B$3)+1)*J17+INDEX(Symboles!$G$6:$G$101,MOD(59+$C17+(2),$B$3)+1)*K17+INDEX(Symboles!$G$6:$G$101,MOD(59+$C17+(3),$B$3)+1)*L17+INDEX(Symboles!$G$6:$G$101,MOD(59+$C17+(4),$B$3)+1)*M17+IF($B$6=0,0,$B$6*NORMSINV(0.000001+0.999998*RAND())))</f>
        <v/>
      </c>
      <c r="BX17" s="30">
        <f>IF(61&gt;$B$3,99,INDEX(Symboles!$G$6:$G$101,MOD(60+$C17+(-4),$B$3)+1)*E17+INDEX(Symboles!$G$6:$G$101,MOD(60+$C17+(-3),$B$3)+1)*F17+INDEX(Symboles!$G$6:$G$101,MOD(60+$C17+(-2),$B$3)+1)*G17+INDEX(Symboles!$G$6:$G$101,MOD(60+$C17+(-1),$B$3)+1)*H17+INDEX(Symboles!$G$6:$G$101,MOD(60+$C17+(0),$B$3)+1)*I17+INDEX(Symboles!$G$6:$G$101,MOD(60+$C17+(1),$B$3)+1)*J17+INDEX(Symboles!$G$6:$G$101,MOD(60+$C17+(2),$B$3)+1)*K17+INDEX(Symboles!$G$6:$G$101,MOD(60+$C17+(3),$B$3)+1)*L17+INDEX(Symboles!$G$6:$G$101,MOD(60+$C17+(4),$B$3)+1)*M17+IF($B$6=0,0,$B$6*NORMSINV(0.000001+0.999998*RAND())))</f>
        <v/>
      </c>
      <c r="BY17" s="30">
        <f>IF(62&gt;$B$3,99,INDEX(Symboles!$G$6:$G$101,MOD(61+$C17+(-4),$B$3)+1)*E17+INDEX(Symboles!$G$6:$G$101,MOD(61+$C17+(-3),$B$3)+1)*F17+INDEX(Symboles!$G$6:$G$101,MOD(61+$C17+(-2),$B$3)+1)*G17+INDEX(Symboles!$G$6:$G$101,MOD(61+$C17+(-1),$B$3)+1)*H17+INDEX(Symboles!$G$6:$G$101,MOD(61+$C17+(0),$B$3)+1)*I17+INDEX(Symboles!$G$6:$G$101,MOD(61+$C17+(1),$B$3)+1)*J17+INDEX(Symboles!$G$6:$G$101,MOD(61+$C17+(2),$B$3)+1)*K17+INDEX(Symboles!$G$6:$G$101,MOD(61+$C17+(3),$B$3)+1)*L17+INDEX(Symboles!$G$6:$G$101,MOD(61+$C17+(4),$B$3)+1)*M17+IF($B$6=0,0,$B$6*NORMSINV(0.000001+0.999998*RAND())))</f>
        <v/>
      </c>
      <c r="BZ17" s="30">
        <f>IF(63&gt;$B$3,99,INDEX(Symboles!$G$6:$G$101,MOD(62+$C17+(-4),$B$3)+1)*E17+INDEX(Symboles!$G$6:$G$101,MOD(62+$C17+(-3),$B$3)+1)*F17+INDEX(Symboles!$G$6:$G$101,MOD(62+$C17+(-2),$B$3)+1)*G17+INDEX(Symboles!$G$6:$G$101,MOD(62+$C17+(-1),$B$3)+1)*H17+INDEX(Symboles!$G$6:$G$101,MOD(62+$C17+(0),$B$3)+1)*I17+INDEX(Symboles!$G$6:$G$101,MOD(62+$C17+(1),$B$3)+1)*J17+INDEX(Symboles!$G$6:$G$101,MOD(62+$C17+(2),$B$3)+1)*K17+INDEX(Symboles!$G$6:$G$101,MOD(62+$C17+(3),$B$3)+1)*L17+INDEX(Symboles!$G$6:$G$101,MOD(62+$C17+(4),$B$3)+1)*M17+IF($B$6=0,0,$B$6*NORMSINV(0.000001+0.999998*RAND())))</f>
        <v/>
      </c>
      <c r="CA17" s="30">
        <f>IF(64&gt;$B$3,99,INDEX(Symboles!$G$6:$G$101,MOD(63+$C17+(-4),$B$3)+1)*E17+INDEX(Symboles!$G$6:$G$101,MOD(63+$C17+(-3),$B$3)+1)*F17+INDEX(Symboles!$G$6:$G$101,MOD(63+$C17+(-2),$B$3)+1)*G17+INDEX(Symboles!$G$6:$G$101,MOD(63+$C17+(-1),$B$3)+1)*H17+INDEX(Symboles!$G$6:$G$101,MOD(63+$C17+(0),$B$3)+1)*I17+INDEX(Symboles!$G$6:$G$101,MOD(63+$C17+(1),$B$3)+1)*J17+INDEX(Symboles!$G$6:$G$101,MOD(63+$C17+(2),$B$3)+1)*K17+INDEX(Symboles!$G$6:$G$101,MOD(63+$C17+(3),$B$3)+1)*L17+INDEX(Symboles!$G$6:$G$101,MOD(63+$C17+(4),$B$3)+1)*M17+IF($B$6=0,0,$B$6*NORMSINV(0.000001+0.999998*RAND())))</f>
        <v/>
      </c>
      <c r="CB17" s="30">
        <f>IF(65&gt;$B$3,99,INDEX(Symboles!$G$6:$G$101,MOD(64+$C17+(-4),$B$3)+1)*E17+INDEX(Symboles!$G$6:$G$101,MOD(64+$C17+(-3),$B$3)+1)*F17+INDEX(Symboles!$G$6:$G$101,MOD(64+$C17+(-2),$B$3)+1)*G17+INDEX(Symboles!$G$6:$G$101,MOD(64+$C17+(-1),$B$3)+1)*H17+INDEX(Symboles!$G$6:$G$101,MOD(64+$C17+(0),$B$3)+1)*I17+INDEX(Symboles!$G$6:$G$101,MOD(64+$C17+(1),$B$3)+1)*J17+INDEX(Symboles!$G$6:$G$101,MOD(64+$C17+(2),$B$3)+1)*K17+INDEX(Symboles!$G$6:$G$101,MOD(64+$C17+(3),$B$3)+1)*L17+INDEX(Symboles!$G$6:$G$101,MOD(64+$C17+(4),$B$3)+1)*M17+IF($B$6=0,0,$B$6*NORMSINV(0.000001+0.999998*RAND())))</f>
        <v/>
      </c>
      <c r="CC17" s="30">
        <f>IF(66&gt;$B$3,99,INDEX(Symboles!$G$6:$G$101,MOD(65+$C17+(-4),$B$3)+1)*E17+INDEX(Symboles!$G$6:$G$101,MOD(65+$C17+(-3),$B$3)+1)*F17+INDEX(Symboles!$G$6:$G$101,MOD(65+$C17+(-2),$B$3)+1)*G17+INDEX(Symboles!$G$6:$G$101,MOD(65+$C17+(-1),$B$3)+1)*H17+INDEX(Symboles!$G$6:$G$101,MOD(65+$C17+(0),$B$3)+1)*I17+INDEX(Symboles!$G$6:$G$101,MOD(65+$C17+(1),$B$3)+1)*J17+INDEX(Symboles!$G$6:$G$101,MOD(65+$C17+(2),$B$3)+1)*K17+INDEX(Symboles!$G$6:$G$101,MOD(65+$C17+(3),$B$3)+1)*L17+INDEX(Symboles!$G$6:$G$101,MOD(65+$C17+(4),$B$3)+1)*M17+IF($B$6=0,0,$B$6*NORMSINV(0.000001+0.999998*RAND())))</f>
        <v/>
      </c>
      <c r="CD17" s="30">
        <f>IF(67&gt;$B$3,99,INDEX(Symboles!$G$6:$G$101,MOD(66+$C17+(-4),$B$3)+1)*E17+INDEX(Symboles!$G$6:$G$101,MOD(66+$C17+(-3),$B$3)+1)*F17+INDEX(Symboles!$G$6:$G$101,MOD(66+$C17+(-2),$B$3)+1)*G17+INDEX(Symboles!$G$6:$G$101,MOD(66+$C17+(-1),$B$3)+1)*H17+INDEX(Symboles!$G$6:$G$101,MOD(66+$C17+(0),$B$3)+1)*I17+INDEX(Symboles!$G$6:$G$101,MOD(66+$C17+(1),$B$3)+1)*J17+INDEX(Symboles!$G$6:$G$101,MOD(66+$C17+(2),$B$3)+1)*K17+INDEX(Symboles!$G$6:$G$101,MOD(66+$C17+(3),$B$3)+1)*L17+INDEX(Symboles!$G$6:$G$101,MOD(66+$C17+(4),$B$3)+1)*M17+IF($B$6=0,0,$B$6*NORMSINV(0.000001+0.999998*RAND())))</f>
        <v/>
      </c>
      <c r="CE17" s="30">
        <f>IF(68&gt;$B$3,99,INDEX(Symboles!$G$6:$G$101,MOD(67+$C17+(-4),$B$3)+1)*E17+INDEX(Symboles!$G$6:$G$101,MOD(67+$C17+(-3),$B$3)+1)*F17+INDEX(Symboles!$G$6:$G$101,MOD(67+$C17+(-2),$B$3)+1)*G17+INDEX(Symboles!$G$6:$G$101,MOD(67+$C17+(-1),$B$3)+1)*H17+INDEX(Symboles!$G$6:$G$101,MOD(67+$C17+(0),$B$3)+1)*I17+INDEX(Symboles!$G$6:$G$101,MOD(67+$C17+(1),$B$3)+1)*J17+INDEX(Symboles!$G$6:$G$101,MOD(67+$C17+(2),$B$3)+1)*K17+INDEX(Symboles!$G$6:$G$101,MOD(67+$C17+(3),$B$3)+1)*L17+INDEX(Symboles!$G$6:$G$101,MOD(67+$C17+(4),$B$3)+1)*M17+IF($B$6=0,0,$B$6*NORMSINV(0.000001+0.999998*RAND())))</f>
        <v/>
      </c>
      <c r="CF17" s="30">
        <f>IF(69&gt;$B$3,99,INDEX(Symboles!$G$6:$G$101,MOD(68+$C17+(-4),$B$3)+1)*E17+INDEX(Symboles!$G$6:$G$101,MOD(68+$C17+(-3),$B$3)+1)*F17+INDEX(Symboles!$G$6:$G$101,MOD(68+$C17+(-2),$B$3)+1)*G17+INDEX(Symboles!$G$6:$G$101,MOD(68+$C17+(-1),$B$3)+1)*H17+INDEX(Symboles!$G$6:$G$101,MOD(68+$C17+(0),$B$3)+1)*I17+INDEX(Symboles!$G$6:$G$101,MOD(68+$C17+(1),$B$3)+1)*J17+INDEX(Symboles!$G$6:$G$101,MOD(68+$C17+(2),$B$3)+1)*K17+INDEX(Symboles!$G$6:$G$101,MOD(68+$C17+(3),$B$3)+1)*L17+INDEX(Symboles!$G$6:$G$101,MOD(68+$C17+(4),$B$3)+1)*M17+IF($B$6=0,0,$B$6*NORMSINV(0.000001+0.999998*RAND())))</f>
        <v/>
      </c>
      <c r="CG17" s="30">
        <f>IF(70&gt;$B$3,99,INDEX(Symboles!$G$6:$G$101,MOD(69+$C17+(-4),$B$3)+1)*E17+INDEX(Symboles!$G$6:$G$101,MOD(69+$C17+(-3),$B$3)+1)*F17+INDEX(Symboles!$G$6:$G$101,MOD(69+$C17+(-2),$B$3)+1)*G17+INDEX(Symboles!$G$6:$G$101,MOD(69+$C17+(-1),$B$3)+1)*H17+INDEX(Symboles!$G$6:$G$101,MOD(69+$C17+(0),$B$3)+1)*I17+INDEX(Symboles!$G$6:$G$101,MOD(69+$C17+(1),$B$3)+1)*J17+INDEX(Symboles!$G$6:$G$101,MOD(69+$C17+(2),$B$3)+1)*K17+INDEX(Symboles!$G$6:$G$101,MOD(69+$C17+(3),$B$3)+1)*L17+INDEX(Symboles!$G$6:$G$101,MOD(69+$C17+(4),$B$3)+1)*M17+IF($B$6=0,0,$B$6*NORMSINV(0.000001+0.999998*RAND())))</f>
        <v/>
      </c>
      <c r="CH17" s="30">
        <f>IF(71&gt;$B$3,99,INDEX(Symboles!$G$6:$G$101,MOD(70+$C17+(-4),$B$3)+1)*E17+INDEX(Symboles!$G$6:$G$101,MOD(70+$C17+(-3),$B$3)+1)*F17+INDEX(Symboles!$G$6:$G$101,MOD(70+$C17+(-2),$B$3)+1)*G17+INDEX(Symboles!$G$6:$G$101,MOD(70+$C17+(-1),$B$3)+1)*H17+INDEX(Symboles!$G$6:$G$101,MOD(70+$C17+(0),$B$3)+1)*I17+INDEX(Symboles!$G$6:$G$101,MOD(70+$C17+(1),$B$3)+1)*J17+INDEX(Symboles!$G$6:$G$101,MOD(70+$C17+(2),$B$3)+1)*K17+INDEX(Symboles!$G$6:$G$101,MOD(70+$C17+(3),$B$3)+1)*L17+INDEX(Symboles!$G$6:$G$101,MOD(70+$C17+(4),$B$3)+1)*M17+IF($B$6=0,0,$B$6*NORMSINV(0.000001+0.999998*RAND())))</f>
        <v/>
      </c>
      <c r="CI17" s="30">
        <f>IF(72&gt;$B$3,99,INDEX(Symboles!$G$6:$G$101,MOD(71+$C17+(-4),$B$3)+1)*E17+INDEX(Symboles!$G$6:$G$101,MOD(71+$C17+(-3),$B$3)+1)*F17+INDEX(Symboles!$G$6:$G$101,MOD(71+$C17+(-2),$B$3)+1)*G17+INDEX(Symboles!$G$6:$G$101,MOD(71+$C17+(-1),$B$3)+1)*H17+INDEX(Symboles!$G$6:$G$101,MOD(71+$C17+(0),$B$3)+1)*I17+INDEX(Symboles!$G$6:$G$101,MOD(71+$C17+(1),$B$3)+1)*J17+INDEX(Symboles!$G$6:$G$101,MOD(71+$C17+(2),$B$3)+1)*K17+INDEX(Symboles!$G$6:$G$101,MOD(71+$C17+(3),$B$3)+1)*L17+INDEX(Symboles!$G$6:$G$101,MOD(71+$C17+(4),$B$3)+1)*M17+IF($B$6=0,0,$B$6*NORMSINV(0.000001+0.999998*RAND())))</f>
        <v/>
      </c>
      <c r="CJ17" s="30">
        <f>IF(73&gt;$B$3,99,INDEX(Symboles!$G$6:$G$101,MOD(72+$C17+(-4),$B$3)+1)*E17+INDEX(Symboles!$G$6:$G$101,MOD(72+$C17+(-3),$B$3)+1)*F17+INDEX(Symboles!$G$6:$G$101,MOD(72+$C17+(-2),$B$3)+1)*G17+INDEX(Symboles!$G$6:$G$101,MOD(72+$C17+(-1),$B$3)+1)*H17+INDEX(Symboles!$G$6:$G$101,MOD(72+$C17+(0),$B$3)+1)*I17+INDEX(Symboles!$G$6:$G$101,MOD(72+$C17+(1),$B$3)+1)*J17+INDEX(Symboles!$G$6:$G$101,MOD(72+$C17+(2),$B$3)+1)*K17+INDEX(Symboles!$G$6:$G$101,MOD(72+$C17+(3),$B$3)+1)*L17+INDEX(Symboles!$G$6:$G$101,MOD(72+$C17+(4),$B$3)+1)*M17+IF($B$6=0,0,$B$6*NORMSINV(0.000001+0.999998*RAND())))</f>
        <v/>
      </c>
      <c r="CK17" s="30">
        <f>IF(74&gt;$B$3,99,INDEX(Symboles!$G$6:$G$101,MOD(73+$C17+(-4),$B$3)+1)*E17+INDEX(Symboles!$G$6:$G$101,MOD(73+$C17+(-3),$B$3)+1)*F17+INDEX(Symboles!$G$6:$G$101,MOD(73+$C17+(-2),$B$3)+1)*G17+INDEX(Symboles!$G$6:$G$101,MOD(73+$C17+(-1),$B$3)+1)*H17+INDEX(Symboles!$G$6:$G$101,MOD(73+$C17+(0),$B$3)+1)*I17+INDEX(Symboles!$G$6:$G$101,MOD(73+$C17+(1),$B$3)+1)*J17+INDEX(Symboles!$G$6:$G$101,MOD(73+$C17+(2),$B$3)+1)*K17+INDEX(Symboles!$G$6:$G$101,MOD(73+$C17+(3),$B$3)+1)*L17+INDEX(Symboles!$G$6:$G$101,MOD(73+$C17+(4),$B$3)+1)*M17+IF($B$6=0,0,$B$6*NORMSINV(0.000001+0.999998*RAND())))</f>
        <v/>
      </c>
      <c r="CL17" s="30">
        <f>IF(75&gt;$B$3,99,INDEX(Symboles!$G$6:$G$101,MOD(74+$C17+(-4),$B$3)+1)*E17+INDEX(Symboles!$G$6:$G$101,MOD(74+$C17+(-3),$B$3)+1)*F17+INDEX(Symboles!$G$6:$G$101,MOD(74+$C17+(-2),$B$3)+1)*G17+INDEX(Symboles!$G$6:$G$101,MOD(74+$C17+(-1),$B$3)+1)*H17+INDEX(Symboles!$G$6:$G$101,MOD(74+$C17+(0),$B$3)+1)*I17+INDEX(Symboles!$G$6:$G$101,MOD(74+$C17+(1),$B$3)+1)*J17+INDEX(Symboles!$G$6:$G$101,MOD(74+$C17+(2),$B$3)+1)*K17+INDEX(Symboles!$G$6:$G$101,MOD(74+$C17+(3),$B$3)+1)*L17+INDEX(Symboles!$G$6:$G$101,MOD(74+$C17+(4),$B$3)+1)*M17+IF($B$6=0,0,$B$6*NORMSINV(0.000001+0.999998*RAND())))</f>
        <v/>
      </c>
      <c r="CM17" s="30">
        <f>IF(76&gt;$B$3,99,INDEX(Symboles!$G$6:$G$101,MOD(75+$C17+(-4),$B$3)+1)*E17+INDEX(Symboles!$G$6:$G$101,MOD(75+$C17+(-3),$B$3)+1)*F17+INDEX(Symboles!$G$6:$G$101,MOD(75+$C17+(-2),$B$3)+1)*G17+INDEX(Symboles!$G$6:$G$101,MOD(75+$C17+(-1),$B$3)+1)*H17+INDEX(Symboles!$G$6:$G$101,MOD(75+$C17+(0),$B$3)+1)*I17+INDEX(Symboles!$G$6:$G$101,MOD(75+$C17+(1),$B$3)+1)*J17+INDEX(Symboles!$G$6:$G$101,MOD(75+$C17+(2),$B$3)+1)*K17+INDEX(Symboles!$G$6:$G$101,MOD(75+$C17+(3),$B$3)+1)*L17+INDEX(Symboles!$G$6:$G$101,MOD(75+$C17+(4),$B$3)+1)*M17+IF($B$6=0,0,$B$6*NORMSINV(0.000001+0.999998*RAND())))</f>
        <v/>
      </c>
      <c r="CN17" s="30">
        <f>IF(77&gt;$B$3,99,INDEX(Symboles!$G$6:$G$101,MOD(76+$C17+(-4),$B$3)+1)*E17+INDEX(Symboles!$G$6:$G$101,MOD(76+$C17+(-3),$B$3)+1)*F17+INDEX(Symboles!$G$6:$G$101,MOD(76+$C17+(-2),$B$3)+1)*G17+INDEX(Symboles!$G$6:$G$101,MOD(76+$C17+(-1),$B$3)+1)*H17+INDEX(Symboles!$G$6:$G$101,MOD(76+$C17+(0),$B$3)+1)*I17+INDEX(Symboles!$G$6:$G$101,MOD(76+$C17+(1),$B$3)+1)*J17+INDEX(Symboles!$G$6:$G$101,MOD(76+$C17+(2),$B$3)+1)*K17+INDEX(Symboles!$G$6:$G$101,MOD(76+$C17+(3),$B$3)+1)*L17+INDEX(Symboles!$G$6:$G$101,MOD(76+$C17+(4),$B$3)+1)*M17+IF($B$6=0,0,$B$6*NORMSINV(0.000001+0.999998*RAND())))</f>
        <v/>
      </c>
      <c r="CO17" s="30">
        <f>IF(78&gt;$B$3,99,INDEX(Symboles!$G$6:$G$101,MOD(77+$C17+(-4),$B$3)+1)*E17+INDEX(Symboles!$G$6:$G$101,MOD(77+$C17+(-3),$B$3)+1)*F17+INDEX(Symboles!$G$6:$G$101,MOD(77+$C17+(-2),$B$3)+1)*G17+INDEX(Symboles!$G$6:$G$101,MOD(77+$C17+(-1),$B$3)+1)*H17+INDEX(Symboles!$G$6:$G$101,MOD(77+$C17+(0),$B$3)+1)*I17+INDEX(Symboles!$G$6:$G$101,MOD(77+$C17+(1),$B$3)+1)*J17+INDEX(Symboles!$G$6:$G$101,MOD(77+$C17+(2),$B$3)+1)*K17+INDEX(Symboles!$G$6:$G$101,MOD(77+$C17+(3),$B$3)+1)*L17+INDEX(Symboles!$G$6:$G$101,MOD(77+$C17+(4),$B$3)+1)*M17+IF($B$6=0,0,$B$6*NORMSINV(0.000001+0.999998*RAND())))</f>
        <v/>
      </c>
      <c r="CP17" s="30">
        <f>IF(79&gt;$B$3,99,INDEX(Symboles!$G$6:$G$101,MOD(78+$C17+(-4),$B$3)+1)*E17+INDEX(Symboles!$G$6:$G$101,MOD(78+$C17+(-3),$B$3)+1)*F17+INDEX(Symboles!$G$6:$G$101,MOD(78+$C17+(-2),$B$3)+1)*G17+INDEX(Symboles!$G$6:$G$101,MOD(78+$C17+(-1),$B$3)+1)*H17+INDEX(Symboles!$G$6:$G$101,MOD(78+$C17+(0),$B$3)+1)*I17+INDEX(Symboles!$G$6:$G$101,MOD(78+$C17+(1),$B$3)+1)*J17+INDEX(Symboles!$G$6:$G$101,MOD(78+$C17+(2),$B$3)+1)*K17+INDEX(Symboles!$G$6:$G$101,MOD(78+$C17+(3),$B$3)+1)*L17+INDEX(Symboles!$G$6:$G$101,MOD(78+$C17+(4),$B$3)+1)*M17+IF($B$6=0,0,$B$6*NORMSINV(0.000001+0.999998*RAND())))</f>
        <v/>
      </c>
      <c r="CQ17" s="30">
        <f>IF(80&gt;$B$3,99,INDEX(Symboles!$G$6:$G$101,MOD(79+$C17+(-4),$B$3)+1)*E17+INDEX(Symboles!$G$6:$G$101,MOD(79+$C17+(-3),$B$3)+1)*F17+INDEX(Symboles!$G$6:$G$101,MOD(79+$C17+(-2),$B$3)+1)*G17+INDEX(Symboles!$G$6:$G$101,MOD(79+$C17+(-1),$B$3)+1)*H17+INDEX(Symboles!$G$6:$G$101,MOD(79+$C17+(0),$B$3)+1)*I17+INDEX(Symboles!$G$6:$G$101,MOD(79+$C17+(1),$B$3)+1)*J17+INDEX(Symboles!$G$6:$G$101,MOD(79+$C17+(2),$B$3)+1)*K17+INDEX(Symboles!$G$6:$G$101,MOD(79+$C17+(3),$B$3)+1)*L17+INDEX(Symboles!$G$6:$G$101,MOD(79+$C17+(4),$B$3)+1)*M17+IF($B$6=0,0,$B$6*NORMSINV(0.000001+0.999998*RAND())))</f>
        <v/>
      </c>
      <c r="CR17" s="30">
        <f>IF(81&gt;$B$3,99,INDEX(Symboles!$G$6:$G$101,MOD(80+$C17+(-4),$B$3)+1)*E17+INDEX(Symboles!$G$6:$G$101,MOD(80+$C17+(-3),$B$3)+1)*F17+INDEX(Symboles!$G$6:$G$101,MOD(80+$C17+(-2),$B$3)+1)*G17+INDEX(Symboles!$G$6:$G$101,MOD(80+$C17+(-1),$B$3)+1)*H17+INDEX(Symboles!$G$6:$G$101,MOD(80+$C17+(0),$B$3)+1)*I17+INDEX(Symboles!$G$6:$G$101,MOD(80+$C17+(1),$B$3)+1)*J17+INDEX(Symboles!$G$6:$G$101,MOD(80+$C17+(2),$B$3)+1)*K17+INDEX(Symboles!$G$6:$G$101,MOD(80+$C17+(3),$B$3)+1)*L17+INDEX(Symboles!$G$6:$G$101,MOD(80+$C17+(4),$B$3)+1)*M17+IF($B$6=0,0,$B$6*NORMSINV(0.000001+0.999998*RAND())))</f>
        <v/>
      </c>
      <c r="CS17" s="30">
        <f>IF(82&gt;$B$3,99,INDEX(Symboles!$G$6:$G$101,MOD(81+$C17+(-4),$B$3)+1)*E17+INDEX(Symboles!$G$6:$G$101,MOD(81+$C17+(-3),$B$3)+1)*F17+INDEX(Symboles!$G$6:$G$101,MOD(81+$C17+(-2),$B$3)+1)*G17+INDEX(Symboles!$G$6:$G$101,MOD(81+$C17+(-1),$B$3)+1)*H17+INDEX(Symboles!$G$6:$G$101,MOD(81+$C17+(0),$B$3)+1)*I17+INDEX(Symboles!$G$6:$G$101,MOD(81+$C17+(1),$B$3)+1)*J17+INDEX(Symboles!$G$6:$G$101,MOD(81+$C17+(2),$B$3)+1)*K17+INDEX(Symboles!$G$6:$G$101,MOD(81+$C17+(3),$B$3)+1)*L17+INDEX(Symboles!$G$6:$G$101,MOD(81+$C17+(4),$B$3)+1)*M17+IF($B$6=0,0,$B$6*NORMSINV(0.000001+0.999998*RAND())))</f>
        <v/>
      </c>
      <c r="CT17" s="30">
        <f>IF(83&gt;$B$3,99,INDEX(Symboles!$G$6:$G$101,MOD(82+$C17+(-4),$B$3)+1)*E17+INDEX(Symboles!$G$6:$G$101,MOD(82+$C17+(-3),$B$3)+1)*F17+INDEX(Symboles!$G$6:$G$101,MOD(82+$C17+(-2),$B$3)+1)*G17+INDEX(Symboles!$G$6:$G$101,MOD(82+$C17+(-1),$B$3)+1)*H17+INDEX(Symboles!$G$6:$G$101,MOD(82+$C17+(0),$B$3)+1)*I17+INDEX(Symboles!$G$6:$G$101,MOD(82+$C17+(1),$B$3)+1)*J17+INDEX(Symboles!$G$6:$G$101,MOD(82+$C17+(2),$B$3)+1)*K17+INDEX(Symboles!$G$6:$G$101,MOD(82+$C17+(3),$B$3)+1)*L17+INDEX(Symboles!$G$6:$G$101,MOD(82+$C17+(4),$B$3)+1)*M17+IF($B$6=0,0,$B$6*NORMSINV(0.000001+0.999998*RAND())))</f>
        <v/>
      </c>
      <c r="CU17" s="30">
        <f>IF(84&gt;$B$3,99,INDEX(Symboles!$G$6:$G$101,MOD(83+$C17+(-4),$B$3)+1)*E17+INDEX(Symboles!$G$6:$G$101,MOD(83+$C17+(-3),$B$3)+1)*F17+INDEX(Symboles!$G$6:$G$101,MOD(83+$C17+(-2),$B$3)+1)*G17+INDEX(Symboles!$G$6:$G$101,MOD(83+$C17+(-1),$B$3)+1)*H17+INDEX(Symboles!$G$6:$G$101,MOD(83+$C17+(0),$B$3)+1)*I17+INDEX(Symboles!$G$6:$G$101,MOD(83+$C17+(1),$B$3)+1)*J17+INDEX(Symboles!$G$6:$G$101,MOD(83+$C17+(2),$B$3)+1)*K17+INDEX(Symboles!$G$6:$G$101,MOD(83+$C17+(3),$B$3)+1)*L17+INDEX(Symboles!$G$6:$G$101,MOD(83+$C17+(4),$B$3)+1)*M17+IF($B$6=0,0,$B$6*NORMSINV(0.000001+0.999998*RAND())))</f>
        <v/>
      </c>
      <c r="CV17" s="30">
        <f>IF(85&gt;$B$3,99,INDEX(Symboles!$G$6:$G$101,MOD(84+$C17+(-4),$B$3)+1)*E17+INDEX(Symboles!$G$6:$G$101,MOD(84+$C17+(-3),$B$3)+1)*F17+INDEX(Symboles!$G$6:$G$101,MOD(84+$C17+(-2),$B$3)+1)*G17+INDEX(Symboles!$G$6:$G$101,MOD(84+$C17+(-1),$B$3)+1)*H17+INDEX(Symboles!$G$6:$G$101,MOD(84+$C17+(0),$B$3)+1)*I17+INDEX(Symboles!$G$6:$G$101,MOD(84+$C17+(1),$B$3)+1)*J17+INDEX(Symboles!$G$6:$G$101,MOD(84+$C17+(2),$B$3)+1)*K17+INDEX(Symboles!$G$6:$G$101,MOD(84+$C17+(3),$B$3)+1)*L17+INDEX(Symboles!$G$6:$G$101,MOD(84+$C17+(4),$B$3)+1)*M17+IF($B$6=0,0,$B$6*NORMSINV(0.000001+0.999998*RAND())))</f>
        <v/>
      </c>
      <c r="CW17" s="30">
        <f>IF(86&gt;$B$3,99,INDEX(Symboles!$G$6:$G$101,MOD(85+$C17+(-4),$B$3)+1)*E17+INDEX(Symboles!$G$6:$G$101,MOD(85+$C17+(-3),$B$3)+1)*F17+INDEX(Symboles!$G$6:$G$101,MOD(85+$C17+(-2),$B$3)+1)*G17+INDEX(Symboles!$G$6:$G$101,MOD(85+$C17+(-1),$B$3)+1)*H17+INDEX(Symboles!$G$6:$G$101,MOD(85+$C17+(0),$B$3)+1)*I17+INDEX(Symboles!$G$6:$G$101,MOD(85+$C17+(1),$B$3)+1)*J17+INDEX(Symboles!$G$6:$G$101,MOD(85+$C17+(2),$B$3)+1)*K17+INDEX(Symboles!$G$6:$G$101,MOD(85+$C17+(3),$B$3)+1)*L17+INDEX(Symboles!$G$6:$G$101,MOD(85+$C17+(4),$B$3)+1)*M17+IF($B$6=0,0,$B$6*NORMSINV(0.000001+0.999998*RAND())))</f>
        <v/>
      </c>
      <c r="CX17" s="30">
        <f>IF(87&gt;$B$3,99,INDEX(Symboles!$G$6:$G$101,MOD(86+$C17+(-4),$B$3)+1)*E17+INDEX(Symboles!$G$6:$G$101,MOD(86+$C17+(-3),$B$3)+1)*F17+INDEX(Symboles!$G$6:$G$101,MOD(86+$C17+(-2),$B$3)+1)*G17+INDEX(Symboles!$G$6:$G$101,MOD(86+$C17+(-1),$B$3)+1)*H17+INDEX(Symboles!$G$6:$G$101,MOD(86+$C17+(0),$B$3)+1)*I17+INDEX(Symboles!$G$6:$G$101,MOD(86+$C17+(1),$B$3)+1)*J17+INDEX(Symboles!$G$6:$G$101,MOD(86+$C17+(2),$B$3)+1)*K17+INDEX(Symboles!$G$6:$G$101,MOD(86+$C17+(3),$B$3)+1)*L17+INDEX(Symboles!$G$6:$G$101,MOD(86+$C17+(4),$B$3)+1)*M17+IF($B$6=0,0,$B$6*NORMSINV(0.000001+0.999998*RAND())))</f>
        <v/>
      </c>
      <c r="CY17" s="30">
        <f>IF(88&gt;$B$3,99,INDEX(Symboles!$G$6:$G$101,MOD(87+$C17+(-4),$B$3)+1)*E17+INDEX(Symboles!$G$6:$G$101,MOD(87+$C17+(-3),$B$3)+1)*F17+INDEX(Symboles!$G$6:$G$101,MOD(87+$C17+(-2),$B$3)+1)*G17+INDEX(Symboles!$G$6:$G$101,MOD(87+$C17+(-1),$B$3)+1)*H17+INDEX(Symboles!$G$6:$G$101,MOD(87+$C17+(0),$B$3)+1)*I17+INDEX(Symboles!$G$6:$G$101,MOD(87+$C17+(1),$B$3)+1)*J17+INDEX(Symboles!$G$6:$G$101,MOD(87+$C17+(2),$B$3)+1)*K17+INDEX(Symboles!$G$6:$G$101,MOD(87+$C17+(3),$B$3)+1)*L17+INDEX(Symboles!$G$6:$G$101,MOD(87+$C17+(4),$B$3)+1)*M17+IF($B$6=0,0,$B$6*NORMSINV(0.000001+0.999998*RAND())))</f>
        <v/>
      </c>
      <c r="CZ17" s="30">
        <f>IF(89&gt;$B$3,99,INDEX(Symboles!$G$6:$G$101,MOD(88+$C17+(-4),$B$3)+1)*E17+INDEX(Symboles!$G$6:$G$101,MOD(88+$C17+(-3),$B$3)+1)*F17+INDEX(Symboles!$G$6:$G$101,MOD(88+$C17+(-2),$B$3)+1)*G17+INDEX(Symboles!$G$6:$G$101,MOD(88+$C17+(-1),$B$3)+1)*H17+INDEX(Symboles!$G$6:$G$101,MOD(88+$C17+(0),$B$3)+1)*I17+INDEX(Symboles!$G$6:$G$101,MOD(88+$C17+(1),$B$3)+1)*J17+INDEX(Symboles!$G$6:$G$101,MOD(88+$C17+(2),$B$3)+1)*K17+INDEX(Symboles!$G$6:$G$101,MOD(88+$C17+(3),$B$3)+1)*L17+INDEX(Symboles!$G$6:$G$101,MOD(88+$C17+(4),$B$3)+1)*M17+IF($B$6=0,0,$B$6*NORMSINV(0.000001+0.999998*RAND())))</f>
        <v/>
      </c>
      <c r="DA17" s="30">
        <f>IF(90&gt;$B$3,99,INDEX(Symboles!$G$6:$G$101,MOD(89+$C17+(-4),$B$3)+1)*E17+INDEX(Symboles!$G$6:$G$101,MOD(89+$C17+(-3),$B$3)+1)*F17+INDEX(Symboles!$G$6:$G$101,MOD(89+$C17+(-2),$B$3)+1)*G17+INDEX(Symboles!$G$6:$G$101,MOD(89+$C17+(-1),$B$3)+1)*H17+INDEX(Symboles!$G$6:$G$101,MOD(89+$C17+(0),$B$3)+1)*I17+INDEX(Symboles!$G$6:$G$101,MOD(89+$C17+(1),$B$3)+1)*J17+INDEX(Symboles!$G$6:$G$101,MOD(89+$C17+(2),$B$3)+1)*K17+INDEX(Symboles!$G$6:$G$101,MOD(89+$C17+(3),$B$3)+1)*L17+INDEX(Symboles!$G$6:$G$101,MOD(89+$C17+(4),$B$3)+1)*M17+IF($B$6=0,0,$B$6*NORMSINV(0.000001+0.999998*RAND())))</f>
        <v/>
      </c>
      <c r="DB17" s="30">
        <f>IF(91&gt;$B$3,99,INDEX(Symboles!$G$6:$G$101,MOD(90+$C17+(-4),$B$3)+1)*E17+INDEX(Symboles!$G$6:$G$101,MOD(90+$C17+(-3),$B$3)+1)*F17+INDEX(Symboles!$G$6:$G$101,MOD(90+$C17+(-2),$B$3)+1)*G17+INDEX(Symboles!$G$6:$G$101,MOD(90+$C17+(-1),$B$3)+1)*H17+INDEX(Symboles!$G$6:$G$101,MOD(90+$C17+(0),$B$3)+1)*I17+INDEX(Symboles!$G$6:$G$101,MOD(90+$C17+(1),$B$3)+1)*J17+INDEX(Symboles!$G$6:$G$101,MOD(90+$C17+(2),$B$3)+1)*K17+INDEX(Symboles!$G$6:$G$101,MOD(90+$C17+(3),$B$3)+1)*L17+INDEX(Symboles!$G$6:$G$101,MOD(90+$C17+(4),$B$3)+1)*M17+IF($B$6=0,0,$B$6*NORMSINV(0.000001+0.999998*RAND())))</f>
        <v/>
      </c>
      <c r="DC17" s="30">
        <f>IF(92&gt;$B$3,99,INDEX(Symboles!$G$6:$G$101,MOD(91+$C17+(-4),$B$3)+1)*E17+INDEX(Symboles!$G$6:$G$101,MOD(91+$C17+(-3),$B$3)+1)*F17+INDEX(Symboles!$G$6:$G$101,MOD(91+$C17+(-2),$B$3)+1)*G17+INDEX(Symboles!$G$6:$G$101,MOD(91+$C17+(-1),$B$3)+1)*H17+INDEX(Symboles!$G$6:$G$101,MOD(91+$C17+(0),$B$3)+1)*I17+INDEX(Symboles!$G$6:$G$101,MOD(91+$C17+(1),$B$3)+1)*J17+INDEX(Symboles!$G$6:$G$101,MOD(91+$C17+(2),$B$3)+1)*K17+INDEX(Symboles!$G$6:$G$101,MOD(91+$C17+(3),$B$3)+1)*L17+INDEX(Symboles!$G$6:$G$101,MOD(91+$C17+(4),$B$3)+1)*M17+IF($B$6=0,0,$B$6*NORMSINV(0.000001+0.999998*RAND())))</f>
        <v/>
      </c>
      <c r="DD17" s="30">
        <f>IF(93&gt;$B$3,99,INDEX(Symboles!$G$6:$G$101,MOD(92+$C17+(-4),$B$3)+1)*E17+INDEX(Symboles!$G$6:$G$101,MOD(92+$C17+(-3),$B$3)+1)*F17+INDEX(Symboles!$G$6:$G$101,MOD(92+$C17+(-2),$B$3)+1)*G17+INDEX(Symboles!$G$6:$G$101,MOD(92+$C17+(-1),$B$3)+1)*H17+INDEX(Symboles!$G$6:$G$101,MOD(92+$C17+(0),$B$3)+1)*I17+INDEX(Symboles!$G$6:$G$101,MOD(92+$C17+(1),$B$3)+1)*J17+INDEX(Symboles!$G$6:$G$101,MOD(92+$C17+(2),$B$3)+1)*K17+INDEX(Symboles!$G$6:$G$101,MOD(92+$C17+(3),$B$3)+1)*L17+INDEX(Symboles!$G$6:$G$101,MOD(92+$C17+(4),$B$3)+1)*M17+IF($B$6=0,0,$B$6*NORMSINV(0.000001+0.999998*RAND())))</f>
        <v/>
      </c>
      <c r="DE17" s="30">
        <f>IF(94&gt;$B$3,99,INDEX(Symboles!$G$6:$G$101,MOD(93+$C17+(-4),$B$3)+1)*E17+INDEX(Symboles!$G$6:$G$101,MOD(93+$C17+(-3),$B$3)+1)*F17+INDEX(Symboles!$G$6:$G$101,MOD(93+$C17+(-2),$B$3)+1)*G17+INDEX(Symboles!$G$6:$G$101,MOD(93+$C17+(-1),$B$3)+1)*H17+INDEX(Symboles!$G$6:$G$101,MOD(93+$C17+(0),$B$3)+1)*I17+INDEX(Symboles!$G$6:$G$101,MOD(93+$C17+(1),$B$3)+1)*J17+INDEX(Symboles!$G$6:$G$101,MOD(93+$C17+(2),$B$3)+1)*K17+INDEX(Symboles!$G$6:$G$101,MOD(93+$C17+(3),$B$3)+1)*L17+INDEX(Symboles!$G$6:$G$101,MOD(93+$C17+(4),$B$3)+1)*M17+IF($B$6=0,0,$B$6*NORMSINV(0.000001+0.999998*RAND())))</f>
        <v/>
      </c>
      <c r="DF17" s="30">
        <f>IF(95&gt;$B$3,99,INDEX(Symboles!$G$6:$G$101,MOD(94+$C17+(-4),$B$3)+1)*E17+INDEX(Symboles!$G$6:$G$101,MOD(94+$C17+(-3),$B$3)+1)*F17+INDEX(Symboles!$G$6:$G$101,MOD(94+$C17+(-2),$B$3)+1)*G17+INDEX(Symboles!$G$6:$G$101,MOD(94+$C17+(-1),$B$3)+1)*H17+INDEX(Symboles!$G$6:$G$101,MOD(94+$C17+(0),$B$3)+1)*I17+INDEX(Symboles!$G$6:$G$101,MOD(94+$C17+(1),$B$3)+1)*J17+INDEX(Symboles!$G$6:$G$101,MOD(94+$C17+(2),$B$3)+1)*K17+INDEX(Symboles!$G$6:$G$101,MOD(94+$C17+(3),$B$3)+1)*L17+INDEX(Symboles!$G$6:$G$101,MOD(94+$C17+(4),$B$3)+1)*M17+IF($B$6=0,0,$B$6*NORMSINV(0.000001+0.999998*RAND())))</f>
        <v/>
      </c>
      <c r="DG17" s="30">
        <f>IF(96&gt;$B$3,99,INDEX(Symboles!$G$6:$G$101,MOD(95+$C17+(-4),$B$3)+1)*E17+INDEX(Symboles!$G$6:$G$101,MOD(95+$C17+(-3),$B$3)+1)*F17+INDEX(Symboles!$G$6:$G$101,MOD(95+$C17+(-2),$B$3)+1)*G17+INDEX(Symboles!$G$6:$G$101,MOD(95+$C17+(-1),$B$3)+1)*H17+INDEX(Symboles!$G$6:$G$101,MOD(95+$C17+(0),$B$3)+1)*I17+INDEX(Symboles!$G$6:$G$101,MOD(95+$C17+(1),$B$3)+1)*J17+INDEX(Symboles!$G$6:$G$101,MOD(95+$C17+(2),$B$3)+1)*K17+INDEX(Symboles!$G$6:$G$101,MOD(95+$C17+(3),$B$3)+1)*L17+INDEX(Symboles!$G$6:$G$101,MOD(95+$C17+(4),$B$3)+1)*M17+IF($B$6=0,0,$B$6*NORMSINV(0.000001+0.999998*RAND())))</f>
        <v/>
      </c>
      <c r="DI17" s="30">
        <f>IF(1&gt;$B$3,99,INDEX(Symboles!$H$6:$H$101,MOD(0+$C17+(-4),$B$3)+1)*E17+INDEX(Symboles!$H$6:$H$101,MOD(0+$C17+(-3),$B$3)+1)*F17+INDEX(Symboles!$H$6:$H$101,MOD(0+$C17+(-2),$B$3)+1)*G17+INDEX(Symboles!$H$6:$H$101,MOD(0+$C17+(-1),$B$3)+1)*H17+INDEX(Symboles!$H$6:$H$101,MOD(0+$C17+(0),$B$3)+1)*I17+INDEX(Symboles!$H$6:$H$101,MOD(0+$C17+(1),$B$3)+1)*J17+INDEX(Symboles!$H$6:$H$101,MOD(0+$C17+(2),$B$3)+1)*K17+INDEX(Symboles!$H$6:$H$101,MOD(0+$C17+(3),$B$3)+1)*L17+INDEX(Symboles!$H$6:$H$101,MOD(0+$C17+(4),$B$3)+1)*M17+IF($B$6=0,0,$B$6*NORMSINV(0.000001+0.999998*RAND())))</f>
        <v/>
      </c>
      <c r="DJ17" s="30">
        <f>IF(2&gt;$B$3,99,INDEX(Symboles!$H$6:$H$101,MOD(1+$C17+(-4),$B$3)+1)*E17+INDEX(Symboles!$H$6:$H$101,MOD(1+$C17+(-3),$B$3)+1)*F17+INDEX(Symboles!$H$6:$H$101,MOD(1+$C17+(-2),$B$3)+1)*G17+INDEX(Symboles!$H$6:$H$101,MOD(1+$C17+(-1),$B$3)+1)*H17+INDEX(Symboles!$H$6:$H$101,MOD(1+$C17+(0),$B$3)+1)*I17+INDEX(Symboles!$H$6:$H$101,MOD(1+$C17+(1),$B$3)+1)*J17+INDEX(Symboles!$H$6:$H$101,MOD(1+$C17+(2),$B$3)+1)*K17+INDEX(Symboles!$H$6:$H$101,MOD(1+$C17+(3),$B$3)+1)*L17+INDEX(Symboles!$H$6:$H$101,MOD(1+$C17+(4),$B$3)+1)*M17+IF($B$6=0,0,$B$6*NORMSINV(0.000001+0.999998*RAND())))</f>
        <v/>
      </c>
      <c r="DK17" s="30">
        <f>IF(3&gt;$B$3,99,INDEX(Symboles!$H$6:$H$101,MOD(2+$C17+(-4),$B$3)+1)*E17+INDEX(Symboles!$H$6:$H$101,MOD(2+$C17+(-3),$B$3)+1)*F17+INDEX(Symboles!$H$6:$H$101,MOD(2+$C17+(-2),$B$3)+1)*G17+INDEX(Symboles!$H$6:$H$101,MOD(2+$C17+(-1),$B$3)+1)*H17+INDEX(Symboles!$H$6:$H$101,MOD(2+$C17+(0),$B$3)+1)*I17+INDEX(Symboles!$H$6:$H$101,MOD(2+$C17+(1),$B$3)+1)*J17+INDEX(Symboles!$H$6:$H$101,MOD(2+$C17+(2),$B$3)+1)*K17+INDEX(Symboles!$H$6:$H$101,MOD(2+$C17+(3),$B$3)+1)*L17+INDEX(Symboles!$H$6:$H$101,MOD(2+$C17+(4),$B$3)+1)*M17+IF($B$6=0,0,$B$6*NORMSINV(0.000001+0.999998*RAND())))</f>
        <v/>
      </c>
      <c r="DL17" s="30">
        <f>IF(4&gt;$B$3,99,INDEX(Symboles!$H$6:$H$101,MOD(3+$C17+(-4),$B$3)+1)*E17+INDEX(Symboles!$H$6:$H$101,MOD(3+$C17+(-3),$B$3)+1)*F17+INDEX(Symboles!$H$6:$H$101,MOD(3+$C17+(-2),$B$3)+1)*G17+INDEX(Symboles!$H$6:$H$101,MOD(3+$C17+(-1),$B$3)+1)*H17+INDEX(Symboles!$H$6:$H$101,MOD(3+$C17+(0),$B$3)+1)*I17+INDEX(Symboles!$H$6:$H$101,MOD(3+$C17+(1),$B$3)+1)*J17+INDEX(Symboles!$H$6:$H$101,MOD(3+$C17+(2),$B$3)+1)*K17+INDEX(Symboles!$H$6:$H$101,MOD(3+$C17+(3),$B$3)+1)*L17+INDEX(Symboles!$H$6:$H$101,MOD(3+$C17+(4),$B$3)+1)*M17+IF($B$6=0,0,$B$6*NORMSINV(0.000001+0.999998*RAND())))</f>
        <v/>
      </c>
      <c r="DM17" s="30">
        <f>IF(5&gt;$B$3,99,INDEX(Symboles!$H$6:$H$101,MOD(4+$C17+(-4),$B$3)+1)*E17+INDEX(Symboles!$H$6:$H$101,MOD(4+$C17+(-3),$B$3)+1)*F17+INDEX(Symboles!$H$6:$H$101,MOD(4+$C17+(-2),$B$3)+1)*G17+INDEX(Symboles!$H$6:$H$101,MOD(4+$C17+(-1),$B$3)+1)*H17+INDEX(Symboles!$H$6:$H$101,MOD(4+$C17+(0),$B$3)+1)*I17+INDEX(Symboles!$H$6:$H$101,MOD(4+$C17+(1),$B$3)+1)*J17+INDEX(Symboles!$H$6:$H$101,MOD(4+$C17+(2),$B$3)+1)*K17+INDEX(Symboles!$H$6:$H$101,MOD(4+$C17+(3),$B$3)+1)*L17+INDEX(Symboles!$H$6:$H$101,MOD(4+$C17+(4),$B$3)+1)*M17+IF($B$6=0,0,$B$6*NORMSINV(0.000001+0.999998*RAND())))</f>
        <v/>
      </c>
      <c r="DN17" s="30">
        <f>IF(6&gt;$B$3,99,INDEX(Symboles!$H$6:$H$101,MOD(5+$C17+(-4),$B$3)+1)*E17+INDEX(Symboles!$H$6:$H$101,MOD(5+$C17+(-3),$B$3)+1)*F17+INDEX(Symboles!$H$6:$H$101,MOD(5+$C17+(-2),$B$3)+1)*G17+INDEX(Symboles!$H$6:$H$101,MOD(5+$C17+(-1),$B$3)+1)*H17+INDEX(Symboles!$H$6:$H$101,MOD(5+$C17+(0),$B$3)+1)*I17+INDEX(Symboles!$H$6:$H$101,MOD(5+$C17+(1),$B$3)+1)*J17+INDEX(Symboles!$H$6:$H$101,MOD(5+$C17+(2),$B$3)+1)*K17+INDEX(Symboles!$H$6:$H$101,MOD(5+$C17+(3),$B$3)+1)*L17+INDEX(Symboles!$H$6:$H$101,MOD(5+$C17+(4),$B$3)+1)*M17+IF($B$6=0,0,$B$6*NORMSINV(0.000001+0.999998*RAND())))</f>
        <v/>
      </c>
      <c r="DO17" s="30">
        <f>IF(7&gt;$B$3,99,INDEX(Symboles!$H$6:$H$101,MOD(6+$C17+(-4),$B$3)+1)*E17+INDEX(Symboles!$H$6:$H$101,MOD(6+$C17+(-3),$B$3)+1)*F17+INDEX(Symboles!$H$6:$H$101,MOD(6+$C17+(-2),$B$3)+1)*G17+INDEX(Symboles!$H$6:$H$101,MOD(6+$C17+(-1),$B$3)+1)*H17+INDEX(Symboles!$H$6:$H$101,MOD(6+$C17+(0),$B$3)+1)*I17+INDEX(Symboles!$H$6:$H$101,MOD(6+$C17+(1),$B$3)+1)*J17+INDEX(Symboles!$H$6:$H$101,MOD(6+$C17+(2),$B$3)+1)*K17+INDEX(Symboles!$H$6:$H$101,MOD(6+$C17+(3),$B$3)+1)*L17+INDEX(Symboles!$H$6:$H$101,MOD(6+$C17+(4),$B$3)+1)*M17+IF($B$6=0,0,$B$6*NORMSINV(0.000001+0.999998*RAND())))</f>
        <v/>
      </c>
      <c r="DP17" s="30">
        <f>IF(8&gt;$B$3,99,INDEX(Symboles!$H$6:$H$101,MOD(7+$C17+(-4),$B$3)+1)*E17+INDEX(Symboles!$H$6:$H$101,MOD(7+$C17+(-3),$B$3)+1)*F17+INDEX(Symboles!$H$6:$H$101,MOD(7+$C17+(-2),$B$3)+1)*G17+INDEX(Symboles!$H$6:$H$101,MOD(7+$C17+(-1),$B$3)+1)*H17+INDEX(Symboles!$H$6:$H$101,MOD(7+$C17+(0),$B$3)+1)*I17+INDEX(Symboles!$H$6:$H$101,MOD(7+$C17+(1),$B$3)+1)*J17+INDEX(Symboles!$H$6:$H$101,MOD(7+$C17+(2),$B$3)+1)*K17+INDEX(Symboles!$H$6:$H$101,MOD(7+$C17+(3),$B$3)+1)*L17+INDEX(Symboles!$H$6:$H$101,MOD(7+$C17+(4),$B$3)+1)*M17+IF($B$6=0,0,$B$6*NORMSINV(0.000001+0.999998*RAND())))</f>
        <v/>
      </c>
      <c r="DQ17" s="30">
        <f>IF(9&gt;$B$3,99,INDEX(Symboles!$H$6:$H$101,MOD(8+$C17+(-4),$B$3)+1)*E17+INDEX(Symboles!$H$6:$H$101,MOD(8+$C17+(-3),$B$3)+1)*F17+INDEX(Symboles!$H$6:$H$101,MOD(8+$C17+(-2),$B$3)+1)*G17+INDEX(Symboles!$H$6:$H$101,MOD(8+$C17+(-1),$B$3)+1)*H17+INDEX(Symboles!$H$6:$H$101,MOD(8+$C17+(0),$B$3)+1)*I17+INDEX(Symboles!$H$6:$H$101,MOD(8+$C17+(1),$B$3)+1)*J17+INDEX(Symboles!$H$6:$H$101,MOD(8+$C17+(2),$B$3)+1)*K17+INDEX(Symboles!$H$6:$H$101,MOD(8+$C17+(3),$B$3)+1)*L17+INDEX(Symboles!$H$6:$H$101,MOD(8+$C17+(4),$B$3)+1)*M17+IF($B$6=0,0,$B$6*NORMSINV(0.000001+0.999998*RAND())))</f>
        <v/>
      </c>
      <c r="DR17" s="30">
        <f>IF(10&gt;$B$3,99,INDEX(Symboles!$H$6:$H$101,MOD(9+$C17+(-4),$B$3)+1)*E17+INDEX(Symboles!$H$6:$H$101,MOD(9+$C17+(-3),$B$3)+1)*F17+INDEX(Symboles!$H$6:$H$101,MOD(9+$C17+(-2),$B$3)+1)*G17+INDEX(Symboles!$H$6:$H$101,MOD(9+$C17+(-1),$B$3)+1)*H17+INDEX(Symboles!$H$6:$H$101,MOD(9+$C17+(0),$B$3)+1)*I17+INDEX(Symboles!$H$6:$H$101,MOD(9+$C17+(1),$B$3)+1)*J17+INDEX(Symboles!$H$6:$H$101,MOD(9+$C17+(2),$B$3)+1)*K17+INDEX(Symboles!$H$6:$H$101,MOD(9+$C17+(3),$B$3)+1)*L17+INDEX(Symboles!$H$6:$H$101,MOD(9+$C17+(4),$B$3)+1)*M17+IF($B$6=0,0,$B$6*NORMSINV(0.000001+0.999998*RAND())))</f>
        <v/>
      </c>
      <c r="DS17" s="30">
        <f>IF(11&gt;$B$3,99,INDEX(Symboles!$H$6:$H$101,MOD(10+$C17+(-4),$B$3)+1)*E17+INDEX(Symboles!$H$6:$H$101,MOD(10+$C17+(-3),$B$3)+1)*F17+INDEX(Symboles!$H$6:$H$101,MOD(10+$C17+(-2),$B$3)+1)*G17+INDEX(Symboles!$H$6:$H$101,MOD(10+$C17+(-1),$B$3)+1)*H17+INDEX(Symboles!$H$6:$H$101,MOD(10+$C17+(0),$B$3)+1)*I17+INDEX(Symboles!$H$6:$H$101,MOD(10+$C17+(1),$B$3)+1)*J17+INDEX(Symboles!$H$6:$H$101,MOD(10+$C17+(2),$B$3)+1)*K17+INDEX(Symboles!$H$6:$H$101,MOD(10+$C17+(3),$B$3)+1)*L17+INDEX(Symboles!$H$6:$H$101,MOD(10+$C17+(4),$B$3)+1)*M17+IF($B$6=0,0,$B$6*NORMSINV(0.000001+0.999998*RAND())))</f>
        <v/>
      </c>
      <c r="DT17" s="30">
        <f>IF(12&gt;$B$3,99,INDEX(Symboles!$H$6:$H$101,MOD(11+$C17+(-4),$B$3)+1)*E17+INDEX(Symboles!$H$6:$H$101,MOD(11+$C17+(-3),$B$3)+1)*F17+INDEX(Symboles!$H$6:$H$101,MOD(11+$C17+(-2),$B$3)+1)*G17+INDEX(Symboles!$H$6:$H$101,MOD(11+$C17+(-1),$B$3)+1)*H17+INDEX(Symboles!$H$6:$H$101,MOD(11+$C17+(0),$B$3)+1)*I17+INDEX(Symboles!$H$6:$H$101,MOD(11+$C17+(1),$B$3)+1)*J17+INDEX(Symboles!$H$6:$H$101,MOD(11+$C17+(2),$B$3)+1)*K17+INDEX(Symboles!$H$6:$H$101,MOD(11+$C17+(3),$B$3)+1)*L17+INDEX(Symboles!$H$6:$H$101,MOD(11+$C17+(4),$B$3)+1)*M17+IF($B$6=0,0,$B$6*NORMSINV(0.000001+0.999998*RAND())))</f>
        <v/>
      </c>
      <c r="DU17" s="30">
        <f>IF(13&gt;$B$3,99,INDEX(Symboles!$H$6:$H$101,MOD(12+$C17+(-4),$B$3)+1)*E17+INDEX(Symboles!$H$6:$H$101,MOD(12+$C17+(-3),$B$3)+1)*F17+INDEX(Symboles!$H$6:$H$101,MOD(12+$C17+(-2),$B$3)+1)*G17+INDEX(Symboles!$H$6:$H$101,MOD(12+$C17+(-1),$B$3)+1)*H17+INDEX(Symboles!$H$6:$H$101,MOD(12+$C17+(0),$B$3)+1)*I17+INDEX(Symboles!$H$6:$H$101,MOD(12+$C17+(1),$B$3)+1)*J17+INDEX(Symboles!$H$6:$H$101,MOD(12+$C17+(2),$B$3)+1)*K17+INDEX(Symboles!$H$6:$H$101,MOD(12+$C17+(3),$B$3)+1)*L17+INDEX(Symboles!$H$6:$H$101,MOD(12+$C17+(4),$B$3)+1)*M17+IF($B$6=0,0,$B$6*NORMSINV(0.000001+0.999998*RAND())))</f>
        <v/>
      </c>
      <c r="DV17" s="30">
        <f>IF(14&gt;$B$3,99,INDEX(Symboles!$H$6:$H$101,MOD(13+$C17+(-4),$B$3)+1)*E17+INDEX(Symboles!$H$6:$H$101,MOD(13+$C17+(-3),$B$3)+1)*F17+INDEX(Symboles!$H$6:$H$101,MOD(13+$C17+(-2),$B$3)+1)*G17+INDEX(Symboles!$H$6:$H$101,MOD(13+$C17+(-1),$B$3)+1)*H17+INDEX(Symboles!$H$6:$H$101,MOD(13+$C17+(0),$B$3)+1)*I17+INDEX(Symboles!$H$6:$H$101,MOD(13+$C17+(1),$B$3)+1)*J17+INDEX(Symboles!$H$6:$H$101,MOD(13+$C17+(2),$B$3)+1)*K17+INDEX(Symboles!$H$6:$H$101,MOD(13+$C17+(3),$B$3)+1)*L17+INDEX(Symboles!$H$6:$H$101,MOD(13+$C17+(4),$B$3)+1)*M17+IF($B$6=0,0,$B$6*NORMSINV(0.000001+0.999998*RAND())))</f>
        <v/>
      </c>
      <c r="DW17" s="30">
        <f>IF(15&gt;$B$3,99,INDEX(Symboles!$H$6:$H$101,MOD(14+$C17+(-4),$B$3)+1)*E17+INDEX(Symboles!$H$6:$H$101,MOD(14+$C17+(-3),$B$3)+1)*F17+INDEX(Symboles!$H$6:$H$101,MOD(14+$C17+(-2),$B$3)+1)*G17+INDEX(Symboles!$H$6:$H$101,MOD(14+$C17+(-1),$B$3)+1)*H17+INDEX(Symboles!$H$6:$H$101,MOD(14+$C17+(0),$B$3)+1)*I17+INDEX(Symboles!$H$6:$H$101,MOD(14+$C17+(1),$B$3)+1)*J17+INDEX(Symboles!$H$6:$H$101,MOD(14+$C17+(2),$B$3)+1)*K17+INDEX(Symboles!$H$6:$H$101,MOD(14+$C17+(3),$B$3)+1)*L17+INDEX(Symboles!$H$6:$H$101,MOD(14+$C17+(4),$B$3)+1)*M17+IF($B$6=0,0,$B$6*NORMSINV(0.000001+0.999998*RAND())))</f>
        <v/>
      </c>
      <c r="DX17" s="30">
        <f>IF(16&gt;$B$3,99,INDEX(Symboles!$H$6:$H$101,MOD(15+$C17+(-4),$B$3)+1)*E17+INDEX(Symboles!$H$6:$H$101,MOD(15+$C17+(-3),$B$3)+1)*F17+INDEX(Symboles!$H$6:$H$101,MOD(15+$C17+(-2),$B$3)+1)*G17+INDEX(Symboles!$H$6:$H$101,MOD(15+$C17+(-1),$B$3)+1)*H17+INDEX(Symboles!$H$6:$H$101,MOD(15+$C17+(0),$B$3)+1)*I17+INDEX(Symboles!$H$6:$H$101,MOD(15+$C17+(1),$B$3)+1)*J17+INDEX(Symboles!$H$6:$H$101,MOD(15+$C17+(2),$B$3)+1)*K17+INDEX(Symboles!$H$6:$H$101,MOD(15+$C17+(3),$B$3)+1)*L17+INDEX(Symboles!$H$6:$H$101,MOD(15+$C17+(4),$B$3)+1)*M17+IF($B$6=0,0,$B$6*NORMSINV(0.000001+0.999998*RAND())))</f>
        <v/>
      </c>
      <c r="DY17" s="30">
        <f>IF(17&gt;$B$3,99,INDEX(Symboles!$H$6:$H$101,MOD(16+$C17+(-4),$B$3)+1)*E17+INDEX(Symboles!$H$6:$H$101,MOD(16+$C17+(-3),$B$3)+1)*F17+INDEX(Symboles!$H$6:$H$101,MOD(16+$C17+(-2),$B$3)+1)*G17+INDEX(Symboles!$H$6:$H$101,MOD(16+$C17+(-1),$B$3)+1)*H17+INDEX(Symboles!$H$6:$H$101,MOD(16+$C17+(0),$B$3)+1)*I17+INDEX(Symboles!$H$6:$H$101,MOD(16+$C17+(1),$B$3)+1)*J17+INDEX(Symboles!$H$6:$H$101,MOD(16+$C17+(2),$B$3)+1)*K17+INDEX(Symboles!$H$6:$H$101,MOD(16+$C17+(3),$B$3)+1)*L17+INDEX(Symboles!$H$6:$H$101,MOD(16+$C17+(4),$B$3)+1)*M17+IF($B$6=0,0,$B$6*NORMSINV(0.000001+0.999998*RAND())))</f>
        <v/>
      </c>
      <c r="DZ17" s="30">
        <f>IF(18&gt;$B$3,99,INDEX(Symboles!$H$6:$H$101,MOD(17+$C17+(-4),$B$3)+1)*E17+INDEX(Symboles!$H$6:$H$101,MOD(17+$C17+(-3),$B$3)+1)*F17+INDEX(Symboles!$H$6:$H$101,MOD(17+$C17+(-2),$B$3)+1)*G17+INDEX(Symboles!$H$6:$H$101,MOD(17+$C17+(-1),$B$3)+1)*H17+INDEX(Symboles!$H$6:$H$101,MOD(17+$C17+(0),$B$3)+1)*I17+INDEX(Symboles!$H$6:$H$101,MOD(17+$C17+(1),$B$3)+1)*J17+INDEX(Symboles!$H$6:$H$101,MOD(17+$C17+(2),$B$3)+1)*K17+INDEX(Symboles!$H$6:$H$101,MOD(17+$C17+(3),$B$3)+1)*L17+INDEX(Symboles!$H$6:$H$101,MOD(17+$C17+(4),$B$3)+1)*M17+IF($B$6=0,0,$B$6*NORMSINV(0.000001+0.999998*RAND())))</f>
        <v/>
      </c>
      <c r="EA17" s="30">
        <f>IF(19&gt;$B$3,99,INDEX(Symboles!$H$6:$H$101,MOD(18+$C17+(-4),$B$3)+1)*E17+INDEX(Symboles!$H$6:$H$101,MOD(18+$C17+(-3),$B$3)+1)*F17+INDEX(Symboles!$H$6:$H$101,MOD(18+$C17+(-2),$B$3)+1)*G17+INDEX(Symboles!$H$6:$H$101,MOD(18+$C17+(-1),$B$3)+1)*H17+INDEX(Symboles!$H$6:$H$101,MOD(18+$C17+(0),$B$3)+1)*I17+INDEX(Symboles!$H$6:$H$101,MOD(18+$C17+(1),$B$3)+1)*J17+INDEX(Symboles!$H$6:$H$101,MOD(18+$C17+(2),$B$3)+1)*K17+INDEX(Symboles!$H$6:$H$101,MOD(18+$C17+(3),$B$3)+1)*L17+INDEX(Symboles!$H$6:$H$101,MOD(18+$C17+(4),$B$3)+1)*M17+IF($B$6=0,0,$B$6*NORMSINV(0.000001+0.999998*RAND())))</f>
        <v/>
      </c>
      <c r="EB17" s="30">
        <f>IF(20&gt;$B$3,99,INDEX(Symboles!$H$6:$H$101,MOD(19+$C17+(-4),$B$3)+1)*E17+INDEX(Symboles!$H$6:$H$101,MOD(19+$C17+(-3),$B$3)+1)*F17+INDEX(Symboles!$H$6:$H$101,MOD(19+$C17+(-2),$B$3)+1)*G17+INDEX(Symboles!$H$6:$H$101,MOD(19+$C17+(-1),$B$3)+1)*H17+INDEX(Symboles!$H$6:$H$101,MOD(19+$C17+(0),$B$3)+1)*I17+INDEX(Symboles!$H$6:$H$101,MOD(19+$C17+(1),$B$3)+1)*J17+INDEX(Symboles!$H$6:$H$101,MOD(19+$C17+(2),$B$3)+1)*K17+INDEX(Symboles!$H$6:$H$101,MOD(19+$C17+(3),$B$3)+1)*L17+INDEX(Symboles!$H$6:$H$101,MOD(19+$C17+(4),$B$3)+1)*M17+IF($B$6=0,0,$B$6*NORMSINV(0.000001+0.999998*RAND())))</f>
        <v/>
      </c>
      <c r="EC17" s="30">
        <f>IF(21&gt;$B$3,99,INDEX(Symboles!$H$6:$H$101,MOD(20+$C17+(-4),$B$3)+1)*E17+INDEX(Symboles!$H$6:$H$101,MOD(20+$C17+(-3),$B$3)+1)*F17+INDEX(Symboles!$H$6:$H$101,MOD(20+$C17+(-2),$B$3)+1)*G17+INDEX(Symboles!$H$6:$H$101,MOD(20+$C17+(-1),$B$3)+1)*H17+INDEX(Symboles!$H$6:$H$101,MOD(20+$C17+(0),$B$3)+1)*I17+INDEX(Symboles!$H$6:$H$101,MOD(20+$C17+(1),$B$3)+1)*J17+INDEX(Symboles!$H$6:$H$101,MOD(20+$C17+(2),$B$3)+1)*K17+INDEX(Symboles!$H$6:$H$101,MOD(20+$C17+(3),$B$3)+1)*L17+INDEX(Symboles!$H$6:$H$101,MOD(20+$C17+(4),$B$3)+1)*M17+IF($B$6=0,0,$B$6*NORMSINV(0.000001+0.999998*RAND())))</f>
        <v/>
      </c>
      <c r="ED17" s="30">
        <f>IF(22&gt;$B$3,99,INDEX(Symboles!$H$6:$H$101,MOD(21+$C17+(-4),$B$3)+1)*E17+INDEX(Symboles!$H$6:$H$101,MOD(21+$C17+(-3),$B$3)+1)*F17+INDEX(Symboles!$H$6:$H$101,MOD(21+$C17+(-2),$B$3)+1)*G17+INDEX(Symboles!$H$6:$H$101,MOD(21+$C17+(-1),$B$3)+1)*H17+INDEX(Symboles!$H$6:$H$101,MOD(21+$C17+(0),$B$3)+1)*I17+INDEX(Symboles!$H$6:$H$101,MOD(21+$C17+(1),$B$3)+1)*J17+INDEX(Symboles!$H$6:$H$101,MOD(21+$C17+(2),$B$3)+1)*K17+INDEX(Symboles!$H$6:$H$101,MOD(21+$C17+(3),$B$3)+1)*L17+INDEX(Symboles!$H$6:$H$101,MOD(21+$C17+(4),$B$3)+1)*M17+IF($B$6=0,0,$B$6*NORMSINV(0.000001+0.999998*RAND())))</f>
        <v/>
      </c>
      <c r="EE17" s="30">
        <f>IF(23&gt;$B$3,99,INDEX(Symboles!$H$6:$H$101,MOD(22+$C17+(-4),$B$3)+1)*E17+INDEX(Symboles!$H$6:$H$101,MOD(22+$C17+(-3),$B$3)+1)*F17+INDEX(Symboles!$H$6:$H$101,MOD(22+$C17+(-2),$B$3)+1)*G17+INDEX(Symboles!$H$6:$H$101,MOD(22+$C17+(-1),$B$3)+1)*H17+INDEX(Symboles!$H$6:$H$101,MOD(22+$C17+(0),$B$3)+1)*I17+INDEX(Symboles!$H$6:$H$101,MOD(22+$C17+(1),$B$3)+1)*J17+INDEX(Symboles!$H$6:$H$101,MOD(22+$C17+(2),$B$3)+1)*K17+INDEX(Symboles!$H$6:$H$101,MOD(22+$C17+(3),$B$3)+1)*L17+INDEX(Symboles!$H$6:$H$101,MOD(22+$C17+(4),$B$3)+1)*M17+IF($B$6=0,0,$B$6*NORMSINV(0.000001+0.999998*RAND())))</f>
        <v/>
      </c>
      <c r="EF17" s="30">
        <f>IF(24&gt;$B$3,99,INDEX(Symboles!$H$6:$H$101,MOD(23+$C17+(-4),$B$3)+1)*E17+INDEX(Symboles!$H$6:$H$101,MOD(23+$C17+(-3),$B$3)+1)*F17+INDEX(Symboles!$H$6:$H$101,MOD(23+$C17+(-2),$B$3)+1)*G17+INDEX(Symboles!$H$6:$H$101,MOD(23+$C17+(-1),$B$3)+1)*H17+INDEX(Symboles!$H$6:$H$101,MOD(23+$C17+(0),$B$3)+1)*I17+INDEX(Symboles!$H$6:$H$101,MOD(23+$C17+(1),$B$3)+1)*J17+INDEX(Symboles!$H$6:$H$101,MOD(23+$C17+(2),$B$3)+1)*K17+INDEX(Symboles!$H$6:$H$101,MOD(23+$C17+(3),$B$3)+1)*L17+INDEX(Symboles!$H$6:$H$101,MOD(23+$C17+(4),$B$3)+1)*M17+IF($B$6=0,0,$B$6*NORMSINV(0.000001+0.999998*RAND())))</f>
        <v/>
      </c>
      <c r="EG17" s="30">
        <f>IF(25&gt;$B$3,99,INDEX(Symboles!$H$6:$H$101,MOD(24+$C17+(-4),$B$3)+1)*E17+INDEX(Symboles!$H$6:$H$101,MOD(24+$C17+(-3),$B$3)+1)*F17+INDEX(Symboles!$H$6:$H$101,MOD(24+$C17+(-2),$B$3)+1)*G17+INDEX(Symboles!$H$6:$H$101,MOD(24+$C17+(-1),$B$3)+1)*H17+INDEX(Symboles!$H$6:$H$101,MOD(24+$C17+(0),$B$3)+1)*I17+INDEX(Symboles!$H$6:$H$101,MOD(24+$C17+(1),$B$3)+1)*J17+INDEX(Symboles!$H$6:$H$101,MOD(24+$C17+(2),$B$3)+1)*K17+INDEX(Symboles!$H$6:$H$101,MOD(24+$C17+(3),$B$3)+1)*L17+INDEX(Symboles!$H$6:$H$101,MOD(24+$C17+(4),$B$3)+1)*M17+IF($B$6=0,0,$B$6*NORMSINV(0.000001+0.999998*RAND())))</f>
        <v/>
      </c>
      <c r="EH17" s="30">
        <f>IF(26&gt;$B$3,99,INDEX(Symboles!$H$6:$H$101,MOD(25+$C17+(-4),$B$3)+1)*E17+INDEX(Symboles!$H$6:$H$101,MOD(25+$C17+(-3),$B$3)+1)*F17+INDEX(Symboles!$H$6:$H$101,MOD(25+$C17+(-2),$B$3)+1)*G17+INDEX(Symboles!$H$6:$H$101,MOD(25+$C17+(-1),$B$3)+1)*H17+INDEX(Symboles!$H$6:$H$101,MOD(25+$C17+(0),$B$3)+1)*I17+INDEX(Symboles!$H$6:$H$101,MOD(25+$C17+(1),$B$3)+1)*J17+INDEX(Symboles!$H$6:$H$101,MOD(25+$C17+(2),$B$3)+1)*K17+INDEX(Symboles!$H$6:$H$101,MOD(25+$C17+(3),$B$3)+1)*L17+INDEX(Symboles!$H$6:$H$101,MOD(25+$C17+(4),$B$3)+1)*M17+IF($B$6=0,0,$B$6*NORMSINV(0.000001+0.999998*RAND())))</f>
        <v/>
      </c>
      <c r="EI17" s="30">
        <f>IF(27&gt;$B$3,99,INDEX(Symboles!$H$6:$H$101,MOD(26+$C17+(-4),$B$3)+1)*E17+INDEX(Symboles!$H$6:$H$101,MOD(26+$C17+(-3),$B$3)+1)*F17+INDEX(Symboles!$H$6:$H$101,MOD(26+$C17+(-2),$B$3)+1)*G17+INDEX(Symboles!$H$6:$H$101,MOD(26+$C17+(-1),$B$3)+1)*H17+INDEX(Symboles!$H$6:$H$101,MOD(26+$C17+(0),$B$3)+1)*I17+INDEX(Symboles!$H$6:$H$101,MOD(26+$C17+(1),$B$3)+1)*J17+INDEX(Symboles!$H$6:$H$101,MOD(26+$C17+(2),$B$3)+1)*K17+INDEX(Symboles!$H$6:$H$101,MOD(26+$C17+(3),$B$3)+1)*L17+INDEX(Symboles!$H$6:$H$101,MOD(26+$C17+(4),$B$3)+1)*M17+IF($B$6=0,0,$B$6*NORMSINV(0.000001+0.999998*RAND())))</f>
        <v/>
      </c>
      <c r="EJ17" s="30">
        <f>IF(28&gt;$B$3,99,INDEX(Symboles!$H$6:$H$101,MOD(27+$C17+(-4),$B$3)+1)*E17+INDEX(Symboles!$H$6:$H$101,MOD(27+$C17+(-3),$B$3)+1)*F17+INDEX(Symboles!$H$6:$H$101,MOD(27+$C17+(-2),$B$3)+1)*G17+INDEX(Symboles!$H$6:$H$101,MOD(27+$C17+(-1),$B$3)+1)*H17+INDEX(Symboles!$H$6:$H$101,MOD(27+$C17+(0),$B$3)+1)*I17+INDEX(Symboles!$H$6:$H$101,MOD(27+$C17+(1),$B$3)+1)*J17+INDEX(Symboles!$H$6:$H$101,MOD(27+$C17+(2),$B$3)+1)*K17+INDEX(Symboles!$H$6:$H$101,MOD(27+$C17+(3),$B$3)+1)*L17+INDEX(Symboles!$H$6:$H$101,MOD(27+$C17+(4),$B$3)+1)*M17+IF($B$6=0,0,$B$6*NORMSINV(0.000001+0.999998*RAND())))</f>
        <v/>
      </c>
      <c r="EK17" s="30">
        <f>IF(29&gt;$B$3,99,INDEX(Symboles!$H$6:$H$101,MOD(28+$C17+(-4),$B$3)+1)*E17+INDEX(Symboles!$H$6:$H$101,MOD(28+$C17+(-3),$B$3)+1)*F17+INDEX(Symboles!$H$6:$H$101,MOD(28+$C17+(-2),$B$3)+1)*G17+INDEX(Symboles!$H$6:$H$101,MOD(28+$C17+(-1),$B$3)+1)*H17+INDEX(Symboles!$H$6:$H$101,MOD(28+$C17+(0),$B$3)+1)*I17+INDEX(Symboles!$H$6:$H$101,MOD(28+$C17+(1),$B$3)+1)*J17+INDEX(Symboles!$H$6:$H$101,MOD(28+$C17+(2),$B$3)+1)*K17+INDEX(Symboles!$H$6:$H$101,MOD(28+$C17+(3),$B$3)+1)*L17+INDEX(Symboles!$H$6:$H$101,MOD(28+$C17+(4),$B$3)+1)*M17+IF($B$6=0,0,$B$6*NORMSINV(0.000001+0.999998*RAND())))</f>
        <v/>
      </c>
      <c r="EL17" s="30">
        <f>IF(30&gt;$B$3,99,INDEX(Symboles!$H$6:$H$101,MOD(29+$C17+(-4),$B$3)+1)*E17+INDEX(Symboles!$H$6:$H$101,MOD(29+$C17+(-3),$B$3)+1)*F17+INDEX(Symboles!$H$6:$H$101,MOD(29+$C17+(-2),$B$3)+1)*G17+INDEX(Symboles!$H$6:$H$101,MOD(29+$C17+(-1),$B$3)+1)*H17+INDEX(Symboles!$H$6:$H$101,MOD(29+$C17+(0),$B$3)+1)*I17+INDEX(Symboles!$H$6:$H$101,MOD(29+$C17+(1),$B$3)+1)*J17+INDEX(Symboles!$H$6:$H$101,MOD(29+$C17+(2),$B$3)+1)*K17+INDEX(Symboles!$H$6:$H$101,MOD(29+$C17+(3),$B$3)+1)*L17+INDEX(Symboles!$H$6:$H$101,MOD(29+$C17+(4),$B$3)+1)*M17+IF($B$6=0,0,$B$6*NORMSINV(0.000001+0.999998*RAND())))</f>
        <v/>
      </c>
      <c r="EM17" s="30">
        <f>IF(31&gt;$B$3,99,INDEX(Symboles!$H$6:$H$101,MOD(30+$C17+(-4),$B$3)+1)*E17+INDEX(Symboles!$H$6:$H$101,MOD(30+$C17+(-3),$B$3)+1)*F17+INDEX(Symboles!$H$6:$H$101,MOD(30+$C17+(-2),$B$3)+1)*G17+INDEX(Symboles!$H$6:$H$101,MOD(30+$C17+(-1),$B$3)+1)*H17+INDEX(Symboles!$H$6:$H$101,MOD(30+$C17+(0),$B$3)+1)*I17+INDEX(Symboles!$H$6:$H$101,MOD(30+$C17+(1),$B$3)+1)*J17+INDEX(Symboles!$H$6:$H$101,MOD(30+$C17+(2),$B$3)+1)*K17+INDEX(Symboles!$H$6:$H$101,MOD(30+$C17+(3),$B$3)+1)*L17+INDEX(Symboles!$H$6:$H$101,MOD(30+$C17+(4),$B$3)+1)*M17+IF($B$6=0,0,$B$6*NORMSINV(0.000001+0.999998*RAND())))</f>
        <v/>
      </c>
      <c r="EN17" s="30">
        <f>IF(32&gt;$B$3,99,INDEX(Symboles!$H$6:$H$101,MOD(31+$C17+(-4),$B$3)+1)*E17+INDEX(Symboles!$H$6:$H$101,MOD(31+$C17+(-3),$B$3)+1)*F17+INDEX(Symboles!$H$6:$H$101,MOD(31+$C17+(-2),$B$3)+1)*G17+INDEX(Symboles!$H$6:$H$101,MOD(31+$C17+(-1),$B$3)+1)*H17+INDEX(Symboles!$H$6:$H$101,MOD(31+$C17+(0),$B$3)+1)*I17+INDEX(Symboles!$H$6:$H$101,MOD(31+$C17+(1),$B$3)+1)*J17+INDEX(Symboles!$H$6:$H$101,MOD(31+$C17+(2),$B$3)+1)*K17+INDEX(Symboles!$H$6:$H$101,MOD(31+$C17+(3),$B$3)+1)*L17+INDEX(Symboles!$H$6:$H$101,MOD(31+$C17+(4),$B$3)+1)*M17+IF($B$6=0,0,$B$6*NORMSINV(0.000001+0.999998*RAND())))</f>
        <v/>
      </c>
      <c r="EO17" s="30">
        <f>IF(33&gt;$B$3,99,INDEX(Symboles!$H$6:$H$101,MOD(32+$C17+(-4),$B$3)+1)*E17+INDEX(Symboles!$H$6:$H$101,MOD(32+$C17+(-3),$B$3)+1)*F17+INDEX(Symboles!$H$6:$H$101,MOD(32+$C17+(-2),$B$3)+1)*G17+INDEX(Symboles!$H$6:$H$101,MOD(32+$C17+(-1),$B$3)+1)*H17+INDEX(Symboles!$H$6:$H$101,MOD(32+$C17+(0),$B$3)+1)*I17+INDEX(Symboles!$H$6:$H$101,MOD(32+$C17+(1),$B$3)+1)*J17+INDEX(Symboles!$H$6:$H$101,MOD(32+$C17+(2),$B$3)+1)*K17+INDEX(Symboles!$H$6:$H$101,MOD(32+$C17+(3),$B$3)+1)*L17+INDEX(Symboles!$H$6:$H$101,MOD(32+$C17+(4),$B$3)+1)*M17+IF($B$6=0,0,$B$6*NORMSINV(0.000001+0.999998*RAND())))</f>
        <v/>
      </c>
      <c r="EP17" s="30">
        <f>IF(34&gt;$B$3,99,INDEX(Symboles!$H$6:$H$101,MOD(33+$C17+(-4),$B$3)+1)*E17+INDEX(Symboles!$H$6:$H$101,MOD(33+$C17+(-3),$B$3)+1)*F17+INDEX(Symboles!$H$6:$H$101,MOD(33+$C17+(-2),$B$3)+1)*G17+INDEX(Symboles!$H$6:$H$101,MOD(33+$C17+(-1),$B$3)+1)*H17+INDEX(Symboles!$H$6:$H$101,MOD(33+$C17+(0),$B$3)+1)*I17+INDEX(Symboles!$H$6:$H$101,MOD(33+$C17+(1),$B$3)+1)*J17+INDEX(Symboles!$H$6:$H$101,MOD(33+$C17+(2),$B$3)+1)*K17+INDEX(Symboles!$H$6:$H$101,MOD(33+$C17+(3),$B$3)+1)*L17+INDEX(Symboles!$H$6:$H$101,MOD(33+$C17+(4),$B$3)+1)*M17+IF($B$6=0,0,$B$6*NORMSINV(0.000001+0.999998*RAND())))</f>
        <v/>
      </c>
      <c r="EQ17" s="30">
        <f>IF(35&gt;$B$3,99,INDEX(Symboles!$H$6:$H$101,MOD(34+$C17+(-4),$B$3)+1)*E17+INDEX(Symboles!$H$6:$H$101,MOD(34+$C17+(-3),$B$3)+1)*F17+INDEX(Symboles!$H$6:$H$101,MOD(34+$C17+(-2),$B$3)+1)*G17+INDEX(Symboles!$H$6:$H$101,MOD(34+$C17+(-1),$B$3)+1)*H17+INDEX(Symboles!$H$6:$H$101,MOD(34+$C17+(0),$B$3)+1)*I17+INDEX(Symboles!$H$6:$H$101,MOD(34+$C17+(1),$B$3)+1)*J17+INDEX(Symboles!$H$6:$H$101,MOD(34+$C17+(2),$B$3)+1)*K17+INDEX(Symboles!$H$6:$H$101,MOD(34+$C17+(3),$B$3)+1)*L17+INDEX(Symboles!$H$6:$H$101,MOD(34+$C17+(4),$B$3)+1)*M17+IF($B$6=0,0,$B$6*NORMSINV(0.000001+0.999998*RAND())))</f>
        <v/>
      </c>
      <c r="ER17" s="30">
        <f>IF(36&gt;$B$3,99,INDEX(Symboles!$H$6:$H$101,MOD(35+$C17+(-4),$B$3)+1)*E17+INDEX(Symboles!$H$6:$H$101,MOD(35+$C17+(-3),$B$3)+1)*F17+INDEX(Symboles!$H$6:$H$101,MOD(35+$C17+(-2),$B$3)+1)*G17+INDEX(Symboles!$H$6:$H$101,MOD(35+$C17+(-1),$B$3)+1)*H17+INDEX(Symboles!$H$6:$H$101,MOD(35+$C17+(0),$B$3)+1)*I17+INDEX(Symboles!$H$6:$H$101,MOD(35+$C17+(1),$B$3)+1)*J17+INDEX(Symboles!$H$6:$H$101,MOD(35+$C17+(2),$B$3)+1)*K17+INDEX(Symboles!$H$6:$H$101,MOD(35+$C17+(3),$B$3)+1)*L17+INDEX(Symboles!$H$6:$H$101,MOD(35+$C17+(4),$B$3)+1)*M17+IF($B$6=0,0,$B$6*NORMSINV(0.000001+0.999998*RAND())))</f>
        <v/>
      </c>
      <c r="ES17" s="30">
        <f>IF(37&gt;$B$3,99,INDEX(Symboles!$H$6:$H$101,MOD(36+$C17+(-4),$B$3)+1)*E17+INDEX(Symboles!$H$6:$H$101,MOD(36+$C17+(-3),$B$3)+1)*F17+INDEX(Symboles!$H$6:$H$101,MOD(36+$C17+(-2),$B$3)+1)*G17+INDEX(Symboles!$H$6:$H$101,MOD(36+$C17+(-1),$B$3)+1)*H17+INDEX(Symboles!$H$6:$H$101,MOD(36+$C17+(0),$B$3)+1)*I17+INDEX(Symboles!$H$6:$H$101,MOD(36+$C17+(1),$B$3)+1)*J17+INDEX(Symboles!$H$6:$H$101,MOD(36+$C17+(2),$B$3)+1)*K17+INDEX(Symboles!$H$6:$H$101,MOD(36+$C17+(3),$B$3)+1)*L17+INDEX(Symboles!$H$6:$H$101,MOD(36+$C17+(4),$B$3)+1)*M17+IF($B$6=0,0,$B$6*NORMSINV(0.000001+0.999998*RAND())))</f>
        <v/>
      </c>
      <c r="ET17" s="30">
        <f>IF(38&gt;$B$3,99,INDEX(Symboles!$H$6:$H$101,MOD(37+$C17+(-4),$B$3)+1)*E17+INDEX(Symboles!$H$6:$H$101,MOD(37+$C17+(-3),$B$3)+1)*F17+INDEX(Symboles!$H$6:$H$101,MOD(37+$C17+(-2),$B$3)+1)*G17+INDEX(Symboles!$H$6:$H$101,MOD(37+$C17+(-1),$B$3)+1)*H17+INDEX(Symboles!$H$6:$H$101,MOD(37+$C17+(0),$B$3)+1)*I17+INDEX(Symboles!$H$6:$H$101,MOD(37+$C17+(1),$B$3)+1)*J17+INDEX(Symboles!$H$6:$H$101,MOD(37+$C17+(2),$B$3)+1)*K17+INDEX(Symboles!$H$6:$H$101,MOD(37+$C17+(3),$B$3)+1)*L17+INDEX(Symboles!$H$6:$H$101,MOD(37+$C17+(4),$B$3)+1)*M17+IF($B$6=0,0,$B$6*NORMSINV(0.000001+0.999998*RAND())))</f>
        <v/>
      </c>
      <c r="EU17" s="30">
        <f>IF(39&gt;$B$3,99,INDEX(Symboles!$H$6:$H$101,MOD(38+$C17+(-4),$B$3)+1)*E17+INDEX(Symboles!$H$6:$H$101,MOD(38+$C17+(-3),$B$3)+1)*F17+INDEX(Symboles!$H$6:$H$101,MOD(38+$C17+(-2),$B$3)+1)*G17+INDEX(Symboles!$H$6:$H$101,MOD(38+$C17+(-1),$B$3)+1)*H17+INDEX(Symboles!$H$6:$H$101,MOD(38+$C17+(0),$B$3)+1)*I17+INDEX(Symboles!$H$6:$H$101,MOD(38+$C17+(1),$B$3)+1)*J17+INDEX(Symboles!$H$6:$H$101,MOD(38+$C17+(2),$B$3)+1)*K17+INDEX(Symboles!$H$6:$H$101,MOD(38+$C17+(3),$B$3)+1)*L17+INDEX(Symboles!$H$6:$H$101,MOD(38+$C17+(4),$B$3)+1)*M17+IF($B$6=0,0,$B$6*NORMSINV(0.000001+0.999998*RAND())))</f>
        <v/>
      </c>
      <c r="EV17" s="30">
        <f>IF(40&gt;$B$3,99,INDEX(Symboles!$H$6:$H$101,MOD(39+$C17+(-4),$B$3)+1)*E17+INDEX(Symboles!$H$6:$H$101,MOD(39+$C17+(-3),$B$3)+1)*F17+INDEX(Symboles!$H$6:$H$101,MOD(39+$C17+(-2),$B$3)+1)*G17+INDEX(Symboles!$H$6:$H$101,MOD(39+$C17+(-1),$B$3)+1)*H17+INDEX(Symboles!$H$6:$H$101,MOD(39+$C17+(0),$B$3)+1)*I17+INDEX(Symboles!$H$6:$H$101,MOD(39+$C17+(1),$B$3)+1)*J17+INDEX(Symboles!$H$6:$H$101,MOD(39+$C17+(2),$B$3)+1)*K17+INDEX(Symboles!$H$6:$H$101,MOD(39+$C17+(3),$B$3)+1)*L17+INDEX(Symboles!$H$6:$H$101,MOD(39+$C17+(4),$B$3)+1)*M17+IF($B$6=0,0,$B$6*NORMSINV(0.000001+0.999998*RAND())))</f>
        <v/>
      </c>
      <c r="EW17" s="30">
        <f>IF(41&gt;$B$3,99,INDEX(Symboles!$H$6:$H$101,MOD(40+$C17+(-4),$B$3)+1)*E17+INDEX(Symboles!$H$6:$H$101,MOD(40+$C17+(-3),$B$3)+1)*F17+INDEX(Symboles!$H$6:$H$101,MOD(40+$C17+(-2),$B$3)+1)*G17+INDEX(Symboles!$H$6:$H$101,MOD(40+$C17+(-1),$B$3)+1)*H17+INDEX(Symboles!$H$6:$H$101,MOD(40+$C17+(0),$B$3)+1)*I17+INDEX(Symboles!$H$6:$H$101,MOD(40+$C17+(1),$B$3)+1)*J17+INDEX(Symboles!$H$6:$H$101,MOD(40+$C17+(2),$B$3)+1)*K17+INDEX(Symboles!$H$6:$H$101,MOD(40+$C17+(3),$B$3)+1)*L17+INDEX(Symboles!$H$6:$H$101,MOD(40+$C17+(4),$B$3)+1)*M17+IF($B$6=0,0,$B$6*NORMSINV(0.000001+0.999998*RAND())))</f>
        <v/>
      </c>
      <c r="EX17" s="30">
        <f>IF(42&gt;$B$3,99,INDEX(Symboles!$H$6:$H$101,MOD(41+$C17+(-4),$B$3)+1)*E17+INDEX(Symboles!$H$6:$H$101,MOD(41+$C17+(-3),$B$3)+1)*F17+INDEX(Symboles!$H$6:$H$101,MOD(41+$C17+(-2),$B$3)+1)*G17+INDEX(Symboles!$H$6:$H$101,MOD(41+$C17+(-1),$B$3)+1)*H17+INDEX(Symboles!$H$6:$H$101,MOD(41+$C17+(0),$B$3)+1)*I17+INDEX(Symboles!$H$6:$H$101,MOD(41+$C17+(1),$B$3)+1)*J17+INDEX(Symboles!$H$6:$H$101,MOD(41+$C17+(2),$B$3)+1)*K17+INDEX(Symboles!$H$6:$H$101,MOD(41+$C17+(3),$B$3)+1)*L17+INDEX(Symboles!$H$6:$H$101,MOD(41+$C17+(4),$B$3)+1)*M17+IF($B$6=0,0,$B$6*NORMSINV(0.000001+0.999998*RAND())))</f>
        <v/>
      </c>
      <c r="EY17" s="30">
        <f>IF(43&gt;$B$3,99,INDEX(Symboles!$H$6:$H$101,MOD(42+$C17+(-4),$B$3)+1)*E17+INDEX(Symboles!$H$6:$H$101,MOD(42+$C17+(-3),$B$3)+1)*F17+INDEX(Symboles!$H$6:$H$101,MOD(42+$C17+(-2),$B$3)+1)*G17+INDEX(Symboles!$H$6:$H$101,MOD(42+$C17+(-1),$B$3)+1)*H17+INDEX(Symboles!$H$6:$H$101,MOD(42+$C17+(0),$B$3)+1)*I17+INDEX(Symboles!$H$6:$H$101,MOD(42+$C17+(1),$B$3)+1)*J17+INDEX(Symboles!$H$6:$H$101,MOD(42+$C17+(2),$B$3)+1)*K17+INDEX(Symboles!$H$6:$H$101,MOD(42+$C17+(3),$B$3)+1)*L17+INDEX(Symboles!$H$6:$H$101,MOD(42+$C17+(4),$B$3)+1)*M17+IF($B$6=0,0,$B$6*NORMSINV(0.000001+0.999998*RAND())))</f>
        <v/>
      </c>
      <c r="EZ17" s="30">
        <f>IF(44&gt;$B$3,99,INDEX(Symboles!$H$6:$H$101,MOD(43+$C17+(-4),$B$3)+1)*E17+INDEX(Symboles!$H$6:$H$101,MOD(43+$C17+(-3),$B$3)+1)*F17+INDEX(Symboles!$H$6:$H$101,MOD(43+$C17+(-2),$B$3)+1)*G17+INDEX(Symboles!$H$6:$H$101,MOD(43+$C17+(-1),$B$3)+1)*H17+INDEX(Symboles!$H$6:$H$101,MOD(43+$C17+(0),$B$3)+1)*I17+INDEX(Symboles!$H$6:$H$101,MOD(43+$C17+(1),$B$3)+1)*J17+INDEX(Symboles!$H$6:$H$101,MOD(43+$C17+(2),$B$3)+1)*K17+INDEX(Symboles!$H$6:$H$101,MOD(43+$C17+(3),$B$3)+1)*L17+INDEX(Symboles!$H$6:$H$101,MOD(43+$C17+(4),$B$3)+1)*M17+IF($B$6=0,0,$B$6*NORMSINV(0.000001+0.999998*RAND())))</f>
        <v/>
      </c>
      <c r="FA17" s="30">
        <f>IF(45&gt;$B$3,99,INDEX(Symboles!$H$6:$H$101,MOD(44+$C17+(-4),$B$3)+1)*E17+INDEX(Symboles!$H$6:$H$101,MOD(44+$C17+(-3),$B$3)+1)*F17+INDEX(Symboles!$H$6:$H$101,MOD(44+$C17+(-2),$B$3)+1)*G17+INDEX(Symboles!$H$6:$H$101,MOD(44+$C17+(-1),$B$3)+1)*H17+INDEX(Symboles!$H$6:$H$101,MOD(44+$C17+(0),$B$3)+1)*I17+INDEX(Symboles!$H$6:$H$101,MOD(44+$C17+(1),$B$3)+1)*J17+INDEX(Symboles!$H$6:$H$101,MOD(44+$C17+(2),$B$3)+1)*K17+INDEX(Symboles!$H$6:$H$101,MOD(44+$C17+(3),$B$3)+1)*L17+INDEX(Symboles!$H$6:$H$101,MOD(44+$C17+(4),$B$3)+1)*M17+IF($B$6=0,0,$B$6*NORMSINV(0.000001+0.999998*RAND())))</f>
        <v/>
      </c>
      <c r="FB17" s="30">
        <f>IF(46&gt;$B$3,99,INDEX(Symboles!$H$6:$H$101,MOD(45+$C17+(-4),$B$3)+1)*E17+INDEX(Symboles!$H$6:$H$101,MOD(45+$C17+(-3),$B$3)+1)*F17+INDEX(Symboles!$H$6:$H$101,MOD(45+$C17+(-2),$B$3)+1)*G17+INDEX(Symboles!$H$6:$H$101,MOD(45+$C17+(-1),$B$3)+1)*H17+INDEX(Symboles!$H$6:$H$101,MOD(45+$C17+(0),$B$3)+1)*I17+INDEX(Symboles!$H$6:$H$101,MOD(45+$C17+(1),$B$3)+1)*J17+INDEX(Symboles!$H$6:$H$101,MOD(45+$C17+(2),$B$3)+1)*K17+INDEX(Symboles!$H$6:$H$101,MOD(45+$C17+(3),$B$3)+1)*L17+INDEX(Symboles!$H$6:$H$101,MOD(45+$C17+(4),$B$3)+1)*M17+IF($B$6=0,0,$B$6*NORMSINV(0.000001+0.999998*RAND())))</f>
        <v/>
      </c>
      <c r="FC17" s="30">
        <f>IF(47&gt;$B$3,99,INDEX(Symboles!$H$6:$H$101,MOD(46+$C17+(-4),$B$3)+1)*E17+INDEX(Symboles!$H$6:$H$101,MOD(46+$C17+(-3),$B$3)+1)*F17+INDEX(Symboles!$H$6:$H$101,MOD(46+$C17+(-2),$B$3)+1)*G17+INDEX(Symboles!$H$6:$H$101,MOD(46+$C17+(-1),$B$3)+1)*H17+INDEX(Symboles!$H$6:$H$101,MOD(46+$C17+(0),$B$3)+1)*I17+INDEX(Symboles!$H$6:$H$101,MOD(46+$C17+(1),$B$3)+1)*J17+INDEX(Symboles!$H$6:$H$101,MOD(46+$C17+(2),$B$3)+1)*K17+INDEX(Symboles!$H$6:$H$101,MOD(46+$C17+(3),$B$3)+1)*L17+INDEX(Symboles!$H$6:$H$101,MOD(46+$C17+(4),$B$3)+1)*M17+IF($B$6=0,0,$B$6*NORMSINV(0.000001+0.999998*RAND())))</f>
        <v/>
      </c>
      <c r="FD17" s="30">
        <f>IF(48&gt;$B$3,99,INDEX(Symboles!$H$6:$H$101,MOD(47+$C17+(-4),$B$3)+1)*E17+INDEX(Symboles!$H$6:$H$101,MOD(47+$C17+(-3),$B$3)+1)*F17+INDEX(Symboles!$H$6:$H$101,MOD(47+$C17+(-2),$B$3)+1)*G17+INDEX(Symboles!$H$6:$H$101,MOD(47+$C17+(-1),$B$3)+1)*H17+INDEX(Symboles!$H$6:$H$101,MOD(47+$C17+(0),$B$3)+1)*I17+INDEX(Symboles!$H$6:$H$101,MOD(47+$C17+(1),$B$3)+1)*J17+INDEX(Symboles!$H$6:$H$101,MOD(47+$C17+(2),$B$3)+1)*K17+INDEX(Symboles!$H$6:$H$101,MOD(47+$C17+(3),$B$3)+1)*L17+INDEX(Symboles!$H$6:$H$101,MOD(47+$C17+(4),$B$3)+1)*M17+IF($B$6=0,0,$B$6*NORMSINV(0.000001+0.999998*RAND())))</f>
        <v/>
      </c>
      <c r="FE17" s="30">
        <f>IF(49&gt;$B$3,99,INDEX(Symboles!$H$6:$H$101,MOD(48+$C17+(-4),$B$3)+1)*E17+INDEX(Symboles!$H$6:$H$101,MOD(48+$C17+(-3),$B$3)+1)*F17+INDEX(Symboles!$H$6:$H$101,MOD(48+$C17+(-2),$B$3)+1)*G17+INDEX(Symboles!$H$6:$H$101,MOD(48+$C17+(-1),$B$3)+1)*H17+INDEX(Symboles!$H$6:$H$101,MOD(48+$C17+(0),$B$3)+1)*I17+INDEX(Symboles!$H$6:$H$101,MOD(48+$C17+(1),$B$3)+1)*J17+INDEX(Symboles!$H$6:$H$101,MOD(48+$C17+(2),$B$3)+1)*K17+INDEX(Symboles!$H$6:$H$101,MOD(48+$C17+(3),$B$3)+1)*L17+INDEX(Symboles!$H$6:$H$101,MOD(48+$C17+(4),$B$3)+1)*M17+IF($B$6=0,0,$B$6*NORMSINV(0.000001+0.999998*RAND())))</f>
        <v/>
      </c>
      <c r="FF17" s="30">
        <f>IF(50&gt;$B$3,99,INDEX(Symboles!$H$6:$H$101,MOD(49+$C17+(-4),$B$3)+1)*E17+INDEX(Symboles!$H$6:$H$101,MOD(49+$C17+(-3),$B$3)+1)*F17+INDEX(Symboles!$H$6:$H$101,MOD(49+$C17+(-2),$B$3)+1)*G17+INDEX(Symboles!$H$6:$H$101,MOD(49+$C17+(-1),$B$3)+1)*H17+INDEX(Symboles!$H$6:$H$101,MOD(49+$C17+(0),$B$3)+1)*I17+INDEX(Symboles!$H$6:$H$101,MOD(49+$C17+(1),$B$3)+1)*J17+INDEX(Symboles!$H$6:$H$101,MOD(49+$C17+(2),$B$3)+1)*K17+INDEX(Symboles!$H$6:$H$101,MOD(49+$C17+(3),$B$3)+1)*L17+INDEX(Symboles!$H$6:$H$101,MOD(49+$C17+(4),$B$3)+1)*M17+IF($B$6=0,0,$B$6*NORMSINV(0.000001+0.999998*RAND())))</f>
        <v/>
      </c>
      <c r="FG17" s="30">
        <f>IF(51&gt;$B$3,99,INDEX(Symboles!$H$6:$H$101,MOD(50+$C17+(-4),$B$3)+1)*E17+INDEX(Symboles!$H$6:$H$101,MOD(50+$C17+(-3),$B$3)+1)*F17+INDEX(Symboles!$H$6:$H$101,MOD(50+$C17+(-2),$B$3)+1)*G17+INDEX(Symboles!$H$6:$H$101,MOD(50+$C17+(-1),$B$3)+1)*H17+INDEX(Symboles!$H$6:$H$101,MOD(50+$C17+(0),$B$3)+1)*I17+INDEX(Symboles!$H$6:$H$101,MOD(50+$C17+(1),$B$3)+1)*J17+INDEX(Symboles!$H$6:$H$101,MOD(50+$C17+(2),$B$3)+1)*K17+INDEX(Symboles!$H$6:$H$101,MOD(50+$C17+(3),$B$3)+1)*L17+INDEX(Symboles!$H$6:$H$101,MOD(50+$C17+(4),$B$3)+1)*M17+IF($B$6=0,0,$B$6*NORMSINV(0.000001+0.999998*RAND())))</f>
        <v/>
      </c>
      <c r="FH17" s="30">
        <f>IF(52&gt;$B$3,99,INDEX(Symboles!$H$6:$H$101,MOD(51+$C17+(-4),$B$3)+1)*E17+INDEX(Symboles!$H$6:$H$101,MOD(51+$C17+(-3),$B$3)+1)*F17+INDEX(Symboles!$H$6:$H$101,MOD(51+$C17+(-2),$B$3)+1)*G17+INDEX(Symboles!$H$6:$H$101,MOD(51+$C17+(-1),$B$3)+1)*H17+INDEX(Symboles!$H$6:$H$101,MOD(51+$C17+(0),$B$3)+1)*I17+INDEX(Symboles!$H$6:$H$101,MOD(51+$C17+(1),$B$3)+1)*J17+INDEX(Symboles!$H$6:$H$101,MOD(51+$C17+(2),$B$3)+1)*K17+INDEX(Symboles!$H$6:$H$101,MOD(51+$C17+(3),$B$3)+1)*L17+INDEX(Symboles!$H$6:$H$101,MOD(51+$C17+(4),$B$3)+1)*M17+IF($B$6=0,0,$B$6*NORMSINV(0.000001+0.999998*RAND())))</f>
        <v/>
      </c>
      <c r="FI17" s="30">
        <f>IF(53&gt;$B$3,99,INDEX(Symboles!$H$6:$H$101,MOD(52+$C17+(-4),$B$3)+1)*E17+INDEX(Symboles!$H$6:$H$101,MOD(52+$C17+(-3),$B$3)+1)*F17+INDEX(Symboles!$H$6:$H$101,MOD(52+$C17+(-2),$B$3)+1)*G17+INDEX(Symboles!$H$6:$H$101,MOD(52+$C17+(-1),$B$3)+1)*H17+INDEX(Symboles!$H$6:$H$101,MOD(52+$C17+(0),$B$3)+1)*I17+INDEX(Symboles!$H$6:$H$101,MOD(52+$C17+(1),$B$3)+1)*J17+INDEX(Symboles!$H$6:$H$101,MOD(52+$C17+(2),$B$3)+1)*K17+INDEX(Symboles!$H$6:$H$101,MOD(52+$C17+(3),$B$3)+1)*L17+INDEX(Symboles!$H$6:$H$101,MOD(52+$C17+(4),$B$3)+1)*M17+IF($B$6=0,0,$B$6*NORMSINV(0.000001+0.999998*RAND())))</f>
        <v/>
      </c>
      <c r="FJ17" s="30">
        <f>IF(54&gt;$B$3,99,INDEX(Symboles!$H$6:$H$101,MOD(53+$C17+(-4),$B$3)+1)*E17+INDEX(Symboles!$H$6:$H$101,MOD(53+$C17+(-3),$B$3)+1)*F17+INDEX(Symboles!$H$6:$H$101,MOD(53+$C17+(-2),$B$3)+1)*G17+INDEX(Symboles!$H$6:$H$101,MOD(53+$C17+(-1),$B$3)+1)*H17+INDEX(Symboles!$H$6:$H$101,MOD(53+$C17+(0),$B$3)+1)*I17+INDEX(Symboles!$H$6:$H$101,MOD(53+$C17+(1),$B$3)+1)*J17+INDEX(Symboles!$H$6:$H$101,MOD(53+$C17+(2),$B$3)+1)*K17+INDEX(Symboles!$H$6:$H$101,MOD(53+$C17+(3),$B$3)+1)*L17+INDEX(Symboles!$H$6:$H$101,MOD(53+$C17+(4),$B$3)+1)*M17+IF($B$6=0,0,$B$6*NORMSINV(0.000001+0.999998*RAND())))</f>
        <v/>
      </c>
      <c r="FK17" s="30">
        <f>IF(55&gt;$B$3,99,INDEX(Symboles!$H$6:$H$101,MOD(54+$C17+(-4),$B$3)+1)*E17+INDEX(Symboles!$H$6:$H$101,MOD(54+$C17+(-3),$B$3)+1)*F17+INDEX(Symboles!$H$6:$H$101,MOD(54+$C17+(-2),$B$3)+1)*G17+INDEX(Symboles!$H$6:$H$101,MOD(54+$C17+(-1),$B$3)+1)*H17+INDEX(Symboles!$H$6:$H$101,MOD(54+$C17+(0),$B$3)+1)*I17+INDEX(Symboles!$H$6:$H$101,MOD(54+$C17+(1),$B$3)+1)*J17+INDEX(Symboles!$H$6:$H$101,MOD(54+$C17+(2),$B$3)+1)*K17+INDEX(Symboles!$H$6:$H$101,MOD(54+$C17+(3),$B$3)+1)*L17+INDEX(Symboles!$H$6:$H$101,MOD(54+$C17+(4),$B$3)+1)*M17+IF($B$6=0,0,$B$6*NORMSINV(0.000001+0.999998*RAND())))</f>
        <v/>
      </c>
      <c r="FL17" s="30">
        <f>IF(56&gt;$B$3,99,INDEX(Symboles!$H$6:$H$101,MOD(55+$C17+(-4),$B$3)+1)*E17+INDEX(Symboles!$H$6:$H$101,MOD(55+$C17+(-3),$B$3)+1)*F17+INDEX(Symboles!$H$6:$H$101,MOD(55+$C17+(-2),$B$3)+1)*G17+INDEX(Symboles!$H$6:$H$101,MOD(55+$C17+(-1),$B$3)+1)*H17+INDEX(Symboles!$H$6:$H$101,MOD(55+$C17+(0),$B$3)+1)*I17+INDEX(Symboles!$H$6:$H$101,MOD(55+$C17+(1),$B$3)+1)*J17+INDEX(Symboles!$H$6:$H$101,MOD(55+$C17+(2),$B$3)+1)*K17+INDEX(Symboles!$H$6:$H$101,MOD(55+$C17+(3),$B$3)+1)*L17+INDEX(Symboles!$H$6:$H$101,MOD(55+$C17+(4),$B$3)+1)*M17+IF($B$6=0,0,$B$6*NORMSINV(0.000001+0.999998*RAND())))</f>
        <v/>
      </c>
      <c r="FM17" s="30">
        <f>IF(57&gt;$B$3,99,INDEX(Symboles!$H$6:$H$101,MOD(56+$C17+(-4),$B$3)+1)*E17+INDEX(Symboles!$H$6:$H$101,MOD(56+$C17+(-3),$B$3)+1)*F17+INDEX(Symboles!$H$6:$H$101,MOD(56+$C17+(-2),$B$3)+1)*G17+INDEX(Symboles!$H$6:$H$101,MOD(56+$C17+(-1),$B$3)+1)*H17+INDEX(Symboles!$H$6:$H$101,MOD(56+$C17+(0),$B$3)+1)*I17+INDEX(Symboles!$H$6:$H$101,MOD(56+$C17+(1),$B$3)+1)*J17+INDEX(Symboles!$H$6:$H$101,MOD(56+$C17+(2),$B$3)+1)*K17+INDEX(Symboles!$H$6:$H$101,MOD(56+$C17+(3),$B$3)+1)*L17+INDEX(Symboles!$H$6:$H$101,MOD(56+$C17+(4),$B$3)+1)*M17+IF($B$6=0,0,$B$6*NORMSINV(0.000001+0.999998*RAND())))</f>
        <v/>
      </c>
      <c r="FN17" s="30">
        <f>IF(58&gt;$B$3,99,INDEX(Symboles!$H$6:$H$101,MOD(57+$C17+(-4),$B$3)+1)*E17+INDEX(Symboles!$H$6:$H$101,MOD(57+$C17+(-3),$B$3)+1)*F17+INDEX(Symboles!$H$6:$H$101,MOD(57+$C17+(-2),$B$3)+1)*G17+INDEX(Symboles!$H$6:$H$101,MOD(57+$C17+(-1),$B$3)+1)*H17+INDEX(Symboles!$H$6:$H$101,MOD(57+$C17+(0),$B$3)+1)*I17+INDEX(Symboles!$H$6:$H$101,MOD(57+$C17+(1),$B$3)+1)*J17+INDEX(Symboles!$H$6:$H$101,MOD(57+$C17+(2),$B$3)+1)*K17+INDEX(Symboles!$H$6:$H$101,MOD(57+$C17+(3),$B$3)+1)*L17+INDEX(Symboles!$H$6:$H$101,MOD(57+$C17+(4),$B$3)+1)*M17+IF($B$6=0,0,$B$6*NORMSINV(0.000001+0.999998*RAND())))</f>
        <v/>
      </c>
      <c r="FO17" s="30">
        <f>IF(59&gt;$B$3,99,INDEX(Symboles!$H$6:$H$101,MOD(58+$C17+(-4),$B$3)+1)*E17+INDEX(Symboles!$H$6:$H$101,MOD(58+$C17+(-3),$B$3)+1)*F17+INDEX(Symboles!$H$6:$H$101,MOD(58+$C17+(-2),$B$3)+1)*G17+INDEX(Symboles!$H$6:$H$101,MOD(58+$C17+(-1),$B$3)+1)*H17+INDEX(Symboles!$H$6:$H$101,MOD(58+$C17+(0),$B$3)+1)*I17+INDEX(Symboles!$H$6:$H$101,MOD(58+$C17+(1),$B$3)+1)*J17+INDEX(Symboles!$H$6:$H$101,MOD(58+$C17+(2),$B$3)+1)*K17+INDEX(Symboles!$H$6:$H$101,MOD(58+$C17+(3),$B$3)+1)*L17+INDEX(Symboles!$H$6:$H$101,MOD(58+$C17+(4),$B$3)+1)*M17+IF($B$6=0,0,$B$6*NORMSINV(0.000001+0.999998*RAND())))</f>
        <v/>
      </c>
      <c r="FP17" s="30">
        <f>IF(60&gt;$B$3,99,INDEX(Symboles!$H$6:$H$101,MOD(59+$C17+(-4),$B$3)+1)*E17+INDEX(Symboles!$H$6:$H$101,MOD(59+$C17+(-3),$B$3)+1)*F17+INDEX(Symboles!$H$6:$H$101,MOD(59+$C17+(-2),$B$3)+1)*G17+INDEX(Symboles!$H$6:$H$101,MOD(59+$C17+(-1),$B$3)+1)*H17+INDEX(Symboles!$H$6:$H$101,MOD(59+$C17+(0),$B$3)+1)*I17+INDEX(Symboles!$H$6:$H$101,MOD(59+$C17+(1),$B$3)+1)*J17+INDEX(Symboles!$H$6:$H$101,MOD(59+$C17+(2),$B$3)+1)*K17+INDEX(Symboles!$H$6:$H$101,MOD(59+$C17+(3),$B$3)+1)*L17+INDEX(Symboles!$H$6:$H$101,MOD(59+$C17+(4),$B$3)+1)*M17+IF($B$6=0,0,$B$6*NORMSINV(0.000001+0.999998*RAND())))</f>
        <v/>
      </c>
      <c r="FQ17" s="30">
        <f>IF(61&gt;$B$3,99,INDEX(Symboles!$H$6:$H$101,MOD(60+$C17+(-4),$B$3)+1)*E17+INDEX(Symboles!$H$6:$H$101,MOD(60+$C17+(-3),$B$3)+1)*F17+INDEX(Symboles!$H$6:$H$101,MOD(60+$C17+(-2),$B$3)+1)*G17+INDEX(Symboles!$H$6:$H$101,MOD(60+$C17+(-1),$B$3)+1)*H17+INDEX(Symboles!$H$6:$H$101,MOD(60+$C17+(0),$B$3)+1)*I17+INDEX(Symboles!$H$6:$H$101,MOD(60+$C17+(1),$B$3)+1)*J17+INDEX(Symboles!$H$6:$H$101,MOD(60+$C17+(2),$B$3)+1)*K17+INDEX(Symboles!$H$6:$H$101,MOD(60+$C17+(3),$B$3)+1)*L17+INDEX(Symboles!$H$6:$H$101,MOD(60+$C17+(4),$B$3)+1)*M17+IF($B$6=0,0,$B$6*NORMSINV(0.000001+0.999998*RAND())))</f>
        <v/>
      </c>
      <c r="FR17" s="30">
        <f>IF(62&gt;$B$3,99,INDEX(Symboles!$H$6:$H$101,MOD(61+$C17+(-4),$B$3)+1)*E17+INDEX(Symboles!$H$6:$H$101,MOD(61+$C17+(-3),$B$3)+1)*F17+INDEX(Symboles!$H$6:$H$101,MOD(61+$C17+(-2),$B$3)+1)*G17+INDEX(Symboles!$H$6:$H$101,MOD(61+$C17+(-1),$B$3)+1)*H17+INDEX(Symboles!$H$6:$H$101,MOD(61+$C17+(0),$B$3)+1)*I17+INDEX(Symboles!$H$6:$H$101,MOD(61+$C17+(1),$B$3)+1)*J17+INDEX(Symboles!$H$6:$H$101,MOD(61+$C17+(2),$B$3)+1)*K17+INDEX(Symboles!$H$6:$H$101,MOD(61+$C17+(3),$B$3)+1)*L17+INDEX(Symboles!$H$6:$H$101,MOD(61+$C17+(4),$B$3)+1)*M17+IF($B$6=0,0,$B$6*NORMSINV(0.000001+0.999998*RAND())))</f>
        <v/>
      </c>
      <c r="FS17" s="30">
        <f>IF(63&gt;$B$3,99,INDEX(Symboles!$H$6:$H$101,MOD(62+$C17+(-4),$B$3)+1)*E17+INDEX(Symboles!$H$6:$H$101,MOD(62+$C17+(-3),$B$3)+1)*F17+INDEX(Symboles!$H$6:$H$101,MOD(62+$C17+(-2),$B$3)+1)*G17+INDEX(Symboles!$H$6:$H$101,MOD(62+$C17+(-1),$B$3)+1)*H17+INDEX(Symboles!$H$6:$H$101,MOD(62+$C17+(0),$B$3)+1)*I17+INDEX(Symboles!$H$6:$H$101,MOD(62+$C17+(1),$B$3)+1)*J17+INDEX(Symboles!$H$6:$H$101,MOD(62+$C17+(2),$B$3)+1)*K17+INDEX(Symboles!$H$6:$H$101,MOD(62+$C17+(3),$B$3)+1)*L17+INDEX(Symboles!$H$6:$H$101,MOD(62+$C17+(4),$B$3)+1)*M17+IF($B$6=0,0,$B$6*NORMSINV(0.000001+0.999998*RAND())))</f>
        <v/>
      </c>
      <c r="FT17" s="30">
        <f>IF(64&gt;$B$3,99,INDEX(Symboles!$H$6:$H$101,MOD(63+$C17+(-4),$B$3)+1)*E17+INDEX(Symboles!$H$6:$H$101,MOD(63+$C17+(-3),$B$3)+1)*F17+INDEX(Symboles!$H$6:$H$101,MOD(63+$C17+(-2),$B$3)+1)*G17+INDEX(Symboles!$H$6:$H$101,MOD(63+$C17+(-1),$B$3)+1)*H17+INDEX(Symboles!$H$6:$H$101,MOD(63+$C17+(0),$B$3)+1)*I17+INDEX(Symboles!$H$6:$H$101,MOD(63+$C17+(1),$B$3)+1)*J17+INDEX(Symboles!$H$6:$H$101,MOD(63+$C17+(2),$B$3)+1)*K17+INDEX(Symboles!$H$6:$H$101,MOD(63+$C17+(3),$B$3)+1)*L17+INDEX(Symboles!$H$6:$H$101,MOD(63+$C17+(4),$B$3)+1)*M17+IF($B$6=0,0,$B$6*NORMSINV(0.000001+0.999998*RAND())))</f>
        <v/>
      </c>
      <c r="FU17" s="30">
        <f>IF(65&gt;$B$3,99,INDEX(Symboles!$H$6:$H$101,MOD(64+$C17+(-4),$B$3)+1)*E17+INDEX(Symboles!$H$6:$H$101,MOD(64+$C17+(-3),$B$3)+1)*F17+INDEX(Symboles!$H$6:$H$101,MOD(64+$C17+(-2),$B$3)+1)*G17+INDEX(Symboles!$H$6:$H$101,MOD(64+$C17+(-1),$B$3)+1)*H17+INDEX(Symboles!$H$6:$H$101,MOD(64+$C17+(0),$B$3)+1)*I17+INDEX(Symboles!$H$6:$H$101,MOD(64+$C17+(1),$B$3)+1)*J17+INDEX(Symboles!$H$6:$H$101,MOD(64+$C17+(2),$B$3)+1)*K17+INDEX(Symboles!$H$6:$H$101,MOD(64+$C17+(3),$B$3)+1)*L17+INDEX(Symboles!$H$6:$H$101,MOD(64+$C17+(4),$B$3)+1)*M17+IF($B$6=0,0,$B$6*NORMSINV(0.000001+0.999998*RAND())))</f>
        <v/>
      </c>
      <c r="FV17" s="30">
        <f>IF(66&gt;$B$3,99,INDEX(Symboles!$H$6:$H$101,MOD(65+$C17+(-4),$B$3)+1)*E17+INDEX(Symboles!$H$6:$H$101,MOD(65+$C17+(-3),$B$3)+1)*F17+INDEX(Symboles!$H$6:$H$101,MOD(65+$C17+(-2),$B$3)+1)*G17+INDEX(Symboles!$H$6:$H$101,MOD(65+$C17+(-1),$B$3)+1)*H17+INDEX(Symboles!$H$6:$H$101,MOD(65+$C17+(0),$B$3)+1)*I17+INDEX(Symboles!$H$6:$H$101,MOD(65+$C17+(1),$B$3)+1)*J17+INDEX(Symboles!$H$6:$H$101,MOD(65+$C17+(2),$B$3)+1)*K17+INDEX(Symboles!$H$6:$H$101,MOD(65+$C17+(3),$B$3)+1)*L17+INDEX(Symboles!$H$6:$H$101,MOD(65+$C17+(4),$B$3)+1)*M17+IF($B$6=0,0,$B$6*NORMSINV(0.000001+0.999998*RAND())))</f>
        <v/>
      </c>
      <c r="FW17" s="30">
        <f>IF(67&gt;$B$3,99,INDEX(Symboles!$H$6:$H$101,MOD(66+$C17+(-4),$B$3)+1)*E17+INDEX(Symboles!$H$6:$H$101,MOD(66+$C17+(-3),$B$3)+1)*F17+INDEX(Symboles!$H$6:$H$101,MOD(66+$C17+(-2),$B$3)+1)*G17+INDEX(Symboles!$H$6:$H$101,MOD(66+$C17+(-1),$B$3)+1)*H17+INDEX(Symboles!$H$6:$H$101,MOD(66+$C17+(0),$B$3)+1)*I17+INDEX(Symboles!$H$6:$H$101,MOD(66+$C17+(1),$B$3)+1)*J17+INDEX(Symboles!$H$6:$H$101,MOD(66+$C17+(2),$B$3)+1)*K17+INDEX(Symboles!$H$6:$H$101,MOD(66+$C17+(3),$B$3)+1)*L17+INDEX(Symboles!$H$6:$H$101,MOD(66+$C17+(4),$B$3)+1)*M17+IF($B$6=0,0,$B$6*NORMSINV(0.000001+0.999998*RAND())))</f>
        <v/>
      </c>
      <c r="FX17" s="30">
        <f>IF(68&gt;$B$3,99,INDEX(Symboles!$H$6:$H$101,MOD(67+$C17+(-4),$B$3)+1)*E17+INDEX(Symboles!$H$6:$H$101,MOD(67+$C17+(-3),$B$3)+1)*F17+INDEX(Symboles!$H$6:$H$101,MOD(67+$C17+(-2),$B$3)+1)*G17+INDEX(Symboles!$H$6:$H$101,MOD(67+$C17+(-1),$B$3)+1)*H17+INDEX(Symboles!$H$6:$H$101,MOD(67+$C17+(0),$B$3)+1)*I17+INDEX(Symboles!$H$6:$H$101,MOD(67+$C17+(1),$B$3)+1)*J17+INDEX(Symboles!$H$6:$H$101,MOD(67+$C17+(2),$B$3)+1)*K17+INDEX(Symboles!$H$6:$H$101,MOD(67+$C17+(3),$B$3)+1)*L17+INDEX(Symboles!$H$6:$H$101,MOD(67+$C17+(4),$B$3)+1)*M17+IF($B$6=0,0,$B$6*NORMSINV(0.000001+0.999998*RAND())))</f>
        <v/>
      </c>
      <c r="FY17" s="30">
        <f>IF(69&gt;$B$3,99,INDEX(Symboles!$H$6:$H$101,MOD(68+$C17+(-4),$B$3)+1)*E17+INDEX(Symboles!$H$6:$H$101,MOD(68+$C17+(-3),$B$3)+1)*F17+INDEX(Symboles!$H$6:$H$101,MOD(68+$C17+(-2),$B$3)+1)*G17+INDEX(Symboles!$H$6:$H$101,MOD(68+$C17+(-1),$B$3)+1)*H17+INDEX(Symboles!$H$6:$H$101,MOD(68+$C17+(0),$B$3)+1)*I17+INDEX(Symboles!$H$6:$H$101,MOD(68+$C17+(1),$B$3)+1)*J17+INDEX(Symboles!$H$6:$H$101,MOD(68+$C17+(2),$B$3)+1)*K17+INDEX(Symboles!$H$6:$H$101,MOD(68+$C17+(3),$B$3)+1)*L17+INDEX(Symboles!$H$6:$H$101,MOD(68+$C17+(4),$B$3)+1)*M17+IF($B$6=0,0,$B$6*NORMSINV(0.000001+0.999998*RAND())))</f>
        <v/>
      </c>
      <c r="FZ17" s="30">
        <f>IF(70&gt;$B$3,99,INDEX(Symboles!$H$6:$H$101,MOD(69+$C17+(-4),$B$3)+1)*E17+INDEX(Symboles!$H$6:$H$101,MOD(69+$C17+(-3),$B$3)+1)*F17+INDEX(Symboles!$H$6:$H$101,MOD(69+$C17+(-2),$B$3)+1)*G17+INDEX(Symboles!$H$6:$H$101,MOD(69+$C17+(-1),$B$3)+1)*H17+INDEX(Symboles!$H$6:$H$101,MOD(69+$C17+(0),$B$3)+1)*I17+INDEX(Symboles!$H$6:$H$101,MOD(69+$C17+(1),$B$3)+1)*J17+INDEX(Symboles!$H$6:$H$101,MOD(69+$C17+(2),$B$3)+1)*K17+INDEX(Symboles!$H$6:$H$101,MOD(69+$C17+(3),$B$3)+1)*L17+INDEX(Symboles!$H$6:$H$101,MOD(69+$C17+(4),$B$3)+1)*M17+IF($B$6=0,0,$B$6*NORMSINV(0.000001+0.999998*RAND())))</f>
        <v/>
      </c>
      <c r="GA17" s="30">
        <f>IF(71&gt;$B$3,99,INDEX(Symboles!$H$6:$H$101,MOD(70+$C17+(-4),$B$3)+1)*E17+INDEX(Symboles!$H$6:$H$101,MOD(70+$C17+(-3),$B$3)+1)*F17+INDEX(Symboles!$H$6:$H$101,MOD(70+$C17+(-2),$B$3)+1)*G17+INDEX(Symboles!$H$6:$H$101,MOD(70+$C17+(-1),$B$3)+1)*H17+INDEX(Symboles!$H$6:$H$101,MOD(70+$C17+(0),$B$3)+1)*I17+INDEX(Symboles!$H$6:$H$101,MOD(70+$C17+(1),$B$3)+1)*J17+INDEX(Symboles!$H$6:$H$101,MOD(70+$C17+(2),$B$3)+1)*K17+INDEX(Symboles!$H$6:$H$101,MOD(70+$C17+(3),$B$3)+1)*L17+INDEX(Symboles!$H$6:$H$101,MOD(70+$C17+(4),$B$3)+1)*M17+IF($B$6=0,0,$B$6*NORMSINV(0.000001+0.999998*RAND())))</f>
        <v/>
      </c>
      <c r="GB17" s="30">
        <f>IF(72&gt;$B$3,99,INDEX(Symboles!$H$6:$H$101,MOD(71+$C17+(-4),$B$3)+1)*E17+INDEX(Symboles!$H$6:$H$101,MOD(71+$C17+(-3),$B$3)+1)*F17+INDEX(Symboles!$H$6:$H$101,MOD(71+$C17+(-2),$B$3)+1)*G17+INDEX(Symboles!$H$6:$H$101,MOD(71+$C17+(-1),$B$3)+1)*H17+INDEX(Symboles!$H$6:$H$101,MOD(71+$C17+(0),$B$3)+1)*I17+INDEX(Symboles!$H$6:$H$101,MOD(71+$C17+(1),$B$3)+1)*J17+INDEX(Symboles!$H$6:$H$101,MOD(71+$C17+(2),$B$3)+1)*K17+INDEX(Symboles!$H$6:$H$101,MOD(71+$C17+(3),$B$3)+1)*L17+INDEX(Symboles!$H$6:$H$101,MOD(71+$C17+(4),$B$3)+1)*M17+IF($B$6=0,0,$B$6*NORMSINV(0.000001+0.999998*RAND())))</f>
        <v/>
      </c>
      <c r="GC17" s="30">
        <f>IF(73&gt;$B$3,99,INDEX(Symboles!$H$6:$H$101,MOD(72+$C17+(-4),$B$3)+1)*E17+INDEX(Symboles!$H$6:$H$101,MOD(72+$C17+(-3),$B$3)+1)*F17+INDEX(Symboles!$H$6:$H$101,MOD(72+$C17+(-2),$B$3)+1)*G17+INDEX(Symboles!$H$6:$H$101,MOD(72+$C17+(-1),$B$3)+1)*H17+INDEX(Symboles!$H$6:$H$101,MOD(72+$C17+(0),$B$3)+1)*I17+INDEX(Symboles!$H$6:$H$101,MOD(72+$C17+(1),$B$3)+1)*J17+INDEX(Symboles!$H$6:$H$101,MOD(72+$C17+(2),$B$3)+1)*K17+INDEX(Symboles!$H$6:$H$101,MOD(72+$C17+(3),$B$3)+1)*L17+INDEX(Symboles!$H$6:$H$101,MOD(72+$C17+(4),$B$3)+1)*M17+IF($B$6=0,0,$B$6*NORMSINV(0.000001+0.999998*RAND())))</f>
        <v/>
      </c>
      <c r="GD17" s="30">
        <f>IF(74&gt;$B$3,99,INDEX(Symboles!$H$6:$H$101,MOD(73+$C17+(-4),$B$3)+1)*E17+INDEX(Symboles!$H$6:$H$101,MOD(73+$C17+(-3),$B$3)+1)*F17+INDEX(Symboles!$H$6:$H$101,MOD(73+$C17+(-2),$B$3)+1)*G17+INDEX(Symboles!$H$6:$H$101,MOD(73+$C17+(-1),$B$3)+1)*H17+INDEX(Symboles!$H$6:$H$101,MOD(73+$C17+(0),$B$3)+1)*I17+INDEX(Symboles!$H$6:$H$101,MOD(73+$C17+(1),$B$3)+1)*J17+INDEX(Symboles!$H$6:$H$101,MOD(73+$C17+(2),$B$3)+1)*K17+INDEX(Symboles!$H$6:$H$101,MOD(73+$C17+(3),$B$3)+1)*L17+INDEX(Symboles!$H$6:$H$101,MOD(73+$C17+(4),$B$3)+1)*M17+IF($B$6=0,0,$B$6*NORMSINV(0.000001+0.999998*RAND())))</f>
        <v/>
      </c>
      <c r="GE17" s="30">
        <f>IF(75&gt;$B$3,99,INDEX(Symboles!$H$6:$H$101,MOD(74+$C17+(-4),$B$3)+1)*E17+INDEX(Symboles!$H$6:$H$101,MOD(74+$C17+(-3),$B$3)+1)*F17+INDEX(Symboles!$H$6:$H$101,MOD(74+$C17+(-2),$B$3)+1)*G17+INDEX(Symboles!$H$6:$H$101,MOD(74+$C17+(-1),$B$3)+1)*H17+INDEX(Symboles!$H$6:$H$101,MOD(74+$C17+(0),$B$3)+1)*I17+INDEX(Symboles!$H$6:$H$101,MOD(74+$C17+(1),$B$3)+1)*J17+INDEX(Symboles!$H$6:$H$101,MOD(74+$C17+(2),$B$3)+1)*K17+INDEX(Symboles!$H$6:$H$101,MOD(74+$C17+(3),$B$3)+1)*L17+INDEX(Symboles!$H$6:$H$101,MOD(74+$C17+(4),$B$3)+1)*M17+IF($B$6=0,0,$B$6*NORMSINV(0.000001+0.999998*RAND())))</f>
        <v/>
      </c>
      <c r="GF17" s="30">
        <f>IF(76&gt;$B$3,99,INDEX(Symboles!$H$6:$H$101,MOD(75+$C17+(-4),$B$3)+1)*E17+INDEX(Symboles!$H$6:$H$101,MOD(75+$C17+(-3),$B$3)+1)*F17+INDEX(Symboles!$H$6:$H$101,MOD(75+$C17+(-2),$B$3)+1)*G17+INDEX(Symboles!$H$6:$H$101,MOD(75+$C17+(-1),$B$3)+1)*H17+INDEX(Symboles!$H$6:$H$101,MOD(75+$C17+(0),$B$3)+1)*I17+INDEX(Symboles!$H$6:$H$101,MOD(75+$C17+(1),$B$3)+1)*J17+INDEX(Symboles!$H$6:$H$101,MOD(75+$C17+(2),$B$3)+1)*K17+INDEX(Symboles!$H$6:$H$101,MOD(75+$C17+(3),$B$3)+1)*L17+INDEX(Symboles!$H$6:$H$101,MOD(75+$C17+(4),$B$3)+1)*M17+IF($B$6=0,0,$B$6*NORMSINV(0.000001+0.999998*RAND())))</f>
        <v/>
      </c>
      <c r="GG17" s="30">
        <f>IF(77&gt;$B$3,99,INDEX(Symboles!$H$6:$H$101,MOD(76+$C17+(-4),$B$3)+1)*E17+INDEX(Symboles!$H$6:$H$101,MOD(76+$C17+(-3),$B$3)+1)*F17+INDEX(Symboles!$H$6:$H$101,MOD(76+$C17+(-2),$B$3)+1)*G17+INDEX(Symboles!$H$6:$H$101,MOD(76+$C17+(-1),$B$3)+1)*H17+INDEX(Symboles!$H$6:$H$101,MOD(76+$C17+(0),$B$3)+1)*I17+INDEX(Symboles!$H$6:$H$101,MOD(76+$C17+(1),$B$3)+1)*J17+INDEX(Symboles!$H$6:$H$101,MOD(76+$C17+(2),$B$3)+1)*K17+INDEX(Symboles!$H$6:$H$101,MOD(76+$C17+(3),$B$3)+1)*L17+INDEX(Symboles!$H$6:$H$101,MOD(76+$C17+(4),$B$3)+1)*M17+IF($B$6=0,0,$B$6*NORMSINV(0.000001+0.999998*RAND())))</f>
        <v/>
      </c>
      <c r="GH17" s="30">
        <f>IF(78&gt;$B$3,99,INDEX(Symboles!$H$6:$H$101,MOD(77+$C17+(-4),$B$3)+1)*E17+INDEX(Symboles!$H$6:$H$101,MOD(77+$C17+(-3),$B$3)+1)*F17+INDEX(Symboles!$H$6:$H$101,MOD(77+$C17+(-2),$B$3)+1)*G17+INDEX(Symboles!$H$6:$H$101,MOD(77+$C17+(-1),$B$3)+1)*H17+INDEX(Symboles!$H$6:$H$101,MOD(77+$C17+(0),$B$3)+1)*I17+INDEX(Symboles!$H$6:$H$101,MOD(77+$C17+(1),$B$3)+1)*J17+INDEX(Symboles!$H$6:$H$101,MOD(77+$C17+(2),$B$3)+1)*K17+INDEX(Symboles!$H$6:$H$101,MOD(77+$C17+(3),$B$3)+1)*L17+INDEX(Symboles!$H$6:$H$101,MOD(77+$C17+(4),$B$3)+1)*M17+IF($B$6=0,0,$B$6*NORMSINV(0.000001+0.999998*RAND())))</f>
        <v/>
      </c>
      <c r="GI17" s="30">
        <f>IF(79&gt;$B$3,99,INDEX(Symboles!$H$6:$H$101,MOD(78+$C17+(-4),$B$3)+1)*E17+INDEX(Symboles!$H$6:$H$101,MOD(78+$C17+(-3),$B$3)+1)*F17+INDEX(Symboles!$H$6:$H$101,MOD(78+$C17+(-2),$B$3)+1)*G17+INDEX(Symboles!$H$6:$H$101,MOD(78+$C17+(-1),$B$3)+1)*H17+INDEX(Symboles!$H$6:$H$101,MOD(78+$C17+(0),$B$3)+1)*I17+INDEX(Symboles!$H$6:$H$101,MOD(78+$C17+(1),$B$3)+1)*J17+INDEX(Symboles!$H$6:$H$101,MOD(78+$C17+(2),$B$3)+1)*K17+INDEX(Symboles!$H$6:$H$101,MOD(78+$C17+(3),$B$3)+1)*L17+INDEX(Symboles!$H$6:$H$101,MOD(78+$C17+(4),$B$3)+1)*M17+IF($B$6=0,0,$B$6*NORMSINV(0.000001+0.999998*RAND())))</f>
        <v/>
      </c>
      <c r="GJ17" s="30">
        <f>IF(80&gt;$B$3,99,INDEX(Symboles!$H$6:$H$101,MOD(79+$C17+(-4),$B$3)+1)*E17+INDEX(Symboles!$H$6:$H$101,MOD(79+$C17+(-3),$B$3)+1)*F17+INDEX(Symboles!$H$6:$H$101,MOD(79+$C17+(-2),$B$3)+1)*G17+INDEX(Symboles!$H$6:$H$101,MOD(79+$C17+(-1),$B$3)+1)*H17+INDEX(Symboles!$H$6:$H$101,MOD(79+$C17+(0),$B$3)+1)*I17+INDEX(Symboles!$H$6:$H$101,MOD(79+$C17+(1),$B$3)+1)*J17+INDEX(Symboles!$H$6:$H$101,MOD(79+$C17+(2),$B$3)+1)*K17+INDEX(Symboles!$H$6:$H$101,MOD(79+$C17+(3),$B$3)+1)*L17+INDEX(Symboles!$H$6:$H$101,MOD(79+$C17+(4),$B$3)+1)*M17+IF($B$6=0,0,$B$6*NORMSINV(0.000001+0.999998*RAND())))</f>
        <v/>
      </c>
      <c r="GK17" s="30">
        <f>IF(81&gt;$B$3,99,INDEX(Symboles!$H$6:$H$101,MOD(80+$C17+(-4),$B$3)+1)*E17+INDEX(Symboles!$H$6:$H$101,MOD(80+$C17+(-3),$B$3)+1)*F17+INDEX(Symboles!$H$6:$H$101,MOD(80+$C17+(-2),$B$3)+1)*G17+INDEX(Symboles!$H$6:$H$101,MOD(80+$C17+(-1),$B$3)+1)*H17+INDEX(Symboles!$H$6:$H$101,MOD(80+$C17+(0),$B$3)+1)*I17+INDEX(Symboles!$H$6:$H$101,MOD(80+$C17+(1),$B$3)+1)*J17+INDEX(Symboles!$H$6:$H$101,MOD(80+$C17+(2),$B$3)+1)*K17+INDEX(Symboles!$H$6:$H$101,MOD(80+$C17+(3),$B$3)+1)*L17+INDEX(Symboles!$H$6:$H$101,MOD(80+$C17+(4),$B$3)+1)*M17+IF($B$6=0,0,$B$6*NORMSINV(0.000001+0.999998*RAND())))</f>
        <v/>
      </c>
      <c r="GL17" s="30">
        <f>IF(82&gt;$B$3,99,INDEX(Symboles!$H$6:$H$101,MOD(81+$C17+(-4),$B$3)+1)*E17+INDEX(Symboles!$H$6:$H$101,MOD(81+$C17+(-3),$B$3)+1)*F17+INDEX(Symboles!$H$6:$H$101,MOD(81+$C17+(-2),$B$3)+1)*G17+INDEX(Symboles!$H$6:$H$101,MOD(81+$C17+(-1),$B$3)+1)*H17+INDEX(Symboles!$H$6:$H$101,MOD(81+$C17+(0),$B$3)+1)*I17+INDEX(Symboles!$H$6:$H$101,MOD(81+$C17+(1),$B$3)+1)*J17+INDEX(Symboles!$H$6:$H$101,MOD(81+$C17+(2),$B$3)+1)*K17+INDEX(Symboles!$H$6:$H$101,MOD(81+$C17+(3),$B$3)+1)*L17+INDEX(Symboles!$H$6:$H$101,MOD(81+$C17+(4),$B$3)+1)*M17+IF($B$6=0,0,$B$6*NORMSINV(0.000001+0.999998*RAND())))</f>
        <v/>
      </c>
      <c r="GM17" s="30">
        <f>IF(83&gt;$B$3,99,INDEX(Symboles!$H$6:$H$101,MOD(82+$C17+(-4),$B$3)+1)*E17+INDEX(Symboles!$H$6:$H$101,MOD(82+$C17+(-3),$B$3)+1)*F17+INDEX(Symboles!$H$6:$H$101,MOD(82+$C17+(-2),$B$3)+1)*G17+INDEX(Symboles!$H$6:$H$101,MOD(82+$C17+(-1),$B$3)+1)*H17+INDEX(Symboles!$H$6:$H$101,MOD(82+$C17+(0),$B$3)+1)*I17+INDEX(Symboles!$H$6:$H$101,MOD(82+$C17+(1),$B$3)+1)*J17+INDEX(Symboles!$H$6:$H$101,MOD(82+$C17+(2),$B$3)+1)*K17+INDEX(Symboles!$H$6:$H$101,MOD(82+$C17+(3),$B$3)+1)*L17+INDEX(Symboles!$H$6:$H$101,MOD(82+$C17+(4),$B$3)+1)*M17+IF($B$6=0,0,$B$6*NORMSINV(0.000001+0.999998*RAND())))</f>
        <v/>
      </c>
      <c r="GN17" s="30">
        <f>IF(84&gt;$B$3,99,INDEX(Symboles!$H$6:$H$101,MOD(83+$C17+(-4),$B$3)+1)*E17+INDEX(Symboles!$H$6:$H$101,MOD(83+$C17+(-3),$B$3)+1)*F17+INDEX(Symboles!$H$6:$H$101,MOD(83+$C17+(-2),$B$3)+1)*G17+INDEX(Symboles!$H$6:$H$101,MOD(83+$C17+(-1),$B$3)+1)*H17+INDEX(Symboles!$H$6:$H$101,MOD(83+$C17+(0),$B$3)+1)*I17+INDEX(Symboles!$H$6:$H$101,MOD(83+$C17+(1),$B$3)+1)*J17+INDEX(Symboles!$H$6:$H$101,MOD(83+$C17+(2),$B$3)+1)*K17+INDEX(Symboles!$H$6:$H$101,MOD(83+$C17+(3),$B$3)+1)*L17+INDEX(Symboles!$H$6:$H$101,MOD(83+$C17+(4),$B$3)+1)*M17+IF($B$6=0,0,$B$6*NORMSINV(0.000001+0.999998*RAND())))</f>
        <v/>
      </c>
      <c r="GO17" s="30">
        <f>IF(85&gt;$B$3,99,INDEX(Symboles!$H$6:$H$101,MOD(84+$C17+(-4),$B$3)+1)*E17+INDEX(Symboles!$H$6:$H$101,MOD(84+$C17+(-3),$B$3)+1)*F17+INDEX(Symboles!$H$6:$H$101,MOD(84+$C17+(-2),$B$3)+1)*G17+INDEX(Symboles!$H$6:$H$101,MOD(84+$C17+(-1),$B$3)+1)*H17+INDEX(Symboles!$H$6:$H$101,MOD(84+$C17+(0),$B$3)+1)*I17+INDEX(Symboles!$H$6:$H$101,MOD(84+$C17+(1),$B$3)+1)*J17+INDEX(Symboles!$H$6:$H$101,MOD(84+$C17+(2),$B$3)+1)*K17+INDEX(Symboles!$H$6:$H$101,MOD(84+$C17+(3),$B$3)+1)*L17+INDEX(Symboles!$H$6:$H$101,MOD(84+$C17+(4),$B$3)+1)*M17+IF($B$6=0,0,$B$6*NORMSINV(0.000001+0.999998*RAND())))</f>
        <v/>
      </c>
      <c r="GP17" s="30">
        <f>IF(86&gt;$B$3,99,INDEX(Symboles!$H$6:$H$101,MOD(85+$C17+(-4),$B$3)+1)*E17+INDEX(Symboles!$H$6:$H$101,MOD(85+$C17+(-3),$B$3)+1)*F17+INDEX(Symboles!$H$6:$H$101,MOD(85+$C17+(-2),$B$3)+1)*G17+INDEX(Symboles!$H$6:$H$101,MOD(85+$C17+(-1),$B$3)+1)*H17+INDEX(Symboles!$H$6:$H$101,MOD(85+$C17+(0),$B$3)+1)*I17+INDEX(Symboles!$H$6:$H$101,MOD(85+$C17+(1),$B$3)+1)*J17+INDEX(Symboles!$H$6:$H$101,MOD(85+$C17+(2),$B$3)+1)*K17+INDEX(Symboles!$H$6:$H$101,MOD(85+$C17+(3),$B$3)+1)*L17+INDEX(Symboles!$H$6:$H$101,MOD(85+$C17+(4),$B$3)+1)*M17+IF($B$6=0,0,$B$6*NORMSINV(0.000001+0.999998*RAND())))</f>
        <v/>
      </c>
      <c r="GQ17" s="30">
        <f>IF(87&gt;$B$3,99,INDEX(Symboles!$H$6:$H$101,MOD(86+$C17+(-4),$B$3)+1)*E17+INDEX(Symboles!$H$6:$H$101,MOD(86+$C17+(-3),$B$3)+1)*F17+INDEX(Symboles!$H$6:$H$101,MOD(86+$C17+(-2),$B$3)+1)*G17+INDEX(Symboles!$H$6:$H$101,MOD(86+$C17+(-1),$B$3)+1)*H17+INDEX(Symboles!$H$6:$H$101,MOD(86+$C17+(0),$B$3)+1)*I17+INDEX(Symboles!$H$6:$H$101,MOD(86+$C17+(1),$B$3)+1)*J17+INDEX(Symboles!$H$6:$H$101,MOD(86+$C17+(2),$B$3)+1)*K17+INDEX(Symboles!$H$6:$H$101,MOD(86+$C17+(3),$B$3)+1)*L17+INDEX(Symboles!$H$6:$H$101,MOD(86+$C17+(4),$B$3)+1)*M17+IF($B$6=0,0,$B$6*NORMSINV(0.000001+0.999998*RAND())))</f>
        <v/>
      </c>
      <c r="GR17" s="30">
        <f>IF(88&gt;$B$3,99,INDEX(Symboles!$H$6:$H$101,MOD(87+$C17+(-4),$B$3)+1)*E17+INDEX(Symboles!$H$6:$H$101,MOD(87+$C17+(-3),$B$3)+1)*F17+INDEX(Symboles!$H$6:$H$101,MOD(87+$C17+(-2),$B$3)+1)*G17+INDEX(Symboles!$H$6:$H$101,MOD(87+$C17+(-1),$B$3)+1)*H17+INDEX(Symboles!$H$6:$H$101,MOD(87+$C17+(0),$B$3)+1)*I17+INDEX(Symboles!$H$6:$H$101,MOD(87+$C17+(1),$B$3)+1)*J17+INDEX(Symboles!$H$6:$H$101,MOD(87+$C17+(2),$B$3)+1)*K17+INDEX(Symboles!$H$6:$H$101,MOD(87+$C17+(3),$B$3)+1)*L17+INDEX(Symboles!$H$6:$H$101,MOD(87+$C17+(4),$B$3)+1)*M17+IF($B$6=0,0,$B$6*NORMSINV(0.000001+0.999998*RAND())))</f>
        <v/>
      </c>
      <c r="GS17" s="30">
        <f>IF(89&gt;$B$3,99,INDEX(Symboles!$H$6:$H$101,MOD(88+$C17+(-4),$B$3)+1)*E17+INDEX(Symboles!$H$6:$H$101,MOD(88+$C17+(-3),$B$3)+1)*F17+INDEX(Symboles!$H$6:$H$101,MOD(88+$C17+(-2),$B$3)+1)*G17+INDEX(Symboles!$H$6:$H$101,MOD(88+$C17+(-1),$B$3)+1)*H17+INDEX(Symboles!$H$6:$H$101,MOD(88+$C17+(0),$B$3)+1)*I17+INDEX(Symboles!$H$6:$H$101,MOD(88+$C17+(1),$B$3)+1)*J17+INDEX(Symboles!$H$6:$H$101,MOD(88+$C17+(2),$B$3)+1)*K17+INDEX(Symboles!$H$6:$H$101,MOD(88+$C17+(3),$B$3)+1)*L17+INDEX(Symboles!$H$6:$H$101,MOD(88+$C17+(4),$B$3)+1)*M17+IF($B$6=0,0,$B$6*NORMSINV(0.000001+0.999998*RAND())))</f>
        <v/>
      </c>
      <c r="GT17" s="30">
        <f>IF(90&gt;$B$3,99,INDEX(Symboles!$H$6:$H$101,MOD(89+$C17+(-4),$B$3)+1)*E17+INDEX(Symboles!$H$6:$H$101,MOD(89+$C17+(-3),$B$3)+1)*F17+INDEX(Symboles!$H$6:$H$101,MOD(89+$C17+(-2),$B$3)+1)*G17+INDEX(Symboles!$H$6:$H$101,MOD(89+$C17+(-1),$B$3)+1)*H17+INDEX(Symboles!$H$6:$H$101,MOD(89+$C17+(0),$B$3)+1)*I17+INDEX(Symboles!$H$6:$H$101,MOD(89+$C17+(1),$B$3)+1)*J17+INDEX(Symboles!$H$6:$H$101,MOD(89+$C17+(2),$B$3)+1)*K17+INDEX(Symboles!$H$6:$H$101,MOD(89+$C17+(3),$B$3)+1)*L17+INDEX(Symboles!$H$6:$H$101,MOD(89+$C17+(4),$B$3)+1)*M17+IF($B$6=0,0,$B$6*NORMSINV(0.000001+0.999998*RAND())))</f>
        <v/>
      </c>
      <c r="GU17" s="30">
        <f>IF(91&gt;$B$3,99,INDEX(Symboles!$H$6:$H$101,MOD(90+$C17+(-4),$B$3)+1)*E17+INDEX(Symboles!$H$6:$H$101,MOD(90+$C17+(-3),$B$3)+1)*F17+INDEX(Symboles!$H$6:$H$101,MOD(90+$C17+(-2),$B$3)+1)*G17+INDEX(Symboles!$H$6:$H$101,MOD(90+$C17+(-1),$B$3)+1)*H17+INDEX(Symboles!$H$6:$H$101,MOD(90+$C17+(0),$B$3)+1)*I17+INDEX(Symboles!$H$6:$H$101,MOD(90+$C17+(1),$B$3)+1)*J17+INDEX(Symboles!$H$6:$H$101,MOD(90+$C17+(2),$B$3)+1)*K17+INDEX(Symboles!$H$6:$H$101,MOD(90+$C17+(3),$B$3)+1)*L17+INDEX(Symboles!$H$6:$H$101,MOD(90+$C17+(4),$B$3)+1)*M17+IF($B$6=0,0,$B$6*NORMSINV(0.000001+0.999998*RAND())))</f>
        <v/>
      </c>
      <c r="GV17" s="30">
        <f>IF(92&gt;$B$3,99,INDEX(Symboles!$H$6:$H$101,MOD(91+$C17+(-4),$B$3)+1)*E17+INDEX(Symboles!$H$6:$H$101,MOD(91+$C17+(-3),$B$3)+1)*F17+INDEX(Symboles!$H$6:$H$101,MOD(91+$C17+(-2),$B$3)+1)*G17+INDEX(Symboles!$H$6:$H$101,MOD(91+$C17+(-1),$B$3)+1)*H17+INDEX(Symboles!$H$6:$H$101,MOD(91+$C17+(0),$B$3)+1)*I17+INDEX(Symboles!$H$6:$H$101,MOD(91+$C17+(1),$B$3)+1)*J17+INDEX(Symboles!$H$6:$H$101,MOD(91+$C17+(2),$B$3)+1)*K17+INDEX(Symboles!$H$6:$H$101,MOD(91+$C17+(3),$B$3)+1)*L17+INDEX(Symboles!$H$6:$H$101,MOD(91+$C17+(4),$B$3)+1)*M17+IF($B$6=0,0,$B$6*NORMSINV(0.000001+0.999998*RAND())))</f>
        <v/>
      </c>
      <c r="GW17" s="30">
        <f>IF(93&gt;$B$3,99,INDEX(Symboles!$H$6:$H$101,MOD(92+$C17+(-4),$B$3)+1)*E17+INDEX(Symboles!$H$6:$H$101,MOD(92+$C17+(-3),$B$3)+1)*F17+INDEX(Symboles!$H$6:$H$101,MOD(92+$C17+(-2),$B$3)+1)*G17+INDEX(Symboles!$H$6:$H$101,MOD(92+$C17+(-1),$B$3)+1)*H17+INDEX(Symboles!$H$6:$H$101,MOD(92+$C17+(0),$B$3)+1)*I17+INDEX(Symboles!$H$6:$H$101,MOD(92+$C17+(1),$B$3)+1)*J17+INDEX(Symboles!$H$6:$H$101,MOD(92+$C17+(2),$B$3)+1)*K17+INDEX(Symboles!$H$6:$H$101,MOD(92+$C17+(3),$B$3)+1)*L17+INDEX(Symboles!$H$6:$H$101,MOD(92+$C17+(4),$B$3)+1)*M17+IF($B$6=0,0,$B$6*NORMSINV(0.000001+0.999998*RAND())))</f>
        <v/>
      </c>
      <c r="GX17" s="30">
        <f>IF(94&gt;$B$3,99,INDEX(Symboles!$H$6:$H$101,MOD(93+$C17+(-4),$B$3)+1)*E17+INDEX(Symboles!$H$6:$H$101,MOD(93+$C17+(-3),$B$3)+1)*F17+INDEX(Symboles!$H$6:$H$101,MOD(93+$C17+(-2),$B$3)+1)*G17+INDEX(Symboles!$H$6:$H$101,MOD(93+$C17+(-1),$B$3)+1)*H17+INDEX(Symboles!$H$6:$H$101,MOD(93+$C17+(0),$B$3)+1)*I17+INDEX(Symboles!$H$6:$H$101,MOD(93+$C17+(1),$B$3)+1)*J17+INDEX(Symboles!$H$6:$H$101,MOD(93+$C17+(2),$B$3)+1)*K17+INDEX(Symboles!$H$6:$H$101,MOD(93+$C17+(3),$B$3)+1)*L17+INDEX(Symboles!$H$6:$H$101,MOD(93+$C17+(4),$B$3)+1)*M17+IF($B$6=0,0,$B$6*NORMSINV(0.000001+0.999998*RAND())))</f>
        <v/>
      </c>
      <c r="GY17" s="30">
        <f>IF(95&gt;$B$3,99,INDEX(Symboles!$H$6:$H$101,MOD(94+$C17+(-4),$B$3)+1)*E17+INDEX(Symboles!$H$6:$H$101,MOD(94+$C17+(-3),$B$3)+1)*F17+INDEX(Symboles!$H$6:$H$101,MOD(94+$C17+(-2),$B$3)+1)*G17+INDEX(Symboles!$H$6:$H$101,MOD(94+$C17+(-1),$B$3)+1)*H17+INDEX(Symboles!$H$6:$H$101,MOD(94+$C17+(0),$B$3)+1)*I17+INDEX(Symboles!$H$6:$H$101,MOD(94+$C17+(1),$B$3)+1)*J17+INDEX(Symboles!$H$6:$H$101,MOD(94+$C17+(2),$B$3)+1)*K17+INDEX(Symboles!$H$6:$H$101,MOD(94+$C17+(3),$B$3)+1)*L17+INDEX(Symboles!$H$6:$H$101,MOD(94+$C17+(4),$B$3)+1)*M17+IF($B$6=0,0,$B$6*NORMSINV(0.000001+0.999998*RAND())))</f>
        <v/>
      </c>
      <c r="GZ17" s="30">
        <f>IF(96&gt;$B$3,99,INDEX(Symboles!$H$6:$H$101,MOD(95+$C17+(-4),$B$3)+1)*E17+INDEX(Symboles!$H$6:$H$101,MOD(95+$C17+(-3),$B$3)+1)*F17+INDEX(Symboles!$H$6:$H$101,MOD(95+$C17+(-2),$B$3)+1)*G17+INDEX(Symboles!$H$6:$H$101,MOD(95+$C17+(-1),$B$3)+1)*H17+INDEX(Symboles!$H$6:$H$101,MOD(95+$C17+(0),$B$3)+1)*I17+INDEX(Symboles!$H$6:$H$101,MOD(95+$C17+(1),$B$3)+1)*J17+INDEX(Symboles!$H$6:$H$101,MOD(95+$C17+(2),$B$3)+1)*K17+INDEX(Symboles!$H$6:$H$101,MOD(95+$C17+(3),$B$3)+1)*L17+INDEX(Symboles!$H$6:$H$101,MOD(95+$C17+(4),$B$3)+1)*M17+IF($B$6=0,0,$B$6*NORMSINV(0.000001+0.999998*RAND())))</f>
        <v/>
      </c>
    </row>
    <row r="18">
      <c r="A18" s="28" t="n">
        <v>8</v>
      </c>
      <c r="B18" s="28" t="n">
        <v>-0.5</v>
      </c>
      <c r="C18" s="28" t="n">
        <v>0</v>
      </c>
      <c r="D18" s="28" t="n">
        <v>0</v>
      </c>
      <c r="E18" s="29">
        <f>IF($B$4=1,0,IF(ABS(1-(2*$B$5*3.5)^2)&lt;0.000001,PI()/4*SIN(PI()/(2*$B$5))/(PI()/(2*$B$5)),SIN(PI()*3.5)/(PI()*3.5)*COS(PI()*$B$5*3.5)/(1-(2*$B$5*3.5)^2)))</f>
        <v/>
      </c>
      <c r="F18" s="29">
        <f>IF($B$4=1,0,IF(ABS(1-(2*$B$5*2.5)^2)&lt;0.000001,PI()/4*SIN(PI()/(2*$B$5))/(PI()/(2*$B$5)),SIN(PI()*2.5)/(PI()*2.5)*COS(PI()*$B$5*2.5)/(1-(2*$B$5*2.5)^2)))</f>
        <v/>
      </c>
      <c r="G18" s="29">
        <f>IF($B$4=1,0,IF(ABS(1-(2*$B$5*1.5)^2)&lt;0.000001,PI()/4*SIN(PI()/(2*$B$5))/(PI()/(2*$B$5)),SIN(PI()*1.5)/(PI()*1.5)*COS(PI()*$B$5*1.5)/(1-(2*$B$5*1.5)^2)))</f>
        <v/>
      </c>
      <c r="H18" s="29">
        <f>IF($B$4=1,0,IF(ABS(1-(2*$B$5*0.5)^2)&lt;0.000001,PI()/4*SIN(PI()/(2*$B$5))/(PI()/(2*$B$5)),SIN(PI()*0.5)/(PI()*0.5)*COS(PI()*$B$5*0.5)/(1-(2*$B$5*0.5)^2)))</f>
        <v/>
      </c>
      <c r="I18" s="29">
        <f>IF($B$4=1,1,IF(ABS(1-(2*$B$5*-0.5)^2)&lt;0.000001,PI()/4*SIN(PI()/(2*$B$5))/(PI()/(2*$B$5)),SIN(PI()*-0.5)/(PI()*-0.5)*COS(PI()*$B$5*-0.5)/(1-(2*$B$5*-0.5)^2)))</f>
        <v/>
      </c>
      <c r="J18" s="29">
        <f>IF($B$4=1,0,IF(ABS(1-(2*$B$5*-1.5)^2)&lt;0.000001,PI()/4*SIN(PI()/(2*$B$5))/(PI()/(2*$B$5)),SIN(PI()*-1.5)/(PI()*-1.5)*COS(PI()*$B$5*-1.5)/(1-(2*$B$5*-1.5)^2)))</f>
        <v/>
      </c>
      <c r="K18" s="29">
        <f>IF($B$4=1,0,IF(ABS(1-(2*$B$5*-2.5)^2)&lt;0.000001,PI()/4*SIN(PI()/(2*$B$5))/(PI()/(2*$B$5)),SIN(PI()*-2.5)/(PI()*-2.5)*COS(PI()*$B$5*-2.5)/(1-(2*$B$5*-2.5)^2)))</f>
        <v/>
      </c>
      <c r="L18" s="29">
        <f>IF($B$4=1,0,IF(ABS(1-(2*$B$5*-3.5)^2)&lt;0.000001,PI()/4*SIN(PI()/(2*$B$5))/(PI()/(2*$B$5)),SIN(PI()*-3.5)/(PI()*-3.5)*COS(PI()*$B$5*-3.5)/(1-(2*$B$5*-3.5)^2)))</f>
        <v/>
      </c>
      <c r="M18" s="29">
        <f>IF($B$4=1,0,IF(ABS(1-(2*$B$5*-4.5)^2)&lt;0.000001,PI()/4*SIN(PI()/(2*$B$5))/(PI()/(2*$B$5)),SIN(PI()*-4.5)/(PI()*-4.5)*COS(PI()*$B$5*-4.5)/(1-(2*$B$5*-4.5)^2)))</f>
        <v/>
      </c>
      <c r="P18" s="30">
        <f>IF(1&gt;$B$3,99,INDEX(Symboles!$G$6:$G$101,MOD(0+$C18+(-4),$B$3)+1)*E18+INDEX(Symboles!$G$6:$G$101,MOD(0+$C18+(-3),$B$3)+1)*F18+INDEX(Symboles!$G$6:$G$101,MOD(0+$C18+(-2),$B$3)+1)*G18+INDEX(Symboles!$G$6:$G$101,MOD(0+$C18+(-1),$B$3)+1)*H18+INDEX(Symboles!$G$6:$G$101,MOD(0+$C18+(0),$B$3)+1)*I18+INDEX(Symboles!$G$6:$G$101,MOD(0+$C18+(1),$B$3)+1)*J18+INDEX(Symboles!$G$6:$G$101,MOD(0+$C18+(2),$B$3)+1)*K18+INDEX(Symboles!$G$6:$G$101,MOD(0+$C18+(3),$B$3)+1)*L18+INDEX(Symboles!$G$6:$G$101,MOD(0+$C18+(4),$B$3)+1)*M18+IF($B$6=0,0,$B$6*NORMSINV(0.000001+0.999998*RAND())))</f>
        <v/>
      </c>
      <c r="Q18" s="30">
        <f>IF(2&gt;$B$3,99,INDEX(Symboles!$G$6:$G$101,MOD(1+$C18+(-4),$B$3)+1)*E18+INDEX(Symboles!$G$6:$G$101,MOD(1+$C18+(-3),$B$3)+1)*F18+INDEX(Symboles!$G$6:$G$101,MOD(1+$C18+(-2),$B$3)+1)*G18+INDEX(Symboles!$G$6:$G$101,MOD(1+$C18+(-1),$B$3)+1)*H18+INDEX(Symboles!$G$6:$G$101,MOD(1+$C18+(0),$B$3)+1)*I18+INDEX(Symboles!$G$6:$G$101,MOD(1+$C18+(1),$B$3)+1)*J18+INDEX(Symboles!$G$6:$G$101,MOD(1+$C18+(2),$B$3)+1)*K18+INDEX(Symboles!$G$6:$G$101,MOD(1+$C18+(3),$B$3)+1)*L18+INDEX(Symboles!$G$6:$G$101,MOD(1+$C18+(4),$B$3)+1)*M18+IF($B$6=0,0,$B$6*NORMSINV(0.000001+0.999998*RAND())))</f>
        <v/>
      </c>
      <c r="R18" s="30">
        <f>IF(3&gt;$B$3,99,INDEX(Symboles!$G$6:$G$101,MOD(2+$C18+(-4),$B$3)+1)*E18+INDEX(Symboles!$G$6:$G$101,MOD(2+$C18+(-3),$B$3)+1)*F18+INDEX(Symboles!$G$6:$G$101,MOD(2+$C18+(-2),$B$3)+1)*G18+INDEX(Symboles!$G$6:$G$101,MOD(2+$C18+(-1),$B$3)+1)*H18+INDEX(Symboles!$G$6:$G$101,MOD(2+$C18+(0),$B$3)+1)*I18+INDEX(Symboles!$G$6:$G$101,MOD(2+$C18+(1),$B$3)+1)*J18+INDEX(Symboles!$G$6:$G$101,MOD(2+$C18+(2),$B$3)+1)*K18+INDEX(Symboles!$G$6:$G$101,MOD(2+$C18+(3),$B$3)+1)*L18+INDEX(Symboles!$G$6:$G$101,MOD(2+$C18+(4),$B$3)+1)*M18+IF($B$6=0,0,$B$6*NORMSINV(0.000001+0.999998*RAND())))</f>
        <v/>
      </c>
      <c r="S18" s="30">
        <f>IF(4&gt;$B$3,99,INDEX(Symboles!$G$6:$G$101,MOD(3+$C18+(-4),$B$3)+1)*E18+INDEX(Symboles!$G$6:$G$101,MOD(3+$C18+(-3),$B$3)+1)*F18+INDEX(Symboles!$G$6:$G$101,MOD(3+$C18+(-2),$B$3)+1)*G18+INDEX(Symboles!$G$6:$G$101,MOD(3+$C18+(-1),$B$3)+1)*H18+INDEX(Symboles!$G$6:$G$101,MOD(3+$C18+(0),$B$3)+1)*I18+INDEX(Symboles!$G$6:$G$101,MOD(3+$C18+(1),$B$3)+1)*J18+INDEX(Symboles!$G$6:$G$101,MOD(3+$C18+(2),$B$3)+1)*K18+INDEX(Symboles!$G$6:$G$101,MOD(3+$C18+(3),$B$3)+1)*L18+INDEX(Symboles!$G$6:$G$101,MOD(3+$C18+(4),$B$3)+1)*M18+IF($B$6=0,0,$B$6*NORMSINV(0.000001+0.999998*RAND())))</f>
        <v/>
      </c>
      <c r="T18" s="30">
        <f>IF(5&gt;$B$3,99,INDEX(Symboles!$G$6:$G$101,MOD(4+$C18+(-4),$B$3)+1)*E18+INDEX(Symboles!$G$6:$G$101,MOD(4+$C18+(-3),$B$3)+1)*F18+INDEX(Symboles!$G$6:$G$101,MOD(4+$C18+(-2),$B$3)+1)*G18+INDEX(Symboles!$G$6:$G$101,MOD(4+$C18+(-1),$B$3)+1)*H18+INDEX(Symboles!$G$6:$G$101,MOD(4+$C18+(0),$B$3)+1)*I18+INDEX(Symboles!$G$6:$G$101,MOD(4+$C18+(1),$B$3)+1)*J18+INDEX(Symboles!$G$6:$G$101,MOD(4+$C18+(2),$B$3)+1)*K18+INDEX(Symboles!$G$6:$G$101,MOD(4+$C18+(3),$B$3)+1)*L18+INDEX(Symboles!$G$6:$G$101,MOD(4+$C18+(4),$B$3)+1)*M18+IF($B$6=0,0,$B$6*NORMSINV(0.000001+0.999998*RAND())))</f>
        <v/>
      </c>
      <c r="U18" s="30">
        <f>IF(6&gt;$B$3,99,INDEX(Symboles!$G$6:$G$101,MOD(5+$C18+(-4),$B$3)+1)*E18+INDEX(Symboles!$G$6:$G$101,MOD(5+$C18+(-3),$B$3)+1)*F18+INDEX(Symboles!$G$6:$G$101,MOD(5+$C18+(-2),$B$3)+1)*G18+INDEX(Symboles!$G$6:$G$101,MOD(5+$C18+(-1),$B$3)+1)*H18+INDEX(Symboles!$G$6:$G$101,MOD(5+$C18+(0),$B$3)+1)*I18+INDEX(Symboles!$G$6:$G$101,MOD(5+$C18+(1),$B$3)+1)*J18+INDEX(Symboles!$G$6:$G$101,MOD(5+$C18+(2),$B$3)+1)*K18+INDEX(Symboles!$G$6:$G$101,MOD(5+$C18+(3),$B$3)+1)*L18+INDEX(Symboles!$G$6:$G$101,MOD(5+$C18+(4),$B$3)+1)*M18+IF($B$6=0,0,$B$6*NORMSINV(0.000001+0.999998*RAND())))</f>
        <v/>
      </c>
      <c r="V18" s="30">
        <f>IF(7&gt;$B$3,99,INDEX(Symboles!$G$6:$G$101,MOD(6+$C18+(-4),$B$3)+1)*E18+INDEX(Symboles!$G$6:$G$101,MOD(6+$C18+(-3),$B$3)+1)*F18+INDEX(Symboles!$G$6:$G$101,MOD(6+$C18+(-2),$B$3)+1)*G18+INDEX(Symboles!$G$6:$G$101,MOD(6+$C18+(-1),$B$3)+1)*H18+INDEX(Symboles!$G$6:$G$101,MOD(6+$C18+(0),$B$3)+1)*I18+INDEX(Symboles!$G$6:$G$101,MOD(6+$C18+(1),$B$3)+1)*J18+INDEX(Symboles!$G$6:$G$101,MOD(6+$C18+(2),$B$3)+1)*K18+INDEX(Symboles!$G$6:$G$101,MOD(6+$C18+(3),$B$3)+1)*L18+INDEX(Symboles!$G$6:$G$101,MOD(6+$C18+(4),$B$3)+1)*M18+IF($B$6=0,0,$B$6*NORMSINV(0.000001+0.999998*RAND())))</f>
        <v/>
      </c>
      <c r="W18" s="30">
        <f>IF(8&gt;$B$3,99,INDEX(Symboles!$G$6:$G$101,MOD(7+$C18+(-4),$B$3)+1)*E18+INDEX(Symboles!$G$6:$G$101,MOD(7+$C18+(-3),$B$3)+1)*F18+INDEX(Symboles!$G$6:$G$101,MOD(7+$C18+(-2),$B$3)+1)*G18+INDEX(Symboles!$G$6:$G$101,MOD(7+$C18+(-1),$B$3)+1)*H18+INDEX(Symboles!$G$6:$G$101,MOD(7+$C18+(0),$B$3)+1)*I18+INDEX(Symboles!$G$6:$G$101,MOD(7+$C18+(1),$B$3)+1)*J18+INDEX(Symboles!$G$6:$G$101,MOD(7+$C18+(2),$B$3)+1)*K18+INDEX(Symboles!$G$6:$G$101,MOD(7+$C18+(3),$B$3)+1)*L18+INDEX(Symboles!$G$6:$G$101,MOD(7+$C18+(4),$B$3)+1)*M18+IF($B$6=0,0,$B$6*NORMSINV(0.000001+0.999998*RAND())))</f>
        <v/>
      </c>
      <c r="X18" s="30">
        <f>IF(9&gt;$B$3,99,INDEX(Symboles!$G$6:$G$101,MOD(8+$C18+(-4),$B$3)+1)*E18+INDEX(Symboles!$G$6:$G$101,MOD(8+$C18+(-3),$B$3)+1)*F18+INDEX(Symboles!$G$6:$G$101,MOD(8+$C18+(-2),$B$3)+1)*G18+INDEX(Symboles!$G$6:$G$101,MOD(8+$C18+(-1),$B$3)+1)*H18+INDEX(Symboles!$G$6:$G$101,MOD(8+$C18+(0),$B$3)+1)*I18+INDEX(Symboles!$G$6:$G$101,MOD(8+$C18+(1),$B$3)+1)*J18+INDEX(Symboles!$G$6:$G$101,MOD(8+$C18+(2),$B$3)+1)*K18+INDEX(Symboles!$G$6:$G$101,MOD(8+$C18+(3),$B$3)+1)*L18+INDEX(Symboles!$G$6:$G$101,MOD(8+$C18+(4),$B$3)+1)*M18+IF($B$6=0,0,$B$6*NORMSINV(0.000001+0.999998*RAND())))</f>
        <v/>
      </c>
      <c r="Y18" s="30">
        <f>IF(10&gt;$B$3,99,INDEX(Symboles!$G$6:$G$101,MOD(9+$C18+(-4),$B$3)+1)*E18+INDEX(Symboles!$G$6:$G$101,MOD(9+$C18+(-3),$B$3)+1)*F18+INDEX(Symboles!$G$6:$G$101,MOD(9+$C18+(-2),$B$3)+1)*G18+INDEX(Symboles!$G$6:$G$101,MOD(9+$C18+(-1),$B$3)+1)*H18+INDEX(Symboles!$G$6:$G$101,MOD(9+$C18+(0),$B$3)+1)*I18+INDEX(Symboles!$G$6:$G$101,MOD(9+$C18+(1),$B$3)+1)*J18+INDEX(Symboles!$G$6:$G$101,MOD(9+$C18+(2),$B$3)+1)*K18+INDEX(Symboles!$G$6:$G$101,MOD(9+$C18+(3),$B$3)+1)*L18+INDEX(Symboles!$G$6:$G$101,MOD(9+$C18+(4),$B$3)+1)*M18+IF($B$6=0,0,$B$6*NORMSINV(0.000001+0.999998*RAND())))</f>
        <v/>
      </c>
      <c r="Z18" s="30">
        <f>IF(11&gt;$B$3,99,INDEX(Symboles!$G$6:$G$101,MOD(10+$C18+(-4),$B$3)+1)*E18+INDEX(Symboles!$G$6:$G$101,MOD(10+$C18+(-3),$B$3)+1)*F18+INDEX(Symboles!$G$6:$G$101,MOD(10+$C18+(-2),$B$3)+1)*G18+INDEX(Symboles!$G$6:$G$101,MOD(10+$C18+(-1),$B$3)+1)*H18+INDEX(Symboles!$G$6:$G$101,MOD(10+$C18+(0),$B$3)+1)*I18+INDEX(Symboles!$G$6:$G$101,MOD(10+$C18+(1),$B$3)+1)*J18+INDEX(Symboles!$G$6:$G$101,MOD(10+$C18+(2),$B$3)+1)*K18+INDEX(Symboles!$G$6:$G$101,MOD(10+$C18+(3),$B$3)+1)*L18+INDEX(Symboles!$G$6:$G$101,MOD(10+$C18+(4),$B$3)+1)*M18+IF($B$6=0,0,$B$6*NORMSINV(0.000001+0.999998*RAND())))</f>
        <v/>
      </c>
      <c r="AA18" s="30">
        <f>IF(12&gt;$B$3,99,INDEX(Symboles!$G$6:$G$101,MOD(11+$C18+(-4),$B$3)+1)*E18+INDEX(Symboles!$G$6:$G$101,MOD(11+$C18+(-3),$B$3)+1)*F18+INDEX(Symboles!$G$6:$G$101,MOD(11+$C18+(-2),$B$3)+1)*G18+INDEX(Symboles!$G$6:$G$101,MOD(11+$C18+(-1),$B$3)+1)*H18+INDEX(Symboles!$G$6:$G$101,MOD(11+$C18+(0),$B$3)+1)*I18+INDEX(Symboles!$G$6:$G$101,MOD(11+$C18+(1),$B$3)+1)*J18+INDEX(Symboles!$G$6:$G$101,MOD(11+$C18+(2),$B$3)+1)*K18+INDEX(Symboles!$G$6:$G$101,MOD(11+$C18+(3),$B$3)+1)*L18+INDEX(Symboles!$G$6:$G$101,MOD(11+$C18+(4),$B$3)+1)*M18+IF($B$6=0,0,$B$6*NORMSINV(0.000001+0.999998*RAND())))</f>
        <v/>
      </c>
      <c r="AB18" s="30">
        <f>IF(13&gt;$B$3,99,INDEX(Symboles!$G$6:$G$101,MOD(12+$C18+(-4),$B$3)+1)*E18+INDEX(Symboles!$G$6:$G$101,MOD(12+$C18+(-3),$B$3)+1)*F18+INDEX(Symboles!$G$6:$G$101,MOD(12+$C18+(-2),$B$3)+1)*G18+INDEX(Symboles!$G$6:$G$101,MOD(12+$C18+(-1),$B$3)+1)*H18+INDEX(Symboles!$G$6:$G$101,MOD(12+$C18+(0),$B$3)+1)*I18+INDEX(Symboles!$G$6:$G$101,MOD(12+$C18+(1),$B$3)+1)*J18+INDEX(Symboles!$G$6:$G$101,MOD(12+$C18+(2),$B$3)+1)*K18+INDEX(Symboles!$G$6:$G$101,MOD(12+$C18+(3),$B$3)+1)*L18+INDEX(Symboles!$G$6:$G$101,MOD(12+$C18+(4),$B$3)+1)*M18+IF($B$6=0,0,$B$6*NORMSINV(0.000001+0.999998*RAND())))</f>
        <v/>
      </c>
      <c r="AC18" s="30">
        <f>IF(14&gt;$B$3,99,INDEX(Symboles!$G$6:$G$101,MOD(13+$C18+(-4),$B$3)+1)*E18+INDEX(Symboles!$G$6:$G$101,MOD(13+$C18+(-3),$B$3)+1)*F18+INDEX(Symboles!$G$6:$G$101,MOD(13+$C18+(-2),$B$3)+1)*G18+INDEX(Symboles!$G$6:$G$101,MOD(13+$C18+(-1),$B$3)+1)*H18+INDEX(Symboles!$G$6:$G$101,MOD(13+$C18+(0),$B$3)+1)*I18+INDEX(Symboles!$G$6:$G$101,MOD(13+$C18+(1),$B$3)+1)*J18+INDEX(Symboles!$G$6:$G$101,MOD(13+$C18+(2),$B$3)+1)*K18+INDEX(Symboles!$G$6:$G$101,MOD(13+$C18+(3),$B$3)+1)*L18+INDEX(Symboles!$G$6:$G$101,MOD(13+$C18+(4),$B$3)+1)*M18+IF($B$6=0,0,$B$6*NORMSINV(0.000001+0.999998*RAND())))</f>
        <v/>
      </c>
      <c r="AD18" s="30">
        <f>IF(15&gt;$B$3,99,INDEX(Symboles!$G$6:$G$101,MOD(14+$C18+(-4),$B$3)+1)*E18+INDEX(Symboles!$G$6:$G$101,MOD(14+$C18+(-3),$B$3)+1)*F18+INDEX(Symboles!$G$6:$G$101,MOD(14+$C18+(-2),$B$3)+1)*G18+INDEX(Symboles!$G$6:$G$101,MOD(14+$C18+(-1),$B$3)+1)*H18+INDEX(Symboles!$G$6:$G$101,MOD(14+$C18+(0),$B$3)+1)*I18+INDEX(Symboles!$G$6:$G$101,MOD(14+$C18+(1),$B$3)+1)*J18+INDEX(Symboles!$G$6:$G$101,MOD(14+$C18+(2),$B$3)+1)*K18+INDEX(Symboles!$G$6:$G$101,MOD(14+$C18+(3),$B$3)+1)*L18+INDEX(Symboles!$G$6:$G$101,MOD(14+$C18+(4),$B$3)+1)*M18+IF($B$6=0,0,$B$6*NORMSINV(0.000001+0.999998*RAND())))</f>
        <v/>
      </c>
      <c r="AE18" s="30">
        <f>IF(16&gt;$B$3,99,INDEX(Symboles!$G$6:$G$101,MOD(15+$C18+(-4),$B$3)+1)*E18+INDEX(Symboles!$G$6:$G$101,MOD(15+$C18+(-3),$B$3)+1)*F18+INDEX(Symboles!$G$6:$G$101,MOD(15+$C18+(-2),$B$3)+1)*G18+INDEX(Symboles!$G$6:$G$101,MOD(15+$C18+(-1),$B$3)+1)*H18+INDEX(Symboles!$G$6:$G$101,MOD(15+$C18+(0),$B$3)+1)*I18+INDEX(Symboles!$G$6:$G$101,MOD(15+$C18+(1),$B$3)+1)*J18+INDEX(Symboles!$G$6:$G$101,MOD(15+$C18+(2),$B$3)+1)*K18+INDEX(Symboles!$G$6:$G$101,MOD(15+$C18+(3),$B$3)+1)*L18+INDEX(Symboles!$G$6:$G$101,MOD(15+$C18+(4),$B$3)+1)*M18+IF($B$6=0,0,$B$6*NORMSINV(0.000001+0.999998*RAND())))</f>
        <v/>
      </c>
      <c r="AF18" s="30">
        <f>IF(17&gt;$B$3,99,INDEX(Symboles!$G$6:$G$101,MOD(16+$C18+(-4),$B$3)+1)*E18+INDEX(Symboles!$G$6:$G$101,MOD(16+$C18+(-3),$B$3)+1)*F18+INDEX(Symboles!$G$6:$G$101,MOD(16+$C18+(-2),$B$3)+1)*G18+INDEX(Symboles!$G$6:$G$101,MOD(16+$C18+(-1),$B$3)+1)*H18+INDEX(Symboles!$G$6:$G$101,MOD(16+$C18+(0),$B$3)+1)*I18+INDEX(Symboles!$G$6:$G$101,MOD(16+$C18+(1),$B$3)+1)*J18+INDEX(Symboles!$G$6:$G$101,MOD(16+$C18+(2),$B$3)+1)*K18+INDEX(Symboles!$G$6:$G$101,MOD(16+$C18+(3),$B$3)+1)*L18+INDEX(Symboles!$G$6:$G$101,MOD(16+$C18+(4),$B$3)+1)*M18+IF($B$6=0,0,$B$6*NORMSINV(0.000001+0.999998*RAND())))</f>
        <v/>
      </c>
      <c r="AG18" s="30">
        <f>IF(18&gt;$B$3,99,INDEX(Symboles!$G$6:$G$101,MOD(17+$C18+(-4),$B$3)+1)*E18+INDEX(Symboles!$G$6:$G$101,MOD(17+$C18+(-3),$B$3)+1)*F18+INDEX(Symboles!$G$6:$G$101,MOD(17+$C18+(-2),$B$3)+1)*G18+INDEX(Symboles!$G$6:$G$101,MOD(17+$C18+(-1),$B$3)+1)*H18+INDEX(Symboles!$G$6:$G$101,MOD(17+$C18+(0),$B$3)+1)*I18+INDEX(Symboles!$G$6:$G$101,MOD(17+$C18+(1),$B$3)+1)*J18+INDEX(Symboles!$G$6:$G$101,MOD(17+$C18+(2),$B$3)+1)*K18+INDEX(Symboles!$G$6:$G$101,MOD(17+$C18+(3),$B$3)+1)*L18+INDEX(Symboles!$G$6:$G$101,MOD(17+$C18+(4),$B$3)+1)*M18+IF($B$6=0,0,$B$6*NORMSINV(0.000001+0.999998*RAND())))</f>
        <v/>
      </c>
      <c r="AH18" s="30">
        <f>IF(19&gt;$B$3,99,INDEX(Symboles!$G$6:$G$101,MOD(18+$C18+(-4),$B$3)+1)*E18+INDEX(Symboles!$G$6:$G$101,MOD(18+$C18+(-3),$B$3)+1)*F18+INDEX(Symboles!$G$6:$G$101,MOD(18+$C18+(-2),$B$3)+1)*G18+INDEX(Symboles!$G$6:$G$101,MOD(18+$C18+(-1),$B$3)+1)*H18+INDEX(Symboles!$G$6:$G$101,MOD(18+$C18+(0),$B$3)+1)*I18+INDEX(Symboles!$G$6:$G$101,MOD(18+$C18+(1),$B$3)+1)*J18+INDEX(Symboles!$G$6:$G$101,MOD(18+$C18+(2),$B$3)+1)*K18+INDEX(Symboles!$G$6:$G$101,MOD(18+$C18+(3),$B$3)+1)*L18+INDEX(Symboles!$G$6:$G$101,MOD(18+$C18+(4),$B$3)+1)*M18+IF($B$6=0,0,$B$6*NORMSINV(0.000001+0.999998*RAND())))</f>
        <v/>
      </c>
      <c r="AI18" s="30">
        <f>IF(20&gt;$B$3,99,INDEX(Symboles!$G$6:$G$101,MOD(19+$C18+(-4),$B$3)+1)*E18+INDEX(Symboles!$G$6:$G$101,MOD(19+$C18+(-3),$B$3)+1)*F18+INDEX(Symboles!$G$6:$G$101,MOD(19+$C18+(-2),$B$3)+1)*G18+INDEX(Symboles!$G$6:$G$101,MOD(19+$C18+(-1),$B$3)+1)*H18+INDEX(Symboles!$G$6:$G$101,MOD(19+$C18+(0),$B$3)+1)*I18+INDEX(Symboles!$G$6:$G$101,MOD(19+$C18+(1),$B$3)+1)*J18+INDEX(Symboles!$G$6:$G$101,MOD(19+$C18+(2),$B$3)+1)*K18+INDEX(Symboles!$G$6:$G$101,MOD(19+$C18+(3),$B$3)+1)*L18+INDEX(Symboles!$G$6:$G$101,MOD(19+$C18+(4),$B$3)+1)*M18+IF($B$6=0,0,$B$6*NORMSINV(0.000001+0.999998*RAND())))</f>
        <v/>
      </c>
      <c r="AJ18" s="30">
        <f>IF(21&gt;$B$3,99,INDEX(Symboles!$G$6:$G$101,MOD(20+$C18+(-4),$B$3)+1)*E18+INDEX(Symboles!$G$6:$G$101,MOD(20+$C18+(-3),$B$3)+1)*F18+INDEX(Symboles!$G$6:$G$101,MOD(20+$C18+(-2),$B$3)+1)*G18+INDEX(Symboles!$G$6:$G$101,MOD(20+$C18+(-1),$B$3)+1)*H18+INDEX(Symboles!$G$6:$G$101,MOD(20+$C18+(0),$B$3)+1)*I18+INDEX(Symboles!$G$6:$G$101,MOD(20+$C18+(1),$B$3)+1)*J18+INDEX(Symboles!$G$6:$G$101,MOD(20+$C18+(2),$B$3)+1)*K18+INDEX(Symboles!$G$6:$G$101,MOD(20+$C18+(3),$B$3)+1)*L18+INDEX(Symboles!$G$6:$G$101,MOD(20+$C18+(4),$B$3)+1)*M18+IF($B$6=0,0,$B$6*NORMSINV(0.000001+0.999998*RAND())))</f>
        <v/>
      </c>
      <c r="AK18" s="30">
        <f>IF(22&gt;$B$3,99,INDEX(Symboles!$G$6:$G$101,MOD(21+$C18+(-4),$B$3)+1)*E18+INDEX(Symboles!$G$6:$G$101,MOD(21+$C18+(-3),$B$3)+1)*F18+INDEX(Symboles!$G$6:$G$101,MOD(21+$C18+(-2),$B$3)+1)*G18+INDEX(Symboles!$G$6:$G$101,MOD(21+$C18+(-1),$B$3)+1)*H18+INDEX(Symboles!$G$6:$G$101,MOD(21+$C18+(0),$B$3)+1)*I18+INDEX(Symboles!$G$6:$G$101,MOD(21+$C18+(1),$B$3)+1)*J18+INDEX(Symboles!$G$6:$G$101,MOD(21+$C18+(2),$B$3)+1)*K18+INDEX(Symboles!$G$6:$G$101,MOD(21+$C18+(3),$B$3)+1)*L18+INDEX(Symboles!$G$6:$G$101,MOD(21+$C18+(4),$B$3)+1)*M18+IF($B$6=0,0,$B$6*NORMSINV(0.000001+0.999998*RAND())))</f>
        <v/>
      </c>
      <c r="AL18" s="30">
        <f>IF(23&gt;$B$3,99,INDEX(Symboles!$G$6:$G$101,MOD(22+$C18+(-4),$B$3)+1)*E18+INDEX(Symboles!$G$6:$G$101,MOD(22+$C18+(-3),$B$3)+1)*F18+INDEX(Symboles!$G$6:$G$101,MOD(22+$C18+(-2),$B$3)+1)*G18+INDEX(Symboles!$G$6:$G$101,MOD(22+$C18+(-1),$B$3)+1)*H18+INDEX(Symboles!$G$6:$G$101,MOD(22+$C18+(0),$B$3)+1)*I18+INDEX(Symboles!$G$6:$G$101,MOD(22+$C18+(1),$B$3)+1)*J18+INDEX(Symboles!$G$6:$G$101,MOD(22+$C18+(2),$B$3)+1)*K18+INDEX(Symboles!$G$6:$G$101,MOD(22+$C18+(3),$B$3)+1)*L18+INDEX(Symboles!$G$6:$G$101,MOD(22+$C18+(4),$B$3)+1)*M18+IF($B$6=0,0,$B$6*NORMSINV(0.000001+0.999998*RAND())))</f>
        <v/>
      </c>
      <c r="AM18" s="30">
        <f>IF(24&gt;$B$3,99,INDEX(Symboles!$G$6:$G$101,MOD(23+$C18+(-4),$B$3)+1)*E18+INDEX(Symboles!$G$6:$G$101,MOD(23+$C18+(-3),$B$3)+1)*F18+INDEX(Symboles!$G$6:$G$101,MOD(23+$C18+(-2),$B$3)+1)*G18+INDEX(Symboles!$G$6:$G$101,MOD(23+$C18+(-1),$B$3)+1)*H18+INDEX(Symboles!$G$6:$G$101,MOD(23+$C18+(0),$B$3)+1)*I18+INDEX(Symboles!$G$6:$G$101,MOD(23+$C18+(1),$B$3)+1)*J18+INDEX(Symboles!$G$6:$G$101,MOD(23+$C18+(2),$B$3)+1)*K18+INDEX(Symboles!$G$6:$G$101,MOD(23+$C18+(3),$B$3)+1)*L18+INDEX(Symboles!$G$6:$G$101,MOD(23+$C18+(4),$B$3)+1)*M18+IF($B$6=0,0,$B$6*NORMSINV(0.000001+0.999998*RAND())))</f>
        <v/>
      </c>
      <c r="AN18" s="30">
        <f>IF(25&gt;$B$3,99,INDEX(Symboles!$G$6:$G$101,MOD(24+$C18+(-4),$B$3)+1)*E18+INDEX(Symboles!$G$6:$G$101,MOD(24+$C18+(-3),$B$3)+1)*F18+INDEX(Symboles!$G$6:$G$101,MOD(24+$C18+(-2),$B$3)+1)*G18+INDEX(Symboles!$G$6:$G$101,MOD(24+$C18+(-1),$B$3)+1)*H18+INDEX(Symboles!$G$6:$G$101,MOD(24+$C18+(0),$B$3)+1)*I18+INDEX(Symboles!$G$6:$G$101,MOD(24+$C18+(1),$B$3)+1)*J18+INDEX(Symboles!$G$6:$G$101,MOD(24+$C18+(2),$B$3)+1)*K18+INDEX(Symboles!$G$6:$G$101,MOD(24+$C18+(3),$B$3)+1)*L18+INDEX(Symboles!$G$6:$G$101,MOD(24+$C18+(4),$B$3)+1)*M18+IF($B$6=0,0,$B$6*NORMSINV(0.000001+0.999998*RAND())))</f>
        <v/>
      </c>
      <c r="AO18" s="30">
        <f>IF(26&gt;$B$3,99,INDEX(Symboles!$G$6:$G$101,MOD(25+$C18+(-4),$B$3)+1)*E18+INDEX(Symboles!$G$6:$G$101,MOD(25+$C18+(-3),$B$3)+1)*F18+INDEX(Symboles!$G$6:$G$101,MOD(25+$C18+(-2),$B$3)+1)*G18+INDEX(Symboles!$G$6:$G$101,MOD(25+$C18+(-1),$B$3)+1)*H18+INDEX(Symboles!$G$6:$G$101,MOD(25+$C18+(0),$B$3)+1)*I18+INDEX(Symboles!$G$6:$G$101,MOD(25+$C18+(1),$B$3)+1)*J18+INDEX(Symboles!$G$6:$G$101,MOD(25+$C18+(2),$B$3)+1)*K18+INDEX(Symboles!$G$6:$G$101,MOD(25+$C18+(3),$B$3)+1)*L18+INDEX(Symboles!$G$6:$G$101,MOD(25+$C18+(4),$B$3)+1)*M18+IF($B$6=0,0,$B$6*NORMSINV(0.000001+0.999998*RAND())))</f>
        <v/>
      </c>
      <c r="AP18" s="30">
        <f>IF(27&gt;$B$3,99,INDEX(Symboles!$G$6:$G$101,MOD(26+$C18+(-4),$B$3)+1)*E18+INDEX(Symboles!$G$6:$G$101,MOD(26+$C18+(-3),$B$3)+1)*F18+INDEX(Symboles!$G$6:$G$101,MOD(26+$C18+(-2),$B$3)+1)*G18+INDEX(Symboles!$G$6:$G$101,MOD(26+$C18+(-1),$B$3)+1)*H18+INDEX(Symboles!$G$6:$G$101,MOD(26+$C18+(0),$B$3)+1)*I18+INDEX(Symboles!$G$6:$G$101,MOD(26+$C18+(1),$B$3)+1)*J18+INDEX(Symboles!$G$6:$G$101,MOD(26+$C18+(2),$B$3)+1)*K18+INDEX(Symboles!$G$6:$G$101,MOD(26+$C18+(3),$B$3)+1)*L18+INDEX(Symboles!$G$6:$G$101,MOD(26+$C18+(4),$B$3)+1)*M18+IF($B$6=0,0,$B$6*NORMSINV(0.000001+0.999998*RAND())))</f>
        <v/>
      </c>
      <c r="AQ18" s="30">
        <f>IF(28&gt;$B$3,99,INDEX(Symboles!$G$6:$G$101,MOD(27+$C18+(-4),$B$3)+1)*E18+INDEX(Symboles!$G$6:$G$101,MOD(27+$C18+(-3),$B$3)+1)*F18+INDEX(Symboles!$G$6:$G$101,MOD(27+$C18+(-2),$B$3)+1)*G18+INDEX(Symboles!$G$6:$G$101,MOD(27+$C18+(-1),$B$3)+1)*H18+INDEX(Symboles!$G$6:$G$101,MOD(27+$C18+(0),$B$3)+1)*I18+INDEX(Symboles!$G$6:$G$101,MOD(27+$C18+(1),$B$3)+1)*J18+INDEX(Symboles!$G$6:$G$101,MOD(27+$C18+(2),$B$3)+1)*K18+INDEX(Symboles!$G$6:$G$101,MOD(27+$C18+(3),$B$3)+1)*L18+INDEX(Symboles!$G$6:$G$101,MOD(27+$C18+(4),$B$3)+1)*M18+IF($B$6=0,0,$B$6*NORMSINV(0.000001+0.999998*RAND())))</f>
        <v/>
      </c>
      <c r="AR18" s="30">
        <f>IF(29&gt;$B$3,99,INDEX(Symboles!$G$6:$G$101,MOD(28+$C18+(-4),$B$3)+1)*E18+INDEX(Symboles!$G$6:$G$101,MOD(28+$C18+(-3),$B$3)+1)*F18+INDEX(Symboles!$G$6:$G$101,MOD(28+$C18+(-2),$B$3)+1)*G18+INDEX(Symboles!$G$6:$G$101,MOD(28+$C18+(-1),$B$3)+1)*H18+INDEX(Symboles!$G$6:$G$101,MOD(28+$C18+(0),$B$3)+1)*I18+INDEX(Symboles!$G$6:$G$101,MOD(28+$C18+(1),$B$3)+1)*J18+INDEX(Symboles!$G$6:$G$101,MOD(28+$C18+(2),$B$3)+1)*K18+INDEX(Symboles!$G$6:$G$101,MOD(28+$C18+(3),$B$3)+1)*L18+INDEX(Symboles!$G$6:$G$101,MOD(28+$C18+(4),$B$3)+1)*M18+IF($B$6=0,0,$B$6*NORMSINV(0.000001+0.999998*RAND())))</f>
        <v/>
      </c>
      <c r="AS18" s="30">
        <f>IF(30&gt;$B$3,99,INDEX(Symboles!$G$6:$G$101,MOD(29+$C18+(-4),$B$3)+1)*E18+INDEX(Symboles!$G$6:$G$101,MOD(29+$C18+(-3),$B$3)+1)*F18+INDEX(Symboles!$G$6:$G$101,MOD(29+$C18+(-2),$B$3)+1)*G18+INDEX(Symboles!$G$6:$G$101,MOD(29+$C18+(-1),$B$3)+1)*H18+INDEX(Symboles!$G$6:$G$101,MOD(29+$C18+(0),$B$3)+1)*I18+INDEX(Symboles!$G$6:$G$101,MOD(29+$C18+(1),$B$3)+1)*J18+INDEX(Symboles!$G$6:$G$101,MOD(29+$C18+(2),$B$3)+1)*K18+INDEX(Symboles!$G$6:$G$101,MOD(29+$C18+(3),$B$3)+1)*L18+INDEX(Symboles!$G$6:$G$101,MOD(29+$C18+(4),$B$3)+1)*M18+IF($B$6=0,0,$B$6*NORMSINV(0.000001+0.999998*RAND())))</f>
        <v/>
      </c>
      <c r="AT18" s="30">
        <f>IF(31&gt;$B$3,99,INDEX(Symboles!$G$6:$G$101,MOD(30+$C18+(-4),$B$3)+1)*E18+INDEX(Symboles!$G$6:$G$101,MOD(30+$C18+(-3),$B$3)+1)*F18+INDEX(Symboles!$G$6:$G$101,MOD(30+$C18+(-2),$B$3)+1)*G18+INDEX(Symboles!$G$6:$G$101,MOD(30+$C18+(-1),$B$3)+1)*H18+INDEX(Symboles!$G$6:$G$101,MOD(30+$C18+(0),$B$3)+1)*I18+INDEX(Symboles!$G$6:$G$101,MOD(30+$C18+(1),$B$3)+1)*J18+INDEX(Symboles!$G$6:$G$101,MOD(30+$C18+(2),$B$3)+1)*K18+INDEX(Symboles!$G$6:$G$101,MOD(30+$C18+(3),$B$3)+1)*L18+INDEX(Symboles!$G$6:$G$101,MOD(30+$C18+(4),$B$3)+1)*M18+IF($B$6=0,0,$B$6*NORMSINV(0.000001+0.999998*RAND())))</f>
        <v/>
      </c>
      <c r="AU18" s="30">
        <f>IF(32&gt;$B$3,99,INDEX(Symboles!$G$6:$G$101,MOD(31+$C18+(-4),$B$3)+1)*E18+INDEX(Symboles!$G$6:$G$101,MOD(31+$C18+(-3),$B$3)+1)*F18+INDEX(Symboles!$G$6:$G$101,MOD(31+$C18+(-2),$B$3)+1)*G18+INDEX(Symboles!$G$6:$G$101,MOD(31+$C18+(-1),$B$3)+1)*H18+INDEX(Symboles!$G$6:$G$101,MOD(31+$C18+(0),$B$3)+1)*I18+INDEX(Symboles!$G$6:$G$101,MOD(31+$C18+(1),$B$3)+1)*J18+INDEX(Symboles!$G$6:$G$101,MOD(31+$C18+(2),$B$3)+1)*K18+INDEX(Symboles!$G$6:$G$101,MOD(31+$C18+(3),$B$3)+1)*L18+INDEX(Symboles!$G$6:$G$101,MOD(31+$C18+(4),$B$3)+1)*M18+IF($B$6=0,0,$B$6*NORMSINV(0.000001+0.999998*RAND())))</f>
        <v/>
      </c>
      <c r="AV18" s="30">
        <f>IF(33&gt;$B$3,99,INDEX(Symboles!$G$6:$G$101,MOD(32+$C18+(-4),$B$3)+1)*E18+INDEX(Symboles!$G$6:$G$101,MOD(32+$C18+(-3),$B$3)+1)*F18+INDEX(Symboles!$G$6:$G$101,MOD(32+$C18+(-2),$B$3)+1)*G18+INDEX(Symboles!$G$6:$G$101,MOD(32+$C18+(-1),$B$3)+1)*H18+INDEX(Symboles!$G$6:$G$101,MOD(32+$C18+(0),$B$3)+1)*I18+INDEX(Symboles!$G$6:$G$101,MOD(32+$C18+(1),$B$3)+1)*J18+INDEX(Symboles!$G$6:$G$101,MOD(32+$C18+(2),$B$3)+1)*K18+INDEX(Symboles!$G$6:$G$101,MOD(32+$C18+(3),$B$3)+1)*L18+INDEX(Symboles!$G$6:$G$101,MOD(32+$C18+(4),$B$3)+1)*M18+IF($B$6=0,0,$B$6*NORMSINV(0.000001+0.999998*RAND())))</f>
        <v/>
      </c>
      <c r="AW18" s="30">
        <f>IF(34&gt;$B$3,99,INDEX(Symboles!$G$6:$G$101,MOD(33+$C18+(-4),$B$3)+1)*E18+INDEX(Symboles!$G$6:$G$101,MOD(33+$C18+(-3),$B$3)+1)*F18+INDEX(Symboles!$G$6:$G$101,MOD(33+$C18+(-2),$B$3)+1)*G18+INDEX(Symboles!$G$6:$G$101,MOD(33+$C18+(-1),$B$3)+1)*H18+INDEX(Symboles!$G$6:$G$101,MOD(33+$C18+(0),$B$3)+1)*I18+INDEX(Symboles!$G$6:$G$101,MOD(33+$C18+(1),$B$3)+1)*J18+INDEX(Symboles!$G$6:$G$101,MOD(33+$C18+(2),$B$3)+1)*K18+INDEX(Symboles!$G$6:$G$101,MOD(33+$C18+(3),$B$3)+1)*L18+INDEX(Symboles!$G$6:$G$101,MOD(33+$C18+(4),$B$3)+1)*M18+IF($B$6=0,0,$B$6*NORMSINV(0.000001+0.999998*RAND())))</f>
        <v/>
      </c>
      <c r="AX18" s="30">
        <f>IF(35&gt;$B$3,99,INDEX(Symboles!$G$6:$G$101,MOD(34+$C18+(-4),$B$3)+1)*E18+INDEX(Symboles!$G$6:$G$101,MOD(34+$C18+(-3),$B$3)+1)*F18+INDEX(Symboles!$G$6:$G$101,MOD(34+$C18+(-2),$B$3)+1)*G18+INDEX(Symboles!$G$6:$G$101,MOD(34+$C18+(-1),$B$3)+1)*H18+INDEX(Symboles!$G$6:$G$101,MOD(34+$C18+(0),$B$3)+1)*I18+INDEX(Symboles!$G$6:$G$101,MOD(34+$C18+(1),$B$3)+1)*J18+INDEX(Symboles!$G$6:$G$101,MOD(34+$C18+(2),$B$3)+1)*K18+INDEX(Symboles!$G$6:$G$101,MOD(34+$C18+(3),$B$3)+1)*L18+INDEX(Symboles!$G$6:$G$101,MOD(34+$C18+(4),$B$3)+1)*M18+IF($B$6=0,0,$B$6*NORMSINV(0.000001+0.999998*RAND())))</f>
        <v/>
      </c>
      <c r="AY18" s="30">
        <f>IF(36&gt;$B$3,99,INDEX(Symboles!$G$6:$G$101,MOD(35+$C18+(-4),$B$3)+1)*E18+INDEX(Symboles!$G$6:$G$101,MOD(35+$C18+(-3),$B$3)+1)*F18+INDEX(Symboles!$G$6:$G$101,MOD(35+$C18+(-2),$B$3)+1)*G18+INDEX(Symboles!$G$6:$G$101,MOD(35+$C18+(-1),$B$3)+1)*H18+INDEX(Symboles!$G$6:$G$101,MOD(35+$C18+(0),$B$3)+1)*I18+INDEX(Symboles!$G$6:$G$101,MOD(35+$C18+(1),$B$3)+1)*J18+INDEX(Symboles!$G$6:$G$101,MOD(35+$C18+(2),$B$3)+1)*K18+INDEX(Symboles!$G$6:$G$101,MOD(35+$C18+(3),$B$3)+1)*L18+INDEX(Symboles!$G$6:$G$101,MOD(35+$C18+(4),$B$3)+1)*M18+IF($B$6=0,0,$B$6*NORMSINV(0.000001+0.999998*RAND())))</f>
        <v/>
      </c>
      <c r="AZ18" s="30">
        <f>IF(37&gt;$B$3,99,INDEX(Symboles!$G$6:$G$101,MOD(36+$C18+(-4),$B$3)+1)*E18+INDEX(Symboles!$G$6:$G$101,MOD(36+$C18+(-3),$B$3)+1)*F18+INDEX(Symboles!$G$6:$G$101,MOD(36+$C18+(-2),$B$3)+1)*G18+INDEX(Symboles!$G$6:$G$101,MOD(36+$C18+(-1),$B$3)+1)*H18+INDEX(Symboles!$G$6:$G$101,MOD(36+$C18+(0),$B$3)+1)*I18+INDEX(Symboles!$G$6:$G$101,MOD(36+$C18+(1),$B$3)+1)*J18+INDEX(Symboles!$G$6:$G$101,MOD(36+$C18+(2),$B$3)+1)*K18+INDEX(Symboles!$G$6:$G$101,MOD(36+$C18+(3),$B$3)+1)*L18+INDEX(Symboles!$G$6:$G$101,MOD(36+$C18+(4),$B$3)+1)*M18+IF($B$6=0,0,$B$6*NORMSINV(0.000001+0.999998*RAND())))</f>
        <v/>
      </c>
      <c r="BA18" s="30">
        <f>IF(38&gt;$B$3,99,INDEX(Symboles!$G$6:$G$101,MOD(37+$C18+(-4),$B$3)+1)*E18+INDEX(Symboles!$G$6:$G$101,MOD(37+$C18+(-3),$B$3)+1)*F18+INDEX(Symboles!$G$6:$G$101,MOD(37+$C18+(-2),$B$3)+1)*G18+INDEX(Symboles!$G$6:$G$101,MOD(37+$C18+(-1),$B$3)+1)*H18+INDEX(Symboles!$G$6:$G$101,MOD(37+$C18+(0),$B$3)+1)*I18+INDEX(Symboles!$G$6:$G$101,MOD(37+$C18+(1),$B$3)+1)*J18+INDEX(Symboles!$G$6:$G$101,MOD(37+$C18+(2),$B$3)+1)*K18+INDEX(Symboles!$G$6:$G$101,MOD(37+$C18+(3),$B$3)+1)*L18+INDEX(Symboles!$G$6:$G$101,MOD(37+$C18+(4),$B$3)+1)*M18+IF($B$6=0,0,$B$6*NORMSINV(0.000001+0.999998*RAND())))</f>
        <v/>
      </c>
      <c r="BB18" s="30">
        <f>IF(39&gt;$B$3,99,INDEX(Symboles!$G$6:$G$101,MOD(38+$C18+(-4),$B$3)+1)*E18+INDEX(Symboles!$G$6:$G$101,MOD(38+$C18+(-3),$B$3)+1)*F18+INDEX(Symboles!$G$6:$G$101,MOD(38+$C18+(-2),$B$3)+1)*G18+INDEX(Symboles!$G$6:$G$101,MOD(38+$C18+(-1),$B$3)+1)*H18+INDEX(Symboles!$G$6:$G$101,MOD(38+$C18+(0),$B$3)+1)*I18+INDEX(Symboles!$G$6:$G$101,MOD(38+$C18+(1),$B$3)+1)*J18+INDEX(Symboles!$G$6:$G$101,MOD(38+$C18+(2),$B$3)+1)*K18+INDEX(Symboles!$G$6:$G$101,MOD(38+$C18+(3),$B$3)+1)*L18+INDEX(Symboles!$G$6:$G$101,MOD(38+$C18+(4),$B$3)+1)*M18+IF($B$6=0,0,$B$6*NORMSINV(0.000001+0.999998*RAND())))</f>
        <v/>
      </c>
      <c r="BC18" s="30">
        <f>IF(40&gt;$B$3,99,INDEX(Symboles!$G$6:$G$101,MOD(39+$C18+(-4),$B$3)+1)*E18+INDEX(Symboles!$G$6:$G$101,MOD(39+$C18+(-3),$B$3)+1)*F18+INDEX(Symboles!$G$6:$G$101,MOD(39+$C18+(-2),$B$3)+1)*G18+INDEX(Symboles!$G$6:$G$101,MOD(39+$C18+(-1),$B$3)+1)*H18+INDEX(Symboles!$G$6:$G$101,MOD(39+$C18+(0),$B$3)+1)*I18+INDEX(Symboles!$G$6:$G$101,MOD(39+$C18+(1),$B$3)+1)*J18+INDEX(Symboles!$G$6:$G$101,MOD(39+$C18+(2),$B$3)+1)*K18+INDEX(Symboles!$G$6:$G$101,MOD(39+$C18+(3),$B$3)+1)*L18+INDEX(Symboles!$G$6:$G$101,MOD(39+$C18+(4),$B$3)+1)*M18+IF($B$6=0,0,$B$6*NORMSINV(0.000001+0.999998*RAND())))</f>
        <v/>
      </c>
      <c r="BD18" s="30">
        <f>IF(41&gt;$B$3,99,INDEX(Symboles!$G$6:$G$101,MOD(40+$C18+(-4),$B$3)+1)*E18+INDEX(Symboles!$G$6:$G$101,MOD(40+$C18+(-3),$B$3)+1)*F18+INDEX(Symboles!$G$6:$G$101,MOD(40+$C18+(-2),$B$3)+1)*G18+INDEX(Symboles!$G$6:$G$101,MOD(40+$C18+(-1),$B$3)+1)*H18+INDEX(Symboles!$G$6:$G$101,MOD(40+$C18+(0),$B$3)+1)*I18+INDEX(Symboles!$G$6:$G$101,MOD(40+$C18+(1),$B$3)+1)*J18+INDEX(Symboles!$G$6:$G$101,MOD(40+$C18+(2),$B$3)+1)*K18+INDEX(Symboles!$G$6:$G$101,MOD(40+$C18+(3),$B$3)+1)*L18+INDEX(Symboles!$G$6:$G$101,MOD(40+$C18+(4),$B$3)+1)*M18+IF($B$6=0,0,$B$6*NORMSINV(0.000001+0.999998*RAND())))</f>
        <v/>
      </c>
      <c r="BE18" s="30">
        <f>IF(42&gt;$B$3,99,INDEX(Symboles!$G$6:$G$101,MOD(41+$C18+(-4),$B$3)+1)*E18+INDEX(Symboles!$G$6:$G$101,MOD(41+$C18+(-3),$B$3)+1)*F18+INDEX(Symboles!$G$6:$G$101,MOD(41+$C18+(-2),$B$3)+1)*G18+INDEX(Symboles!$G$6:$G$101,MOD(41+$C18+(-1),$B$3)+1)*H18+INDEX(Symboles!$G$6:$G$101,MOD(41+$C18+(0),$B$3)+1)*I18+INDEX(Symboles!$G$6:$G$101,MOD(41+$C18+(1),$B$3)+1)*J18+INDEX(Symboles!$G$6:$G$101,MOD(41+$C18+(2),$B$3)+1)*K18+INDEX(Symboles!$G$6:$G$101,MOD(41+$C18+(3),$B$3)+1)*L18+INDEX(Symboles!$G$6:$G$101,MOD(41+$C18+(4),$B$3)+1)*M18+IF($B$6=0,0,$B$6*NORMSINV(0.000001+0.999998*RAND())))</f>
        <v/>
      </c>
      <c r="BF18" s="30">
        <f>IF(43&gt;$B$3,99,INDEX(Symboles!$G$6:$G$101,MOD(42+$C18+(-4),$B$3)+1)*E18+INDEX(Symboles!$G$6:$G$101,MOD(42+$C18+(-3),$B$3)+1)*F18+INDEX(Symboles!$G$6:$G$101,MOD(42+$C18+(-2),$B$3)+1)*G18+INDEX(Symboles!$G$6:$G$101,MOD(42+$C18+(-1),$B$3)+1)*H18+INDEX(Symboles!$G$6:$G$101,MOD(42+$C18+(0),$B$3)+1)*I18+INDEX(Symboles!$G$6:$G$101,MOD(42+$C18+(1),$B$3)+1)*J18+INDEX(Symboles!$G$6:$G$101,MOD(42+$C18+(2),$B$3)+1)*K18+INDEX(Symboles!$G$6:$G$101,MOD(42+$C18+(3),$B$3)+1)*L18+INDEX(Symboles!$G$6:$G$101,MOD(42+$C18+(4),$B$3)+1)*M18+IF($B$6=0,0,$B$6*NORMSINV(0.000001+0.999998*RAND())))</f>
        <v/>
      </c>
      <c r="BG18" s="30">
        <f>IF(44&gt;$B$3,99,INDEX(Symboles!$G$6:$G$101,MOD(43+$C18+(-4),$B$3)+1)*E18+INDEX(Symboles!$G$6:$G$101,MOD(43+$C18+(-3),$B$3)+1)*F18+INDEX(Symboles!$G$6:$G$101,MOD(43+$C18+(-2),$B$3)+1)*G18+INDEX(Symboles!$G$6:$G$101,MOD(43+$C18+(-1),$B$3)+1)*H18+INDEX(Symboles!$G$6:$G$101,MOD(43+$C18+(0),$B$3)+1)*I18+INDEX(Symboles!$G$6:$G$101,MOD(43+$C18+(1),$B$3)+1)*J18+INDEX(Symboles!$G$6:$G$101,MOD(43+$C18+(2),$B$3)+1)*K18+INDEX(Symboles!$G$6:$G$101,MOD(43+$C18+(3),$B$3)+1)*L18+INDEX(Symboles!$G$6:$G$101,MOD(43+$C18+(4),$B$3)+1)*M18+IF($B$6=0,0,$B$6*NORMSINV(0.000001+0.999998*RAND())))</f>
        <v/>
      </c>
      <c r="BH18" s="30">
        <f>IF(45&gt;$B$3,99,INDEX(Symboles!$G$6:$G$101,MOD(44+$C18+(-4),$B$3)+1)*E18+INDEX(Symboles!$G$6:$G$101,MOD(44+$C18+(-3),$B$3)+1)*F18+INDEX(Symboles!$G$6:$G$101,MOD(44+$C18+(-2),$B$3)+1)*G18+INDEX(Symboles!$G$6:$G$101,MOD(44+$C18+(-1),$B$3)+1)*H18+INDEX(Symboles!$G$6:$G$101,MOD(44+$C18+(0),$B$3)+1)*I18+INDEX(Symboles!$G$6:$G$101,MOD(44+$C18+(1),$B$3)+1)*J18+INDEX(Symboles!$G$6:$G$101,MOD(44+$C18+(2),$B$3)+1)*K18+INDEX(Symboles!$G$6:$G$101,MOD(44+$C18+(3),$B$3)+1)*L18+INDEX(Symboles!$G$6:$G$101,MOD(44+$C18+(4),$B$3)+1)*M18+IF($B$6=0,0,$B$6*NORMSINV(0.000001+0.999998*RAND())))</f>
        <v/>
      </c>
      <c r="BI18" s="30">
        <f>IF(46&gt;$B$3,99,INDEX(Symboles!$G$6:$G$101,MOD(45+$C18+(-4),$B$3)+1)*E18+INDEX(Symboles!$G$6:$G$101,MOD(45+$C18+(-3),$B$3)+1)*F18+INDEX(Symboles!$G$6:$G$101,MOD(45+$C18+(-2),$B$3)+1)*G18+INDEX(Symboles!$G$6:$G$101,MOD(45+$C18+(-1),$B$3)+1)*H18+INDEX(Symboles!$G$6:$G$101,MOD(45+$C18+(0),$B$3)+1)*I18+INDEX(Symboles!$G$6:$G$101,MOD(45+$C18+(1),$B$3)+1)*J18+INDEX(Symboles!$G$6:$G$101,MOD(45+$C18+(2),$B$3)+1)*K18+INDEX(Symboles!$G$6:$G$101,MOD(45+$C18+(3),$B$3)+1)*L18+INDEX(Symboles!$G$6:$G$101,MOD(45+$C18+(4),$B$3)+1)*M18+IF($B$6=0,0,$B$6*NORMSINV(0.000001+0.999998*RAND())))</f>
        <v/>
      </c>
      <c r="BJ18" s="30">
        <f>IF(47&gt;$B$3,99,INDEX(Symboles!$G$6:$G$101,MOD(46+$C18+(-4),$B$3)+1)*E18+INDEX(Symboles!$G$6:$G$101,MOD(46+$C18+(-3),$B$3)+1)*F18+INDEX(Symboles!$G$6:$G$101,MOD(46+$C18+(-2),$B$3)+1)*G18+INDEX(Symboles!$G$6:$G$101,MOD(46+$C18+(-1),$B$3)+1)*H18+INDEX(Symboles!$G$6:$G$101,MOD(46+$C18+(0),$B$3)+1)*I18+INDEX(Symboles!$G$6:$G$101,MOD(46+$C18+(1),$B$3)+1)*J18+INDEX(Symboles!$G$6:$G$101,MOD(46+$C18+(2),$B$3)+1)*K18+INDEX(Symboles!$G$6:$G$101,MOD(46+$C18+(3),$B$3)+1)*L18+INDEX(Symboles!$G$6:$G$101,MOD(46+$C18+(4),$B$3)+1)*M18+IF($B$6=0,0,$B$6*NORMSINV(0.000001+0.999998*RAND())))</f>
        <v/>
      </c>
      <c r="BK18" s="30">
        <f>IF(48&gt;$B$3,99,INDEX(Symboles!$G$6:$G$101,MOD(47+$C18+(-4),$B$3)+1)*E18+INDEX(Symboles!$G$6:$G$101,MOD(47+$C18+(-3),$B$3)+1)*F18+INDEX(Symboles!$G$6:$G$101,MOD(47+$C18+(-2),$B$3)+1)*G18+INDEX(Symboles!$G$6:$G$101,MOD(47+$C18+(-1),$B$3)+1)*H18+INDEX(Symboles!$G$6:$G$101,MOD(47+$C18+(0),$B$3)+1)*I18+INDEX(Symboles!$G$6:$G$101,MOD(47+$C18+(1),$B$3)+1)*J18+INDEX(Symboles!$G$6:$G$101,MOD(47+$C18+(2),$B$3)+1)*K18+INDEX(Symboles!$G$6:$G$101,MOD(47+$C18+(3),$B$3)+1)*L18+INDEX(Symboles!$G$6:$G$101,MOD(47+$C18+(4),$B$3)+1)*M18+IF($B$6=0,0,$B$6*NORMSINV(0.000001+0.999998*RAND())))</f>
        <v/>
      </c>
      <c r="BL18" s="30">
        <f>IF(49&gt;$B$3,99,INDEX(Symboles!$G$6:$G$101,MOD(48+$C18+(-4),$B$3)+1)*E18+INDEX(Symboles!$G$6:$G$101,MOD(48+$C18+(-3),$B$3)+1)*F18+INDEX(Symboles!$G$6:$G$101,MOD(48+$C18+(-2),$B$3)+1)*G18+INDEX(Symboles!$G$6:$G$101,MOD(48+$C18+(-1),$B$3)+1)*H18+INDEX(Symboles!$G$6:$G$101,MOD(48+$C18+(0),$B$3)+1)*I18+INDEX(Symboles!$G$6:$G$101,MOD(48+$C18+(1),$B$3)+1)*J18+INDEX(Symboles!$G$6:$G$101,MOD(48+$C18+(2),$B$3)+1)*K18+INDEX(Symboles!$G$6:$G$101,MOD(48+$C18+(3),$B$3)+1)*L18+INDEX(Symboles!$G$6:$G$101,MOD(48+$C18+(4),$B$3)+1)*M18+IF($B$6=0,0,$B$6*NORMSINV(0.000001+0.999998*RAND())))</f>
        <v/>
      </c>
      <c r="BM18" s="30">
        <f>IF(50&gt;$B$3,99,INDEX(Symboles!$G$6:$G$101,MOD(49+$C18+(-4),$B$3)+1)*E18+INDEX(Symboles!$G$6:$G$101,MOD(49+$C18+(-3),$B$3)+1)*F18+INDEX(Symboles!$G$6:$G$101,MOD(49+$C18+(-2),$B$3)+1)*G18+INDEX(Symboles!$G$6:$G$101,MOD(49+$C18+(-1),$B$3)+1)*H18+INDEX(Symboles!$G$6:$G$101,MOD(49+$C18+(0),$B$3)+1)*I18+INDEX(Symboles!$G$6:$G$101,MOD(49+$C18+(1),$B$3)+1)*J18+INDEX(Symboles!$G$6:$G$101,MOD(49+$C18+(2),$B$3)+1)*K18+INDEX(Symboles!$G$6:$G$101,MOD(49+$C18+(3),$B$3)+1)*L18+INDEX(Symboles!$G$6:$G$101,MOD(49+$C18+(4),$B$3)+1)*M18+IF($B$6=0,0,$B$6*NORMSINV(0.000001+0.999998*RAND())))</f>
        <v/>
      </c>
      <c r="BN18" s="30">
        <f>IF(51&gt;$B$3,99,INDEX(Symboles!$G$6:$G$101,MOD(50+$C18+(-4),$B$3)+1)*E18+INDEX(Symboles!$G$6:$G$101,MOD(50+$C18+(-3),$B$3)+1)*F18+INDEX(Symboles!$G$6:$G$101,MOD(50+$C18+(-2),$B$3)+1)*G18+INDEX(Symboles!$G$6:$G$101,MOD(50+$C18+(-1),$B$3)+1)*H18+INDEX(Symboles!$G$6:$G$101,MOD(50+$C18+(0),$B$3)+1)*I18+INDEX(Symboles!$G$6:$G$101,MOD(50+$C18+(1),$B$3)+1)*J18+INDEX(Symboles!$G$6:$G$101,MOD(50+$C18+(2),$B$3)+1)*K18+INDEX(Symboles!$G$6:$G$101,MOD(50+$C18+(3),$B$3)+1)*L18+INDEX(Symboles!$G$6:$G$101,MOD(50+$C18+(4),$B$3)+1)*M18+IF($B$6=0,0,$B$6*NORMSINV(0.000001+0.999998*RAND())))</f>
        <v/>
      </c>
      <c r="BO18" s="30">
        <f>IF(52&gt;$B$3,99,INDEX(Symboles!$G$6:$G$101,MOD(51+$C18+(-4),$B$3)+1)*E18+INDEX(Symboles!$G$6:$G$101,MOD(51+$C18+(-3),$B$3)+1)*F18+INDEX(Symboles!$G$6:$G$101,MOD(51+$C18+(-2),$B$3)+1)*G18+INDEX(Symboles!$G$6:$G$101,MOD(51+$C18+(-1),$B$3)+1)*H18+INDEX(Symboles!$G$6:$G$101,MOD(51+$C18+(0),$B$3)+1)*I18+INDEX(Symboles!$G$6:$G$101,MOD(51+$C18+(1),$B$3)+1)*J18+INDEX(Symboles!$G$6:$G$101,MOD(51+$C18+(2),$B$3)+1)*K18+INDEX(Symboles!$G$6:$G$101,MOD(51+$C18+(3),$B$3)+1)*L18+INDEX(Symboles!$G$6:$G$101,MOD(51+$C18+(4),$B$3)+1)*M18+IF($B$6=0,0,$B$6*NORMSINV(0.000001+0.999998*RAND())))</f>
        <v/>
      </c>
      <c r="BP18" s="30">
        <f>IF(53&gt;$B$3,99,INDEX(Symboles!$G$6:$G$101,MOD(52+$C18+(-4),$B$3)+1)*E18+INDEX(Symboles!$G$6:$G$101,MOD(52+$C18+(-3),$B$3)+1)*F18+INDEX(Symboles!$G$6:$G$101,MOD(52+$C18+(-2),$B$3)+1)*G18+INDEX(Symboles!$G$6:$G$101,MOD(52+$C18+(-1),$B$3)+1)*H18+INDEX(Symboles!$G$6:$G$101,MOD(52+$C18+(0),$B$3)+1)*I18+INDEX(Symboles!$G$6:$G$101,MOD(52+$C18+(1),$B$3)+1)*J18+INDEX(Symboles!$G$6:$G$101,MOD(52+$C18+(2),$B$3)+1)*K18+INDEX(Symboles!$G$6:$G$101,MOD(52+$C18+(3),$B$3)+1)*L18+INDEX(Symboles!$G$6:$G$101,MOD(52+$C18+(4),$B$3)+1)*M18+IF($B$6=0,0,$B$6*NORMSINV(0.000001+0.999998*RAND())))</f>
        <v/>
      </c>
      <c r="BQ18" s="30">
        <f>IF(54&gt;$B$3,99,INDEX(Symboles!$G$6:$G$101,MOD(53+$C18+(-4),$B$3)+1)*E18+INDEX(Symboles!$G$6:$G$101,MOD(53+$C18+(-3),$B$3)+1)*F18+INDEX(Symboles!$G$6:$G$101,MOD(53+$C18+(-2),$B$3)+1)*G18+INDEX(Symboles!$G$6:$G$101,MOD(53+$C18+(-1),$B$3)+1)*H18+INDEX(Symboles!$G$6:$G$101,MOD(53+$C18+(0),$B$3)+1)*I18+INDEX(Symboles!$G$6:$G$101,MOD(53+$C18+(1),$B$3)+1)*J18+INDEX(Symboles!$G$6:$G$101,MOD(53+$C18+(2),$B$3)+1)*K18+INDEX(Symboles!$G$6:$G$101,MOD(53+$C18+(3),$B$3)+1)*L18+INDEX(Symboles!$G$6:$G$101,MOD(53+$C18+(4),$B$3)+1)*M18+IF($B$6=0,0,$B$6*NORMSINV(0.000001+0.999998*RAND())))</f>
        <v/>
      </c>
      <c r="BR18" s="30">
        <f>IF(55&gt;$B$3,99,INDEX(Symboles!$G$6:$G$101,MOD(54+$C18+(-4),$B$3)+1)*E18+INDEX(Symboles!$G$6:$G$101,MOD(54+$C18+(-3),$B$3)+1)*F18+INDEX(Symboles!$G$6:$G$101,MOD(54+$C18+(-2),$B$3)+1)*G18+INDEX(Symboles!$G$6:$G$101,MOD(54+$C18+(-1),$B$3)+1)*H18+INDEX(Symboles!$G$6:$G$101,MOD(54+$C18+(0),$B$3)+1)*I18+INDEX(Symboles!$G$6:$G$101,MOD(54+$C18+(1),$B$3)+1)*J18+INDEX(Symboles!$G$6:$G$101,MOD(54+$C18+(2),$B$3)+1)*K18+INDEX(Symboles!$G$6:$G$101,MOD(54+$C18+(3),$B$3)+1)*L18+INDEX(Symboles!$G$6:$G$101,MOD(54+$C18+(4),$B$3)+1)*M18+IF($B$6=0,0,$B$6*NORMSINV(0.000001+0.999998*RAND())))</f>
        <v/>
      </c>
      <c r="BS18" s="30">
        <f>IF(56&gt;$B$3,99,INDEX(Symboles!$G$6:$G$101,MOD(55+$C18+(-4),$B$3)+1)*E18+INDEX(Symboles!$G$6:$G$101,MOD(55+$C18+(-3),$B$3)+1)*F18+INDEX(Symboles!$G$6:$G$101,MOD(55+$C18+(-2),$B$3)+1)*G18+INDEX(Symboles!$G$6:$G$101,MOD(55+$C18+(-1),$B$3)+1)*H18+INDEX(Symboles!$G$6:$G$101,MOD(55+$C18+(0),$B$3)+1)*I18+INDEX(Symboles!$G$6:$G$101,MOD(55+$C18+(1),$B$3)+1)*J18+INDEX(Symboles!$G$6:$G$101,MOD(55+$C18+(2),$B$3)+1)*K18+INDEX(Symboles!$G$6:$G$101,MOD(55+$C18+(3),$B$3)+1)*L18+INDEX(Symboles!$G$6:$G$101,MOD(55+$C18+(4),$B$3)+1)*M18+IF($B$6=0,0,$B$6*NORMSINV(0.000001+0.999998*RAND())))</f>
        <v/>
      </c>
      <c r="BT18" s="30">
        <f>IF(57&gt;$B$3,99,INDEX(Symboles!$G$6:$G$101,MOD(56+$C18+(-4),$B$3)+1)*E18+INDEX(Symboles!$G$6:$G$101,MOD(56+$C18+(-3),$B$3)+1)*F18+INDEX(Symboles!$G$6:$G$101,MOD(56+$C18+(-2),$B$3)+1)*G18+INDEX(Symboles!$G$6:$G$101,MOD(56+$C18+(-1),$B$3)+1)*H18+INDEX(Symboles!$G$6:$G$101,MOD(56+$C18+(0),$B$3)+1)*I18+INDEX(Symboles!$G$6:$G$101,MOD(56+$C18+(1),$B$3)+1)*J18+INDEX(Symboles!$G$6:$G$101,MOD(56+$C18+(2),$B$3)+1)*K18+INDEX(Symboles!$G$6:$G$101,MOD(56+$C18+(3),$B$3)+1)*L18+INDEX(Symboles!$G$6:$G$101,MOD(56+$C18+(4),$B$3)+1)*M18+IF($B$6=0,0,$B$6*NORMSINV(0.000001+0.999998*RAND())))</f>
        <v/>
      </c>
      <c r="BU18" s="30">
        <f>IF(58&gt;$B$3,99,INDEX(Symboles!$G$6:$G$101,MOD(57+$C18+(-4),$B$3)+1)*E18+INDEX(Symboles!$G$6:$G$101,MOD(57+$C18+(-3),$B$3)+1)*F18+INDEX(Symboles!$G$6:$G$101,MOD(57+$C18+(-2),$B$3)+1)*G18+INDEX(Symboles!$G$6:$G$101,MOD(57+$C18+(-1),$B$3)+1)*H18+INDEX(Symboles!$G$6:$G$101,MOD(57+$C18+(0),$B$3)+1)*I18+INDEX(Symboles!$G$6:$G$101,MOD(57+$C18+(1),$B$3)+1)*J18+INDEX(Symboles!$G$6:$G$101,MOD(57+$C18+(2),$B$3)+1)*K18+INDEX(Symboles!$G$6:$G$101,MOD(57+$C18+(3),$B$3)+1)*L18+INDEX(Symboles!$G$6:$G$101,MOD(57+$C18+(4),$B$3)+1)*M18+IF($B$6=0,0,$B$6*NORMSINV(0.000001+0.999998*RAND())))</f>
        <v/>
      </c>
      <c r="BV18" s="30">
        <f>IF(59&gt;$B$3,99,INDEX(Symboles!$G$6:$G$101,MOD(58+$C18+(-4),$B$3)+1)*E18+INDEX(Symboles!$G$6:$G$101,MOD(58+$C18+(-3),$B$3)+1)*F18+INDEX(Symboles!$G$6:$G$101,MOD(58+$C18+(-2),$B$3)+1)*G18+INDEX(Symboles!$G$6:$G$101,MOD(58+$C18+(-1),$B$3)+1)*H18+INDEX(Symboles!$G$6:$G$101,MOD(58+$C18+(0),$B$3)+1)*I18+INDEX(Symboles!$G$6:$G$101,MOD(58+$C18+(1),$B$3)+1)*J18+INDEX(Symboles!$G$6:$G$101,MOD(58+$C18+(2),$B$3)+1)*K18+INDEX(Symboles!$G$6:$G$101,MOD(58+$C18+(3),$B$3)+1)*L18+INDEX(Symboles!$G$6:$G$101,MOD(58+$C18+(4),$B$3)+1)*M18+IF($B$6=0,0,$B$6*NORMSINV(0.000001+0.999998*RAND())))</f>
        <v/>
      </c>
      <c r="BW18" s="30">
        <f>IF(60&gt;$B$3,99,INDEX(Symboles!$G$6:$G$101,MOD(59+$C18+(-4),$B$3)+1)*E18+INDEX(Symboles!$G$6:$G$101,MOD(59+$C18+(-3),$B$3)+1)*F18+INDEX(Symboles!$G$6:$G$101,MOD(59+$C18+(-2),$B$3)+1)*G18+INDEX(Symboles!$G$6:$G$101,MOD(59+$C18+(-1),$B$3)+1)*H18+INDEX(Symboles!$G$6:$G$101,MOD(59+$C18+(0),$B$3)+1)*I18+INDEX(Symboles!$G$6:$G$101,MOD(59+$C18+(1),$B$3)+1)*J18+INDEX(Symboles!$G$6:$G$101,MOD(59+$C18+(2),$B$3)+1)*K18+INDEX(Symboles!$G$6:$G$101,MOD(59+$C18+(3),$B$3)+1)*L18+INDEX(Symboles!$G$6:$G$101,MOD(59+$C18+(4),$B$3)+1)*M18+IF($B$6=0,0,$B$6*NORMSINV(0.000001+0.999998*RAND())))</f>
        <v/>
      </c>
      <c r="BX18" s="30">
        <f>IF(61&gt;$B$3,99,INDEX(Symboles!$G$6:$G$101,MOD(60+$C18+(-4),$B$3)+1)*E18+INDEX(Symboles!$G$6:$G$101,MOD(60+$C18+(-3),$B$3)+1)*F18+INDEX(Symboles!$G$6:$G$101,MOD(60+$C18+(-2),$B$3)+1)*G18+INDEX(Symboles!$G$6:$G$101,MOD(60+$C18+(-1),$B$3)+1)*H18+INDEX(Symboles!$G$6:$G$101,MOD(60+$C18+(0),$B$3)+1)*I18+INDEX(Symboles!$G$6:$G$101,MOD(60+$C18+(1),$B$3)+1)*J18+INDEX(Symboles!$G$6:$G$101,MOD(60+$C18+(2),$B$3)+1)*K18+INDEX(Symboles!$G$6:$G$101,MOD(60+$C18+(3),$B$3)+1)*L18+INDEX(Symboles!$G$6:$G$101,MOD(60+$C18+(4),$B$3)+1)*M18+IF($B$6=0,0,$B$6*NORMSINV(0.000001+0.999998*RAND())))</f>
        <v/>
      </c>
      <c r="BY18" s="30">
        <f>IF(62&gt;$B$3,99,INDEX(Symboles!$G$6:$G$101,MOD(61+$C18+(-4),$B$3)+1)*E18+INDEX(Symboles!$G$6:$G$101,MOD(61+$C18+(-3),$B$3)+1)*F18+INDEX(Symboles!$G$6:$G$101,MOD(61+$C18+(-2),$B$3)+1)*G18+INDEX(Symboles!$G$6:$G$101,MOD(61+$C18+(-1),$B$3)+1)*H18+INDEX(Symboles!$G$6:$G$101,MOD(61+$C18+(0),$B$3)+1)*I18+INDEX(Symboles!$G$6:$G$101,MOD(61+$C18+(1),$B$3)+1)*J18+INDEX(Symboles!$G$6:$G$101,MOD(61+$C18+(2),$B$3)+1)*K18+INDEX(Symboles!$G$6:$G$101,MOD(61+$C18+(3),$B$3)+1)*L18+INDEX(Symboles!$G$6:$G$101,MOD(61+$C18+(4),$B$3)+1)*M18+IF($B$6=0,0,$B$6*NORMSINV(0.000001+0.999998*RAND())))</f>
        <v/>
      </c>
      <c r="BZ18" s="30">
        <f>IF(63&gt;$B$3,99,INDEX(Symboles!$G$6:$G$101,MOD(62+$C18+(-4),$B$3)+1)*E18+INDEX(Symboles!$G$6:$G$101,MOD(62+$C18+(-3),$B$3)+1)*F18+INDEX(Symboles!$G$6:$G$101,MOD(62+$C18+(-2),$B$3)+1)*G18+INDEX(Symboles!$G$6:$G$101,MOD(62+$C18+(-1),$B$3)+1)*H18+INDEX(Symboles!$G$6:$G$101,MOD(62+$C18+(0),$B$3)+1)*I18+INDEX(Symboles!$G$6:$G$101,MOD(62+$C18+(1),$B$3)+1)*J18+INDEX(Symboles!$G$6:$G$101,MOD(62+$C18+(2),$B$3)+1)*K18+INDEX(Symboles!$G$6:$G$101,MOD(62+$C18+(3),$B$3)+1)*L18+INDEX(Symboles!$G$6:$G$101,MOD(62+$C18+(4),$B$3)+1)*M18+IF($B$6=0,0,$B$6*NORMSINV(0.000001+0.999998*RAND())))</f>
        <v/>
      </c>
      <c r="CA18" s="30">
        <f>IF(64&gt;$B$3,99,INDEX(Symboles!$G$6:$G$101,MOD(63+$C18+(-4),$B$3)+1)*E18+INDEX(Symboles!$G$6:$G$101,MOD(63+$C18+(-3),$B$3)+1)*F18+INDEX(Symboles!$G$6:$G$101,MOD(63+$C18+(-2),$B$3)+1)*G18+INDEX(Symboles!$G$6:$G$101,MOD(63+$C18+(-1),$B$3)+1)*H18+INDEX(Symboles!$G$6:$G$101,MOD(63+$C18+(0),$B$3)+1)*I18+INDEX(Symboles!$G$6:$G$101,MOD(63+$C18+(1),$B$3)+1)*J18+INDEX(Symboles!$G$6:$G$101,MOD(63+$C18+(2),$B$3)+1)*K18+INDEX(Symboles!$G$6:$G$101,MOD(63+$C18+(3),$B$3)+1)*L18+INDEX(Symboles!$G$6:$G$101,MOD(63+$C18+(4),$B$3)+1)*M18+IF($B$6=0,0,$B$6*NORMSINV(0.000001+0.999998*RAND())))</f>
        <v/>
      </c>
      <c r="CB18" s="30">
        <f>IF(65&gt;$B$3,99,INDEX(Symboles!$G$6:$G$101,MOD(64+$C18+(-4),$B$3)+1)*E18+INDEX(Symboles!$G$6:$G$101,MOD(64+$C18+(-3),$B$3)+1)*F18+INDEX(Symboles!$G$6:$G$101,MOD(64+$C18+(-2),$B$3)+1)*G18+INDEX(Symboles!$G$6:$G$101,MOD(64+$C18+(-1),$B$3)+1)*H18+INDEX(Symboles!$G$6:$G$101,MOD(64+$C18+(0),$B$3)+1)*I18+INDEX(Symboles!$G$6:$G$101,MOD(64+$C18+(1),$B$3)+1)*J18+INDEX(Symboles!$G$6:$G$101,MOD(64+$C18+(2),$B$3)+1)*K18+INDEX(Symboles!$G$6:$G$101,MOD(64+$C18+(3),$B$3)+1)*L18+INDEX(Symboles!$G$6:$G$101,MOD(64+$C18+(4),$B$3)+1)*M18+IF($B$6=0,0,$B$6*NORMSINV(0.000001+0.999998*RAND())))</f>
        <v/>
      </c>
      <c r="CC18" s="30">
        <f>IF(66&gt;$B$3,99,INDEX(Symboles!$G$6:$G$101,MOD(65+$C18+(-4),$B$3)+1)*E18+INDEX(Symboles!$G$6:$G$101,MOD(65+$C18+(-3),$B$3)+1)*F18+INDEX(Symboles!$G$6:$G$101,MOD(65+$C18+(-2),$B$3)+1)*G18+INDEX(Symboles!$G$6:$G$101,MOD(65+$C18+(-1),$B$3)+1)*H18+INDEX(Symboles!$G$6:$G$101,MOD(65+$C18+(0),$B$3)+1)*I18+INDEX(Symboles!$G$6:$G$101,MOD(65+$C18+(1),$B$3)+1)*J18+INDEX(Symboles!$G$6:$G$101,MOD(65+$C18+(2),$B$3)+1)*K18+INDEX(Symboles!$G$6:$G$101,MOD(65+$C18+(3),$B$3)+1)*L18+INDEX(Symboles!$G$6:$G$101,MOD(65+$C18+(4),$B$3)+1)*M18+IF($B$6=0,0,$B$6*NORMSINV(0.000001+0.999998*RAND())))</f>
        <v/>
      </c>
      <c r="CD18" s="30">
        <f>IF(67&gt;$B$3,99,INDEX(Symboles!$G$6:$G$101,MOD(66+$C18+(-4),$B$3)+1)*E18+INDEX(Symboles!$G$6:$G$101,MOD(66+$C18+(-3),$B$3)+1)*F18+INDEX(Symboles!$G$6:$G$101,MOD(66+$C18+(-2),$B$3)+1)*G18+INDEX(Symboles!$G$6:$G$101,MOD(66+$C18+(-1),$B$3)+1)*H18+INDEX(Symboles!$G$6:$G$101,MOD(66+$C18+(0),$B$3)+1)*I18+INDEX(Symboles!$G$6:$G$101,MOD(66+$C18+(1),$B$3)+1)*J18+INDEX(Symboles!$G$6:$G$101,MOD(66+$C18+(2),$B$3)+1)*K18+INDEX(Symboles!$G$6:$G$101,MOD(66+$C18+(3),$B$3)+1)*L18+INDEX(Symboles!$G$6:$G$101,MOD(66+$C18+(4),$B$3)+1)*M18+IF($B$6=0,0,$B$6*NORMSINV(0.000001+0.999998*RAND())))</f>
        <v/>
      </c>
      <c r="CE18" s="30">
        <f>IF(68&gt;$B$3,99,INDEX(Symboles!$G$6:$G$101,MOD(67+$C18+(-4),$B$3)+1)*E18+INDEX(Symboles!$G$6:$G$101,MOD(67+$C18+(-3),$B$3)+1)*F18+INDEX(Symboles!$G$6:$G$101,MOD(67+$C18+(-2),$B$3)+1)*G18+INDEX(Symboles!$G$6:$G$101,MOD(67+$C18+(-1),$B$3)+1)*H18+INDEX(Symboles!$G$6:$G$101,MOD(67+$C18+(0),$B$3)+1)*I18+INDEX(Symboles!$G$6:$G$101,MOD(67+$C18+(1),$B$3)+1)*J18+INDEX(Symboles!$G$6:$G$101,MOD(67+$C18+(2),$B$3)+1)*K18+INDEX(Symboles!$G$6:$G$101,MOD(67+$C18+(3),$B$3)+1)*L18+INDEX(Symboles!$G$6:$G$101,MOD(67+$C18+(4),$B$3)+1)*M18+IF($B$6=0,0,$B$6*NORMSINV(0.000001+0.999998*RAND())))</f>
        <v/>
      </c>
      <c r="CF18" s="30">
        <f>IF(69&gt;$B$3,99,INDEX(Symboles!$G$6:$G$101,MOD(68+$C18+(-4),$B$3)+1)*E18+INDEX(Symboles!$G$6:$G$101,MOD(68+$C18+(-3),$B$3)+1)*F18+INDEX(Symboles!$G$6:$G$101,MOD(68+$C18+(-2),$B$3)+1)*G18+INDEX(Symboles!$G$6:$G$101,MOD(68+$C18+(-1),$B$3)+1)*H18+INDEX(Symboles!$G$6:$G$101,MOD(68+$C18+(0),$B$3)+1)*I18+INDEX(Symboles!$G$6:$G$101,MOD(68+$C18+(1),$B$3)+1)*J18+INDEX(Symboles!$G$6:$G$101,MOD(68+$C18+(2),$B$3)+1)*K18+INDEX(Symboles!$G$6:$G$101,MOD(68+$C18+(3),$B$3)+1)*L18+INDEX(Symboles!$G$6:$G$101,MOD(68+$C18+(4),$B$3)+1)*M18+IF($B$6=0,0,$B$6*NORMSINV(0.000001+0.999998*RAND())))</f>
        <v/>
      </c>
      <c r="CG18" s="30">
        <f>IF(70&gt;$B$3,99,INDEX(Symboles!$G$6:$G$101,MOD(69+$C18+(-4),$B$3)+1)*E18+INDEX(Symboles!$G$6:$G$101,MOD(69+$C18+(-3),$B$3)+1)*F18+INDEX(Symboles!$G$6:$G$101,MOD(69+$C18+(-2),$B$3)+1)*G18+INDEX(Symboles!$G$6:$G$101,MOD(69+$C18+(-1),$B$3)+1)*H18+INDEX(Symboles!$G$6:$G$101,MOD(69+$C18+(0),$B$3)+1)*I18+INDEX(Symboles!$G$6:$G$101,MOD(69+$C18+(1),$B$3)+1)*J18+INDEX(Symboles!$G$6:$G$101,MOD(69+$C18+(2),$B$3)+1)*K18+INDEX(Symboles!$G$6:$G$101,MOD(69+$C18+(3),$B$3)+1)*L18+INDEX(Symboles!$G$6:$G$101,MOD(69+$C18+(4),$B$3)+1)*M18+IF($B$6=0,0,$B$6*NORMSINV(0.000001+0.999998*RAND())))</f>
        <v/>
      </c>
      <c r="CH18" s="30">
        <f>IF(71&gt;$B$3,99,INDEX(Symboles!$G$6:$G$101,MOD(70+$C18+(-4),$B$3)+1)*E18+INDEX(Symboles!$G$6:$G$101,MOD(70+$C18+(-3),$B$3)+1)*F18+INDEX(Symboles!$G$6:$G$101,MOD(70+$C18+(-2),$B$3)+1)*G18+INDEX(Symboles!$G$6:$G$101,MOD(70+$C18+(-1),$B$3)+1)*H18+INDEX(Symboles!$G$6:$G$101,MOD(70+$C18+(0),$B$3)+1)*I18+INDEX(Symboles!$G$6:$G$101,MOD(70+$C18+(1),$B$3)+1)*J18+INDEX(Symboles!$G$6:$G$101,MOD(70+$C18+(2),$B$3)+1)*K18+INDEX(Symboles!$G$6:$G$101,MOD(70+$C18+(3),$B$3)+1)*L18+INDEX(Symboles!$G$6:$G$101,MOD(70+$C18+(4),$B$3)+1)*M18+IF($B$6=0,0,$B$6*NORMSINV(0.000001+0.999998*RAND())))</f>
        <v/>
      </c>
      <c r="CI18" s="30">
        <f>IF(72&gt;$B$3,99,INDEX(Symboles!$G$6:$G$101,MOD(71+$C18+(-4),$B$3)+1)*E18+INDEX(Symboles!$G$6:$G$101,MOD(71+$C18+(-3),$B$3)+1)*F18+INDEX(Symboles!$G$6:$G$101,MOD(71+$C18+(-2),$B$3)+1)*G18+INDEX(Symboles!$G$6:$G$101,MOD(71+$C18+(-1),$B$3)+1)*H18+INDEX(Symboles!$G$6:$G$101,MOD(71+$C18+(0),$B$3)+1)*I18+INDEX(Symboles!$G$6:$G$101,MOD(71+$C18+(1),$B$3)+1)*J18+INDEX(Symboles!$G$6:$G$101,MOD(71+$C18+(2),$B$3)+1)*K18+INDEX(Symboles!$G$6:$G$101,MOD(71+$C18+(3),$B$3)+1)*L18+INDEX(Symboles!$G$6:$G$101,MOD(71+$C18+(4),$B$3)+1)*M18+IF($B$6=0,0,$B$6*NORMSINV(0.000001+0.999998*RAND())))</f>
        <v/>
      </c>
      <c r="CJ18" s="30">
        <f>IF(73&gt;$B$3,99,INDEX(Symboles!$G$6:$G$101,MOD(72+$C18+(-4),$B$3)+1)*E18+INDEX(Symboles!$G$6:$G$101,MOD(72+$C18+(-3),$B$3)+1)*F18+INDEX(Symboles!$G$6:$G$101,MOD(72+$C18+(-2),$B$3)+1)*G18+INDEX(Symboles!$G$6:$G$101,MOD(72+$C18+(-1),$B$3)+1)*H18+INDEX(Symboles!$G$6:$G$101,MOD(72+$C18+(0),$B$3)+1)*I18+INDEX(Symboles!$G$6:$G$101,MOD(72+$C18+(1),$B$3)+1)*J18+INDEX(Symboles!$G$6:$G$101,MOD(72+$C18+(2),$B$3)+1)*K18+INDEX(Symboles!$G$6:$G$101,MOD(72+$C18+(3),$B$3)+1)*L18+INDEX(Symboles!$G$6:$G$101,MOD(72+$C18+(4),$B$3)+1)*M18+IF($B$6=0,0,$B$6*NORMSINV(0.000001+0.999998*RAND())))</f>
        <v/>
      </c>
      <c r="CK18" s="30">
        <f>IF(74&gt;$B$3,99,INDEX(Symboles!$G$6:$G$101,MOD(73+$C18+(-4),$B$3)+1)*E18+INDEX(Symboles!$G$6:$G$101,MOD(73+$C18+(-3),$B$3)+1)*F18+INDEX(Symboles!$G$6:$G$101,MOD(73+$C18+(-2),$B$3)+1)*G18+INDEX(Symboles!$G$6:$G$101,MOD(73+$C18+(-1),$B$3)+1)*H18+INDEX(Symboles!$G$6:$G$101,MOD(73+$C18+(0),$B$3)+1)*I18+INDEX(Symboles!$G$6:$G$101,MOD(73+$C18+(1),$B$3)+1)*J18+INDEX(Symboles!$G$6:$G$101,MOD(73+$C18+(2),$B$3)+1)*K18+INDEX(Symboles!$G$6:$G$101,MOD(73+$C18+(3),$B$3)+1)*L18+INDEX(Symboles!$G$6:$G$101,MOD(73+$C18+(4),$B$3)+1)*M18+IF($B$6=0,0,$B$6*NORMSINV(0.000001+0.999998*RAND())))</f>
        <v/>
      </c>
      <c r="CL18" s="30">
        <f>IF(75&gt;$B$3,99,INDEX(Symboles!$G$6:$G$101,MOD(74+$C18+(-4),$B$3)+1)*E18+INDEX(Symboles!$G$6:$G$101,MOD(74+$C18+(-3),$B$3)+1)*F18+INDEX(Symboles!$G$6:$G$101,MOD(74+$C18+(-2),$B$3)+1)*G18+INDEX(Symboles!$G$6:$G$101,MOD(74+$C18+(-1),$B$3)+1)*H18+INDEX(Symboles!$G$6:$G$101,MOD(74+$C18+(0),$B$3)+1)*I18+INDEX(Symboles!$G$6:$G$101,MOD(74+$C18+(1),$B$3)+1)*J18+INDEX(Symboles!$G$6:$G$101,MOD(74+$C18+(2),$B$3)+1)*K18+INDEX(Symboles!$G$6:$G$101,MOD(74+$C18+(3),$B$3)+1)*L18+INDEX(Symboles!$G$6:$G$101,MOD(74+$C18+(4),$B$3)+1)*M18+IF($B$6=0,0,$B$6*NORMSINV(0.000001+0.999998*RAND())))</f>
        <v/>
      </c>
      <c r="CM18" s="30">
        <f>IF(76&gt;$B$3,99,INDEX(Symboles!$G$6:$G$101,MOD(75+$C18+(-4),$B$3)+1)*E18+INDEX(Symboles!$G$6:$G$101,MOD(75+$C18+(-3),$B$3)+1)*F18+INDEX(Symboles!$G$6:$G$101,MOD(75+$C18+(-2),$B$3)+1)*G18+INDEX(Symboles!$G$6:$G$101,MOD(75+$C18+(-1),$B$3)+1)*H18+INDEX(Symboles!$G$6:$G$101,MOD(75+$C18+(0),$B$3)+1)*I18+INDEX(Symboles!$G$6:$G$101,MOD(75+$C18+(1),$B$3)+1)*J18+INDEX(Symboles!$G$6:$G$101,MOD(75+$C18+(2),$B$3)+1)*K18+INDEX(Symboles!$G$6:$G$101,MOD(75+$C18+(3),$B$3)+1)*L18+INDEX(Symboles!$G$6:$G$101,MOD(75+$C18+(4),$B$3)+1)*M18+IF($B$6=0,0,$B$6*NORMSINV(0.000001+0.999998*RAND())))</f>
        <v/>
      </c>
      <c r="CN18" s="30">
        <f>IF(77&gt;$B$3,99,INDEX(Symboles!$G$6:$G$101,MOD(76+$C18+(-4),$B$3)+1)*E18+INDEX(Symboles!$G$6:$G$101,MOD(76+$C18+(-3),$B$3)+1)*F18+INDEX(Symboles!$G$6:$G$101,MOD(76+$C18+(-2),$B$3)+1)*G18+INDEX(Symboles!$G$6:$G$101,MOD(76+$C18+(-1),$B$3)+1)*H18+INDEX(Symboles!$G$6:$G$101,MOD(76+$C18+(0),$B$3)+1)*I18+INDEX(Symboles!$G$6:$G$101,MOD(76+$C18+(1),$B$3)+1)*J18+INDEX(Symboles!$G$6:$G$101,MOD(76+$C18+(2),$B$3)+1)*K18+INDEX(Symboles!$G$6:$G$101,MOD(76+$C18+(3),$B$3)+1)*L18+INDEX(Symboles!$G$6:$G$101,MOD(76+$C18+(4),$B$3)+1)*M18+IF($B$6=0,0,$B$6*NORMSINV(0.000001+0.999998*RAND())))</f>
        <v/>
      </c>
      <c r="CO18" s="30">
        <f>IF(78&gt;$B$3,99,INDEX(Symboles!$G$6:$G$101,MOD(77+$C18+(-4),$B$3)+1)*E18+INDEX(Symboles!$G$6:$G$101,MOD(77+$C18+(-3),$B$3)+1)*F18+INDEX(Symboles!$G$6:$G$101,MOD(77+$C18+(-2),$B$3)+1)*G18+INDEX(Symboles!$G$6:$G$101,MOD(77+$C18+(-1),$B$3)+1)*H18+INDEX(Symboles!$G$6:$G$101,MOD(77+$C18+(0),$B$3)+1)*I18+INDEX(Symboles!$G$6:$G$101,MOD(77+$C18+(1),$B$3)+1)*J18+INDEX(Symboles!$G$6:$G$101,MOD(77+$C18+(2),$B$3)+1)*K18+INDEX(Symboles!$G$6:$G$101,MOD(77+$C18+(3),$B$3)+1)*L18+INDEX(Symboles!$G$6:$G$101,MOD(77+$C18+(4),$B$3)+1)*M18+IF($B$6=0,0,$B$6*NORMSINV(0.000001+0.999998*RAND())))</f>
        <v/>
      </c>
      <c r="CP18" s="30">
        <f>IF(79&gt;$B$3,99,INDEX(Symboles!$G$6:$G$101,MOD(78+$C18+(-4),$B$3)+1)*E18+INDEX(Symboles!$G$6:$G$101,MOD(78+$C18+(-3),$B$3)+1)*F18+INDEX(Symboles!$G$6:$G$101,MOD(78+$C18+(-2),$B$3)+1)*G18+INDEX(Symboles!$G$6:$G$101,MOD(78+$C18+(-1),$B$3)+1)*H18+INDEX(Symboles!$G$6:$G$101,MOD(78+$C18+(0),$B$3)+1)*I18+INDEX(Symboles!$G$6:$G$101,MOD(78+$C18+(1),$B$3)+1)*J18+INDEX(Symboles!$G$6:$G$101,MOD(78+$C18+(2),$B$3)+1)*K18+INDEX(Symboles!$G$6:$G$101,MOD(78+$C18+(3),$B$3)+1)*L18+INDEX(Symboles!$G$6:$G$101,MOD(78+$C18+(4),$B$3)+1)*M18+IF($B$6=0,0,$B$6*NORMSINV(0.000001+0.999998*RAND())))</f>
        <v/>
      </c>
      <c r="CQ18" s="30">
        <f>IF(80&gt;$B$3,99,INDEX(Symboles!$G$6:$G$101,MOD(79+$C18+(-4),$B$3)+1)*E18+INDEX(Symboles!$G$6:$G$101,MOD(79+$C18+(-3),$B$3)+1)*F18+INDEX(Symboles!$G$6:$G$101,MOD(79+$C18+(-2),$B$3)+1)*G18+INDEX(Symboles!$G$6:$G$101,MOD(79+$C18+(-1),$B$3)+1)*H18+INDEX(Symboles!$G$6:$G$101,MOD(79+$C18+(0),$B$3)+1)*I18+INDEX(Symboles!$G$6:$G$101,MOD(79+$C18+(1),$B$3)+1)*J18+INDEX(Symboles!$G$6:$G$101,MOD(79+$C18+(2),$B$3)+1)*K18+INDEX(Symboles!$G$6:$G$101,MOD(79+$C18+(3),$B$3)+1)*L18+INDEX(Symboles!$G$6:$G$101,MOD(79+$C18+(4),$B$3)+1)*M18+IF($B$6=0,0,$B$6*NORMSINV(0.000001+0.999998*RAND())))</f>
        <v/>
      </c>
      <c r="CR18" s="30">
        <f>IF(81&gt;$B$3,99,INDEX(Symboles!$G$6:$G$101,MOD(80+$C18+(-4),$B$3)+1)*E18+INDEX(Symboles!$G$6:$G$101,MOD(80+$C18+(-3),$B$3)+1)*F18+INDEX(Symboles!$G$6:$G$101,MOD(80+$C18+(-2),$B$3)+1)*G18+INDEX(Symboles!$G$6:$G$101,MOD(80+$C18+(-1),$B$3)+1)*H18+INDEX(Symboles!$G$6:$G$101,MOD(80+$C18+(0),$B$3)+1)*I18+INDEX(Symboles!$G$6:$G$101,MOD(80+$C18+(1),$B$3)+1)*J18+INDEX(Symboles!$G$6:$G$101,MOD(80+$C18+(2),$B$3)+1)*K18+INDEX(Symboles!$G$6:$G$101,MOD(80+$C18+(3),$B$3)+1)*L18+INDEX(Symboles!$G$6:$G$101,MOD(80+$C18+(4),$B$3)+1)*M18+IF($B$6=0,0,$B$6*NORMSINV(0.000001+0.999998*RAND())))</f>
        <v/>
      </c>
      <c r="CS18" s="30">
        <f>IF(82&gt;$B$3,99,INDEX(Symboles!$G$6:$G$101,MOD(81+$C18+(-4),$B$3)+1)*E18+INDEX(Symboles!$G$6:$G$101,MOD(81+$C18+(-3),$B$3)+1)*F18+INDEX(Symboles!$G$6:$G$101,MOD(81+$C18+(-2),$B$3)+1)*G18+INDEX(Symboles!$G$6:$G$101,MOD(81+$C18+(-1),$B$3)+1)*H18+INDEX(Symboles!$G$6:$G$101,MOD(81+$C18+(0),$B$3)+1)*I18+INDEX(Symboles!$G$6:$G$101,MOD(81+$C18+(1),$B$3)+1)*J18+INDEX(Symboles!$G$6:$G$101,MOD(81+$C18+(2),$B$3)+1)*K18+INDEX(Symboles!$G$6:$G$101,MOD(81+$C18+(3),$B$3)+1)*L18+INDEX(Symboles!$G$6:$G$101,MOD(81+$C18+(4),$B$3)+1)*M18+IF($B$6=0,0,$B$6*NORMSINV(0.000001+0.999998*RAND())))</f>
        <v/>
      </c>
      <c r="CT18" s="30">
        <f>IF(83&gt;$B$3,99,INDEX(Symboles!$G$6:$G$101,MOD(82+$C18+(-4),$B$3)+1)*E18+INDEX(Symboles!$G$6:$G$101,MOD(82+$C18+(-3),$B$3)+1)*F18+INDEX(Symboles!$G$6:$G$101,MOD(82+$C18+(-2),$B$3)+1)*G18+INDEX(Symboles!$G$6:$G$101,MOD(82+$C18+(-1),$B$3)+1)*H18+INDEX(Symboles!$G$6:$G$101,MOD(82+$C18+(0),$B$3)+1)*I18+INDEX(Symboles!$G$6:$G$101,MOD(82+$C18+(1),$B$3)+1)*J18+INDEX(Symboles!$G$6:$G$101,MOD(82+$C18+(2),$B$3)+1)*K18+INDEX(Symboles!$G$6:$G$101,MOD(82+$C18+(3),$B$3)+1)*L18+INDEX(Symboles!$G$6:$G$101,MOD(82+$C18+(4),$B$3)+1)*M18+IF($B$6=0,0,$B$6*NORMSINV(0.000001+0.999998*RAND())))</f>
        <v/>
      </c>
      <c r="CU18" s="30">
        <f>IF(84&gt;$B$3,99,INDEX(Symboles!$G$6:$G$101,MOD(83+$C18+(-4),$B$3)+1)*E18+INDEX(Symboles!$G$6:$G$101,MOD(83+$C18+(-3),$B$3)+1)*F18+INDEX(Symboles!$G$6:$G$101,MOD(83+$C18+(-2),$B$3)+1)*G18+INDEX(Symboles!$G$6:$G$101,MOD(83+$C18+(-1),$B$3)+1)*H18+INDEX(Symboles!$G$6:$G$101,MOD(83+$C18+(0),$B$3)+1)*I18+INDEX(Symboles!$G$6:$G$101,MOD(83+$C18+(1),$B$3)+1)*J18+INDEX(Symboles!$G$6:$G$101,MOD(83+$C18+(2),$B$3)+1)*K18+INDEX(Symboles!$G$6:$G$101,MOD(83+$C18+(3),$B$3)+1)*L18+INDEX(Symboles!$G$6:$G$101,MOD(83+$C18+(4),$B$3)+1)*M18+IF($B$6=0,0,$B$6*NORMSINV(0.000001+0.999998*RAND())))</f>
        <v/>
      </c>
      <c r="CV18" s="30">
        <f>IF(85&gt;$B$3,99,INDEX(Symboles!$G$6:$G$101,MOD(84+$C18+(-4),$B$3)+1)*E18+INDEX(Symboles!$G$6:$G$101,MOD(84+$C18+(-3),$B$3)+1)*F18+INDEX(Symboles!$G$6:$G$101,MOD(84+$C18+(-2),$B$3)+1)*G18+INDEX(Symboles!$G$6:$G$101,MOD(84+$C18+(-1),$B$3)+1)*H18+INDEX(Symboles!$G$6:$G$101,MOD(84+$C18+(0),$B$3)+1)*I18+INDEX(Symboles!$G$6:$G$101,MOD(84+$C18+(1),$B$3)+1)*J18+INDEX(Symboles!$G$6:$G$101,MOD(84+$C18+(2),$B$3)+1)*K18+INDEX(Symboles!$G$6:$G$101,MOD(84+$C18+(3),$B$3)+1)*L18+INDEX(Symboles!$G$6:$G$101,MOD(84+$C18+(4),$B$3)+1)*M18+IF($B$6=0,0,$B$6*NORMSINV(0.000001+0.999998*RAND())))</f>
        <v/>
      </c>
      <c r="CW18" s="30">
        <f>IF(86&gt;$B$3,99,INDEX(Symboles!$G$6:$G$101,MOD(85+$C18+(-4),$B$3)+1)*E18+INDEX(Symboles!$G$6:$G$101,MOD(85+$C18+(-3),$B$3)+1)*F18+INDEX(Symboles!$G$6:$G$101,MOD(85+$C18+(-2),$B$3)+1)*G18+INDEX(Symboles!$G$6:$G$101,MOD(85+$C18+(-1),$B$3)+1)*H18+INDEX(Symboles!$G$6:$G$101,MOD(85+$C18+(0),$B$3)+1)*I18+INDEX(Symboles!$G$6:$G$101,MOD(85+$C18+(1),$B$3)+1)*J18+INDEX(Symboles!$G$6:$G$101,MOD(85+$C18+(2),$B$3)+1)*K18+INDEX(Symboles!$G$6:$G$101,MOD(85+$C18+(3),$B$3)+1)*L18+INDEX(Symboles!$G$6:$G$101,MOD(85+$C18+(4),$B$3)+1)*M18+IF($B$6=0,0,$B$6*NORMSINV(0.000001+0.999998*RAND())))</f>
        <v/>
      </c>
      <c r="CX18" s="30">
        <f>IF(87&gt;$B$3,99,INDEX(Symboles!$G$6:$G$101,MOD(86+$C18+(-4),$B$3)+1)*E18+INDEX(Symboles!$G$6:$G$101,MOD(86+$C18+(-3),$B$3)+1)*F18+INDEX(Symboles!$G$6:$G$101,MOD(86+$C18+(-2),$B$3)+1)*G18+INDEX(Symboles!$G$6:$G$101,MOD(86+$C18+(-1),$B$3)+1)*H18+INDEX(Symboles!$G$6:$G$101,MOD(86+$C18+(0),$B$3)+1)*I18+INDEX(Symboles!$G$6:$G$101,MOD(86+$C18+(1),$B$3)+1)*J18+INDEX(Symboles!$G$6:$G$101,MOD(86+$C18+(2),$B$3)+1)*K18+INDEX(Symboles!$G$6:$G$101,MOD(86+$C18+(3),$B$3)+1)*L18+INDEX(Symboles!$G$6:$G$101,MOD(86+$C18+(4),$B$3)+1)*M18+IF($B$6=0,0,$B$6*NORMSINV(0.000001+0.999998*RAND())))</f>
        <v/>
      </c>
      <c r="CY18" s="30">
        <f>IF(88&gt;$B$3,99,INDEX(Symboles!$G$6:$G$101,MOD(87+$C18+(-4),$B$3)+1)*E18+INDEX(Symboles!$G$6:$G$101,MOD(87+$C18+(-3),$B$3)+1)*F18+INDEX(Symboles!$G$6:$G$101,MOD(87+$C18+(-2),$B$3)+1)*G18+INDEX(Symboles!$G$6:$G$101,MOD(87+$C18+(-1),$B$3)+1)*H18+INDEX(Symboles!$G$6:$G$101,MOD(87+$C18+(0),$B$3)+1)*I18+INDEX(Symboles!$G$6:$G$101,MOD(87+$C18+(1),$B$3)+1)*J18+INDEX(Symboles!$G$6:$G$101,MOD(87+$C18+(2),$B$3)+1)*K18+INDEX(Symboles!$G$6:$G$101,MOD(87+$C18+(3),$B$3)+1)*L18+INDEX(Symboles!$G$6:$G$101,MOD(87+$C18+(4),$B$3)+1)*M18+IF($B$6=0,0,$B$6*NORMSINV(0.000001+0.999998*RAND())))</f>
        <v/>
      </c>
      <c r="CZ18" s="30">
        <f>IF(89&gt;$B$3,99,INDEX(Symboles!$G$6:$G$101,MOD(88+$C18+(-4),$B$3)+1)*E18+INDEX(Symboles!$G$6:$G$101,MOD(88+$C18+(-3),$B$3)+1)*F18+INDEX(Symboles!$G$6:$G$101,MOD(88+$C18+(-2),$B$3)+1)*G18+INDEX(Symboles!$G$6:$G$101,MOD(88+$C18+(-1),$B$3)+1)*H18+INDEX(Symboles!$G$6:$G$101,MOD(88+$C18+(0),$B$3)+1)*I18+INDEX(Symboles!$G$6:$G$101,MOD(88+$C18+(1),$B$3)+1)*J18+INDEX(Symboles!$G$6:$G$101,MOD(88+$C18+(2),$B$3)+1)*K18+INDEX(Symboles!$G$6:$G$101,MOD(88+$C18+(3),$B$3)+1)*L18+INDEX(Symboles!$G$6:$G$101,MOD(88+$C18+(4),$B$3)+1)*M18+IF($B$6=0,0,$B$6*NORMSINV(0.000001+0.999998*RAND())))</f>
        <v/>
      </c>
      <c r="DA18" s="30">
        <f>IF(90&gt;$B$3,99,INDEX(Symboles!$G$6:$G$101,MOD(89+$C18+(-4),$B$3)+1)*E18+INDEX(Symboles!$G$6:$G$101,MOD(89+$C18+(-3),$B$3)+1)*F18+INDEX(Symboles!$G$6:$G$101,MOD(89+$C18+(-2),$B$3)+1)*G18+INDEX(Symboles!$G$6:$G$101,MOD(89+$C18+(-1),$B$3)+1)*H18+INDEX(Symboles!$G$6:$G$101,MOD(89+$C18+(0),$B$3)+1)*I18+INDEX(Symboles!$G$6:$G$101,MOD(89+$C18+(1),$B$3)+1)*J18+INDEX(Symboles!$G$6:$G$101,MOD(89+$C18+(2),$B$3)+1)*K18+INDEX(Symboles!$G$6:$G$101,MOD(89+$C18+(3),$B$3)+1)*L18+INDEX(Symboles!$G$6:$G$101,MOD(89+$C18+(4),$B$3)+1)*M18+IF($B$6=0,0,$B$6*NORMSINV(0.000001+0.999998*RAND())))</f>
        <v/>
      </c>
      <c r="DB18" s="30">
        <f>IF(91&gt;$B$3,99,INDEX(Symboles!$G$6:$G$101,MOD(90+$C18+(-4),$B$3)+1)*E18+INDEX(Symboles!$G$6:$G$101,MOD(90+$C18+(-3),$B$3)+1)*F18+INDEX(Symboles!$G$6:$G$101,MOD(90+$C18+(-2),$B$3)+1)*G18+INDEX(Symboles!$G$6:$G$101,MOD(90+$C18+(-1),$B$3)+1)*H18+INDEX(Symboles!$G$6:$G$101,MOD(90+$C18+(0),$B$3)+1)*I18+INDEX(Symboles!$G$6:$G$101,MOD(90+$C18+(1),$B$3)+1)*J18+INDEX(Symboles!$G$6:$G$101,MOD(90+$C18+(2),$B$3)+1)*K18+INDEX(Symboles!$G$6:$G$101,MOD(90+$C18+(3),$B$3)+1)*L18+INDEX(Symboles!$G$6:$G$101,MOD(90+$C18+(4),$B$3)+1)*M18+IF($B$6=0,0,$B$6*NORMSINV(0.000001+0.999998*RAND())))</f>
        <v/>
      </c>
      <c r="DC18" s="30">
        <f>IF(92&gt;$B$3,99,INDEX(Symboles!$G$6:$G$101,MOD(91+$C18+(-4),$B$3)+1)*E18+INDEX(Symboles!$G$6:$G$101,MOD(91+$C18+(-3),$B$3)+1)*F18+INDEX(Symboles!$G$6:$G$101,MOD(91+$C18+(-2),$B$3)+1)*G18+INDEX(Symboles!$G$6:$G$101,MOD(91+$C18+(-1),$B$3)+1)*H18+INDEX(Symboles!$G$6:$G$101,MOD(91+$C18+(0),$B$3)+1)*I18+INDEX(Symboles!$G$6:$G$101,MOD(91+$C18+(1),$B$3)+1)*J18+INDEX(Symboles!$G$6:$G$101,MOD(91+$C18+(2),$B$3)+1)*K18+INDEX(Symboles!$G$6:$G$101,MOD(91+$C18+(3),$B$3)+1)*L18+INDEX(Symboles!$G$6:$G$101,MOD(91+$C18+(4),$B$3)+1)*M18+IF($B$6=0,0,$B$6*NORMSINV(0.000001+0.999998*RAND())))</f>
        <v/>
      </c>
      <c r="DD18" s="30">
        <f>IF(93&gt;$B$3,99,INDEX(Symboles!$G$6:$G$101,MOD(92+$C18+(-4),$B$3)+1)*E18+INDEX(Symboles!$G$6:$G$101,MOD(92+$C18+(-3),$B$3)+1)*F18+INDEX(Symboles!$G$6:$G$101,MOD(92+$C18+(-2),$B$3)+1)*G18+INDEX(Symboles!$G$6:$G$101,MOD(92+$C18+(-1),$B$3)+1)*H18+INDEX(Symboles!$G$6:$G$101,MOD(92+$C18+(0),$B$3)+1)*I18+INDEX(Symboles!$G$6:$G$101,MOD(92+$C18+(1),$B$3)+1)*J18+INDEX(Symboles!$G$6:$G$101,MOD(92+$C18+(2),$B$3)+1)*K18+INDEX(Symboles!$G$6:$G$101,MOD(92+$C18+(3),$B$3)+1)*L18+INDEX(Symboles!$G$6:$G$101,MOD(92+$C18+(4),$B$3)+1)*M18+IF($B$6=0,0,$B$6*NORMSINV(0.000001+0.999998*RAND())))</f>
        <v/>
      </c>
      <c r="DE18" s="30">
        <f>IF(94&gt;$B$3,99,INDEX(Symboles!$G$6:$G$101,MOD(93+$C18+(-4),$B$3)+1)*E18+INDEX(Symboles!$G$6:$G$101,MOD(93+$C18+(-3),$B$3)+1)*F18+INDEX(Symboles!$G$6:$G$101,MOD(93+$C18+(-2),$B$3)+1)*G18+INDEX(Symboles!$G$6:$G$101,MOD(93+$C18+(-1),$B$3)+1)*H18+INDEX(Symboles!$G$6:$G$101,MOD(93+$C18+(0),$B$3)+1)*I18+INDEX(Symboles!$G$6:$G$101,MOD(93+$C18+(1),$B$3)+1)*J18+INDEX(Symboles!$G$6:$G$101,MOD(93+$C18+(2),$B$3)+1)*K18+INDEX(Symboles!$G$6:$G$101,MOD(93+$C18+(3),$B$3)+1)*L18+INDEX(Symboles!$G$6:$G$101,MOD(93+$C18+(4),$B$3)+1)*M18+IF($B$6=0,0,$B$6*NORMSINV(0.000001+0.999998*RAND())))</f>
        <v/>
      </c>
      <c r="DF18" s="30">
        <f>IF(95&gt;$B$3,99,INDEX(Symboles!$G$6:$G$101,MOD(94+$C18+(-4),$B$3)+1)*E18+INDEX(Symboles!$G$6:$G$101,MOD(94+$C18+(-3),$B$3)+1)*F18+INDEX(Symboles!$G$6:$G$101,MOD(94+$C18+(-2),$B$3)+1)*G18+INDEX(Symboles!$G$6:$G$101,MOD(94+$C18+(-1),$B$3)+1)*H18+INDEX(Symboles!$G$6:$G$101,MOD(94+$C18+(0),$B$3)+1)*I18+INDEX(Symboles!$G$6:$G$101,MOD(94+$C18+(1),$B$3)+1)*J18+INDEX(Symboles!$G$6:$G$101,MOD(94+$C18+(2),$B$3)+1)*K18+INDEX(Symboles!$G$6:$G$101,MOD(94+$C18+(3),$B$3)+1)*L18+INDEX(Symboles!$G$6:$G$101,MOD(94+$C18+(4),$B$3)+1)*M18+IF($B$6=0,0,$B$6*NORMSINV(0.000001+0.999998*RAND())))</f>
        <v/>
      </c>
      <c r="DG18" s="30">
        <f>IF(96&gt;$B$3,99,INDEX(Symboles!$G$6:$G$101,MOD(95+$C18+(-4),$B$3)+1)*E18+INDEX(Symboles!$G$6:$G$101,MOD(95+$C18+(-3),$B$3)+1)*F18+INDEX(Symboles!$G$6:$G$101,MOD(95+$C18+(-2),$B$3)+1)*G18+INDEX(Symboles!$G$6:$G$101,MOD(95+$C18+(-1),$B$3)+1)*H18+INDEX(Symboles!$G$6:$G$101,MOD(95+$C18+(0),$B$3)+1)*I18+INDEX(Symboles!$G$6:$G$101,MOD(95+$C18+(1),$B$3)+1)*J18+INDEX(Symboles!$G$6:$G$101,MOD(95+$C18+(2),$B$3)+1)*K18+INDEX(Symboles!$G$6:$G$101,MOD(95+$C18+(3),$B$3)+1)*L18+INDEX(Symboles!$G$6:$G$101,MOD(95+$C18+(4),$B$3)+1)*M18+IF($B$6=0,0,$B$6*NORMSINV(0.000001+0.999998*RAND())))</f>
        <v/>
      </c>
      <c r="DI18" s="30">
        <f>IF(1&gt;$B$3,99,INDEX(Symboles!$H$6:$H$101,MOD(0+$C18+(-4),$B$3)+1)*E18+INDEX(Symboles!$H$6:$H$101,MOD(0+$C18+(-3),$B$3)+1)*F18+INDEX(Symboles!$H$6:$H$101,MOD(0+$C18+(-2),$B$3)+1)*G18+INDEX(Symboles!$H$6:$H$101,MOD(0+$C18+(-1),$B$3)+1)*H18+INDEX(Symboles!$H$6:$H$101,MOD(0+$C18+(0),$B$3)+1)*I18+INDEX(Symboles!$H$6:$H$101,MOD(0+$C18+(1),$B$3)+1)*J18+INDEX(Symboles!$H$6:$H$101,MOD(0+$C18+(2),$B$3)+1)*K18+INDEX(Symboles!$H$6:$H$101,MOD(0+$C18+(3),$B$3)+1)*L18+INDEX(Symboles!$H$6:$H$101,MOD(0+$C18+(4),$B$3)+1)*M18+IF($B$6=0,0,$B$6*NORMSINV(0.000001+0.999998*RAND())))</f>
        <v/>
      </c>
      <c r="DJ18" s="30">
        <f>IF(2&gt;$B$3,99,INDEX(Symboles!$H$6:$H$101,MOD(1+$C18+(-4),$B$3)+1)*E18+INDEX(Symboles!$H$6:$H$101,MOD(1+$C18+(-3),$B$3)+1)*F18+INDEX(Symboles!$H$6:$H$101,MOD(1+$C18+(-2),$B$3)+1)*G18+INDEX(Symboles!$H$6:$H$101,MOD(1+$C18+(-1),$B$3)+1)*H18+INDEX(Symboles!$H$6:$H$101,MOD(1+$C18+(0),$B$3)+1)*I18+INDEX(Symboles!$H$6:$H$101,MOD(1+$C18+(1),$B$3)+1)*J18+INDEX(Symboles!$H$6:$H$101,MOD(1+$C18+(2),$B$3)+1)*K18+INDEX(Symboles!$H$6:$H$101,MOD(1+$C18+(3),$B$3)+1)*L18+INDEX(Symboles!$H$6:$H$101,MOD(1+$C18+(4),$B$3)+1)*M18+IF($B$6=0,0,$B$6*NORMSINV(0.000001+0.999998*RAND())))</f>
        <v/>
      </c>
      <c r="DK18" s="30">
        <f>IF(3&gt;$B$3,99,INDEX(Symboles!$H$6:$H$101,MOD(2+$C18+(-4),$B$3)+1)*E18+INDEX(Symboles!$H$6:$H$101,MOD(2+$C18+(-3),$B$3)+1)*F18+INDEX(Symboles!$H$6:$H$101,MOD(2+$C18+(-2),$B$3)+1)*G18+INDEX(Symboles!$H$6:$H$101,MOD(2+$C18+(-1),$B$3)+1)*H18+INDEX(Symboles!$H$6:$H$101,MOD(2+$C18+(0),$B$3)+1)*I18+INDEX(Symboles!$H$6:$H$101,MOD(2+$C18+(1),$B$3)+1)*J18+INDEX(Symboles!$H$6:$H$101,MOD(2+$C18+(2),$B$3)+1)*K18+INDEX(Symboles!$H$6:$H$101,MOD(2+$C18+(3),$B$3)+1)*L18+INDEX(Symboles!$H$6:$H$101,MOD(2+$C18+(4),$B$3)+1)*M18+IF($B$6=0,0,$B$6*NORMSINV(0.000001+0.999998*RAND())))</f>
        <v/>
      </c>
      <c r="DL18" s="30">
        <f>IF(4&gt;$B$3,99,INDEX(Symboles!$H$6:$H$101,MOD(3+$C18+(-4),$B$3)+1)*E18+INDEX(Symboles!$H$6:$H$101,MOD(3+$C18+(-3),$B$3)+1)*F18+INDEX(Symboles!$H$6:$H$101,MOD(3+$C18+(-2),$B$3)+1)*G18+INDEX(Symboles!$H$6:$H$101,MOD(3+$C18+(-1),$B$3)+1)*H18+INDEX(Symboles!$H$6:$H$101,MOD(3+$C18+(0),$B$3)+1)*I18+INDEX(Symboles!$H$6:$H$101,MOD(3+$C18+(1),$B$3)+1)*J18+INDEX(Symboles!$H$6:$H$101,MOD(3+$C18+(2),$B$3)+1)*K18+INDEX(Symboles!$H$6:$H$101,MOD(3+$C18+(3),$B$3)+1)*L18+INDEX(Symboles!$H$6:$H$101,MOD(3+$C18+(4),$B$3)+1)*M18+IF($B$6=0,0,$B$6*NORMSINV(0.000001+0.999998*RAND())))</f>
        <v/>
      </c>
      <c r="DM18" s="30">
        <f>IF(5&gt;$B$3,99,INDEX(Symboles!$H$6:$H$101,MOD(4+$C18+(-4),$B$3)+1)*E18+INDEX(Symboles!$H$6:$H$101,MOD(4+$C18+(-3),$B$3)+1)*F18+INDEX(Symboles!$H$6:$H$101,MOD(4+$C18+(-2),$B$3)+1)*G18+INDEX(Symboles!$H$6:$H$101,MOD(4+$C18+(-1),$B$3)+1)*H18+INDEX(Symboles!$H$6:$H$101,MOD(4+$C18+(0),$B$3)+1)*I18+INDEX(Symboles!$H$6:$H$101,MOD(4+$C18+(1),$B$3)+1)*J18+INDEX(Symboles!$H$6:$H$101,MOD(4+$C18+(2),$B$3)+1)*K18+INDEX(Symboles!$H$6:$H$101,MOD(4+$C18+(3),$B$3)+1)*L18+INDEX(Symboles!$H$6:$H$101,MOD(4+$C18+(4),$B$3)+1)*M18+IF($B$6=0,0,$B$6*NORMSINV(0.000001+0.999998*RAND())))</f>
        <v/>
      </c>
      <c r="DN18" s="30">
        <f>IF(6&gt;$B$3,99,INDEX(Symboles!$H$6:$H$101,MOD(5+$C18+(-4),$B$3)+1)*E18+INDEX(Symboles!$H$6:$H$101,MOD(5+$C18+(-3),$B$3)+1)*F18+INDEX(Symboles!$H$6:$H$101,MOD(5+$C18+(-2),$B$3)+1)*G18+INDEX(Symboles!$H$6:$H$101,MOD(5+$C18+(-1),$B$3)+1)*H18+INDEX(Symboles!$H$6:$H$101,MOD(5+$C18+(0),$B$3)+1)*I18+INDEX(Symboles!$H$6:$H$101,MOD(5+$C18+(1),$B$3)+1)*J18+INDEX(Symboles!$H$6:$H$101,MOD(5+$C18+(2),$B$3)+1)*K18+INDEX(Symboles!$H$6:$H$101,MOD(5+$C18+(3),$B$3)+1)*L18+INDEX(Symboles!$H$6:$H$101,MOD(5+$C18+(4),$B$3)+1)*M18+IF($B$6=0,0,$B$6*NORMSINV(0.000001+0.999998*RAND())))</f>
        <v/>
      </c>
      <c r="DO18" s="30">
        <f>IF(7&gt;$B$3,99,INDEX(Symboles!$H$6:$H$101,MOD(6+$C18+(-4),$B$3)+1)*E18+INDEX(Symboles!$H$6:$H$101,MOD(6+$C18+(-3),$B$3)+1)*F18+INDEX(Symboles!$H$6:$H$101,MOD(6+$C18+(-2),$B$3)+1)*G18+INDEX(Symboles!$H$6:$H$101,MOD(6+$C18+(-1),$B$3)+1)*H18+INDEX(Symboles!$H$6:$H$101,MOD(6+$C18+(0),$B$3)+1)*I18+INDEX(Symboles!$H$6:$H$101,MOD(6+$C18+(1),$B$3)+1)*J18+INDEX(Symboles!$H$6:$H$101,MOD(6+$C18+(2),$B$3)+1)*K18+INDEX(Symboles!$H$6:$H$101,MOD(6+$C18+(3),$B$3)+1)*L18+INDEX(Symboles!$H$6:$H$101,MOD(6+$C18+(4),$B$3)+1)*M18+IF($B$6=0,0,$B$6*NORMSINV(0.000001+0.999998*RAND())))</f>
        <v/>
      </c>
      <c r="DP18" s="30">
        <f>IF(8&gt;$B$3,99,INDEX(Symboles!$H$6:$H$101,MOD(7+$C18+(-4),$B$3)+1)*E18+INDEX(Symboles!$H$6:$H$101,MOD(7+$C18+(-3),$B$3)+1)*F18+INDEX(Symboles!$H$6:$H$101,MOD(7+$C18+(-2),$B$3)+1)*G18+INDEX(Symboles!$H$6:$H$101,MOD(7+$C18+(-1),$B$3)+1)*H18+INDEX(Symboles!$H$6:$H$101,MOD(7+$C18+(0),$B$3)+1)*I18+INDEX(Symboles!$H$6:$H$101,MOD(7+$C18+(1),$B$3)+1)*J18+INDEX(Symboles!$H$6:$H$101,MOD(7+$C18+(2),$B$3)+1)*K18+INDEX(Symboles!$H$6:$H$101,MOD(7+$C18+(3),$B$3)+1)*L18+INDEX(Symboles!$H$6:$H$101,MOD(7+$C18+(4),$B$3)+1)*M18+IF($B$6=0,0,$B$6*NORMSINV(0.000001+0.999998*RAND())))</f>
        <v/>
      </c>
      <c r="DQ18" s="30">
        <f>IF(9&gt;$B$3,99,INDEX(Symboles!$H$6:$H$101,MOD(8+$C18+(-4),$B$3)+1)*E18+INDEX(Symboles!$H$6:$H$101,MOD(8+$C18+(-3),$B$3)+1)*F18+INDEX(Symboles!$H$6:$H$101,MOD(8+$C18+(-2),$B$3)+1)*G18+INDEX(Symboles!$H$6:$H$101,MOD(8+$C18+(-1),$B$3)+1)*H18+INDEX(Symboles!$H$6:$H$101,MOD(8+$C18+(0),$B$3)+1)*I18+INDEX(Symboles!$H$6:$H$101,MOD(8+$C18+(1),$B$3)+1)*J18+INDEX(Symboles!$H$6:$H$101,MOD(8+$C18+(2),$B$3)+1)*K18+INDEX(Symboles!$H$6:$H$101,MOD(8+$C18+(3),$B$3)+1)*L18+INDEX(Symboles!$H$6:$H$101,MOD(8+$C18+(4),$B$3)+1)*M18+IF($B$6=0,0,$B$6*NORMSINV(0.000001+0.999998*RAND())))</f>
        <v/>
      </c>
      <c r="DR18" s="30">
        <f>IF(10&gt;$B$3,99,INDEX(Symboles!$H$6:$H$101,MOD(9+$C18+(-4),$B$3)+1)*E18+INDEX(Symboles!$H$6:$H$101,MOD(9+$C18+(-3),$B$3)+1)*F18+INDEX(Symboles!$H$6:$H$101,MOD(9+$C18+(-2),$B$3)+1)*G18+INDEX(Symboles!$H$6:$H$101,MOD(9+$C18+(-1),$B$3)+1)*H18+INDEX(Symboles!$H$6:$H$101,MOD(9+$C18+(0),$B$3)+1)*I18+INDEX(Symboles!$H$6:$H$101,MOD(9+$C18+(1),$B$3)+1)*J18+INDEX(Symboles!$H$6:$H$101,MOD(9+$C18+(2),$B$3)+1)*K18+INDEX(Symboles!$H$6:$H$101,MOD(9+$C18+(3),$B$3)+1)*L18+INDEX(Symboles!$H$6:$H$101,MOD(9+$C18+(4),$B$3)+1)*M18+IF($B$6=0,0,$B$6*NORMSINV(0.000001+0.999998*RAND())))</f>
        <v/>
      </c>
      <c r="DS18" s="30">
        <f>IF(11&gt;$B$3,99,INDEX(Symboles!$H$6:$H$101,MOD(10+$C18+(-4),$B$3)+1)*E18+INDEX(Symboles!$H$6:$H$101,MOD(10+$C18+(-3),$B$3)+1)*F18+INDEX(Symboles!$H$6:$H$101,MOD(10+$C18+(-2),$B$3)+1)*G18+INDEX(Symboles!$H$6:$H$101,MOD(10+$C18+(-1),$B$3)+1)*H18+INDEX(Symboles!$H$6:$H$101,MOD(10+$C18+(0),$B$3)+1)*I18+INDEX(Symboles!$H$6:$H$101,MOD(10+$C18+(1),$B$3)+1)*J18+INDEX(Symboles!$H$6:$H$101,MOD(10+$C18+(2),$B$3)+1)*K18+INDEX(Symboles!$H$6:$H$101,MOD(10+$C18+(3),$B$3)+1)*L18+INDEX(Symboles!$H$6:$H$101,MOD(10+$C18+(4),$B$3)+1)*M18+IF($B$6=0,0,$B$6*NORMSINV(0.000001+0.999998*RAND())))</f>
        <v/>
      </c>
      <c r="DT18" s="30">
        <f>IF(12&gt;$B$3,99,INDEX(Symboles!$H$6:$H$101,MOD(11+$C18+(-4),$B$3)+1)*E18+INDEX(Symboles!$H$6:$H$101,MOD(11+$C18+(-3),$B$3)+1)*F18+INDEX(Symboles!$H$6:$H$101,MOD(11+$C18+(-2),$B$3)+1)*G18+INDEX(Symboles!$H$6:$H$101,MOD(11+$C18+(-1),$B$3)+1)*H18+INDEX(Symboles!$H$6:$H$101,MOD(11+$C18+(0),$B$3)+1)*I18+INDEX(Symboles!$H$6:$H$101,MOD(11+$C18+(1),$B$3)+1)*J18+INDEX(Symboles!$H$6:$H$101,MOD(11+$C18+(2),$B$3)+1)*K18+INDEX(Symboles!$H$6:$H$101,MOD(11+$C18+(3),$B$3)+1)*L18+INDEX(Symboles!$H$6:$H$101,MOD(11+$C18+(4),$B$3)+1)*M18+IF($B$6=0,0,$B$6*NORMSINV(0.000001+0.999998*RAND())))</f>
        <v/>
      </c>
      <c r="DU18" s="30">
        <f>IF(13&gt;$B$3,99,INDEX(Symboles!$H$6:$H$101,MOD(12+$C18+(-4),$B$3)+1)*E18+INDEX(Symboles!$H$6:$H$101,MOD(12+$C18+(-3),$B$3)+1)*F18+INDEX(Symboles!$H$6:$H$101,MOD(12+$C18+(-2),$B$3)+1)*G18+INDEX(Symboles!$H$6:$H$101,MOD(12+$C18+(-1),$B$3)+1)*H18+INDEX(Symboles!$H$6:$H$101,MOD(12+$C18+(0),$B$3)+1)*I18+INDEX(Symboles!$H$6:$H$101,MOD(12+$C18+(1),$B$3)+1)*J18+INDEX(Symboles!$H$6:$H$101,MOD(12+$C18+(2),$B$3)+1)*K18+INDEX(Symboles!$H$6:$H$101,MOD(12+$C18+(3),$B$3)+1)*L18+INDEX(Symboles!$H$6:$H$101,MOD(12+$C18+(4),$B$3)+1)*M18+IF($B$6=0,0,$B$6*NORMSINV(0.000001+0.999998*RAND())))</f>
        <v/>
      </c>
      <c r="DV18" s="30">
        <f>IF(14&gt;$B$3,99,INDEX(Symboles!$H$6:$H$101,MOD(13+$C18+(-4),$B$3)+1)*E18+INDEX(Symboles!$H$6:$H$101,MOD(13+$C18+(-3),$B$3)+1)*F18+INDEX(Symboles!$H$6:$H$101,MOD(13+$C18+(-2),$B$3)+1)*G18+INDEX(Symboles!$H$6:$H$101,MOD(13+$C18+(-1),$B$3)+1)*H18+INDEX(Symboles!$H$6:$H$101,MOD(13+$C18+(0),$B$3)+1)*I18+INDEX(Symboles!$H$6:$H$101,MOD(13+$C18+(1),$B$3)+1)*J18+INDEX(Symboles!$H$6:$H$101,MOD(13+$C18+(2),$B$3)+1)*K18+INDEX(Symboles!$H$6:$H$101,MOD(13+$C18+(3),$B$3)+1)*L18+INDEX(Symboles!$H$6:$H$101,MOD(13+$C18+(4),$B$3)+1)*M18+IF($B$6=0,0,$B$6*NORMSINV(0.000001+0.999998*RAND())))</f>
        <v/>
      </c>
      <c r="DW18" s="30">
        <f>IF(15&gt;$B$3,99,INDEX(Symboles!$H$6:$H$101,MOD(14+$C18+(-4),$B$3)+1)*E18+INDEX(Symboles!$H$6:$H$101,MOD(14+$C18+(-3),$B$3)+1)*F18+INDEX(Symboles!$H$6:$H$101,MOD(14+$C18+(-2),$B$3)+1)*G18+INDEX(Symboles!$H$6:$H$101,MOD(14+$C18+(-1),$B$3)+1)*H18+INDEX(Symboles!$H$6:$H$101,MOD(14+$C18+(0),$B$3)+1)*I18+INDEX(Symboles!$H$6:$H$101,MOD(14+$C18+(1),$B$3)+1)*J18+INDEX(Symboles!$H$6:$H$101,MOD(14+$C18+(2),$B$3)+1)*K18+INDEX(Symboles!$H$6:$H$101,MOD(14+$C18+(3),$B$3)+1)*L18+INDEX(Symboles!$H$6:$H$101,MOD(14+$C18+(4),$B$3)+1)*M18+IF($B$6=0,0,$B$6*NORMSINV(0.000001+0.999998*RAND())))</f>
        <v/>
      </c>
      <c r="DX18" s="30">
        <f>IF(16&gt;$B$3,99,INDEX(Symboles!$H$6:$H$101,MOD(15+$C18+(-4),$B$3)+1)*E18+INDEX(Symboles!$H$6:$H$101,MOD(15+$C18+(-3),$B$3)+1)*F18+INDEX(Symboles!$H$6:$H$101,MOD(15+$C18+(-2),$B$3)+1)*G18+INDEX(Symboles!$H$6:$H$101,MOD(15+$C18+(-1),$B$3)+1)*H18+INDEX(Symboles!$H$6:$H$101,MOD(15+$C18+(0),$B$3)+1)*I18+INDEX(Symboles!$H$6:$H$101,MOD(15+$C18+(1),$B$3)+1)*J18+INDEX(Symboles!$H$6:$H$101,MOD(15+$C18+(2),$B$3)+1)*K18+INDEX(Symboles!$H$6:$H$101,MOD(15+$C18+(3),$B$3)+1)*L18+INDEX(Symboles!$H$6:$H$101,MOD(15+$C18+(4),$B$3)+1)*M18+IF($B$6=0,0,$B$6*NORMSINV(0.000001+0.999998*RAND())))</f>
        <v/>
      </c>
      <c r="DY18" s="30">
        <f>IF(17&gt;$B$3,99,INDEX(Symboles!$H$6:$H$101,MOD(16+$C18+(-4),$B$3)+1)*E18+INDEX(Symboles!$H$6:$H$101,MOD(16+$C18+(-3),$B$3)+1)*F18+INDEX(Symboles!$H$6:$H$101,MOD(16+$C18+(-2),$B$3)+1)*G18+INDEX(Symboles!$H$6:$H$101,MOD(16+$C18+(-1),$B$3)+1)*H18+INDEX(Symboles!$H$6:$H$101,MOD(16+$C18+(0),$B$3)+1)*I18+INDEX(Symboles!$H$6:$H$101,MOD(16+$C18+(1),$B$3)+1)*J18+INDEX(Symboles!$H$6:$H$101,MOD(16+$C18+(2),$B$3)+1)*K18+INDEX(Symboles!$H$6:$H$101,MOD(16+$C18+(3),$B$3)+1)*L18+INDEX(Symboles!$H$6:$H$101,MOD(16+$C18+(4),$B$3)+1)*M18+IF($B$6=0,0,$B$6*NORMSINV(0.000001+0.999998*RAND())))</f>
        <v/>
      </c>
      <c r="DZ18" s="30">
        <f>IF(18&gt;$B$3,99,INDEX(Symboles!$H$6:$H$101,MOD(17+$C18+(-4),$B$3)+1)*E18+INDEX(Symboles!$H$6:$H$101,MOD(17+$C18+(-3),$B$3)+1)*F18+INDEX(Symboles!$H$6:$H$101,MOD(17+$C18+(-2),$B$3)+1)*G18+INDEX(Symboles!$H$6:$H$101,MOD(17+$C18+(-1),$B$3)+1)*H18+INDEX(Symboles!$H$6:$H$101,MOD(17+$C18+(0),$B$3)+1)*I18+INDEX(Symboles!$H$6:$H$101,MOD(17+$C18+(1),$B$3)+1)*J18+INDEX(Symboles!$H$6:$H$101,MOD(17+$C18+(2),$B$3)+1)*K18+INDEX(Symboles!$H$6:$H$101,MOD(17+$C18+(3),$B$3)+1)*L18+INDEX(Symboles!$H$6:$H$101,MOD(17+$C18+(4),$B$3)+1)*M18+IF($B$6=0,0,$B$6*NORMSINV(0.000001+0.999998*RAND())))</f>
        <v/>
      </c>
      <c r="EA18" s="30">
        <f>IF(19&gt;$B$3,99,INDEX(Symboles!$H$6:$H$101,MOD(18+$C18+(-4),$B$3)+1)*E18+INDEX(Symboles!$H$6:$H$101,MOD(18+$C18+(-3),$B$3)+1)*F18+INDEX(Symboles!$H$6:$H$101,MOD(18+$C18+(-2),$B$3)+1)*G18+INDEX(Symboles!$H$6:$H$101,MOD(18+$C18+(-1),$B$3)+1)*H18+INDEX(Symboles!$H$6:$H$101,MOD(18+$C18+(0),$B$3)+1)*I18+INDEX(Symboles!$H$6:$H$101,MOD(18+$C18+(1),$B$3)+1)*J18+INDEX(Symboles!$H$6:$H$101,MOD(18+$C18+(2),$B$3)+1)*K18+INDEX(Symboles!$H$6:$H$101,MOD(18+$C18+(3),$B$3)+1)*L18+INDEX(Symboles!$H$6:$H$101,MOD(18+$C18+(4),$B$3)+1)*M18+IF($B$6=0,0,$B$6*NORMSINV(0.000001+0.999998*RAND())))</f>
        <v/>
      </c>
      <c r="EB18" s="30">
        <f>IF(20&gt;$B$3,99,INDEX(Symboles!$H$6:$H$101,MOD(19+$C18+(-4),$B$3)+1)*E18+INDEX(Symboles!$H$6:$H$101,MOD(19+$C18+(-3),$B$3)+1)*F18+INDEX(Symboles!$H$6:$H$101,MOD(19+$C18+(-2),$B$3)+1)*G18+INDEX(Symboles!$H$6:$H$101,MOD(19+$C18+(-1),$B$3)+1)*H18+INDEX(Symboles!$H$6:$H$101,MOD(19+$C18+(0),$B$3)+1)*I18+INDEX(Symboles!$H$6:$H$101,MOD(19+$C18+(1),$B$3)+1)*J18+INDEX(Symboles!$H$6:$H$101,MOD(19+$C18+(2),$B$3)+1)*K18+INDEX(Symboles!$H$6:$H$101,MOD(19+$C18+(3),$B$3)+1)*L18+INDEX(Symboles!$H$6:$H$101,MOD(19+$C18+(4),$B$3)+1)*M18+IF($B$6=0,0,$B$6*NORMSINV(0.000001+0.999998*RAND())))</f>
        <v/>
      </c>
      <c r="EC18" s="30">
        <f>IF(21&gt;$B$3,99,INDEX(Symboles!$H$6:$H$101,MOD(20+$C18+(-4),$B$3)+1)*E18+INDEX(Symboles!$H$6:$H$101,MOD(20+$C18+(-3),$B$3)+1)*F18+INDEX(Symboles!$H$6:$H$101,MOD(20+$C18+(-2),$B$3)+1)*G18+INDEX(Symboles!$H$6:$H$101,MOD(20+$C18+(-1),$B$3)+1)*H18+INDEX(Symboles!$H$6:$H$101,MOD(20+$C18+(0),$B$3)+1)*I18+INDEX(Symboles!$H$6:$H$101,MOD(20+$C18+(1),$B$3)+1)*J18+INDEX(Symboles!$H$6:$H$101,MOD(20+$C18+(2),$B$3)+1)*K18+INDEX(Symboles!$H$6:$H$101,MOD(20+$C18+(3),$B$3)+1)*L18+INDEX(Symboles!$H$6:$H$101,MOD(20+$C18+(4),$B$3)+1)*M18+IF($B$6=0,0,$B$6*NORMSINV(0.000001+0.999998*RAND())))</f>
        <v/>
      </c>
      <c r="ED18" s="30">
        <f>IF(22&gt;$B$3,99,INDEX(Symboles!$H$6:$H$101,MOD(21+$C18+(-4),$B$3)+1)*E18+INDEX(Symboles!$H$6:$H$101,MOD(21+$C18+(-3),$B$3)+1)*F18+INDEX(Symboles!$H$6:$H$101,MOD(21+$C18+(-2),$B$3)+1)*G18+INDEX(Symboles!$H$6:$H$101,MOD(21+$C18+(-1),$B$3)+1)*H18+INDEX(Symboles!$H$6:$H$101,MOD(21+$C18+(0),$B$3)+1)*I18+INDEX(Symboles!$H$6:$H$101,MOD(21+$C18+(1),$B$3)+1)*J18+INDEX(Symboles!$H$6:$H$101,MOD(21+$C18+(2),$B$3)+1)*K18+INDEX(Symboles!$H$6:$H$101,MOD(21+$C18+(3),$B$3)+1)*L18+INDEX(Symboles!$H$6:$H$101,MOD(21+$C18+(4),$B$3)+1)*M18+IF($B$6=0,0,$B$6*NORMSINV(0.000001+0.999998*RAND())))</f>
        <v/>
      </c>
      <c r="EE18" s="30">
        <f>IF(23&gt;$B$3,99,INDEX(Symboles!$H$6:$H$101,MOD(22+$C18+(-4),$B$3)+1)*E18+INDEX(Symboles!$H$6:$H$101,MOD(22+$C18+(-3),$B$3)+1)*F18+INDEX(Symboles!$H$6:$H$101,MOD(22+$C18+(-2),$B$3)+1)*G18+INDEX(Symboles!$H$6:$H$101,MOD(22+$C18+(-1),$B$3)+1)*H18+INDEX(Symboles!$H$6:$H$101,MOD(22+$C18+(0),$B$3)+1)*I18+INDEX(Symboles!$H$6:$H$101,MOD(22+$C18+(1),$B$3)+1)*J18+INDEX(Symboles!$H$6:$H$101,MOD(22+$C18+(2),$B$3)+1)*K18+INDEX(Symboles!$H$6:$H$101,MOD(22+$C18+(3),$B$3)+1)*L18+INDEX(Symboles!$H$6:$H$101,MOD(22+$C18+(4),$B$3)+1)*M18+IF($B$6=0,0,$B$6*NORMSINV(0.000001+0.999998*RAND())))</f>
        <v/>
      </c>
      <c r="EF18" s="30">
        <f>IF(24&gt;$B$3,99,INDEX(Symboles!$H$6:$H$101,MOD(23+$C18+(-4),$B$3)+1)*E18+INDEX(Symboles!$H$6:$H$101,MOD(23+$C18+(-3),$B$3)+1)*F18+INDEX(Symboles!$H$6:$H$101,MOD(23+$C18+(-2),$B$3)+1)*G18+INDEX(Symboles!$H$6:$H$101,MOD(23+$C18+(-1),$B$3)+1)*H18+INDEX(Symboles!$H$6:$H$101,MOD(23+$C18+(0),$B$3)+1)*I18+INDEX(Symboles!$H$6:$H$101,MOD(23+$C18+(1),$B$3)+1)*J18+INDEX(Symboles!$H$6:$H$101,MOD(23+$C18+(2),$B$3)+1)*K18+INDEX(Symboles!$H$6:$H$101,MOD(23+$C18+(3),$B$3)+1)*L18+INDEX(Symboles!$H$6:$H$101,MOD(23+$C18+(4),$B$3)+1)*M18+IF($B$6=0,0,$B$6*NORMSINV(0.000001+0.999998*RAND())))</f>
        <v/>
      </c>
      <c r="EG18" s="30">
        <f>IF(25&gt;$B$3,99,INDEX(Symboles!$H$6:$H$101,MOD(24+$C18+(-4),$B$3)+1)*E18+INDEX(Symboles!$H$6:$H$101,MOD(24+$C18+(-3),$B$3)+1)*F18+INDEX(Symboles!$H$6:$H$101,MOD(24+$C18+(-2),$B$3)+1)*G18+INDEX(Symboles!$H$6:$H$101,MOD(24+$C18+(-1),$B$3)+1)*H18+INDEX(Symboles!$H$6:$H$101,MOD(24+$C18+(0),$B$3)+1)*I18+INDEX(Symboles!$H$6:$H$101,MOD(24+$C18+(1),$B$3)+1)*J18+INDEX(Symboles!$H$6:$H$101,MOD(24+$C18+(2),$B$3)+1)*K18+INDEX(Symboles!$H$6:$H$101,MOD(24+$C18+(3),$B$3)+1)*L18+INDEX(Symboles!$H$6:$H$101,MOD(24+$C18+(4),$B$3)+1)*M18+IF($B$6=0,0,$B$6*NORMSINV(0.000001+0.999998*RAND())))</f>
        <v/>
      </c>
      <c r="EH18" s="30">
        <f>IF(26&gt;$B$3,99,INDEX(Symboles!$H$6:$H$101,MOD(25+$C18+(-4),$B$3)+1)*E18+INDEX(Symboles!$H$6:$H$101,MOD(25+$C18+(-3),$B$3)+1)*F18+INDEX(Symboles!$H$6:$H$101,MOD(25+$C18+(-2),$B$3)+1)*G18+INDEX(Symboles!$H$6:$H$101,MOD(25+$C18+(-1),$B$3)+1)*H18+INDEX(Symboles!$H$6:$H$101,MOD(25+$C18+(0),$B$3)+1)*I18+INDEX(Symboles!$H$6:$H$101,MOD(25+$C18+(1),$B$3)+1)*J18+INDEX(Symboles!$H$6:$H$101,MOD(25+$C18+(2),$B$3)+1)*K18+INDEX(Symboles!$H$6:$H$101,MOD(25+$C18+(3),$B$3)+1)*L18+INDEX(Symboles!$H$6:$H$101,MOD(25+$C18+(4),$B$3)+1)*M18+IF($B$6=0,0,$B$6*NORMSINV(0.000001+0.999998*RAND())))</f>
        <v/>
      </c>
      <c r="EI18" s="30">
        <f>IF(27&gt;$B$3,99,INDEX(Symboles!$H$6:$H$101,MOD(26+$C18+(-4),$B$3)+1)*E18+INDEX(Symboles!$H$6:$H$101,MOD(26+$C18+(-3),$B$3)+1)*F18+INDEX(Symboles!$H$6:$H$101,MOD(26+$C18+(-2),$B$3)+1)*G18+INDEX(Symboles!$H$6:$H$101,MOD(26+$C18+(-1),$B$3)+1)*H18+INDEX(Symboles!$H$6:$H$101,MOD(26+$C18+(0),$B$3)+1)*I18+INDEX(Symboles!$H$6:$H$101,MOD(26+$C18+(1),$B$3)+1)*J18+INDEX(Symboles!$H$6:$H$101,MOD(26+$C18+(2),$B$3)+1)*K18+INDEX(Symboles!$H$6:$H$101,MOD(26+$C18+(3),$B$3)+1)*L18+INDEX(Symboles!$H$6:$H$101,MOD(26+$C18+(4),$B$3)+1)*M18+IF($B$6=0,0,$B$6*NORMSINV(0.000001+0.999998*RAND())))</f>
        <v/>
      </c>
      <c r="EJ18" s="30">
        <f>IF(28&gt;$B$3,99,INDEX(Symboles!$H$6:$H$101,MOD(27+$C18+(-4),$B$3)+1)*E18+INDEX(Symboles!$H$6:$H$101,MOD(27+$C18+(-3),$B$3)+1)*F18+INDEX(Symboles!$H$6:$H$101,MOD(27+$C18+(-2),$B$3)+1)*G18+INDEX(Symboles!$H$6:$H$101,MOD(27+$C18+(-1),$B$3)+1)*H18+INDEX(Symboles!$H$6:$H$101,MOD(27+$C18+(0),$B$3)+1)*I18+INDEX(Symboles!$H$6:$H$101,MOD(27+$C18+(1),$B$3)+1)*J18+INDEX(Symboles!$H$6:$H$101,MOD(27+$C18+(2),$B$3)+1)*K18+INDEX(Symboles!$H$6:$H$101,MOD(27+$C18+(3),$B$3)+1)*L18+INDEX(Symboles!$H$6:$H$101,MOD(27+$C18+(4),$B$3)+1)*M18+IF($B$6=0,0,$B$6*NORMSINV(0.000001+0.999998*RAND())))</f>
        <v/>
      </c>
      <c r="EK18" s="30">
        <f>IF(29&gt;$B$3,99,INDEX(Symboles!$H$6:$H$101,MOD(28+$C18+(-4),$B$3)+1)*E18+INDEX(Symboles!$H$6:$H$101,MOD(28+$C18+(-3),$B$3)+1)*F18+INDEX(Symboles!$H$6:$H$101,MOD(28+$C18+(-2),$B$3)+1)*G18+INDEX(Symboles!$H$6:$H$101,MOD(28+$C18+(-1),$B$3)+1)*H18+INDEX(Symboles!$H$6:$H$101,MOD(28+$C18+(0),$B$3)+1)*I18+INDEX(Symboles!$H$6:$H$101,MOD(28+$C18+(1),$B$3)+1)*J18+INDEX(Symboles!$H$6:$H$101,MOD(28+$C18+(2),$B$3)+1)*K18+INDEX(Symboles!$H$6:$H$101,MOD(28+$C18+(3),$B$3)+1)*L18+INDEX(Symboles!$H$6:$H$101,MOD(28+$C18+(4),$B$3)+1)*M18+IF($B$6=0,0,$B$6*NORMSINV(0.000001+0.999998*RAND())))</f>
        <v/>
      </c>
      <c r="EL18" s="30">
        <f>IF(30&gt;$B$3,99,INDEX(Symboles!$H$6:$H$101,MOD(29+$C18+(-4),$B$3)+1)*E18+INDEX(Symboles!$H$6:$H$101,MOD(29+$C18+(-3),$B$3)+1)*F18+INDEX(Symboles!$H$6:$H$101,MOD(29+$C18+(-2),$B$3)+1)*G18+INDEX(Symboles!$H$6:$H$101,MOD(29+$C18+(-1),$B$3)+1)*H18+INDEX(Symboles!$H$6:$H$101,MOD(29+$C18+(0),$B$3)+1)*I18+INDEX(Symboles!$H$6:$H$101,MOD(29+$C18+(1),$B$3)+1)*J18+INDEX(Symboles!$H$6:$H$101,MOD(29+$C18+(2),$B$3)+1)*K18+INDEX(Symboles!$H$6:$H$101,MOD(29+$C18+(3),$B$3)+1)*L18+INDEX(Symboles!$H$6:$H$101,MOD(29+$C18+(4),$B$3)+1)*M18+IF($B$6=0,0,$B$6*NORMSINV(0.000001+0.999998*RAND())))</f>
        <v/>
      </c>
      <c r="EM18" s="30">
        <f>IF(31&gt;$B$3,99,INDEX(Symboles!$H$6:$H$101,MOD(30+$C18+(-4),$B$3)+1)*E18+INDEX(Symboles!$H$6:$H$101,MOD(30+$C18+(-3),$B$3)+1)*F18+INDEX(Symboles!$H$6:$H$101,MOD(30+$C18+(-2),$B$3)+1)*G18+INDEX(Symboles!$H$6:$H$101,MOD(30+$C18+(-1),$B$3)+1)*H18+INDEX(Symboles!$H$6:$H$101,MOD(30+$C18+(0),$B$3)+1)*I18+INDEX(Symboles!$H$6:$H$101,MOD(30+$C18+(1),$B$3)+1)*J18+INDEX(Symboles!$H$6:$H$101,MOD(30+$C18+(2),$B$3)+1)*K18+INDEX(Symboles!$H$6:$H$101,MOD(30+$C18+(3),$B$3)+1)*L18+INDEX(Symboles!$H$6:$H$101,MOD(30+$C18+(4),$B$3)+1)*M18+IF($B$6=0,0,$B$6*NORMSINV(0.000001+0.999998*RAND())))</f>
        <v/>
      </c>
      <c r="EN18" s="30">
        <f>IF(32&gt;$B$3,99,INDEX(Symboles!$H$6:$H$101,MOD(31+$C18+(-4),$B$3)+1)*E18+INDEX(Symboles!$H$6:$H$101,MOD(31+$C18+(-3),$B$3)+1)*F18+INDEX(Symboles!$H$6:$H$101,MOD(31+$C18+(-2),$B$3)+1)*G18+INDEX(Symboles!$H$6:$H$101,MOD(31+$C18+(-1),$B$3)+1)*H18+INDEX(Symboles!$H$6:$H$101,MOD(31+$C18+(0),$B$3)+1)*I18+INDEX(Symboles!$H$6:$H$101,MOD(31+$C18+(1),$B$3)+1)*J18+INDEX(Symboles!$H$6:$H$101,MOD(31+$C18+(2),$B$3)+1)*K18+INDEX(Symboles!$H$6:$H$101,MOD(31+$C18+(3),$B$3)+1)*L18+INDEX(Symboles!$H$6:$H$101,MOD(31+$C18+(4),$B$3)+1)*M18+IF($B$6=0,0,$B$6*NORMSINV(0.000001+0.999998*RAND())))</f>
        <v/>
      </c>
      <c r="EO18" s="30">
        <f>IF(33&gt;$B$3,99,INDEX(Symboles!$H$6:$H$101,MOD(32+$C18+(-4),$B$3)+1)*E18+INDEX(Symboles!$H$6:$H$101,MOD(32+$C18+(-3),$B$3)+1)*F18+INDEX(Symboles!$H$6:$H$101,MOD(32+$C18+(-2),$B$3)+1)*G18+INDEX(Symboles!$H$6:$H$101,MOD(32+$C18+(-1),$B$3)+1)*H18+INDEX(Symboles!$H$6:$H$101,MOD(32+$C18+(0),$B$3)+1)*I18+INDEX(Symboles!$H$6:$H$101,MOD(32+$C18+(1),$B$3)+1)*J18+INDEX(Symboles!$H$6:$H$101,MOD(32+$C18+(2),$B$3)+1)*K18+INDEX(Symboles!$H$6:$H$101,MOD(32+$C18+(3),$B$3)+1)*L18+INDEX(Symboles!$H$6:$H$101,MOD(32+$C18+(4),$B$3)+1)*M18+IF($B$6=0,0,$B$6*NORMSINV(0.000001+0.999998*RAND())))</f>
        <v/>
      </c>
      <c r="EP18" s="30">
        <f>IF(34&gt;$B$3,99,INDEX(Symboles!$H$6:$H$101,MOD(33+$C18+(-4),$B$3)+1)*E18+INDEX(Symboles!$H$6:$H$101,MOD(33+$C18+(-3),$B$3)+1)*F18+INDEX(Symboles!$H$6:$H$101,MOD(33+$C18+(-2),$B$3)+1)*G18+INDEX(Symboles!$H$6:$H$101,MOD(33+$C18+(-1),$B$3)+1)*H18+INDEX(Symboles!$H$6:$H$101,MOD(33+$C18+(0),$B$3)+1)*I18+INDEX(Symboles!$H$6:$H$101,MOD(33+$C18+(1),$B$3)+1)*J18+INDEX(Symboles!$H$6:$H$101,MOD(33+$C18+(2),$B$3)+1)*K18+INDEX(Symboles!$H$6:$H$101,MOD(33+$C18+(3),$B$3)+1)*L18+INDEX(Symboles!$H$6:$H$101,MOD(33+$C18+(4),$B$3)+1)*M18+IF($B$6=0,0,$B$6*NORMSINV(0.000001+0.999998*RAND())))</f>
        <v/>
      </c>
      <c r="EQ18" s="30">
        <f>IF(35&gt;$B$3,99,INDEX(Symboles!$H$6:$H$101,MOD(34+$C18+(-4),$B$3)+1)*E18+INDEX(Symboles!$H$6:$H$101,MOD(34+$C18+(-3),$B$3)+1)*F18+INDEX(Symboles!$H$6:$H$101,MOD(34+$C18+(-2),$B$3)+1)*G18+INDEX(Symboles!$H$6:$H$101,MOD(34+$C18+(-1),$B$3)+1)*H18+INDEX(Symboles!$H$6:$H$101,MOD(34+$C18+(0),$B$3)+1)*I18+INDEX(Symboles!$H$6:$H$101,MOD(34+$C18+(1),$B$3)+1)*J18+INDEX(Symboles!$H$6:$H$101,MOD(34+$C18+(2),$B$3)+1)*K18+INDEX(Symboles!$H$6:$H$101,MOD(34+$C18+(3),$B$3)+1)*L18+INDEX(Symboles!$H$6:$H$101,MOD(34+$C18+(4),$B$3)+1)*M18+IF($B$6=0,0,$B$6*NORMSINV(0.000001+0.999998*RAND())))</f>
        <v/>
      </c>
      <c r="ER18" s="30">
        <f>IF(36&gt;$B$3,99,INDEX(Symboles!$H$6:$H$101,MOD(35+$C18+(-4),$B$3)+1)*E18+INDEX(Symboles!$H$6:$H$101,MOD(35+$C18+(-3),$B$3)+1)*F18+INDEX(Symboles!$H$6:$H$101,MOD(35+$C18+(-2),$B$3)+1)*G18+INDEX(Symboles!$H$6:$H$101,MOD(35+$C18+(-1),$B$3)+1)*H18+INDEX(Symboles!$H$6:$H$101,MOD(35+$C18+(0),$B$3)+1)*I18+INDEX(Symboles!$H$6:$H$101,MOD(35+$C18+(1),$B$3)+1)*J18+INDEX(Symboles!$H$6:$H$101,MOD(35+$C18+(2),$B$3)+1)*K18+INDEX(Symboles!$H$6:$H$101,MOD(35+$C18+(3),$B$3)+1)*L18+INDEX(Symboles!$H$6:$H$101,MOD(35+$C18+(4),$B$3)+1)*M18+IF($B$6=0,0,$B$6*NORMSINV(0.000001+0.999998*RAND())))</f>
        <v/>
      </c>
      <c r="ES18" s="30">
        <f>IF(37&gt;$B$3,99,INDEX(Symboles!$H$6:$H$101,MOD(36+$C18+(-4),$B$3)+1)*E18+INDEX(Symboles!$H$6:$H$101,MOD(36+$C18+(-3),$B$3)+1)*F18+INDEX(Symboles!$H$6:$H$101,MOD(36+$C18+(-2),$B$3)+1)*G18+INDEX(Symboles!$H$6:$H$101,MOD(36+$C18+(-1),$B$3)+1)*H18+INDEX(Symboles!$H$6:$H$101,MOD(36+$C18+(0),$B$3)+1)*I18+INDEX(Symboles!$H$6:$H$101,MOD(36+$C18+(1),$B$3)+1)*J18+INDEX(Symboles!$H$6:$H$101,MOD(36+$C18+(2),$B$3)+1)*K18+INDEX(Symboles!$H$6:$H$101,MOD(36+$C18+(3),$B$3)+1)*L18+INDEX(Symboles!$H$6:$H$101,MOD(36+$C18+(4),$B$3)+1)*M18+IF($B$6=0,0,$B$6*NORMSINV(0.000001+0.999998*RAND())))</f>
        <v/>
      </c>
      <c r="ET18" s="30">
        <f>IF(38&gt;$B$3,99,INDEX(Symboles!$H$6:$H$101,MOD(37+$C18+(-4),$B$3)+1)*E18+INDEX(Symboles!$H$6:$H$101,MOD(37+$C18+(-3),$B$3)+1)*F18+INDEX(Symboles!$H$6:$H$101,MOD(37+$C18+(-2),$B$3)+1)*G18+INDEX(Symboles!$H$6:$H$101,MOD(37+$C18+(-1),$B$3)+1)*H18+INDEX(Symboles!$H$6:$H$101,MOD(37+$C18+(0),$B$3)+1)*I18+INDEX(Symboles!$H$6:$H$101,MOD(37+$C18+(1),$B$3)+1)*J18+INDEX(Symboles!$H$6:$H$101,MOD(37+$C18+(2),$B$3)+1)*K18+INDEX(Symboles!$H$6:$H$101,MOD(37+$C18+(3),$B$3)+1)*L18+INDEX(Symboles!$H$6:$H$101,MOD(37+$C18+(4),$B$3)+1)*M18+IF($B$6=0,0,$B$6*NORMSINV(0.000001+0.999998*RAND())))</f>
        <v/>
      </c>
      <c r="EU18" s="30">
        <f>IF(39&gt;$B$3,99,INDEX(Symboles!$H$6:$H$101,MOD(38+$C18+(-4),$B$3)+1)*E18+INDEX(Symboles!$H$6:$H$101,MOD(38+$C18+(-3),$B$3)+1)*F18+INDEX(Symboles!$H$6:$H$101,MOD(38+$C18+(-2),$B$3)+1)*G18+INDEX(Symboles!$H$6:$H$101,MOD(38+$C18+(-1),$B$3)+1)*H18+INDEX(Symboles!$H$6:$H$101,MOD(38+$C18+(0),$B$3)+1)*I18+INDEX(Symboles!$H$6:$H$101,MOD(38+$C18+(1),$B$3)+1)*J18+INDEX(Symboles!$H$6:$H$101,MOD(38+$C18+(2),$B$3)+1)*K18+INDEX(Symboles!$H$6:$H$101,MOD(38+$C18+(3),$B$3)+1)*L18+INDEX(Symboles!$H$6:$H$101,MOD(38+$C18+(4),$B$3)+1)*M18+IF($B$6=0,0,$B$6*NORMSINV(0.000001+0.999998*RAND())))</f>
        <v/>
      </c>
      <c r="EV18" s="30">
        <f>IF(40&gt;$B$3,99,INDEX(Symboles!$H$6:$H$101,MOD(39+$C18+(-4),$B$3)+1)*E18+INDEX(Symboles!$H$6:$H$101,MOD(39+$C18+(-3),$B$3)+1)*F18+INDEX(Symboles!$H$6:$H$101,MOD(39+$C18+(-2),$B$3)+1)*G18+INDEX(Symboles!$H$6:$H$101,MOD(39+$C18+(-1),$B$3)+1)*H18+INDEX(Symboles!$H$6:$H$101,MOD(39+$C18+(0),$B$3)+1)*I18+INDEX(Symboles!$H$6:$H$101,MOD(39+$C18+(1),$B$3)+1)*J18+INDEX(Symboles!$H$6:$H$101,MOD(39+$C18+(2),$B$3)+1)*K18+INDEX(Symboles!$H$6:$H$101,MOD(39+$C18+(3),$B$3)+1)*L18+INDEX(Symboles!$H$6:$H$101,MOD(39+$C18+(4),$B$3)+1)*M18+IF($B$6=0,0,$B$6*NORMSINV(0.000001+0.999998*RAND())))</f>
        <v/>
      </c>
      <c r="EW18" s="30">
        <f>IF(41&gt;$B$3,99,INDEX(Symboles!$H$6:$H$101,MOD(40+$C18+(-4),$B$3)+1)*E18+INDEX(Symboles!$H$6:$H$101,MOD(40+$C18+(-3),$B$3)+1)*F18+INDEX(Symboles!$H$6:$H$101,MOD(40+$C18+(-2),$B$3)+1)*G18+INDEX(Symboles!$H$6:$H$101,MOD(40+$C18+(-1),$B$3)+1)*H18+INDEX(Symboles!$H$6:$H$101,MOD(40+$C18+(0),$B$3)+1)*I18+INDEX(Symboles!$H$6:$H$101,MOD(40+$C18+(1),$B$3)+1)*J18+INDEX(Symboles!$H$6:$H$101,MOD(40+$C18+(2),$B$3)+1)*K18+INDEX(Symboles!$H$6:$H$101,MOD(40+$C18+(3),$B$3)+1)*L18+INDEX(Symboles!$H$6:$H$101,MOD(40+$C18+(4),$B$3)+1)*M18+IF($B$6=0,0,$B$6*NORMSINV(0.000001+0.999998*RAND())))</f>
        <v/>
      </c>
      <c r="EX18" s="30">
        <f>IF(42&gt;$B$3,99,INDEX(Symboles!$H$6:$H$101,MOD(41+$C18+(-4),$B$3)+1)*E18+INDEX(Symboles!$H$6:$H$101,MOD(41+$C18+(-3),$B$3)+1)*F18+INDEX(Symboles!$H$6:$H$101,MOD(41+$C18+(-2),$B$3)+1)*G18+INDEX(Symboles!$H$6:$H$101,MOD(41+$C18+(-1),$B$3)+1)*H18+INDEX(Symboles!$H$6:$H$101,MOD(41+$C18+(0),$B$3)+1)*I18+INDEX(Symboles!$H$6:$H$101,MOD(41+$C18+(1),$B$3)+1)*J18+INDEX(Symboles!$H$6:$H$101,MOD(41+$C18+(2),$B$3)+1)*K18+INDEX(Symboles!$H$6:$H$101,MOD(41+$C18+(3),$B$3)+1)*L18+INDEX(Symboles!$H$6:$H$101,MOD(41+$C18+(4),$B$3)+1)*M18+IF($B$6=0,0,$B$6*NORMSINV(0.000001+0.999998*RAND())))</f>
        <v/>
      </c>
      <c r="EY18" s="30">
        <f>IF(43&gt;$B$3,99,INDEX(Symboles!$H$6:$H$101,MOD(42+$C18+(-4),$B$3)+1)*E18+INDEX(Symboles!$H$6:$H$101,MOD(42+$C18+(-3),$B$3)+1)*F18+INDEX(Symboles!$H$6:$H$101,MOD(42+$C18+(-2),$B$3)+1)*G18+INDEX(Symboles!$H$6:$H$101,MOD(42+$C18+(-1),$B$3)+1)*H18+INDEX(Symboles!$H$6:$H$101,MOD(42+$C18+(0),$B$3)+1)*I18+INDEX(Symboles!$H$6:$H$101,MOD(42+$C18+(1),$B$3)+1)*J18+INDEX(Symboles!$H$6:$H$101,MOD(42+$C18+(2),$B$3)+1)*K18+INDEX(Symboles!$H$6:$H$101,MOD(42+$C18+(3),$B$3)+1)*L18+INDEX(Symboles!$H$6:$H$101,MOD(42+$C18+(4),$B$3)+1)*M18+IF($B$6=0,0,$B$6*NORMSINV(0.000001+0.999998*RAND())))</f>
        <v/>
      </c>
      <c r="EZ18" s="30">
        <f>IF(44&gt;$B$3,99,INDEX(Symboles!$H$6:$H$101,MOD(43+$C18+(-4),$B$3)+1)*E18+INDEX(Symboles!$H$6:$H$101,MOD(43+$C18+(-3),$B$3)+1)*F18+INDEX(Symboles!$H$6:$H$101,MOD(43+$C18+(-2),$B$3)+1)*G18+INDEX(Symboles!$H$6:$H$101,MOD(43+$C18+(-1),$B$3)+1)*H18+INDEX(Symboles!$H$6:$H$101,MOD(43+$C18+(0),$B$3)+1)*I18+INDEX(Symboles!$H$6:$H$101,MOD(43+$C18+(1),$B$3)+1)*J18+INDEX(Symboles!$H$6:$H$101,MOD(43+$C18+(2),$B$3)+1)*K18+INDEX(Symboles!$H$6:$H$101,MOD(43+$C18+(3),$B$3)+1)*L18+INDEX(Symboles!$H$6:$H$101,MOD(43+$C18+(4),$B$3)+1)*M18+IF($B$6=0,0,$B$6*NORMSINV(0.000001+0.999998*RAND())))</f>
        <v/>
      </c>
      <c r="FA18" s="30">
        <f>IF(45&gt;$B$3,99,INDEX(Symboles!$H$6:$H$101,MOD(44+$C18+(-4),$B$3)+1)*E18+INDEX(Symboles!$H$6:$H$101,MOD(44+$C18+(-3),$B$3)+1)*F18+INDEX(Symboles!$H$6:$H$101,MOD(44+$C18+(-2),$B$3)+1)*G18+INDEX(Symboles!$H$6:$H$101,MOD(44+$C18+(-1),$B$3)+1)*H18+INDEX(Symboles!$H$6:$H$101,MOD(44+$C18+(0),$B$3)+1)*I18+INDEX(Symboles!$H$6:$H$101,MOD(44+$C18+(1),$B$3)+1)*J18+INDEX(Symboles!$H$6:$H$101,MOD(44+$C18+(2),$B$3)+1)*K18+INDEX(Symboles!$H$6:$H$101,MOD(44+$C18+(3),$B$3)+1)*L18+INDEX(Symboles!$H$6:$H$101,MOD(44+$C18+(4),$B$3)+1)*M18+IF($B$6=0,0,$B$6*NORMSINV(0.000001+0.999998*RAND())))</f>
        <v/>
      </c>
      <c r="FB18" s="30">
        <f>IF(46&gt;$B$3,99,INDEX(Symboles!$H$6:$H$101,MOD(45+$C18+(-4),$B$3)+1)*E18+INDEX(Symboles!$H$6:$H$101,MOD(45+$C18+(-3),$B$3)+1)*F18+INDEX(Symboles!$H$6:$H$101,MOD(45+$C18+(-2),$B$3)+1)*G18+INDEX(Symboles!$H$6:$H$101,MOD(45+$C18+(-1),$B$3)+1)*H18+INDEX(Symboles!$H$6:$H$101,MOD(45+$C18+(0),$B$3)+1)*I18+INDEX(Symboles!$H$6:$H$101,MOD(45+$C18+(1),$B$3)+1)*J18+INDEX(Symboles!$H$6:$H$101,MOD(45+$C18+(2),$B$3)+1)*K18+INDEX(Symboles!$H$6:$H$101,MOD(45+$C18+(3),$B$3)+1)*L18+INDEX(Symboles!$H$6:$H$101,MOD(45+$C18+(4),$B$3)+1)*M18+IF($B$6=0,0,$B$6*NORMSINV(0.000001+0.999998*RAND())))</f>
        <v/>
      </c>
      <c r="FC18" s="30">
        <f>IF(47&gt;$B$3,99,INDEX(Symboles!$H$6:$H$101,MOD(46+$C18+(-4),$B$3)+1)*E18+INDEX(Symboles!$H$6:$H$101,MOD(46+$C18+(-3),$B$3)+1)*F18+INDEX(Symboles!$H$6:$H$101,MOD(46+$C18+(-2),$B$3)+1)*G18+INDEX(Symboles!$H$6:$H$101,MOD(46+$C18+(-1),$B$3)+1)*H18+INDEX(Symboles!$H$6:$H$101,MOD(46+$C18+(0),$B$3)+1)*I18+INDEX(Symboles!$H$6:$H$101,MOD(46+$C18+(1),$B$3)+1)*J18+INDEX(Symboles!$H$6:$H$101,MOD(46+$C18+(2),$B$3)+1)*K18+INDEX(Symboles!$H$6:$H$101,MOD(46+$C18+(3),$B$3)+1)*L18+INDEX(Symboles!$H$6:$H$101,MOD(46+$C18+(4),$B$3)+1)*M18+IF($B$6=0,0,$B$6*NORMSINV(0.000001+0.999998*RAND())))</f>
        <v/>
      </c>
      <c r="FD18" s="30">
        <f>IF(48&gt;$B$3,99,INDEX(Symboles!$H$6:$H$101,MOD(47+$C18+(-4),$B$3)+1)*E18+INDEX(Symboles!$H$6:$H$101,MOD(47+$C18+(-3),$B$3)+1)*F18+INDEX(Symboles!$H$6:$H$101,MOD(47+$C18+(-2),$B$3)+1)*G18+INDEX(Symboles!$H$6:$H$101,MOD(47+$C18+(-1),$B$3)+1)*H18+INDEX(Symboles!$H$6:$H$101,MOD(47+$C18+(0),$B$3)+1)*I18+INDEX(Symboles!$H$6:$H$101,MOD(47+$C18+(1),$B$3)+1)*J18+INDEX(Symboles!$H$6:$H$101,MOD(47+$C18+(2),$B$3)+1)*K18+INDEX(Symboles!$H$6:$H$101,MOD(47+$C18+(3),$B$3)+1)*L18+INDEX(Symboles!$H$6:$H$101,MOD(47+$C18+(4),$B$3)+1)*M18+IF($B$6=0,0,$B$6*NORMSINV(0.000001+0.999998*RAND())))</f>
        <v/>
      </c>
      <c r="FE18" s="30">
        <f>IF(49&gt;$B$3,99,INDEX(Symboles!$H$6:$H$101,MOD(48+$C18+(-4),$B$3)+1)*E18+INDEX(Symboles!$H$6:$H$101,MOD(48+$C18+(-3),$B$3)+1)*F18+INDEX(Symboles!$H$6:$H$101,MOD(48+$C18+(-2),$B$3)+1)*G18+INDEX(Symboles!$H$6:$H$101,MOD(48+$C18+(-1),$B$3)+1)*H18+INDEX(Symboles!$H$6:$H$101,MOD(48+$C18+(0),$B$3)+1)*I18+INDEX(Symboles!$H$6:$H$101,MOD(48+$C18+(1),$B$3)+1)*J18+INDEX(Symboles!$H$6:$H$101,MOD(48+$C18+(2),$B$3)+1)*K18+INDEX(Symboles!$H$6:$H$101,MOD(48+$C18+(3),$B$3)+1)*L18+INDEX(Symboles!$H$6:$H$101,MOD(48+$C18+(4),$B$3)+1)*M18+IF($B$6=0,0,$B$6*NORMSINV(0.000001+0.999998*RAND())))</f>
        <v/>
      </c>
      <c r="FF18" s="30">
        <f>IF(50&gt;$B$3,99,INDEX(Symboles!$H$6:$H$101,MOD(49+$C18+(-4),$B$3)+1)*E18+INDEX(Symboles!$H$6:$H$101,MOD(49+$C18+(-3),$B$3)+1)*F18+INDEX(Symboles!$H$6:$H$101,MOD(49+$C18+(-2),$B$3)+1)*G18+INDEX(Symboles!$H$6:$H$101,MOD(49+$C18+(-1),$B$3)+1)*H18+INDEX(Symboles!$H$6:$H$101,MOD(49+$C18+(0),$B$3)+1)*I18+INDEX(Symboles!$H$6:$H$101,MOD(49+$C18+(1),$B$3)+1)*J18+INDEX(Symboles!$H$6:$H$101,MOD(49+$C18+(2),$B$3)+1)*K18+INDEX(Symboles!$H$6:$H$101,MOD(49+$C18+(3),$B$3)+1)*L18+INDEX(Symboles!$H$6:$H$101,MOD(49+$C18+(4),$B$3)+1)*M18+IF($B$6=0,0,$B$6*NORMSINV(0.000001+0.999998*RAND())))</f>
        <v/>
      </c>
      <c r="FG18" s="30">
        <f>IF(51&gt;$B$3,99,INDEX(Symboles!$H$6:$H$101,MOD(50+$C18+(-4),$B$3)+1)*E18+INDEX(Symboles!$H$6:$H$101,MOD(50+$C18+(-3),$B$3)+1)*F18+INDEX(Symboles!$H$6:$H$101,MOD(50+$C18+(-2),$B$3)+1)*G18+INDEX(Symboles!$H$6:$H$101,MOD(50+$C18+(-1),$B$3)+1)*H18+INDEX(Symboles!$H$6:$H$101,MOD(50+$C18+(0),$B$3)+1)*I18+INDEX(Symboles!$H$6:$H$101,MOD(50+$C18+(1),$B$3)+1)*J18+INDEX(Symboles!$H$6:$H$101,MOD(50+$C18+(2),$B$3)+1)*K18+INDEX(Symboles!$H$6:$H$101,MOD(50+$C18+(3),$B$3)+1)*L18+INDEX(Symboles!$H$6:$H$101,MOD(50+$C18+(4),$B$3)+1)*M18+IF($B$6=0,0,$B$6*NORMSINV(0.000001+0.999998*RAND())))</f>
        <v/>
      </c>
      <c r="FH18" s="30">
        <f>IF(52&gt;$B$3,99,INDEX(Symboles!$H$6:$H$101,MOD(51+$C18+(-4),$B$3)+1)*E18+INDEX(Symboles!$H$6:$H$101,MOD(51+$C18+(-3),$B$3)+1)*F18+INDEX(Symboles!$H$6:$H$101,MOD(51+$C18+(-2),$B$3)+1)*G18+INDEX(Symboles!$H$6:$H$101,MOD(51+$C18+(-1),$B$3)+1)*H18+INDEX(Symboles!$H$6:$H$101,MOD(51+$C18+(0),$B$3)+1)*I18+INDEX(Symboles!$H$6:$H$101,MOD(51+$C18+(1),$B$3)+1)*J18+INDEX(Symboles!$H$6:$H$101,MOD(51+$C18+(2),$B$3)+1)*K18+INDEX(Symboles!$H$6:$H$101,MOD(51+$C18+(3),$B$3)+1)*L18+INDEX(Symboles!$H$6:$H$101,MOD(51+$C18+(4),$B$3)+1)*M18+IF($B$6=0,0,$B$6*NORMSINV(0.000001+0.999998*RAND())))</f>
        <v/>
      </c>
      <c r="FI18" s="30">
        <f>IF(53&gt;$B$3,99,INDEX(Symboles!$H$6:$H$101,MOD(52+$C18+(-4),$B$3)+1)*E18+INDEX(Symboles!$H$6:$H$101,MOD(52+$C18+(-3),$B$3)+1)*F18+INDEX(Symboles!$H$6:$H$101,MOD(52+$C18+(-2),$B$3)+1)*G18+INDEX(Symboles!$H$6:$H$101,MOD(52+$C18+(-1),$B$3)+1)*H18+INDEX(Symboles!$H$6:$H$101,MOD(52+$C18+(0),$B$3)+1)*I18+INDEX(Symboles!$H$6:$H$101,MOD(52+$C18+(1),$B$3)+1)*J18+INDEX(Symboles!$H$6:$H$101,MOD(52+$C18+(2),$B$3)+1)*K18+INDEX(Symboles!$H$6:$H$101,MOD(52+$C18+(3),$B$3)+1)*L18+INDEX(Symboles!$H$6:$H$101,MOD(52+$C18+(4),$B$3)+1)*M18+IF($B$6=0,0,$B$6*NORMSINV(0.000001+0.999998*RAND())))</f>
        <v/>
      </c>
      <c r="FJ18" s="30">
        <f>IF(54&gt;$B$3,99,INDEX(Symboles!$H$6:$H$101,MOD(53+$C18+(-4),$B$3)+1)*E18+INDEX(Symboles!$H$6:$H$101,MOD(53+$C18+(-3),$B$3)+1)*F18+INDEX(Symboles!$H$6:$H$101,MOD(53+$C18+(-2),$B$3)+1)*G18+INDEX(Symboles!$H$6:$H$101,MOD(53+$C18+(-1),$B$3)+1)*H18+INDEX(Symboles!$H$6:$H$101,MOD(53+$C18+(0),$B$3)+1)*I18+INDEX(Symboles!$H$6:$H$101,MOD(53+$C18+(1),$B$3)+1)*J18+INDEX(Symboles!$H$6:$H$101,MOD(53+$C18+(2),$B$3)+1)*K18+INDEX(Symboles!$H$6:$H$101,MOD(53+$C18+(3),$B$3)+1)*L18+INDEX(Symboles!$H$6:$H$101,MOD(53+$C18+(4),$B$3)+1)*M18+IF($B$6=0,0,$B$6*NORMSINV(0.000001+0.999998*RAND())))</f>
        <v/>
      </c>
      <c r="FK18" s="30">
        <f>IF(55&gt;$B$3,99,INDEX(Symboles!$H$6:$H$101,MOD(54+$C18+(-4),$B$3)+1)*E18+INDEX(Symboles!$H$6:$H$101,MOD(54+$C18+(-3),$B$3)+1)*F18+INDEX(Symboles!$H$6:$H$101,MOD(54+$C18+(-2),$B$3)+1)*G18+INDEX(Symboles!$H$6:$H$101,MOD(54+$C18+(-1),$B$3)+1)*H18+INDEX(Symboles!$H$6:$H$101,MOD(54+$C18+(0),$B$3)+1)*I18+INDEX(Symboles!$H$6:$H$101,MOD(54+$C18+(1),$B$3)+1)*J18+INDEX(Symboles!$H$6:$H$101,MOD(54+$C18+(2),$B$3)+1)*K18+INDEX(Symboles!$H$6:$H$101,MOD(54+$C18+(3),$B$3)+1)*L18+INDEX(Symboles!$H$6:$H$101,MOD(54+$C18+(4),$B$3)+1)*M18+IF($B$6=0,0,$B$6*NORMSINV(0.000001+0.999998*RAND())))</f>
        <v/>
      </c>
      <c r="FL18" s="30">
        <f>IF(56&gt;$B$3,99,INDEX(Symboles!$H$6:$H$101,MOD(55+$C18+(-4),$B$3)+1)*E18+INDEX(Symboles!$H$6:$H$101,MOD(55+$C18+(-3),$B$3)+1)*F18+INDEX(Symboles!$H$6:$H$101,MOD(55+$C18+(-2),$B$3)+1)*G18+INDEX(Symboles!$H$6:$H$101,MOD(55+$C18+(-1),$B$3)+1)*H18+INDEX(Symboles!$H$6:$H$101,MOD(55+$C18+(0),$B$3)+1)*I18+INDEX(Symboles!$H$6:$H$101,MOD(55+$C18+(1),$B$3)+1)*J18+INDEX(Symboles!$H$6:$H$101,MOD(55+$C18+(2),$B$3)+1)*K18+INDEX(Symboles!$H$6:$H$101,MOD(55+$C18+(3),$B$3)+1)*L18+INDEX(Symboles!$H$6:$H$101,MOD(55+$C18+(4),$B$3)+1)*M18+IF($B$6=0,0,$B$6*NORMSINV(0.000001+0.999998*RAND())))</f>
        <v/>
      </c>
      <c r="FM18" s="30">
        <f>IF(57&gt;$B$3,99,INDEX(Symboles!$H$6:$H$101,MOD(56+$C18+(-4),$B$3)+1)*E18+INDEX(Symboles!$H$6:$H$101,MOD(56+$C18+(-3),$B$3)+1)*F18+INDEX(Symboles!$H$6:$H$101,MOD(56+$C18+(-2),$B$3)+1)*G18+INDEX(Symboles!$H$6:$H$101,MOD(56+$C18+(-1),$B$3)+1)*H18+INDEX(Symboles!$H$6:$H$101,MOD(56+$C18+(0),$B$3)+1)*I18+INDEX(Symboles!$H$6:$H$101,MOD(56+$C18+(1),$B$3)+1)*J18+INDEX(Symboles!$H$6:$H$101,MOD(56+$C18+(2),$B$3)+1)*K18+INDEX(Symboles!$H$6:$H$101,MOD(56+$C18+(3),$B$3)+1)*L18+INDEX(Symboles!$H$6:$H$101,MOD(56+$C18+(4),$B$3)+1)*M18+IF($B$6=0,0,$B$6*NORMSINV(0.000001+0.999998*RAND())))</f>
        <v/>
      </c>
      <c r="FN18" s="30">
        <f>IF(58&gt;$B$3,99,INDEX(Symboles!$H$6:$H$101,MOD(57+$C18+(-4),$B$3)+1)*E18+INDEX(Symboles!$H$6:$H$101,MOD(57+$C18+(-3),$B$3)+1)*F18+INDEX(Symboles!$H$6:$H$101,MOD(57+$C18+(-2),$B$3)+1)*G18+INDEX(Symboles!$H$6:$H$101,MOD(57+$C18+(-1),$B$3)+1)*H18+INDEX(Symboles!$H$6:$H$101,MOD(57+$C18+(0),$B$3)+1)*I18+INDEX(Symboles!$H$6:$H$101,MOD(57+$C18+(1),$B$3)+1)*J18+INDEX(Symboles!$H$6:$H$101,MOD(57+$C18+(2),$B$3)+1)*K18+INDEX(Symboles!$H$6:$H$101,MOD(57+$C18+(3),$B$3)+1)*L18+INDEX(Symboles!$H$6:$H$101,MOD(57+$C18+(4),$B$3)+1)*M18+IF($B$6=0,0,$B$6*NORMSINV(0.000001+0.999998*RAND())))</f>
        <v/>
      </c>
      <c r="FO18" s="30">
        <f>IF(59&gt;$B$3,99,INDEX(Symboles!$H$6:$H$101,MOD(58+$C18+(-4),$B$3)+1)*E18+INDEX(Symboles!$H$6:$H$101,MOD(58+$C18+(-3),$B$3)+1)*F18+INDEX(Symboles!$H$6:$H$101,MOD(58+$C18+(-2),$B$3)+1)*G18+INDEX(Symboles!$H$6:$H$101,MOD(58+$C18+(-1),$B$3)+1)*H18+INDEX(Symboles!$H$6:$H$101,MOD(58+$C18+(0),$B$3)+1)*I18+INDEX(Symboles!$H$6:$H$101,MOD(58+$C18+(1),$B$3)+1)*J18+INDEX(Symboles!$H$6:$H$101,MOD(58+$C18+(2),$B$3)+1)*K18+INDEX(Symboles!$H$6:$H$101,MOD(58+$C18+(3),$B$3)+1)*L18+INDEX(Symboles!$H$6:$H$101,MOD(58+$C18+(4),$B$3)+1)*M18+IF($B$6=0,0,$B$6*NORMSINV(0.000001+0.999998*RAND())))</f>
        <v/>
      </c>
      <c r="FP18" s="30">
        <f>IF(60&gt;$B$3,99,INDEX(Symboles!$H$6:$H$101,MOD(59+$C18+(-4),$B$3)+1)*E18+INDEX(Symboles!$H$6:$H$101,MOD(59+$C18+(-3),$B$3)+1)*F18+INDEX(Symboles!$H$6:$H$101,MOD(59+$C18+(-2),$B$3)+1)*G18+INDEX(Symboles!$H$6:$H$101,MOD(59+$C18+(-1),$B$3)+1)*H18+INDEX(Symboles!$H$6:$H$101,MOD(59+$C18+(0),$B$3)+1)*I18+INDEX(Symboles!$H$6:$H$101,MOD(59+$C18+(1),$B$3)+1)*J18+INDEX(Symboles!$H$6:$H$101,MOD(59+$C18+(2),$B$3)+1)*K18+INDEX(Symboles!$H$6:$H$101,MOD(59+$C18+(3),$B$3)+1)*L18+INDEX(Symboles!$H$6:$H$101,MOD(59+$C18+(4),$B$3)+1)*M18+IF($B$6=0,0,$B$6*NORMSINV(0.000001+0.999998*RAND())))</f>
        <v/>
      </c>
      <c r="FQ18" s="30">
        <f>IF(61&gt;$B$3,99,INDEX(Symboles!$H$6:$H$101,MOD(60+$C18+(-4),$B$3)+1)*E18+INDEX(Symboles!$H$6:$H$101,MOD(60+$C18+(-3),$B$3)+1)*F18+INDEX(Symboles!$H$6:$H$101,MOD(60+$C18+(-2),$B$3)+1)*G18+INDEX(Symboles!$H$6:$H$101,MOD(60+$C18+(-1),$B$3)+1)*H18+INDEX(Symboles!$H$6:$H$101,MOD(60+$C18+(0),$B$3)+1)*I18+INDEX(Symboles!$H$6:$H$101,MOD(60+$C18+(1),$B$3)+1)*J18+INDEX(Symboles!$H$6:$H$101,MOD(60+$C18+(2),$B$3)+1)*K18+INDEX(Symboles!$H$6:$H$101,MOD(60+$C18+(3),$B$3)+1)*L18+INDEX(Symboles!$H$6:$H$101,MOD(60+$C18+(4),$B$3)+1)*M18+IF($B$6=0,0,$B$6*NORMSINV(0.000001+0.999998*RAND())))</f>
        <v/>
      </c>
      <c r="FR18" s="30">
        <f>IF(62&gt;$B$3,99,INDEX(Symboles!$H$6:$H$101,MOD(61+$C18+(-4),$B$3)+1)*E18+INDEX(Symboles!$H$6:$H$101,MOD(61+$C18+(-3),$B$3)+1)*F18+INDEX(Symboles!$H$6:$H$101,MOD(61+$C18+(-2),$B$3)+1)*G18+INDEX(Symboles!$H$6:$H$101,MOD(61+$C18+(-1),$B$3)+1)*H18+INDEX(Symboles!$H$6:$H$101,MOD(61+$C18+(0),$B$3)+1)*I18+INDEX(Symboles!$H$6:$H$101,MOD(61+$C18+(1),$B$3)+1)*J18+INDEX(Symboles!$H$6:$H$101,MOD(61+$C18+(2),$B$3)+1)*K18+INDEX(Symboles!$H$6:$H$101,MOD(61+$C18+(3),$B$3)+1)*L18+INDEX(Symboles!$H$6:$H$101,MOD(61+$C18+(4),$B$3)+1)*M18+IF($B$6=0,0,$B$6*NORMSINV(0.000001+0.999998*RAND())))</f>
        <v/>
      </c>
      <c r="FS18" s="30">
        <f>IF(63&gt;$B$3,99,INDEX(Symboles!$H$6:$H$101,MOD(62+$C18+(-4),$B$3)+1)*E18+INDEX(Symboles!$H$6:$H$101,MOD(62+$C18+(-3),$B$3)+1)*F18+INDEX(Symboles!$H$6:$H$101,MOD(62+$C18+(-2),$B$3)+1)*G18+INDEX(Symboles!$H$6:$H$101,MOD(62+$C18+(-1),$B$3)+1)*H18+INDEX(Symboles!$H$6:$H$101,MOD(62+$C18+(0),$B$3)+1)*I18+INDEX(Symboles!$H$6:$H$101,MOD(62+$C18+(1),$B$3)+1)*J18+INDEX(Symboles!$H$6:$H$101,MOD(62+$C18+(2),$B$3)+1)*K18+INDEX(Symboles!$H$6:$H$101,MOD(62+$C18+(3),$B$3)+1)*L18+INDEX(Symboles!$H$6:$H$101,MOD(62+$C18+(4),$B$3)+1)*M18+IF($B$6=0,0,$B$6*NORMSINV(0.000001+0.999998*RAND())))</f>
        <v/>
      </c>
      <c r="FT18" s="30">
        <f>IF(64&gt;$B$3,99,INDEX(Symboles!$H$6:$H$101,MOD(63+$C18+(-4),$B$3)+1)*E18+INDEX(Symboles!$H$6:$H$101,MOD(63+$C18+(-3),$B$3)+1)*F18+INDEX(Symboles!$H$6:$H$101,MOD(63+$C18+(-2),$B$3)+1)*G18+INDEX(Symboles!$H$6:$H$101,MOD(63+$C18+(-1),$B$3)+1)*H18+INDEX(Symboles!$H$6:$H$101,MOD(63+$C18+(0),$B$3)+1)*I18+INDEX(Symboles!$H$6:$H$101,MOD(63+$C18+(1),$B$3)+1)*J18+INDEX(Symboles!$H$6:$H$101,MOD(63+$C18+(2),$B$3)+1)*K18+INDEX(Symboles!$H$6:$H$101,MOD(63+$C18+(3),$B$3)+1)*L18+INDEX(Symboles!$H$6:$H$101,MOD(63+$C18+(4),$B$3)+1)*M18+IF($B$6=0,0,$B$6*NORMSINV(0.000001+0.999998*RAND())))</f>
        <v/>
      </c>
      <c r="FU18" s="30">
        <f>IF(65&gt;$B$3,99,INDEX(Symboles!$H$6:$H$101,MOD(64+$C18+(-4),$B$3)+1)*E18+INDEX(Symboles!$H$6:$H$101,MOD(64+$C18+(-3),$B$3)+1)*F18+INDEX(Symboles!$H$6:$H$101,MOD(64+$C18+(-2),$B$3)+1)*G18+INDEX(Symboles!$H$6:$H$101,MOD(64+$C18+(-1),$B$3)+1)*H18+INDEX(Symboles!$H$6:$H$101,MOD(64+$C18+(0),$B$3)+1)*I18+INDEX(Symboles!$H$6:$H$101,MOD(64+$C18+(1),$B$3)+1)*J18+INDEX(Symboles!$H$6:$H$101,MOD(64+$C18+(2),$B$3)+1)*K18+INDEX(Symboles!$H$6:$H$101,MOD(64+$C18+(3),$B$3)+1)*L18+INDEX(Symboles!$H$6:$H$101,MOD(64+$C18+(4),$B$3)+1)*M18+IF($B$6=0,0,$B$6*NORMSINV(0.000001+0.999998*RAND())))</f>
        <v/>
      </c>
      <c r="FV18" s="30">
        <f>IF(66&gt;$B$3,99,INDEX(Symboles!$H$6:$H$101,MOD(65+$C18+(-4),$B$3)+1)*E18+INDEX(Symboles!$H$6:$H$101,MOD(65+$C18+(-3),$B$3)+1)*F18+INDEX(Symboles!$H$6:$H$101,MOD(65+$C18+(-2),$B$3)+1)*G18+INDEX(Symboles!$H$6:$H$101,MOD(65+$C18+(-1),$B$3)+1)*H18+INDEX(Symboles!$H$6:$H$101,MOD(65+$C18+(0),$B$3)+1)*I18+INDEX(Symboles!$H$6:$H$101,MOD(65+$C18+(1),$B$3)+1)*J18+INDEX(Symboles!$H$6:$H$101,MOD(65+$C18+(2),$B$3)+1)*K18+INDEX(Symboles!$H$6:$H$101,MOD(65+$C18+(3),$B$3)+1)*L18+INDEX(Symboles!$H$6:$H$101,MOD(65+$C18+(4),$B$3)+1)*M18+IF($B$6=0,0,$B$6*NORMSINV(0.000001+0.999998*RAND())))</f>
        <v/>
      </c>
      <c r="FW18" s="30">
        <f>IF(67&gt;$B$3,99,INDEX(Symboles!$H$6:$H$101,MOD(66+$C18+(-4),$B$3)+1)*E18+INDEX(Symboles!$H$6:$H$101,MOD(66+$C18+(-3),$B$3)+1)*F18+INDEX(Symboles!$H$6:$H$101,MOD(66+$C18+(-2),$B$3)+1)*G18+INDEX(Symboles!$H$6:$H$101,MOD(66+$C18+(-1),$B$3)+1)*H18+INDEX(Symboles!$H$6:$H$101,MOD(66+$C18+(0),$B$3)+1)*I18+INDEX(Symboles!$H$6:$H$101,MOD(66+$C18+(1),$B$3)+1)*J18+INDEX(Symboles!$H$6:$H$101,MOD(66+$C18+(2),$B$3)+1)*K18+INDEX(Symboles!$H$6:$H$101,MOD(66+$C18+(3),$B$3)+1)*L18+INDEX(Symboles!$H$6:$H$101,MOD(66+$C18+(4),$B$3)+1)*M18+IF($B$6=0,0,$B$6*NORMSINV(0.000001+0.999998*RAND())))</f>
        <v/>
      </c>
      <c r="FX18" s="30">
        <f>IF(68&gt;$B$3,99,INDEX(Symboles!$H$6:$H$101,MOD(67+$C18+(-4),$B$3)+1)*E18+INDEX(Symboles!$H$6:$H$101,MOD(67+$C18+(-3),$B$3)+1)*F18+INDEX(Symboles!$H$6:$H$101,MOD(67+$C18+(-2),$B$3)+1)*G18+INDEX(Symboles!$H$6:$H$101,MOD(67+$C18+(-1),$B$3)+1)*H18+INDEX(Symboles!$H$6:$H$101,MOD(67+$C18+(0),$B$3)+1)*I18+INDEX(Symboles!$H$6:$H$101,MOD(67+$C18+(1),$B$3)+1)*J18+INDEX(Symboles!$H$6:$H$101,MOD(67+$C18+(2),$B$3)+1)*K18+INDEX(Symboles!$H$6:$H$101,MOD(67+$C18+(3),$B$3)+1)*L18+INDEX(Symboles!$H$6:$H$101,MOD(67+$C18+(4),$B$3)+1)*M18+IF($B$6=0,0,$B$6*NORMSINV(0.000001+0.999998*RAND())))</f>
        <v/>
      </c>
      <c r="FY18" s="30">
        <f>IF(69&gt;$B$3,99,INDEX(Symboles!$H$6:$H$101,MOD(68+$C18+(-4),$B$3)+1)*E18+INDEX(Symboles!$H$6:$H$101,MOD(68+$C18+(-3),$B$3)+1)*F18+INDEX(Symboles!$H$6:$H$101,MOD(68+$C18+(-2),$B$3)+1)*G18+INDEX(Symboles!$H$6:$H$101,MOD(68+$C18+(-1),$B$3)+1)*H18+INDEX(Symboles!$H$6:$H$101,MOD(68+$C18+(0),$B$3)+1)*I18+INDEX(Symboles!$H$6:$H$101,MOD(68+$C18+(1),$B$3)+1)*J18+INDEX(Symboles!$H$6:$H$101,MOD(68+$C18+(2),$B$3)+1)*K18+INDEX(Symboles!$H$6:$H$101,MOD(68+$C18+(3),$B$3)+1)*L18+INDEX(Symboles!$H$6:$H$101,MOD(68+$C18+(4),$B$3)+1)*M18+IF($B$6=0,0,$B$6*NORMSINV(0.000001+0.999998*RAND())))</f>
        <v/>
      </c>
      <c r="FZ18" s="30">
        <f>IF(70&gt;$B$3,99,INDEX(Symboles!$H$6:$H$101,MOD(69+$C18+(-4),$B$3)+1)*E18+INDEX(Symboles!$H$6:$H$101,MOD(69+$C18+(-3),$B$3)+1)*F18+INDEX(Symboles!$H$6:$H$101,MOD(69+$C18+(-2),$B$3)+1)*G18+INDEX(Symboles!$H$6:$H$101,MOD(69+$C18+(-1),$B$3)+1)*H18+INDEX(Symboles!$H$6:$H$101,MOD(69+$C18+(0),$B$3)+1)*I18+INDEX(Symboles!$H$6:$H$101,MOD(69+$C18+(1),$B$3)+1)*J18+INDEX(Symboles!$H$6:$H$101,MOD(69+$C18+(2),$B$3)+1)*K18+INDEX(Symboles!$H$6:$H$101,MOD(69+$C18+(3),$B$3)+1)*L18+INDEX(Symboles!$H$6:$H$101,MOD(69+$C18+(4),$B$3)+1)*M18+IF($B$6=0,0,$B$6*NORMSINV(0.000001+0.999998*RAND())))</f>
        <v/>
      </c>
      <c r="GA18" s="30">
        <f>IF(71&gt;$B$3,99,INDEX(Symboles!$H$6:$H$101,MOD(70+$C18+(-4),$B$3)+1)*E18+INDEX(Symboles!$H$6:$H$101,MOD(70+$C18+(-3),$B$3)+1)*F18+INDEX(Symboles!$H$6:$H$101,MOD(70+$C18+(-2),$B$3)+1)*G18+INDEX(Symboles!$H$6:$H$101,MOD(70+$C18+(-1),$B$3)+1)*H18+INDEX(Symboles!$H$6:$H$101,MOD(70+$C18+(0),$B$3)+1)*I18+INDEX(Symboles!$H$6:$H$101,MOD(70+$C18+(1),$B$3)+1)*J18+INDEX(Symboles!$H$6:$H$101,MOD(70+$C18+(2),$B$3)+1)*K18+INDEX(Symboles!$H$6:$H$101,MOD(70+$C18+(3),$B$3)+1)*L18+INDEX(Symboles!$H$6:$H$101,MOD(70+$C18+(4),$B$3)+1)*M18+IF($B$6=0,0,$B$6*NORMSINV(0.000001+0.999998*RAND())))</f>
        <v/>
      </c>
      <c r="GB18" s="30">
        <f>IF(72&gt;$B$3,99,INDEX(Symboles!$H$6:$H$101,MOD(71+$C18+(-4),$B$3)+1)*E18+INDEX(Symboles!$H$6:$H$101,MOD(71+$C18+(-3),$B$3)+1)*F18+INDEX(Symboles!$H$6:$H$101,MOD(71+$C18+(-2),$B$3)+1)*G18+INDEX(Symboles!$H$6:$H$101,MOD(71+$C18+(-1),$B$3)+1)*H18+INDEX(Symboles!$H$6:$H$101,MOD(71+$C18+(0),$B$3)+1)*I18+INDEX(Symboles!$H$6:$H$101,MOD(71+$C18+(1),$B$3)+1)*J18+INDEX(Symboles!$H$6:$H$101,MOD(71+$C18+(2),$B$3)+1)*K18+INDEX(Symboles!$H$6:$H$101,MOD(71+$C18+(3),$B$3)+1)*L18+INDEX(Symboles!$H$6:$H$101,MOD(71+$C18+(4),$B$3)+1)*M18+IF($B$6=0,0,$B$6*NORMSINV(0.000001+0.999998*RAND())))</f>
        <v/>
      </c>
      <c r="GC18" s="30">
        <f>IF(73&gt;$B$3,99,INDEX(Symboles!$H$6:$H$101,MOD(72+$C18+(-4),$B$3)+1)*E18+INDEX(Symboles!$H$6:$H$101,MOD(72+$C18+(-3),$B$3)+1)*F18+INDEX(Symboles!$H$6:$H$101,MOD(72+$C18+(-2),$B$3)+1)*G18+INDEX(Symboles!$H$6:$H$101,MOD(72+$C18+(-1),$B$3)+1)*H18+INDEX(Symboles!$H$6:$H$101,MOD(72+$C18+(0),$B$3)+1)*I18+INDEX(Symboles!$H$6:$H$101,MOD(72+$C18+(1),$B$3)+1)*J18+INDEX(Symboles!$H$6:$H$101,MOD(72+$C18+(2),$B$3)+1)*K18+INDEX(Symboles!$H$6:$H$101,MOD(72+$C18+(3),$B$3)+1)*L18+INDEX(Symboles!$H$6:$H$101,MOD(72+$C18+(4),$B$3)+1)*M18+IF($B$6=0,0,$B$6*NORMSINV(0.000001+0.999998*RAND())))</f>
        <v/>
      </c>
      <c r="GD18" s="30">
        <f>IF(74&gt;$B$3,99,INDEX(Symboles!$H$6:$H$101,MOD(73+$C18+(-4),$B$3)+1)*E18+INDEX(Symboles!$H$6:$H$101,MOD(73+$C18+(-3),$B$3)+1)*F18+INDEX(Symboles!$H$6:$H$101,MOD(73+$C18+(-2),$B$3)+1)*G18+INDEX(Symboles!$H$6:$H$101,MOD(73+$C18+(-1),$B$3)+1)*H18+INDEX(Symboles!$H$6:$H$101,MOD(73+$C18+(0),$B$3)+1)*I18+INDEX(Symboles!$H$6:$H$101,MOD(73+$C18+(1),$B$3)+1)*J18+INDEX(Symboles!$H$6:$H$101,MOD(73+$C18+(2),$B$3)+1)*K18+INDEX(Symboles!$H$6:$H$101,MOD(73+$C18+(3),$B$3)+1)*L18+INDEX(Symboles!$H$6:$H$101,MOD(73+$C18+(4),$B$3)+1)*M18+IF($B$6=0,0,$B$6*NORMSINV(0.000001+0.999998*RAND())))</f>
        <v/>
      </c>
      <c r="GE18" s="30">
        <f>IF(75&gt;$B$3,99,INDEX(Symboles!$H$6:$H$101,MOD(74+$C18+(-4),$B$3)+1)*E18+INDEX(Symboles!$H$6:$H$101,MOD(74+$C18+(-3),$B$3)+1)*F18+INDEX(Symboles!$H$6:$H$101,MOD(74+$C18+(-2),$B$3)+1)*G18+INDEX(Symboles!$H$6:$H$101,MOD(74+$C18+(-1),$B$3)+1)*H18+INDEX(Symboles!$H$6:$H$101,MOD(74+$C18+(0),$B$3)+1)*I18+INDEX(Symboles!$H$6:$H$101,MOD(74+$C18+(1),$B$3)+1)*J18+INDEX(Symboles!$H$6:$H$101,MOD(74+$C18+(2),$B$3)+1)*K18+INDEX(Symboles!$H$6:$H$101,MOD(74+$C18+(3),$B$3)+1)*L18+INDEX(Symboles!$H$6:$H$101,MOD(74+$C18+(4),$B$3)+1)*M18+IF($B$6=0,0,$B$6*NORMSINV(0.000001+0.999998*RAND())))</f>
        <v/>
      </c>
      <c r="GF18" s="30">
        <f>IF(76&gt;$B$3,99,INDEX(Symboles!$H$6:$H$101,MOD(75+$C18+(-4),$B$3)+1)*E18+INDEX(Symboles!$H$6:$H$101,MOD(75+$C18+(-3),$B$3)+1)*F18+INDEX(Symboles!$H$6:$H$101,MOD(75+$C18+(-2),$B$3)+1)*G18+INDEX(Symboles!$H$6:$H$101,MOD(75+$C18+(-1),$B$3)+1)*H18+INDEX(Symboles!$H$6:$H$101,MOD(75+$C18+(0),$B$3)+1)*I18+INDEX(Symboles!$H$6:$H$101,MOD(75+$C18+(1),$B$3)+1)*J18+INDEX(Symboles!$H$6:$H$101,MOD(75+$C18+(2),$B$3)+1)*K18+INDEX(Symboles!$H$6:$H$101,MOD(75+$C18+(3),$B$3)+1)*L18+INDEX(Symboles!$H$6:$H$101,MOD(75+$C18+(4),$B$3)+1)*M18+IF($B$6=0,0,$B$6*NORMSINV(0.000001+0.999998*RAND())))</f>
        <v/>
      </c>
      <c r="GG18" s="30">
        <f>IF(77&gt;$B$3,99,INDEX(Symboles!$H$6:$H$101,MOD(76+$C18+(-4),$B$3)+1)*E18+INDEX(Symboles!$H$6:$H$101,MOD(76+$C18+(-3),$B$3)+1)*F18+INDEX(Symboles!$H$6:$H$101,MOD(76+$C18+(-2),$B$3)+1)*G18+INDEX(Symboles!$H$6:$H$101,MOD(76+$C18+(-1),$B$3)+1)*H18+INDEX(Symboles!$H$6:$H$101,MOD(76+$C18+(0),$B$3)+1)*I18+INDEX(Symboles!$H$6:$H$101,MOD(76+$C18+(1),$B$3)+1)*J18+INDEX(Symboles!$H$6:$H$101,MOD(76+$C18+(2),$B$3)+1)*K18+INDEX(Symboles!$H$6:$H$101,MOD(76+$C18+(3),$B$3)+1)*L18+INDEX(Symboles!$H$6:$H$101,MOD(76+$C18+(4),$B$3)+1)*M18+IF($B$6=0,0,$B$6*NORMSINV(0.000001+0.999998*RAND())))</f>
        <v/>
      </c>
      <c r="GH18" s="30">
        <f>IF(78&gt;$B$3,99,INDEX(Symboles!$H$6:$H$101,MOD(77+$C18+(-4),$B$3)+1)*E18+INDEX(Symboles!$H$6:$H$101,MOD(77+$C18+(-3),$B$3)+1)*F18+INDEX(Symboles!$H$6:$H$101,MOD(77+$C18+(-2),$B$3)+1)*G18+INDEX(Symboles!$H$6:$H$101,MOD(77+$C18+(-1),$B$3)+1)*H18+INDEX(Symboles!$H$6:$H$101,MOD(77+$C18+(0),$B$3)+1)*I18+INDEX(Symboles!$H$6:$H$101,MOD(77+$C18+(1),$B$3)+1)*J18+INDEX(Symboles!$H$6:$H$101,MOD(77+$C18+(2),$B$3)+1)*K18+INDEX(Symboles!$H$6:$H$101,MOD(77+$C18+(3),$B$3)+1)*L18+INDEX(Symboles!$H$6:$H$101,MOD(77+$C18+(4),$B$3)+1)*M18+IF($B$6=0,0,$B$6*NORMSINV(0.000001+0.999998*RAND())))</f>
        <v/>
      </c>
      <c r="GI18" s="30">
        <f>IF(79&gt;$B$3,99,INDEX(Symboles!$H$6:$H$101,MOD(78+$C18+(-4),$B$3)+1)*E18+INDEX(Symboles!$H$6:$H$101,MOD(78+$C18+(-3),$B$3)+1)*F18+INDEX(Symboles!$H$6:$H$101,MOD(78+$C18+(-2),$B$3)+1)*G18+INDEX(Symboles!$H$6:$H$101,MOD(78+$C18+(-1),$B$3)+1)*H18+INDEX(Symboles!$H$6:$H$101,MOD(78+$C18+(0),$B$3)+1)*I18+INDEX(Symboles!$H$6:$H$101,MOD(78+$C18+(1),$B$3)+1)*J18+INDEX(Symboles!$H$6:$H$101,MOD(78+$C18+(2),$B$3)+1)*K18+INDEX(Symboles!$H$6:$H$101,MOD(78+$C18+(3),$B$3)+1)*L18+INDEX(Symboles!$H$6:$H$101,MOD(78+$C18+(4),$B$3)+1)*M18+IF($B$6=0,0,$B$6*NORMSINV(0.000001+0.999998*RAND())))</f>
        <v/>
      </c>
      <c r="GJ18" s="30">
        <f>IF(80&gt;$B$3,99,INDEX(Symboles!$H$6:$H$101,MOD(79+$C18+(-4),$B$3)+1)*E18+INDEX(Symboles!$H$6:$H$101,MOD(79+$C18+(-3),$B$3)+1)*F18+INDEX(Symboles!$H$6:$H$101,MOD(79+$C18+(-2),$B$3)+1)*G18+INDEX(Symboles!$H$6:$H$101,MOD(79+$C18+(-1),$B$3)+1)*H18+INDEX(Symboles!$H$6:$H$101,MOD(79+$C18+(0),$B$3)+1)*I18+INDEX(Symboles!$H$6:$H$101,MOD(79+$C18+(1),$B$3)+1)*J18+INDEX(Symboles!$H$6:$H$101,MOD(79+$C18+(2),$B$3)+1)*K18+INDEX(Symboles!$H$6:$H$101,MOD(79+$C18+(3),$B$3)+1)*L18+INDEX(Symboles!$H$6:$H$101,MOD(79+$C18+(4),$B$3)+1)*M18+IF($B$6=0,0,$B$6*NORMSINV(0.000001+0.999998*RAND())))</f>
        <v/>
      </c>
      <c r="GK18" s="30">
        <f>IF(81&gt;$B$3,99,INDEX(Symboles!$H$6:$H$101,MOD(80+$C18+(-4),$B$3)+1)*E18+INDEX(Symboles!$H$6:$H$101,MOD(80+$C18+(-3),$B$3)+1)*F18+INDEX(Symboles!$H$6:$H$101,MOD(80+$C18+(-2),$B$3)+1)*G18+INDEX(Symboles!$H$6:$H$101,MOD(80+$C18+(-1),$B$3)+1)*H18+INDEX(Symboles!$H$6:$H$101,MOD(80+$C18+(0),$B$3)+1)*I18+INDEX(Symboles!$H$6:$H$101,MOD(80+$C18+(1),$B$3)+1)*J18+INDEX(Symboles!$H$6:$H$101,MOD(80+$C18+(2),$B$3)+1)*K18+INDEX(Symboles!$H$6:$H$101,MOD(80+$C18+(3),$B$3)+1)*L18+INDEX(Symboles!$H$6:$H$101,MOD(80+$C18+(4),$B$3)+1)*M18+IF($B$6=0,0,$B$6*NORMSINV(0.000001+0.999998*RAND())))</f>
        <v/>
      </c>
      <c r="GL18" s="30">
        <f>IF(82&gt;$B$3,99,INDEX(Symboles!$H$6:$H$101,MOD(81+$C18+(-4),$B$3)+1)*E18+INDEX(Symboles!$H$6:$H$101,MOD(81+$C18+(-3),$B$3)+1)*F18+INDEX(Symboles!$H$6:$H$101,MOD(81+$C18+(-2),$B$3)+1)*G18+INDEX(Symboles!$H$6:$H$101,MOD(81+$C18+(-1),$B$3)+1)*H18+INDEX(Symboles!$H$6:$H$101,MOD(81+$C18+(0),$B$3)+1)*I18+INDEX(Symboles!$H$6:$H$101,MOD(81+$C18+(1),$B$3)+1)*J18+INDEX(Symboles!$H$6:$H$101,MOD(81+$C18+(2),$B$3)+1)*K18+INDEX(Symboles!$H$6:$H$101,MOD(81+$C18+(3),$B$3)+1)*L18+INDEX(Symboles!$H$6:$H$101,MOD(81+$C18+(4),$B$3)+1)*M18+IF($B$6=0,0,$B$6*NORMSINV(0.000001+0.999998*RAND())))</f>
        <v/>
      </c>
      <c r="GM18" s="30">
        <f>IF(83&gt;$B$3,99,INDEX(Symboles!$H$6:$H$101,MOD(82+$C18+(-4),$B$3)+1)*E18+INDEX(Symboles!$H$6:$H$101,MOD(82+$C18+(-3),$B$3)+1)*F18+INDEX(Symboles!$H$6:$H$101,MOD(82+$C18+(-2),$B$3)+1)*G18+INDEX(Symboles!$H$6:$H$101,MOD(82+$C18+(-1),$B$3)+1)*H18+INDEX(Symboles!$H$6:$H$101,MOD(82+$C18+(0),$B$3)+1)*I18+INDEX(Symboles!$H$6:$H$101,MOD(82+$C18+(1),$B$3)+1)*J18+INDEX(Symboles!$H$6:$H$101,MOD(82+$C18+(2),$B$3)+1)*K18+INDEX(Symboles!$H$6:$H$101,MOD(82+$C18+(3),$B$3)+1)*L18+INDEX(Symboles!$H$6:$H$101,MOD(82+$C18+(4),$B$3)+1)*M18+IF($B$6=0,0,$B$6*NORMSINV(0.000001+0.999998*RAND())))</f>
        <v/>
      </c>
      <c r="GN18" s="30">
        <f>IF(84&gt;$B$3,99,INDEX(Symboles!$H$6:$H$101,MOD(83+$C18+(-4),$B$3)+1)*E18+INDEX(Symboles!$H$6:$H$101,MOD(83+$C18+(-3),$B$3)+1)*F18+INDEX(Symboles!$H$6:$H$101,MOD(83+$C18+(-2),$B$3)+1)*G18+INDEX(Symboles!$H$6:$H$101,MOD(83+$C18+(-1),$B$3)+1)*H18+INDEX(Symboles!$H$6:$H$101,MOD(83+$C18+(0),$B$3)+1)*I18+INDEX(Symboles!$H$6:$H$101,MOD(83+$C18+(1),$B$3)+1)*J18+INDEX(Symboles!$H$6:$H$101,MOD(83+$C18+(2),$B$3)+1)*K18+INDEX(Symboles!$H$6:$H$101,MOD(83+$C18+(3),$B$3)+1)*L18+INDEX(Symboles!$H$6:$H$101,MOD(83+$C18+(4),$B$3)+1)*M18+IF($B$6=0,0,$B$6*NORMSINV(0.000001+0.999998*RAND())))</f>
        <v/>
      </c>
      <c r="GO18" s="30">
        <f>IF(85&gt;$B$3,99,INDEX(Symboles!$H$6:$H$101,MOD(84+$C18+(-4),$B$3)+1)*E18+INDEX(Symboles!$H$6:$H$101,MOD(84+$C18+(-3),$B$3)+1)*F18+INDEX(Symboles!$H$6:$H$101,MOD(84+$C18+(-2),$B$3)+1)*G18+INDEX(Symboles!$H$6:$H$101,MOD(84+$C18+(-1),$B$3)+1)*H18+INDEX(Symboles!$H$6:$H$101,MOD(84+$C18+(0),$B$3)+1)*I18+INDEX(Symboles!$H$6:$H$101,MOD(84+$C18+(1),$B$3)+1)*J18+INDEX(Symboles!$H$6:$H$101,MOD(84+$C18+(2),$B$3)+1)*K18+INDEX(Symboles!$H$6:$H$101,MOD(84+$C18+(3),$B$3)+1)*L18+INDEX(Symboles!$H$6:$H$101,MOD(84+$C18+(4),$B$3)+1)*M18+IF($B$6=0,0,$B$6*NORMSINV(0.000001+0.999998*RAND())))</f>
        <v/>
      </c>
      <c r="GP18" s="30">
        <f>IF(86&gt;$B$3,99,INDEX(Symboles!$H$6:$H$101,MOD(85+$C18+(-4),$B$3)+1)*E18+INDEX(Symboles!$H$6:$H$101,MOD(85+$C18+(-3),$B$3)+1)*F18+INDEX(Symboles!$H$6:$H$101,MOD(85+$C18+(-2),$B$3)+1)*G18+INDEX(Symboles!$H$6:$H$101,MOD(85+$C18+(-1),$B$3)+1)*H18+INDEX(Symboles!$H$6:$H$101,MOD(85+$C18+(0),$B$3)+1)*I18+INDEX(Symboles!$H$6:$H$101,MOD(85+$C18+(1),$B$3)+1)*J18+INDEX(Symboles!$H$6:$H$101,MOD(85+$C18+(2),$B$3)+1)*K18+INDEX(Symboles!$H$6:$H$101,MOD(85+$C18+(3),$B$3)+1)*L18+INDEX(Symboles!$H$6:$H$101,MOD(85+$C18+(4),$B$3)+1)*M18+IF($B$6=0,0,$B$6*NORMSINV(0.000001+0.999998*RAND())))</f>
        <v/>
      </c>
      <c r="GQ18" s="30">
        <f>IF(87&gt;$B$3,99,INDEX(Symboles!$H$6:$H$101,MOD(86+$C18+(-4),$B$3)+1)*E18+INDEX(Symboles!$H$6:$H$101,MOD(86+$C18+(-3),$B$3)+1)*F18+INDEX(Symboles!$H$6:$H$101,MOD(86+$C18+(-2),$B$3)+1)*G18+INDEX(Symboles!$H$6:$H$101,MOD(86+$C18+(-1),$B$3)+1)*H18+INDEX(Symboles!$H$6:$H$101,MOD(86+$C18+(0),$B$3)+1)*I18+INDEX(Symboles!$H$6:$H$101,MOD(86+$C18+(1),$B$3)+1)*J18+INDEX(Symboles!$H$6:$H$101,MOD(86+$C18+(2),$B$3)+1)*K18+INDEX(Symboles!$H$6:$H$101,MOD(86+$C18+(3),$B$3)+1)*L18+INDEX(Symboles!$H$6:$H$101,MOD(86+$C18+(4),$B$3)+1)*M18+IF($B$6=0,0,$B$6*NORMSINV(0.000001+0.999998*RAND())))</f>
        <v/>
      </c>
      <c r="GR18" s="30">
        <f>IF(88&gt;$B$3,99,INDEX(Symboles!$H$6:$H$101,MOD(87+$C18+(-4),$B$3)+1)*E18+INDEX(Symboles!$H$6:$H$101,MOD(87+$C18+(-3),$B$3)+1)*F18+INDEX(Symboles!$H$6:$H$101,MOD(87+$C18+(-2),$B$3)+1)*G18+INDEX(Symboles!$H$6:$H$101,MOD(87+$C18+(-1),$B$3)+1)*H18+INDEX(Symboles!$H$6:$H$101,MOD(87+$C18+(0),$B$3)+1)*I18+INDEX(Symboles!$H$6:$H$101,MOD(87+$C18+(1),$B$3)+1)*J18+INDEX(Symboles!$H$6:$H$101,MOD(87+$C18+(2),$B$3)+1)*K18+INDEX(Symboles!$H$6:$H$101,MOD(87+$C18+(3),$B$3)+1)*L18+INDEX(Symboles!$H$6:$H$101,MOD(87+$C18+(4),$B$3)+1)*M18+IF($B$6=0,0,$B$6*NORMSINV(0.000001+0.999998*RAND())))</f>
        <v/>
      </c>
      <c r="GS18" s="30">
        <f>IF(89&gt;$B$3,99,INDEX(Symboles!$H$6:$H$101,MOD(88+$C18+(-4),$B$3)+1)*E18+INDEX(Symboles!$H$6:$H$101,MOD(88+$C18+(-3),$B$3)+1)*F18+INDEX(Symboles!$H$6:$H$101,MOD(88+$C18+(-2),$B$3)+1)*G18+INDEX(Symboles!$H$6:$H$101,MOD(88+$C18+(-1),$B$3)+1)*H18+INDEX(Symboles!$H$6:$H$101,MOD(88+$C18+(0),$B$3)+1)*I18+INDEX(Symboles!$H$6:$H$101,MOD(88+$C18+(1),$B$3)+1)*J18+INDEX(Symboles!$H$6:$H$101,MOD(88+$C18+(2),$B$3)+1)*K18+INDEX(Symboles!$H$6:$H$101,MOD(88+$C18+(3),$B$3)+1)*L18+INDEX(Symboles!$H$6:$H$101,MOD(88+$C18+(4),$B$3)+1)*M18+IF($B$6=0,0,$B$6*NORMSINV(0.000001+0.999998*RAND())))</f>
        <v/>
      </c>
      <c r="GT18" s="30">
        <f>IF(90&gt;$B$3,99,INDEX(Symboles!$H$6:$H$101,MOD(89+$C18+(-4),$B$3)+1)*E18+INDEX(Symboles!$H$6:$H$101,MOD(89+$C18+(-3),$B$3)+1)*F18+INDEX(Symboles!$H$6:$H$101,MOD(89+$C18+(-2),$B$3)+1)*G18+INDEX(Symboles!$H$6:$H$101,MOD(89+$C18+(-1),$B$3)+1)*H18+INDEX(Symboles!$H$6:$H$101,MOD(89+$C18+(0),$B$3)+1)*I18+INDEX(Symboles!$H$6:$H$101,MOD(89+$C18+(1),$B$3)+1)*J18+INDEX(Symboles!$H$6:$H$101,MOD(89+$C18+(2),$B$3)+1)*K18+INDEX(Symboles!$H$6:$H$101,MOD(89+$C18+(3),$B$3)+1)*L18+INDEX(Symboles!$H$6:$H$101,MOD(89+$C18+(4),$B$3)+1)*M18+IF($B$6=0,0,$B$6*NORMSINV(0.000001+0.999998*RAND())))</f>
        <v/>
      </c>
      <c r="GU18" s="30">
        <f>IF(91&gt;$B$3,99,INDEX(Symboles!$H$6:$H$101,MOD(90+$C18+(-4),$B$3)+1)*E18+INDEX(Symboles!$H$6:$H$101,MOD(90+$C18+(-3),$B$3)+1)*F18+INDEX(Symboles!$H$6:$H$101,MOD(90+$C18+(-2),$B$3)+1)*G18+INDEX(Symboles!$H$6:$H$101,MOD(90+$C18+(-1),$B$3)+1)*H18+INDEX(Symboles!$H$6:$H$101,MOD(90+$C18+(0),$B$3)+1)*I18+INDEX(Symboles!$H$6:$H$101,MOD(90+$C18+(1),$B$3)+1)*J18+INDEX(Symboles!$H$6:$H$101,MOD(90+$C18+(2),$B$3)+1)*K18+INDEX(Symboles!$H$6:$H$101,MOD(90+$C18+(3),$B$3)+1)*L18+INDEX(Symboles!$H$6:$H$101,MOD(90+$C18+(4),$B$3)+1)*M18+IF($B$6=0,0,$B$6*NORMSINV(0.000001+0.999998*RAND())))</f>
        <v/>
      </c>
      <c r="GV18" s="30">
        <f>IF(92&gt;$B$3,99,INDEX(Symboles!$H$6:$H$101,MOD(91+$C18+(-4),$B$3)+1)*E18+INDEX(Symboles!$H$6:$H$101,MOD(91+$C18+(-3),$B$3)+1)*F18+INDEX(Symboles!$H$6:$H$101,MOD(91+$C18+(-2),$B$3)+1)*G18+INDEX(Symboles!$H$6:$H$101,MOD(91+$C18+(-1),$B$3)+1)*H18+INDEX(Symboles!$H$6:$H$101,MOD(91+$C18+(0),$B$3)+1)*I18+INDEX(Symboles!$H$6:$H$101,MOD(91+$C18+(1),$B$3)+1)*J18+INDEX(Symboles!$H$6:$H$101,MOD(91+$C18+(2),$B$3)+1)*K18+INDEX(Symboles!$H$6:$H$101,MOD(91+$C18+(3),$B$3)+1)*L18+INDEX(Symboles!$H$6:$H$101,MOD(91+$C18+(4),$B$3)+1)*M18+IF($B$6=0,0,$B$6*NORMSINV(0.000001+0.999998*RAND())))</f>
        <v/>
      </c>
      <c r="GW18" s="30">
        <f>IF(93&gt;$B$3,99,INDEX(Symboles!$H$6:$H$101,MOD(92+$C18+(-4),$B$3)+1)*E18+INDEX(Symboles!$H$6:$H$101,MOD(92+$C18+(-3),$B$3)+1)*F18+INDEX(Symboles!$H$6:$H$101,MOD(92+$C18+(-2),$B$3)+1)*G18+INDEX(Symboles!$H$6:$H$101,MOD(92+$C18+(-1),$B$3)+1)*H18+INDEX(Symboles!$H$6:$H$101,MOD(92+$C18+(0),$B$3)+1)*I18+INDEX(Symboles!$H$6:$H$101,MOD(92+$C18+(1),$B$3)+1)*J18+INDEX(Symboles!$H$6:$H$101,MOD(92+$C18+(2),$B$3)+1)*K18+INDEX(Symboles!$H$6:$H$101,MOD(92+$C18+(3),$B$3)+1)*L18+INDEX(Symboles!$H$6:$H$101,MOD(92+$C18+(4),$B$3)+1)*M18+IF($B$6=0,0,$B$6*NORMSINV(0.000001+0.999998*RAND())))</f>
        <v/>
      </c>
      <c r="GX18" s="30">
        <f>IF(94&gt;$B$3,99,INDEX(Symboles!$H$6:$H$101,MOD(93+$C18+(-4),$B$3)+1)*E18+INDEX(Symboles!$H$6:$H$101,MOD(93+$C18+(-3),$B$3)+1)*F18+INDEX(Symboles!$H$6:$H$101,MOD(93+$C18+(-2),$B$3)+1)*G18+INDEX(Symboles!$H$6:$H$101,MOD(93+$C18+(-1),$B$3)+1)*H18+INDEX(Symboles!$H$6:$H$101,MOD(93+$C18+(0),$B$3)+1)*I18+INDEX(Symboles!$H$6:$H$101,MOD(93+$C18+(1),$B$3)+1)*J18+INDEX(Symboles!$H$6:$H$101,MOD(93+$C18+(2),$B$3)+1)*K18+INDEX(Symboles!$H$6:$H$101,MOD(93+$C18+(3),$B$3)+1)*L18+INDEX(Symboles!$H$6:$H$101,MOD(93+$C18+(4),$B$3)+1)*M18+IF($B$6=0,0,$B$6*NORMSINV(0.000001+0.999998*RAND())))</f>
        <v/>
      </c>
      <c r="GY18" s="30">
        <f>IF(95&gt;$B$3,99,INDEX(Symboles!$H$6:$H$101,MOD(94+$C18+(-4),$B$3)+1)*E18+INDEX(Symboles!$H$6:$H$101,MOD(94+$C18+(-3),$B$3)+1)*F18+INDEX(Symboles!$H$6:$H$101,MOD(94+$C18+(-2),$B$3)+1)*G18+INDEX(Symboles!$H$6:$H$101,MOD(94+$C18+(-1),$B$3)+1)*H18+INDEX(Symboles!$H$6:$H$101,MOD(94+$C18+(0),$B$3)+1)*I18+INDEX(Symboles!$H$6:$H$101,MOD(94+$C18+(1),$B$3)+1)*J18+INDEX(Symboles!$H$6:$H$101,MOD(94+$C18+(2),$B$3)+1)*K18+INDEX(Symboles!$H$6:$H$101,MOD(94+$C18+(3),$B$3)+1)*L18+INDEX(Symboles!$H$6:$H$101,MOD(94+$C18+(4),$B$3)+1)*M18+IF($B$6=0,0,$B$6*NORMSINV(0.000001+0.999998*RAND())))</f>
        <v/>
      </c>
      <c r="GZ18" s="30">
        <f>IF(96&gt;$B$3,99,INDEX(Symboles!$H$6:$H$101,MOD(95+$C18+(-4),$B$3)+1)*E18+INDEX(Symboles!$H$6:$H$101,MOD(95+$C18+(-3),$B$3)+1)*F18+INDEX(Symboles!$H$6:$H$101,MOD(95+$C18+(-2),$B$3)+1)*G18+INDEX(Symboles!$H$6:$H$101,MOD(95+$C18+(-1),$B$3)+1)*H18+INDEX(Symboles!$H$6:$H$101,MOD(95+$C18+(0),$B$3)+1)*I18+INDEX(Symboles!$H$6:$H$101,MOD(95+$C18+(1),$B$3)+1)*J18+INDEX(Symboles!$H$6:$H$101,MOD(95+$C18+(2),$B$3)+1)*K18+INDEX(Symboles!$H$6:$H$101,MOD(95+$C18+(3),$B$3)+1)*L18+INDEX(Symboles!$H$6:$H$101,MOD(95+$C18+(4),$B$3)+1)*M18+IF($B$6=0,0,$B$6*NORMSINV(0.000001+0.999998*RAND())))</f>
        <v/>
      </c>
    </row>
    <row r="19">
      <c r="A19" s="28" t="n">
        <v>9</v>
      </c>
      <c r="B19" s="28" t="n">
        <v>-0.4375</v>
      </c>
      <c r="C19" s="28" t="n">
        <v>0</v>
      </c>
      <c r="D19" s="28" t="n">
        <v>1</v>
      </c>
      <c r="E19" s="29">
        <f>IF($B$4=1,0,IF(ABS(1-(2*$B$5*3.5625)^2)&lt;0.000001,PI()/4*SIN(PI()/(2*$B$5))/(PI()/(2*$B$5)),SIN(PI()*3.5625)/(PI()*3.5625)*COS(PI()*$B$5*3.5625)/(1-(2*$B$5*3.5625)^2)))</f>
        <v/>
      </c>
      <c r="F19" s="29">
        <f>IF($B$4=1,0,IF(ABS(1-(2*$B$5*2.5625)^2)&lt;0.000001,PI()/4*SIN(PI()/(2*$B$5))/(PI()/(2*$B$5)),SIN(PI()*2.5625)/(PI()*2.5625)*COS(PI()*$B$5*2.5625)/(1-(2*$B$5*2.5625)^2)))</f>
        <v/>
      </c>
      <c r="G19" s="29">
        <f>IF($B$4=1,0,IF(ABS(1-(2*$B$5*1.5625)^2)&lt;0.000001,PI()/4*SIN(PI()/(2*$B$5))/(PI()/(2*$B$5)),SIN(PI()*1.5625)/(PI()*1.5625)*COS(PI()*$B$5*1.5625)/(1-(2*$B$5*1.5625)^2)))</f>
        <v/>
      </c>
      <c r="H19" s="29">
        <f>IF($B$4=1,0,IF(ABS(1-(2*$B$5*0.5625)^2)&lt;0.000001,PI()/4*SIN(PI()/(2*$B$5))/(PI()/(2*$B$5)),SIN(PI()*0.5625)/(PI()*0.5625)*COS(PI()*$B$5*0.5625)/(1-(2*$B$5*0.5625)^2)))</f>
        <v/>
      </c>
      <c r="I19" s="29">
        <f>IF($B$4=1,1,IF(ABS(1-(2*$B$5*-0.4375)^2)&lt;0.000001,PI()/4*SIN(PI()/(2*$B$5))/(PI()/(2*$B$5)),SIN(PI()*-0.4375)/(PI()*-0.4375)*COS(PI()*$B$5*-0.4375)/(1-(2*$B$5*-0.4375)^2)))</f>
        <v/>
      </c>
      <c r="J19" s="29">
        <f>IF($B$4=1,0,IF(ABS(1-(2*$B$5*-1.4375)^2)&lt;0.000001,PI()/4*SIN(PI()/(2*$B$5))/(PI()/(2*$B$5)),SIN(PI()*-1.4375)/(PI()*-1.4375)*COS(PI()*$B$5*-1.4375)/(1-(2*$B$5*-1.4375)^2)))</f>
        <v/>
      </c>
      <c r="K19" s="29">
        <f>IF($B$4=1,0,IF(ABS(1-(2*$B$5*-2.4375)^2)&lt;0.000001,PI()/4*SIN(PI()/(2*$B$5))/(PI()/(2*$B$5)),SIN(PI()*-2.4375)/(PI()*-2.4375)*COS(PI()*$B$5*-2.4375)/(1-(2*$B$5*-2.4375)^2)))</f>
        <v/>
      </c>
      <c r="L19" s="29">
        <f>IF($B$4=1,0,IF(ABS(1-(2*$B$5*-3.4375)^2)&lt;0.000001,PI()/4*SIN(PI()/(2*$B$5))/(PI()/(2*$B$5)),SIN(PI()*-3.4375)/(PI()*-3.4375)*COS(PI()*$B$5*-3.4375)/(1-(2*$B$5*-3.4375)^2)))</f>
        <v/>
      </c>
      <c r="M19" s="29">
        <f>IF($B$4=1,0,IF(ABS(1-(2*$B$5*-4.4375)^2)&lt;0.000001,PI()/4*SIN(PI()/(2*$B$5))/(PI()/(2*$B$5)),SIN(PI()*-4.4375)/(PI()*-4.4375)*COS(PI()*$B$5*-4.4375)/(1-(2*$B$5*-4.4375)^2)))</f>
        <v/>
      </c>
      <c r="P19" s="30">
        <f>IF(1&gt;$B$3,99,INDEX(Symboles!$G$6:$G$101,MOD(0+$C19+(-4),$B$3)+1)*E19+INDEX(Symboles!$G$6:$G$101,MOD(0+$C19+(-3),$B$3)+1)*F19+INDEX(Symboles!$G$6:$G$101,MOD(0+$C19+(-2),$B$3)+1)*G19+INDEX(Symboles!$G$6:$G$101,MOD(0+$C19+(-1),$B$3)+1)*H19+INDEX(Symboles!$G$6:$G$101,MOD(0+$C19+(0),$B$3)+1)*I19+INDEX(Symboles!$G$6:$G$101,MOD(0+$C19+(1),$B$3)+1)*J19+INDEX(Symboles!$G$6:$G$101,MOD(0+$C19+(2),$B$3)+1)*K19+INDEX(Symboles!$G$6:$G$101,MOD(0+$C19+(3),$B$3)+1)*L19+INDEX(Symboles!$G$6:$G$101,MOD(0+$C19+(4),$B$3)+1)*M19+IF($B$6=0,0,$B$6*NORMSINV(0.000001+0.999998*RAND())))</f>
        <v/>
      </c>
      <c r="Q19" s="30">
        <f>IF(2&gt;$B$3,99,INDEX(Symboles!$G$6:$G$101,MOD(1+$C19+(-4),$B$3)+1)*E19+INDEX(Symboles!$G$6:$G$101,MOD(1+$C19+(-3),$B$3)+1)*F19+INDEX(Symboles!$G$6:$G$101,MOD(1+$C19+(-2),$B$3)+1)*G19+INDEX(Symboles!$G$6:$G$101,MOD(1+$C19+(-1),$B$3)+1)*H19+INDEX(Symboles!$G$6:$G$101,MOD(1+$C19+(0),$B$3)+1)*I19+INDEX(Symboles!$G$6:$G$101,MOD(1+$C19+(1),$B$3)+1)*J19+INDEX(Symboles!$G$6:$G$101,MOD(1+$C19+(2),$B$3)+1)*K19+INDEX(Symboles!$G$6:$G$101,MOD(1+$C19+(3),$B$3)+1)*L19+INDEX(Symboles!$G$6:$G$101,MOD(1+$C19+(4),$B$3)+1)*M19+IF($B$6=0,0,$B$6*NORMSINV(0.000001+0.999998*RAND())))</f>
        <v/>
      </c>
      <c r="R19" s="30">
        <f>IF(3&gt;$B$3,99,INDEX(Symboles!$G$6:$G$101,MOD(2+$C19+(-4),$B$3)+1)*E19+INDEX(Symboles!$G$6:$G$101,MOD(2+$C19+(-3),$B$3)+1)*F19+INDEX(Symboles!$G$6:$G$101,MOD(2+$C19+(-2),$B$3)+1)*G19+INDEX(Symboles!$G$6:$G$101,MOD(2+$C19+(-1),$B$3)+1)*H19+INDEX(Symboles!$G$6:$G$101,MOD(2+$C19+(0),$B$3)+1)*I19+INDEX(Symboles!$G$6:$G$101,MOD(2+$C19+(1),$B$3)+1)*J19+INDEX(Symboles!$G$6:$G$101,MOD(2+$C19+(2),$B$3)+1)*K19+INDEX(Symboles!$G$6:$G$101,MOD(2+$C19+(3),$B$3)+1)*L19+INDEX(Symboles!$G$6:$G$101,MOD(2+$C19+(4),$B$3)+1)*M19+IF($B$6=0,0,$B$6*NORMSINV(0.000001+0.999998*RAND())))</f>
        <v/>
      </c>
      <c r="S19" s="30">
        <f>IF(4&gt;$B$3,99,INDEX(Symboles!$G$6:$G$101,MOD(3+$C19+(-4),$B$3)+1)*E19+INDEX(Symboles!$G$6:$G$101,MOD(3+$C19+(-3),$B$3)+1)*F19+INDEX(Symboles!$G$6:$G$101,MOD(3+$C19+(-2),$B$3)+1)*G19+INDEX(Symboles!$G$6:$G$101,MOD(3+$C19+(-1),$B$3)+1)*H19+INDEX(Symboles!$G$6:$G$101,MOD(3+$C19+(0),$B$3)+1)*I19+INDEX(Symboles!$G$6:$G$101,MOD(3+$C19+(1),$B$3)+1)*J19+INDEX(Symboles!$G$6:$G$101,MOD(3+$C19+(2),$B$3)+1)*K19+INDEX(Symboles!$G$6:$G$101,MOD(3+$C19+(3),$B$3)+1)*L19+INDEX(Symboles!$G$6:$G$101,MOD(3+$C19+(4),$B$3)+1)*M19+IF($B$6=0,0,$B$6*NORMSINV(0.000001+0.999998*RAND())))</f>
        <v/>
      </c>
      <c r="T19" s="30">
        <f>IF(5&gt;$B$3,99,INDEX(Symboles!$G$6:$G$101,MOD(4+$C19+(-4),$B$3)+1)*E19+INDEX(Symboles!$G$6:$G$101,MOD(4+$C19+(-3),$B$3)+1)*F19+INDEX(Symboles!$G$6:$G$101,MOD(4+$C19+(-2),$B$3)+1)*G19+INDEX(Symboles!$G$6:$G$101,MOD(4+$C19+(-1),$B$3)+1)*H19+INDEX(Symboles!$G$6:$G$101,MOD(4+$C19+(0),$B$3)+1)*I19+INDEX(Symboles!$G$6:$G$101,MOD(4+$C19+(1),$B$3)+1)*J19+INDEX(Symboles!$G$6:$G$101,MOD(4+$C19+(2),$B$3)+1)*K19+INDEX(Symboles!$G$6:$G$101,MOD(4+$C19+(3),$B$3)+1)*L19+INDEX(Symboles!$G$6:$G$101,MOD(4+$C19+(4),$B$3)+1)*M19+IF($B$6=0,0,$B$6*NORMSINV(0.000001+0.999998*RAND())))</f>
        <v/>
      </c>
      <c r="U19" s="30">
        <f>IF(6&gt;$B$3,99,INDEX(Symboles!$G$6:$G$101,MOD(5+$C19+(-4),$B$3)+1)*E19+INDEX(Symboles!$G$6:$G$101,MOD(5+$C19+(-3),$B$3)+1)*F19+INDEX(Symboles!$G$6:$G$101,MOD(5+$C19+(-2),$B$3)+1)*G19+INDEX(Symboles!$G$6:$G$101,MOD(5+$C19+(-1),$B$3)+1)*H19+INDEX(Symboles!$G$6:$G$101,MOD(5+$C19+(0),$B$3)+1)*I19+INDEX(Symboles!$G$6:$G$101,MOD(5+$C19+(1),$B$3)+1)*J19+INDEX(Symboles!$G$6:$G$101,MOD(5+$C19+(2),$B$3)+1)*K19+INDEX(Symboles!$G$6:$G$101,MOD(5+$C19+(3),$B$3)+1)*L19+INDEX(Symboles!$G$6:$G$101,MOD(5+$C19+(4),$B$3)+1)*M19+IF($B$6=0,0,$B$6*NORMSINV(0.000001+0.999998*RAND())))</f>
        <v/>
      </c>
      <c r="V19" s="30">
        <f>IF(7&gt;$B$3,99,INDEX(Symboles!$G$6:$G$101,MOD(6+$C19+(-4),$B$3)+1)*E19+INDEX(Symboles!$G$6:$G$101,MOD(6+$C19+(-3),$B$3)+1)*F19+INDEX(Symboles!$G$6:$G$101,MOD(6+$C19+(-2),$B$3)+1)*G19+INDEX(Symboles!$G$6:$G$101,MOD(6+$C19+(-1),$B$3)+1)*H19+INDEX(Symboles!$G$6:$G$101,MOD(6+$C19+(0),$B$3)+1)*I19+INDEX(Symboles!$G$6:$G$101,MOD(6+$C19+(1),$B$3)+1)*J19+INDEX(Symboles!$G$6:$G$101,MOD(6+$C19+(2),$B$3)+1)*K19+INDEX(Symboles!$G$6:$G$101,MOD(6+$C19+(3),$B$3)+1)*L19+INDEX(Symboles!$G$6:$G$101,MOD(6+$C19+(4),$B$3)+1)*M19+IF($B$6=0,0,$B$6*NORMSINV(0.000001+0.999998*RAND())))</f>
        <v/>
      </c>
      <c r="W19" s="30">
        <f>IF(8&gt;$B$3,99,INDEX(Symboles!$G$6:$G$101,MOD(7+$C19+(-4),$B$3)+1)*E19+INDEX(Symboles!$G$6:$G$101,MOD(7+$C19+(-3),$B$3)+1)*F19+INDEX(Symboles!$G$6:$G$101,MOD(7+$C19+(-2),$B$3)+1)*G19+INDEX(Symboles!$G$6:$G$101,MOD(7+$C19+(-1),$B$3)+1)*H19+INDEX(Symboles!$G$6:$G$101,MOD(7+$C19+(0),$B$3)+1)*I19+INDEX(Symboles!$G$6:$G$101,MOD(7+$C19+(1),$B$3)+1)*J19+INDEX(Symboles!$G$6:$G$101,MOD(7+$C19+(2),$B$3)+1)*K19+INDEX(Symboles!$G$6:$G$101,MOD(7+$C19+(3),$B$3)+1)*L19+INDEX(Symboles!$G$6:$G$101,MOD(7+$C19+(4),$B$3)+1)*M19+IF($B$6=0,0,$B$6*NORMSINV(0.000001+0.999998*RAND())))</f>
        <v/>
      </c>
      <c r="X19" s="30">
        <f>IF(9&gt;$B$3,99,INDEX(Symboles!$G$6:$G$101,MOD(8+$C19+(-4),$B$3)+1)*E19+INDEX(Symboles!$G$6:$G$101,MOD(8+$C19+(-3),$B$3)+1)*F19+INDEX(Symboles!$G$6:$G$101,MOD(8+$C19+(-2),$B$3)+1)*G19+INDEX(Symboles!$G$6:$G$101,MOD(8+$C19+(-1),$B$3)+1)*H19+INDEX(Symboles!$G$6:$G$101,MOD(8+$C19+(0),$B$3)+1)*I19+INDEX(Symboles!$G$6:$G$101,MOD(8+$C19+(1),$B$3)+1)*J19+INDEX(Symboles!$G$6:$G$101,MOD(8+$C19+(2),$B$3)+1)*K19+INDEX(Symboles!$G$6:$G$101,MOD(8+$C19+(3),$B$3)+1)*L19+INDEX(Symboles!$G$6:$G$101,MOD(8+$C19+(4),$B$3)+1)*M19+IF($B$6=0,0,$B$6*NORMSINV(0.000001+0.999998*RAND())))</f>
        <v/>
      </c>
      <c r="Y19" s="30">
        <f>IF(10&gt;$B$3,99,INDEX(Symboles!$G$6:$G$101,MOD(9+$C19+(-4),$B$3)+1)*E19+INDEX(Symboles!$G$6:$G$101,MOD(9+$C19+(-3),$B$3)+1)*F19+INDEX(Symboles!$G$6:$G$101,MOD(9+$C19+(-2),$B$3)+1)*G19+INDEX(Symboles!$G$6:$G$101,MOD(9+$C19+(-1),$B$3)+1)*H19+INDEX(Symboles!$G$6:$G$101,MOD(9+$C19+(0),$B$3)+1)*I19+INDEX(Symboles!$G$6:$G$101,MOD(9+$C19+(1),$B$3)+1)*J19+INDEX(Symboles!$G$6:$G$101,MOD(9+$C19+(2),$B$3)+1)*K19+INDEX(Symboles!$G$6:$G$101,MOD(9+$C19+(3),$B$3)+1)*L19+INDEX(Symboles!$G$6:$G$101,MOD(9+$C19+(4),$B$3)+1)*M19+IF($B$6=0,0,$B$6*NORMSINV(0.000001+0.999998*RAND())))</f>
        <v/>
      </c>
      <c r="Z19" s="30">
        <f>IF(11&gt;$B$3,99,INDEX(Symboles!$G$6:$G$101,MOD(10+$C19+(-4),$B$3)+1)*E19+INDEX(Symboles!$G$6:$G$101,MOD(10+$C19+(-3),$B$3)+1)*F19+INDEX(Symboles!$G$6:$G$101,MOD(10+$C19+(-2),$B$3)+1)*G19+INDEX(Symboles!$G$6:$G$101,MOD(10+$C19+(-1),$B$3)+1)*H19+INDEX(Symboles!$G$6:$G$101,MOD(10+$C19+(0),$B$3)+1)*I19+INDEX(Symboles!$G$6:$G$101,MOD(10+$C19+(1),$B$3)+1)*J19+INDEX(Symboles!$G$6:$G$101,MOD(10+$C19+(2),$B$3)+1)*K19+INDEX(Symboles!$G$6:$G$101,MOD(10+$C19+(3),$B$3)+1)*L19+INDEX(Symboles!$G$6:$G$101,MOD(10+$C19+(4),$B$3)+1)*M19+IF($B$6=0,0,$B$6*NORMSINV(0.000001+0.999998*RAND())))</f>
        <v/>
      </c>
      <c r="AA19" s="30">
        <f>IF(12&gt;$B$3,99,INDEX(Symboles!$G$6:$G$101,MOD(11+$C19+(-4),$B$3)+1)*E19+INDEX(Symboles!$G$6:$G$101,MOD(11+$C19+(-3),$B$3)+1)*F19+INDEX(Symboles!$G$6:$G$101,MOD(11+$C19+(-2),$B$3)+1)*G19+INDEX(Symboles!$G$6:$G$101,MOD(11+$C19+(-1),$B$3)+1)*H19+INDEX(Symboles!$G$6:$G$101,MOD(11+$C19+(0),$B$3)+1)*I19+INDEX(Symboles!$G$6:$G$101,MOD(11+$C19+(1),$B$3)+1)*J19+INDEX(Symboles!$G$6:$G$101,MOD(11+$C19+(2),$B$3)+1)*K19+INDEX(Symboles!$G$6:$G$101,MOD(11+$C19+(3),$B$3)+1)*L19+INDEX(Symboles!$G$6:$G$101,MOD(11+$C19+(4),$B$3)+1)*M19+IF($B$6=0,0,$B$6*NORMSINV(0.000001+0.999998*RAND())))</f>
        <v/>
      </c>
      <c r="AB19" s="30">
        <f>IF(13&gt;$B$3,99,INDEX(Symboles!$G$6:$G$101,MOD(12+$C19+(-4),$B$3)+1)*E19+INDEX(Symboles!$G$6:$G$101,MOD(12+$C19+(-3),$B$3)+1)*F19+INDEX(Symboles!$G$6:$G$101,MOD(12+$C19+(-2),$B$3)+1)*G19+INDEX(Symboles!$G$6:$G$101,MOD(12+$C19+(-1),$B$3)+1)*H19+INDEX(Symboles!$G$6:$G$101,MOD(12+$C19+(0),$B$3)+1)*I19+INDEX(Symboles!$G$6:$G$101,MOD(12+$C19+(1),$B$3)+1)*J19+INDEX(Symboles!$G$6:$G$101,MOD(12+$C19+(2),$B$3)+1)*K19+INDEX(Symboles!$G$6:$G$101,MOD(12+$C19+(3),$B$3)+1)*L19+INDEX(Symboles!$G$6:$G$101,MOD(12+$C19+(4),$B$3)+1)*M19+IF($B$6=0,0,$B$6*NORMSINV(0.000001+0.999998*RAND())))</f>
        <v/>
      </c>
      <c r="AC19" s="30">
        <f>IF(14&gt;$B$3,99,INDEX(Symboles!$G$6:$G$101,MOD(13+$C19+(-4),$B$3)+1)*E19+INDEX(Symboles!$G$6:$G$101,MOD(13+$C19+(-3),$B$3)+1)*F19+INDEX(Symboles!$G$6:$G$101,MOD(13+$C19+(-2),$B$3)+1)*G19+INDEX(Symboles!$G$6:$G$101,MOD(13+$C19+(-1),$B$3)+1)*H19+INDEX(Symboles!$G$6:$G$101,MOD(13+$C19+(0),$B$3)+1)*I19+INDEX(Symboles!$G$6:$G$101,MOD(13+$C19+(1),$B$3)+1)*J19+INDEX(Symboles!$G$6:$G$101,MOD(13+$C19+(2),$B$3)+1)*K19+INDEX(Symboles!$G$6:$G$101,MOD(13+$C19+(3),$B$3)+1)*L19+INDEX(Symboles!$G$6:$G$101,MOD(13+$C19+(4),$B$3)+1)*M19+IF($B$6=0,0,$B$6*NORMSINV(0.000001+0.999998*RAND())))</f>
        <v/>
      </c>
      <c r="AD19" s="30">
        <f>IF(15&gt;$B$3,99,INDEX(Symboles!$G$6:$G$101,MOD(14+$C19+(-4),$B$3)+1)*E19+INDEX(Symboles!$G$6:$G$101,MOD(14+$C19+(-3),$B$3)+1)*F19+INDEX(Symboles!$G$6:$G$101,MOD(14+$C19+(-2),$B$3)+1)*G19+INDEX(Symboles!$G$6:$G$101,MOD(14+$C19+(-1),$B$3)+1)*H19+INDEX(Symboles!$G$6:$G$101,MOD(14+$C19+(0),$B$3)+1)*I19+INDEX(Symboles!$G$6:$G$101,MOD(14+$C19+(1),$B$3)+1)*J19+INDEX(Symboles!$G$6:$G$101,MOD(14+$C19+(2),$B$3)+1)*K19+INDEX(Symboles!$G$6:$G$101,MOD(14+$C19+(3),$B$3)+1)*L19+INDEX(Symboles!$G$6:$G$101,MOD(14+$C19+(4),$B$3)+1)*M19+IF($B$6=0,0,$B$6*NORMSINV(0.000001+0.999998*RAND())))</f>
        <v/>
      </c>
      <c r="AE19" s="30">
        <f>IF(16&gt;$B$3,99,INDEX(Symboles!$G$6:$G$101,MOD(15+$C19+(-4),$B$3)+1)*E19+INDEX(Symboles!$G$6:$G$101,MOD(15+$C19+(-3),$B$3)+1)*F19+INDEX(Symboles!$G$6:$G$101,MOD(15+$C19+(-2),$B$3)+1)*G19+INDEX(Symboles!$G$6:$G$101,MOD(15+$C19+(-1),$B$3)+1)*H19+INDEX(Symboles!$G$6:$G$101,MOD(15+$C19+(0),$B$3)+1)*I19+INDEX(Symboles!$G$6:$G$101,MOD(15+$C19+(1),$B$3)+1)*J19+INDEX(Symboles!$G$6:$G$101,MOD(15+$C19+(2),$B$3)+1)*K19+INDEX(Symboles!$G$6:$G$101,MOD(15+$C19+(3),$B$3)+1)*L19+INDEX(Symboles!$G$6:$G$101,MOD(15+$C19+(4),$B$3)+1)*M19+IF($B$6=0,0,$B$6*NORMSINV(0.000001+0.999998*RAND())))</f>
        <v/>
      </c>
      <c r="AF19" s="30">
        <f>IF(17&gt;$B$3,99,INDEX(Symboles!$G$6:$G$101,MOD(16+$C19+(-4),$B$3)+1)*E19+INDEX(Symboles!$G$6:$G$101,MOD(16+$C19+(-3),$B$3)+1)*F19+INDEX(Symboles!$G$6:$G$101,MOD(16+$C19+(-2),$B$3)+1)*G19+INDEX(Symboles!$G$6:$G$101,MOD(16+$C19+(-1),$B$3)+1)*H19+INDEX(Symboles!$G$6:$G$101,MOD(16+$C19+(0),$B$3)+1)*I19+INDEX(Symboles!$G$6:$G$101,MOD(16+$C19+(1),$B$3)+1)*J19+INDEX(Symboles!$G$6:$G$101,MOD(16+$C19+(2),$B$3)+1)*K19+INDEX(Symboles!$G$6:$G$101,MOD(16+$C19+(3),$B$3)+1)*L19+INDEX(Symboles!$G$6:$G$101,MOD(16+$C19+(4),$B$3)+1)*M19+IF($B$6=0,0,$B$6*NORMSINV(0.000001+0.999998*RAND())))</f>
        <v/>
      </c>
      <c r="AG19" s="30">
        <f>IF(18&gt;$B$3,99,INDEX(Symboles!$G$6:$G$101,MOD(17+$C19+(-4),$B$3)+1)*E19+INDEX(Symboles!$G$6:$G$101,MOD(17+$C19+(-3),$B$3)+1)*F19+INDEX(Symboles!$G$6:$G$101,MOD(17+$C19+(-2),$B$3)+1)*G19+INDEX(Symboles!$G$6:$G$101,MOD(17+$C19+(-1),$B$3)+1)*H19+INDEX(Symboles!$G$6:$G$101,MOD(17+$C19+(0),$B$3)+1)*I19+INDEX(Symboles!$G$6:$G$101,MOD(17+$C19+(1),$B$3)+1)*J19+INDEX(Symboles!$G$6:$G$101,MOD(17+$C19+(2),$B$3)+1)*K19+INDEX(Symboles!$G$6:$G$101,MOD(17+$C19+(3),$B$3)+1)*L19+INDEX(Symboles!$G$6:$G$101,MOD(17+$C19+(4),$B$3)+1)*M19+IF($B$6=0,0,$B$6*NORMSINV(0.000001+0.999998*RAND())))</f>
        <v/>
      </c>
      <c r="AH19" s="30">
        <f>IF(19&gt;$B$3,99,INDEX(Symboles!$G$6:$G$101,MOD(18+$C19+(-4),$B$3)+1)*E19+INDEX(Symboles!$G$6:$G$101,MOD(18+$C19+(-3),$B$3)+1)*F19+INDEX(Symboles!$G$6:$G$101,MOD(18+$C19+(-2),$B$3)+1)*G19+INDEX(Symboles!$G$6:$G$101,MOD(18+$C19+(-1),$B$3)+1)*H19+INDEX(Symboles!$G$6:$G$101,MOD(18+$C19+(0),$B$3)+1)*I19+INDEX(Symboles!$G$6:$G$101,MOD(18+$C19+(1),$B$3)+1)*J19+INDEX(Symboles!$G$6:$G$101,MOD(18+$C19+(2),$B$3)+1)*K19+INDEX(Symboles!$G$6:$G$101,MOD(18+$C19+(3),$B$3)+1)*L19+INDEX(Symboles!$G$6:$G$101,MOD(18+$C19+(4),$B$3)+1)*M19+IF($B$6=0,0,$B$6*NORMSINV(0.000001+0.999998*RAND())))</f>
        <v/>
      </c>
      <c r="AI19" s="30">
        <f>IF(20&gt;$B$3,99,INDEX(Symboles!$G$6:$G$101,MOD(19+$C19+(-4),$B$3)+1)*E19+INDEX(Symboles!$G$6:$G$101,MOD(19+$C19+(-3),$B$3)+1)*F19+INDEX(Symboles!$G$6:$G$101,MOD(19+$C19+(-2),$B$3)+1)*G19+INDEX(Symboles!$G$6:$G$101,MOD(19+$C19+(-1),$B$3)+1)*H19+INDEX(Symboles!$G$6:$G$101,MOD(19+$C19+(0),$B$3)+1)*I19+INDEX(Symboles!$G$6:$G$101,MOD(19+$C19+(1),$B$3)+1)*J19+INDEX(Symboles!$G$6:$G$101,MOD(19+$C19+(2),$B$3)+1)*K19+INDEX(Symboles!$G$6:$G$101,MOD(19+$C19+(3),$B$3)+1)*L19+INDEX(Symboles!$G$6:$G$101,MOD(19+$C19+(4),$B$3)+1)*M19+IF($B$6=0,0,$B$6*NORMSINV(0.000001+0.999998*RAND())))</f>
        <v/>
      </c>
      <c r="AJ19" s="30">
        <f>IF(21&gt;$B$3,99,INDEX(Symboles!$G$6:$G$101,MOD(20+$C19+(-4),$B$3)+1)*E19+INDEX(Symboles!$G$6:$G$101,MOD(20+$C19+(-3),$B$3)+1)*F19+INDEX(Symboles!$G$6:$G$101,MOD(20+$C19+(-2),$B$3)+1)*G19+INDEX(Symboles!$G$6:$G$101,MOD(20+$C19+(-1),$B$3)+1)*H19+INDEX(Symboles!$G$6:$G$101,MOD(20+$C19+(0),$B$3)+1)*I19+INDEX(Symboles!$G$6:$G$101,MOD(20+$C19+(1),$B$3)+1)*J19+INDEX(Symboles!$G$6:$G$101,MOD(20+$C19+(2),$B$3)+1)*K19+INDEX(Symboles!$G$6:$G$101,MOD(20+$C19+(3),$B$3)+1)*L19+INDEX(Symboles!$G$6:$G$101,MOD(20+$C19+(4),$B$3)+1)*M19+IF($B$6=0,0,$B$6*NORMSINV(0.000001+0.999998*RAND())))</f>
        <v/>
      </c>
      <c r="AK19" s="30">
        <f>IF(22&gt;$B$3,99,INDEX(Symboles!$G$6:$G$101,MOD(21+$C19+(-4),$B$3)+1)*E19+INDEX(Symboles!$G$6:$G$101,MOD(21+$C19+(-3),$B$3)+1)*F19+INDEX(Symboles!$G$6:$G$101,MOD(21+$C19+(-2),$B$3)+1)*G19+INDEX(Symboles!$G$6:$G$101,MOD(21+$C19+(-1),$B$3)+1)*H19+INDEX(Symboles!$G$6:$G$101,MOD(21+$C19+(0),$B$3)+1)*I19+INDEX(Symboles!$G$6:$G$101,MOD(21+$C19+(1),$B$3)+1)*J19+INDEX(Symboles!$G$6:$G$101,MOD(21+$C19+(2),$B$3)+1)*K19+INDEX(Symboles!$G$6:$G$101,MOD(21+$C19+(3),$B$3)+1)*L19+INDEX(Symboles!$G$6:$G$101,MOD(21+$C19+(4),$B$3)+1)*M19+IF($B$6=0,0,$B$6*NORMSINV(0.000001+0.999998*RAND())))</f>
        <v/>
      </c>
      <c r="AL19" s="30">
        <f>IF(23&gt;$B$3,99,INDEX(Symboles!$G$6:$G$101,MOD(22+$C19+(-4),$B$3)+1)*E19+INDEX(Symboles!$G$6:$G$101,MOD(22+$C19+(-3),$B$3)+1)*F19+INDEX(Symboles!$G$6:$G$101,MOD(22+$C19+(-2),$B$3)+1)*G19+INDEX(Symboles!$G$6:$G$101,MOD(22+$C19+(-1),$B$3)+1)*H19+INDEX(Symboles!$G$6:$G$101,MOD(22+$C19+(0),$B$3)+1)*I19+INDEX(Symboles!$G$6:$G$101,MOD(22+$C19+(1),$B$3)+1)*J19+INDEX(Symboles!$G$6:$G$101,MOD(22+$C19+(2),$B$3)+1)*K19+INDEX(Symboles!$G$6:$G$101,MOD(22+$C19+(3),$B$3)+1)*L19+INDEX(Symboles!$G$6:$G$101,MOD(22+$C19+(4),$B$3)+1)*M19+IF($B$6=0,0,$B$6*NORMSINV(0.000001+0.999998*RAND())))</f>
        <v/>
      </c>
      <c r="AM19" s="30">
        <f>IF(24&gt;$B$3,99,INDEX(Symboles!$G$6:$G$101,MOD(23+$C19+(-4),$B$3)+1)*E19+INDEX(Symboles!$G$6:$G$101,MOD(23+$C19+(-3),$B$3)+1)*F19+INDEX(Symboles!$G$6:$G$101,MOD(23+$C19+(-2),$B$3)+1)*G19+INDEX(Symboles!$G$6:$G$101,MOD(23+$C19+(-1),$B$3)+1)*H19+INDEX(Symboles!$G$6:$G$101,MOD(23+$C19+(0),$B$3)+1)*I19+INDEX(Symboles!$G$6:$G$101,MOD(23+$C19+(1),$B$3)+1)*J19+INDEX(Symboles!$G$6:$G$101,MOD(23+$C19+(2),$B$3)+1)*K19+INDEX(Symboles!$G$6:$G$101,MOD(23+$C19+(3),$B$3)+1)*L19+INDEX(Symboles!$G$6:$G$101,MOD(23+$C19+(4),$B$3)+1)*M19+IF($B$6=0,0,$B$6*NORMSINV(0.000001+0.999998*RAND())))</f>
        <v/>
      </c>
      <c r="AN19" s="30">
        <f>IF(25&gt;$B$3,99,INDEX(Symboles!$G$6:$G$101,MOD(24+$C19+(-4),$B$3)+1)*E19+INDEX(Symboles!$G$6:$G$101,MOD(24+$C19+(-3),$B$3)+1)*F19+INDEX(Symboles!$G$6:$G$101,MOD(24+$C19+(-2),$B$3)+1)*G19+INDEX(Symboles!$G$6:$G$101,MOD(24+$C19+(-1),$B$3)+1)*H19+INDEX(Symboles!$G$6:$G$101,MOD(24+$C19+(0),$B$3)+1)*I19+INDEX(Symboles!$G$6:$G$101,MOD(24+$C19+(1),$B$3)+1)*J19+INDEX(Symboles!$G$6:$G$101,MOD(24+$C19+(2),$B$3)+1)*K19+INDEX(Symboles!$G$6:$G$101,MOD(24+$C19+(3),$B$3)+1)*L19+INDEX(Symboles!$G$6:$G$101,MOD(24+$C19+(4),$B$3)+1)*M19+IF($B$6=0,0,$B$6*NORMSINV(0.000001+0.999998*RAND())))</f>
        <v/>
      </c>
      <c r="AO19" s="30">
        <f>IF(26&gt;$B$3,99,INDEX(Symboles!$G$6:$G$101,MOD(25+$C19+(-4),$B$3)+1)*E19+INDEX(Symboles!$G$6:$G$101,MOD(25+$C19+(-3),$B$3)+1)*F19+INDEX(Symboles!$G$6:$G$101,MOD(25+$C19+(-2),$B$3)+1)*G19+INDEX(Symboles!$G$6:$G$101,MOD(25+$C19+(-1),$B$3)+1)*H19+INDEX(Symboles!$G$6:$G$101,MOD(25+$C19+(0),$B$3)+1)*I19+INDEX(Symboles!$G$6:$G$101,MOD(25+$C19+(1),$B$3)+1)*J19+INDEX(Symboles!$G$6:$G$101,MOD(25+$C19+(2),$B$3)+1)*K19+INDEX(Symboles!$G$6:$G$101,MOD(25+$C19+(3),$B$3)+1)*L19+INDEX(Symboles!$G$6:$G$101,MOD(25+$C19+(4),$B$3)+1)*M19+IF($B$6=0,0,$B$6*NORMSINV(0.000001+0.999998*RAND())))</f>
        <v/>
      </c>
      <c r="AP19" s="30">
        <f>IF(27&gt;$B$3,99,INDEX(Symboles!$G$6:$G$101,MOD(26+$C19+(-4),$B$3)+1)*E19+INDEX(Symboles!$G$6:$G$101,MOD(26+$C19+(-3),$B$3)+1)*F19+INDEX(Symboles!$G$6:$G$101,MOD(26+$C19+(-2),$B$3)+1)*G19+INDEX(Symboles!$G$6:$G$101,MOD(26+$C19+(-1),$B$3)+1)*H19+INDEX(Symboles!$G$6:$G$101,MOD(26+$C19+(0),$B$3)+1)*I19+INDEX(Symboles!$G$6:$G$101,MOD(26+$C19+(1),$B$3)+1)*J19+INDEX(Symboles!$G$6:$G$101,MOD(26+$C19+(2),$B$3)+1)*K19+INDEX(Symboles!$G$6:$G$101,MOD(26+$C19+(3),$B$3)+1)*L19+INDEX(Symboles!$G$6:$G$101,MOD(26+$C19+(4),$B$3)+1)*M19+IF($B$6=0,0,$B$6*NORMSINV(0.000001+0.999998*RAND())))</f>
        <v/>
      </c>
      <c r="AQ19" s="30">
        <f>IF(28&gt;$B$3,99,INDEX(Symboles!$G$6:$G$101,MOD(27+$C19+(-4),$B$3)+1)*E19+INDEX(Symboles!$G$6:$G$101,MOD(27+$C19+(-3),$B$3)+1)*F19+INDEX(Symboles!$G$6:$G$101,MOD(27+$C19+(-2),$B$3)+1)*G19+INDEX(Symboles!$G$6:$G$101,MOD(27+$C19+(-1),$B$3)+1)*H19+INDEX(Symboles!$G$6:$G$101,MOD(27+$C19+(0),$B$3)+1)*I19+INDEX(Symboles!$G$6:$G$101,MOD(27+$C19+(1),$B$3)+1)*J19+INDEX(Symboles!$G$6:$G$101,MOD(27+$C19+(2),$B$3)+1)*K19+INDEX(Symboles!$G$6:$G$101,MOD(27+$C19+(3),$B$3)+1)*L19+INDEX(Symboles!$G$6:$G$101,MOD(27+$C19+(4),$B$3)+1)*M19+IF($B$6=0,0,$B$6*NORMSINV(0.000001+0.999998*RAND())))</f>
        <v/>
      </c>
      <c r="AR19" s="30">
        <f>IF(29&gt;$B$3,99,INDEX(Symboles!$G$6:$G$101,MOD(28+$C19+(-4),$B$3)+1)*E19+INDEX(Symboles!$G$6:$G$101,MOD(28+$C19+(-3),$B$3)+1)*F19+INDEX(Symboles!$G$6:$G$101,MOD(28+$C19+(-2),$B$3)+1)*G19+INDEX(Symboles!$G$6:$G$101,MOD(28+$C19+(-1),$B$3)+1)*H19+INDEX(Symboles!$G$6:$G$101,MOD(28+$C19+(0),$B$3)+1)*I19+INDEX(Symboles!$G$6:$G$101,MOD(28+$C19+(1),$B$3)+1)*J19+INDEX(Symboles!$G$6:$G$101,MOD(28+$C19+(2),$B$3)+1)*K19+INDEX(Symboles!$G$6:$G$101,MOD(28+$C19+(3),$B$3)+1)*L19+INDEX(Symboles!$G$6:$G$101,MOD(28+$C19+(4),$B$3)+1)*M19+IF($B$6=0,0,$B$6*NORMSINV(0.000001+0.999998*RAND())))</f>
        <v/>
      </c>
      <c r="AS19" s="30">
        <f>IF(30&gt;$B$3,99,INDEX(Symboles!$G$6:$G$101,MOD(29+$C19+(-4),$B$3)+1)*E19+INDEX(Symboles!$G$6:$G$101,MOD(29+$C19+(-3),$B$3)+1)*F19+INDEX(Symboles!$G$6:$G$101,MOD(29+$C19+(-2),$B$3)+1)*G19+INDEX(Symboles!$G$6:$G$101,MOD(29+$C19+(-1),$B$3)+1)*H19+INDEX(Symboles!$G$6:$G$101,MOD(29+$C19+(0),$B$3)+1)*I19+INDEX(Symboles!$G$6:$G$101,MOD(29+$C19+(1),$B$3)+1)*J19+INDEX(Symboles!$G$6:$G$101,MOD(29+$C19+(2),$B$3)+1)*K19+INDEX(Symboles!$G$6:$G$101,MOD(29+$C19+(3),$B$3)+1)*L19+INDEX(Symboles!$G$6:$G$101,MOD(29+$C19+(4),$B$3)+1)*M19+IF($B$6=0,0,$B$6*NORMSINV(0.000001+0.999998*RAND())))</f>
        <v/>
      </c>
      <c r="AT19" s="30">
        <f>IF(31&gt;$B$3,99,INDEX(Symboles!$G$6:$G$101,MOD(30+$C19+(-4),$B$3)+1)*E19+INDEX(Symboles!$G$6:$G$101,MOD(30+$C19+(-3),$B$3)+1)*F19+INDEX(Symboles!$G$6:$G$101,MOD(30+$C19+(-2),$B$3)+1)*G19+INDEX(Symboles!$G$6:$G$101,MOD(30+$C19+(-1),$B$3)+1)*H19+INDEX(Symboles!$G$6:$G$101,MOD(30+$C19+(0),$B$3)+1)*I19+INDEX(Symboles!$G$6:$G$101,MOD(30+$C19+(1),$B$3)+1)*J19+INDEX(Symboles!$G$6:$G$101,MOD(30+$C19+(2),$B$3)+1)*K19+INDEX(Symboles!$G$6:$G$101,MOD(30+$C19+(3),$B$3)+1)*L19+INDEX(Symboles!$G$6:$G$101,MOD(30+$C19+(4),$B$3)+1)*M19+IF($B$6=0,0,$B$6*NORMSINV(0.000001+0.999998*RAND())))</f>
        <v/>
      </c>
      <c r="AU19" s="30">
        <f>IF(32&gt;$B$3,99,INDEX(Symboles!$G$6:$G$101,MOD(31+$C19+(-4),$B$3)+1)*E19+INDEX(Symboles!$G$6:$G$101,MOD(31+$C19+(-3),$B$3)+1)*F19+INDEX(Symboles!$G$6:$G$101,MOD(31+$C19+(-2),$B$3)+1)*G19+INDEX(Symboles!$G$6:$G$101,MOD(31+$C19+(-1),$B$3)+1)*H19+INDEX(Symboles!$G$6:$G$101,MOD(31+$C19+(0),$B$3)+1)*I19+INDEX(Symboles!$G$6:$G$101,MOD(31+$C19+(1),$B$3)+1)*J19+INDEX(Symboles!$G$6:$G$101,MOD(31+$C19+(2),$B$3)+1)*K19+INDEX(Symboles!$G$6:$G$101,MOD(31+$C19+(3),$B$3)+1)*L19+INDEX(Symboles!$G$6:$G$101,MOD(31+$C19+(4),$B$3)+1)*M19+IF($B$6=0,0,$B$6*NORMSINV(0.000001+0.999998*RAND())))</f>
        <v/>
      </c>
      <c r="AV19" s="30">
        <f>IF(33&gt;$B$3,99,INDEX(Symboles!$G$6:$G$101,MOD(32+$C19+(-4),$B$3)+1)*E19+INDEX(Symboles!$G$6:$G$101,MOD(32+$C19+(-3),$B$3)+1)*F19+INDEX(Symboles!$G$6:$G$101,MOD(32+$C19+(-2),$B$3)+1)*G19+INDEX(Symboles!$G$6:$G$101,MOD(32+$C19+(-1),$B$3)+1)*H19+INDEX(Symboles!$G$6:$G$101,MOD(32+$C19+(0),$B$3)+1)*I19+INDEX(Symboles!$G$6:$G$101,MOD(32+$C19+(1),$B$3)+1)*J19+INDEX(Symboles!$G$6:$G$101,MOD(32+$C19+(2),$B$3)+1)*K19+INDEX(Symboles!$G$6:$G$101,MOD(32+$C19+(3),$B$3)+1)*L19+INDEX(Symboles!$G$6:$G$101,MOD(32+$C19+(4),$B$3)+1)*M19+IF($B$6=0,0,$B$6*NORMSINV(0.000001+0.999998*RAND())))</f>
        <v/>
      </c>
      <c r="AW19" s="30">
        <f>IF(34&gt;$B$3,99,INDEX(Symboles!$G$6:$G$101,MOD(33+$C19+(-4),$B$3)+1)*E19+INDEX(Symboles!$G$6:$G$101,MOD(33+$C19+(-3),$B$3)+1)*F19+INDEX(Symboles!$G$6:$G$101,MOD(33+$C19+(-2),$B$3)+1)*G19+INDEX(Symboles!$G$6:$G$101,MOD(33+$C19+(-1),$B$3)+1)*H19+INDEX(Symboles!$G$6:$G$101,MOD(33+$C19+(0),$B$3)+1)*I19+INDEX(Symboles!$G$6:$G$101,MOD(33+$C19+(1),$B$3)+1)*J19+INDEX(Symboles!$G$6:$G$101,MOD(33+$C19+(2),$B$3)+1)*K19+INDEX(Symboles!$G$6:$G$101,MOD(33+$C19+(3),$B$3)+1)*L19+INDEX(Symboles!$G$6:$G$101,MOD(33+$C19+(4),$B$3)+1)*M19+IF($B$6=0,0,$B$6*NORMSINV(0.000001+0.999998*RAND())))</f>
        <v/>
      </c>
      <c r="AX19" s="30">
        <f>IF(35&gt;$B$3,99,INDEX(Symboles!$G$6:$G$101,MOD(34+$C19+(-4),$B$3)+1)*E19+INDEX(Symboles!$G$6:$G$101,MOD(34+$C19+(-3),$B$3)+1)*F19+INDEX(Symboles!$G$6:$G$101,MOD(34+$C19+(-2),$B$3)+1)*G19+INDEX(Symboles!$G$6:$G$101,MOD(34+$C19+(-1),$B$3)+1)*H19+INDEX(Symboles!$G$6:$G$101,MOD(34+$C19+(0),$B$3)+1)*I19+INDEX(Symboles!$G$6:$G$101,MOD(34+$C19+(1),$B$3)+1)*J19+INDEX(Symboles!$G$6:$G$101,MOD(34+$C19+(2),$B$3)+1)*K19+INDEX(Symboles!$G$6:$G$101,MOD(34+$C19+(3),$B$3)+1)*L19+INDEX(Symboles!$G$6:$G$101,MOD(34+$C19+(4),$B$3)+1)*M19+IF($B$6=0,0,$B$6*NORMSINV(0.000001+0.999998*RAND())))</f>
        <v/>
      </c>
      <c r="AY19" s="30">
        <f>IF(36&gt;$B$3,99,INDEX(Symboles!$G$6:$G$101,MOD(35+$C19+(-4),$B$3)+1)*E19+INDEX(Symboles!$G$6:$G$101,MOD(35+$C19+(-3),$B$3)+1)*F19+INDEX(Symboles!$G$6:$G$101,MOD(35+$C19+(-2),$B$3)+1)*G19+INDEX(Symboles!$G$6:$G$101,MOD(35+$C19+(-1),$B$3)+1)*H19+INDEX(Symboles!$G$6:$G$101,MOD(35+$C19+(0),$B$3)+1)*I19+INDEX(Symboles!$G$6:$G$101,MOD(35+$C19+(1),$B$3)+1)*J19+INDEX(Symboles!$G$6:$G$101,MOD(35+$C19+(2),$B$3)+1)*K19+INDEX(Symboles!$G$6:$G$101,MOD(35+$C19+(3),$B$3)+1)*L19+INDEX(Symboles!$G$6:$G$101,MOD(35+$C19+(4),$B$3)+1)*M19+IF($B$6=0,0,$B$6*NORMSINV(0.000001+0.999998*RAND())))</f>
        <v/>
      </c>
      <c r="AZ19" s="30">
        <f>IF(37&gt;$B$3,99,INDEX(Symboles!$G$6:$G$101,MOD(36+$C19+(-4),$B$3)+1)*E19+INDEX(Symboles!$G$6:$G$101,MOD(36+$C19+(-3),$B$3)+1)*F19+INDEX(Symboles!$G$6:$G$101,MOD(36+$C19+(-2),$B$3)+1)*G19+INDEX(Symboles!$G$6:$G$101,MOD(36+$C19+(-1),$B$3)+1)*H19+INDEX(Symboles!$G$6:$G$101,MOD(36+$C19+(0),$B$3)+1)*I19+INDEX(Symboles!$G$6:$G$101,MOD(36+$C19+(1),$B$3)+1)*J19+INDEX(Symboles!$G$6:$G$101,MOD(36+$C19+(2),$B$3)+1)*K19+INDEX(Symboles!$G$6:$G$101,MOD(36+$C19+(3),$B$3)+1)*L19+INDEX(Symboles!$G$6:$G$101,MOD(36+$C19+(4),$B$3)+1)*M19+IF($B$6=0,0,$B$6*NORMSINV(0.000001+0.999998*RAND())))</f>
        <v/>
      </c>
      <c r="BA19" s="30">
        <f>IF(38&gt;$B$3,99,INDEX(Symboles!$G$6:$G$101,MOD(37+$C19+(-4),$B$3)+1)*E19+INDEX(Symboles!$G$6:$G$101,MOD(37+$C19+(-3),$B$3)+1)*F19+INDEX(Symboles!$G$6:$G$101,MOD(37+$C19+(-2),$B$3)+1)*G19+INDEX(Symboles!$G$6:$G$101,MOD(37+$C19+(-1),$B$3)+1)*H19+INDEX(Symboles!$G$6:$G$101,MOD(37+$C19+(0),$B$3)+1)*I19+INDEX(Symboles!$G$6:$G$101,MOD(37+$C19+(1),$B$3)+1)*J19+INDEX(Symboles!$G$6:$G$101,MOD(37+$C19+(2),$B$3)+1)*K19+INDEX(Symboles!$G$6:$G$101,MOD(37+$C19+(3),$B$3)+1)*L19+INDEX(Symboles!$G$6:$G$101,MOD(37+$C19+(4),$B$3)+1)*M19+IF($B$6=0,0,$B$6*NORMSINV(0.000001+0.999998*RAND())))</f>
        <v/>
      </c>
      <c r="BB19" s="30">
        <f>IF(39&gt;$B$3,99,INDEX(Symboles!$G$6:$G$101,MOD(38+$C19+(-4),$B$3)+1)*E19+INDEX(Symboles!$G$6:$G$101,MOD(38+$C19+(-3),$B$3)+1)*F19+INDEX(Symboles!$G$6:$G$101,MOD(38+$C19+(-2),$B$3)+1)*G19+INDEX(Symboles!$G$6:$G$101,MOD(38+$C19+(-1),$B$3)+1)*H19+INDEX(Symboles!$G$6:$G$101,MOD(38+$C19+(0),$B$3)+1)*I19+INDEX(Symboles!$G$6:$G$101,MOD(38+$C19+(1),$B$3)+1)*J19+INDEX(Symboles!$G$6:$G$101,MOD(38+$C19+(2),$B$3)+1)*K19+INDEX(Symboles!$G$6:$G$101,MOD(38+$C19+(3),$B$3)+1)*L19+INDEX(Symboles!$G$6:$G$101,MOD(38+$C19+(4),$B$3)+1)*M19+IF($B$6=0,0,$B$6*NORMSINV(0.000001+0.999998*RAND())))</f>
        <v/>
      </c>
      <c r="BC19" s="30">
        <f>IF(40&gt;$B$3,99,INDEX(Symboles!$G$6:$G$101,MOD(39+$C19+(-4),$B$3)+1)*E19+INDEX(Symboles!$G$6:$G$101,MOD(39+$C19+(-3),$B$3)+1)*F19+INDEX(Symboles!$G$6:$G$101,MOD(39+$C19+(-2),$B$3)+1)*G19+INDEX(Symboles!$G$6:$G$101,MOD(39+$C19+(-1),$B$3)+1)*H19+INDEX(Symboles!$G$6:$G$101,MOD(39+$C19+(0),$B$3)+1)*I19+INDEX(Symboles!$G$6:$G$101,MOD(39+$C19+(1),$B$3)+1)*J19+INDEX(Symboles!$G$6:$G$101,MOD(39+$C19+(2),$B$3)+1)*K19+INDEX(Symboles!$G$6:$G$101,MOD(39+$C19+(3),$B$3)+1)*L19+INDEX(Symboles!$G$6:$G$101,MOD(39+$C19+(4),$B$3)+1)*M19+IF($B$6=0,0,$B$6*NORMSINV(0.000001+0.999998*RAND())))</f>
        <v/>
      </c>
      <c r="BD19" s="30">
        <f>IF(41&gt;$B$3,99,INDEX(Symboles!$G$6:$G$101,MOD(40+$C19+(-4),$B$3)+1)*E19+INDEX(Symboles!$G$6:$G$101,MOD(40+$C19+(-3),$B$3)+1)*F19+INDEX(Symboles!$G$6:$G$101,MOD(40+$C19+(-2),$B$3)+1)*G19+INDEX(Symboles!$G$6:$G$101,MOD(40+$C19+(-1),$B$3)+1)*H19+INDEX(Symboles!$G$6:$G$101,MOD(40+$C19+(0),$B$3)+1)*I19+INDEX(Symboles!$G$6:$G$101,MOD(40+$C19+(1),$B$3)+1)*J19+INDEX(Symboles!$G$6:$G$101,MOD(40+$C19+(2),$B$3)+1)*K19+INDEX(Symboles!$G$6:$G$101,MOD(40+$C19+(3),$B$3)+1)*L19+INDEX(Symboles!$G$6:$G$101,MOD(40+$C19+(4),$B$3)+1)*M19+IF($B$6=0,0,$B$6*NORMSINV(0.000001+0.999998*RAND())))</f>
        <v/>
      </c>
      <c r="BE19" s="30">
        <f>IF(42&gt;$B$3,99,INDEX(Symboles!$G$6:$G$101,MOD(41+$C19+(-4),$B$3)+1)*E19+INDEX(Symboles!$G$6:$G$101,MOD(41+$C19+(-3),$B$3)+1)*F19+INDEX(Symboles!$G$6:$G$101,MOD(41+$C19+(-2),$B$3)+1)*G19+INDEX(Symboles!$G$6:$G$101,MOD(41+$C19+(-1),$B$3)+1)*H19+INDEX(Symboles!$G$6:$G$101,MOD(41+$C19+(0),$B$3)+1)*I19+INDEX(Symboles!$G$6:$G$101,MOD(41+$C19+(1),$B$3)+1)*J19+INDEX(Symboles!$G$6:$G$101,MOD(41+$C19+(2),$B$3)+1)*K19+INDEX(Symboles!$G$6:$G$101,MOD(41+$C19+(3),$B$3)+1)*L19+INDEX(Symboles!$G$6:$G$101,MOD(41+$C19+(4),$B$3)+1)*M19+IF($B$6=0,0,$B$6*NORMSINV(0.000001+0.999998*RAND())))</f>
        <v/>
      </c>
      <c r="BF19" s="30">
        <f>IF(43&gt;$B$3,99,INDEX(Symboles!$G$6:$G$101,MOD(42+$C19+(-4),$B$3)+1)*E19+INDEX(Symboles!$G$6:$G$101,MOD(42+$C19+(-3),$B$3)+1)*F19+INDEX(Symboles!$G$6:$G$101,MOD(42+$C19+(-2),$B$3)+1)*G19+INDEX(Symboles!$G$6:$G$101,MOD(42+$C19+(-1),$B$3)+1)*H19+INDEX(Symboles!$G$6:$G$101,MOD(42+$C19+(0),$B$3)+1)*I19+INDEX(Symboles!$G$6:$G$101,MOD(42+$C19+(1),$B$3)+1)*J19+INDEX(Symboles!$G$6:$G$101,MOD(42+$C19+(2),$B$3)+1)*K19+INDEX(Symboles!$G$6:$G$101,MOD(42+$C19+(3),$B$3)+1)*L19+INDEX(Symboles!$G$6:$G$101,MOD(42+$C19+(4),$B$3)+1)*M19+IF($B$6=0,0,$B$6*NORMSINV(0.000001+0.999998*RAND())))</f>
        <v/>
      </c>
      <c r="BG19" s="30">
        <f>IF(44&gt;$B$3,99,INDEX(Symboles!$G$6:$G$101,MOD(43+$C19+(-4),$B$3)+1)*E19+INDEX(Symboles!$G$6:$G$101,MOD(43+$C19+(-3),$B$3)+1)*F19+INDEX(Symboles!$G$6:$G$101,MOD(43+$C19+(-2),$B$3)+1)*G19+INDEX(Symboles!$G$6:$G$101,MOD(43+$C19+(-1),$B$3)+1)*H19+INDEX(Symboles!$G$6:$G$101,MOD(43+$C19+(0),$B$3)+1)*I19+INDEX(Symboles!$G$6:$G$101,MOD(43+$C19+(1),$B$3)+1)*J19+INDEX(Symboles!$G$6:$G$101,MOD(43+$C19+(2),$B$3)+1)*K19+INDEX(Symboles!$G$6:$G$101,MOD(43+$C19+(3),$B$3)+1)*L19+INDEX(Symboles!$G$6:$G$101,MOD(43+$C19+(4),$B$3)+1)*M19+IF($B$6=0,0,$B$6*NORMSINV(0.000001+0.999998*RAND())))</f>
        <v/>
      </c>
      <c r="BH19" s="30">
        <f>IF(45&gt;$B$3,99,INDEX(Symboles!$G$6:$G$101,MOD(44+$C19+(-4),$B$3)+1)*E19+INDEX(Symboles!$G$6:$G$101,MOD(44+$C19+(-3),$B$3)+1)*F19+INDEX(Symboles!$G$6:$G$101,MOD(44+$C19+(-2),$B$3)+1)*G19+INDEX(Symboles!$G$6:$G$101,MOD(44+$C19+(-1),$B$3)+1)*H19+INDEX(Symboles!$G$6:$G$101,MOD(44+$C19+(0),$B$3)+1)*I19+INDEX(Symboles!$G$6:$G$101,MOD(44+$C19+(1),$B$3)+1)*J19+INDEX(Symboles!$G$6:$G$101,MOD(44+$C19+(2),$B$3)+1)*K19+INDEX(Symboles!$G$6:$G$101,MOD(44+$C19+(3),$B$3)+1)*L19+INDEX(Symboles!$G$6:$G$101,MOD(44+$C19+(4),$B$3)+1)*M19+IF($B$6=0,0,$B$6*NORMSINV(0.000001+0.999998*RAND())))</f>
        <v/>
      </c>
      <c r="BI19" s="30">
        <f>IF(46&gt;$B$3,99,INDEX(Symboles!$G$6:$G$101,MOD(45+$C19+(-4),$B$3)+1)*E19+INDEX(Symboles!$G$6:$G$101,MOD(45+$C19+(-3),$B$3)+1)*F19+INDEX(Symboles!$G$6:$G$101,MOD(45+$C19+(-2),$B$3)+1)*G19+INDEX(Symboles!$G$6:$G$101,MOD(45+$C19+(-1),$B$3)+1)*H19+INDEX(Symboles!$G$6:$G$101,MOD(45+$C19+(0),$B$3)+1)*I19+INDEX(Symboles!$G$6:$G$101,MOD(45+$C19+(1),$B$3)+1)*J19+INDEX(Symboles!$G$6:$G$101,MOD(45+$C19+(2),$B$3)+1)*K19+INDEX(Symboles!$G$6:$G$101,MOD(45+$C19+(3),$B$3)+1)*L19+INDEX(Symboles!$G$6:$G$101,MOD(45+$C19+(4),$B$3)+1)*M19+IF($B$6=0,0,$B$6*NORMSINV(0.000001+0.999998*RAND())))</f>
        <v/>
      </c>
      <c r="BJ19" s="30">
        <f>IF(47&gt;$B$3,99,INDEX(Symboles!$G$6:$G$101,MOD(46+$C19+(-4),$B$3)+1)*E19+INDEX(Symboles!$G$6:$G$101,MOD(46+$C19+(-3),$B$3)+1)*F19+INDEX(Symboles!$G$6:$G$101,MOD(46+$C19+(-2),$B$3)+1)*G19+INDEX(Symboles!$G$6:$G$101,MOD(46+$C19+(-1),$B$3)+1)*H19+INDEX(Symboles!$G$6:$G$101,MOD(46+$C19+(0),$B$3)+1)*I19+INDEX(Symboles!$G$6:$G$101,MOD(46+$C19+(1),$B$3)+1)*J19+INDEX(Symboles!$G$6:$G$101,MOD(46+$C19+(2),$B$3)+1)*K19+INDEX(Symboles!$G$6:$G$101,MOD(46+$C19+(3),$B$3)+1)*L19+INDEX(Symboles!$G$6:$G$101,MOD(46+$C19+(4),$B$3)+1)*M19+IF($B$6=0,0,$B$6*NORMSINV(0.000001+0.999998*RAND())))</f>
        <v/>
      </c>
      <c r="BK19" s="30">
        <f>IF(48&gt;$B$3,99,INDEX(Symboles!$G$6:$G$101,MOD(47+$C19+(-4),$B$3)+1)*E19+INDEX(Symboles!$G$6:$G$101,MOD(47+$C19+(-3),$B$3)+1)*F19+INDEX(Symboles!$G$6:$G$101,MOD(47+$C19+(-2),$B$3)+1)*G19+INDEX(Symboles!$G$6:$G$101,MOD(47+$C19+(-1),$B$3)+1)*H19+INDEX(Symboles!$G$6:$G$101,MOD(47+$C19+(0),$B$3)+1)*I19+INDEX(Symboles!$G$6:$G$101,MOD(47+$C19+(1),$B$3)+1)*J19+INDEX(Symboles!$G$6:$G$101,MOD(47+$C19+(2),$B$3)+1)*K19+INDEX(Symboles!$G$6:$G$101,MOD(47+$C19+(3),$B$3)+1)*L19+INDEX(Symboles!$G$6:$G$101,MOD(47+$C19+(4),$B$3)+1)*M19+IF($B$6=0,0,$B$6*NORMSINV(0.000001+0.999998*RAND())))</f>
        <v/>
      </c>
      <c r="BL19" s="30">
        <f>IF(49&gt;$B$3,99,INDEX(Symboles!$G$6:$G$101,MOD(48+$C19+(-4),$B$3)+1)*E19+INDEX(Symboles!$G$6:$G$101,MOD(48+$C19+(-3),$B$3)+1)*F19+INDEX(Symboles!$G$6:$G$101,MOD(48+$C19+(-2),$B$3)+1)*G19+INDEX(Symboles!$G$6:$G$101,MOD(48+$C19+(-1),$B$3)+1)*H19+INDEX(Symboles!$G$6:$G$101,MOD(48+$C19+(0),$B$3)+1)*I19+INDEX(Symboles!$G$6:$G$101,MOD(48+$C19+(1),$B$3)+1)*J19+INDEX(Symboles!$G$6:$G$101,MOD(48+$C19+(2),$B$3)+1)*K19+INDEX(Symboles!$G$6:$G$101,MOD(48+$C19+(3),$B$3)+1)*L19+INDEX(Symboles!$G$6:$G$101,MOD(48+$C19+(4),$B$3)+1)*M19+IF($B$6=0,0,$B$6*NORMSINV(0.000001+0.999998*RAND())))</f>
        <v/>
      </c>
      <c r="BM19" s="30">
        <f>IF(50&gt;$B$3,99,INDEX(Symboles!$G$6:$G$101,MOD(49+$C19+(-4),$B$3)+1)*E19+INDEX(Symboles!$G$6:$G$101,MOD(49+$C19+(-3),$B$3)+1)*F19+INDEX(Symboles!$G$6:$G$101,MOD(49+$C19+(-2),$B$3)+1)*G19+INDEX(Symboles!$G$6:$G$101,MOD(49+$C19+(-1),$B$3)+1)*H19+INDEX(Symboles!$G$6:$G$101,MOD(49+$C19+(0),$B$3)+1)*I19+INDEX(Symboles!$G$6:$G$101,MOD(49+$C19+(1),$B$3)+1)*J19+INDEX(Symboles!$G$6:$G$101,MOD(49+$C19+(2),$B$3)+1)*K19+INDEX(Symboles!$G$6:$G$101,MOD(49+$C19+(3),$B$3)+1)*L19+INDEX(Symboles!$G$6:$G$101,MOD(49+$C19+(4),$B$3)+1)*M19+IF($B$6=0,0,$B$6*NORMSINV(0.000001+0.999998*RAND())))</f>
        <v/>
      </c>
      <c r="BN19" s="30">
        <f>IF(51&gt;$B$3,99,INDEX(Symboles!$G$6:$G$101,MOD(50+$C19+(-4),$B$3)+1)*E19+INDEX(Symboles!$G$6:$G$101,MOD(50+$C19+(-3),$B$3)+1)*F19+INDEX(Symboles!$G$6:$G$101,MOD(50+$C19+(-2),$B$3)+1)*G19+INDEX(Symboles!$G$6:$G$101,MOD(50+$C19+(-1),$B$3)+1)*H19+INDEX(Symboles!$G$6:$G$101,MOD(50+$C19+(0),$B$3)+1)*I19+INDEX(Symboles!$G$6:$G$101,MOD(50+$C19+(1),$B$3)+1)*J19+INDEX(Symboles!$G$6:$G$101,MOD(50+$C19+(2),$B$3)+1)*K19+INDEX(Symboles!$G$6:$G$101,MOD(50+$C19+(3),$B$3)+1)*L19+INDEX(Symboles!$G$6:$G$101,MOD(50+$C19+(4),$B$3)+1)*M19+IF($B$6=0,0,$B$6*NORMSINV(0.000001+0.999998*RAND())))</f>
        <v/>
      </c>
      <c r="BO19" s="30">
        <f>IF(52&gt;$B$3,99,INDEX(Symboles!$G$6:$G$101,MOD(51+$C19+(-4),$B$3)+1)*E19+INDEX(Symboles!$G$6:$G$101,MOD(51+$C19+(-3),$B$3)+1)*F19+INDEX(Symboles!$G$6:$G$101,MOD(51+$C19+(-2),$B$3)+1)*G19+INDEX(Symboles!$G$6:$G$101,MOD(51+$C19+(-1),$B$3)+1)*H19+INDEX(Symboles!$G$6:$G$101,MOD(51+$C19+(0),$B$3)+1)*I19+INDEX(Symboles!$G$6:$G$101,MOD(51+$C19+(1),$B$3)+1)*J19+INDEX(Symboles!$G$6:$G$101,MOD(51+$C19+(2),$B$3)+1)*K19+INDEX(Symboles!$G$6:$G$101,MOD(51+$C19+(3),$B$3)+1)*L19+INDEX(Symboles!$G$6:$G$101,MOD(51+$C19+(4),$B$3)+1)*M19+IF($B$6=0,0,$B$6*NORMSINV(0.000001+0.999998*RAND())))</f>
        <v/>
      </c>
      <c r="BP19" s="30">
        <f>IF(53&gt;$B$3,99,INDEX(Symboles!$G$6:$G$101,MOD(52+$C19+(-4),$B$3)+1)*E19+INDEX(Symboles!$G$6:$G$101,MOD(52+$C19+(-3),$B$3)+1)*F19+INDEX(Symboles!$G$6:$G$101,MOD(52+$C19+(-2),$B$3)+1)*G19+INDEX(Symboles!$G$6:$G$101,MOD(52+$C19+(-1),$B$3)+1)*H19+INDEX(Symboles!$G$6:$G$101,MOD(52+$C19+(0),$B$3)+1)*I19+INDEX(Symboles!$G$6:$G$101,MOD(52+$C19+(1),$B$3)+1)*J19+INDEX(Symboles!$G$6:$G$101,MOD(52+$C19+(2),$B$3)+1)*K19+INDEX(Symboles!$G$6:$G$101,MOD(52+$C19+(3),$B$3)+1)*L19+INDEX(Symboles!$G$6:$G$101,MOD(52+$C19+(4),$B$3)+1)*M19+IF($B$6=0,0,$B$6*NORMSINV(0.000001+0.999998*RAND())))</f>
        <v/>
      </c>
      <c r="BQ19" s="30">
        <f>IF(54&gt;$B$3,99,INDEX(Symboles!$G$6:$G$101,MOD(53+$C19+(-4),$B$3)+1)*E19+INDEX(Symboles!$G$6:$G$101,MOD(53+$C19+(-3),$B$3)+1)*F19+INDEX(Symboles!$G$6:$G$101,MOD(53+$C19+(-2),$B$3)+1)*G19+INDEX(Symboles!$G$6:$G$101,MOD(53+$C19+(-1),$B$3)+1)*H19+INDEX(Symboles!$G$6:$G$101,MOD(53+$C19+(0),$B$3)+1)*I19+INDEX(Symboles!$G$6:$G$101,MOD(53+$C19+(1),$B$3)+1)*J19+INDEX(Symboles!$G$6:$G$101,MOD(53+$C19+(2),$B$3)+1)*K19+INDEX(Symboles!$G$6:$G$101,MOD(53+$C19+(3),$B$3)+1)*L19+INDEX(Symboles!$G$6:$G$101,MOD(53+$C19+(4),$B$3)+1)*M19+IF($B$6=0,0,$B$6*NORMSINV(0.000001+0.999998*RAND())))</f>
        <v/>
      </c>
      <c r="BR19" s="30">
        <f>IF(55&gt;$B$3,99,INDEX(Symboles!$G$6:$G$101,MOD(54+$C19+(-4),$B$3)+1)*E19+INDEX(Symboles!$G$6:$G$101,MOD(54+$C19+(-3),$B$3)+1)*F19+INDEX(Symboles!$G$6:$G$101,MOD(54+$C19+(-2),$B$3)+1)*G19+INDEX(Symboles!$G$6:$G$101,MOD(54+$C19+(-1),$B$3)+1)*H19+INDEX(Symboles!$G$6:$G$101,MOD(54+$C19+(0),$B$3)+1)*I19+INDEX(Symboles!$G$6:$G$101,MOD(54+$C19+(1),$B$3)+1)*J19+INDEX(Symboles!$G$6:$G$101,MOD(54+$C19+(2),$B$3)+1)*K19+INDEX(Symboles!$G$6:$G$101,MOD(54+$C19+(3),$B$3)+1)*L19+INDEX(Symboles!$G$6:$G$101,MOD(54+$C19+(4),$B$3)+1)*M19+IF($B$6=0,0,$B$6*NORMSINV(0.000001+0.999998*RAND())))</f>
        <v/>
      </c>
      <c r="BS19" s="30">
        <f>IF(56&gt;$B$3,99,INDEX(Symboles!$G$6:$G$101,MOD(55+$C19+(-4),$B$3)+1)*E19+INDEX(Symboles!$G$6:$G$101,MOD(55+$C19+(-3),$B$3)+1)*F19+INDEX(Symboles!$G$6:$G$101,MOD(55+$C19+(-2),$B$3)+1)*G19+INDEX(Symboles!$G$6:$G$101,MOD(55+$C19+(-1),$B$3)+1)*H19+INDEX(Symboles!$G$6:$G$101,MOD(55+$C19+(0),$B$3)+1)*I19+INDEX(Symboles!$G$6:$G$101,MOD(55+$C19+(1),$B$3)+1)*J19+INDEX(Symboles!$G$6:$G$101,MOD(55+$C19+(2),$B$3)+1)*K19+INDEX(Symboles!$G$6:$G$101,MOD(55+$C19+(3),$B$3)+1)*L19+INDEX(Symboles!$G$6:$G$101,MOD(55+$C19+(4),$B$3)+1)*M19+IF($B$6=0,0,$B$6*NORMSINV(0.000001+0.999998*RAND())))</f>
        <v/>
      </c>
      <c r="BT19" s="30">
        <f>IF(57&gt;$B$3,99,INDEX(Symboles!$G$6:$G$101,MOD(56+$C19+(-4),$B$3)+1)*E19+INDEX(Symboles!$G$6:$G$101,MOD(56+$C19+(-3),$B$3)+1)*F19+INDEX(Symboles!$G$6:$G$101,MOD(56+$C19+(-2),$B$3)+1)*G19+INDEX(Symboles!$G$6:$G$101,MOD(56+$C19+(-1),$B$3)+1)*H19+INDEX(Symboles!$G$6:$G$101,MOD(56+$C19+(0),$B$3)+1)*I19+INDEX(Symboles!$G$6:$G$101,MOD(56+$C19+(1),$B$3)+1)*J19+INDEX(Symboles!$G$6:$G$101,MOD(56+$C19+(2),$B$3)+1)*K19+INDEX(Symboles!$G$6:$G$101,MOD(56+$C19+(3),$B$3)+1)*L19+INDEX(Symboles!$G$6:$G$101,MOD(56+$C19+(4),$B$3)+1)*M19+IF($B$6=0,0,$B$6*NORMSINV(0.000001+0.999998*RAND())))</f>
        <v/>
      </c>
      <c r="BU19" s="30">
        <f>IF(58&gt;$B$3,99,INDEX(Symboles!$G$6:$G$101,MOD(57+$C19+(-4),$B$3)+1)*E19+INDEX(Symboles!$G$6:$G$101,MOD(57+$C19+(-3),$B$3)+1)*F19+INDEX(Symboles!$G$6:$G$101,MOD(57+$C19+(-2),$B$3)+1)*G19+INDEX(Symboles!$G$6:$G$101,MOD(57+$C19+(-1),$B$3)+1)*H19+INDEX(Symboles!$G$6:$G$101,MOD(57+$C19+(0),$B$3)+1)*I19+INDEX(Symboles!$G$6:$G$101,MOD(57+$C19+(1),$B$3)+1)*J19+INDEX(Symboles!$G$6:$G$101,MOD(57+$C19+(2),$B$3)+1)*K19+INDEX(Symboles!$G$6:$G$101,MOD(57+$C19+(3),$B$3)+1)*L19+INDEX(Symboles!$G$6:$G$101,MOD(57+$C19+(4),$B$3)+1)*M19+IF($B$6=0,0,$B$6*NORMSINV(0.000001+0.999998*RAND())))</f>
        <v/>
      </c>
      <c r="BV19" s="30">
        <f>IF(59&gt;$B$3,99,INDEX(Symboles!$G$6:$G$101,MOD(58+$C19+(-4),$B$3)+1)*E19+INDEX(Symboles!$G$6:$G$101,MOD(58+$C19+(-3),$B$3)+1)*F19+INDEX(Symboles!$G$6:$G$101,MOD(58+$C19+(-2),$B$3)+1)*G19+INDEX(Symboles!$G$6:$G$101,MOD(58+$C19+(-1),$B$3)+1)*H19+INDEX(Symboles!$G$6:$G$101,MOD(58+$C19+(0),$B$3)+1)*I19+INDEX(Symboles!$G$6:$G$101,MOD(58+$C19+(1),$B$3)+1)*J19+INDEX(Symboles!$G$6:$G$101,MOD(58+$C19+(2),$B$3)+1)*K19+INDEX(Symboles!$G$6:$G$101,MOD(58+$C19+(3),$B$3)+1)*L19+INDEX(Symboles!$G$6:$G$101,MOD(58+$C19+(4),$B$3)+1)*M19+IF($B$6=0,0,$B$6*NORMSINV(0.000001+0.999998*RAND())))</f>
        <v/>
      </c>
      <c r="BW19" s="30">
        <f>IF(60&gt;$B$3,99,INDEX(Symboles!$G$6:$G$101,MOD(59+$C19+(-4),$B$3)+1)*E19+INDEX(Symboles!$G$6:$G$101,MOD(59+$C19+(-3),$B$3)+1)*F19+INDEX(Symboles!$G$6:$G$101,MOD(59+$C19+(-2),$B$3)+1)*G19+INDEX(Symboles!$G$6:$G$101,MOD(59+$C19+(-1),$B$3)+1)*H19+INDEX(Symboles!$G$6:$G$101,MOD(59+$C19+(0),$B$3)+1)*I19+INDEX(Symboles!$G$6:$G$101,MOD(59+$C19+(1),$B$3)+1)*J19+INDEX(Symboles!$G$6:$G$101,MOD(59+$C19+(2),$B$3)+1)*K19+INDEX(Symboles!$G$6:$G$101,MOD(59+$C19+(3),$B$3)+1)*L19+INDEX(Symboles!$G$6:$G$101,MOD(59+$C19+(4),$B$3)+1)*M19+IF($B$6=0,0,$B$6*NORMSINV(0.000001+0.999998*RAND())))</f>
        <v/>
      </c>
      <c r="BX19" s="30">
        <f>IF(61&gt;$B$3,99,INDEX(Symboles!$G$6:$G$101,MOD(60+$C19+(-4),$B$3)+1)*E19+INDEX(Symboles!$G$6:$G$101,MOD(60+$C19+(-3),$B$3)+1)*F19+INDEX(Symboles!$G$6:$G$101,MOD(60+$C19+(-2),$B$3)+1)*G19+INDEX(Symboles!$G$6:$G$101,MOD(60+$C19+(-1),$B$3)+1)*H19+INDEX(Symboles!$G$6:$G$101,MOD(60+$C19+(0),$B$3)+1)*I19+INDEX(Symboles!$G$6:$G$101,MOD(60+$C19+(1),$B$3)+1)*J19+INDEX(Symboles!$G$6:$G$101,MOD(60+$C19+(2),$B$3)+1)*K19+INDEX(Symboles!$G$6:$G$101,MOD(60+$C19+(3),$B$3)+1)*L19+INDEX(Symboles!$G$6:$G$101,MOD(60+$C19+(4),$B$3)+1)*M19+IF($B$6=0,0,$B$6*NORMSINV(0.000001+0.999998*RAND())))</f>
        <v/>
      </c>
      <c r="BY19" s="30">
        <f>IF(62&gt;$B$3,99,INDEX(Symboles!$G$6:$G$101,MOD(61+$C19+(-4),$B$3)+1)*E19+INDEX(Symboles!$G$6:$G$101,MOD(61+$C19+(-3),$B$3)+1)*F19+INDEX(Symboles!$G$6:$G$101,MOD(61+$C19+(-2),$B$3)+1)*G19+INDEX(Symboles!$G$6:$G$101,MOD(61+$C19+(-1),$B$3)+1)*H19+INDEX(Symboles!$G$6:$G$101,MOD(61+$C19+(0),$B$3)+1)*I19+INDEX(Symboles!$G$6:$G$101,MOD(61+$C19+(1),$B$3)+1)*J19+INDEX(Symboles!$G$6:$G$101,MOD(61+$C19+(2),$B$3)+1)*K19+INDEX(Symboles!$G$6:$G$101,MOD(61+$C19+(3),$B$3)+1)*L19+INDEX(Symboles!$G$6:$G$101,MOD(61+$C19+(4),$B$3)+1)*M19+IF($B$6=0,0,$B$6*NORMSINV(0.000001+0.999998*RAND())))</f>
        <v/>
      </c>
      <c r="BZ19" s="30">
        <f>IF(63&gt;$B$3,99,INDEX(Symboles!$G$6:$G$101,MOD(62+$C19+(-4),$B$3)+1)*E19+INDEX(Symboles!$G$6:$G$101,MOD(62+$C19+(-3),$B$3)+1)*F19+INDEX(Symboles!$G$6:$G$101,MOD(62+$C19+(-2),$B$3)+1)*G19+INDEX(Symboles!$G$6:$G$101,MOD(62+$C19+(-1),$B$3)+1)*H19+INDEX(Symboles!$G$6:$G$101,MOD(62+$C19+(0),$B$3)+1)*I19+INDEX(Symboles!$G$6:$G$101,MOD(62+$C19+(1),$B$3)+1)*J19+INDEX(Symboles!$G$6:$G$101,MOD(62+$C19+(2),$B$3)+1)*K19+INDEX(Symboles!$G$6:$G$101,MOD(62+$C19+(3),$B$3)+1)*L19+INDEX(Symboles!$G$6:$G$101,MOD(62+$C19+(4),$B$3)+1)*M19+IF($B$6=0,0,$B$6*NORMSINV(0.000001+0.999998*RAND())))</f>
        <v/>
      </c>
      <c r="CA19" s="30">
        <f>IF(64&gt;$B$3,99,INDEX(Symboles!$G$6:$G$101,MOD(63+$C19+(-4),$B$3)+1)*E19+INDEX(Symboles!$G$6:$G$101,MOD(63+$C19+(-3),$B$3)+1)*F19+INDEX(Symboles!$G$6:$G$101,MOD(63+$C19+(-2),$B$3)+1)*G19+INDEX(Symboles!$G$6:$G$101,MOD(63+$C19+(-1),$B$3)+1)*H19+INDEX(Symboles!$G$6:$G$101,MOD(63+$C19+(0),$B$3)+1)*I19+INDEX(Symboles!$G$6:$G$101,MOD(63+$C19+(1),$B$3)+1)*J19+INDEX(Symboles!$G$6:$G$101,MOD(63+$C19+(2),$B$3)+1)*K19+INDEX(Symboles!$G$6:$G$101,MOD(63+$C19+(3),$B$3)+1)*L19+INDEX(Symboles!$G$6:$G$101,MOD(63+$C19+(4),$B$3)+1)*M19+IF($B$6=0,0,$B$6*NORMSINV(0.000001+0.999998*RAND())))</f>
        <v/>
      </c>
      <c r="CB19" s="30">
        <f>IF(65&gt;$B$3,99,INDEX(Symboles!$G$6:$G$101,MOD(64+$C19+(-4),$B$3)+1)*E19+INDEX(Symboles!$G$6:$G$101,MOD(64+$C19+(-3),$B$3)+1)*F19+INDEX(Symboles!$G$6:$G$101,MOD(64+$C19+(-2),$B$3)+1)*G19+INDEX(Symboles!$G$6:$G$101,MOD(64+$C19+(-1),$B$3)+1)*H19+INDEX(Symboles!$G$6:$G$101,MOD(64+$C19+(0),$B$3)+1)*I19+INDEX(Symboles!$G$6:$G$101,MOD(64+$C19+(1),$B$3)+1)*J19+INDEX(Symboles!$G$6:$G$101,MOD(64+$C19+(2),$B$3)+1)*K19+INDEX(Symboles!$G$6:$G$101,MOD(64+$C19+(3),$B$3)+1)*L19+INDEX(Symboles!$G$6:$G$101,MOD(64+$C19+(4),$B$3)+1)*M19+IF($B$6=0,0,$B$6*NORMSINV(0.000001+0.999998*RAND())))</f>
        <v/>
      </c>
      <c r="CC19" s="30">
        <f>IF(66&gt;$B$3,99,INDEX(Symboles!$G$6:$G$101,MOD(65+$C19+(-4),$B$3)+1)*E19+INDEX(Symboles!$G$6:$G$101,MOD(65+$C19+(-3),$B$3)+1)*F19+INDEX(Symboles!$G$6:$G$101,MOD(65+$C19+(-2),$B$3)+1)*G19+INDEX(Symboles!$G$6:$G$101,MOD(65+$C19+(-1),$B$3)+1)*H19+INDEX(Symboles!$G$6:$G$101,MOD(65+$C19+(0),$B$3)+1)*I19+INDEX(Symboles!$G$6:$G$101,MOD(65+$C19+(1),$B$3)+1)*J19+INDEX(Symboles!$G$6:$G$101,MOD(65+$C19+(2),$B$3)+1)*K19+INDEX(Symboles!$G$6:$G$101,MOD(65+$C19+(3),$B$3)+1)*L19+INDEX(Symboles!$G$6:$G$101,MOD(65+$C19+(4),$B$3)+1)*M19+IF($B$6=0,0,$B$6*NORMSINV(0.000001+0.999998*RAND())))</f>
        <v/>
      </c>
      <c r="CD19" s="30">
        <f>IF(67&gt;$B$3,99,INDEX(Symboles!$G$6:$G$101,MOD(66+$C19+(-4),$B$3)+1)*E19+INDEX(Symboles!$G$6:$G$101,MOD(66+$C19+(-3),$B$3)+1)*F19+INDEX(Symboles!$G$6:$G$101,MOD(66+$C19+(-2),$B$3)+1)*G19+INDEX(Symboles!$G$6:$G$101,MOD(66+$C19+(-1),$B$3)+1)*H19+INDEX(Symboles!$G$6:$G$101,MOD(66+$C19+(0),$B$3)+1)*I19+INDEX(Symboles!$G$6:$G$101,MOD(66+$C19+(1),$B$3)+1)*J19+INDEX(Symboles!$G$6:$G$101,MOD(66+$C19+(2),$B$3)+1)*K19+INDEX(Symboles!$G$6:$G$101,MOD(66+$C19+(3),$B$3)+1)*L19+INDEX(Symboles!$G$6:$G$101,MOD(66+$C19+(4),$B$3)+1)*M19+IF($B$6=0,0,$B$6*NORMSINV(0.000001+0.999998*RAND())))</f>
        <v/>
      </c>
      <c r="CE19" s="30">
        <f>IF(68&gt;$B$3,99,INDEX(Symboles!$G$6:$G$101,MOD(67+$C19+(-4),$B$3)+1)*E19+INDEX(Symboles!$G$6:$G$101,MOD(67+$C19+(-3),$B$3)+1)*F19+INDEX(Symboles!$G$6:$G$101,MOD(67+$C19+(-2),$B$3)+1)*G19+INDEX(Symboles!$G$6:$G$101,MOD(67+$C19+(-1),$B$3)+1)*H19+INDEX(Symboles!$G$6:$G$101,MOD(67+$C19+(0),$B$3)+1)*I19+INDEX(Symboles!$G$6:$G$101,MOD(67+$C19+(1),$B$3)+1)*J19+INDEX(Symboles!$G$6:$G$101,MOD(67+$C19+(2),$B$3)+1)*K19+INDEX(Symboles!$G$6:$G$101,MOD(67+$C19+(3),$B$3)+1)*L19+INDEX(Symboles!$G$6:$G$101,MOD(67+$C19+(4),$B$3)+1)*M19+IF($B$6=0,0,$B$6*NORMSINV(0.000001+0.999998*RAND())))</f>
        <v/>
      </c>
      <c r="CF19" s="30">
        <f>IF(69&gt;$B$3,99,INDEX(Symboles!$G$6:$G$101,MOD(68+$C19+(-4),$B$3)+1)*E19+INDEX(Symboles!$G$6:$G$101,MOD(68+$C19+(-3),$B$3)+1)*F19+INDEX(Symboles!$G$6:$G$101,MOD(68+$C19+(-2),$B$3)+1)*G19+INDEX(Symboles!$G$6:$G$101,MOD(68+$C19+(-1),$B$3)+1)*H19+INDEX(Symboles!$G$6:$G$101,MOD(68+$C19+(0),$B$3)+1)*I19+INDEX(Symboles!$G$6:$G$101,MOD(68+$C19+(1),$B$3)+1)*J19+INDEX(Symboles!$G$6:$G$101,MOD(68+$C19+(2),$B$3)+1)*K19+INDEX(Symboles!$G$6:$G$101,MOD(68+$C19+(3),$B$3)+1)*L19+INDEX(Symboles!$G$6:$G$101,MOD(68+$C19+(4),$B$3)+1)*M19+IF($B$6=0,0,$B$6*NORMSINV(0.000001+0.999998*RAND())))</f>
        <v/>
      </c>
      <c r="CG19" s="30">
        <f>IF(70&gt;$B$3,99,INDEX(Symboles!$G$6:$G$101,MOD(69+$C19+(-4),$B$3)+1)*E19+INDEX(Symboles!$G$6:$G$101,MOD(69+$C19+(-3),$B$3)+1)*F19+INDEX(Symboles!$G$6:$G$101,MOD(69+$C19+(-2),$B$3)+1)*G19+INDEX(Symboles!$G$6:$G$101,MOD(69+$C19+(-1),$B$3)+1)*H19+INDEX(Symboles!$G$6:$G$101,MOD(69+$C19+(0),$B$3)+1)*I19+INDEX(Symboles!$G$6:$G$101,MOD(69+$C19+(1),$B$3)+1)*J19+INDEX(Symboles!$G$6:$G$101,MOD(69+$C19+(2),$B$3)+1)*K19+INDEX(Symboles!$G$6:$G$101,MOD(69+$C19+(3),$B$3)+1)*L19+INDEX(Symboles!$G$6:$G$101,MOD(69+$C19+(4),$B$3)+1)*M19+IF($B$6=0,0,$B$6*NORMSINV(0.000001+0.999998*RAND())))</f>
        <v/>
      </c>
      <c r="CH19" s="30">
        <f>IF(71&gt;$B$3,99,INDEX(Symboles!$G$6:$G$101,MOD(70+$C19+(-4),$B$3)+1)*E19+INDEX(Symboles!$G$6:$G$101,MOD(70+$C19+(-3),$B$3)+1)*F19+INDEX(Symboles!$G$6:$G$101,MOD(70+$C19+(-2),$B$3)+1)*G19+INDEX(Symboles!$G$6:$G$101,MOD(70+$C19+(-1),$B$3)+1)*H19+INDEX(Symboles!$G$6:$G$101,MOD(70+$C19+(0),$B$3)+1)*I19+INDEX(Symboles!$G$6:$G$101,MOD(70+$C19+(1),$B$3)+1)*J19+INDEX(Symboles!$G$6:$G$101,MOD(70+$C19+(2),$B$3)+1)*K19+INDEX(Symboles!$G$6:$G$101,MOD(70+$C19+(3),$B$3)+1)*L19+INDEX(Symboles!$G$6:$G$101,MOD(70+$C19+(4),$B$3)+1)*M19+IF($B$6=0,0,$B$6*NORMSINV(0.000001+0.999998*RAND())))</f>
        <v/>
      </c>
      <c r="CI19" s="30">
        <f>IF(72&gt;$B$3,99,INDEX(Symboles!$G$6:$G$101,MOD(71+$C19+(-4),$B$3)+1)*E19+INDEX(Symboles!$G$6:$G$101,MOD(71+$C19+(-3),$B$3)+1)*F19+INDEX(Symboles!$G$6:$G$101,MOD(71+$C19+(-2),$B$3)+1)*G19+INDEX(Symboles!$G$6:$G$101,MOD(71+$C19+(-1),$B$3)+1)*H19+INDEX(Symboles!$G$6:$G$101,MOD(71+$C19+(0),$B$3)+1)*I19+INDEX(Symboles!$G$6:$G$101,MOD(71+$C19+(1),$B$3)+1)*J19+INDEX(Symboles!$G$6:$G$101,MOD(71+$C19+(2),$B$3)+1)*K19+INDEX(Symboles!$G$6:$G$101,MOD(71+$C19+(3),$B$3)+1)*L19+INDEX(Symboles!$G$6:$G$101,MOD(71+$C19+(4),$B$3)+1)*M19+IF($B$6=0,0,$B$6*NORMSINV(0.000001+0.999998*RAND())))</f>
        <v/>
      </c>
      <c r="CJ19" s="30">
        <f>IF(73&gt;$B$3,99,INDEX(Symboles!$G$6:$G$101,MOD(72+$C19+(-4),$B$3)+1)*E19+INDEX(Symboles!$G$6:$G$101,MOD(72+$C19+(-3),$B$3)+1)*F19+INDEX(Symboles!$G$6:$G$101,MOD(72+$C19+(-2),$B$3)+1)*G19+INDEX(Symboles!$G$6:$G$101,MOD(72+$C19+(-1),$B$3)+1)*H19+INDEX(Symboles!$G$6:$G$101,MOD(72+$C19+(0),$B$3)+1)*I19+INDEX(Symboles!$G$6:$G$101,MOD(72+$C19+(1),$B$3)+1)*J19+INDEX(Symboles!$G$6:$G$101,MOD(72+$C19+(2),$B$3)+1)*K19+INDEX(Symboles!$G$6:$G$101,MOD(72+$C19+(3),$B$3)+1)*L19+INDEX(Symboles!$G$6:$G$101,MOD(72+$C19+(4),$B$3)+1)*M19+IF($B$6=0,0,$B$6*NORMSINV(0.000001+0.999998*RAND())))</f>
        <v/>
      </c>
      <c r="CK19" s="30">
        <f>IF(74&gt;$B$3,99,INDEX(Symboles!$G$6:$G$101,MOD(73+$C19+(-4),$B$3)+1)*E19+INDEX(Symboles!$G$6:$G$101,MOD(73+$C19+(-3),$B$3)+1)*F19+INDEX(Symboles!$G$6:$G$101,MOD(73+$C19+(-2),$B$3)+1)*G19+INDEX(Symboles!$G$6:$G$101,MOD(73+$C19+(-1),$B$3)+1)*H19+INDEX(Symboles!$G$6:$G$101,MOD(73+$C19+(0),$B$3)+1)*I19+INDEX(Symboles!$G$6:$G$101,MOD(73+$C19+(1),$B$3)+1)*J19+INDEX(Symboles!$G$6:$G$101,MOD(73+$C19+(2),$B$3)+1)*K19+INDEX(Symboles!$G$6:$G$101,MOD(73+$C19+(3),$B$3)+1)*L19+INDEX(Symboles!$G$6:$G$101,MOD(73+$C19+(4),$B$3)+1)*M19+IF($B$6=0,0,$B$6*NORMSINV(0.000001+0.999998*RAND())))</f>
        <v/>
      </c>
      <c r="CL19" s="30">
        <f>IF(75&gt;$B$3,99,INDEX(Symboles!$G$6:$G$101,MOD(74+$C19+(-4),$B$3)+1)*E19+INDEX(Symboles!$G$6:$G$101,MOD(74+$C19+(-3),$B$3)+1)*F19+INDEX(Symboles!$G$6:$G$101,MOD(74+$C19+(-2),$B$3)+1)*G19+INDEX(Symboles!$G$6:$G$101,MOD(74+$C19+(-1),$B$3)+1)*H19+INDEX(Symboles!$G$6:$G$101,MOD(74+$C19+(0),$B$3)+1)*I19+INDEX(Symboles!$G$6:$G$101,MOD(74+$C19+(1),$B$3)+1)*J19+INDEX(Symboles!$G$6:$G$101,MOD(74+$C19+(2),$B$3)+1)*K19+INDEX(Symboles!$G$6:$G$101,MOD(74+$C19+(3),$B$3)+1)*L19+INDEX(Symboles!$G$6:$G$101,MOD(74+$C19+(4),$B$3)+1)*M19+IF($B$6=0,0,$B$6*NORMSINV(0.000001+0.999998*RAND())))</f>
        <v/>
      </c>
      <c r="CM19" s="30">
        <f>IF(76&gt;$B$3,99,INDEX(Symboles!$G$6:$G$101,MOD(75+$C19+(-4),$B$3)+1)*E19+INDEX(Symboles!$G$6:$G$101,MOD(75+$C19+(-3),$B$3)+1)*F19+INDEX(Symboles!$G$6:$G$101,MOD(75+$C19+(-2),$B$3)+1)*G19+INDEX(Symboles!$G$6:$G$101,MOD(75+$C19+(-1),$B$3)+1)*H19+INDEX(Symboles!$G$6:$G$101,MOD(75+$C19+(0),$B$3)+1)*I19+INDEX(Symboles!$G$6:$G$101,MOD(75+$C19+(1),$B$3)+1)*J19+INDEX(Symboles!$G$6:$G$101,MOD(75+$C19+(2),$B$3)+1)*K19+INDEX(Symboles!$G$6:$G$101,MOD(75+$C19+(3),$B$3)+1)*L19+INDEX(Symboles!$G$6:$G$101,MOD(75+$C19+(4),$B$3)+1)*M19+IF($B$6=0,0,$B$6*NORMSINV(0.000001+0.999998*RAND())))</f>
        <v/>
      </c>
      <c r="CN19" s="30">
        <f>IF(77&gt;$B$3,99,INDEX(Symboles!$G$6:$G$101,MOD(76+$C19+(-4),$B$3)+1)*E19+INDEX(Symboles!$G$6:$G$101,MOD(76+$C19+(-3),$B$3)+1)*F19+INDEX(Symboles!$G$6:$G$101,MOD(76+$C19+(-2),$B$3)+1)*G19+INDEX(Symboles!$G$6:$G$101,MOD(76+$C19+(-1),$B$3)+1)*H19+INDEX(Symboles!$G$6:$G$101,MOD(76+$C19+(0),$B$3)+1)*I19+INDEX(Symboles!$G$6:$G$101,MOD(76+$C19+(1),$B$3)+1)*J19+INDEX(Symboles!$G$6:$G$101,MOD(76+$C19+(2),$B$3)+1)*K19+INDEX(Symboles!$G$6:$G$101,MOD(76+$C19+(3),$B$3)+1)*L19+INDEX(Symboles!$G$6:$G$101,MOD(76+$C19+(4),$B$3)+1)*M19+IF($B$6=0,0,$B$6*NORMSINV(0.000001+0.999998*RAND())))</f>
        <v/>
      </c>
      <c r="CO19" s="30">
        <f>IF(78&gt;$B$3,99,INDEX(Symboles!$G$6:$G$101,MOD(77+$C19+(-4),$B$3)+1)*E19+INDEX(Symboles!$G$6:$G$101,MOD(77+$C19+(-3),$B$3)+1)*F19+INDEX(Symboles!$G$6:$G$101,MOD(77+$C19+(-2),$B$3)+1)*G19+INDEX(Symboles!$G$6:$G$101,MOD(77+$C19+(-1),$B$3)+1)*H19+INDEX(Symboles!$G$6:$G$101,MOD(77+$C19+(0),$B$3)+1)*I19+INDEX(Symboles!$G$6:$G$101,MOD(77+$C19+(1),$B$3)+1)*J19+INDEX(Symboles!$G$6:$G$101,MOD(77+$C19+(2),$B$3)+1)*K19+INDEX(Symboles!$G$6:$G$101,MOD(77+$C19+(3),$B$3)+1)*L19+INDEX(Symboles!$G$6:$G$101,MOD(77+$C19+(4),$B$3)+1)*M19+IF($B$6=0,0,$B$6*NORMSINV(0.000001+0.999998*RAND())))</f>
        <v/>
      </c>
      <c r="CP19" s="30">
        <f>IF(79&gt;$B$3,99,INDEX(Symboles!$G$6:$G$101,MOD(78+$C19+(-4),$B$3)+1)*E19+INDEX(Symboles!$G$6:$G$101,MOD(78+$C19+(-3),$B$3)+1)*F19+INDEX(Symboles!$G$6:$G$101,MOD(78+$C19+(-2),$B$3)+1)*G19+INDEX(Symboles!$G$6:$G$101,MOD(78+$C19+(-1),$B$3)+1)*H19+INDEX(Symboles!$G$6:$G$101,MOD(78+$C19+(0),$B$3)+1)*I19+INDEX(Symboles!$G$6:$G$101,MOD(78+$C19+(1),$B$3)+1)*J19+INDEX(Symboles!$G$6:$G$101,MOD(78+$C19+(2),$B$3)+1)*K19+INDEX(Symboles!$G$6:$G$101,MOD(78+$C19+(3),$B$3)+1)*L19+INDEX(Symboles!$G$6:$G$101,MOD(78+$C19+(4),$B$3)+1)*M19+IF($B$6=0,0,$B$6*NORMSINV(0.000001+0.999998*RAND())))</f>
        <v/>
      </c>
      <c r="CQ19" s="30">
        <f>IF(80&gt;$B$3,99,INDEX(Symboles!$G$6:$G$101,MOD(79+$C19+(-4),$B$3)+1)*E19+INDEX(Symboles!$G$6:$G$101,MOD(79+$C19+(-3),$B$3)+1)*F19+INDEX(Symboles!$G$6:$G$101,MOD(79+$C19+(-2),$B$3)+1)*G19+INDEX(Symboles!$G$6:$G$101,MOD(79+$C19+(-1),$B$3)+1)*H19+INDEX(Symboles!$G$6:$G$101,MOD(79+$C19+(0),$B$3)+1)*I19+INDEX(Symboles!$G$6:$G$101,MOD(79+$C19+(1),$B$3)+1)*J19+INDEX(Symboles!$G$6:$G$101,MOD(79+$C19+(2),$B$3)+1)*K19+INDEX(Symboles!$G$6:$G$101,MOD(79+$C19+(3),$B$3)+1)*L19+INDEX(Symboles!$G$6:$G$101,MOD(79+$C19+(4),$B$3)+1)*M19+IF($B$6=0,0,$B$6*NORMSINV(0.000001+0.999998*RAND())))</f>
        <v/>
      </c>
      <c r="CR19" s="30">
        <f>IF(81&gt;$B$3,99,INDEX(Symboles!$G$6:$G$101,MOD(80+$C19+(-4),$B$3)+1)*E19+INDEX(Symboles!$G$6:$G$101,MOD(80+$C19+(-3),$B$3)+1)*F19+INDEX(Symboles!$G$6:$G$101,MOD(80+$C19+(-2),$B$3)+1)*G19+INDEX(Symboles!$G$6:$G$101,MOD(80+$C19+(-1),$B$3)+1)*H19+INDEX(Symboles!$G$6:$G$101,MOD(80+$C19+(0),$B$3)+1)*I19+INDEX(Symboles!$G$6:$G$101,MOD(80+$C19+(1),$B$3)+1)*J19+INDEX(Symboles!$G$6:$G$101,MOD(80+$C19+(2),$B$3)+1)*K19+INDEX(Symboles!$G$6:$G$101,MOD(80+$C19+(3),$B$3)+1)*L19+INDEX(Symboles!$G$6:$G$101,MOD(80+$C19+(4),$B$3)+1)*M19+IF($B$6=0,0,$B$6*NORMSINV(0.000001+0.999998*RAND())))</f>
        <v/>
      </c>
      <c r="CS19" s="30">
        <f>IF(82&gt;$B$3,99,INDEX(Symboles!$G$6:$G$101,MOD(81+$C19+(-4),$B$3)+1)*E19+INDEX(Symboles!$G$6:$G$101,MOD(81+$C19+(-3),$B$3)+1)*F19+INDEX(Symboles!$G$6:$G$101,MOD(81+$C19+(-2),$B$3)+1)*G19+INDEX(Symboles!$G$6:$G$101,MOD(81+$C19+(-1),$B$3)+1)*H19+INDEX(Symboles!$G$6:$G$101,MOD(81+$C19+(0),$B$3)+1)*I19+INDEX(Symboles!$G$6:$G$101,MOD(81+$C19+(1),$B$3)+1)*J19+INDEX(Symboles!$G$6:$G$101,MOD(81+$C19+(2),$B$3)+1)*K19+INDEX(Symboles!$G$6:$G$101,MOD(81+$C19+(3),$B$3)+1)*L19+INDEX(Symboles!$G$6:$G$101,MOD(81+$C19+(4),$B$3)+1)*M19+IF($B$6=0,0,$B$6*NORMSINV(0.000001+0.999998*RAND())))</f>
        <v/>
      </c>
      <c r="CT19" s="30">
        <f>IF(83&gt;$B$3,99,INDEX(Symboles!$G$6:$G$101,MOD(82+$C19+(-4),$B$3)+1)*E19+INDEX(Symboles!$G$6:$G$101,MOD(82+$C19+(-3),$B$3)+1)*F19+INDEX(Symboles!$G$6:$G$101,MOD(82+$C19+(-2),$B$3)+1)*G19+INDEX(Symboles!$G$6:$G$101,MOD(82+$C19+(-1),$B$3)+1)*H19+INDEX(Symboles!$G$6:$G$101,MOD(82+$C19+(0),$B$3)+1)*I19+INDEX(Symboles!$G$6:$G$101,MOD(82+$C19+(1),$B$3)+1)*J19+INDEX(Symboles!$G$6:$G$101,MOD(82+$C19+(2),$B$3)+1)*K19+INDEX(Symboles!$G$6:$G$101,MOD(82+$C19+(3),$B$3)+1)*L19+INDEX(Symboles!$G$6:$G$101,MOD(82+$C19+(4),$B$3)+1)*M19+IF($B$6=0,0,$B$6*NORMSINV(0.000001+0.999998*RAND())))</f>
        <v/>
      </c>
      <c r="CU19" s="30">
        <f>IF(84&gt;$B$3,99,INDEX(Symboles!$G$6:$G$101,MOD(83+$C19+(-4),$B$3)+1)*E19+INDEX(Symboles!$G$6:$G$101,MOD(83+$C19+(-3),$B$3)+1)*F19+INDEX(Symboles!$G$6:$G$101,MOD(83+$C19+(-2),$B$3)+1)*G19+INDEX(Symboles!$G$6:$G$101,MOD(83+$C19+(-1),$B$3)+1)*H19+INDEX(Symboles!$G$6:$G$101,MOD(83+$C19+(0),$B$3)+1)*I19+INDEX(Symboles!$G$6:$G$101,MOD(83+$C19+(1),$B$3)+1)*J19+INDEX(Symboles!$G$6:$G$101,MOD(83+$C19+(2),$B$3)+1)*K19+INDEX(Symboles!$G$6:$G$101,MOD(83+$C19+(3),$B$3)+1)*L19+INDEX(Symboles!$G$6:$G$101,MOD(83+$C19+(4),$B$3)+1)*M19+IF($B$6=0,0,$B$6*NORMSINV(0.000001+0.999998*RAND())))</f>
        <v/>
      </c>
      <c r="CV19" s="30">
        <f>IF(85&gt;$B$3,99,INDEX(Symboles!$G$6:$G$101,MOD(84+$C19+(-4),$B$3)+1)*E19+INDEX(Symboles!$G$6:$G$101,MOD(84+$C19+(-3),$B$3)+1)*F19+INDEX(Symboles!$G$6:$G$101,MOD(84+$C19+(-2),$B$3)+1)*G19+INDEX(Symboles!$G$6:$G$101,MOD(84+$C19+(-1),$B$3)+1)*H19+INDEX(Symboles!$G$6:$G$101,MOD(84+$C19+(0),$B$3)+1)*I19+INDEX(Symboles!$G$6:$G$101,MOD(84+$C19+(1),$B$3)+1)*J19+INDEX(Symboles!$G$6:$G$101,MOD(84+$C19+(2),$B$3)+1)*K19+INDEX(Symboles!$G$6:$G$101,MOD(84+$C19+(3),$B$3)+1)*L19+INDEX(Symboles!$G$6:$G$101,MOD(84+$C19+(4),$B$3)+1)*M19+IF($B$6=0,0,$B$6*NORMSINV(0.000001+0.999998*RAND())))</f>
        <v/>
      </c>
      <c r="CW19" s="30">
        <f>IF(86&gt;$B$3,99,INDEX(Symboles!$G$6:$G$101,MOD(85+$C19+(-4),$B$3)+1)*E19+INDEX(Symboles!$G$6:$G$101,MOD(85+$C19+(-3),$B$3)+1)*F19+INDEX(Symboles!$G$6:$G$101,MOD(85+$C19+(-2),$B$3)+1)*G19+INDEX(Symboles!$G$6:$G$101,MOD(85+$C19+(-1),$B$3)+1)*H19+INDEX(Symboles!$G$6:$G$101,MOD(85+$C19+(0),$B$3)+1)*I19+INDEX(Symboles!$G$6:$G$101,MOD(85+$C19+(1),$B$3)+1)*J19+INDEX(Symboles!$G$6:$G$101,MOD(85+$C19+(2),$B$3)+1)*K19+INDEX(Symboles!$G$6:$G$101,MOD(85+$C19+(3),$B$3)+1)*L19+INDEX(Symboles!$G$6:$G$101,MOD(85+$C19+(4),$B$3)+1)*M19+IF($B$6=0,0,$B$6*NORMSINV(0.000001+0.999998*RAND())))</f>
        <v/>
      </c>
      <c r="CX19" s="30">
        <f>IF(87&gt;$B$3,99,INDEX(Symboles!$G$6:$G$101,MOD(86+$C19+(-4),$B$3)+1)*E19+INDEX(Symboles!$G$6:$G$101,MOD(86+$C19+(-3),$B$3)+1)*F19+INDEX(Symboles!$G$6:$G$101,MOD(86+$C19+(-2),$B$3)+1)*G19+INDEX(Symboles!$G$6:$G$101,MOD(86+$C19+(-1),$B$3)+1)*H19+INDEX(Symboles!$G$6:$G$101,MOD(86+$C19+(0),$B$3)+1)*I19+INDEX(Symboles!$G$6:$G$101,MOD(86+$C19+(1),$B$3)+1)*J19+INDEX(Symboles!$G$6:$G$101,MOD(86+$C19+(2),$B$3)+1)*K19+INDEX(Symboles!$G$6:$G$101,MOD(86+$C19+(3),$B$3)+1)*L19+INDEX(Symboles!$G$6:$G$101,MOD(86+$C19+(4),$B$3)+1)*M19+IF($B$6=0,0,$B$6*NORMSINV(0.000001+0.999998*RAND())))</f>
        <v/>
      </c>
      <c r="CY19" s="30">
        <f>IF(88&gt;$B$3,99,INDEX(Symboles!$G$6:$G$101,MOD(87+$C19+(-4),$B$3)+1)*E19+INDEX(Symboles!$G$6:$G$101,MOD(87+$C19+(-3),$B$3)+1)*F19+INDEX(Symboles!$G$6:$G$101,MOD(87+$C19+(-2),$B$3)+1)*G19+INDEX(Symboles!$G$6:$G$101,MOD(87+$C19+(-1),$B$3)+1)*H19+INDEX(Symboles!$G$6:$G$101,MOD(87+$C19+(0),$B$3)+1)*I19+INDEX(Symboles!$G$6:$G$101,MOD(87+$C19+(1),$B$3)+1)*J19+INDEX(Symboles!$G$6:$G$101,MOD(87+$C19+(2),$B$3)+1)*K19+INDEX(Symboles!$G$6:$G$101,MOD(87+$C19+(3),$B$3)+1)*L19+INDEX(Symboles!$G$6:$G$101,MOD(87+$C19+(4),$B$3)+1)*M19+IF($B$6=0,0,$B$6*NORMSINV(0.000001+0.999998*RAND())))</f>
        <v/>
      </c>
      <c r="CZ19" s="30">
        <f>IF(89&gt;$B$3,99,INDEX(Symboles!$G$6:$G$101,MOD(88+$C19+(-4),$B$3)+1)*E19+INDEX(Symboles!$G$6:$G$101,MOD(88+$C19+(-3),$B$3)+1)*F19+INDEX(Symboles!$G$6:$G$101,MOD(88+$C19+(-2),$B$3)+1)*G19+INDEX(Symboles!$G$6:$G$101,MOD(88+$C19+(-1),$B$3)+1)*H19+INDEX(Symboles!$G$6:$G$101,MOD(88+$C19+(0),$B$3)+1)*I19+INDEX(Symboles!$G$6:$G$101,MOD(88+$C19+(1),$B$3)+1)*J19+INDEX(Symboles!$G$6:$G$101,MOD(88+$C19+(2),$B$3)+1)*K19+INDEX(Symboles!$G$6:$G$101,MOD(88+$C19+(3),$B$3)+1)*L19+INDEX(Symboles!$G$6:$G$101,MOD(88+$C19+(4),$B$3)+1)*M19+IF($B$6=0,0,$B$6*NORMSINV(0.000001+0.999998*RAND())))</f>
        <v/>
      </c>
      <c r="DA19" s="30">
        <f>IF(90&gt;$B$3,99,INDEX(Symboles!$G$6:$G$101,MOD(89+$C19+(-4),$B$3)+1)*E19+INDEX(Symboles!$G$6:$G$101,MOD(89+$C19+(-3),$B$3)+1)*F19+INDEX(Symboles!$G$6:$G$101,MOD(89+$C19+(-2),$B$3)+1)*G19+INDEX(Symboles!$G$6:$G$101,MOD(89+$C19+(-1),$B$3)+1)*H19+INDEX(Symboles!$G$6:$G$101,MOD(89+$C19+(0),$B$3)+1)*I19+INDEX(Symboles!$G$6:$G$101,MOD(89+$C19+(1),$B$3)+1)*J19+INDEX(Symboles!$G$6:$G$101,MOD(89+$C19+(2),$B$3)+1)*K19+INDEX(Symboles!$G$6:$G$101,MOD(89+$C19+(3),$B$3)+1)*L19+INDEX(Symboles!$G$6:$G$101,MOD(89+$C19+(4),$B$3)+1)*M19+IF($B$6=0,0,$B$6*NORMSINV(0.000001+0.999998*RAND())))</f>
        <v/>
      </c>
      <c r="DB19" s="30">
        <f>IF(91&gt;$B$3,99,INDEX(Symboles!$G$6:$G$101,MOD(90+$C19+(-4),$B$3)+1)*E19+INDEX(Symboles!$G$6:$G$101,MOD(90+$C19+(-3),$B$3)+1)*F19+INDEX(Symboles!$G$6:$G$101,MOD(90+$C19+(-2),$B$3)+1)*G19+INDEX(Symboles!$G$6:$G$101,MOD(90+$C19+(-1),$B$3)+1)*H19+INDEX(Symboles!$G$6:$G$101,MOD(90+$C19+(0),$B$3)+1)*I19+INDEX(Symboles!$G$6:$G$101,MOD(90+$C19+(1),$B$3)+1)*J19+INDEX(Symboles!$G$6:$G$101,MOD(90+$C19+(2),$B$3)+1)*K19+INDEX(Symboles!$G$6:$G$101,MOD(90+$C19+(3),$B$3)+1)*L19+INDEX(Symboles!$G$6:$G$101,MOD(90+$C19+(4),$B$3)+1)*M19+IF($B$6=0,0,$B$6*NORMSINV(0.000001+0.999998*RAND())))</f>
        <v/>
      </c>
      <c r="DC19" s="30">
        <f>IF(92&gt;$B$3,99,INDEX(Symboles!$G$6:$G$101,MOD(91+$C19+(-4),$B$3)+1)*E19+INDEX(Symboles!$G$6:$G$101,MOD(91+$C19+(-3),$B$3)+1)*F19+INDEX(Symboles!$G$6:$G$101,MOD(91+$C19+(-2),$B$3)+1)*G19+INDEX(Symboles!$G$6:$G$101,MOD(91+$C19+(-1),$B$3)+1)*H19+INDEX(Symboles!$G$6:$G$101,MOD(91+$C19+(0),$B$3)+1)*I19+INDEX(Symboles!$G$6:$G$101,MOD(91+$C19+(1),$B$3)+1)*J19+INDEX(Symboles!$G$6:$G$101,MOD(91+$C19+(2),$B$3)+1)*K19+INDEX(Symboles!$G$6:$G$101,MOD(91+$C19+(3),$B$3)+1)*L19+INDEX(Symboles!$G$6:$G$101,MOD(91+$C19+(4),$B$3)+1)*M19+IF($B$6=0,0,$B$6*NORMSINV(0.000001+0.999998*RAND())))</f>
        <v/>
      </c>
      <c r="DD19" s="30">
        <f>IF(93&gt;$B$3,99,INDEX(Symboles!$G$6:$G$101,MOD(92+$C19+(-4),$B$3)+1)*E19+INDEX(Symboles!$G$6:$G$101,MOD(92+$C19+(-3),$B$3)+1)*F19+INDEX(Symboles!$G$6:$G$101,MOD(92+$C19+(-2),$B$3)+1)*G19+INDEX(Symboles!$G$6:$G$101,MOD(92+$C19+(-1),$B$3)+1)*H19+INDEX(Symboles!$G$6:$G$101,MOD(92+$C19+(0),$B$3)+1)*I19+INDEX(Symboles!$G$6:$G$101,MOD(92+$C19+(1),$B$3)+1)*J19+INDEX(Symboles!$G$6:$G$101,MOD(92+$C19+(2),$B$3)+1)*K19+INDEX(Symboles!$G$6:$G$101,MOD(92+$C19+(3),$B$3)+1)*L19+INDEX(Symboles!$G$6:$G$101,MOD(92+$C19+(4),$B$3)+1)*M19+IF($B$6=0,0,$B$6*NORMSINV(0.000001+0.999998*RAND())))</f>
        <v/>
      </c>
      <c r="DE19" s="30">
        <f>IF(94&gt;$B$3,99,INDEX(Symboles!$G$6:$G$101,MOD(93+$C19+(-4),$B$3)+1)*E19+INDEX(Symboles!$G$6:$G$101,MOD(93+$C19+(-3),$B$3)+1)*F19+INDEX(Symboles!$G$6:$G$101,MOD(93+$C19+(-2),$B$3)+1)*G19+INDEX(Symboles!$G$6:$G$101,MOD(93+$C19+(-1),$B$3)+1)*H19+INDEX(Symboles!$G$6:$G$101,MOD(93+$C19+(0),$B$3)+1)*I19+INDEX(Symboles!$G$6:$G$101,MOD(93+$C19+(1),$B$3)+1)*J19+INDEX(Symboles!$G$6:$G$101,MOD(93+$C19+(2),$B$3)+1)*K19+INDEX(Symboles!$G$6:$G$101,MOD(93+$C19+(3),$B$3)+1)*L19+INDEX(Symboles!$G$6:$G$101,MOD(93+$C19+(4),$B$3)+1)*M19+IF($B$6=0,0,$B$6*NORMSINV(0.000001+0.999998*RAND())))</f>
        <v/>
      </c>
      <c r="DF19" s="30">
        <f>IF(95&gt;$B$3,99,INDEX(Symboles!$G$6:$G$101,MOD(94+$C19+(-4),$B$3)+1)*E19+INDEX(Symboles!$G$6:$G$101,MOD(94+$C19+(-3),$B$3)+1)*F19+INDEX(Symboles!$G$6:$G$101,MOD(94+$C19+(-2),$B$3)+1)*G19+INDEX(Symboles!$G$6:$G$101,MOD(94+$C19+(-1),$B$3)+1)*H19+INDEX(Symboles!$G$6:$G$101,MOD(94+$C19+(0),$B$3)+1)*I19+INDEX(Symboles!$G$6:$G$101,MOD(94+$C19+(1),$B$3)+1)*J19+INDEX(Symboles!$G$6:$G$101,MOD(94+$C19+(2),$B$3)+1)*K19+INDEX(Symboles!$G$6:$G$101,MOD(94+$C19+(3),$B$3)+1)*L19+INDEX(Symboles!$G$6:$G$101,MOD(94+$C19+(4),$B$3)+1)*M19+IF($B$6=0,0,$B$6*NORMSINV(0.000001+0.999998*RAND())))</f>
        <v/>
      </c>
      <c r="DG19" s="30">
        <f>IF(96&gt;$B$3,99,INDEX(Symboles!$G$6:$G$101,MOD(95+$C19+(-4),$B$3)+1)*E19+INDEX(Symboles!$G$6:$G$101,MOD(95+$C19+(-3),$B$3)+1)*F19+INDEX(Symboles!$G$6:$G$101,MOD(95+$C19+(-2),$B$3)+1)*G19+INDEX(Symboles!$G$6:$G$101,MOD(95+$C19+(-1),$B$3)+1)*H19+INDEX(Symboles!$G$6:$G$101,MOD(95+$C19+(0),$B$3)+1)*I19+INDEX(Symboles!$G$6:$G$101,MOD(95+$C19+(1),$B$3)+1)*J19+INDEX(Symboles!$G$6:$G$101,MOD(95+$C19+(2),$B$3)+1)*K19+INDEX(Symboles!$G$6:$G$101,MOD(95+$C19+(3),$B$3)+1)*L19+INDEX(Symboles!$G$6:$G$101,MOD(95+$C19+(4),$B$3)+1)*M19+IF($B$6=0,0,$B$6*NORMSINV(0.000001+0.999998*RAND())))</f>
        <v/>
      </c>
      <c r="DI19" s="30">
        <f>IF(1&gt;$B$3,99,INDEX(Symboles!$H$6:$H$101,MOD(0+$C19+(-4),$B$3)+1)*E19+INDEX(Symboles!$H$6:$H$101,MOD(0+$C19+(-3),$B$3)+1)*F19+INDEX(Symboles!$H$6:$H$101,MOD(0+$C19+(-2),$B$3)+1)*G19+INDEX(Symboles!$H$6:$H$101,MOD(0+$C19+(-1),$B$3)+1)*H19+INDEX(Symboles!$H$6:$H$101,MOD(0+$C19+(0),$B$3)+1)*I19+INDEX(Symboles!$H$6:$H$101,MOD(0+$C19+(1),$B$3)+1)*J19+INDEX(Symboles!$H$6:$H$101,MOD(0+$C19+(2),$B$3)+1)*K19+INDEX(Symboles!$H$6:$H$101,MOD(0+$C19+(3),$B$3)+1)*L19+INDEX(Symboles!$H$6:$H$101,MOD(0+$C19+(4),$B$3)+1)*M19+IF($B$6=0,0,$B$6*NORMSINV(0.000001+0.999998*RAND())))</f>
        <v/>
      </c>
      <c r="DJ19" s="30">
        <f>IF(2&gt;$B$3,99,INDEX(Symboles!$H$6:$H$101,MOD(1+$C19+(-4),$B$3)+1)*E19+INDEX(Symboles!$H$6:$H$101,MOD(1+$C19+(-3),$B$3)+1)*F19+INDEX(Symboles!$H$6:$H$101,MOD(1+$C19+(-2),$B$3)+1)*G19+INDEX(Symboles!$H$6:$H$101,MOD(1+$C19+(-1),$B$3)+1)*H19+INDEX(Symboles!$H$6:$H$101,MOD(1+$C19+(0),$B$3)+1)*I19+INDEX(Symboles!$H$6:$H$101,MOD(1+$C19+(1),$B$3)+1)*J19+INDEX(Symboles!$H$6:$H$101,MOD(1+$C19+(2),$B$3)+1)*K19+INDEX(Symboles!$H$6:$H$101,MOD(1+$C19+(3),$B$3)+1)*L19+INDEX(Symboles!$H$6:$H$101,MOD(1+$C19+(4),$B$3)+1)*M19+IF($B$6=0,0,$B$6*NORMSINV(0.000001+0.999998*RAND())))</f>
        <v/>
      </c>
      <c r="DK19" s="30">
        <f>IF(3&gt;$B$3,99,INDEX(Symboles!$H$6:$H$101,MOD(2+$C19+(-4),$B$3)+1)*E19+INDEX(Symboles!$H$6:$H$101,MOD(2+$C19+(-3),$B$3)+1)*F19+INDEX(Symboles!$H$6:$H$101,MOD(2+$C19+(-2),$B$3)+1)*G19+INDEX(Symboles!$H$6:$H$101,MOD(2+$C19+(-1),$B$3)+1)*H19+INDEX(Symboles!$H$6:$H$101,MOD(2+$C19+(0),$B$3)+1)*I19+INDEX(Symboles!$H$6:$H$101,MOD(2+$C19+(1),$B$3)+1)*J19+INDEX(Symboles!$H$6:$H$101,MOD(2+$C19+(2),$B$3)+1)*K19+INDEX(Symboles!$H$6:$H$101,MOD(2+$C19+(3),$B$3)+1)*L19+INDEX(Symboles!$H$6:$H$101,MOD(2+$C19+(4),$B$3)+1)*M19+IF($B$6=0,0,$B$6*NORMSINV(0.000001+0.999998*RAND())))</f>
        <v/>
      </c>
      <c r="DL19" s="30">
        <f>IF(4&gt;$B$3,99,INDEX(Symboles!$H$6:$H$101,MOD(3+$C19+(-4),$B$3)+1)*E19+INDEX(Symboles!$H$6:$H$101,MOD(3+$C19+(-3),$B$3)+1)*F19+INDEX(Symboles!$H$6:$H$101,MOD(3+$C19+(-2),$B$3)+1)*G19+INDEX(Symboles!$H$6:$H$101,MOD(3+$C19+(-1),$B$3)+1)*H19+INDEX(Symboles!$H$6:$H$101,MOD(3+$C19+(0),$B$3)+1)*I19+INDEX(Symboles!$H$6:$H$101,MOD(3+$C19+(1),$B$3)+1)*J19+INDEX(Symboles!$H$6:$H$101,MOD(3+$C19+(2),$B$3)+1)*K19+INDEX(Symboles!$H$6:$H$101,MOD(3+$C19+(3),$B$3)+1)*L19+INDEX(Symboles!$H$6:$H$101,MOD(3+$C19+(4),$B$3)+1)*M19+IF($B$6=0,0,$B$6*NORMSINV(0.000001+0.999998*RAND())))</f>
        <v/>
      </c>
      <c r="DM19" s="30">
        <f>IF(5&gt;$B$3,99,INDEX(Symboles!$H$6:$H$101,MOD(4+$C19+(-4),$B$3)+1)*E19+INDEX(Symboles!$H$6:$H$101,MOD(4+$C19+(-3),$B$3)+1)*F19+INDEX(Symboles!$H$6:$H$101,MOD(4+$C19+(-2),$B$3)+1)*G19+INDEX(Symboles!$H$6:$H$101,MOD(4+$C19+(-1),$B$3)+1)*H19+INDEX(Symboles!$H$6:$H$101,MOD(4+$C19+(0),$B$3)+1)*I19+INDEX(Symboles!$H$6:$H$101,MOD(4+$C19+(1),$B$3)+1)*J19+INDEX(Symboles!$H$6:$H$101,MOD(4+$C19+(2),$B$3)+1)*K19+INDEX(Symboles!$H$6:$H$101,MOD(4+$C19+(3),$B$3)+1)*L19+INDEX(Symboles!$H$6:$H$101,MOD(4+$C19+(4),$B$3)+1)*M19+IF($B$6=0,0,$B$6*NORMSINV(0.000001+0.999998*RAND())))</f>
        <v/>
      </c>
      <c r="DN19" s="30">
        <f>IF(6&gt;$B$3,99,INDEX(Symboles!$H$6:$H$101,MOD(5+$C19+(-4),$B$3)+1)*E19+INDEX(Symboles!$H$6:$H$101,MOD(5+$C19+(-3),$B$3)+1)*F19+INDEX(Symboles!$H$6:$H$101,MOD(5+$C19+(-2),$B$3)+1)*G19+INDEX(Symboles!$H$6:$H$101,MOD(5+$C19+(-1),$B$3)+1)*H19+INDEX(Symboles!$H$6:$H$101,MOD(5+$C19+(0),$B$3)+1)*I19+INDEX(Symboles!$H$6:$H$101,MOD(5+$C19+(1),$B$3)+1)*J19+INDEX(Symboles!$H$6:$H$101,MOD(5+$C19+(2),$B$3)+1)*K19+INDEX(Symboles!$H$6:$H$101,MOD(5+$C19+(3),$B$3)+1)*L19+INDEX(Symboles!$H$6:$H$101,MOD(5+$C19+(4),$B$3)+1)*M19+IF($B$6=0,0,$B$6*NORMSINV(0.000001+0.999998*RAND())))</f>
        <v/>
      </c>
      <c r="DO19" s="30">
        <f>IF(7&gt;$B$3,99,INDEX(Symboles!$H$6:$H$101,MOD(6+$C19+(-4),$B$3)+1)*E19+INDEX(Symboles!$H$6:$H$101,MOD(6+$C19+(-3),$B$3)+1)*F19+INDEX(Symboles!$H$6:$H$101,MOD(6+$C19+(-2),$B$3)+1)*G19+INDEX(Symboles!$H$6:$H$101,MOD(6+$C19+(-1),$B$3)+1)*H19+INDEX(Symboles!$H$6:$H$101,MOD(6+$C19+(0),$B$3)+1)*I19+INDEX(Symboles!$H$6:$H$101,MOD(6+$C19+(1),$B$3)+1)*J19+INDEX(Symboles!$H$6:$H$101,MOD(6+$C19+(2),$B$3)+1)*K19+INDEX(Symboles!$H$6:$H$101,MOD(6+$C19+(3),$B$3)+1)*L19+INDEX(Symboles!$H$6:$H$101,MOD(6+$C19+(4),$B$3)+1)*M19+IF($B$6=0,0,$B$6*NORMSINV(0.000001+0.999998*RAND())))</f>
        <v/>
      </c>
      <c r="DP19" s="30">
        <f>IF(8&gt;$B$3,99,INDEX(Symboles!$H$6:$H$101,MOD(7+$C19+(-4),$B$3)+1)*E19+INDEX(Symboles!$H$6:$H$101,MOD(7+$C19+(-3),$B$3)+1)*F19+INDEX(Symboles!$H$6:$H$101,MOD(7+$C19+(-2),$B$3)+1)*G19+INDEX(Symboles!$H$6:$H$101,MOD(7+$C19+(-1),$B$3)+1)*H19+INDEX(Symboles!$H$6:$H$101,MOD(7+$C19+(0),$B$3)+1)*I19+INDEX(Symboles!$H$6:$H$101,MOD(7+$C19+(1),$B$3)+1)*J19+INDEX(Symboles!$H$6:$H$101,MOD(7+$C19+(2),$B$3)+1)*K19+INDEX(Symboles!$H$6:$H$101,MOD(7+$C19+(3),$B$3)+1)*L19+INDEX(Symboles!$H$6:$H$101,MOD(7+$C19+(4),$B$3)+1)*M19+IF($B$6=0,0,$B$6*NORMSINV(0.000001+0.999998*RAND())))</f>
        <v/>
      </c>
      <c r="DQ19" s="30">
        <f>IF(9&gt;$B$3,99,INDEX(Symboles!$H$6:$H$101,MOD(8+$C19+(-4),$B$3)+1)*E19+INDEX(Symboles!$H$6:$H$101,MOD(8+$C19+(-3),$B$3)+1)*F19+INDEX(Symboles!$H$6:$H$101,MOD(8+$C19+(-2),$B$3)+1)*G19+INDEX(Symboles!$H$6:$H$101,MOD(8+$C19+(-1),$B$3)+1)*H19+INDEX(Symboles!$H$6:$H$101,MOD(8+$C19+(0),$B$3)+1)*I19+INDEX(Symboles!$H$6:$H$101,MOD(8+$C19+(1),$B$3)+1)*J19+INDEX(Symboles!$H$6:$H$101,MOD(8+$C19+(2),$B$3)+1)*K19+INDEX(Symboles!$H$6:$H$101,MOD(8+$C19+(3),$B$3)+1)*L19+INDEX(Symboles!$H$6:$H$101,MOD(8+$C19+(4),$B$3)+1)*M19+IF($B$6=0,0,$B$6*NORMSINV(0.000001+0.999998*RAND())))</f>
        <v/>
      </c>
      <c r="DR19" s="30">
        <f>IF(10&gt;$B$3,99,INDEX(Symboles!$H$6:$H$101,MOD(9+$C19+(-4),$B$3)+1)*E19+INDEX(Symboles!$H$6:$H$101,MOD(9+$C19+(-3),$B$3)+1)*F19+INDEX(Symboles!$H$6:$H$101,MOD(9+$C19+(-2),$B$3)+1)*G19+INDEX(Symboles!$H$6:$H$101,MOD(9+$C19+(-1),$B$3)+1)*H19+INDEX(Symboles!$H$6:$H$101,MOD(9+$C19+(0),$B$3)+1)*I19+INDEX(Symboles!$H$6:$H$101,MOD(9+$C19+(1),$B$3)+1)*J19+INDEX(Symboles!$H$6:$H$101,MOD(9+$C19+(2),$B$3)+1)*K19+INDEX(Symboles!$H$6:$H$101,MOD(9+$C19+(3),$B$3)+1)*L19+INDEX(Symboles!$H$6:$H$101,MOD(9+$C19+(4),$B$3)+1)*M19+IF($B$6=0,0,$B$6*NORMSINV(0.000001+0.999998*RAND())))</f>
        <v/>
      </c>
      <c r="DS19" s="30">
        <f>IF(11&gt;$B$3,99,INDEX(Symboles!$H$6:$H$101,MOD(10+$C19+(-4),$B$3)+1)*E19+INDEX(Symboles!$H$6:$H$101,MOD(10+$C19+(-3),$B$3)+1)*F19+INDEX(Symboles!$H$6:$H$101,MOD(10+$C19+(-2),$B$3)+1)*G19+INDEX(Symboles!$H$6:$H$101,MOD(10+$C19+(-1),$B$3)+1)*H19+INDEX(Symboles!$H$6:$H$101,MOD(10+$C19+(0),$B$3)+1)*I19+INDEX(Symboles!$H$6:$H$101,MOD(10+$C19+(1),$B$3)+1)*J19+INDEX(Symboles!$H$6:$H$101,MOD(10+$C19+(2),$B$3)+1)*K19+INDEX(Symboles!$H$6:$H$101,MOD(10+$C19+(3),$B$3)+1)*L19+INDEX(Symboles!$H$6:$H$101,MOD(10+$C19+(4),$B$3)+1)*M19+IF($B$6=0,0,$B$6*NORMSINV(0.000001+0.999998*RAND())))</f>
        <v/>
      </c>
      <c r="DT19" s="30">
        <f>IF(12&gt;$B$3,99,INDEX(Symboles!$H$6:$H$101,MOD(11+$C19+(-4),$B$3)+1)*E19+INDEX(Symboles!$H$6:$H$101,MOD(11+$C19+(-3),$B$3)+1)*F19+INDEX(Symboles!$H$6:$H$101,MOD(11+$C19+(-2),$B$3)+1)*G19+INDEX(Symboles!$H$6:$H$101,MOD(11+$C19+(-1),$B$3)+1)*H19+INDEX(Symboles!$H$6:$H$101,MOD(11+$C19+(0),$B$3)+1)*I19+INDEX(Symboles!$H$6:$H$101,MOD(11+$C19+(1),$B$3)+1)*J19+INDEX(Symboles!$H$6:$H$101,MOD(11+$C19+(2),$B$3)+1)*K19+INDEX(Symboles!$H$6:$H$101,MOD(11+$C19+(3),$B$3)+1)*L19+INDEX(Symboles!$H$6:$H$101,MOD(11+$C19+(4),$B$3)+1)*M19+IF($B$6=0,0,$B$6*NORMSINV(0.000001+0.999998*RAND())))</f>
        <v/>
      </c>
      <c r="DU19" s="30">
        <f>IF(13&gt;$B$3,99,INDEX(Symboles!$H$6:$H$101,MOD(12+$C19+(-4),$B$3)+1)*E19+INDEX(Symboles!$H$6:$H$101,MOD(12+$C19+(-3),$B$3)+1)*F19+INDEX(Symboles!$H$6:$H$101,MOD(12+$C19+(-2),$B$3)+1)*G19+INDEX(Symboles!$H$6:$H$101,MOD(12+$C19+(-1),$B$3)+1)*H19+INDEX(Symboles!$H$6:$H$101,MOD(12+$C19+(0),$B$3)+1)*I19+INDEX(Symboles!$H$6:$H$101,MOD(12+$C19+(1),$B$3)+1)*J19+INDEX(Symboles!$H$6:$H$101,MOD(12+$C19+(2),$B$3)+1)*K19+INDEX(Symboles!$H$6:$H$101,MOD(12+$C19+(3),$B$3)+1)*L19+INDEX(Symboles!$H$6:$H$101,MOD(12+$C19+(4),$B$3)+1)*M19+IF($B$6=0,0,$B$6*NORMSINV(0.000001+0.999998*RAND())))</f>
        <v/>
      </c>
      <c r="DV19" s="30">
        <f>IF(14&gt;$B$3,99,INDEX(Symboles!$H$6:$H$101,MOD(13+$C19+(-4),$B$3)+1)*E19+INDEX(Symboles!$H$6:$H$101,MOD(13+$C19+(-3),$B$3)+1)*F19+INDEX(Symboles!$H$6:$H$101,MOD(13+$C19+(-2),$B$3)+1)*G19+INDEX(Symboles!$H$6:$H$101,MOD(13+$C19+(-1),$B$3)+1)*H19+INDEX(Symboles!$H$6:$H$101,MOD(13+$C19+(0),$B$3)+1)*I19+INDEX(Symboles!$H$6:$H$101,MOD(13+$C19+(1),$B$3)+1)*J19+INDEX(Symboles!$H$6:$H$101,MOD(13+$C19+(2),$B$3)+1)*K19+INDEX(Symboles!$H$6:$H$101,MOD(13+$C19+(3),$B$3)+1)*L19+INDEX(Symboles!$H$6:$H$101,MOD(13+$C19+(4),$B$3)+1)*M19+IF($B$6=0,0,$B$6*NORMSINV(0.000001+0.999998*RAND())))</f>
        <v/>
      </c>
      <c r="DW19" s="30">
        <f>IF(15&gt;$B$3,99,INDEX(Symboles!$H$6:$H$101,MOD(14+$C19+(-4),$B$3)+1)*E19+INDEX(Symboles!$H$6:$H$101,MOD(14+$C19+(-3),$B$3)+1)*F19+INDEX(Symboles!$H$6:$H$101,MOD(14+$C19+(-2),$B$3)+1)*G19+INDEX(Symboles!$H$6:$H$101,MOD(14+$C19+(-1),$B$3)+1)*H19+INDEX(Symboles!$H$6:$H$101,MOD(14+$C19+(0),$B$3)+1)*I19+INDEX(Symboles!$H$6:$H$101,MOD(14+$C19+(1),$B$3)+1)*J19+INDEX(Symboles!$H$6:$H$101,MOD(14+$C19+(2),$B$3)+1)*K19+INDEX(Symboles!$H$6:$H$101,MOD(14+$C19+(3),$B$3)+1)*L19+INDEX(Symboles!$H$6:$H$101,MOD(14+$C19+(4),$B$3)+1)*M19+IF($B$6=0,0,$B$6*NORMSINV(0.000001+0.999998*RAND())))</f>
        <v/>
      </c>
      <c r="DX19" s="30">
        <f>IF(16&gt;$B$3,99,INDEX(Symboles!$H$6:$H$101,MOD(15+$C19+(-4),$B$3)+1)*E19+INDEX(Symboles!$H$6:$H$101,MOD(15+$C19+(-3),$B$3)+1)*F19+INDEX(Symboles!$H$6:$H$101,MOD(15+$C19+(-2),$B$3)+1)*G19+INDEX(Symboles!$H$6:$H$101,MOD(15+$C19+(-1),$B$3)+1)*H19+INDEX(Symboles!$H$6:$H$101,MOD(15+$C19+(0),$B$3)+1)*I19+INDEX(Symboles!$H$6:$H$101,MOD(15+$C19+(1),$B$3)+1)*J19+INDEX(Symboles!$H$6:$H$101,MOD(15+$C19+(2),$B$3)+1)*K19+INDEX(Symboles!$H$6:$H$101,MOD(15+$C19+(3),$B$3)+1)*L19+INDEX(Symboles!$H$6:$H$101,MOD(15+$C19+(4),$B$3)+1)*M19+IF($B$6=0,0,$B$6*NORMSINV(0.000001+0.999998*RAND())))</f>
        <v/>
      </c>
      <c r="DY19" s="30">
        <f>IF(17&gt;$B$3,99,INDEX(Symboles!$H$6:$H$101,MOD(16+$C19+(-4),$B$3)+1)*E19+INDEX(Symboles!$H$6:$H$101,MOD(16+$C19+(-3),$B$3)+1)*F19+INDEX(Symboles!$H$6:$H$101,MOD(16+$C19+(-2),$B$3)+1)*G19+INDEX(Symboles!$H$6:$H$101,MOD(16+$C19+(-1),$B$3)+1)*H19+INDEX(Symboles!$H$6:$H$101,MOD(16+$C19+(0),$B$3)+1)*I19+INDEX(Symboles!$H$6:$H$101,MOD(16+$C19+(1),$B$3)+1)*J19+INDEX(Symboles!$H$6:$H$101,MOD(16+$C19+(2),$B$3)+1)*K19+INDEX(Symboles!$H$6:$H$101,MOD(16+$C19+(3),$B$3)+1)*L19+INDEX(Symboles!$H$6:$H$101,MOD(16+$C19+(4),$B$3)+1)*M19+IF($B$6=0,0,$B$6*NORMSINV(0.000001+0.999998*RAND())))</f>
        <v/>
      </c>
      <c r="DZ19" s="30">
        <f>IF(18&gt;$B$3,99,INDEX(Symboles!$H$6:$H$101,MOD(17+$C19+(-4),$B$3)+1)*E19+INDEX(Symboles!$H$6:$H$101,MOD(17+$C19+(-3),$B$3)+1)*F19+INDEX(Symboles!$H$6:$H$101,MOD(17+$C19+(-2),$B$3)+1)*G19+INDEX(Symboles!$H$6:$H$101,MOD(17+$C19+(-1),$B$3)+1)*H19+INDEX(Symboles!$H$6:$H$101,MOD(17+$C19+(0),$B$3)+1)*I19+INDEX(Symboles!$H$6:$H$101,MOD(17+$C19+(1),$B$3)+1)*J19+INDEX(Symboles!$H$6:$H$101,MOD(17+$C19+(2),$B$3)+1)*K19+INDEX(Symboles!$H$6:$H$101,MOD(17+$C19+(3),$B$3)+1)*L19+INDEX(Symboles!$H$6:$H$101,MOD(17+$C19+(4),$B$3)+1)*M19+IF($B$6=0,0,$B$6*NORMSINV(0.000001+0.999998*RAND())))</f>
        <v/>
      </c>
      <c r="EA19" s="30">
        <f>IF(19&gt;$B$3,99,INDEX(Symboles!$H$6:$H$101,MOD(18+$C19+(-4),$B$3)+1)*E19+INDEX(Symboles!$H$6:$H$101,MOD(18+$C19+(-3),$B$3)+1)*F19+INDEX(Symboles!$H$6:$H$101,MOD(18+$C19+(-2),$B$3)+1)*G19+INDEX(Symboles!$H$6:$H$101,MOD(18+$C19+(-1),$B$3)+1)*H19+INDEX(Symboles!$H$6:$H$101,MOD(18+$C19+(0),$B$3)+1)*I19+INDEX(Symboles!$H$6:$H$101,MOD(18+$C19+(1),$B$3)+1)*J19+INDEX(Symboles!$H$6:$H$101,MOD(18+$C19+(2),$B$3)+1)*K19+INDEX(Symboles!$H$6:$H$101,MOD(18+$C19+(3),$B$3)+1)*L19+INDEX(Symboles!$H$6:$H$101,MOD(18+$C19+(4),$B$3)+1)*M19+IF($B$6=0,0,$B$6*NORMSINV(0.000001+0.999998*RAND())))</f>
        <v/>
      </c>
      <c r="EB19" s="30">
        <f>IF(20&gt;$B$3,99,INDEX(Symboles!$H$6:$H$101,MOD(19+$C19+(-4),$B$3)+1)*E19+INDEX(Symboles!$H$6:$H$101,MOD(19+$C19+(-3),$B$3)+1)*F19+INDEX(Symboles!$H$6:$H$101,MOD(19+$C19+(-2),$B$3)+1)*G19+INDEX(Symboles!$H$6:$H$101,MOD(19+$C19+(-1),$B$3)+1)*H19+INDEX(Symboles!$H$6:$H$101,MOD(19+$C19+(0),$B$3)+1)*I19+INDEX(Symboles!$H$6:$H$101,MOD(19+$C19+(1),$B$3)+1)*J19+INDEX(Symboles!$H$6:$H$101,MOD(19+$C19+(2),$B$3)+1)*K19+INDEX(Symboles!$H$6:$H$101,MOD(19+$C19+(3),$B$3)+1)*L19+INDEX(Symboles!$H$6:$H$101,MOD(19+$C19+(4),$B$3)+1)*M19+IF($B$6=0,0,$B$6*NORMSINV(0.000001+0.999998*RAND())))</f>
        <v/>
      </c>
      <c r="EC19" s="30">
        <f>IF(21&gt;$B$3,99,INDEX(Symboles!$H$6:$H$101,MOD(20+$C19+(-4),$B$3)+1)*E19+INDEX(Symboles!$H$6:$H$101,MOD(20+$C19+(-3),$B$3)+1)*F19+INDEX(Symboles!$H$6:$H$101,MOD(20+$C19+(-2),$B$3)+1)*G19+INDEX(Symboles!$H$6:$H$101,MOD(20+$C19+(-1),$B$3)+1)*H19+INDEX(Symboles!$H$6:$H$101,MOD(20+$C19+(0),$B$3)+1)*I19+INDEX(Symboles!$H$6:$H$101,MOD(20+$C19+(1),$B$3)+1)*J19+INDEX(Symboles!$H$6:$H$101,MOD(20+$C19+(2),$B$3)+1)*K19+INDEX(Symboles!$H$6:$H$101,MOD(20+$C19+(3),$B$3)+1)*L19+INDEX(Symboles!$H$6:$H$101,MOD(20+$C19+(4),$B$3)+1)*M19+IF($B$6=0,0,$B$6*NORMSINV(0.000001+0.999998*RAND())))</f>
        <v/>
      </c>
      <c r="ED19" s="30">
        <f>IF(22&gt;$B$3,99,INDEX(Symboles!$H$6:$H$101,MOD(21+$C19+(-4),$B$3)+1)*E19+INDEX(Symboles!$H$6:$H$101,MOD(21+$C19+(-3),$B$3)+1)*F19+INDEX(Symboles!$H$6:$H$101,MOD(21+$C19+(-2),$B$3)+1)*G19+INDEX(Symboles!$H$6:$H$101,MOD(21+$C19+(-1),$B$3)+1)*H19+INDEX(Symboles!$H$6:$H$101,MOD(21+$C19+(0),$B$3)+1)*I19+INDEX(Symboles!$H$6:$H$101,MOD(21+$C19+(1),$B$3)+1)*J19+INDEX(Symboles!$H$6:$H$101,MOD(21+$C19+(2),$B$3)+1)*K19+INDEX(Symboles!$H$6:$H$101,MOD(21+$C19+(3),$B$3)+1)*L19+INDEX(Symboles!$H$6:$H$101,MOD(21+$C19+(4),$B$3)+1)*M19+IF($B$6=0,0,$B$6*NORMSINV(0.000001+0.999998*RAND())))</f>
        <v/>
      </c>
      <c r="EE19" s="30">
        <f>IF(23&gt;$B$3,99,INDEX(Symboles!$H$6:$H$101,MOD(22+$C19+(-4),$B$3)+1)*E19+INDEX(Symboles!$H$6:$H$101,MOD(22+$C19+(-3),$B$3)+1)*F19+INDEX(Symboles!$H$6:$H$101,MOD(22+$C19+(-2),$B$3)+1)*G19+INDEX(Symboles!$H$6:$H$101,MOD(22+$C19+(-1),$B$3)+1)*H19+INDEX(Symboles!$H$6:$H$101,MOD(22+$C19+(0),$B$3)+1)*I19+INDEX(Symboles!$H$6:$H$101,MOD(22+$C19+(1),$B$3)+1)*J19+INDEX(Symboles!$H$6:$H$101,MOD(22+$C19+(2),$B$3)+1)*K19+INDEX(Symboles!$H$6:$H$101,MOD(22+$C19+(3),$B$3)+1)*L19+INDEX(Symboles!$H$6:$H$101,MOD(22+$C19+(4),$B$3)+1)*M19+IF($B$6=0,0,$B$6*NORMSINV(0.000001+0.999998*RAND())))</f>
        <v/>
      </c>
      <c r="EF19" s="30">
        <f>IF(24&gt;$B$3,99,INDEX(Symboles!$H$6:$H$101,MOD(23+$C19+(-4),$B$3)+1)*E19+INDEX(Symboles!$H$6:$H$101,MOD(23+$C19+(-3),$B$3)+1)*F19+INDEX(Symboles!$H$6:$H$101,MOD(23+$C19+(-2),$B$3)+1)*G19+INDEX(Symboles!$H$6:$H$101,MOD(23+$C19+(-1),$B$3)+1)*H19+INDEX(Symboles!$H$6:$H$101,MOD(23+$C19+(0),$B$3)+1)*I19+INDEX(Symboles!$H$6:$H$101,MOD(23+$C19+(1),$B$3)+1)*J19+INDEX(Symboles!$H$6:$H$101,MOD(23+$C19+(2),$B$3)+1)*K19+INDEX(Symboles!$H$6:$H$101,MOD(23+$C19+(3),$B$3)+1)*L19+INDEX(Symboles!$H$6:$H$101,MOD(23+$C19+(4),$B$3)+1)*M19+IF($B$6=0,0,$B$6*NORMSINV(0.000001+0.999998*RAND())))</f>
        <v/>
      </c>
      <c r="EG19" s="30">
        <f>IF(25&gt;$B$3,99,INDEX(Symboles!$H$6:$H$101,MOD(24+$C19+(-4),$B$3)+1)*E19+INDEX(Symboles!$H$6:$H$101,MOD(24+$C19+(-3),$B$3)+1)*F19+INDEX(Symboles!$H$6:$H$101,MOD(24+$C19+(-2),$B$3)+1)*G19+INDEX(Symboles!$H$6:$H$101,MOD(24+$C19+(-1),$B$3)+1)*H19+INDEX(Symboles!$H$6:$H$101,MOD(24+$C19+(0),$B$3)+1)*I19+INDEX(Symboles!$H$6:$H$101,MOD(24+$C19+(1),$B$3)+1)*J19+INDEX(Symboles!$H$6:$H$101,MOD(24+$C19+(2),$B$3)+1)*K19+INDEX(Symboles!$H$6:$H$101,MOD(24+$C19+(3),$B$3)+1)*L19+INDEX(Symboles!$H$6:$H$101,MOD(24+$C19+(4),$B$3)+1)*M19+IF($B$6=0,0,$B$6*NORMSINV(0.000001+0.999998*RAND())))</f>
        <v/>
      </c>
      <c r="EH19" s="30">
        <f>IF(26&gt;$B$3,99,INDEX(Symboles!$H$6:$H$101,MOD(25+$C19+(-4),$B$3)+1)*E19+INDEX(Symboles!$H$6:$H$101,MOD(25+$C19+(-3),$B$3)+1)*F19+INDEX(Symboles!$H$6:$H$101,MOD(25+$C19+(-2),$B$3)+1)*G19+INDEX(Symboles!$H$6:$H$101,MOD(25+$C19+(-1),$B$3)+1)*H19+INDEX(Symboles!$H$6:$H$101,MOD(25+$C19+(0),$B$3)+1)*I19+INDEX(Symboles!$H$6:$H$101,MOD(25+$C19+(1),$B$3)+1)*J19+INDEX(Symboles!$H$6:$H$101,MOD(25+$C19+(2),$B$3)+1)*K19+INDEX(Symboles!$H$6:$H$101,MOD(25+$C19+(3),$B$3)+1)*L19+INDEX(Symboles!$H$6:$H$101,MOD(25+$C19+(4),$B$3)+1)*M19+IF($B$6=0,0,$B$6*NORMSINV(0.000001+0.999998*RAND())))</f>
        <v/>
      </c>
      <c r="EI19" s="30">
        <f>IF(27&gt;$B$3,99,INDEX(Symboles!$H$6:$H$101,MOD(26+$C19+(-4),$B$3)+1)*E19+INDEX(Symboles!$H$6:$H$101,MOD(26+$C19+(-3),$B$3)+1)*F19+INDEX(Symboles!$H$6:$H$101,MOD(26+$C19+(-2),$B$3)+1)*G19+INDEX(Symboles!$H$6:$H$101,MOD(26+$C19+(-1),$B$3)+1)*H19+INDEX(Symboles!$H$6:$H$101,MOD(26+$C19+(0),$B$3)+1)*I19+INDEX(Symboles!$H$6:$H$101,MOD(26+$C19+(1),$B$3)+1)*J19+INDEX(Symboles!$H$6:$H$101,MOD(26+$C19+(2),$B$3)+1)*K19+INDEX(Symboles!$H$6:$H$101,MOD(26+$C19+(3),$B$3)+1)*L19+INDEX(Symboles!$H$6:$H$101,MOD(26+$C19+(4),$B$3)+1)*M19+IF($B$6=0,0,$B$6*NORMSINV(0.000001+0.999998*RAND())))</f>
        <v/>
      </c>
      <c r="EJ19" s="30">
        <f>IF(28&gt;$B$3,99,INDEX(Symboles!$H$6:$H$101,MOD(27+$C19+(-4),$B$3)+1)*E19+INDEX(Symboles!$H$6:$H$101,MOD(27+$C19+(-3),$B$3)+1)*F19+INDEX(Symboles!$H$6:$H$101,MOD(27+$C19+(-2),$B$3)+1)*G19+INDEX(Symboles!$H$6:$H$101,MOD(27+$C19+(-1),$B$3)+1)*H19+INDEX(Symboles!$H$6:$H$101,MOD(27+$C19+(0),$B$3)+1)*I19+INDEX(Symboles!$H$6:$H$101,MOD(27+$C19+(1),$B$3)+1)*J19+INDEX(Symboles!$H$6:$H$101,MOD(27+$C19+(2),$B$3)+1)*K19+INDEX(Symboles!$H$6:$H$101,MOD(27+$C19+(3),$B$3)+1)*L19+INDEX(Symboles!$H$6:$H$101,MOD(27+$C19+(4),$B$3)+1)*M19+IF($B$6=0,0,$B$6*NORMSINV(0.000001+0.999998*RAND())))</f>
        <v/>
      </c>
      <c r="EK19" s="30">
        <f>IF(29&gt;$B$3,99,INDEX(Symboles!$H$6:$H$101,MOD(28+$C19+(-4),$B$3)+1)*E19+INDEX(Symboles!$H$6:$H$101,MOD(28+$C19+(-3),$B$3)+1)*F19+INDEX(Symboles!$H$6:$H$101,MOD(28+$C19+(-2),$B$3)+1)*G19+INDEX(Symboles!$H$6:$H$101,MOD(28+$C19+(-1),$B$3)+1)*H19+INDEX(Symboles!$H$6:$H$101,MOD(28+$C19+(0),$B$3)+1)*I19+INDEX(Symboles!$H$6:$H$101,MOD(28+$C19+(1),$B$3)+1)*J19+INDEX(Symboles!$H$6:$H$101,MOD(28+$C19+(2),$B$3)+1)*K19+INDEX(Symboles!$H$6:$H$101,MOD(28+$C19+(3),$B$3)+1)*L19+INDEX(Symboles!$H$6:$H$101,MOD(28+$C19+(4),$B$3)+1)*M19+IF($B$6=0,0,$B$6*NORMSINV(0.000001+0.999998*RAND())))</f>
        <v/>
      </c>
      <c r="EL19" s="30">
        <f>IF(30&gt;$B$3,99,INDEX(Symboles!$H$6:$H$101,MOD(29+$C19+(-4),$B$3)+1)*E19+INDEX(Symboles!$H$6:$H$101,MOD(29+$C19+(-3),$B$3)+1)*F19+INDEX(Symboles!$H$6:$H$101,MOD(29+$C19+(-2),$B$3)+1)*G19+INDEX(Symboles!$H$6:$H$101,MOD(29+$C19+(-1),$B$3)+1)*H19+INDEX(Symboles!$H$6:$H$101,MOD(29+$C19+(0),$B$3)+1)*I19+INDEX(Symboles!$H$6:$H$101,MOD(29+$C19+(1),$B$3)+1)*J19+INDEX(Symboles!$H$6:$H$101,MOD(29+$C19+(2),$B$3)+1)*K19+INDEX(Symboles!$H$6:$H$101,MOD(29+$C19+(3),$B$3)+1)*L19+INDEX(Symboles!$H$6:$H$101,MOD(29+$C19+(4),$B$3)+1)*M19+IF($B$6=0,0,$B$6*NORMSINV(0.000001+0.999998*RAND())))</f>
        <v/>
      </c>
      <c r="EM19" s="30">
        <f>IF(31&gt;$B$3,99,INDEX(Symboles!$H$6:$H$101,MOD(30+$C19+(-4),$B$3)+1)*E19+INDEX(Symboles!$H$6:$H$101,MOD(30+$C19+(-3),$B$3)+1)*F19+INDEX(Symboles!$H$6:$H$101,MOD(30+$C19+(-2),$B$3)+1)*G19+INDEX(Symboles!$H$6:$H$101,MOD(30+$C19+(-1),$B$3)+1)*H19+INDEX(Symboles!$H$6:$H$101,MOD(30+$C19+(0),$B$3)+1)*I19+INDEX(Symboles!$H$6:$H$101,MOD(30+$C19+(1),$B$3)+1)*J19+INDEX(Symboles!$H$6:$H$101,MOD(30+$C19+(2),$B$3)+1)*K19+INDEX(Symboles!$H$6:$H$101,MOD(30+$C19+(3),$B$3)+1)*L19+INDEX(Symboles!$H$6:$H$101,MOD(30+$C19+(4),$B$3)+1)*M19+IF($B$6=0,0,$B$6*NORMSINV(0.000001+0.999998*RAND())))</f>
        <v/>
      </c>
      <c r="EN19" s="30">
        <f>IF(32&gt;$B$3,99,INDEX(Symboles!$H$6:$H$101,MOD(31+$C19+(-4),$B$3)+1)*E19+INDEX(Symboles!$H$6:$H$101,MOD(31+$C19+(-3),$B$3)+1)*F19+INDEX(Symboles!$H$6:$H$101,MOD(31+$C19+(-2),$B$3)+1)*G19+INDEX(Symboles!$H$6:$H$101,MOD(31+$C19+(-1),$B$3)+1)*H19+INDEX(Symboles!$H$6:$H$101,MOD(31+$C19+(0),$B$3)+1)*I19+INDEX(Symboles!$H$6:$H$101,MOD(31+$C19+(1),$B$3)+1)*J19+INDEX(Symboles!$H$6:$H$101,MOD(31+$C19+(2),$B$3)+1)*K19+INDEX(Symboles!$H$6:$H$101,MOD(31+$C19+(3),$B$3)+1)*L19+INDEX(Symboles!$H$6:$H$101,MOD(31+$C19+(4),$B$3)+1)*M19+IF($B$6=0,0,$B$6*NORMSINV(0.000001+0.999998*RAND())))</f>
        <v/>
      </c>
      <c r="EO19" s="30">
        <f>IF(33&gt;$B$3,99,INDEX(Symboles!$H$6:$H$101,MOD(32+$C19+(-4),$B$3)+1)*E19+INDEX(Symboles!$H$6:$H$101,MOD(32+$C19+(-3),$B$3)+1)*F19+INDEX(Symboles!$H$6:$H$101,MOD(32+$C19+(-2),$B$3)+1)*G19+INDEX(Symboles!$H$6:$H$101,MOD(32+$C19+(-1),$B$3)+1)*H19+INDEX(Symboles!$H$6:$H$101,MOD(32+$C19+(0),$B$3)+1)*I19+INDEX(Symboles!$H$6:$H$101,MOD(32+$C19+(1),$B$3)+1)*J19+INDEX(Symboles!$H$6:$H$101,MOD(32+$C19+(2),$B$3)+1)*K19+INDEX(Symboles!$H$6:$H$101,MOD(32+$C19+(3),$B$3)+1)*L19+INDEX(Symboles!$H$6:$H$101,MOD(32+$C19+(4),$B$3)+1)*M19+IF($B$6=0,0,$B$6*NORMSINV(0.000001+0.999998*RAND())))</f>
        <v/>
      </c>
      <c r="EP19" s="30">
        <f>IF(34&gt;$B$3,99,INDEX(Symboles!$H$6:$H$101,MOD(33+$C19+(-4),$B$3)+1)*E19+INDEX(Symboles!$H$6:$H$101,MOD(33+$C19+(-3),$B$3)+1)*F19+INDEX(Symboles!$H$6:$H$101,MOD(33+$C19+(-2),$B$3)+1)*G19+INDEX(Symboles!$H$6:$H$101,MOD(33+$C19+(-1),$B$3)+1)*H19+INDEX(Symboles!$H$6:$H$101,MOD(33+$C19+(0),$B$3)+1)*I19+INDEX(Symboles!$H$6:$H$101,MOD(33+$C19+(1),$B$3)+1)*J19+INDEX(Symboles!$H$6:$H$101,MOD(33+$C19+(2),$B$3)+1)*K19+INDEX(Symboles!$H$6:$H$101,MOD(33+$C19+(3),$B$3)+1)*L19+INDEX(Symboles!$H$6:$H$101,MOD(33+$C19+(4),$B$3)+1)*M19+IF($B$6=0,0,$B$6*NORMSINV(0.000001+0.999998*RAND())))</f>
        <v/>
      </c>
      <c r="EQ19" s="30">
        <f>IF(35&gt;$B$3,99,INDEX(Symboles!$H$6:$H$101,MOD(34+$C19+(-4),$B$3)+1)*E19+INDEX(Symboles!$H$6:$H$101,MOD(34+$C19+(-3),$B$3)+1)*F19+INDEX(Symboles!$H$6:$H$101,MOD(34+$C19+(-2),$B$3)+1)*G19+INDEX(Symboles!$H$6:$H$101,MOD(34+$C19+(-1),$B$3)+1)*H19+INDEX(Symboles!$H$6:$H$101,MOD(34+$C19+(0),$B$3)+1)*I19+INDEX(Symboles!$H$6:$H$101,MOD(34+$C19+(1),$B$3)+1)*J19+INDEX(Symboles!$H$6:$H$101,MOD(34+$C19+(2),$B$3)+1)*K19+INDEX(Symboles!$H$6:$H$101,MOD(34+$C19+(3),$B$3)+1)*L19+INDEX(Symboles!$H$6:$H$101,MOD(34+$C19+(4),$B$3)+1)*M19+IF($B$6=0,0,$B$6*NORMSINV(0.000001+0.999998*RAND())))</f>
        <v/>
      </c>
      <c r="ER19" s="30">
        <f>IF(36&gt;$B$3,99,INDEX(Symboles!$H$6:$H$101,MOD(35+$C19+(-4),$B$3)+1)*E19+INDEX(Symboles!$H$6:$H$101,MOD(35+$C19+(-3),$B$3)+1)*F19+INDEX(Symboles!$H$6:$H$101,MOD(35+$C19+(-2),$B$3)+1)*G19+INDEX(Symboles!$H$6:$H$101,MOD(35+$C19+(-1),$B$3)+1)*H19+INDEX(Symboles!$H$6:$H$101,MOD(35+$C19+(0),$B$3)+1)*I19+INDEX(Symboles!$H$6:$H$101,MOD(35+$C19+(1),$B$3)+1)*J19+INDEX(Symboles!$H$6:$H$101,MOD(35+$C19+(2),$B$3)+1)*K19+INDEX(Symboles!$H$6:$H$101,MOD(35+$C19+(3),$B$3)+1)*L19+INDEX(Symboles!$H$6:$H$101,MOD(35+$C19+(4),$B$3)+1)*M19+IF($B$6=0,0,$B$6*NORMSINV(0.000001+0.999998*RAND())))</f>
        <v/>
      </c>
      <c r="ES19" s="30">
        <f>IF(37&gt;$B$3,99,INDEX(Symboles!$H$6:$H$101,MOD(36+$C19+(-4),$B$3)+1)*E19+INDEX(Symboles!$H$6:$H$101,MOD(36+$C19+(-3),$B$3)+1)*F19+INDEX(Symboles!$H$6:$H$101,MOD(36+$C19+(-2),$B$3)+1)*G19+INDEX(Symboles!$H$6:$H$101,MOD(36+$C19+(-1),$B$3)+1)*H19+INDEX(Symboles!$H$6:$H$101,MOD(36+$C19+(0),$B$3)+1)*I19+INDEX(Symboles!$H$6:$H$101,MOD(36+$C19+(1),$B$3)+1)*J19+INDEX(Symboles!$H$6:$H$101,MOD(36+$C19+(2),$B$3)+1)*K19+INDEX(Symboles!$H$6:$H$101,MOD(36+$C19+(3),$B$3)+1)*L19+INDEX(Symboles!$H$6:$H$101,MOD(36+$C19+(4),$B$3)+1)*M19+IF($B$6=0,0,$B$6*NORMSINV(0.000001+0.999998*RAND())))</f>
        <v/>
      </c>
      <c r="ET19" s="30">
        <f>IF(38&gt;$B$3,99,INDEX(Symboles!$H$6:$H$101,MOD(37+$C19+(-4),$B$3)+1)*E19+INDEX(Symboles!$H$6:$H$101,MOD(37+$C19+(-3),$B$3)+1)*F19+INDEX(Symboles!$H$6:$H$101,MOD(37+$C19+(-2),$B$3)+1)*G19+INDEX(Symboles!$H$6:$H$101,MOD(37+$C19+(-1),$B$3)+1)*H19+INDEX(Symboles!$H$6:$H$101,MOD(37+$C19+(0),$B$3)+1)*I19+INDEX(Symboles!$H$6:$H$101,MOD(37+$C19+(1),$B$3)+1)*J19+INDEX(Symboles!$H$6:$H$101,MOD(37+$C19+(2),$B$3)+1)*K19+INDEX(Symboles!$H$6:$H$101,MOD(37+$C19+(3),$B$3)+1)*L19+INDEX(Symboles!$H$6:$H$101,MOD(37+$C19+(4),$B$3)+1)*M19+IF($B$6=0,0,$B$6*NORMSINV(0.000001+0.999998*RAND())))</f>
        <v/>
      </c>
      <c r="EU19" s="30">
        <f>IF(39&gt;$B$3,99,INDEX(Symboles!$H$6:$H$101,MOD(38+$C19+(-4),$B$3)+1)*E19+INDEX(Symboles!$H$6:$H$101,MOD(38+$C19+(-3),$B$3)+1)*F19+INDEX(Symboles!$H$6:$H$101,MOD(38+$C19+(-2),$B$3)+1)*G19+INDEX(Symboles!$H$6:$H$101,MOD(38+$C19+(-1),$B$3)+1)*H19+INDEX(Symboles!$H$6:$H$101,MOD(38+$C19+(0),$B$3)+1)*I19+INDEX(Symboles!$H$6:$H$101,MOD(38+$C19+(1),$B$3)+1)*J19+INDEX(Symboles!$H$6:$H$101,MOD(38+$C19+(2),$B$3)+1)*K19+INDEX(Symboles!$H$6:$H$101,MOD(38+$C19+(3),$B$3)+1)*L19+INDEX(Symboles!$H$6:$H$101,MOD(38+$C19+(4),$B$3)+1)*M19+IF($B$6=0,0,$B$6*NORMSINV(0.000001+0.999998*RAND())))</f>
        <v/>
      </c>
      <c r="EV19" s="30">
        <f>IF(40&gt;$B$3,99,INDEX(Symboles!$H$6:$H$101,MOD(39+$C19+(-4),$B$3)+1)*E19+INDEX(Symboles!$H$6:$H$101,MOD(39+$C19+(-3),$B$3)+1)*F19+INDEX(Symboles!$H$6:$H$101,MOD(39+$C19+(-2),$B$3)+1)*G19+INDEX(Symboles!$H$6:$H$101,MOD(39+$C19+(-1),$B$3)+1)*H19+INDEX(Symboles!$H$6:$H$101,MOD(39+$C19+(0),$B$3)+1)*I19+INDEX(Symboles!$H$6:$H$101,MOD(39+$C19+(1),$B$3)+1)*J19+INDEX(Symboles!$H$6:$H$101,MOD(39+$C19+(2),$B$3)+1)*K19+INDEX(Symboles!$H$6:$H$101,MOD(39+$C19+(3),$B$3)+1)*L19+INDEX(Symboles!$H$6:$H$101,MOD(39+$C19+(4),$B$3)+1)*M19+IF($B$6=0,0,$B$6*NORMSINV(0.000001+0.999998*RAND())))</f>
        <v/>
      </c>
      <c r="EW19" s="30">
        <f>IF(41&gt;$B$3,99,INDEX(Symboles!$H$6:$H$101,MOD(40+$C19+(-4),$B$3)+1)*E19+INDEX(Symboles!$H$6:$H$101,MOD(40+$C19+(-3),$B$3)+1)*F19+INDEX(Symboles!$H$6:$H$101,MOD(40+$C19+(-2),$B$3)+1)*G19+INDEX(Symboles!$H$6:$H$101,MOD(40+$C19+(-1),$B$3)+1)*H19+INDEX(Symboles!$H$6:$H$101,MOD(40+$C19+(0),$B$3)+1)*I19+INDEX(Symboles!$H$6:$H$101,MOD(40+$C19+(1),$B$3)+1)*J19+INDEX(Symboles!$H$6:$H$101,MOD(40+$C19+(2),$B$3)+1)*K19+INDEX(Symboles!$H$6:$H$101,MOD(40+$C19+(3),$B$3)+1)*L19+INDEX(Symboles!$H$6:$H$101,MOD(40+$C19+(4),$B$3)+1)*M19+IF($B$6=0,0,$B$6*NORMSINV(0.000001+0.999998*RAND())))</f>
        <v/>
      </c>
      <c r="EX19" s="30">
        <f>IF(42&gt;$B$3,99,INDEX(Symboles!$H$6:$H$101,MOD(41+$C19+(-4),$B$3)+1)*E19+INDEX(Symboles!$H$6:$H$101,MOD(41+$C19+(-3),$B$3)+1)*F19+INDEX(Symboles!$H$6:$H$101,MOD(41+$C19+(-2),$B$3)+1)*G19+INDEX(Symboles!$H$6:$H$101,MOD(41+$C19+(-1),$B$3)+1)*H19+INDEX(Symboles!$H$6:$H$101,MOD(41+$C19+(0),$B$3)+1)*I19+INDEX(Symboles!$H$6:$H$101,MOD(41+$C19+(1),$B$3)+1)*J19+INDEX(Symboles!$H$6:$H$101,MOD(41+$C19+(2),$B$3)+1)*K19+INDEX(Symboles!$H$6:$H$101,MOD(41+$C19+(3),$B$3)+1)*L19+INDEX(Symboles!$H$6:$H$101,MOD(41+$C19+(4),$B$3)+1)*M19+IF($B$6=0,0,$B$6*NORMSINV(0.000001+0.999998*RAND())))</f>
        <v/>
      </c>
      <c r="EY19" s="30">
        <f>IF(43&gt;$B$3,99,INDEX(Symboles!$H$6:$H$101,MOD(42+$C19+(-4),$B$3)+1)*E19+INDEX(Symboles!$H$6:$H$101,MOD(42+$C19+(-3),$B$3)+1)*F19+INDEX(Symboles!$H$6:$H$101,MOD(42+$C19+(-2),$B$3)+1)*G19+INDEX(Symboles!$H$6:$H$101,MOD(42+$C19+(-1),$B$3)+1)*H19+INDEX(Symboles!$H$6:$H$101,MOD(42+$C19+(0),$B$3)+1)*I19+INDEX(Symboles!$H$6:$H$101,MOD(42+$C19+(1),$B$3)+1)*J19+INDEX(Symboles!$H$6:$H$101,MOD(42+$C19+(2),$B$3)+1)*K19+INDEX(Symboles!$H$6:$H$101,MOD(42+$C19+(3),$B$3)+1)*L19+INDEX(Symboles!$H$6:$H$101,MOD(42+$C19+(4),$B$3)+1)*M19+IF($B$6=0,0,$B$6*NORMSINV(0.000001+0.999998*RAND())))</f>
        <v/>
      </c>
      <c r="EZ19" s="30">
        <f>IF(44&gt;$B$3,99,INDEX(Symboles!$H$6:$H$101,MOD(43+$C19+(-4),$B$3)+1)*E19+INDEX(Symboles!$H$6:$H$101,MOD(43+$C19+(-3),$B$3)+1)*F19+INDEX(Symboles!$H$6:$H$101,MOD(43+$C19+(-2),$B$3)+1)*G19+INDEX(Symboles!$H$6:$H$101,MOD(43+$C19+(-1),$B$3)+1)*H19+INDEX(Symboles!$H$6:$H$101,MOD(43+$C19+(0),$B$3)+1)*I19+INDEX(Symboles!$H$6:$H$101,MOD(43+$C19+(1),$B$3)+1)*J19+INDEX(Symboles!$H$6:$H$101,MOD(43+$C19+(2),$B$3)+1)*K19+INDEX(Symboles!$H$6:$H$101,MOD(43+$C19+(3),$B$3)+1)*L19+INDEX(Symboles!$H$6:$H$101,MOD(43+$C19+(4),$B$3)+1)*M19+IF($B$6=0,0,$B$6*NORMSINV(0.000001+0.999998*RAND())))</f>
        <v/>
      </c>
      <c r="FA19" s="30">
        <f>IF(45&gt;$B$3,99,INDEX(Symboles!$H$6:$H$101,MOD(44+$C19+(-4),$B$3)+1)*E19+INDEX(Symboles!$H$6:$H$101,MOD(44+$C19+(-3),$B$3)+1)*F19+INDEX(Symboles!$H$6:$H$101,MOD(44+$C19+(-2),$B$3)+1)*G19+INDEX(Symboles!$H$6:$H$101,MOD(44+$C19+(-1),$B$3)+1)*H19+INDEX(Symboles!$H$6:$H$101,MOD(44+$C19+(0),$B$3)+1)*I19+INDEX(Symboles!$H$6:$H$101,MOD(44+$C19+(1),$B$3)+1)*J19+INDEX(Symboles!$H$6:$H$101,MOD(44+$C19+(2),$B$3)+1)*K19+INDEX(Symboles!$H$6:$H$101,MOD(44+$C19+(3),$B$3)+1)*L19+INDEX(Symboles!$H$6:$H$101,MOD(44+$C19+(4),$B$3)+1)*M19+IF($B$6=0,0,$B$6*NORMSINV(0.000001+0.999998*RAND())))</f>
        <v/>
      </c>
      <c r="FB19" s="30">
        <f>IF(46&gt;$B$3,99,INDEX(Symboles!$H$6:$H$101,MOD(45+$C19+(-4),$B$3)+1)*E19+INDEX(Symboles!$H$6:$H$101,MOD(45+$C19+(-3),$B$3)+1)*F19+INDEX(Symboles!$H$6:$H$101,MOD(45+$C19+(-2),$B$3)+1)*G19+INDEX(Symboles!$H$6:$H$101,MOD(45+$C19+(-1),$B$3)+1)*H19+INDEX(Symboles!$H$6:$H$101,MOD(45+$C19+(0),$B$3)+1)*I19+INDEX(Symboles!$H$6:$H$101,MOD(45+$C19+(1),$B$3)+1)*J19+INDEX(Symboles!$H$6:$H$101,MOD(45+$C19+(2),$B$3)+1)*K19+INDEX(Symboles!$H$6:$H$101,MOD(45+$C19+(3),$B$3)+1)*L19+INDEX(Symboles!$H$6:$H$101,MOD(45+$C19+(4),$B$3)+1)*M19+IF($B$6=0,0,$B$6*NORMSINV(0.000001+0.999998*RAND())))</f>
        <v/>
      </c>
      <c r="FC19" s="30">
        <f>IF(47&gt;$B$3,99,INDEX(Symboles!$H$6:$H$101,MOD(46+$C19+(-4),$B$3)+1)*E19+INDEX(Symboles!$H$6:$H$101,MOD(46+$C19+(-3),$B$3)+1)*F19+INDEX(Symboles!$H$6:$H$101,MOD(46+$C19+(-2),$B$3)+1)*G19+INDEX(Symboles!$H$6:$H$101,MOD(46+$C19+(-1),$B$3)+1)*H19+INDEX(Symboles!$H$6:$H$101,MOD(46+$C19+(0),$B$3)+1)*I19+INDEX(Symboles!$H$6:$H$101,MOD(46+$C19+(1),$B$3)+1)*J19+INDEX(Symboles!$H$6:$H$101,MOD(46+$C19+(2),$B$3)+1)*K19+INDEX(Symboles!$H$6:$H$101,MOD(46+$C19+(3),$B$3)+1)*L19+INDEX(Symboles!$H$6:$H$101,MOD(46+$C19+(4),$B$3)+1)*M19+IF($B$6=0,0,$B$6*NORMSINV(0.000001+0.999998*RAND())))</f>
        <v/>
      </c>
      <c r="FD19" s="30">
        <f>IF(48&gt;$B$3,99,INDEX(Symboles!$H$6:$H$101,MOD(47+$C19+(-4),$B$3)+1)*E19+INDEX(Symboles!$H$6:$H$101,MOD(47+$C19+(-3),$B$3)+1)*F19+INDEX(Symboles!$H$6:$H$101,MOD(47+$C19+(-2),$B$3)+1)*G19+INDEX(Symboles!$H$6:$H$101,MOD(47+$C19+(-1),$B$3)+1)*H19+INDEX(Symboles!$H$6:$H$101,MOD(47+$C19+(0),$B$3)+1)*I19+INDEX(Symboles!$H$6:$H$101,MOD(47+$C19+(1),$B$3)+1)*J19+INDEX(Symboles!$H$6:$H$101,MOD(47+$C19+(2),$B$3)+1)*K19+INDEX(Symboles!$H$6:$H$101,MOD(47+$C19+(3),$B$3)+1)*L19+INDEX(Symboles!$H$6:$H$101,MOD(47+$C19+(4),$B$3)+1)*M19+IF($B$6=0,0,$B$6*NORMSINV(0.000001+0.999998*RAND())))</f>
        <v/>
      </c>
      <c r="FE19" s="30">
        <f>IF(49&gt;$B$3,99,INDEX(Symboles!$H$6:$H$101,MOD(48+$C19+(-4),$B$3)+1)*E19+INDEX(Symboles!$H$6:$H$101,MOD(48+$C19+(-3),$B$3)+1)*F19+INDEX(Symboles!$H$6:$H$101,MOD(48+$C19+(-2),$B$3)+1)*G19+INDEX(Symboles!$H$6:$H$101,MOD(48+$C19+(-1),$B$3)+1)*H19+INDEX(Symboles!$H$6:$H$101,MOD(48+$C19+(0),$B$3)+1)*I19+INDEX(Symboles!$H$6:$H$101,MOD(48+$C19+(1),$B$3)+1)*J19+INDEX(Symboles!$H$6:$H$101,MOD(48+$C19+(2),$B$3)+1)*K19+INDEX(Symboles!$H$6:$H$101,MOD(48+$C19+(3),$B$3)+1)*L19+INDEX(Symboles!$H$6:$H$101,MOD(48+$C19+(4),$B$3)+1)*M19+IF($B$6=0,0,$B$6*NORMSINV(0.000001+0.999998*RAND())))</f>
        <v/>
      </c>
      <c r="FF19" s="30">
        <f>IF(50&gt;$B$3,99,INDEX(Symboles!$H$6:$H$101,MOD(49+$C19+(-4),$B$3)+1)*E19+INDEX(Symboles!$H$6:$H$101,MOD(49+$C19+(-3),$B$3)+1)*F19+INDEX(Symboles!$H$6:$H$101,MOD(49+$C19+(-2),$B$3)+1)*G19+INDEX(Symboles!$H$6:$H$101,MOD(49+$C19+(-1),$B$3)+1)*H19+INDEX(Symboles!$H$6:$H$101,MOD(49+$C19+(0),$B$3)+1)*I19+INDEX(Symboles!$H$6:$H$101,MOD(49+$C19+(1),$B$3)+1)*J19+INDEX(Symboles!$H$6:$H$101,MOD(49+$C19+(2),$B$3)+1)*K19+INDEX(Symboles!$H$6:$H$101,MOD(49+$C19+(3),$B$3)+1)*L19+INDEX(Symboles!$H$6:$H$101,MOD(49+$C19+(4),$B$3)+1)*M19+IF($B$6=0,0,$B$6*NORMSINV(0.000001+0.999998*RAND())))</f>
        <v/>
      </c>
      <c r="FG19" s="30">
        <f>IF(51&gt;$B$3,99,INDEX(Symboles!$H$6:$H$101,MOD(50+$C19+(-4),$B$3)+1)*E19+INDEX(Symboles!$H$6:$H$101,MOD(50+$C19+(-3),$B$3)+1)*F19+INDEX(Symboles!$H$6:$H$101,MOD(50+$C19+(-2),$B$3)+1)*G19+INDEX(Symboles!$H$6:$H$101,MOD(50+$C19+(-1),$B$3)+1)*H19+INDEX(Symboles!$H$6:$H$101,MOD(50+$C19+(0),$B$3)+1)*I19+INDEX(Symboles!$H$6:$H$101,MOD(50+$C19+(1),$B$3)+1)*J19+INDEX(Symboles!$H$6:$H$101,MOD(50+$C19+(2),$B$3)+1)*K19+INDEX(Symboles!$H$6:$H$101,MOD(50+$C19+(3),$B$3)+1)*L19+INDEX(Symboles!$H$6:$H$101,MOD(50+$C19+(4),$B$3)+1)*M19+IF($B$6=0,0,$B$6*NORMSINV(0.000001+0.999998*RAND())))</f>
        <v/>
      </c>
      <c r="FH19" s="30">
        <f>IF(52&gt;$B$3,99,INDEX(Symboles!$H$6:$H$101,MOD(51+$C19+(-4),$B$3)+1)*E19+INDEX(Symboles!$H$6:$H$101,MOD(51+$C19+(-3),$B$3)+1)*F19+INDEX(Symboles!$H$6:$H$101,MOD(51+$C19+(-2),$B$3)+1)*G19+INDEX(Symboles!$H$6:$H$101,MOD(51+$C19+(-1),$B$3)+1)*H19+INDEX(Symboles!$H$6:$H$101,MOD(51+$C19+(0),$B$3)+1)*I19+INDEX(Symboles!$H$6:$H$101,MOD(51+$C19+(1),$B$3)+1)*J19+INDEX(Symboles!$H$6:$H$101,MOD(51+$C19+(2),$B$3)+1)*K19+INDEX(Symboles!$H$6:$H$101,MOD(51+$C19+(3),$B$3)+1)*L19+INDEX(Symboles!$H$6:$H$101,MOD(51+$C19+(4),$B$3)+1)*M19+IF($B$6=0,0,$B$6*NORMSINV(0.000001+0.999998*RAND())))</f>
        <v/>
      </c>
      <c r="FI19" s="30">
        <f>IF(53&gt;$B$3,99,INDEX(Symboles!$H$6:$H$101,MOD(52+$C19+(-4),$B$3)+1)*E19+INDEX(Symboles!$H$6:$H$101,MOD(52+$C19+(-3),$B$3)+1)*F19+INDEX(Symboles!$H$6:$H$101,MOD(52+$C19+(-2),$B$3)+1)*G19+INDEX(Symboles!$H$6:$H$101,MOD(52+$C19+(-1),$B$3)+1)*H19+INDEX(Symboles!$H$6:$H$101,MOD(52+$C19+(0),$B$3)+1)*I19+INDEX(Symboles!$H$6:$H$101,MOD(52+$C19+(1),$B$3)+1)*J19+INDEX(Symboles!$H$6:$H$101,MOD(52+$C19+(2),$B$3)+1)*K19+INDEX(Symboles!$H$6:$H$101,MOD(52+$C19+(3),$B$3)+1)*L19+INDEX(Symboles!$H$6:$H$101,MOD(52+$C19+(4),$B$3)+1)*M19+IF($B$6=0,0,$B$6*NORMSINV(0.000001+0.999998*RAND())))</f>
        <v/>
      </c>
      <c r="FJ19" s="30">
        <f>IF(54&gt;$B$3,99,INDEX(Symboles!$H$6:$H$101,MOD(53+$C19+(-4),$B$3)+1)*E19+INDEX(Symboles!$H$6:$H$101,MOD(53+$C19+(-3),$B$3)+1)*F19+INDEX(Symboles!$H$6:$H$101,MOD(53+$C19+(-2),$B$3)+1)*G19+INDEX(Symboles!$H$6:$H$101,MOD(53+$C19+(-1),$B$3)+1)*H19+INDEX(Symboles!$H$6:$H$101,MOD(53+$C19+(0),$B$3)+1)*I19+INDEX(Symboles!$H$6:$H$101,MOD(53+$C19+(1),$B$3)+1)*J19+INDEX(Symboles!$H$6:$H$101,MOD(53+$C19+(2),$B$3)+1)*K19+INDEX(Symboles!$H$6:$H$101,MOD(53+$C19+(3),$B$3)+1)*L19+INDEX(Symboles!$H$6:$H$101,MOD(53+$C19+(4),$B$3)+1)*M19+IF($B$6=0,0,$B$6*NORMSINV(0.000001+0.999998*RAND())))</f>
        <v/>
      </c>
      <c r="FK19" s="30">
        <f>IF(55&gt;$B$3,99,INDEX(Symboles!$H$6:$H$101,MOD(54+$C19+(-4),$B$3)+1)*E19+INDEX(Symboles!$H$6:$H$101,MOD(54+$C19+(-3),$B$3)+1)*F19+INDEX(Symboles!$H$6:$H$101,MOD(54+$C19+(-2),$B$3)+1)*G19+INDEX(Symboles!$H$6:$H$101,MOD(54+$C19+(-1),$B$3)+1)*H19+INDEX(Symboles!$H$6:$H$101,MOD(54+$C19+(0),$B$3)+1)*I19+INDEX(Symboles!$H$6:$H$101,MOD(54+$C19+(1),$B$3)+1)*J19+INDEX(Symboles!$H$6:$H$101,MOD(54+$C19+(2),$B$3)+1)*K19+INDEX(Symboles!$H$6:$H$101,MOD(54+$C19+(3),$B$3)+1)*L19+INDEX(Symboles!$H$6:$H$101,MOD(54+$C19+(4),$B$3)+1)*M19+IF($B$6=0,0,$B$6*NORMSINV(0.000001+0.999998*RAND())))</f>
        <v/>
      </c>
      <c r="FL19" s="30">
        <f>IF(56&gt;$B$3,99,INDEX(Symboles!$H$6:$H$101,MOD(55+$C19+(-4),$B$3)+1)*E19+INDEX(Symboles!$H$6:$H$101,MOD(55+$C19+(-3),$B$3)+1)*F19+INDEX(Symboles!$H$6:$H$101,MOD(55+$C19+(-2),$B$3)+1)*G19+INDEX(Symboles!$H$6:$H$101,MOD(55+$C19+(-1),$B$3)+1)*H19+INDEX(Symboles!$H$6:$H$101,MOD(55+$C19+(0),$B$3)+1)*I19+INDEX(Symboles!$H$6:$H$101,MOD(55+$C19+(1),$B$3)+1)*J19+INDEX(Symboles!$H$6:$H$101,MOD(55+$C19+(2),$B$3)+1)*K19+INDEX(Symboles!$H$6:$H$101,MOD(55+$C19+(3),$B$3)+1)*L19+INDEX(Symboles!$H$6:$H$101,MOD(55+$C19+(4),$B$3)+1)*M19+IF($B$6=0,0,$B$6*NORMSINV(0.000001+0.999998*RAND())))</f>
        <v/>
      </c>
      <c r="FM19" s="30">
        <f>IF(57&gt;$B$3,99,INDEX(Symboles!$H$6:$H$101,MOD(56+$C19+(-4),$B$3)+1)*E19+INDEX(Symboles!$H$6:$H$101,MOD(56+$C19+(-3),$B$3)+1)*F19+INDEX(Symboles!$H$6:$H$101,MOD(56+$C19+(-2),$B$3)+1)*G19+INDEX(Symboles!$H$6:$H$101,MOD(56+$C19+(-1),$B$3)+1)*H19+INDEX(Symboles!$H$6:$H$101,MOD(56+$C19+(0),$B$3)+1)*I19+INDEX(Symboles!$H$6:$H$101,MOD(56+$C19+(1),$B$3)+1)*J19+INDEX(Symboles!$H$6:$H$101,MOD(56+$C19+(2),$B$3)+1)*K19+INDEX(Symboles!$H$6:$H$101,MOD(56+$C19+(3),$B$3)+1)*L19+INDEX(Symboles!$H$6:$H$101,MOD(56+$C19+(4),$B$3)+1)*M19+IF($B$6=0,0,$B$6*NORMSINV(0.000001+0.999998*RAND())))</f>
        <v/>
      </c>
      <c r="FN19" s="30">
        <f>IF(58&gt;$B$3,99,INDEX(Symboles!$H$6:$H$101,MOD(57+$C19+(-4),$B$3)+1)*E19+INDEX(Symboles!$H$6:$H$101,MOD(57+$C19+(-3),$B$3)+1)*F19+INDEX(Symboles!$H$6:$H$101,MOD(57+$C19+(-2),$B$3)+1)*G19+INDEX(Symboles!$H$6:$H$101,MOD(57+$C19+(-1),$B$3)+1)*H19+INDEX(Symboles!$H$6:$H$101,MOD(57+$C19+(0),$B$3)+1)*I19+INDEX(Symboles!$H$6:$H$101,MOD(57+$C19+(1),$B$3)+1)*J19+INDEX(Symboles!$H$6:$H$101,MOD(57+$C19+(2),$B$3)+1)*K19+INDEX(Symboles!$H$6:$H$101,MOD(57+$C19+(3),$B$3)+1)*L19+INDEX(Symboles!$H$6:$H$101,MOD(57+$C19+(4),$B$3)+1)*M19+IF($B$6=0,0,$B$6*NORMSINV(0.000001+0.999998*RAND())))</f>
        <v/>
      </c>
      <c r="FO19" s="30">
        <f>IF(59&gt;$B$3,99,INDEX(Symboles!$H$6:$H$101,MOD(58+$C19+(-4),$B$3)+1)*E19+INDEX(Symboles!$H$6:$H$101,MOD(58+$C19+(-3),$B$3)+1)*F19+INDEX(Symboles!$H$6:$H$101,MOD(58+$C19+(-2),$B$3)+1)*G19+INDEX(Symboles!$H$6:$H$101,MOD(58+$C19+(-1),$B$3)+1)*H19+INDEX(Symboles!$H$6:$H$101,MOD(58+$C19+(0),$B$3)+1)*I19+INDEX(Symboles!$H$6:$H$101,MOD(58+$C19+(1),$B$3)+1)*J19+INDEX(Symboles!$H$6:$H$101,MOD(58+$C19+(2),$B$3)+1)*K19+INDEX(Symboles!$H$6:$H$101,MOD(58+$C19+(3),$B$3)+1)*L19+INDEX(Symboles!$H$6:$H$101,MOD(58+$C19+(4),$B$3)+1)*M19+IF($B$6=0,0,$B$6*NORMSINV(0.000001+0.999998*RAND())))</f>
        <v/>
      </c>
      <c r="FP19" s="30">
        <f>IF(60&gt;$B$3,99,INDEX(Symboles!$H$6:$H$101,MOD(59+$C19+(-4),$B$3)+1)*E19+INDEX(Symboles!$H$6:$H$101,MOD(59+$C19+(-3),$B$3)+1)*F19+INDEX(Symboles!$H$6:$H$101,MOD(59+$C19+(-2),$B$3)+1)*G19+INDEX(Symboles!$H$6:$H$101,MOD(59+$C19+(-1),$B$3)+1)*H19+INDEX(Symboles!$H$6:$H$101,MOD(59+$C19+(0),$B$3)+1)*I19+INDEX(Symboles!$H$6:$H$101,MOD(59+$C19+(1),$B$3)+1)*J19+INDEX(Symboles!$H$6:$H$101,MOD(59+$C19+(2),$B$3)+1)*K19+INDEX(Symboles!$H$6:$H$101,MOD(59+$C19+(3),$B$3)+1)*L19+INDEX(Symboles!$H$6:$H$101,MOD(59+$C19+(4),$B$3)+1)*M19+IF($B$6=0,0,$B$6*NORMSINV(0.000001+0.999998*RAND())))</f>
        <v/>
      </c>
      <c r="FQ19" s="30">
        <f>IF(61&gt;$B$3,99,INDEX(Symboles!$H$6:$H$101,MOD(60+$C19+(-4),$B$3)+1)*E19+INDEX(Symboles!$H$6:$H$101,MOD(60+$C19+(-3),$B$3)+1)*F19+INDEX(Symboles!$H$6:$H$101,MOD(60+$C19+(-2),$B$3)+1)*G19+INDEX(Symboles!$H$6:$H$101,MOD(60+$C19+(-1),$B$3)+1)*H19+INDEX(Symboles!$H$6:$H$101,MOD(60+$C19+(0),$B$3)+1)*I19+INDEX(Symboles!$H$6:$H$101,MOD(60+$C19+(1),$B$3)+1)*J19+INDEX(Symboles!$H$6:$H$101,MOD(60+$C19+(2),$B$3)+1)*K19+INDEX(Symboles!$H$6:$H$101,MOD(60+$C19+(3),$B$3)+1)*L19+INDEX(Symboles!$H$6:$H$101,MOD(60+$C19+(4),$B$3)+1)*M19+IF($B$6=0,0,$B$6*NORMSINV(0.000001+0.999998*RAND())))</f>
        <v/>
      </c>
      <c r="FR19" s="30">
        <f>IF(62&gt;$B$3,99,INDEX(Symboles!$H$6:$H$101,MOD(61+$C19+(-4),$B$3)+1)*E19+INDEX(Symboles!$H$6:$H$101,MOD(61+$C19+(-3),$B$3)+1)*F19+INDEX(Symboles!$H$6:$H$101,MOD(61+$C19+(-2),$B$3)+1)*G19+INDEX(Symboles!$H$6:$H$101,MOD(61+$C19+(-1),$B$3)+1)*H19+INDEX(Symboles!$H$6:$H$101,MOD(61+$C19+(0),$B$3)+1)*I19+INDEX(Symboles!$H$6:$H$101,MOD(61+$C19+(1),$B$3)+1)*J19+INDEX(Symboles!$H$6:$H$101,MOD(61+$C19+(2),$B$3)+1)*K19+INDEX(Symboles!$H$6:$H$101,MOD(61+$C19+(3),$B$3)+1)*L19+INDEX(Symboles!$H$6:$H$101,MOD(61+$C19+(4),$B$3)+1)*M19+IF($B$6=0,0,$B$6*NORMSINV(0.000001+0.999998*RAND())))</f>
        <v/>
      </c>
      <c r="FS19" s="30">
        <f>IF(63&gt;$B$3,99,INDEX(Symboles!$H$6:$H$101,MOD(62+$C19+(-4),$B$3)+1)*E19+INDEX(Symboles!$H$6:$H$101,MOD(62+$C19+(-3),$B$3)+1)*F19+INDEX(Symboles!$H$6:$H$101,MOD(62+$C19+(-2),$B$3)+1)*G19+INDEX(Symboles!$H$6:$H$101,MOD(62+$C19+(-1),$B$3)+1)*H19+INDEX(Symboles!$H$6:$H$101,MOD(62+$C19+(0),$B$3)+1)*I19+INDEX(Symboles!$H$6:$H$101,MOD(62+$C19+(1),$B$3)+1)*J19+INDEX(Symboles!$H$6:$H$101,MOD(62+$C19+(2),$B$3)+1)*K19+INDEX(Symboles!$H$6:$H$101,MOD(62+$C19+(3),$B$3)+1)*L19+INDEX(Symboles!$H$6:$H$101,MOD(62+$C19+(4),$B$3)+1)*M19+IF($B$6=0,0,$B$6*NORMSINV(0.000001+0.999998*RAND())))</f>
        <v/>
      </c>
      <c r="FT19" s="30">
        <f>IF(64&gt;$B$3,99,INDEX(Symboles!$H$6:$H$101,MOD(63+$C19+(-4),$B$3)+1)*E19+INDEX(Symboles!$H$6:$H$101,MOD(63+$C19+(-3),$B$3)+1)*F19+INDEX(Symboles!$H$6:$H$101,MOD(63+$C19+(-2),$B$3)+1)*G19+INDEX(Symboles!$H$6:$H$101,MOD(63+$C19+(-1),$B$3)+1)*H19+INDEX(Symboles!$H$6:$H$101,MOD(63+$C19+(0),$B$3)+1)*I19+INDEX(Symboles!$H$6:$H$101,MOD(63+$C19+(1),$B$3)+1)*J19+INDEX(Symboles!$H$6:$H$101,MOD(63+$C19+(2),$B$3)+1)*K19+INDEX(Symboles!$H$6:$H$101,MOD(63+$C19+(3),$B$3)+1)*L19+INDEX(Symboles!$H$6:$H$101,MOD(63+$C19+(4),$B$3)+1)*M19+IF($B$6=0,0,$B$6*NORMSINV(0.000001+0.999998*RAND())))</f>
        <v/>
      </c>
      <c r="FU19" s="30">
        <f>IF(65&gt;$B$3,99,INDEX(Symboles!$H$6:$H$101,MOD(64+$C19+(-4),$B$3)+1)*E19+INDEX(Symboles!$H$6:$H$101,MOD(64+$C19+(-3),$B$3)+1)*F19+INDEX(Symboles!$H$6:$H$101,MOD(64+$C19+(-2),$B$3)+1)*G19+INDEX(Symboles!$H$6:$H$101,MOD(64+$C19+(-1),$B$3)+1)*H19+INDEX(Symboles!$H$6:$H$101,MOD(64+$C19+(0),$B$3)+1)*I19+INDEX(Symboles!$H$6:$H$101,MOD(64+$C19+(1),$B$3)+1)*J19+INDEX(Symboles!$H$6:$H$101,MOD(64+$C19+(2),$B$3)+1)*K19+INDEX(Symboles!$H$6:$H$101,MOD(64+$C19+(3),$B$3)+1)*L19+INDEX(Symboles!$H$6:$H$101,MOD(64+$C19+(4),$B$3)+1)*M19+IF($B$6=0,0,$B$6*NORMSINV(0.000001+0.999998*RAND())))</f>
        <v/>
      </c>
      <c r="FV19" s="30">
        <f>IF(66&gt;$B$3,99,INDEX(Symboles!$H$6:$H$101,MOD(65+$C19+(-4),$B$3)+1)*E19+INDEX(Symboles!$H$6:$H$101,MOD(65+$C19+(-3),$B$3)+1)*F19+INDEX(Symboles!$H$6:$H$101,MOD(65+$C19+(-2),$B$3)+1)*G19+INDEX(Symboles!$H$6:$H$101,MOD(65+$C19+(-1),$B$3)+1)*H19+INDEX(Symboles!$H$6:$H$101,MOD(65+$C19+(0),$B$3)+1)*I19+INDEX(Symboles!$H$6:$H$101,MOD(65+$C19+(1),$B$3)+1)*J19+INDEX(Symboles!$H$6:$H$101,MOD(65+$C19+(2),$B$3)+1)*K19+INDEX(Symboles!$H$6:$H$101,MOD(65+$C19+(3),$B$3)+1)*L19+INDEX(Symboles!$H$6:$H$101,MOD(65+$C19+(4),$B$3)+1)*M19+IF($B$6=0,0,$B$6*NORMSINV(0.000001+0.999998*RAND())))</f>
        <v/>
      </c>
      <c r="FW19" s="30">
        <f>IF(67&gt;$B$3,99,INDEX(Symboles!$H$6:$H$101,MOD(66+$C19+(-4),$B$3)+1)*E19+INDEX(Symboles!$H$6:$H$101,MOD(66+$C19+(-3),$B$3)+1)*F19+INDEX(Symboles!$H$6:$H$101,MOD(66+$C19+(-2),$B$3)+1)*G19+INDEX(Symboles!$H$6:$H$101,MOD(66+$C19+(-1),$B$3)+1)*H19+INDEX(Symboles!$H$6:$H$101,MOD(66+$C19+(0),$B$3)+1)*I19+INDEX(Symboles!$H$6:$H$101,MOD(66+$C19+(1),$B$3)+1)*J19+INDEX(Symboles!$H$6:$H$101,MOD(66+$C19+(2),$B$3)+1)*K19+INDEX(Symboles!$H$6:$H$101,MOD(66+$C19+(3),$B$3)+1)*L19+INDEX(Symboles!$H$6:$H$101,MOD(66+$C19+(4),$B$3)+1)*M19+IF($B$6=0,0,$B$6*NORMSINV(0.000001+0.999998*RAND())))</f>
        <v/>
      </c>
      <c r="FX19" s="30">
        <f>IF(68&gt;$B$3,99,INDEX(Symboles!$H$6:$H$101,MOD(67+$C19+(-4),$B$3)+1)*E19+INDEX(Symboles!$H$6:$H$101,MOD(67+$C19+(-3),$B$3)+1)*F19+INDEX(Symboles!$H$6:$H$101,MOD(67+$C19+(-2),$B$3)+1)*G19+INDEX(Symboles!$H$6:$H$101,MOD(67+$C19+(-1),$B$3)+1)*H19+INDEX(Symboles!$H$6:$H$101,MOD(67+$C19+(0),$B$3)+1)*I19+INDEX(Symboles!$H$6:$H$101,MOD(67+$C19+(1),$B$3)+1)*J19+INDEX(Symboles!$H$6:$H$101,MOD(67+$C19+(2),$B$3)+1)*K19+INDEX(Symboles!$H$6:$H$101,MOD(67+$C19+(3),$B$3)+1)*L19+INDEX(Symboles!$H$6:$H$101,MOD(67+$C19+(4),$B$3)+1)*M19+IF($B$6=0,0,$B$6*NORMSINV(0.000001+0.999998*RAND())))</f>
        <v/>
      </c>
      <c r="FY19" s="30">
        <f>IF(69&gt;$B$3,99,INDEX(Symboles!$H$6:$H$101,MOD(68+$C19+(-4),$B$3)+1)*E19+INDEX(Symboles!$H$6:$H$101,MOD(68+$C19+(-3),$B$3)+1)*F19+INDEX(Symboles!$H$6:$H$101,MOD(68+$C19+(-2),$B$3)+1)*G19+INDEX(Symboles!$H$6:$H$101,MOD(68+$C19+(-1),$B$3)+1)*H19+INDEX(Symboles!$H$6:$H$101,MOD(68+$C19+(0),$B$3)+1)*I19+INDEX(Symboles!$H$6:$H$101,MOD(68+$C19+(1),$B$3)+1)*J19+INDEX(Symboles!$H$6:$H$101,MOD(68+$C19+(2),$B$3)+1)*K19+INDEX(Symboles!$H$6:$H$101,MOD(68+$C19+(3),$B$3)+1)*L19+INDEX(Symboles!$H$6:$H$101,MOD(68+$C19+(4),$B$3)+1)*M19+IF($B$6=0,0,$B$6*NORMSINV(0.000001+0.999998*RAND())))</f>
        <v/>
      </c>
      <c r="FZ19" s="30">
        <f>IF(70&gt;$B$3,99,INDEX(Symboles!$H$6:$H$101,MOD(69+$C19+(-4),$B$3)+1)*E19+INDEX(Symboles!$H$6:$H$101,MOD(69+$C19+(-3),$B$3)+1)*F19+INDEX(Symboles!$H$6:$H$101,MOD(69+$C19+(-2),$B$3)+1)*G19+INDEX(Symboles!$H$6:$H$101,MOD(69+$C19+(-1),$B$3)+1)*H19+INDEX(Symboles!$H$6:$H$101,MOD(69+$C19+(0),$B$3)+1)*I19+INDEX(Symboles!$H$6:$H$101,MOD(69+$C19+(1),$B$3)+1)*J19+INDEX(Symboles!$H$6:$H$101,MOD(69+$C19+(2),$B$3)+1)*K19+INDEX(Symboles!$H$6:$H$101,MOD(69+$C19+(3),$B$3)+1)*L19+INDEX(Symboles!$H$6:$H$101,MOD(69+$C19+(4),$B$3)+1)*M19+IF($B$6=0,0,$B$6*NORMSINV(0.000001+0.999998*RAND())))</f>
        <v/>
      </c>
      <c r="GA19" s="30">
        <f>IF(71&gt;$B$3,99,INDEX(Symboles!$H$6:$H$101,MOD(70+$C19+(-4),$B$3)+1)*E19+INDEX(Symboles!$H$6:$H$101,MOD(70+$C19+(-3),$B$3)+1)*F19+INDEX(Symboles!$H$6:$H$101,MOD(70+$C19+(-2),$B$3)+1)*G19+INDEX(Symboles!$H$6:$H$101,MOD(70+$C19+(-1),$B$3)+1)*H19+INDEX(Symboles!$H$6:$H$101,MOD(70+$C19+(0),$B$3)+1)*I19+INDEX(Symboles!$H$6:$H$101,MOD(70+$C19+(1),$B$3)+1)*J19+INDEX(Symboles!$H$6:$H$101,MOD(70+$C19+(2),$B$3)+1)*K19+INDEX(Symboles!$H$6:$H$101,MOD(70+$C19+(3),$B$3)+1)*L19+INDEX(Symboles!$H$6:$H$101,MOD(70+$C19+(4),$B$3)+1)*M19+IF($B$6=0,0,$B$6*NORMSINV(0.000001+0.999998*RAND())))</f>
        <v/>
      </c>
      <c r="GB19" s="30">
        <f>IF(72&gt;$B$3,99,INDEX(Symboles!$H$6:$H$101,MOD(71+$C19+(-4),$B$3)+1)*E19+INDEX(Symboles!$H$6:$H$101,MOD(71+$C19+(-3),$B$3)+1)*F19+INDEX(Symboles!$H$6:$H$101,MOD(71+$C19+(-2),$B$3)+1)*G19+INDEX(Symboles!$H$6:$H$101,MOD(71+$C19+(-1),$B$3)+1)*H19+INDEX(Symboles!$H$6:$H$101,MOD(71+$C19+(0),$B$3)+1)*I19+INDEX(Symboles!$H$6:$H$101,MOD(71+$C19+(1),$B$3)+1)*J19+INDEX(Symboles!$H$6:$H$101,MOD(71+$C19+(2),$B$3)+1)*K19+INDEX(Symboles!$H$6:$H$101,MOD(71+$C19+(3),$B$3)+1)*L19+INDEX(Symboles!$H$6:$H$101,MOD(71+$C19+(4),$B$3)+1)*M19+IF($B$6=0,0,$B$6*NORMSINV(0.000001+0.999998*RAND())))</f>
        <v/>
      </c>
      <c r="GC19" s="30">
        <f>IF(73&gt;$B$3,99,INDEX(Symboles!$H$6:$H$101,MOD(72+$C19+(-4),$B$3)+1)*E19+INDEX(Symboles!$H$6:$H$101,MOD(72+$C19+(-3),$B$3)+1)*F19+INDEX(Symboles!$H$6:$H$101,MOD(72+$C19+(-2),$B$3)+1)*G19+INDEX(Symboles!$H$6:$H$101,MOD(72+$C19+(-1),$B$3)+1)*H19+INDEX(Symboles!$H$6:$H$101,MOD(72+$C19+(0),$B$3)+1)*I19+INDEX(Symboles!$H$6:$H$101,MOD(72+$C19+(1),$B$3)+1)*J19+INDEX(Symboles!$H$6:$H$101,MOD(72+$C19+(2),$B$3)+1)*K19+INDEX(Symboles!$H$6:$H$101,MOD(72+$C19+(3),$B$3)+1)*L19+INDEX(Symboles!$H$6:$H$101,MOD(72+$C19+(4),$B$3)+1)*M19+IF($B$6=0,0,$B$6*NORMSINV(0.000001+0.999998*RAND())))</f>
        <v/>
      </c>
      <c r="GD19" s="30">
        <f>IF(74&gt;$B$3,99,INDEX(Symboles!$H$6:$H$101,MOD(73+$C19+(-4),$B$3)+1)*E19+INDEX(Symboles!$H$6:$H$101,MOD(73+$C19+(-3),$B$3)+1)*F19+INDEX(Symboles!$H$6:$H$101,MOD(73+$C19+(-2),$B$3)+1)*G19+INDEX(Symboles!$H$6:$H$101,MOD(73+$C19+(-1),$B$3)+1)*H19+INDEX(Symboles!$H$6:$H$101,MOD(73+$C19+(0),$B$3)+1)*I19+INDEX(Symboles!$H$6:$H$101,MOD(73+$C19+(1),$B$3)+1)*J19+INDEX(Symboles!$H$6:$H$101,MOD(73+$C19+(2),$B$3)+1)*K19+INDEX(Symboles!$H$6:$H$101,MOD(73+$C19+(3),$B$3)+1)*L19+INDEX(Symboles!$H$6:$H$101,MOD(73+$C19+(4),$B$3)+1)*M19+IF($B$6=0,0,$B$6*NORMSINV(0.000001+0.999998*RAND())))</f>
        <v/>
      </c>
      <c r="GE19" s="30">
        <f>IF(75&gt;$B$3,99,INDEX(Symboles!$H$6:$H$101,MOD(74+$C19+(-4),$B$3)+1)*E19+INDEX(Symboles!$H$6:$H$101,MOD(74+$C19+(-3),$B$3)+1)*F19+INDEX(Symboles!$H$6:$H$101,MOD(74+$C19+(-2),$B$3)+1)*G19+INDEX(Symboles!$H$6:$H$101,MOD(74+$C19+(-1),$B$3)+1)*H19+INDEX(Symboles!$H$6:$H$101,MOD(74+$C19+(0),$B$3)+1)*I19+INDEX(Symboles!$H$6:$H$101,MOD(74+$C19+(1),$B$3)+1)*J19+INDEX(Symboles!$H$6:$H$101,MOD(74+$C19+(2),$B$3)+1)*K19+INDEX(Symboles!$H$6:$H$101,MOD(74+$C19+(3),$B$3)+1)*L19+INDEX(Symboles!$H$6:$H$101,MOD(74+$C19+(4),$B$3)+1)*M19+IF($B$6=0,0,$B$6*NORMSINV(0.000001+0.999998*RAND())))</f>
        <v/>
      </c>
      <c r="GF19" s="30">
        <f>IF(76&gt;$B$3,99,INDEX(Symboles!$H$6:$H$101,MOD(75+$C19+(-4),$B$3)+1)*E19+INDEX(Symboles!$H$6:$H$101,MOD(75+$C19+(-3),$B$3)+1)*F19+INDEX(Symboles!$H$6:$H$101,MOD(75+$C19+(-2),$B$3)+1)*G19+INDEX(Symboles!$H$6:$H$101,MOD(75+$C19+(-1),$B$3)+1)*H19+INDEX(Symboles!$H$6:$H$101,MOD(75+$C19+(0),$B$3)+1)*I19+INDEX(Symboles!$H$6:$H$101,MOD(75+$C19+(1),$B$3)+1)*J19+INDEX(Symboles!$H$6:$H$101,MOD(75+$C19+(2),$B$3)+1)*K19+INDEX(Symboles!$H$6:$H$101,MOD(75+$C19+(3),$B$3)+1)*L19+INDEX(Symboles!$H$6:$H$101,MOD(75+$C19+(4),$B$3)+1)*M19+IF($B$6=0,0,$B$6*NORMSINV(0.000001+0.999998*RAND())))</f>
        <v/>
      </c>
      <c r="GG19" s="30">
        <f>IF(77&gt;$B$3,99,INDEX(Symboles!$H$6:$H$101,MOD(76+$C19+(-4),$B$3)+1)*E19+INDEX(Symboles!$H$6:$H$101,MOD(76+$C19+(-3),$B$3)+1)*F19+INDEX(Symboles!$H$6:$H$101,MOD(76+$C19+(-2),$B$3)+1)*G19+INDEX(Symboles!$H$6:$H$101,MOD(76+$C19+(-1),$B$3)+1)*H19+INDEX(Symboles!$H$6:$H$101,MOD(76+$C19+(0),$B$3)+1)*I19+INDEX(Symboles!$H$6:$H$101,MOD(76+$C19+(1),$B$3)+1)*J19+INDEX(Symboles!$H$6:$H$101,MOD(76+$C19+(2),$B$3)+1)*K19+INDEX(Symboles!$H$6:$H$101,MOD(76+$C19+(3),$B$3)+1)*L19+INDEX(Symboles!$H$6:$H$101,MOD(76+$C19+(4),$B$3)+1)*M19+IF($B$6=0,0,$B$6*NORMSINV(0.000001+0.999998*RAND())))</f>
        <v/>
      </c>
      <c r="GH19" s="30">
        <f>IF(78&gt;$B$3,99,INDEX(Symboles!$H$6:$H$101,MOD(77+$C19+(-4),$B$3)+1)*E19+INDEX(Symboles!$H$6:$H$101,MOD(77+$C19+(-3),$B$3)+1)*F19+INDEX(Symboles!$H$6:$H$101,MOD(77+$C19+(-2),$B$3)+1)*G19+INDEX(Symboles!$H$6:$H$101,MOD(77+$C19+(-1),$B$3)+1)*H19+INDEX(Symboles!$H$6:$H$101,MOD(77+$C19+(0),$B$3)+1)*I19+INDEX(Symboles!$H$6:$H$101,MOD(77+$C19+(1),$B$3)+1)*J19+INDEX(Symboles!$H$6:$H$101,MOD(77+$C19+(2),$B$3)+1)*K19+INDEX(Symboles!$H$6:$H$101,MOD(77+$C19+(3),$B$3)+1)*L19+INDEX(Symboles!$H$6:$H$101,MOD(77+$C19+(4),$B$3)+1)*M19+IF($B$6=0,0,$B$6*NORMSINV(0.000001+0.999998*RAND())))</f>
        <v/>
      </c>
      <c r="GI19" s="30">
        <f>IF(79&gt;$B$3,99,INDEX(Symboles!$H$6:$H$101,MOD(78+$C19+(-4),$B$3)+1)*E19+INDEX(Symboles!$H$6:$H$101,MOD(78+$C19+(-3),$B$3)+1)*F19+INDEX(Symboles!$H$6:$H$101,MOD(78+$C19+(-2),$B$3)+1)*G19+INDEX(Symboles!$H$6:$H$101,MOD(78+$C19+(-1),$B$3)+1)*H19+INDEX(Symboles!$H$6:$H$101,MOD(78+$C19+(0),$B$3)+1)*I19+INDEX(Symboles!$H$6:$H$101,MOD(78+$C19+(1),$B$3)+1)*J19+INDEX(Symboles!$H$6:$H$101,MOD(78+$C19+(2),$B$3)+1)*K19+INDEX(Symboles!$H$6:$H$101,MOD(78+$C19+(3),$B$3)+1)*L19+INDEX(Symboles!$H$6:$H$101,MOD(78+$C19+(4),$B$3)+1)*M19+IF($B$6=0,0,$B$6*NORMSINV(0.000001+0.999998*RAND())))</f>
        <v/>
      </c>
      <c r="GJ19" s="30">
        <f>IF(80&gt;$B$3,99,INDEX(Symboles!$H$6:$H$101,MOD(79+$C19+(-4),$B$3)+1)*E19+INDEX(Symboles!$H$6:$H$101,MOD(79+$C19+(-3),$B$3)+1)*F19+INDEX(Symboles!$H$6:$H$101,MOD(79+$C19+(-2),$B$3)+1)*G19+INDEX(Symboles!$H$6:$H$101,MOD(79+$C19+(-1),$B$3)+1)*H19+INDEX(Symboles!$H$6:$H$101,MOD(79+$C19+(0),$B$3)+1)*I19+INDEX(Symboles!$H$6:$H$101,MOD(79+$C19+(1),$B$3)+1)*J19+INDEX(Symboles!$H$6:$H$101,MOD(79+$C19+(2),$B$3)+1)*K19+INDEX(Symboles!$H$6:$H$101,MOD(79+$C19+(3),$B$3)+1)*L19+INDEX(Symboles!$H$6:$H$101,MOD(79+$C19+(4),$B$3)+1)*M19+IF($B$6=0,0,$B$6*NORMSINV(0.000001+0.999998*RAND())))</f>
        <v/>
      </c>
      <c r="GK19" s="30">
        <f>IF(81&gt;$B$3,99,INDEX(Symboles!$H$6:$H$101,MOD(80+$C19+(-4),$B$3)+1)*E19+INDEX(Symboles!$H$6:$H$101,MOD(80+$C19+(-3),$B$3)+1)*F19+INDEX(Symboles!$H$6:$H$101,MOD(80+$C19+(-2),$B$3)+1)*G19+INDEX(Symboles!$H$6:$H$101,MOD(80+$C19+(-1),$B$3)+1)*H19+INDEX(Symboles!$H$6:$H$101,MOD(80+$C19+(0),$B$3)+1)*I19+INDEX(Symboles!$H$6:$H$101,MOD(80+$C19+(1),$B$3)+1)*J19+INDEX(Symboles!$H$6:$H$101,MOD(80+$C19+(2),$B$3)+1)*K19+INDEX(Symboles!$H$6:$H$101,MOD(80+$C19+(3),$B$3)+1)*L19+INDEX(Symboles!$H$6:$H$101,MOD(80+$C19+(4),$B$3)+1)*M19+IF($B$6=0,0,$B$6*NORMSINV(0.000001+0.999998*RAND())))</f>
        <v/>
      </c>
      <c r="GL19" s="30">
        <f>IF(82&gt;$B$3,99,INDEX(Symboles!$H$6:$H$101,MOD(81+$C19+(-4),$B$3)+1)*E19+INDEX(Symboles!$H$6:$H$101,MOD(81+$C19+(-3),$B$3)+1)*F19+INDEX(Symboles!$H$6:$H$101,MOD(81+$C19+(-2),$B$3)+1)*G19+INDEX(Symboles!$H$6:$H$101,MOD(81+$C19+(-1),$B$3)+1)*H19+INDEX(Symboles!$H$6:$H$101,MOD(81+$C19+(0),$B$3)+1)*I19+INDEX(Symboles!$H$6:$H$101,MOD(81+$C19+(1),$B$3)+1)*J19+INDEX(Symboles!$H$6:$H$101,MOD(81+$C19+(2),$B$3)+1)*K19+INDEX(Symboles!$H$6:$H$101,MOD(81+$C19+(3),$B$3)+1)*L19+INDEX(Symboles!$H$6:$H$101,MOD(81+$C19+(4),$B$3)+1)*M19+IF($B$6=0,0,$B$6*NORMSINV(0.000001+0.999998*RAND())))</f>
        <v/>
      </c>
      <c r="GM19" s="30">
        <f>IF(83&gt;$B$3,99,INDEX(Symboles!$H$6:$H$101,MOD(82+$C19+(-4),$B$3)+1)*E19+INDEX(Symboles!$H$6:$H$101,MOD(82+$C19+(-3),$B$3)+1)*F19+INDEX(Symboles!$H$6:$H$101,MOD(82+$C19+(-2),$B$3)+1)*G19+INDEX(Symboles!$H$6:$H$101,MOD(82+$C19+(-1),$B$3)+1)*H19+INDEX(Symboles!$H$6:$H$101,MOD(82+$C19+(0),$B$3)+1)*I19+INDEX(Symboles!$H$6:$H$101,MOD(82+$C19+(1),$B$3)+1)*J19+INDEX(Symboles!$H$6:$H$101,MOD(82+$C19+(2),$B$3)+1)*K19+INDEX(Symboles!$H$6:$H$101,MOD(82+$C19+(3),$B$3)+1)*L19+INDEX(Symboles!$H$6:$H$101,MOD(82+$C19+(4),$B$3)+1)*M19+IF($B$6=0,0,$B$6*NORMSINV(0.000001+0.999998*RAND())))</f>
        <v/>
      </c>
      <c r="GN19" s="30">
        <f>IF(84&gt;$B$3,99,INDEX(Symboles!$H$6:$H$101,MOD(83+$C19+(-4),$B$3)+1)*E19+INDEX(Symboles!$H$6:$H$101,MOD(83+$C19+(-3),$B$3)+1)*F19+INDEX(Symboles!$H$6:$H$101,MOD(83+$C19+(-2),$B$3)+1)*G19+INDEX(Symboles!$H$6:$H$101,MOD(83+$C19+(-1),$B$3)+1)*H19+INDEX(Symboles!$H$6:$H$101,MOD(83+$C19+(0),$B$3)+1)*I19+INDEX(Symboles!$H$6:$H$101,MOD(83+$C19+(1),$B$3)+1)*J19+INDEX(Symboles!$H$6:$H$101,MOD(83+$C19+(2),$B$3)+1)*K19+INDEX(Symboles!$H$6:$H$101,MOD(83+$C19+(3),$B$3)+1)*L19+INDEX(Symboles!$H$6:$H$101,MOD(83+$C19+(4),$B$3)+1)*M19+IF($B$6=0,0,$B$6*NORMSINV(0.000001+0.999998*RAND())))</f>
        <v/>
      </c>
      <c r="GO19" s="30">
        <f>IF(85&gt;$B$3,99,INDEX(Symboles!$H$6:$H$101,MOD(84+$C19+(-4),$B$3)+1)*E19+INDEX(Symboles!$H$6:$H$101,MOD(84+$C19+(-3),$B$3)+1)*F19+INDEX(Symboles!$H$6:$H$101,MOD(84+$C19+(-2),$B$3)+1)*G19+INDEX(Symboles!$H$6:$H$101,MOD(84+$C19+(-1),$B$3)+1)*H19+INDEX(Symboles!$H$6:$H$101,MOD(84+$C19+(0),$B$3)+1)*I19+INDEX(Symboles!$H$6:$H$101,MOD(84+$C19+(1),$B$3)+1)*J19+INDEX(Symboles!$H$6:$H$101,MOD(84+$C19+(2),$B$3)+1)*K19+INDEX(Symboles!$H$6:$H$101,MOD(84+$C19+(3),$B$3)+1)*L19+INDEX(Symboles!$H$6:$H$101,MOD(84+$C19+(4),$B$3)+1)*M19+IF($B$6=0,0,$B$6*NORMSINV(0.000001+0.999998*RAND())))</f>
        <v/>
      </c>
      <c r="GP19" s="30">
        <f>IF(86&gt;$B$3,99,INDEX(Symboles!$H$6:$H$101,MOD(85+$C19+(-4),$B$3)+1)*E19+INDEX(Symboles!$H$6:$H$101,MOD(85+$C19+(-3),$B$3)+1)*F19+INDEX(Symboles!$H$6:$H$101,MOD(85+$C19+(-2),$B$3)+1)*G19+INDEX(Symboles!$H$6:$H$101,MOD(85+$C19+(-1),$B$3)+1)*H19+INDEX(Symboles!$H$6:$H$101,MOD(85+$C19+(0),$B$3)+1)*I19+INDEX(Symboles!$H$6:$H$101,MOD(85+$C19+(1),$B$3)+1)*J19+INDEX(Symboles!$H$6:$H$101,MOD(85+$C19+(2),$B$3)+1)*K19+INDEX(Symboles!$H$6:$H$101,MOD(85+$C19+(3),$B$3)+1)*L19+INDEX(Symboles!$H$6:$H$101,MOD(85+$C19+(4),$B$3)+1)*M19+IF($B$6=0,0,$B$6*NORMSINV(0.000001+0.999998*RAND())))</f>
        <v/>
      </c>
      <c r="GQ19" s="30">
        <f>IF(87&gt;$B$3,99,INDEX(Symboles!$H$6:$H$101,MOD(86+$C19+(-4),$B$3)+1)*E19+INDEX(Symboles!$H$6:$H$101,MOD(86+$C19+(-3),$B$3)+1)*F19+INDEX(Symboles!$H$6:$H$101,MOD(86+$C19+(-2),$B$3)+1)*G19+INDEX(Symboles!$H$6:$H$101,MOD(86+$C19+(-1),$B$3)+1)*H19+INDEX(Symboles!$H$6:$H$101,MOD(86+$C19+(0),$B$3)+1)*I19+INDEX(Symboles!$H$6:$H$101,MOD(86+$C19+(1),$B$3)+1)*J19+INDEX(Symboles!$H$6:$H$101,MOD(86+$C19+(2),$B$3)+1)*K19+INDEX(Symboles!$H$6:$H$101,MOD(86+$C19+(3),$B$3)+1)*L19+INDEX(Symboles!$H$6:$H$101,MOD(86+$C19+(4),$B$3)+1)*M19+IF($B$6=0,0,$B$6*NORMSINV(0.000001+0.999998*RAND())))</f>
        <v/>
      </c>
      <c r="GR19" s="30">
        <f>IF(88&gt;$B$3,99,INDEX(Symboles!$H$6:$H$101,MOD(87+$C19+(-4),$B$3)+1)*E19+INDEX(Symboles!$H$6:$H$101,MOD(87+$C19+(-3),$B$3)+1)*F19+INDEX(Symboles!$H$6:$H$101,MOD(87+$C19+(-2),$B$3)+1)*G19+INDEX(Symboles!$H$6:$H$101,MOD(87+$C19+(-1),$B$3)+1)*H19+INDEX(Symboles!$H$6:$H$101,MOD(87+$C19+(0),$B$3)+1)*I19+INDEX(Symboles!$H$6:$H$101,MOD(87+$C19+(1),$B$3)+1)*J19+INDEX(Symboles!$H$6:$H$101,MOD(87+$C19+(2),$B$3)+1)*K19+INDEX(Symboles!$H$6:$H$101,MOD(87+$C19+(3),$B$3)+1)*L19+INDEX(Symboles!$H$6:$H$101,MOD(87+$C19+(4),$B$3)+1)*M19+IF($B$6=0,0,$B$6*NORMSINV(0.000001+0.999998*RAND())))</f>
        <v/>
      </c>
      <c r="GS19" s="30">
        <f>IF(89&gt;$B$3,99,INDEX(Symboles!$H$6:$H$101,MOD(88+$C19+(-4),$B$3)+1)*E19+INDEX(Symboles!$H$6:$H$101,MOD(88+$C19+(-3),$B$3)+1)*F19+INDEX(Symboles!$H$6:$H$101,MOD(88+$C19+(-2),$B$3)+1)*G19+INDEX(Symboles!$H$6:$H$101,MOD(88+$C19+(-1),$B$3)+1)*H19+INDEX(Symboles!$H$6:$H$101,MOD(88+$C19+(0),$B$3)+1)*I19+INDEX(Symboles!$H$6:$H$101,MOD(88+$C19+(1),$B$3)+1)*J19+INDEX(Symboles!$H$6:$H$101,MOD(88+$C19+(2),$B$3)+1)*K19+INDEX(Symboles!$H$6:$H$101,MOD(88+$C19+(3),$B$3)+1)*L19+INDEX(Symboles!$H$6:$H$101,MOD(88+$C19+(4),$B$3)+1)*M19+IF($B$6=0,0,$B$6*NORMSINV(0.000001+0.999998*RAND())))</f>
        <v/>
      </c>
      <c r="GT19" s="30">
        <f>IF(90&gt;$B$3,99,INDEX(Symboles!$H$6:$H$101,MOD(89+$C19+(-4),$B$3)+1)*E19+INDEX(Symboles!$H$6:$H$101,MOD(89+$C19+(-3),$B$3)+1)*F19+INDEX(Symboles!$H$6:$H$101,MOD(89+$C19+(-2),$B$3)+1)*G19+INDEX(Symboles!$H$6:$H$101,MOD(89+$C19+(-1),$B$3)+1)*H19+INDEX(Symboles!$H$6:$H$101,MOD(89+$C19+(0),$B$3)+1)*I19+INDEX(Symboles!$H$6:$H$101,MOD(89+$C19+(1),$B$3)+1)*J19+INDEX(Symboles!$H$6:$H$101,MOD(89+$C19+(2),$B$3)+1)*K19+INDEX(Symboles!$H$6:$H$101,MOD(89+$C19+(3),$B$3)+1)*L19+INDEX(Symboles!$H$6:$H$101,MOD(89+$C19+(4),$B$3)+1)*M19+IF($B$6=0,0,$B$6*NORMSINV(0.000001+0.999998*RAND())))</f>
        <v/>
      </c>
      <c r="GU19" s="30">
        <f>IF(91&gt;$B$3,99,INDEX(Symboles!$H$6:$H$101,MOD(90+$C19+(-4),$B$3)+1)*E19+INDEX(Symboles!$H$6:$H$101,MOD(90+$C19+(-3),$B$3)+1)*F19+INDEX(Symboles!$H$6:$H$101,MOD(90+$C19+(-2),$B$3)+1)*G19+INDEX(Symboles!$H$6:$H$101,MOD(90+$C19+(-1),$B$3)+1)*H19+INDEX(Symboles!$H$6:$H$101,MOD(90+$C19+(0),$B$3)+1)*I19+INDEX(Symboles!$H$6:$H$101,MOD(90+$C19+(1),$B$3)+1)*J19+INDEX(Symboles!$H$6:$H$101,MOD(90+$C19+(2),$B$3)+1)*K19+INDEX(Symboles!$H$6:$H$101,MOD(90+$C19+(3),$B$3)+1)*L19+INDEX(Symboles!$H$6:$H$101,MOD(90+$C19+(4),$B$3)+1)*M19+IF($B$6=0,0,$B$6*NORMSINV(0.000001+0.999998*RAND())))</f>
        <v/>
      </c>
      <c r="GV19" s="30">
        <f>IF(92&gt;$B$3,99,INDEX(Symboles!$H$6:$H$101,MOD(91+$C19+(-4),$B$3)+1)*E19+INDEX(Symboles!$H$6:$H$101,MOD(91+$C19+(-3),$B$3)+1)*F19+INDEX(Symboles!$H$6:$H$101,MOD(91+$C19+(-2),$B$3)+1)*G19+INDEX(Symboles!$H$6:$H$101,MOD(91+$C19+(-1),$B$3)+1)*H19+INDEX(Symboles!$H$6:$H$101,MOD(91+$C19+(0),$B$3)+1)*I19+INDEX(Symboles!$H$6:$H$101,MOD(91+$C19+(1),$B$3)+1)*J19+INDEX(Symboles!$H$6:$H$101,MOD(91+$C19+(2),$B$3)+1)*K19+INDEX(Symboles!$H$6:$H$101,MOD(91+$C19+(3),$B$3)+1)*L19+INDEX(Symboles!$H$6:$H$101,MOD(91+$C19+(4),$B$3)+1)*M19+IF($B$6=0,0,$B$6*NORMSINV(0.000001+0.999998*RAND())))</f>
        <v/>
      </c>
      <c r="GW19" s="30">
        <f>IF(93&gt;$B$3,99,INDEX(Symboles!$H$6:$H$101,MOD(92+$C19+(-4),$B$3)+1)*E19+INDEX(Symboles!$H$6:$H$101,MOD(92+$C19+(-3),$B$3)+1)*F19+INDEX(Symboles!$H$6:$H$101,MOD(92+$C19+(-2),$B$3)+1)*G19+INDEX(Symboles!$H$6:$H$101,MOD(92+$C19+(-1),$B$3)+1)*H19+INDEX(Symboles!$H$6:$H$101,MOD(92+$C19+(0),$B$3)+1)*I19+INDEX(Symboles!$H$6:$H$101,MOD(92+$C19+(1),$B$3)+1)*J19+INDEX(Symboles!$H$6:$H$101,MOD(92+$C19+(2),$B$3)+1)*K19+INDEX(Symboles!$H$6:$H$101,MOD(92+$C19+(3),$B$3)+1)*L19+INDEX(Symboles!$H$6:$H$101,MOD(92+$C19+(4),$B$3)+1)*M19+IF($B$6=0,0,$B$6*NORMSINV(0.000001+0.999998*RAND())))</f>
        <v/>
      </c>
      <c r="GX19" s="30">
        <f>IF(94&gt;$B$3,99,INDEX(Symboles!$H$6:$H$101,MOD(93+$C19+(-4),$B$3)+1)*E19+INDEX(Symboles!$H$6:$H$101,MOD(93+$C19+(-3),$B$3)+1)*F19+INDEX(Symboles!$H$6:$H$101,MOD(93+$C19+(-2),$B$3)+1)*G19+INDEX(Symboles!$H$6:$H$101,MOD(93+$C19+(-1),$B$3)+1)*H19+INDEX(Symboles!$H$6:$H$101,MOD(93+$C19+(0),$B$3)+1)*I19+INDEX(Symboles!$H$6:$H$101,MOD(93+$C19+(1),$B$3)+1)*J19+INDEX(Symboles!$H$6:$H$101,MOD(93+$C19+(2),$B$3)+1)*K19+INDEX(Symboles!$H$6:$H$101,MOD(93+$C19+(3),$B$3)+1)*L19+INDEX(Symboles!$H$6:$H$101,MOD(93+$C19+(4),$B$3)+1)*M19+IF($B$6=0,0,$B$6*NORMSINV(0.000001+0.999998*RAND())))</f>
        <v/>
      </c>
      <c r="GY19" s="30">
        <f>IF(95&gt;$B$3,99,INDEX(Symboles!$H$6:$H$101,MOD(94+$C19+(-4),$B$3)+1)*E19+INDEX(Symboles!$H$6:$H$101,MOD(94+$C19+(-3),$B$3)+1)*F19+INDEX(Symboles!$H$6:$H$101,MOD(94+$C19+(-2),$B$3)+1)*G19+INDEX(Symboles!$H$6:$H$101,MOD(94+$C19+(-1),$B$3)+1)*H19+INDEX(Symboles!$H$6:$H$101,MOD(94+$C19+(0),$B$3)+1)*I19+INDEX(Symboles!$H$6:$H$101,MOD(94+$C19+(1),$B$3)+1)*J19+INDEX(Symboles!$H$6:$H$101,MOD(94+$C19+(2),$B$3)+1)*K19+INDEX(Symboles!$H$6:$H$101,MOD(94+$C19+(3),$B$3)+1)*L19+INDEX(Symboles!$H$6:$H$101,MOD(94+$C19+(4),$B$3)+1)*M19+IF($B$6=0,0,$B$6*NORMSINV(0.000001+0.999998*RAND())))</f>
        <v/>
      </c>
      <c r="GZ19" s="30">
        <f>IF(96&gt;$B$3,99,INDEX(Symboles!$H$6:$H$101,MOD(95+$C19+(-4),$B$3)+1)*E19+INDEX(Symboles!$H$6:$H$101,MOD(95+$C19+(-3),$B$3)+1)*F19+INDEX(Symboles!$H$6:$H$101,MOD(95+$C19+(-2),$B$3)+1)*G19+INDEX(Symboles!$H$6:$H$101,MOD(95+$C19+(-1),$B$3)+1)*H19+INDEX(Symboles!$H$6:$H$101,MOD(95+$C19+(0),$B$3)+1)*I19+INDEX(Symboles!$H$6:$H$101,MOD(95+$C19+(1),$B$3)+1)*J19+INDEX(Symboles!$H$6:$H$101,MOD(95+$C19+(2),$B$3)+1)*K19+INDEX(Symboles!$H$6:$H$101,MOD(95+$C19+(3),$B$3)+1)*L19+INDEX(Symboles!$H$6:$H$101,MOD(95+$C19+(4),$B$3)+1)*M19+IF($B$6=0,0,$B$6*NORMSINV(0.000001+0.999998*RAND())))</f>
        <v/>
      </c>
    </row>
    <row r="20">
      <c r="A20" s="28" t="n">
        <v>10</v>
      </c>
      <c r="B20" s="28" t="n">
        <v>-0.375</v>
      </c>
      <c r="C20" s="28" t="n">
        <v>0</v>
      </c>
      <c r="D20" s="28" t="n">
        <v>2</v>
      </c>
      <c r="E20" s="29">
        <f>IF($B$4=1,0,IF(ABS(1-(2*$B$5*3.625)^2)&lt;0.000001,PI()/4*SIN(PI()/(2*$B$5))/(PI()/(2*$B$5)),SIN(PI()*3.625)/(PI()*3.625)*COS(PI()*$B$5*3.625)/(1-(2*$B$5*3.625)^2)))</f>
        <v/>
      </c>
      <c r="F20" s="29">
        <f>IF($B$4=1,0,IF(ABS(1-(2*$B$5*2.625)^2)&lt;0.000001,PI()/4*SIN(PI()/(2*$B$5))/(PI()/(2*$B$5)),SIN(PI()*2.625)/(PI()*2.625)*COS(PI()*$B$5*2.625)/(1-(2*$B$5*2.625)^2)))</f>
        <v/>
      </c>
      <c r="G20" s="29">
        <f>IF($B$4=1,0,IF(ABS(1-(2*$B$5*1.625)^2)&lt;0.000001,PI()/4*SIN(PI()/(2*$B$5))/(PI()/(2*$B$5)),SIN(PI()*1.625)/(PI()*1.625)*COS(PI()*$B$5*1.625)/(1-(2*$B$5*1.625)^2)))</f>
        <v/>
      </c>
      <c r="H20" s="29">
        <f>IF($B$4=1,0,IF(ABS(1-(2*$B$5*0.625)^2)&lt;0.000001,PI()/4*SIN(PI()/(2*$B$5))/(PI()/(2*$B$5)),SIN(PI()*0.625)/(PI()*0.625)*COS(PI()*$B$5*0.625)/(1-(2*$B$5*0.625)^2)))</f>
        <v/>
      </c>
      <c r="I20" s="29">
        <f>IF($B$4=1,1,IF(ABS(1-(2*$B$5*-0.375)^2)&lt;0.000001,PI()/4*SIN(PI()/(2*$B$5))/(PI()/(2*$B$5)),SIN(PI()*-0.375)/(PI()*-0.375)*COS(PI()*$B$5*-0.375)/(1-(2*$B$5*-0.375)^2)))</f>
        <v/>
      </c>
      <c r="J20" s="29">
        <f>IF($B$4=1,0,IF(ABS(1-(2*$B$5*-1.375)^2)&lt;0.000001,PI()/4*SIN(PI()/(2*$B$5))/(PI()/(2*$B$5)),SIN(PI()*-1.375)/(PI()*-1.375)*COS(PI()*$B$5*-1.375)/(1-(2*$B$5*-1.375)^2)))</f>
        <v/>
      </c>
      <c r="K20" s="29">
        <f>IF($B$4=1,0,IF(ABS(1-(2*$B$5*-2.375)^2)&lt;0.000001,PI()/4*SIN(PI()/(2*$B$5))/(PI()/(2*$B$5)),SIN(PI()*-2.375)/(PI()*-2.375)*COS(PI()*$B$5*-2.375)/(1-(2*$B$5*-2.375)^2)))</f>
        <v/>
      </c>
      <c r="L20" s="29">
        <f>IF($B$4=1,0,IF(ABS(1-(2*$B$5*-3.375)^2)&lt;0.000001,PI()/4*SIN(PI()/(2*$B$5))/(PI()/(2*$B$5)),SIN(PI()*-3.375)/(PI()*-3.375)*COS(PI()*$B$5*-3.375)/(1-(2*$B$5*-3.375)^2)))</f>
        <v/>
      </c>
      <c r="M20" s="29">
        <f>IF($B$4=1,0,IF(ABS(1-(2*$B$5*-4.375)^2)&lt;0.000001,PI()/4*SIN(PI()/(2*$B$5))/(PI()/(2*$B$5)),SIN(PI()*-4.375)/(PI()*-4.375)*COS(PI()*$B$5*-4.375)/(1-(2*$B$5*-4.375)^2)))</f>
        <v/>
      </c>
      <c r="P20" s="30">
        <f>IF(1&gt;$B$3,99,INDEX(Symboles!$G$6:$G$101,MOD(0+$C20+(-4),$B$3)+1)*E20+INDEX(Symboles!$G$6:$G$101,MOD(0+$C20+(-3),$B$3)+1)*F20+INDEX(Symboles!$G$6:$G$101,MOD(0+$C20+(-2),$B$3)+1)*G20+INDEX(Symboles!$G$6:$G$101,MOD(0+$C20+(-1),$B$3)+1)*H20+INDEX(Symboles!$G$6:$G$101,MOD(0+$C20+(0),$B$3)+1)*I20+INDEX(Symboles!$G$6:$G$101,MOD(0+$C20+(1),$B$3)+1)*J20+INDEX(Symboles!$G$6:$G$101,MOD(0+$C20+(2),$B$3)+1)*K20+INDEX(Symboles!$G$6:$G$101,MOD(0+$C20+(3),$B$3)+1)*L20+INDEX(Symboles!$G$6:$G$101,MOD(0+$C20+(4),$B$3)+1)*M20+IF($B$6=0,0,$B$6*NORMSINV(0.000001+0.999998*RAND())))</f>
        <v/>
      </c>
      <c r="Q20" s="30">
        <f>IF(2&gt;$B$3,99,INDEX(Symboles!$G$6:$G$101,MOD(1+$C20+(-4),$B$3)+1)*E20+INDEX(Symboles!$G$6:$G$101,MOD(1+$C20+(-3),$B$3)+1)*F20+INDEX(Symboles!$G$6:$G$101,MOD(1+$C20+(-2),$B$3)+1)*G20+INDEX(Symboles!$G$6:$G$101,MOD(1+$C20+(-1),$B$3)+1)*H20+INDEX(Symboles!$G$6:$G$101,MOD(1+$C20+(0),$B$3)+1)*I20+INDEX(Symboles!$G$6:$G$101,MOD(1+$C20+(1),$B$3)+1)*J20+INDEX(Symboles!$G$6:$G$101,MOD(1+$C20+(2),$B$3)+1)*K20+INDEX(Symboles!$G$6:$G$101,MOD(1+$C20+(3),$B$3)+1)*L20+INDEX(Symboles!$G$6:$G$101,MOD(1+$C20+(4),$B$3)+1)*M20+IF($B$6=0,0,$B$6*NORMSINV(0.000001+0.999998*RAND())))</f>
        <v/>
      </c>
      <c r="R20" s="30">
        <f>IF(3&gt;$B$3,99,INDEX(Symboles!$G$6:$G$101,MOD(2+$C20+(-4),$B$3)+1)*E20+INDEX(Symboles!$G$6:$G$101,MOD(2+$C20+(-3),$B$3)+1)*F20+INDEX(Symboles!$G$6:$G$101,MOD(2+$C20+(-2),$B$3)+1)*G20+INDEX(Symboles!$G$6:$G$101,MOD(2+$C20+(-1),$B$3)+1)*H20+INDEX(Symboles!$G$6:$G$101,MOD(2+$C20+(0),$B$3)+1)*I20+INDEX(Symboles!$G$6:$G$101,MOD(2+$C20+(1),$B$3)+1)*J20+INDEX(Symboles!$G$6:$G$101,MOD(2+$C20+(2),$B$3)+1)*K20+INDEX(Symboles!$G$6:$G$101,MOD(2+$C20+(3),$B$3)+1)*L20+INDEX(Symboles!$G$6:$G$101,MOD(2+$C20+(4),$B$3)+1)*M20+IF($B$6=0,0,$B$6*NORMSINV(0.000001+0.999998*RAND())))</f>
        <v/>
      </c>
      <c r="S20" s="30">
        <f>IF(4&gt;$B$3,99,INDEX(Symboles!$G$6:$G$101,MOD(3+$C20+(-4),$B$3)+1)*E20+INDEX(Symboles!$G$6:$G$101,MOD(3+$C20+(-3),$B$3)+1)*F20+INDEX(Symboles!$G$6:$G$101,MOD(3+$C20+(-2),$B$3)+1)*G20+INDEX(Symboles!$G$6:$G$101,MOD(3+$C20+(-1),$B$3)+1)*H20+INDEX(Symboles!$G$6:$G$101,MOD(3+$C20+(0),$B$3)+1)*I20+INDEX(Symboles!$G$6:$G$101,MOD(3+$C20+(1),$B$3)+1)*J20+INDEX(Symboles!$G$6:$G$101,MOD(3+$C20+(2),$B$3)+1)*K20+INDEX(Symboles!$G$6:$G$101,MOD(3+$C20+(3),$B$3)+1)*L20+INDEX(Symboles!$G$6:$G$101,MOD(3+$C20+(4),$B$3)+1)*M20+IF($B$6=0,0,$B$6*NORMSINV(0.000001+0.999998*RAND())))</f>
        <v/>
      </c>
      <c r="T20" s="30">
        <f>IF(5&gt;$B$3,99,INDEX(Symboles!$G$6:$G$101,MOD(4+$C20+(-4),$B$3)+1)*E20+INDEX(Symboles!$G$6:$G$101,MOD(4+$C20+(-3),$B$3)+1)*F20+INDEX(Symboles!$G$6:$G$101,MOD(4+$C20+(-2),$B$3)+1)*G20+INDEX(Symboles!$G$6:$G$101,MOD(4+$C20+(-1),$B$3)+1)*H20+INDEX(Symboles!$G$6:$G$101,MOD(4+$C20+(0),$B$3)+1)*I20+INDEX(Symboles!$G$6:$G$101,MOD(4+$C20+(1),$B$3)+1)*J20+INDEX(Symboles!$G$6:$G$101,MOD(4+$C20+(2),$B$3)+1)*K20+INDEX(Symboles!$G$6:$G$101,MOD(4+$C20+(3),$B$3)+1)*L20+INDEX(Symboles!$G$6:$G$101,MOD(4+$C20+(4),$B$3)+1)*M20+IF($B$6=0,0,$B$6*NORMSINV(0.000001+0.999998*RAND())))</f>
        <v/>
      </c>
      <c r="U20" s="30">
        <f>IF(6&gt;$B$3,99,INDEX(Symboles!$G$6:$G$101,MOD(5+$C20+(-4),$B$3)+1)*E20+INDEX(Symboles!$G$6:$G$101,MOD(5+$C20+(-3),$B$3)+1)*F20+INDEX(Symboles!$G$6:$G$101,MOD(5+$C20+(-2),$B$3)+1)*G20+INDEX(Symboles!$G$6:$G$101,MOD(5+$C20+(-1),$B$3)+1)*H20+INDEX(Symboles!$G$6:$G$101,MOD(5+$C20+(0),$B$3)+1)*I20+INDEX(Symboles!$G$6:$G$101,MOD(5+$C20+(1),$B$3)+1)*J20+INDEX(Symboles!$G$6:$G$101,MOD(5+$C20+(2),$B$3)+1)*K20+INDEX(Symboles!$G$6:$G$101,MOD(5+$C20+(3),$B$3)+1)*L20+INDEX(Symboles!$G$6:$G$101,MOD(5+$C20+(4),$B$3)+1)*M20+IF($B$6=0,0,$B$6*NORMSINV(0.000001+0.999998*RAND())))</f>
        <v/>
      </c>
      <c r="V20" s="30">
        <f>IF(7&gt;$B$3,99,INDEX(Symboles!$G$6:$G$101,MOD(6+$C20+(-4),$B$3)+1)*E20+INDEX(Symboles!$G$6:$G$101,MOD(6+$C20+(-3),$B$3)+1)*F20+INDEX(Symboles!$G$6:$G$101,MOD(6+$C20+(-2),$B$3)+1)*G20+INDEX(Symboles!$G$6:$G$101,MOD(6+$C20+(-1),$B$3)+1)*H20+INDEX(Symboles!$G$6:$G$101,MOD(6+$C20+(0),$B$3)+1)*I20+INDEX(Symboles!$G$6:$G$101,MOD(6+$C20+(1),$B$3)+1)*J20+INDEX(Symboles!$G$6:$G$101,MOD(6+$C20+(2),$B$3)+1)*K20+INDEX(Symboles!$G$6:$G$101,MOD(6+$C20+(3),$B$3)+1)*L20+INDEX(Symboles!$G$6:$G$101,MOD(6+$C20+(4),$B$3)+1)*M20+IF($B$6=0,0,$B$6*NORMSINV(0.000001+0.999998*RAND())))</f>
        <v/>
      </c>
      <c r="W20" s="30">
        <f>IF(8&gt;$B$3,99,INDEX(Symboles!$G$6:$G$101,MOD(7+$C20+(-4),$B$3)+1)*E20+INDEX(Symboles!$G$6:$G$101,MOD(7+$C20+(-3),$B$3)+1)*F20+INDEX(Symboles!$G$6:$G$101,MOD(7+$C20+(-2),$B$3)+1)*G20+INDEX(Symboles!$G$6:$G$101,MOD(7+$C20+(-1),$B$3)+1)*H20+INDEX(Symboles!$G$6:$G$101,MOD(7+$C20+(0),$B$3)+1)*I20+INDEX(Symboles!$G$6:$G$101,MOD(7+$C20+(1),$B$3)+1)*J20+INDEX(Symboles!$G$6:$G$101,MOD(7+$C20+(2),$B$3)+1)*K20+INDEX(Symboles!$G$6:$G$101,MOD(7+$C20+(3),$B$3)+1)*L20+INDEX(Symboles!$G$6:$G$101,MOD(7+$C20+(4),$B$3)+1)*M20+IF($B$6=0,0,$B$6*NORMSINV(0.000001+0.999998*RAND())))</f>
        <v/>
      </c>
      <c r="X20" s="30">
        <f>IF(9&gt;$B$3,99,INDEX(Symboles!$G$6:$G$101,MOD(8+$C20+(-4),$B$3)+1)*E20+INDEX(Symboles!$G$6:$G$101,MOD(8+$C20+(-3),$B$3)+1)*F20+INDEX(Symboles!$G$6:$G$101,MOD(8+$C20+(-2),$B$3)+1)*G20+INDEX(Symboles!$G$6:$G$101,MOD(8+$C20+(-1),$B$3)+1)*H20+INDEX(Symboles!$G$6:$G$101,MOD(8+$C20+(0),$B$3)+1)*I20+INDEX(Symboles!$G$6:$G$101,MOD(8+$C20+(1),$B$3)+1)*J20+INDEX(Symboles!$G$6:$G$101,MOD(8+$C20+(2),$B$3)+1)*K20+INDEX(Symboles!$G$6:$G$101,MOD(8+$C20+(3),$B$3)+1)*L20+INDEX(Symboles!$G$6:$G$101,MOD(8+$C20+(4),$B$3)+1)*M20+IF($B$6=0,0,$B$6*NORMSINV(0.000001+0.999998*RAND())))</f>
        <v/>
      </c>
      <c r="Y20" s="30">
        <f>IF(10&gt;$B$3,99,INDEX(Symboles!$G$6:$G$101,MOD(9+$C20+(-4),$B$3)+1)*E20+INDEX(Symboles!$G$6:$G$101,MOD(9+$C20+(-3),$B$3)+1)*F20+INDEX(Symboles!$G$6:$G$101,MOD(9+$C20+(-2),$B$3)+1)*G20+INDEX(Symboles!$G$6:$G$101,MOD(9+$C20+(-1),$B$3)+1)*H20+INDEX(Symboles!$G$6:$G$101,MOD(9+$C20+(0),$B$3)+1)*I20+INDEX(Symboles!$G$6:$G$101,MOD(9+$C20+(1),$B$3)+1)*J20+INDEX(Symboles!$G$6:$G$101,MOD(9+$C20+(2),$B$3)+1)*K20+INDEX(Symboles!$G$6:$G$101,MOD(9+$C20+(3),$B$3)+1)*L20+INDEX(Symboles!$G$6:$G$101,MOD(9+$C20+(4),$B$3)+1)*M20+IF($B$6=0,0,$B$6*NORMSINV(0.000001+0.999998*RAND())))</f>
        <v/>
      </c>
      <c r="Z20" s="30">
        <f>IF(11&gt;$B$3,99,INDEX(Symboles!$G$6:$G$101,MOD(10+$C20+(-4),$B$3)+1)*E20+INDEX(Symboles!$G$6:$G$101,MOD(10+$C20+(-3),$B$3)+1)*F20+INDEX(Symboles!$G$6:$G$101,MOD(10+$C20+(-2),$B$3)+1)*G20+INDEX(Symboles!$G$6:$G$101,MOD(10+$C20+(-1),$B$3)+1)*H20+INDEX(Symboles!$G$6:$G$101,MOD(10+$C20+(0),$B$3)+1)*I20+INDEX(Symboles!$G$6:$G$101,MOD(10+$C20+(1),$B$3)+1)*J20+INDEX(Symboles!$G$6:$G$101,MOD(10+$C20+(2),$B$3)+1)*K20+INDEX(Symboles!$G$6:$G$101,MOD(10+$C20+(3),$B$3)+1)*L20+INDEX(Symboles!$G$6:$G$101,MOD(10+$C20+(4),$B$3)+1)*M20+IF($B$6=0,0,$B$6*NORMSINV(0.000001+0.999998*RAND())))</f>
        <v/>
      </c>
      <c r="AA20" s="30">
        <f>IF(12&gt;$B$3,99,INDEX(Symboles!$G$6:$G$101,MOD(11+$C20+(-4),$B$3)+1)*E20+INDEX(Symboles!$G$6:$G$101,MOD(11+$C20+(-3),$B$3)+1)*F20+INDEX(Symboles!$G$6:$G$101,MOD(11+$C20+(-2),$B$3)+1)*G20+INDEX(Symboles!$G$6:$G$101,MOD(11+$C20+(-1),$B$3)+1)*H20+INDEX(Symboles!$G$6:$G$101,MOD(11+$C20+(0),$B$3)+1)*I20+INDEX(Symboles!$G$6:$G$101,MOD(11+$C20+(1),$B$3)+1)*J20+INDEX(Symboles!$G$6:$G$101,MOD(11+$C20+(2),$B$3)+1)*K20+INDEX(Symboles!$G$6:$G$101,MOD(11+$C20+(3),$B$3)+1)*L20+INDEX(Symboles!$G$6:$G$101,MOD(11+$C20+(4),$B$3)+1)*M20+IF($B$6=0,0,$B$6*NORMSINV(0.000001+0.999998*RAND())))</f>
        <v/>
      </c>
      <c r="AB20" s="30">
        <f>IF(13&gt;$B$3,99,INDEX(Symboles!$G$6:$G$101,MOD(12+$C20+(-4),$B$3)+1)*E20+INDEX(Symboles!$G$6:$G$101,MOD(12+$C20+(-3),$B$3)+1)*F20+INDEX(Symboles!$G$6:$G$101,MOD(12+$C20+(-2),$B$3)+1)*G20+INDEX(Symboles!$G$6:$G$101,MOD(12+$C20+(-1),$B$3)+1)*H20+INDEX(Symboles!$G$6:$G$101,MOD(12+$C20+(0),$B$3)+1)*I20+INDEX(Symboles!$G$6:$G$101,MOD(12+$C20+(1),$B$3)+1)*J20+INDEX(Symboles!$G$6:$G$101,MOD(12+$C20+(2),$B$3)+1)*K20+INDEX(Symboles!$G$6:$G$101,MOD(12+$C20+(3),$B$3)+1)*L20+INDEX(Symboles!$G$6:$G$101,MOD(12+$C20+(4),$B$3)+1)*M20+IF($B$6=0,0,$B$6*NORMSINV(0.000001+0.999998*RAND())))</f>
        <v/>
      </c>
      <c r="AC20" s="30">
        <f>IF(14&gt;$B$3,99,INDEX(Symboles!$G$6:$G$101,MOD(13+$C20+(-4),$B$3)+1)*E20+INDEX(Symboles!$G$6:$G$101,MOD(13+$C20+(-3),$B$3)+1)*F20+INDEX(Symboles!$G$6:$G$101,MOD(13+$C20+(-2),$B$3)+1)*G20+INDEX(Symboles!$G$6:$G$101,MOD(13+$C20+(-1),$B$3)+1)*H20+INDEX(Symboles!$G$6:$G$101,MOD(13+$C20+(0),$B$3)+1)*I20+INDEX(Symboles!$G$6:$G$101,MOD(13+$C20+(1),$B$3)+1)*J20+INDEX(Symboles!$G$6:$G$101,MOD(13+$C20+(2),$B$3)+1)*K20+INDEX(Symboles!$G$6:$G$101,MOD(13+$C20+(3),$B$3)+1)*L20+INDEX(Symboles!$G$6:$G$101,MOD(13+$C20+(4),$B$3)+1)*M20+IF($B$6=0,0,$B$6*NORMSINV(0.000001+0.999998*RAND())))</f>
        <v/>
      </c>
      <c r="AD20" s="30">
        <f>IF(15&gt;$B$3,99,INDEX(Symboles!$G$6:$G$101,MOD(14+$C20+(-4),$B$3)+1)*E20+INDEX(Symboles!$G$6:$G$101,MOD(14+$C20+(-3),$B$3)+1)*F20+INDEX(Symboles!$G$6:$G$101,MOD(14+$C20+(-2),$B$3)+1)*G20+INDEX(Symboles!$G$6:$G$101,MOD(14+$C20+(-1),$B$3)+1)*H20+INDEX(Symboles!$G$6:$G$101,MOD(14+$C20+(0),$B$3)+1)*I20+INDEX(Symboles!$G$6:$G$101,MOD(14+$C20+(1),$B$3)+1)*J20+INDEX(Symboles!$G$6:$G$101,MOD(14+$C20+(2),$B$3)+1)*K20+INDEX(Symboles!$G$6:$G$101,MOD(14+$C20+(3),$B$3)+1)*L20+INDEX(Symboles!$G$6:$G$101,MOD(14+$C20+(4),$B$3)+1)*M20+IF($B$6=0,0,$B$6*NORMSINV(0.000001+0.999998*RAND())))</f>
        <v/>
      </c>
      <c r="AE20" s="30">
        <f>IF(16&gt;$B$3,99,INDEX(Symboles!$G$6:$G$101,MOD(15+$C20+(-4),$B$3)+1)*E20+INDEX(Symboles!$G$6:$G$101,MOD(15+$C20+(-3),$B$3)+1)*F20+INDEX(Symboles!$G$6:$G$101,MOD(15+$C20+(-2),$B$3)+1)*G20+INDEX(Symboles!$G$6:$G$101,MOD(15+$C20+(-1),$B$3)+1)*H20+INDEX(Symboles!$G$6:$G$101,MOD(15+$C20+(0),$B$3)+1)*I20+INDEX(Symboles!$G$6:$G$101,MOD(15+$C20+(1),$B$3)+1)*J20+INDEX(Symboles!$G$6:$G$101,MOD(15+$C20+(2),$B$3)+1)*K20+INDEX(Symboles!$G$6:$G$101,MOD(15+$C20+(3),$B$3)+1)*L20+INDEX(Symboles!$G$6:$G$101,MOD(15+$C20+(4),$B$3)+1)*M20+IF($B$6=0,0,$B$6*NORMSINV(0.000001+0.999998*RAND())))</f>
        <v/>
      </c>
      <c r="AF20" s="30">
        <f>IF(17&gt;$B$3,99,INDEX(Symboles!$G$6:$G$101,MOD(16+$C20+(-4),$B$3)+1)*E20+INDEX(Symboles!$G$6:$G$101,MOD(16+$C20+(-3),$B$3)+1)*F20+INDEX(Symboles!$G$6:$G$101,MOD(16+$C20+(-2),$B$3)+1)*G20+INDEX(Symboles!$G$6:$G$101,MOD(16+$C20+(-1),$B$3)+1)*H20+INDEX(Symboles!$G$6:$G$101,MOD(16+$C20+(0),$B$3)+1)*I20+INDEX(Symboles!$G$6:$G$101,MOD(16+$C20+(1),$B$3)+1)*J20+INDEX(Symboles!$G$6:$G$101,MOD(16+$C20+(2),$B$3)+1)*K20+INDEX(Symboles!$G$6:$G$101,MOD(16+$C20+(3),$B$3)+1)*L20+INDEX(Symboles!$G$6:$G$101,MOD(16+$C20+(4),$B$3)+1)*M20+IF($B$6=0,0,$B$6*NORMSINV(0.000001+0.999998*RAND())))</f>
        <v/>
      </c>
      <c r="AG20" s="30">
        <f>IF(18&gt;$B$3,99,INDEX(Symboles!$G$6:$G$101,MOD(17+$C20+(-4),$B$3)+1)*E20+INDEX(Symboles!$G$6:$G$101,MOD(17+$C20+(-3),$B$3)+1)*F20+INDEX(Symboles!$G$6:$G$101,MOD(17+$C20+(-2),$B$3)+1)*G20+INDEX(Symboles!$G$6:$G$101,MOD(17+$C20+(-1),$B$3)+1)*H20+INDEX(Symboles!$G$6:$G$101,MOD(17+$C20+(0),$B$3)+1)*I20+INDEX(Symboles!$G$6:$G$101,MOD(17+$C20+(1),$B$3)+1)*J20+INDEX(Symboles!$G$6:$G$101,MOD(17+$C20+(2),$B$3)+1)*K20+INDEX(Symboles!$G$6:$G$101,MOD(17+$C20+(3),$B$3)+1)*L20+INDEX(Symboles!$G$6:$G$101,MOD(17+$C20+(4),$B$3)+1)*M20+IF($B$6=0,0,$B$6*NORMSINV(0.000001+0.999998*RAND())))</f>
        <v/>
      </c>
      <c r="AH20" s="30">
        <f>IF(19&gt;$B$3,99,INDEX(Symboles!$G$6:$G$101,MOD(18+$C20+(-4),$B$3)+1)*E20+INDEX(Symboles!$G$6:$G$101,MOD(18+$C20+(-3),$B$3)+1)*F20+INDEX(Symboles!$G$6:$G$101,MOD(18+$C20+(-2),$B$3)+1)*G20+INDEX(Symboles!$G$6:$G$101,MOD(18+$C20+(-1),$B$3)+1)*H20+INDEX(Symboles!$G$6:$G$101,MOD(18+$C20+(0),$B$3)+1)*I20+INDEX(Symboles!$G$6:$G$101,MOD(18+$C20+(1),$B$3)+1)*J20+INDEX(Symboles!$G$6:$G$101,MOD(18+$C20+(2),$B$3)+1)*K20+INDEX(Symboles!$G$6:$G$101,MOD(18+$C20+(3),$B$3)+1)*L20+INDEX(Symboles!$G$6:$G$101,MOD(18+$C20+(4),$B$3)+1)*M20+IF($B$6=0,0,$B$6*NORMSINV(0.000001+0.999998*RAND())))</f>
        <v/>
      </c>
      <c r="AI20" s="30">
        <f>IF(20&gt;$B$3,99,INDEX(Symboles!$G$6:$G$101,MOD(19+$C20+(-4),$B$3)+1)*E20+INDEX(Symboles!$G$6:$G$101,MOD(19+$C20+(-3),$B$3)+1)*F20+INDEX(Symboles!$G$6:$G$101,MOD(19+$C20+(-2),$B$3)+1)*G20+INDEX(Symboles!$G$6:$G$101,MOD(19+$C20+(-1),$B$3)+1)*H20+INDEX(Symboles!$G$6:$G$101,MOD(19+$C20+(0),$B$3)+1)*I20+INDEX(Symboles!$G$6:$G$101,MOD(19+$C20+(1),$B$3)+1)*J20+INDEX(Symboles!$G$6:$G$101,MOD(19+$C20+(2),$B$3)+1)*K20+INDEX(Symboles!$G$6:$G$101,MOD(19+$C20+(3),$B$3)+1)*L20+INDEX(Symboles!$G$6:$G$101,MOD(19+$C20+(4),$B$3)+1)*M20+IF($B$6=0,0,$B$6*NORMSINV(0.000001+0.999998*RAND())))</f>
        <v/>
      </c>
      <c r="AJ20" s="30">
        <f>IF(21&gt;$B$3,99,INDEX(Symboles!$G$6:$G$101,MOD(20+$C20+(-4),$B$3)+1)*E20+INDEX(Symboles!$G$6:$G$101,MOD(20+$C20+(-3),$B$3)+1)*F20+INDEX(Symboles!$G$6:$G$101,MOD(20+$C20+(-2),$B$3)+1)*G20+INDEX(Symboles!$G$6:$G$101,MOD(20+$C20+(-1),$B$3)+1)*H20+INDEX(Symboles!$G$6:$G$101,MOD(20+$C20+(0),$B$3)+1)*I20+INDEX(Symboles!$G$6:$G$101,MOD(20+$C20+(1),$B$3)+1)*J20+INDEX(Symboles!$G$6:$G$101,MOD(20+$C20+(2),$B$3)+1)*K20+INDEX(Symboles!$G$6:$G$101,MOD(20+$C20+(3),$B$3)+1)*L20+INDEX(Symboles!$G$6:$G$101,MOD(20+$C20+(4),$B$3)+1)*M20+IF($B$6=0,0,$B$6*NORMSINV(0.000001+0.999998*RAND())))</f>
        <v/>
      </c>
      <c r="AK20" s="30">
        <f>IF(22&gt;$B$3,99,INDEX(Symboles!$G$6:$G$101,MOD(21+$C20+(-4),$B$3)+1)*E20+INDEX(Symboles!$G$6:$G$101,MOD(21+$C20+(-3),$B$3)+1)*F20+INDEX(Symboles!$G$6:$G$101,MOD(21+$C20+(-2),$B$3)+1)*G20+INDEX(Symboles!$G$6:$G$101,MOD(21+$C20+(-1),$B$3)+1)*H20+INDEX(Symboles!$G$6:$G$101,MOD(21+$C20+(0),$B$3)+1)*I20+INDEX(Symboles!$G$6:$G$101,MOD(21+$C20+(1),$B$3)+1)*J20+INDEX(Symboles!$G$6:$G$101,MOD(21+$C20+(2),$B$3)+1)*K20+INDEX(Symboles!$G$6:$G$101,MOD(21+$C20+(3),$B$3)+1)*L20+INDEX(Symboles!$G$6:$G$101,MOD(21+$C20+(4),$B$3)+1)*M20+IF($B$6=0,0,$B$6*NORMSINV(0.000001+0.999998*RAND())))</f>
        <v/>
      </c>
      <c r="AL20" s="30">
        <f>IF(23&gt;$B$3,99,INDEX(Symboles!$G$6:$G$101,MOD(22+$C20+(-4),$B$3)+1)*E20+INDEX(Symboles!$G$6:$G$101,MOD(22+$C20+(-3),$B$3)+1)*F20+INDEX(Symboles!$G$6:$G$101,MOD(22+$C20+(-2),$B$3)+1)*G20+INDEX(Symboles!$G$6:$G$101,MOD(22+$C20+(-1),$B$3)+1)*H20+INDEX(Symboles!$G$6:$G$101,MOD(22+$C20+(0),$B$3)+1)*I20+INDEX(Symboles!$G$6:$G$101,MOD(22+$C20+(1),$B$3)+1)*J20+INDEX(Symboles!$G$6:$G$101,MOD(22+$C20+(2),$B$3)+1)*K20+INDEX(Symboles!$G$6:$G$101,MOD(22+$C20+(3),$B$3)+1)*L20+INDEX(Symboles!$G$6:$G$101,MOD(22+$C20+(4),$B$3)+1)*M20+IF($B$6=0,0,$B$6*NORMSINV(0.000001+0.999998*RAND())))</f>
        <v/>
      </c>
      <c r="AM20" s="30">
        <f>IF(24&gt;$B$3,99,INDEX(Symboles!$G$6:$G$101,MOD(23+$C20+(-4),$B$3)+1)*E20+INDEX(Symboles!$G$6:$G$101,MOD(23+$C20+(-3),$B$3)+1)*F20+INDEX(Symboles!$G$6:$G$101,MOD(23+$C20+(-2),$B$3)+1)*G20+INDEX(Symboles!$G$6:$G$101,MOD(23+$C20+(-1),$B$3)+1)*H20+INDEX(Symboles!$G$6:$G$101,MOD(23+$C20+(0),$B$3)+1)*I20+INDEX(Symboles!$G$6:$G$101,MOD(23+$C20+(1),$B$3)+1)*J20+INDEX(Symboles!$G$6:$G$101,MOD(23+$C20+(2),$B$3)+1)*K20+INDEX(Symboles!$G$6:$G$101,MOD(23+$C20+(3),$B$3)+1)*L20+INDEX(Symboles!$G$6:$G$101,MOD(23+$C20+(4),$B$3)+1)*M20+IF($B$6=0,0,$B$6*NORMSINV(0.000001+0.999998*RAND())))</f>
        <v/>
      </c>
      <c r="AN20" s="30">
        <f>IF(25&gt;$B$3,99,INDEX(Symboles!$G$6:$G$101,MOD(24+$C20+(-4),$B$3)+1)*E20+INDEX(Symboles!$G$6:$G$101,MOD(24+$C20+(-3),$B$3)+1)*F20+INDEX(Symboles!$G$6:$G$101,MOD(24+$C20+(-2),$B$3)+1)*G20+INDEX(Symboles!$G$6:$G$101,MOD(24+$C20+(-1),$B$3)+1)*H20+INDEX(Symboles!$G$6:$G$101,MOD(24+$C20+(0),$B$3)+1)*I20+INDEX(Symboles!$G$6:$G$101,MOD(24+$C20+(1),$B$3)+1)*J20+INDEX(Symboles!$G$6:$G$101,MOD(24+$C20+(2),$B$3)+1)*K20+INDEX(Symboles!$G$6:$G$101,MOD(24+$C20+(3),$B$3)+1)*L20+INDEX(Symboles!$G$6:$G$101,MOD(24+$C20+(4),$B$3)+1)*M20+IF($B$6=0,0,$B$6*NORMSINV(0.000001+0.999998*RAND())))</f>
        <v/>
      </c>
      <c r="AO20" s="30">
        <f>IF(26&gt;$B$3,99,INDEX(Symboles!$G$6:$G$101,MOD(25+$C20+(-4),$B$3)+1)*E20+INDEX(Symboles!$G$6:$G$101,MOD(25+$C20+(-3),$B$3)+1)*F20+INDEX(Symboles!$G$6:$G$101,MOD(25+$C20+(-2),$B$3)+1)*G20+INDEX(Symboles!$G$6:$G$101,MOD(25+$C20+(-1),$B$3)+1)*H20+INDEX(Symboles!$G$6:$G$101,MOD(25+$C20+(0),$B$3)+1)*I20+INDEX(Symboles!$G$6:$G$101,MOD(25+$C20+(1),$B$3)+1)*J20+INDEX(Symboles!$G$6:$G$101,MOD(25+$C20+(2),$B$3)+1)*K20+INDEX(Symboles!$G$6:$G$101,MOD(25+$C20+(3),$B$3)+1)*L20+INDEX(Symboles!$G$6:$G$101,MOD(25+$C20+(4),$B$3)+1)*M20+IF($B$6=0,0,$B$6*NORMSINV(0.000001+0.999998*RAND())))</f>
        <v/>
      </c>
      <c r="AP20" s="30">
        <f>IF(27&gt;$B$3,99,INDEX(Symboles!$G$6:$G$101,MOD(26+$C20+(-4),$B$3)+1)*E20+INDEX(Symboles!$G$6:$G$101,MOD(26+$C20+(-3),$B$3)+1)*F20+INDEX(Symboles!$G$6:$G$101,MOD(26+$C20+(-2),$B$3)+1)*G20+INDEX(Symboles!$G$6:$G$101,MOD(26+$C20+(-1),$B$3)+1)*H20+INDEX(Symboles!$G$6:$G$101,MOD(26+$C20+(0),$B$3)+1)*I20+INDEX(Symboles!$G$6:$G$101,MOD(26+$C20+(1),$B$3)+1)*J20+INDEX(Symboles!$G$6:$G$101,MOD(26+$C20+(2),$B$3)+1)*K20+INDEX(Symboles!$G$6:$G$101,MOD(26+$C20+(3),$B$3)+1)*L20+INDEX(Symboles!$G$6:$G$101,MOD(26+$C20+(4),$B$3)+1)*M20+IF($B$6=0,0,$B$6*NORMSINV(0.000001+0.999998*RAND())))</f>
        <v/>
      </c>
      <c r="AQ20" s="30">
        <f>IF(28&gt;$B$3,99,INDEX(Symboles!$G$6:$G$101,MOD(27+$C20+(-4),$B$3)+1)*E20+INDEX(Symboles!$G$6:$G$101,MOD(27+$C20+(-3),$B$3)+1)*F20+INDEX(Symboles!$G$6:$G$101,MOD(27+$C20+(-2),$B$3)+1)*G20+INDEX(Symboles!$G$6:$G$101,MOD(27+$C20+(-1),$B$3)+1)*H20+INDEX(Symboles!$G$6:$G$101,MOD(27+$C20+(0),$B$3)+1)*I20+INDEX(Symboles!$G$6:$G$101,MOD(27+$C20+(1),$B$3)+1)*J20+INDEX(Symboles!$G$6:$G$101,MOD(27+$C20+(2),$B$3)+1)*K20+INDEX(Symboles!$G$6:$G$101,MOD(27+$C20+(3),$B$3)+1)*L20+INDEX(Symboles!$G$6:$G$101,MOD(27+$C20+(4),$B$3)+1)*M20+IF($B$6=0,0,$B$6*NORMSINV(0.000001+0.999998*RAND())))</f>
        <v/>
      </c>
      <c r="AR20" s="30">
        <f>IF(29&gt;$B$3,99,INDEX(Symboles!$G$6:$G$101,MOD(28+$C20+(-4),$B$3)+1)*E20+INDEX(Symboles!$G$6:$G$101,MOD(28+$C20+(-3),$B$3)+1)*F20+INDEX(Symboles!$G$6:$G$101,MOD(28+$C20+(-2),$B$3)+1)*G20+INDEX(Symboles!$G$6:$G$101,MOD(28+$C20+(-1),$B$3)+1)*H20+INDEX(Symboles!$G$6:$G$101,MOD(28+$C20+(0),$B$3)+1)*I20+INDEX(Symboles!$G$6:$G$101,MOD(28+$C20+(1),$B$3)+1)*J20+INDEX(Symboles!$G$6:$G$101,MOD(28+$C20+(2),$B$3)+1)*K20+INDEX(Symboles!$G$6:$G$101,MOD(28+$C20+(3),$B$3)+1)*L20+INDEX(Symboles!$G$6:$G$101,MOD(28+$C20+(4),$B$3)+1)*M20+IF($B$6=0,0,$B$6*NORMSINV(0.000001+0.999998*RAND())))</f>
        <v/>
      </c>
      <c r="AS20" s="30">
        <f>IF(30&gt;$B$3,99,INDEX(Symboles!$G$6:$G$101,MOD(29+$C20+(-4),$B$3)+1)*E20+INDEX(Symboles!$G$6:$G$101,MOD(29+$C20+(-3),$B$3)+1)*F20+INDEX(Symboles!$G$6:$G$101,MOD(29+$C20+(-2),$B$3)+1)*G20+INDEX(Symboles!$G$6:$G$101,MOD(29+$C20+(-1),$B$3)+1)*H20+INDEX(Symboles!$G$6:$G$101,MOD(29+$C20+(0),$B$3)+1)*I20+INDEX(Symboles!$G$6:$G$101,MOD(29+$C20+(1),$B$3)+1)*J20+INDEX(Symboles!$G$6:$G$101,MOD(29+$C20+(2),$B$3)+1)*K20+INDEX(Symboles!$G$6:$G$101,MOD(29+$C20+(3),$B$3)+1)*L20+INDEX(Symboles!$G$6:$G$101,MOD(29+$C20+(4),$B$3)+1)*M20+IF($B$6=0,0,$B$6*NORMSINV(0.000001+0.999998*RAND())))</f>
        <v/>
      </c>
      <c r="AT20" s="30">
        <f>IF(31&gt;$B$3,99,INDEX(Symboles!$G$6:$G$101,MOD(30+$C20+(-4),$B$3)+1)*E20+INDEX(Symboles!$G$6:$G$101,MOD(30+$C20+(-3),$B$3)+1)*F20+INDEX(Symboles!$G$6:$G$101,MOD(30+$C20+(-2),$B$3)+1)*G20+INDEX(Symboles!$G$6:$G$101,MOD(30+$C20+(-1),$B$3)+1)*H20+INDEX(Symboles!$G$6:$G$101,MOD(30+$C20+(0),$B$3)+1)*I20+INDEX(Symboles!$G$6:$G$101,MOD(30+$C20+(1),$B$3)+1)*J20+INDEX(Symboles!$G$6:$G$101,MOD(30+$C20+(2),$B$3)+1)*K20+INDEX(Symboles!$G$6:$G$101,MOD(30+$C20+(3),$B$3)+1)*L20+INDEX(Symboles!$G$6:$G$101,MOD(30+$C20+(4),$B$3)+1)*M20+IF($B$6=0,0,$B$6*NORMSINV(0.000001+0.999998*RAND())))</f>
        <v/>
      </c>
      <c r="AU20" s="30">
        <f>IF(32&gt;$B$3,99,INDEX(Symboles!$G$6:$G$101,MOD(31+$C20+(-4),$B$3)+1)*E20+INDEX(Symboles!$G$6:$G$101,MOD(31+$C20+(-3),$B$3)+1)*F20+INDEX(Symboles!$G$6:$G$101,MOD(31+$C20+(-2),$B$3)+1)*G20+INDEX(Symboles!$G$6:$G$101,MOD(31+$C20+(-1),$B$3)+1)*H20+INDEX(Symboles!$G$6:$G$101,MOD(31+$C20+(0),$B$3)+1)*I20+INDEX(Symboles!$G$6:$G$101,MOD(31+$C20+(1),$B$3)+1)*J20+INDEX(Symboles!$G$6:$G$101,MOD(31+$C20+(2),$B$3)+1)*K20+INDEX(Symboles!$G$6:$G$101,MOD(31+$C20+(3),$B$3)+1)*L20+INDEX(Symboles!$G$6:$G$101,MOD(31+$C20+(4),$B$3)+1)*M20+IF($B$6=0,0,$B$6*NORMSINV(0.000001+0.999998*RAND())))</f>
        <v/>
      </c>
      <c r="AV20" s="30">
        <f>IF(33&gt;$B$3,99,INDEX(Symboles!$G$6:$G$101,MOD(32+$C20+(-4),$B$3)+1)*E20+INDEX(Symboles!$G$6:$G$101,MOD(32+$C20+(-3),$B$3)+1)*F20+INDEX(Symboles!$G$6:$G$101,MOD(32+$C20+(-2),$B$3)+1)*G20+INDEX(Symboles!$G$6:$G$101,MOD(32+$C20+(-1),$B$3)+1)*H20+INDEX(Symboles!$G$6:$G$101,MOD(32+$C20+(0),$B$3)+1)*I20+INDEX(Symboles!$G$6:$G$101,MOD(32+$C20+(1),$B$3)+1)*J20+INDEX(Symboles!$G$6:$G$101,MOD(32+$C20+(2),$B$3)+1)*K20+INDEX(Symboles!$G$6:$G$101,MOD(32+$C20+(3),$B$3)+1)*L20+INDEX(Symboles!$G$6:$G$101,MOD(32+$C20+(4),$B$3)+1)*M20+IF($B$6=0,0,$B$6*NORMSINV(0.000001+0.999998*RAND())))</f>
        <v/>
      </c>
      <c r="AW20" s="30">
        <f>IF(34&gt;$B$3,99,INDEX(Symboles!$G$6:$G$101,MOD(33+$C20+(-4),$B$3)+1)*E20+INDEX(Symboles!$G$6:$G$101,MOD(33+$C20+(-3),$B$3)+1)*F20+INDEX(Symboles!$G$6:$G$101,MOD(33+$C20+(-2),$B$3)+1)*G20+INDEX(Symboles!$G$6:$G$101,MOD(33+$C20+(-1),$B$3)+1)*H20+INDEX(Symboles!$G$6:$G$101,MOD(33+$C20+(0),$B$3)+1)*I20+INDEX(Symboles!$G$6:$G$101,MOD(33+$C20+(1),$B$3)+1)*J20+INDEX(Symboles!$G$6:$G$101,MOD(33+$C20+(2),$B$3)+1)*K20+INDEX(Symboles!$G$6:$G$101,MOD(33+$C20+(3),$B$3)+1)*L20+INDEX(Symboles!$G$6:$G$101,MOD(33+$C20+(4),$B$3)+1)*M20+IF($B$6=0,0,$B$6*NORMSINV(0.000001+0.999998*RAND())))</f>
        <v/>
      </c>
      <c r="AX20" s="30">
        <f>IF(35&gt;$B$3,99,INDEX(Symboles!$G$6:$G$101,MOD(34+$C20+(-4),$B$3)+1)*E20+INDEX(Symboles!$G$6:$G$101,MOD(34+$C20+(-3),$B$3)+1)*F20+INDEX(Symboles!$G$6:$G$101,MOD(34+$C20+(-2),$B$3)+1)*G20+INDEX(Symboles!$G$6:$G$101,MOD(34+$C20+(-1),$B$3)+1)*H20+INDEX(Symboles!$G$6:$G$101,MOD(34+$C20+(0),$B$3)+1)*I20+INDEX(Symboles!$G$6:$G$101,MOD(34+$C20+(1),$B$3)+1)*J20+INDEX(Symboles!$G$6:$G$101,MOD(34+$C20+(2),$B$3)+1)*K20+INDEX(Symboles!$G$6:$G$101,MOD(34+$C20+(3),$B$3)+1)*L20+INDEX(Symboles!$G$6:$G$101,MOD(34+$C20+(4),$B$3)+1)*M20+IF($B$6=0,0,$B$6*NORMSINV(0.000001+0.999998*RAND())))</f>
        <v/>
      </c>
      <c r="AY20" s="30">
        <f>IF(36&gt;$B$3,99,INDEX(Symboles!$G$6:$G$101,MOD(35+$C20+(-4),$B$3)+1)*E20+INDEX(Symboles!$G$6:$G$101,MOD(35+$C20+(-3),$B$3)+1)*F20+INDEX(Symboles!$G$6:$G$101,MOD(35+$C20+(-2),$B$3)+1)*G20+INDEX(Symboles!$G$6:$G$101,MOD(35+$C20+(-1),$B$3)+1)*H20+INDEX(Symboles!$G$6:$G$101,MOD(35+$C20+(0),$B$3)+1)*I20+INDEX(Symboles!$G$6:$G$101,MOD(35+$C20+(1),$B$3)+1)*J20+INDEX(Symboles!$G$6:$G$101,MOD(35+$C20+(2),$B$3)+1)*K20+INDEX(Symboles!$G$6:$G$101,MOD(35+$C20+(3),$B$3)+1)*L20+INDEX(Symboles!$G$6:$G$101,MOD(35+$C20+(4),$B$3)+1)*M20+IF($B$6=0,0,$B$6*NORMSINV(0.000001+0.999998*RAND())))</f>
        <v/>
      </c>
      <c r="AZ20" s="30">
        <f>IF(37&gt;$B$3,99,INDEX(Symboles!$G$6:$G$101,MOD(36+$C20+(-4),$B$3)+1)*E20+INDEX(Symboles!$G$6:$G$101,MOD(36+$C20+(-3),$B$3)+1)*F20+INDEX(Symboles!$G$6:$G$101,MOD(36+$C20+(-2),$B$3)+1)*G20+INDEX(Symboles!$G$6:$G$101,MOD(36+$C20+(-1),$B$3)+1)*H20+INDEX(Symboles!$G$6:$G$101,MOD(36+$C20+(0),$B$3)+1)*I20+INDEX(Symboles!$G$6:$G$101,MOD(36+$C20+(1),$B$3)+1)*J20+INDEX(Symboles!$G$6:$G$101,MOD(36+$C20+(2),$B$3)+1)*K20+INDEX(Symboles!$G$6:$G$101,MOD(36+$C20+(3),$B$3)+1)*L20+INDEX(Symboles!$G$6:$G$101,MOD(36+$C20+(4),$B$3)+1)*M20+IF($B$6=0,0,$B$6*NORMSINV(0.000001+0.999998*RAND())))</f>
        <v/>
      </c>
      <c r="BA20" s="30">
        <f>IF(38&gt;$B$3,99,INDEX(Symboles!$G$6:$G$101,MOD(37+$C20+(-4),$B$3)+1)*E20+INDEX(Symboles!$G$6:$G$101,MOD(37+$C20+(-3),$B$3)+1)*F20+INDEX(Symboles!$G$6:$G$101,MOD(37+$C20+(-2),$B$3)+1)*G20+INDEX(Symboles!$G$6:$G$101,MOD(37+$C20+(-1),$B$3)+1)*H20+INDEX(Symboles!$G$6:$G$101,MOD(37+$C20+(0),$B$3)+1)*I20+INDEX(Symboles!$G$6:$G$101,MOD(37+$C20+(1),$B$3)+1)*J20+INDEX(Symboles!$G$6:$G$101,MOD(37+$C20+(2),$B$3)+1)*K20+INDEX(Symboles!$G$6:$G$101,MOD(37+$C20+(3),$B$3)+1)*L20+INDEX(Symboles!$G$6:$G$101,MOD(37+$C20+(4),$B$3)+1)*M20+IF($B$6=0,0,$B$6*NORMSINV(0.000001+0.999998*RAND())))</f>
        <v/>
      </c>
      <c r="BB20" s="30">
        <f>IF(39&gt;$B$3,99,INDEX(Symboles!$G$6:$G$101,MOD(38+$C20+(-4),$B$3)+1)*E20+INDEX(Symboles!$G$6:$G$101,MOD(38+$C20+(-3),$B$3)+1)*F20+INDEX(Symboles!$G$6:$G$101,MOD(38+$C20+(-2),$B$3)+1)*G20+INDEX(Symboles!$G$6:$G$101,MOD(38+$C20+(-1),$B$3)+1)*H20+INDEX(Symboles!$G$6:$G$101,MOD(38+$C20+(0),$B$3)+1)*I20+INDEX(Symboles!$G$6:$G$101,MOD(38+$C20+(1),$B$3)+1)*J20+INDEX(Symboles!$G$6:$G$101,MOD(38+$C20+(2),$B$3)+1)*K20+INDEX(Symboles!$G$6:$G$101,MOD(38+$C20+(3),$B$3)+1)*L20+INDEX(Symboles!$G$6:$G$101,MOD(38+$C20+(4),$B$3)+1)*M20+IF($B$6=0,0,$B$6*NORMSINV(0.000001+0.999998*RAND())))</f>
        <v/>
      </c>
      <c r="BC20" s="30">
        <f>IF(40&gt;$B$3,99,INDEX(Symboles!$G$6:$G$101,MOD(39+$C20+(-4),$B$3)+1)*E20+INDEX(Symboles!$G$6:$G$101,MOD(39+$C20+(-3),$B$3)+1)*F20+INDEX(Symboles!$G$6:$G$101,MOD(39+$C20+(-2),$B$3)+1)*G20+INDEX(Symboles!$G$6:$G$101,MOD(39+$C20+(-1),$B$3)+1)*H20+INDEX(Symboles!$G$6:$G$101,MOD(39+$C20+(0),$B$3)+1)*I20+INDEX(Symboles!$G$6:$G$101,MOD(39+$C20+(1),$B$3)+1)*J20+INDEX(Symboles!$G$6:$G$101,MOD(39+$C20+(2),$B$3)+1)*K20+INDEX(Symboles!$G$6:$G$101,MOD(39+$C20+(3),$B$3)+1)*L20+INDEX(Symboles!$G$6:$G$101,MOD(39+$C20+(4),$B$3)+1)*M20+IF($B$6=0,0,$B$6*NORMSINV(0.000001+0.999998*RAND())))</f>
        <v/>
      </c>
      <c r="BD20" s="30">
        <f>IF(41&gt;$B$3,99,INDEX(Symboles!$G$6:$G$101,MOD(40+$C20+(-4),$B$3)+1)*E20+INDEX(Symboles!$G$6:$G$101,MOD(40+$C20+(-3),$B$3)+1)*F20+INDEX(Symboles!$G$6:$G$101,MOD(40+$C20+(-2),$B$3)+1)*G20+INDEX(Symboles!$G$6:$G$101,MOD(40+$C20+(-1),$B$3)+1)*H20+INDEX(Symboles!$G$6:$G$101,MOD(40+$C20+(0),$B$3)+1)*I20+INDEX(Symboles!$G$6:$G$101,MOD(40+$C20+(1),$B$3)+1)*J20+INDEX(Symboles!$G$6:$G$101,MOD(40+$C20+(2),$B$3)+1)*K20+INDEX(Symboles!$G$6:$G$101,MOD(40+$C20+(3),$B$3)+1)*L20+INDEX(Symboles!$G$6:$G$101,MOD(40+$C20+(4),$B$3)+1)*M20+IF($B$6=0,0,$B$6*NORMSINV(0.000001+0.999998*RAND())))</f>
        <v/>
      </c>
      <c r="BE20" s="30">
        <f>IF(42&gt;$B$3,99,INDEX(Symboles!$G$6:$G$101,MOD(41+$C20+(-4),$B$3)+1)*E20+INDEX(Symboles!$G$6:$G$101,MOD(41+$C20+(-3),$B$3)+1)*F20+INDEX(Symboles!$G$6:$G$101,MOD(41+$C20+(-2),$B$3)+1)*G20+INDEX(Symboles!$G$6:$G$101,MOD(41+$C20+(-1),$B$3)+1)*H20+INDEX(Symboles!$G$6:$G$101,MOD(41+$C20+(0),$B$3)+1)*I20+INDEX(Symboles!$G$6:$G$101,MOD(41+$C20+(1),$B$3)+1)*J20+INDEX(Symboles!$G$6:$G$101,MOD(41+$C20+(2),$B$3)+1)*K20+INDEX(Symboles!$G$6:$G$101,MOD(41+$C20+(3),$B$3)+1)*L20+INDEX(Symboles!$G$6:$G$101,MOD(41+$C20+(4),$B$3)+1)*M20+IF($B$6=0,0,$B$6*NORMSINV(0.000001+0.999998*RAND())))</f>
        <v/>
      </c>
      <c r="BF20" s="30">
        <f>IF(43&gt;$B$3,99,INDEX(Symboles!$G$6:$G$101,MOD(42+$C20+(-4),$B$3)+1)*E20+INDEX(Symboles!$G$6:$G$101,MOD(42+$C20+(-3),$B$3)+1)*F20+INDEX(Symboles!$G$6:$G$101,MOD(42+$C20+(-2),$B$3)+1)*G20+INDEX(Symboles!$G$6:$G$101,MOD(42+$C20+(-1),$B$3)+1)*H20+INDEX(Symboles!$G$6:$G$101,MOD(42+$C20+(0),$B$3)+1)*I20+INDEX(Symboles!$G$6:$G$101,MOD(42+$C20+(1),$B$3)+1)*J20+INDEX(Symboles!$G$6:$G$101,MOD(42+$C20+(2),$B$3)+1)*K20+INDEX(Symboles!$G$6:$G$101,MOD(42+$C20+(3),$B$3)+1)*L20+INDEX(Symboles!$G$6:$G$101,MOD(42+$C20+(4),$B$3)+1)*M20+IF($B$6=0,0,$B$6*NORMSINV(0.000001+0.999998*RAND())))</f>
        <v/>
      </c>
      <c r="BG20" s="30">
        <f>IF(44&gt;$B$3,99,INDEX(Symboles!$G$6:$G$101,MOD(43+$C20+(-4),$B$3)+1)*E20+INDEX(Symboles!$G$6:$G$101,MOD(43+$C20+(-3),$B$3)+1)*F20+INDEX(Symboles!$G$6:$G$101,MOD(43+$C20+(-2),$B$3)+1)*G20+INDEX(Symboles!$G$6:$G$101,MOD(43+$C20+(-1),$B$3)+1)*H20+INDEX(Symboles!$G$6:$G$101,MOD(43+$C20+(0),$B$3)+1)*I20+INDEX(Symboles!$G$6:$G$101,MOD(43+$C20+(1),$B$3)+1)*J20+INDEX(Symboles!$G$6:$G$101,MOD(43+$C20+(2),$B$3)+1)*K20+INDEX(Symboles!$G$6:$G$101,MOD(43+$C20+(3),$B$3)+1)*L20+INDEX(Symboles!$G$6:$G$101,MOD(43+$C20+(4),$B$3)+1)*M20+IF($B$6=0,0,$B$6*NORMSINV(0.000001+0.999998*RAND())))</f>
        <v/>
      </c>
      <c r="BH20" s="30">
        <f>IF(45&gt;$B$3,99,INDEX(Symboles!$G$6:$G$101,MOD(44+$C20+(-4),$B$3)+1)*E20+INDEX(Symboles!$G$6:$G$101,MOD(44+$C20+(-3),$B$3)+1)*F20+INDEX(Symboles!$G$6:$G$101,MOD(44+$C20+(-2),$B$3)+1)*G20+INDEX(Symboles!$G$6:$G$101,MOD(44+$C20+(-1),$B$3)+1)*H20+INDEX(Symboles!$G$6:$G$101,MOD(44+$C20+(0),$B$3)+1)*I20+INDEX(Symboles!$G$6:$G$101,MOD(44+$C20+(1),$B$3)+1)*J20+INDEX(Symboles!$G$6:$G$101,MOD(44+$C20+(2),$B$3)+1)*K20+INDEX(Symboles!$G$6:$G$101,MOD(44+$C20+(3),$B$3)+1)*L20+INDEX(Symboles!$G$6:$G$101,MOD(44+$C20+(4),$B$3)+1)*M20+IF($B$6=0,0,$B$6*NORMSINV(0.000001+0.999998*RAND())))</f>
        <v/>
      </c>
      <c r="BI20" s="30">
        <f>IF(46&gt;$B$3,99,INDEX(Symboles!$G$6:$G$101,MOD(45+$C20+(-4),$B$3)+1)*E20+INDEX(Symboles!$G$6:$G$101,MOD(45+$C20+(-3),$B$3)+1)*F20+INDEX(Symboles!$G$6:$G$101,MOD(45+$C20+(-2),$B$3)+1)*G20+INDEX(Symboles!$G$6:$G$101,MOD(45+$C20+(-1),$B$3)+1)*H20+INDEX(Symboles!$G$6:$G$101,MOD(45+$C20+(0),$B$3)+1)*I20+INDEX(Symboles!$G$6:$G$101,MOD(45+$C20+(1),$B$3)+1)*J20+INDEX(Symboles!$G$6:$G$101,MOD(45+$C20+(2),$B$3)+1)*K20+INDEX(Symboles!$G$6:$G$101,MOD(45+$C20+(3),$B$3)+1)*L20+INDEX(Symboles!$G$6:$G$101,MOD(45+$C20+(4),$B$3)+1)*M20+IF($B$6=0,0,$B$6*NORMSINV(0.000001+0.999998*RAND())))</f>
        <v/>
      </c>
      <c r="BJ20" s="30">
        <f>IF(47&gt;$B$3,99,INDEX(Symboles!$G$6:$G$101,MOD(46+$C20+(-4),$B$3)+1)*E20+INDEX(Symboles!$G$6:$G$101,MOD(46+$C20+(-3),$B$3)+1)*F20+INDEX(Symboles!$G$6:$G$101,MOD(46+$C20+(-2),$B$3)+1)*G20+INDEX(Symboles!$G$6:$G$101,MOD(46+$C20+(-1),$B$3)+1)*H20+INDEX(Symboles!$G$6:$G$101,MOD(46+$C20+(0),$B$3)+1)*I20+INDEX(Symboles!$G$6:$G$101,MOD(46+$C20+(1),$B$3)+1)*J20+INDEX(Symboles!$G$6:$G$101,MOD(46+$C20+(2),$B$3)+1)*K20+INDEX(Symboles!$G$6:$G$101,MOD(46+$C20+(3),$B$3)+1)*L20+INDEX(Symboles!$G$6:$G$101,MOD(46+$C20+(4),$B$3)+1)*M20+IF($B$6=0,0,$B$6*NORMSINV(0.000001+0.999998*RAND())))</f>
        <v/>
      </c>
      <c r="BK20" s="30">
        <f>IF(48&gt;$B$3,99,INDEX(Symboles!$G$6:$G$101,MOD(47+$C20+(-4),$B$3)+1)*E20+INDEX(Symboles!$G$6:$G$101,MOD(47+$C20+(-3),$B$3)+1)*F20+INDEX(Symboles!$G$6:$G$101,MOD(47+$C20+(-2),$B$3)+1)*G20+INDEX(Symboles!$G$6:$G$101,MOD(47+$C20+(-1),$B$3)+1)*H20+INDEX(Symboles!$G$6:$G$101,MOD(47+$C20+(0),$B$3)+1)*I20+INDEX(Symboles!$G$6:$G$101,MOD(47+$C20+(1),$B$3)+1)*J20+INDEX(Symboles!$G$6:$G$101,MOD(47+$C20+(2),$B$3)+1)*K20+INDEX(Symboles!$G$6:$G$101,MOD(47+$C20+(3),$B$3)+1)*L20+INDEX(Symboles!$G$6:$G$101,MOD(47+$C20+(4),$B$3)+1)*M20+IF($B$6=0,0,$B$6*NORMSINV(0.000001+0.999998*RAND())))</f>
        <v/>
      </c>
      <c r="BL20" s="30">
        <f>IF(49&gt;$B$3,99,INDEX(Symboles!$G$6:$G$101,MOD(48+$C20+(-4),$B$3)+1)*E20+INDEX(Symboles!$G$6:$G$101,MOD(48+$C20+(-3),$B$3)+1)*F20+INDEX(Symboles!$G$6:$G$101,MOD(48+$C20+(-2),$B$3)+1)*G20+INDEX(Symboles!$G$6:$G$101,MOD(48+$C20+(-1),$B$3)+1)*H20+INDEX(Symboles!$G$6:$G$101,MOD(48+$C20+(0),$B$3)+1)*I20+INDEX(Symboles!$G$6:$G$101,MOD(48+$C20+(1),$B$3)+1)*J20+INDEX(Symboles!$G$6:$G$101,MOD(48+$C20+(2),$B$3)+1)*K20+INDEX(Symboles!$G$6:$G$101,MOD(48+$C20+(3),$B$3)+1)*L20+INDEX(Symboles!$G$6:$G$101,MOD(48+$C20+(4),$B$3)+1)*M20+IF($B$6=0,0,$B$6*NORMSINV(0.000001+0.999998*RAND())))</f>
        <v/>
      </c>
      <c r="BM20" s="30">
        <f>IF(50&gt;$B$3,99,INDEX(Symboles!$G$6:$G$101,MOD(49+$C20+(-4),$B$3)+1)*E20+INDEX(Symboles!$G$6:$G$101,MOD(49+$C20+(-3),$B$3)+1)*F20+INDEX(Symboles!$G$6:$G$101,MOD(49+$C20+(-2),$B$3)+1)*G20+INDEX(Symboles!$G$6:$G$101,MOD(49+$C20+(-1),$B$3)+1)*H20+INDEX(Symboles!$G$6:$G$101,MOD(49+$C20+(0),$B$3)+1)*I20+INDEX(Symboles!$G$6:$G$101,MOD(49+$C20+(1),$B$3)+1)*J20+INDEX(Symboles!$G$6:$G$101,MOD(49+$C20+(2),$B$3)+1)*K20+INDEX(Symboles!$G$6:$G$101,MOD(49+$C20+(3),$B$3)+1)*L20+INDEX(Symboles!$G$6:$G$101,MOD(49+$C20+(4),$B$3)+1)*M20+IF($B$6=0,0,$B$6*NORMSINV(0.000001+0.999998*RAND())))</f>
        <v/>
      </c>
      <c r="BN20" s="30">
        <f>IF(51&gt;$B$3,99,INDEX(Symboles!$G$6:$G$101,MOD(50+$C20+(-4),$B$3)+1)*E20+INDEX(Symboles!$G$6:$G$101,MOD(50+$C20+(-3),$B$3)+1)*F20+INDEX(Symboles!$G$6:$G$101,MOD(50+$C20+(-2),$B$3)+1)*G20+INDEX(Symboles!$G$6:$G$101,MOD(50+$C20+(-1),$B$3)+1)*H20+INDEX(Symboles!$G$6:$G$101,MOD(50+$C20+(0),$B$3)+1)*I20+INDEX(Symboles!$G$6:$G$101,MOD(50+$C20+(1),$B$3)+1)*J20+INDEX(Symboles!$G$6:$G$101,MOD(50+$C20+(2),$B$3)+1)*K20+INDEX(Symboles!$G$6:$G$101,MOD(50+$C20+(3),$B$3)+1)*L20+INDEX(Symboles!$G$6:$G$101,MOD(50+$C20+(4),$B$3)+1)*M20+IF($B$6=0,0,$B$6*NORMSINV(0.000001+0.999998*RAND())))</f>
        <v/>
      </c>
      <c r="BO20" s="30">
        <f>IF(52&gt;$B$3,99,INDEX(Symboles!$G$6:$G$101,MOD(51+$C20+(-4),$B$3)+1)*E20+INDEX(Symboles!$G$6:$G$101,MOD(51+$C20+(-3),$B$3)+1)*F20+INDEX(Symboles!$G$6:$G$101,MOD(51+$C20+(-2),$B$3)+1)*G20+INDEX(Symboles!$G$6:$G$101,MOD(51+$C20+(-1),$B$3)+1)*H20+INDEX(Symboles!$G$6:$G$101,MOD(51+$C20+(0),$B$3)+1)*I20+INDEX(Symboles!$G$6:$G$101,MOD(51+$C20+(1),$B$3)+1)*J20+INDEX(Symboles!$G$6:$G$101,MOD(51+$C20+(2),$B$3)+1)*K20+INDEX(Symboles!$G$6:$G$101,MOD(51+$C20+(3),$B$3)+1)*L20+INDEX(Symboles!$G$6:$G$101,MOD(51+$C20+(4),$B$3)+1)*M20+IF($B$6=0,0,$B$6*NORMSINV(0.000001+0.999998*RAND())))</f>
        <v/>
      </c>
      <c r="BP20" s="30">
        <f>IF(53&gt;$B$3,99,INDEX(Symboles!$G$6:$G$101,MOD(52+$C20+(-4),$B$3)+1)*E20+INDEX(Symboles!$G$6:$G$101,MOD(52+$C20+(-3),$B$3)+1)*F20+INDEX(Symboles!$G$6:$G$101,MOD(52+$C20+(-2),$B$3)+1)*G20+INDEX(Symboles!$G$6:$G$101,MOD(52+$C20+(-1),$B$3)+1)*H20+INDEX(Symboles!$G$6:$G$101,MOD(52+$C20+(0),$B$3)+1)*I20+INDEX(Symboles!$G$6:$G$101,MOD(52+$C20+(1),$B$3)+1)*J20+INDEX(Symboles!$G$6:$G$101,MOD(52+$C20+(2),$B$3)+1)*K20+INDEX(Symboles!$G$6:$G$101,MOD(52+$C20+(3),$B$3)+1)*L20+INDEX(Symboles!$G$6:$G$101,MOD(52+$C20+(4),$B$3)+1)*M20+IF($B$6=0,0,$B$6*NORMSINV(0.000001+0.999998*RAND())))</f>
        <v/>
      </c>
      <c r="BQ20" s="30">
        <f>IF(54&gt;$B$3,99,INDEX(Symboles!$G$6:$G$101,MOD(53+$C20+(-4),$B$3)+1)*E20+INDEX(Symboles!$G$6:$G$101,MOD(53+$C20+(-3),$B$3)+1)*F20+INDEX(Symboles!$G$6:$G$101,MOD(53+$C20+(-2),$B$3)+1)*G20+INDEX(Symboles!$G$6:$G$101,MOD(53+$C20+(-1),$B$3)+1)*H20+INDEX(Symboles!$G$6:$G$101,MOD(53+$C20+(0),$B$3)+1)*I20+INDEX(Symboles!$G$6:$G$101,MOD(53+$C20+(1),$B$3)+1)*J20+INDEX(Symboles!$G$6:$G$101,MOD(53+$C20+(2),$B$3)+1)*K20+INDEX(Symboles!$G$6:$G$101,MOD(53+$C20+(3),$B$3)+1)*L20+INDEX(Symboles!$G$6:$G$101,MOD(53+$C20+(4),$B$3)+1)*M20+IF($B$6=0,0,$B$6*NORMSINV(0.000001+0.999998*RAND())))</f>
        <v/>
      </c>
      <c r="BR20" s="30">
        <f>IF(55&gt;$B$3,99,INDEX(Symboles!$G$6:$G$101,MOD(54+$C20+(-4),$B$3)+1)*E20+INDEX(Symboles!$G$6:$G$101,MOD(54+$C20+(-3),$B$3)+1)*F20+INDEX(Symboles!$G$6:$G$101,MOD(54+$C20+(-2),$B$3)+1)*G20+INDEX(Symboles!$G$6:$G$101,MOD(54+$C20+(-1),$B$3)+1)*H20+INDEX(Symboles!$G$6:$G$101,MOD(54+$C20+(0),$B$3)+1)*I20+INDEX(Symboles!$G$6:$G$101,MOD(54+$C20+(1),$B$3)+1)*J20+INDEX(Symboles!$G$6:$G$101,MOD(54+$C20+(2),$B$3)+1)*K20+INDEX(Symboles!$G$6:$G$101,MOD(54+$C20+(3),$B$3)+1)*L20+INDEX(Symboles!$G$6:$G$101,MOD(54+$C20+(4),$B$3)+1)*M20+IF($B$6=0,0,$B$6*NORMSINV(0.000001+0.999998*RAND())))</f>
        <v/>
      </c>
      <c r="BS20" s="30">
        <f>IF(56&gt;$B$3,99,INDEX(Symboles!$G$6:$G$101,MOD(55+$C20+(-4),$B$3)+1)*E20+INDEX(Symboles!$G$6:$G$101,MOD(55+$C20+(-3),$B$3)+1)*F20+INDEX(Symboles!$G$6:$G$101,MOD(55+$C20+(-2),$B$3)+1)*G20+INDEX(Symboles!$G$6:$G$101,MOD(55+$C20+(-1),$B$3)+1)*H20+INDEX(Symboles!$G$6:$G$101,MOD(55+$C20+(0),$B$3)+1)*I20+INDEX(Symboles!$G$6:$G$101,MOD(55+$C20+(1),$B$3)+1)*J20+INDEX(Symboles!$G$6:$G$101,MOD(55+$C20+(2),$B$3)+1)*K20+INDEX(Symboles!$G$6:$G$101,MOD(55+$C20+(3),$B$3)+1)*L20+INDEX(Symboles!$G$6:$G$101,MOD(55+$C20+(4),$B$3)+1)*M20+IF($B$6=0,0,$B$6*NORMSINV(0.000001+0.999998*RAND())))</f>
        <v/>
      </c>
      <c r="BT20" s="30">
        <f>IF(57&gt;$B$3,99,INDEX(Symboles!$G$6:$G$101,MOD(56+$C20+(-4),$B$3)+1)*E20+INDEX(Symboles!$G$6:$G$101,MOD(56+$C20+(-3),$B$3)+1)*F20+INDEX(Symboles!$G$6:$G$101,MOD(56+$C20+(-2),$B$3)+1)*G20+INDEX(Symboles!$G$6:$G$101,MOD(56+$C20+(-1),$B$3)+1)*H20+INDEX(Symboles!$G$6:$G$101,MOD(56+$C20+(0),$B$3)+1)*I20+INDEX(Symboles!$G$6:$G$101,MOD(56+$C20+(1),$B$3)+1)*J20+INDEX(Symboles!$G$6:$G$101,MOD(56+$C20+(2),$B$3)+1)*K20+INDEX(Symboles!$G$6:$G$101,MOD(56+$C20+(3),$B$3)+1)*L20+INDEX(Symboles!$G$6:$G$101,MOD(56+$C20+(4),$B$3)+1)*M20+IF($B$6=0,0,$B$6*NORMSINV(0.000001+0.999998*RAND())))</f>
        <v/>
      </c>
      <c r="BU20" s="30">
        <f>IF(58&gt;$B$3,99,INDEX(Symboles!$G$6:$G$101,MOD(57+$C20+(-4),$B$3)+1)*E20+INDEX(Symboles!$G$6:$G$101,MOD(57+$C20+(-3),$B$3)+1)*F20+INDEX(Symboles!$G$6:$G$101,MOD(57+$C20+(-2),$B$3)+1)*G20+INDEX(Symboles!$G$6:$G$101,MOD(57+$C20+(-1),$B$3)+1)*H20+INDEX(Symboles!$G$6:$G$101,MOD(57+$C20+(0),$B$3)+1)*I20+INDEX(Symboles!$G$6:$G$101,MOD(57+$C20+(1),$B$3)+1)*J20+INDEX(Symboles!$G$6:$G$101,MOD(57+$C20+(2),$B$3)+1)*K20+INDEX(Symboles!$G$6:$G$101,MOD(57+$C20+(3),$B$3)+1)*L20+INDEX(Symboles!$G$6:$G$101,MOD(57+$C20+(4),$B$3)+1)*M20+IF($B$6=0,0,$B$6*NORMSINV(0.000001+0.999998*RAND())))</f>
        <v/>
      </c>
      <c r="BV20" s="30">
        <f>IF(59&gt;$B$3,99,INDEX(Symboles!$G$6:$G$101,MOD(58+$C20+(-4),$B$3)+1)*E20+INDEX(Symboles!$G$6:$G$101,MOD(58+$C20+(-3),$B$3)+1)*F20+INDEX(Symboles!$G$6:$G$101,MOD(58+$C20+(-2),$B$3)+1)*G20+INDEX(Symboles!$G$6:$G$101,MOD(58+$C20+(-1),$B$3)+1)*H20+INDEX(Symboles!$G$6:$G$101,MOD(58+$C20+(0),$B$3)+1)*I20+INDEX(Symboles!$G$6:$G$101,MOD(58+$C20+(1),$B$3)+1)*J20+INDEX(Symboles!$G$6:$G$101,MOD(58+$C20+(2),$B$3)+1)*K20+INDEX(Symboles!$G$6:$G$101,MOD(58+$C20+(3),$B$3)+1)*L20+INDEX(Symboles!$G$6:$G$101,MOD(58+$C20+(4),$B$3)+1)*M20+IF($B$6=0,0,$B$6*NORMSINV(0.000001+0.999998*RAND())))</f>
        <v/>
      </c>
      <c r="BW20" s="30">
        <f>IF(60&gt;$B$3,99,INDEX(Symboles!$G$6:$G$101,MOD(59+$C20+(-4),$B$3)+1)*E20+INDEX(Symboles!$G$6:$G$101,MOD(59+$C20+(-3),$B$3)+1)*F20+INDEX(Symboles!$G$6:$G$101,MOD(59+$C20+(-2),$B$3)+1)*G20+INDEX(Symboles!$G$6:$G$101,MOD(59+$C20+(-1),$B$3)+1)*H20+INDEX(Symboles!$G$6:$G$101,MOD(59+$C20+(0),$B$3)+1)*I20+INDEX(Symboles!$G$6:$G$101,MOD(59+$C20+(1),$B$3)+1)*J20+INDEX(Symboles!$G$6:$G$101,MOD(59+$C20+(2),$B$3)+1)*K20+INDEX(Symboles!$G$6:$G$101,MOD(59+$C20+(3),$B$3)+1)*L20+INDEX(Symboles!$G$6:$G$101,MOD(59+$C20+(4),$B$3)+1)*M20+IF($B$6=0,0,$B$6*NORMSINV(0.000001+0.999998*RAND())))</f>
        <v/>
      </c>
      <c r="BX20" s="30">
        <f>IF(61&gt;$B$3,99,INDEX(Symboles!$G$6:$G$101,MOD(60+$C20+(-4),$B$3)+1)*E20+INDEX(Symboles!$G$6:$G$101,MOD(60+$C20+(-3),$B$3)+1)*F20+INDEX(Symboles!$G$6:$G$101,MOD(60+$C20+(-2),$B$3)+1)*G20+INDEX(Symboles!$G$6:$G$101,MOD(60+$C20+(-1),$B$3)+1)*H20+INDEX(Symboles!$G$6:$G$101,MOD(60+$C20+(0),$B$3)+1)*I20+INDEX(Symboles!$G$6:$G$101,MOD(60+$C20+(1),$B$3)+1)*J20+INDEX(Symboles!$G$6:$G$101,MOD(60+$C20+(2),$B$3)+1)*K20+INDEX(Symboles!$G$6:$G$101,MOD(60+$C20+(3),$B$3)+1)*L20+INDEX(Symboles!$G$6:$G$101,MOD(60+$C20+(4),$B$3)+1)*M20+IF($B$6=0,0,$B$6*NORMSINV(0.000001+0.999998*RAND())))</f>
        <v/>
      </c>
      <c r="BY20" s="30">
        <f>IF(62&gt;$B$3,99,INDEX(Symboles!$G$6:$G$101,MOD(61+$C20+(-4),$B$3)+1)*E20+INDEX(Symboles!$G$6:$G$101,MOD(61+$C20+(-3),$B$3)+1)*F20+INDEX(Symboles!$G$6:$G$101,MOD(61+$C20+(-2),$B$3)+1)*G20+INDEX(Symboles!$G$6:$G$101,MOD(61+$C20+(-1),$B$3)+1)*H20+INDEX(Symboles!$G$6:$G$101,MOD(61+$C20+(0),$B$3)+1)*I20+INDEX(Symboles!$G$6:$G$101,MOD(61+$C20+(1),$B$3)+1)*J20+INDEX(Symboles!$G$6:$G$101,MOD(61+$C20+(2),$B$3)+1)*K20+INDEX(Symboles!$G$6:$G$101,MOD(61+$C20+(3),$B$3)+1)*L20+INDEX(Symboles!$G$6:$G$101,MOD(61+$C20+(4),$B$3)+1)*M20+IF($B$6=0,0,$B$6*NORMSINV(0.000001+0.999998*RAND())))</f>
        <v/>
      </c>
      <c r="BZ20" s="30">
        <f>IF(63&gt;$B$3,99,INDEX(Symboles!$G$6:$G$101,MOD(62+$C20+(-4),$B$3)+1)*E20+INDEX(Symboles!$G$6:$G$101,MOD(62+$C20+(-3),$B$3)+1)*F20+INDEX(Symboles!$G$6:$G$101,MOD(62+$C20+(-2),$B$3)+1)*G20+INDEX(Symboles!$G$6:$G$101,MOD(62+$C20+(-1),$B$3)+1)*H20+INDEX(Symboles!$G$6:$G$101,MOD(62+$C20+(0),$B$3)+1)*I20+INDEX(Symboles!$G$6:$G$101,MOD(62+$C20+(1),$B$3)+1)*J20+INDEX(Symboles!$G$6:$G$101,MOD(62+$C20+(2),$B$3)+1)*K20+INDEX(Symboles!$G$6:$G$101,MOD(62+$C20+(3),$B$3)+1)*L20+INDEX(Symboles!$G$6:$G$101,MOD(62+$C20+(4),$B$3)+1)*M20+IF($B$6=0,0,$B$6*NORMSINV(0.000001+0.999998*RAND())))</f>
        <v/>
      </c>
      <c r="CA20" s="30">
        <f>IF(64&gt;$B$3,99,INDEX(Symboles!$G$6:$G$101,MOD(63+$C20+(-4),$B$3)+1)*E20+INDEX(Symboles!$G$6:$G$101,MOD(63+$C20+(-3),$B$3)+1)*F20+INDEX(Symboles!$G$6:$G$101,MOD(63+$C20+(-2),$B$3)+1)*G20+INDEX(Symboles!$G$6:$G$101,MOD(63+$C20+(-1),$B$3)+1)*H20+INDEX(Symboles!$G$6:$G$101,MOD(63+$C20+(0),$B$3)+1)*I20+INDEX(Symboles!$G$6:$G$101,MOD(63+$C20+(1),$B$3)+1)*J20+INDEX(Symboles!$G$6:$G$101,MOD(63+$C20+(2),$B$3)+1)*K20+INDEX(Symboles!$G$6:$G$101,MOD(63+$C20+(3),$B$3)+1)*L20+INDEX(Symboles!$G$6:$G$101,MOD(63+$C20+(4),$B$3)+1)*M20+IF($B$6=0,0,$B$6*NORMSINV(0.000001+0.999998*RAND())))</f>
        <v/>
      </c>
      <c r="CB20" s="30">
        <f>IF(65&gt;$B$3,99,INDEX(Symboles!$G$6:$G$101,MOD(64+$C20+(-4),$B$3)+1)*E20+INDEX(Symboles!$G$6:$G$101,MOD(64+$C20+(-3),$B$3)+1)*F20+INDEX(Symboles!$G$6:$G$101,MOD(64+$C20+(-2),$B$3)+1)*G20+INDEX(Symboles!$G$6:$G$101,MOD(64+$C20+(-1),$B$3)+1)*H20+INDEX(Symboles!$G$6:$G$101,MOD(64+$C20+(0),$B$3)+1)*I20+INDEX(Symboles!$G$6:$G$101,MOD(64+$C20+(1),$B$3)+1)*J20+INDEX(Symboles!$G$6:$G$101,MOD(64+$C20+(2),$B$3)+1)*K20+INDEX(Symboles!$G$6:$G$101,MOD(64+$C20+(3),$B$3)+1)*L20+INDEX(Symboles!$G$6:$G$101,MOD(64+$C20+(4),$B$3)+1)*M20+IF($B$6=0,0,$B$6*NORMSINV(0.000001+0.999998*RAND())))</f>
        <v/>
      </c>
      <c r="CC20" s="30">
        <f>IF(66&gt;$B$3,99,INDEX(Symboles!$G$6:$G$101,MOD(65+$C20+(-4),$B$3)+1)*E20+INDEX(Symboles!$G$6:$G$101,MOD(65+$C20+(-3),$B$3)+1)*F20+INDEX(Symboles!$G$6:$G$101,MOD(65+$C20+(-2),$B$3)+1)*G20+INDEX(Symboles!$G$6:$G$101,MOD(65+$C20+(-1),$B$3)+1)*H20+INDEX(Symboles!$G$6:$G$101,MOD(65+$C20+(0),$B$3)+1)*I20+INDEX(Symboles!$G$6:$G$101,MOD(65+$C20+(1),$B$3)+1)*J20+INDEX(Symboles!$G$6:$G$101,MOD(65+$C20+(2),$B$3)+1)*K20+INDEX(Symboles!$G$6:$G$101,MOD(65+$C20+(3),$B$3)+1)*L20+INDEX(Symboles!$G$6:$G$101,MOD(65+$C20+(4),$B$3)+1)*M20+IF($B$6=0,0,$B$6*NORMSINV(0.000001+0.999998*RAND())))</f>
        <v/>
      </c>
      <c r="CD20" s="30">
        <f>IF(67&gt;$B$3,99,INDEX(Symboles!$G$6:$G$101,MOD(66+$C20+(-4),$B$3)+1)*E20+INDEX(Symboles!$G$6:$G$101,MOD(66+$C20+(-3),$B$3)+1)*F20+INDEX(Symboles!$G$6:$G$101,MOD(66+$C20+(-2),$B$3)+1)*G20+INDEX(Symboles!$G$6:$G$101,MOD(66+$C20+(-1),$B$3)+1)*H20+INDEX(Symboles!$G$6:$G$101,MOD(66+$C20+(0),$B$3)+1)*I20+INDEX(Symboles!$G$6:$G$101,MOD(66+$C20+(1),$B$3)+1)*J20+INDEX(Symboles!$G$6:$G$101,MOD(66+$C20+(2),$B$3)+1)*K20+INDEX(Symboles!$G$6:$G$101,MOD(66+$C20+(3),$B$3)+1)*L20+INDEX(Symboles!$G$6:$G$101,MOD(66+$C20+(4),$B$3)+1)*M20+IF($B$6=0,0,$B$6*NORMSINV(0.000001+0.999998*RAND())))</f>
        <v/>
      </c>
      <c r="CE20" s="30">
        <f>IF(68&gt;$B$3,99,INDEX(Symboles!$G$6:$G$101,MOD(67+$C20+(-4),$B$3)+1)*E20+INDEX(Symboles!$G$6:$G$101,MOD(67+$C20+(-3),$B$3)+1)*F20+INDEX(Symboles!$G$6:$G$101,MOD(67+$C20+(-2),$B$3)+1)*G20+INDEX(Symboles!$G$6:$G$101,MOD(67+$C20+(-1),$B$3)+1)*H20+INDEX(Symboles!$G$6:$G$101,MOD(67+$C20+(0),$B$3)+1)*I20+INDEX(Symboles!$G$6:$G$101,MOD(67+$C20+(1),$B$3)+1)*J20+INDEX(Symboles!$G$6:$G$101,MOD(67+$C20+(2),$B$3)+1)*K20+INDEX(Symboles!$G$6:$G$101,MOD(67+$C20+(3),$B$3)+1)*L20+INDEX(Symboles!$G$6:$G$101,MOD(67+$C20+(4),$B$3)+1)*M20+IF($B$6=0,0,$B$6*NORMSINV(0.000001+0.999998*RAND())))</f>
        <v/>
      </c>
      <c r="CF20" s="30">
        <f>IF(69&gt;$B$3,99,INDEX(Symboles!$G$6:$G$101,MOD(68+$C20+(-4),$B$3)+1)*E20+INDEX(Symboles!$G$6:$G$101,MOD(68+$C20+(-3),$B$3)+1)*F20+INDEX(Symboles!$G$6:$G$101,MOD(68+$C20+(-2),$B$3)+1)*G20+INDEX(Symboles!$G$6:$G$101,MOD(68+$C20+(-1),$B$3)+1)*H20+INDEX(Symboles!$G$6:$G$101,MOD(68+$C20+(0),$B$3)+1)*I20+INDEX(Symboles!$G$6:$G$101,MOD(68+$C20+(1),$B$3)+1)*J20+INDEX(Symboles!$G$6:$G$101,MOD(68+$C20+(2),$B$3)+1)*K20+INDEX(Symboles!$G$6:$G$101,MOD(68+$C20+(3),$B$3)+1)*L20+INDEX(Symboles!$G$6:$G$101,MOD(68+$C20+(4),$B$3)+1)*M20+IF($B$6=0,0,$B$6*NORMSINV(0.000001+0.999998*RAND())))</f>
        <v/>
      </c>
      <c r="CG20" s="30">
        <f>IF(70&gt;$B$3,99,INDEX(Symboles!$G$6:$G$101,MOD(69+$C20+(-4),$B$3)+1)*E20+INDEX(Symboles!$G$6:$G$101,MOD(69+$C20+(-3),$B$3)+1)*F20+INDEX(Symboles!$G$6:$G$101,MOD(69+$C20+(-2),$B$3)+1)*G20+INDEX(Symboles!$G$6:$G$101,MOD(69+$C20+(-1),$B$3)+1)*H20+INDEX(Symboles!$G$6:$G$101,MOD(69+$C20+(0),$B$3)+1)*I20+INDEX(Symboles!$G$6:$G$101,MOD(69+$C20+(1),$B$3)+1)*J20+INDEX(Symboles!$G$6:$G$101,MOD(69+$C20+(2),$B$3)+1)*K20+INDEX(Symboles!$G$6:$G$101,MOD(69+$C20+(3),$B$3)+1)*L20+INDEX(Symboles!$G$6:$G$101,MOD(69+$C20+(4),$B$3)+1)*M20+IF($B$6=0,0,$B$6*NORMSINV(0.000001+0.999998*RAND())))</f>
        <v/>
      </c>
      <c r="CH20" s="30">
        <f>IF(71&gt;$B$3,99,INDEX(Symboles!$G$6:$G$101,MOD(70+$C20+(-4),$B$3)+1)*E20+INDEX(Symboles!$G$6:$G$101,MOD(70+$C20+(-3),$B$3)+1)*F20+INDEX(Symboles!$G$6:$G$101,MOD(70+$C20+(-2),$B$3)+1)*G20+INDEX(Symboles!$G$6:$G$101,MOD(70+$C20+(-1),$B$3)+1)*H20+INDEX(Symboles!$G$6:$G$101,MOD(70+$C20+(0),$B$3)+1)*I20+INDEX(Symboles!$G$6:$G$101,MOD(70+$C20+(1),$B$3)+1)*J20+INDEX(Symboles!$G$6:$G$101,MOD(70+$C20+(2),$B$3)+1)*K20+INDEX(Symboles!$G$6:$G$101,MOD(70+$C20+(3),$B$3)+1)*L20+INDEX(Symboles!$G$6:$G$101,MOD(70+$C20+(4),$B$3)+1)*M20+IF($B$6=0,0,$B$6*NORMSINV(0.000001+0.999998*RAND())))</f>
        <v/>
      </c>
      <c r="CI20" s="30">
        <f>IF(72&gt;$B$3,99,INDEX(Symboles!$G$6:$G$101,MOD(71+$C20+(-4),$B$3)+1)*E20+INDEX(Symboles!$G$6:$G$101,MOD(71+$C20+(-3),$B$3)+1)*F20+INDEX(Symboles!$G$6:$G$101,MOD(71+$C20+(-2),$B$3)+1)*G20+INDEX(Symboles!$G$6:$G$101,MOD(71+$C20+(-1),$B$3)+1)*H20+INDEX(Symboles!$G$6:$G$101,MOD(71+$C20+(0),$B$3)+1)*I20+INDEX(Symboles!$G$6:$G$101,MOD(71+$C20+(1),$B$3)+1)*J20+INDEX(Symboles!$G$6:$G$101,MOD(71+$C20+(2),$B$3)+1)*K20+INDEX(Symboles!$G$6:$G$101,MOD(71+$C20+(3),$B$3)+1)*L20+INDEX(Symboles!$G$6:$G$101,MOD(71+$C20+(4),$B$3)+1)*M20+IF($B$6=0,0,$B$6*NORMSINV(0.000001+0.999998*RAND())))</f>
        <v/>
      </c>
      <c r="CJ20" s="30">
        <f>IF(73&gt;$B$3,99,INDEX(Symboles!$G$6:$G$101,MOD(72+$C20+(-4),$B$3)+1)*E20+INDEX(Symboles!$G$6:$G$101,MOD(72+$C20+(-3),$B$3)+1)*F20+INDEX(Symboles!$G$6:$G$101,MOD(72+$C20+(-2),$B$3)+1)*G20+INDEX(Symboles!$G$6:$G$101,MOD(72+$C20+(-1),$B$3)+1)*H20+INDEX(Symboles!$G$6:$G$101,MOD(72+$C20+(0),$B$3)+1)*I20+INDEX(Symboles!$G$6:$G$101,MOD(72+$C20+(1),$B$3)+1)*J20+INDEX(Symboles!$G$6:$G$101,MOD(72+$C20+(2),$B$3)+1)*K20+INDEX(Symboles!$G$6:$G$101,MOD(72+$C20+(3),$B$3)+1)*L20+INDEX(Symboles!$G$6:$G$101,MOD(72+$C20+(4),$B$3)+1)*M20+IF($B$6=0,0,$B$6*NORMSINV(0.000001+0.999998*RAND())))</f>
        <v/>
      </c>
      <c r="CK20" s="30">
        <f>IF(74&gt;$B$3,99,INDEX(Symboles!$G$6:$G$101,MOD(73+$C20+(-4),$B$3)+1)*E20+INDEX(Symboles!$G$6:$G$101,MOD(73+$C20+(-3),$B$3)+1)*F20+INDEX(Symboles!$G$6:$G$101,MOD(73+$C20+(-2),$B$3)+1)*G20+INDEX(Symboles!$G$6:$G$101,MOD(73+$C20+(-1),$B$3)+1)*H20+INDEX(Symboles!$G$6:$G$101,MOD(73+$C20+(0),$B$3)+1)*I20+INDEX(Symboles!$G$6:$G$101,MOD(73+$C20+(1),$B$3)+1)*J20+INDEX(Symboles!$G$6:$G$101,MOD(73+$C20+(2),$B$3)+1)*K20+INDEX(Symboles!$G$6:$G$101,MOD(73+$C20+(3),$B$3)+1)*L20+INDEX(Symboles!$G$6:$G$101,MOD(73+$C20+(4),$B$3)+1)*M20+IF($B$6=0,0,$B$6*NORMSINV(0.000001+0.999998*RAND())))</f>
        <v/>
      </c>
      <c r="CL20" s="30">
        <f>IF(75&gt;$B$3,99,INDEX(Symboles!$G$6:$G$101,MOD(74+$C20+(-4),$B$3)+1)*E20+INDEX(Symboles!$G$6:$G$101,MOD(74+$C20+(-3),$B$3)+1)*F20+INDEX(Symboles!$G$6:$G$101,MOD(74+$C20+(-2),$B$3)+1)*G20+INDEX(Symboles!$G$6:$G$101,MOD(74+$C20+(-1),$B$3)+1)*H20+INDEX(Symboles!$G$6:$G$101,MOD(74+$C20+(0),$B$3)+1)*I20+INDEX(Symboles!$G$6:$G$101,MOD(74+$C20+(1),$B$3)+1)*J20+INDEX(Symboles!$G$6:$G$101,MOD(74+$C20+(2),$B$3)+1)*K20+INDEX(Symboles!$G$6:$G$101,MOD(74+$C20+(3),$B$3)+1)*L20+INDEX(Symboles!$G$6:$G$101,MOD(74+$C20+(4),$B$3)+1)*M20+IF($B$6=0,0,$B$6*NORMSINV(0.000001+0.999998*RAND())))</f>
        <v/>
      </c>
      <c r="CM20" s="30">
        <f>IF(76&gt;$B$3,99,INDEX(Symboles!$G$6:$G$101,MOD(75+$C20+(-4),$B$3)+1)*E20+INDEX(Symboles!$G$6:$G$101,MOD(75+$C20+(-3),$B$3)+1)*F20+INDEX(Symboles!$G$6:$G$101,MOD(75+$C20+(-2),$B$3)+1)*G20+INDEX(Symboles!$G$6:$G$101,MOD(75+$C20+(-1),$B$3)+1)*H20+INDEX(Symboles!$G$6:$G$101,MOD(75+$C20+(0),$B$3)+1)*I20+INDEX(Symboles!$G$6:$G$101,MOD(75+$C20+(1),$B$3)+1)*J20+INDEX(Symboles!$G$6:$G$101,MOD(75+$C20+(2),$B$3)+1)*K20+INDEX(Symboles!$G$6:$G$101,MOD(75+$C20+(3),$B$3)+1)*L20+INDEX(Symboles!$G$6:$G$101,MOD(75+$C20+(4),$B$3)+1)*M20+IF($B$6=0,0,$B$6*NORMSINV(0.000001+0.999998*RAND())))</f>
        <v/>
      </c>
      <c r="CN20" s="30">
        <f>IF(77&gt;$B$3,99,INDEX(Symboles!$G$6:$G$101,MOD(76+$C20+(-4),$B$3)+1)*E20+INDEX(Symboles!$G$6:$G$101,MOD(76+$C20+(-3),$B$3)+1)*F20+INDEX(Symboles!$G$6:$G$101,MOD(76+$C20+(-2),$B$3)+1)*G20+INDEX(Symboles!$G$6:$G$101,MOD(76+$C20+(-1),$B$3)+1)*H20+INDEX(Symboles!$G$6:$G$101,MOD(76+$C20+(0),$B$3)+1)*I20+INDEX(Symboles!$G$6:$G$101,MOD(76+$C20+(1),$B$3)+1)*J20+INDEX(Symboles!$G$6:$G$101,MOD(76+$C20+(2),$B$3)+1)*K20+INDEX(Symboles!$G$6:$G$101,MOD(76+$C20+(3),$B$3)+1)*L20+INDEX(Symboles!$G$6:$G$101,MOD(76+$C20+(4),$B$3)+1)*M20+IF($B$6=0,0,$B$6*NORMSINV(0.000001+0.999998*RAND())))</f>
        <v/>
      </c>
      <c r="CO20" s="30">
        <f>IF(78&gt;$B$3,99,INDEX(Symboles!$G$6:$G$101,MOD(77+$C20+(-4),$B$3)+1)*E20+INDEX(Symboles!$G$6:$G$101,MOD(77+$C20+(-3),$B$3)+1)*F20+INDEX(Symboles!$G$6:$G$101,MOD(77+$C20+(-2),$B$3)+1)*G20+INDEX(Symboles!$G$6:$G$101,MOD(77+$C20+(-1),$B$3)+1)*H20+INDEX(Symboles!$G$6:$G$101,MOD(77+$C20+(0),$B$3)+1)*I20+INDEX(Symboles!$G$6:$G$101,MOD(77+$C20+(1),$B$3)+1)*J20+INDEX(Symboles!$G$6:$G$101,MOD(77+$C20+(2),$B$3)+1)*K20+INDEX(Symboles!$G$6:$G$101,MOD(77+$C20+(3),$B$3)+1)*L20+INDEX(Symboles!$G$6:$G$101,MOD(77+$C20+(4),$B$3)+1)*M20+IF($B$6=0,0,$B$6*NORMSINV(0.000001+0.999998*RAND())))</f>
        <v/>
      </c>
      <c r="CP20" s="30">
        <f>IF(79&gt;$B$3,99,INDEX(Symboles!$G$6:$G$101,MOD(78+$C20+(-4),$B$3)+1)*E20+INDEX(Symboles!$G$6:$G$101,MOD(78+$C20+(-3),$B$3)+1)*F20+INDEX(Symboles!$G$6:$G$101,MOD(78+$C20+(-2),$B$3)+1)*G20+INDEX(Symboles!$G$6:$G$101,MOD(78+$C20+(-1),$B$3)+1)*H20+INDEX(Symboles!$G$6:$G$101,MOD(78+$C20+(0),$B$3)+1)*I20+INDEX(Symboles!$G$6:$G$101,MOD(78+$C20+(1),$B$3)+1)*J20+INDEX(Symboles!$G$6:$G$101,MOD(78+$C20+(2),$B$3)+1)*K20+INDEX(Symboles!$G$6:$G$101,MOD(78+$C20+(3),$B$3)+1)*L20+INDEX(Symboles!$G$6:$G$101,MOD(78+$C20+(4),$B$3)+1)*M20+IF($B$6=0,0,$B$6*NORMSINV(0.000001+0.999998*RAND())))</f>
        <v/>
      </c>
      <c r="CQ20" s="30">
        <f>IF(80&gt;$B$3,99,INDEX(Symboles!$G$6:$G$101,MOD(79+$C20+(-4),$B$3)+1)*E20+INDEX(Symboles!$G$6:$G$101,MOD(79+$C20+(-3),$B$3)+1)*F20+INDEX(Symboles!$G$6:$G$101,MOD(79+$C20+(-2),$B$3)+1)*G20+INDEX(Symboles!$G$6:$G$101,MOD(79+$C20+(-1),$B$3)+1)*H20+INDEX(Symboles!$G$6:$G$101,MOD(79+$C20+(0),$B$3)+1)*I20+INDEX(Symboles!$G$6:$G$101,MOD(79+$C20+(1),$B$3)+1)*J20+INDEX(Symboles!$G$6:$G$101,MOD(79+$C20+(2),$B$3)+1)*K20+INDEX(Symboles!$G$6:$G$101,MOD(79+$C20+(3),$B$3)+1)*L20+INDEX(Symboles!$G$6:$G$101,MOD(79+$C20+(4),$B$3)+1)*M20+IF($B$6=0,0,$B$6*NORMSINV(0.000001+0.999998*RAND())))</f>
        <v/>
      </c>
      <c r="CR20" s="30">
        <f>IF(81&gt;$B$3,99,INDEX(Symboles!$G$6:$G$101,MOD(80+$C20+(-4),$B$3)+1)*E20+INDEX(Symboles!$G$6:$G$101,MOD(80+$C20+(-3),$B$3)+1)*F20+INDEX(Symboles!$G$6:$G$101,MOD(80+$C20+(-2),$B$3)+1)*G20+INDEX(Symboles!$G$6:$G$101,MOD(80+$C20+(-1),$B$3)+1)*H20+INDEX(Symboles!$G$6:$G$101,MOD(80+$C20+(0),$B$3)+1)*I20+INDEX(Symboles!$G$6:$G$101,MOD(80+$C20+(1),$B$3)+1)*J20+INDEX(Symboles!$G$6:$G$101,MOD(80+$C20+(2),$B$3)+1)*K20+INDEX(Symboles!$G$6:$G$101,MOD(80+$C20+(3),$B$3)+1)*L20+INDEX(Symboles!$G$6:$G$101,MOD(80+$C20+(4),$B$3)+1)*M20+IF($B$6=0,0,$B$6*NORMSINV(0.000001+0.999998*RAND())))</f>
        <v/>
      </c>
      <c r="CS20" s="30">
        <f>IF(82&gt;$B$3,99,INDEX(Symboles!$G$6:$G$101,MOD(81+$C20+(-4),$B$3)+1)*E20+INDEX(Symboles!$G$6:$G$101,MOD(81+$C20+(-3),$B$3)+1)*F20+INDEX(Symboles!$G$6:$G$101,MOD(81+$C20+(-2),$B$3)+1)*G20+INDEX(Symboles!$G$6:$G$101,MOD(81+$C20+(-1),$B$3)+1)*H20+INDEX(Symboles!$G$6:$G$101,MOD(81+$C20+(0),$B$3)+1)*I20+INDEX(Symboles!$G$6:$G$101,MOD(81+$C20+(1),$B$3)+1)*J20+INDEX(Symboles!$G$6:$G$101,MOD(81+$C20+(2),$B$3)+1)*K20+INDEX(Symboles!$G$6:$G$101,MOD(81+$C20+(3),$B$3)+1)*L20+INDEX(Symboles!$G$6:$G$101,MOD(81+$C20+(4),$B$3)+1)*M20+IF($B$6=0,0,$B$6*NORMSINV(0.000001+0.999998*RAND())))</f>
        <v/>
      </c>
      <c r="CT20" s="30">
        <f>IF(83&gt;$B$3,99,INDEX(Symboles!$G$6:$G$101,MOD(82+$C20+(-4),$B$3)+1)*E20+INDEX(Symboles!$G$6:$G$101,MOD(82+$C20+(-3),$B$3)+1)*F20+INDEX(Symboles!$G$6:$G$101,MOD(82+$C20+(-2),$B$3)+1)*G20+INDEX(Symboles!$G$6:$G$101,MOD(82+$C20+(-1),$B$3)+1)*H20+INDEX(Symboles!$G$6:$G$101,MOD(82+$C20+(0),$B$3)+1)*I20+INDEX(Symboles!$G$6:$G$101,MOD(82+$C20+(1),$B$3)+1)*J20+INDEX(Symboles!$G$6:$G$101,MOD(82+$C20+(2),$B$3)+1)*K20+INDEX(Symboles!$G$6:$G$101,MOD(82+$C20+(3),$B$3)+1)*L20+INDEX(Symboles!$G$6:$G$101,MOD(82+$C20+(4),$B$3)+1)*M20+IF($B$6=0,0,$B$6*NORMSINV(0.000001+0.999998*RAND())))</f>
        <v/>
      </c>
      <c r="CU20" s="30">
        <f>IF(84&gt;$B$3,99,INDEX(Symboles!$G$6:$G$101,MOD(83+$C20+(-4),$B$3)+1)*E20+INDEX(Symboles!$G$6:$G$101,MOD(83+$C20+(-3),$B$3)+1)*F20+INDEX(Symboles!$G$6:$G$101,MOD(83+$C20+(-2),$B$3)+1)*G20+INDEX(Symboles!$G$6:$G$101,MOD(83+$C20+(-1),$B$3)+1)*H20+INDEX(Symboles!$G$6:$G$101,MOD(83+$C20+(0),$B$3)+1)*I20+INDEX(Symboles!$G$6:$G$101,MOD(83+$C20+(1),$B$3)+1)*J20+INDEX(Symboles!$G$6:$G$101,MOD(83+$C20+(2),$B$3)+1)*K20+INDEX(Symboles!$G$6:$G$101,MOD(83+$C20+(3),$B$3)+1)*L20+INDEX(Symboles!$G$6:$G$101,MOD(83+$C20+(4),$B$3)+1)*M20+IF($B$6=0,0,$B$6*NORMSINV(0.000001+0.999998*RAND())))</f>
        <v/>
      </c>
      <c r="CV20" s="30">
        <f>IF(85&gt;$B$3,99,INDEX(Symboles!$G$6:$G$101,MOD(84+$C20+(-4),$B$3)+1)*E20+INDEX(Symboles!$G$6:$G$101,MOD(84+$C20+(-3),$B$3)+1)*F20+INDEX(Symboles!$G$6:$G$101,MOD(84+$C20+(-2),$B$3)+1)*G20+INDEX(Symboles!$G$6:$G$101,MOD(84+$C20+(-1),$B$3)+1)*H20+INDEX(Symboles!$G$6:$G$101,MOD(84+$C20+(0),$B$3)+1)*I20+INDEX(Symboles!$G$6:$G$101,MOD(84+$C20+(1),$B$3)+1)*J20+INDEX(Symboles!$G$6:$G$101,MOD(84+$C20+(2),$B$3)+1)*K20+INDEX(Symboles!$G$6:$G$101,MOD(84+$C20+(3),$B$3)+1)*L20+INDEX(Symboles!$G$6:$G$101,MOD(84+$C20+(4),$B$3)+1)*M20+IF($B$6=0,0,$B$6*NORMSINV(0.000001+0.999998*RAND())))</f>
        <v/>
      </c>
      <c r="CW20" s="30">
        <f>IF(86&gt;$B$3,99,INDEX(Symboles!$G$6:$G$101,MOD(85+$C20+(-4),$B$3)+1)*E20+INDEX(Symboles!$G$6:$G$101,MOD(85+$C20+(-3),$B$3)+1)*F20+INDEX(Symboles!$G$6:$G$101,MOD(85+$C20+(-2),$B$3)+1)*G20+INDEX(Symboles!$G$6:$G$101,MOD(85+$C20+(-1),$B$3)+1)*H20+INDEX(Symboles!$G$6:$G$101,MOD(85+$C20+(0),$B$3)+1)*I20+INDEX(Symboles!$G$6:$G$101,MOD(85+$C20+(1),$B$3)+1)*J20+INDEX(Symboles!$G$6:$G$101,MOD(85+$C20+(2),$B$3)+1)*K20+INDEX(Symboles!$G$6:$G$101,MOD(85+$C20+(3),$B$3)+1)*L20+INDEX(Symboles!$G$6:$G$101,MOD(85+$C20+(4),$B$3)+1)*M20+IF($B$6=0,0,$B$6*NORMSINV(0.000001+0.999998*RAND())))</f>
        <v/>
      </c>
      <c r="CX20" s="30">
        <f>IF(87&gt;$B$3,99,INDEX(Symboles!$G$6:$G$101,MOD(86+$C20+(-4),$B$3)+1)*E20+INDEX(Symboles!$G$6:$G$101,MOD(86+$C20+(-3),$B$3)+1)*F20+INDEX(Symboles!$G$6:$G$101,MOD(86+$C20+(-2),$B$3)+1)*G20+INDEX(Symboles!$G$6:$G$101,MOD(86+$C20+(-1),$B$3)+1)*H20+INDEX(Symboles!$G$6:$G$101,MOD(86+$C20+(0),$B$3)+1)*I20+INDEX(Symboles!$G$6:$G$101,MOD(86+$C20+(1),$B$3)+1)*J20+INDEX(Symboles!$G$6:$G$101,MOD(86+$C20+(2),$B$3)+1)*K20+INDEX(Symboles!$G$6:$G$101,MOD(86+$C20+(3),$B$3)+1)*L20+INDEX(Symboles!$G$6:$G$101,MOD(86+$C20+(4),$B$3)+1)*M20+IF($B$6=0,0,$B$6*NORMSINV(0.000001+0.999998*RAND())))</f>
        <v/>
      </c>
      <c r="CY20" s="30">
        <f>IF(88&gt;$B$3,99,INDEX(Symboles!$G$6:$G$101,MOD(87+$C20+(-4),$B$3)+1)*E20+INDEX(Symboles!$G$6:$G$101,MOD(87+$C20+(-3),$B$3)+1)*F20+INDEX(Symboles!$G$6:$G$101,MOD(87+$C20+(-2),$B$3)+1)*G20+INDEX(Symboles!$G$6:$G$101,MOD(87+$C20+(-1),$B$3)+1)*H20+INDEX(Symboles!$G$6:$G$101,MOD(87+$C20+(0),$B$3)+1)*I20+INDEX(Symboles!$G$6:$G$101,MOD(87+$C20+(1),$B$3)+1)*J20+INDEX(Symboles!$G$6:$G$101,MOD(87+$C20+(2),$B$3)+1)*K20+INDEX(Symboles!$G$6:$G$101,MOD(87+$C20+(3),$B$3)+1)*L20+INDEX(Symboles!$G$6:$G$101,MOD(87+$C20+(4),$B$3)+1)*M20+IF($B$6=0,0,$B$6*NORMSINV(0.000001+0.999998*RAND())))</f>
        <v/>
      </c>
      <c r="CZ20" s="30">
        <f>IF(89&gt;$B$3,99,INDEX(Symboles!$G$6:$G$101,MOD(88+$C20+(-4),$B$3)+1)*E20+INDEX(Symboles!$G$6:$G$101,MOD(88+$C20+(-3),$B$3)+1)*F20+INDEX(Symboles!$G$6:$G$101,MOD(88+$C20+(-2),$B$3)+1)*G20+INDEX(Symboles!$G$6:$G$101,MOD(88+$C20+(-1),$B$3)+1)*H20+INDEX(Symboles!$G$6:$G$101,MOD(88+$C20+(0),$B$3)+1)*I20+INDEX(Symboles!$G$6:$G$101,MOD(88+$C20+(1),$B$3)+1)*J20+INDEX(Symboles!$G$6:$G$101,MOD(88+$C20+(2),$B$3)+1)*K20+INDEX(Symboles!$G$6:$G$101,MOD(88+$C20+(3),$B$3)+1)*L20+INDEX(Symboles!$G$6:$G$101,MOD(88+$C20+(4),$B$3)+1)*M20+IF($B$6=0,0,$B$6*NORMSINV(0.000001+0.999998*RAND())))</f>
        <v/>
      </c>
      <c r="DA20" s="30">
        <f>IF(90&gt;$B$3,99,INDEX(Symboles!$G$6:$G$101,MOD(89+$C20+(-4),$B$3)+1)*E20+INDEX(Symboles!$G$6:$G$101,MOD(89+$C20+(-3),$B$3)+1)*F20+INDEX(Symboles!$G$6:$G$101,MOD(89+$C20+(-2),$B$3)+1)*G20+INDEX(Symboles!$G$6:$G$101,MOD(89+$C20+(-1),$B$3)+1)*H20+INDEX(Symboles!$G$6:$G$101,MOD(89+$C20+(0),$B$3)+1)*I20+INDEX(Symboles!$G$6:$G$101,MOD(89+$C20+(1),$B$3)+1)*J20+INDEX(Symboles!$G$6:$G$101,MOD(89+$C20+(2),$B$3)+1)*K20+INDEX(Symboles!$G$6:$G$101,MOD(89+$C20+(3),$B$3)+1)*L20+INDEX(Symboles!$G$6:$G$101,MOD(89+$C20+(4),$B$3)+1)*M20+IF($B$6=0,0,$B$6*NORMSINV(0.000001+0.999998*RAND())))</f>
        <v/>
      </c>
      <c r="DB20" s="30">
        <f>IF(91&gt;$B$3,99,INDEX(Symboles!$G$6:$G$101,MOD(90+$C20+(-4),$B$3)+1)*E20+INDEX(Symboles!$G$6:$G$101,MOD(90+$C20+(-3),$B$3)+1)*F20+INDEX(Symboles!$G$6:$G$101,MOD(90+$C20+(-2),$B$3)+1)*G20+INDEX(Symboles!$G$6:$G$101,MOD(90+$C20+(-1),$B$3)+1)*H20+INDEX(Symboles!$G$6:$G$101,MOD(90+$C20+(0),$B$3)+1)*I20+INDEX(Symboles!$G$6:$G$101,MOD(90+$C20+(1),$B$3)+1)*J20+INDEX(Symboles!$G$6:$G$101,MOD(90+$C20+(2),$B$3)+1)*K20+INDEX(Symboles!$G$6:$G$101,MOD(90+$C20+(3),$B$3)+1)*L20+INDEX(Symboles!$G$6:$G$101,MOD(90+$C20+(4),$B$3)+1)*M20+IF($B$6=0,0,$B$6*NORMSINV(0.000001+0.999998*RAND())))</f>
        <v/>
      </c>
      <c r="DC20" s="30">
        <f>IF(92&gt;$B$3,99,INDEX(Symboles!$G$6:$G$101,MOD(91+$C20+(-4),$B$3)+1)*E20+INDEX(Symboles!$G$6:$G$101,MOD(91+$C20+(-3),$B$3)+1)*F20+INDEX(Symboles!$G$6:$G$101,MOD(91+$C20+(-2),$B$3)+1)*G20+INDEX(Symboles!$G$6:$G$101,MOD(91+$C20+(-1),$B$3)+1)*H20+INDEX(Symboles!$G$6:$G$101,MOD(91+$C20+(0),$B$3)+1)*I20+INDEX(Symboles!$G$6:$G$101,MOD(91+$C20+(1),$B$3)+1)*J20+INDEX(Symboles!$G$6:$G$101,MOD(91+$C20+(2),$B$3)+1)*K20+INDEX(Symboles!$G$6:$G$101,MOD(91+$C20+(3),$B$3)+1)*L20+INDEX(Symboles!$G$6:$G$101,MOD(91+$C20+(4),$B$3)+1)*M20+IF($B$6=0,0,$B$6*NORMSINV(0.000001+0.999998*RAND())))</f>
        <v/>
      </c>
      <c r="DD20" s="30">
        <f>IF(93&gt;$B$3,99,INDEX(Symboles!$G$6:$G$101,MOD(92+$C20+(-4),$B$3)+1)*E20+INDEX(Symboles!$G$6:$G$101,MOD(92+$C20+(-3),$B$3)+1)*F20+INDEX(Symboles!$G$6:$G$101,MOD(92+$C20+(-2),$B$3)+1)*G20+INDEX(Symboles!$G$6:$G$101,MOD(92+$C20+(-1),$B$3)+1)*H20+INDEX(Symboles!$G$6:$G$101,MOD(92+$C20+(0),$B$3)+1)*I20+INDEX(Symboles!$G$6:$G$101,MOD(92+$C20+(1),$B$3)+1)*J20+INDEX(Symboles!$G$6:$G$101,MOD(92+$C20+(2),$B$3)+1)*K20+INDEX(Symboles!$G$6:$G$101,MOD(92+$C20+(3),$B$3)+1)*L20+INDEX(Symboles!$G$6:$G$101,MOD(92+$C20+(4),$B$3)+1)*M20+IF($B$6=0,0,$B$6*NORMSINV(0.000001+0.999998*RAND())))</f>
        <v/>
      </c>
      <c r="DE20" s="30">
        <f>IF(94&gt;$B$3,99,INDEX(Symboles!$G$6:$G$101,MOD(93+$C20+(-4),$B$3)+1)*E20+INDEX(Symboles!$G$6:$G$101,MOD(93+$C20+(-3),$B$3)+1)*F20+INDEX(Symboles!$G$6:$G$101,MOD(93+$C20+(-2),$B$3)+1)*G20+INDEX(Symboles!$G$6:$G$101,MOD(93+$C20+(-1),$B$3)+1)*H20+INDEX(Symboles!$G$6:$G$101,MOD(93+$C20+(0),$B$3)+1)*I20+INDEX(Symboles!$G$6:$G$101,MOD(93+$C20+(1),$B$3)+1)*J20+INDEX(Symboles!$G$6:$G$101,MOD(93+$C20+(2),$B$3)+1)*K20+INDEX(Symboles!$G$6:$G$101,MOD(93+$C20+(3),$B$3)+1)*L20+INDEX(Symboles!$G$6:$G$101,MOD(93+$C20+(4),$B$3)+1)*M20+IF($B$6=0,0,$B$6*NORMSINV(0.000001+0.999998*RAND())))</f>
        <v/>
      </c>
      <c r="DF20" s="30">
        <f>IF(95&gt;$B$3,99,INDEX(Symboles!$G$6:$G$101,MOD(94+$C20+(-4),$B$3)+1)*E20+INDEX(Symboles!$G$6:$G$101,MOD(94+$C20+(-3),$B$3)+1)*F20+INDEX(Symboles!$G$6:$G$101,MOD(94+$C20+(-2),$B$3)+1)*G20+INDEX(Symboles!$G$6:$G$101,MOD(94+$C20+(-1),$B$3)+1)*H20+INDEX(Symboles!$G$6:$G$101,MOD(94+$C20+(0),$B$3)+1)*I20+INDEX(Symboles!$G$6:$G$101,MOD(94+$C20+(1),$B$3)+1)*J20+INDEX(Symboles!$G$6:$G$101,MOD(94+$C20+(2),$B$3)+1)*K20+INDEX(Symboles!$G$6:$G$101,MOD(94+$C20+(3),$B$3)+1)*L20+INDEX(Symboles!$G$6:$G$101,MOD(94+$C20+(4),$B$3)+1)*M20+IF($B$6=0,0,$B$6*NORMSINV(0.000001+0.999998*RAND())))</f>
        <v/>
      </c>
      <c r="DG20" s="30">
        <f>IF(96&gt;$B$3,99,INDEX(Symboles!$G$6:$G$101,MOD(95+$C20+(-4),$B$3)+1)*E20+INDEX(Symboles!$G$6:$G$101,MOD(95+$C20+(-3),$B$3)+1)*F20+INDEX(Symboles!$G$6:$G$101,MOD(95+$C20+(-2),$B$3)+1)*G20+INDEX(Symboles!$G$6:$G$101,MOD(95+$C20+(-1),$B$3)+1)*H20+INDEX(Symboles!$G$6:$G$101,MOD(95+$C20+(0),$B$3)+1)*I20+INDEX(Symboles!$G$6:$G$101,MOD(95+$C20+(1),$B$3)+1)*J20+INDEX(Symboles!$G$6:$G$101,MOD(95+$C20+(2),$B$3)+1)*K20+INDEX(Symboles!$G$6:$G$101,MOD(95+$C20+(3),$B$3)+1)*L20+INDEX(Symboles!$G$6:$G$101,MOD(95+$C20+(4),$B$3)+1)*M20+IF($B$6=0,0,$B$6*NORMSINV(0.000001+0.999998*RAND())))</f>
        <v/>
      </c>
      <c r="DI20" s="30">
        <f>IF(1&gt;$B$3,99,INDEX(Symboles!$H$6:$H$101,MOD(0+$C20+(-4),$B$3)+1)*E20+INDEX(Symboles!$H$6:$H$101,MOD(0+$C20+(-3),$B$3)+1)*F20+INDEX(Symboles!$H$6:$H$101,MOD(0+$C20+(-2),$B$3)+1)*G20+INDEX(Symboles!$H$6:$H$101,MOD(0+$C20+(-1),$B$3)+1)*H20+INDEX(Symboles!$H$6:$H$101,MOD(0+$C20+(0),$B$3)+1)*I20+INDEX(Symboles!$H$6:$H$101,MOD(0+$C20+(1),$B$3)+1)*J20+INDEX(Symboles!$H$6:$H$101,MOD(0+$C20+(2),$B$3)+1)*K20+INDEX(Symboles!$H$6:$H$101,MOD(0+$C20+(3),$B$3)+1)*L20+INDEX(Symboles!$H$6:$H$101,MOD(0+$C20+(4),$B$3)+1)*M20+IF($B$6=0,0,$B$6*NORMSINV(0.000001+0.999998*RAND())))</f>
        <v/>
      </c>
      <c r="DJ20" s="30">
        <f>IF(2&gt;$B$3,99,INDEX(Symboles!$H$6:$H$101,MOD(1+$C20+(-4),$B$3)+1)*E20+INDEX(Symboles!$H$6:$H$101,MOD(1+$C20+(-3),$B$3)+1)*F20+INDEX(Symboles!$H$6:$H$101,MOD(1+$C20+(-2),$B$3)+1)*G20+INDEX(Symboles!$H$6:$H$101,MOD(1+$C20+(-1),$B$3)+1)*H20+INDEX(Symboles!$H$6:$H$101,MOD(1+$C20+(0),$B$3)+1)*I20+INDEX(Symboles!$H$6:$H$101,MOD(1+$C20+(1),$B$3)+1)*J20+INDEX(Symboles!$H$6:$H$101,MOD(1+$C20+(2),$B$3)+1)*K20+INDEX(Symboles!$H$6:$H$101,MOD(1+$C20+(3),$B$3)+1)*L20+INDEX(Symboles!$H$6:$H$101,MOD(1+$C20+(4),$B$3)+1)*M20+IF($B$6=0,0,$B$6*NORMSINV(0.000001+0.999998*RAND())))</f>
        <v/>
      </c>
      <c r="DK20" s="30">
        <f>IF(3&gt;$B$3,99,INDEX(Symboles!$H$6:$H$101,MOD(2+$C20+(-4),$B$3)+1)*E20+INDEX(Symboles!$H$6:$H$101,MOD(2+$C20+(-3),$B$3)+1)*F20+INDEX(Symboles!$H$6:$H$101,MOD(2+$C20+(-2),$B$3)+1)*G20+INDEX(Symboles!$H$6:$H$101,MOD(2+$C20+(-1),$B$3)+1)*H20+INDEX(Symboles!$H$6:$H$101,MOD(2+$C20+(0),$B$3)+1)*I20+INDEX(Symboles!$H$6:$H$101,MOD(2+$C20+(1),$B$3)+1)*J20+INDEX(Symboles!$H$6:$H$101,MOD(2+$C20+(2),$B$3)+1)*K20+INDEX(Symboles!$H$6:$H$101,MOD(2+$C20+(3),$B$3)+1)*L20+INDEX(Symboles!$H$6:$H$101,MOD(2+$C20+(4),$B$3)+1)*M20+IF($B$6=0,0,$B$6*NORMSINV(0.000001+0.999998*RAND())))</f>
        <v/>
      </c>
      <c r="DL20" s="30">
        <f>IF(4&gt;$B$3,99,INDEX(Symboles!$H$6:$H$101,MOD(3+$C20+(-4),$B$3)+1)*E20+INDEX(Symboles!$H$6:$H$101,MOD(3+$C20+(-3),$B$3)+1)*F20+INDEX(Symboles!$H$6:$H$101,MOD(3+$C20+(-2),$B$3)+1)*G20+INDEX(Symboles!$H$6:$H$101,MOD(3+$C20+(-1),$B$3)+1)*H20+INDEX(Symboles!$H$6:$H$101,MOD(3+$C20+(0),$B$3)+1)*I20+INDEX(Symboles!$H$6:$H$101,MOD(3+$C20+(1),$B$3)+1)*J20+INDEX(Symboles!$H$6:$H$101,MOD(3+$C20+(2),$B$3)+1)*K20+INDEX(Symboles!$H$6:$H$101,MOD(3+$C20+(3),$B$3)+1)*L20+INDEX(Symboles!$H$6:$H$101,MOD(3+$C20+(4),$B$3)+1)*M20+IF($B$6=0,0,$B$6*NORMSINV(0.000001+0.999998*RAND())))</f>
        <v/>
      </c>
      <c r="DM20" s="30">
        <f>IF(5&gt;$B$3,99,INDEX(Symboles!$H$6:$H$101,MOD(4+$C20+(-4),$B$3)+1)*E20+INDEX(Symboles!$H$6:$H$101,MOD(4+$C20+(-3),$B$3)+1)*F20+INDEX(Symboles!$H$6:$H$101,MOD(4+$C20+(-2),$B$3)+1)*G20+INDEX(Symboles!$H$6:$H$101,MOD(4+$C20+(-1),$B$3)+1)*H20+INDEX(Symboles!$H$6:$H$101,MOD(4+$C20+(0),$B$3)+1)*I20+INDEX(Symboles!$H$6:$H$101,MOD(4+$C20+(1),$B$3)+1)*J20+INDEX(Symboles!$H$6:$H$101,MOD(4+$C20+(2),$B$3)+1)*K20+INDEX(Symboles!$H$6:$H$101,MOD(4+$C20+(3),$B$3)+1)*L20+INDEX(Symboles!$H$6:$H$101,MOD(4+$C20+(4),$B$3)+1)*M20+IF($B$6=0,0,$B$6*NORMSINV(0.000001+0.999998*RAND())))</f>
        <v/>
      </c>
      <c r="DN20" s="30">
        <f>IF(6&gt;$B$3,99,INDEX(Symboles!$H$6:$H$101,MOD(5+$C20+(-4),$B$3)+1)*E20+INDEX(Symboles!$H$6:$H$101,MOD(5+$C20+(-3),$B$3)+1)*F20+INDEX(Symboles!$H$6:$H$101,MOD(5+$C20+(-2),$B$3)+1)*G20+INDEX(Symboles!$H$6:$H$101,MOD(5+$C20+(-1),$B$3)+1)*H20+INDEX(Symboles!$H$6:$H$101,MOD(5+$C20+(0),$B$3)+1)*I20+INDEX(Symboles!$H$6:$H$101,MOD(5+$C20+(1),$B$3)+1)*J20+INDEX(Symboles!$H$6:$H$101,MOD(5+$C20+(2),$B$3)+1)*K20+INDEX(Symboles!$H$6:$H$101,MOD(5+$C20+(3),$B$3)+1)*L20+INDEX(Symboles!$H$6:$H$101,MOD(5+$C20+(4),$B$3)+1)*M20+IF($B$6=0,0,$B$6*NORMSINV(0.000001+0.999998*RAND())))</f>
        <v/>
      </c>
      <c r="DO20" s="30">
        <f>IF(7&gt;$B$3,99,INDEX(Symboles!$H$6:$H$101,MOD(6+$C20+(-4),$B$3)+1)*E20+INDEX(Symboles!$H$6:$H$101,MOD(6+$C20+(-3),$B$3)+1)*F20+INDEX(Symboles!$H$6:$H$101,MOD(6+$C20+(-2),$B$3)+1)*G20+INDEX(Symboles!$H$6:$H$101,MOD(6+$C20+(-1),$B$3)+1)*H20+INDEX(Symboles!$H$6:$H$101,MOD(6+$C20+(0),$B$3)+1)*I20+INDEX(Symboles!$H$6:$H$101,MOD(6+$C20+(1),$B$3)+1)*J20+INDEX(Symboles!$H$6:$H$101,MOD(6+$C20+(2),$B$3)+1)*K20+INDEX(Symboles!$H$6:$H$101,MOD(6+$C20+(3),$B$3)+1)*L20+INDEX(Symboles!$H$6:$H$101,MOD(6+$C20+(4),$B$3)+1)*M20+IF($B$6=0,0,$B$6*NORMSINV(0.000001+0.999998*RAND())))</f>
        <v/>
      </c>
      <c r="DP20" s="30">
        <f>IF(8&gt;$B$3,99,INDEX(Symboles!$H$6:$H$101,MOD(7+$C20+(-4),$B$3)+1)*E20+INDEX(Symboles!$H$6:$H$101,MOD(7+$C20+(-3),$B$3)+1)*F20+INDEX(Symboles!$H$6:$H$101,MOD(7+$C20+(-2),$B$3)+1)*G20+INDEX(Symboles!$H$6:$H$101,MOD(7+$C20+(-1),$B$3)+1)*H20+INDEX(Symboles!$H$6:$H$101,MOD(7+$C20+(0),$B$3)+1)*I20+INDEX(Symboles!$H$6:$H$101,MOD(7+$C20+(1),$B$3)+1)*J20+INDEX(Symboles!$H$6:$H$101,MOD(7+$C20+(2),$B$3)+1)*K20+INDEX(Symboles!$H$6:$H$101,MOD(7+$C20+(3),$B$3)+1)*L20+INDEX(Symboles!$H$6:$H$101,MOD(7+$C20+(4),$B$3)+1)*M20+IF($B$6=0,0,$B$6*NORMSINV(0.000001+0.999998*RAND())))</f>
        <v/>
      </c>
      <c r="DQ20" s="30">
        <f>IF(9&gt;$B$3,99,INDEX(Symboles!$H$6:$H$101,MOD(8+$C20+(-4),$B$3)+1)*E20+INDEX(Symboles!$H$6:$H$101,MOD(8+$C20+(-3),$B$3)+1)*F20+INDEX(Symboles!$H$6:$H$101,MOD(8+$C20+(-2),$B$3)+1)*G20+INDEX(Symboles!$H$6:$H$101,MOD(8+$C20+(-1),$B$3)+1)*H20+INDEX(Symboles!$H$6:$H$101,MOD(8+$C20+(0),$B$3)+1)*I20+INDEX(Symboles!$H$6:$H$101,MOD(8+$C20+(1),$B$3)+1)*J20+INDEX(Symboles!$H$6:$H$101,MOD(8+$C20+(2),$B$3)+1)*K20+INDEX(Symboles!$H$6:$H$101,MOD(8+$C20+(3),$B$3)+1)*L20+INDEX(Symboles!$H$6:$H$101,MOD(8+$C20+(4),$B$3)+1)*M20+IF($B$6=0,0,$B$6*NORMSINV(0.000001+0.999998*RAND())))</f>
        <v/>
      </c>
      <c r="DR20" s="30">
        <f>IF(10&gt;$B$3,99,INDEX(Symboles!$H$6:$H$101,MOD(9+$C20+(-4),$B$3)+1)*E20+INDEX(Symboles!$H$6:$H$101,MOD(9+$C20+(-3),$B$3)+1)*F20+INDEX(Symboles!$H$6:$H$101,MOD(9+$C20+(-2),$B$3)+1)*G20+INDEX(Symboles!$H$6:$H$101,MOD(9+$C20+(-1),$B$3)+1)*H20+INDEX(Symboles!$H$6:$H$101,MOD(9+$C20+(0),$B$3)+1)*I20+INDEX(Symboles!$H$6:$H$101,MOD(9+$C20+(1),$B$3)+1)*J20+INDEX(Symboles!$H$6:$H$101,MOD(9+$C20+(2),$B$3)+1)*K20+INDEX(Symboles!$H$6:$H$101,MOD(9+$C20+(3),$B$3)+1)*L20+INDEX(Symboles!$H$6:$H$101,MOD(9+$C20+(4),$B$3)+1)*M20+IF($B$6=0,0,$B$6*NORMSINV(0.000001+0.999998*RAND())))</f>
        <v/>
      </c>
      <c r="DS20" s="30">
        <f>IF(11&gt;$B$3,99,INDEX(Symboles!$H$6:$H$101,MOD(10+$C20+(-4),$B$3)+1)*E20+INDEX(Symboles!$H$6:$H$101,MOD(10+$C20+(-3),$B$3)+1)*F20+INDEX(Symboles!$H$6:$H$101,MOD(10+$C20+(-2),$B$3)+1)*G20+INDEX(Symboles!$H$6:$H$101,MOD(10+$C20+(-1),$B$3)+1)*H20+INDEX(Symboles!$H$6:$H$101,MOD(10+$C20+(0),$B$3)+1)*I20+INDEX(Symboles!$H$6:$H$101,MOD(10+$C20+(1),$B$3)+1)*J20+INDEX(Symboles!$H$6:$H$101,MOD(10+$C20+(2),$B$3)+1)*K20+INDEX(Symboles!$H$6:$H$101,MOD(10+$C20+(3),$B$3)+1)*L20+INDEX(Symboles!$H$6:$H$101,MOD(10+$C20+(4),$B$3)+1)*M20+IF($B$6=0,0,$B$6*NORMSINV(0.000001+0.999998*RAND())))</f>
        <v/>
      </c>
      <c r="DT20" s="30">
        <f>IF(12&gt;$B$3,99,INDEX(Symboles!$H$6:$H$101,MOD(11+$C20+(-4),$B$3)+1)*E20+INDEX(Symboles!$H$6:$H$101,MOD(11+$C20+(-3),$B$3)+1)*F20+INDEX(Symboles!$H$6:$H$101,MOD(11+$C20+(-2),$B$3)+1)*G20+INDEX(Symboles!$H$6:$H$101,MOD(11+$C20+(-1),$B$3)+1)*H20+INDEX(Symboles!$H$6:$H$101,MOD(11+$C20+(0),$B$3)+1)*I20+INDEX(Symboles!$H$6:$H$101,MOD(11+$C20+(1),$B$3)+1)*J20+INDEX(Symboles!$H$6:$H$101,MOD(11+$C20+(2),$B$3)+1)*K20+INDEX(Symboles!$H$6:$H$101,MOD(11+$C20+(3),$B$3)+1)*L20+INDEX(Symboles!$H$6:$H$101,MOD(11+$C20+(4),$B$3)+1)*M20+IF($B$6=0,0,$B$6*NORMSINV(0.000001+0.999998*RAND())))</f>
        <v/>
      </c>
      <c r="DU20" s="30">
        <f>IF(13&gt;$B$3,99,INDEX(Symboles!$H$6:$H$101,MOD(12+$C20+(-4),$B$3)+1)*E20+INDEX(Symboles!$H$6:$H$101,MOD(12+$C20+(-3),$B$3)+1)*F20+INDEX(Symboles!$H$6:$H$101,MOD(12+$C20+(-2),$B$3)+1)*G20+INDEX(Symboles!$H$6:$H$101,MOD(12+$C20+(-1),$B$3)+1)*H20+INDEX(Symboles!$H$6:$H$101,MOD(12+$C20+(0),$B$3)+1)*I20+INDEX(Symboles!$H$6:$H$101,MOD(12+$C20+(1),$B$3)+1)*J20+INDEX(Symboles!$H$6:$H$101,MOD(12+$C20+(2),$B$3)+1)*K20+INDEX(Symboles!$H$6:$H$101,MOD(12+$C20+(3),$B$3)+1)*L20+INDEX(Symboles!$H$6:$H$101,MOD(12+$C20+(4),$B$3)+1)*M20+IF($B$6=0,0,$B$6*NORMSINV(0.000001+0.999998*RAND())))</f>
        <v/>
      </c>
      <c r="DV20" s="30">
        <f>IF(14&gt;$B$3,99,INDEX(Symboles!$H$6:$H$101,MOD(13+$C20+(-4),$B$3)+1)*E20+INDEX(Symboles!$H$6:$H$101,MOD(13+$C20+(-3),$B$3)+1)*F20+INDEX(Symboles!$H$6:$H$101,MOD(13+$C20+(-2),$B$3)+1)*G20+INDEX(Symboles!$H$6:$H$101,MOD(13+$C20+(-1),$B$3)+1)*H20+INDEX(Symboles!$H$6:$H$101,MOD(13+$C20+(0),$B$3)+1)*I20+INDEX(Symboles!$H$6:$H$101,MOD(13+$C20+(1),$B$3)+1)*J20+INDEX(Symboles!$H$6:$H$101,MOD(13+$C20+(2),$B$3)+1)*K20+INDEX(Symboles!$H$6:$H$101,MOD(13+$C20+(3),$B$3)+1)*L20+INDEX(Symboles!$H$6:$H$101,MOD(13+$C20+(4),$B$3)+1)*M20+IF($B$6=0,0,$B$6*NORMSINV(0.000001+0.999998*RAND())))</f>
        <v/>
      </c>
      <c r="DW20" s="30">
        <f>IF(15&gt;$B$3,99,INDEX(Symboles!$H$6:$H$101,MOD(14+$C20+(-4),$B$3)+1)*E20+INDEX(Symboles!$H$6:$H$101,MOD(14+$C20+(-3),$B$3)+1)*F20+INDEX(Symboles!$H$6:$H$101,MOD(14+$C20+(-2),$B$3)+1)*G20+INDEX(Symboles!$H$6:$H$101,MOD(14+$C20+(-1),$B$3)+1)*H20+INDEX(Symboles!$H$6:$H$101,MOD(14+$C20+(0),$B$3)+1)*I20+INDEX(Symboles!$H$6:$H$101,MOD(14+$C20+(1),$B$3)+1)*J20+INDEX(Symboles!$H$6:$H$101,MOD(14+$C20+(2),$B$3)+1)*K20+INDEX(Symboles!$H$6:$H$101,MOD(14+$C20+(3),$B$3)+1)*L20+INDEX(Symboles!$H$6:$H$101,MOD(14+$C20+(4),$B$3)+1)*M20+IF($B$6=0,0,$B$6*NORMSINV(0.000001+0.999998*RAND())))</f>
        <v/>
      </c>
      <c r="DX20" s="30">
        <f>IF(16&gt;$B$3,99,INDEX(Symboles!$H$6:$H$101,MOD(15+$C20+(-4),$B$3)+1)*E20+INDEX(Symboles!$H$6:$H$101,MOD(15+$C20+(-3),$B$3)+1)*F20+INDEX(Symboles!$H$6:$H$101,MOD(15+$C20+(-2),$B$3)+1)*G20+INDEX(Symboles!$H$6:$H$101,MOD(15+$C20+(-1),$B$3)+1)*H20+INDEX(Symboles!$H$6:$H$101,MOD(15+$C20+(0),$B$3)+1)*I20+INDEX(Symboles!$H$6:$H$101,MOD(15+$C20+(1),$B$3)+1)*J20+INDEX(Symboles!$H$6:$H$101,MOD(15+$C20+(2),$B$3)+1)*K20+INDEX(Symboles!$H$6:$H$101,MOD(15+$C20+(3),$B$3)+1)*L20+INDEX(Symboles!$H$6:$H$101,MOD(15+$C20+(4),$B$3)+1)*M20+IF($B$6=0,0,$B$6*NORMSINV(0.000001+0.999998*RAND())))</f>
        <v/>
      </c>
      <c r="DY20" s="30">
        <f>IF(17&gt;$B$3,99,INDEX(Symboles!$H$6:$H$101,MOD(16+$C20+(-4),$B$3)+1)*E20+INDEX(Symboles!$H$6:$H$101,MOD(16+$C20+(-3),$B$3)+1)*F20+INDEX(Symboles!$H$6:$H$101,MOD(16+$C20+(-2),$B$3)+1)*G20+INDEX(Symboles!$H$6:$H$101,MOD(16+$C20+(-1),$B$3)+1)*H20+INDEX(Symboles!$H$6:$H$101,MOD(16+$C20+(0),$B$3)+1)*I20+INDEX(Symboles!$H$6:$H$101,MOD(16+$C20+(1),$B$3)+1)*J20+INDEX(Symboles!$H$6:$H$101,MOD(16+$C20+(2),$B$3)+1)*K20+INDEX(Symboles!$H$6:$H$101,MOD(16+$C20+(3),$B$3)+1)*L20+INDEX(Symboles!$H$6:$H$101,MOD(16+$C20+(4),$B$3)+1)*M20+IF($B$6=0,0,$B$6*NORMSINV(0.000001+0.999998*RAND())))</f>
        <v/>
      </c>
      <c r="DZ20" s="30">
        <f>IF(18&gt;$B$3,99,INDEX(Symboles!$H$6:$H$101,MOD(17+$C20+(-4),$B$3)+1)*E20+INDEX(Symboles!$H$6:$H$101,MOD(17+$C20+(-3),$B$3)+1)*F20+INDEX(Symboles!$H$6:$H$101,MOD(17+$C20+(-2),$B$3)+1)*G20+INDEX(Symboles!$H$6:$H$101,MOD(17+$C20+(-1),$B$3)+1)*H20+INDEX(Symboles!$H$6:$H$101,MOD(17+$C20+(0),$B$3)+1)*I20+INDEX(Symboles!$H$6:$H$101,MOD(17+$C20+(1),$B$3)+1)*J20+INDEX(Symboles!$H$6:$H$101,MOD(17+$C20+(2),$B$3)+1)*K20+INDEX(Symboles!$H$6:$H$101,MOD(17+$C20+(3),$B$3)+1)*L20+INDEX(Symboles!$H$6:$H$101,MOD(17+$C20+(4),$B$3)+1)*M20+IF($B$6=0,0,$B$6*NORMSINV(0.000001+0.999998*RAND())))</f>
        <v/>
      </c>
      <c r="EA20" s="30">
        <f>IF(19&gt;$B$3,99,INDEX(Symboles!$H$6:$H$101,MOD(18+$C20+(-4),$B$3)+1)*E20+INDEX(Symboles!$H$6:$H$101,MOD(18+$C20+(-3),$B$3)+1)*F20+INDEX(Symboles!$H$6:$H$101,MOD(18+$C20+(-2),$B$3)+1)*G20+INDEX(Symboles!$H$6:$H$101,MOD(18+$C20+(-1),$B$3)+1)*H20+INDEX(Symboles!$H$6:$H$101,MOD(18+$C20+(0),$B$3)+1)*I20+INDEX(Symboles!$H$6:$H$101,MOD(18+$C20+(1),$B$3)+1)*J20+INDEX(Symboles!$H$6:$H$101,MOD(18+$C20+(2),$B$3)+1)*K20+INDEX(Symboles!$H$6:$H$101,MOD(18+$C20+(3),$B$3)+1)*L20+INDEX(Symboles!$H$6:$H$101,MOD(18+$C20+(4),$B$3)+1)*M20+IF($B$6=0,0,$B$6*NORMSINV(0.000001+0.999998*RAND())))</f>
        <v/>
      </c>
      <c r="EB20" s="30">
        <f>IF(20&gt;$B$3,99,INDEX(Symboles!$H$6:$H$101,MOD(19+$C20+(-4),$B$3)+1)*E20+INDEX(Symboles!$H$6:$H$101,MOD(19+$C20+(-3),$B$3)+1)*F20+INDEX(Symboles!$H$6:$H$101,MOD(19+$C20+(-2),$B$3)+1)*G20+INDEX(Symboles!$H$6:$H$101,MOD(19+$C20+(-1),$B$3)+1)*H20+INDEX(Symboles!$H$6:$H$101,MOD(19+$C20+(0),$B$3)+1)*I20+INDEX(Symboles!$H$6:$H$101,MOD(19+$C20+(1),$B$3)+1)*J20+INDEX(Symboles!$H$6:$H$101,MOD(19+$C20+(2),$B$3)+1)*K20+INDEX(Symboles!$H$6:$H$101,MOD(19+$C20+(3),$B$3)+1)*L20+INDEX(Symboles!$H$6:$H$101,MOD(19+$C20+(4),$B$3)+1)*M20+IF($B$6=0,0,$B$6*NORMSINV(0.000001+0.999998*RAND())))</f>
        <v/>
      </c>
      <c r="EC20" s="30">
        <f>IF(21&gt;$B$3,99,INDEX(Symboles!$H$6:$H$101,MOD(20+$C20+(-4),$B$3)+1)*E20+INDEX(Symboles!$H$6:$H$101,MOD(20+$C20+(-3),$B$3)+1)*F20+INDEX(Symboles!$H$6:$H$101,MOD(20+$C20+(-2),$B$3)+1)*G20+INDEX(Symboles!$H$6:$H$101,MOD(20+$C20+(-1),$B$3)+1)*H20+INDEX(Symboles!$H$6:$H$101,MOD(20+$C20+(0),$B$3)+1)*I20+INDEX(Symboles!$H$6:$H$101,MOD(20+$C20+(1),$B$3)+1)*J20+INDEX(Symboles!$H$6:$H$101,MOD(20+$C20+(2),$B$3)+1)*K20+INDEX(Symboles!$H$6:$H$101,MOD(20+$C20+(3),$B$3)+1)*L20+INDEX(Symboles!$H$6:$H$101,MOD(20+$C20+(4),$B$3)+1)*M20+IF($B$6=0,0,$B$6*NORMSINV(0.000001+0.999998*RAND())))</f>
        <v/>
      </c>
      <c r="ED20" s="30">
        <f>IF(22&gt;$B$3,99,INDEX(Symboles!$H$6:$H$101,MOD(21+$C20+(-4),$B$3)+1)*E20+INDEX(Symboles!$H$6:$H$101,MOD(21+$C20+(-3),$B$3)+1)*F20+INDEX(Symboles!$H$6:$H$101,MOD(21+$C20+(-2),$B$3)+1)*G20+INDEX(Symboles!$H$6:$H$101,MOD(21+$C20+(-1),$B$3)+1)*H20+INDEX(Symboles!$H$6:$H$101,MOD(21+$C20+(0),$B$3)+1)*I20+INDEX(Symboles!$H$6:$H$101,MOD(21+$C20+(1),$B$3)+1)*J20+INDEX(Symboles!$H$6:$H$101,MOD(21+$C20+(2),$B$3)+1)*K20+INDEX(Symboles!$H$6:$H$101,MOD(21+$C20+(3),$B$3)+1)*L20+INDEX(Symboles!$H$6:$H$101,MOD(21+$C20+(4),$B$3)+1)*M20+IF($B$6=0,0,$B$6*NORMSINV(0.000001+0.999998*RAND())))</f>
        <v/>
      </c>
      <c r="EE20" s="30">
        <f>IF(23&gt;$B$3,99,INDEX(Symboles!$H$6:$H$101,MOD(22+$C20+(-4),$B$3)+1)*E20+INDEX(Symboles!$H$6:$H$101,MOD(22+$C20+(-3),$B$3)+1)*F20+INDEX(Symboles!$H$6:$H$101,MOD(22+$C20+(-2),$B$3)+1)*G20+INDEX(Symboles!$H$6:$H$101,MOD(22+$C20+(-1),$B$3)+1)*H20+INDEX(Symboles!$H$6:$H$101,MOD(22+$C20+(0),$B$3)+1)*I20+INDEX(Symboles!$H$6:$H$101,MOD(22+$C20+(1),$B$3)+1)*J20+INDEX(Symboles!$H$6:$H$101,MOD(22+$C20+(2),$B$3)+1)*K20+INDEX(Symboles!$H$6:$H$101,MOD(22+$C20+(3),$B$3)+1)*L20+INDEX(Symboles!$H$6:$H$101,MOD(22+$C20+(4),$B$3)+1)*M20+IF($B$6=0,0,$B$6*NORMSINV(0.000001+0.999998*RAND())))</f>
        <v/>
      </c>
      <c r="EF20" s="30">
        <f>IF(24&gt;$B$3,99,INDEX(Symboles!$H$6:$H$101,MOD(23+$C20+(-4),$B$3)+1)*E20+INDEX(Symboles!$H$6:$H$101,MOD(23+$C20+(-3),$B$3)+1)*F20+INDEX(Symboles!$H$6:$H$101,MOD(23+$C20+(-2),$B$3)+1)*G20+INDEX(Symboles!$H$6:$H$101,MOD(23+$C20+(-1),$B$3)+1)*H20+INDEX(Symboles!$H$6:$H$101,MOD(23+$C20+(0),$B$3)+1)*I20+INDEX(Symboles!$H$6:$H$101,MOD(23+$C20+(1),$B$3)+1)*J20+INDEX(Symboles!$H$6:$H$101,MOD(23+$C20+(2),$B$3)+1)*K20+INDEX(Symboles!$H$6:$H$101,MOD(23+$C20+(3),$B$3)+1)*L20+INDEX(Symboles!$H$6:$H$101,MOD(23+$C20+(4),$B$3)+1)*M20+IF($B$6=0,0,$B$6*NORMSINV(0.000001+0.999998*RAND())))</f>
        <v/>
      </c>
      <c r="EG20" s="30">
        <f>IF(25&gt;$B$3,99,INDEX(Symboles!$H$6:$H$101,MOD(24+$C20+(-4),$B$3)+1)*E20+INDEX(Symboles!$H$6:$H$101,MOD(24+$C20+(-3),$B$3)+1)*F20+INDEX(Symboles!$H$6:$H$101,MOD(24+$C20+(-2),$B$3)+1)*G20+INDEX(Symboles!$H$6:$H$101,MOD(24+$C20+(-1),$B$3)+1)*H20+INDEX(Symboles!$H$6:$H$101,MOD(24+$C20+(0),$B$3)+1)*I20+INDEX(Symboles!$H$6:$H$101,MOD(24+$C20+(1),$B$3)+1)*J20+INDEX(Symboles!$H$6:$H$101,MOD(24+$C20+(2),$B$3)+1)*K20+INDEX(Symboles!$H$6:$H$101,MOD(24+$C20+(3),$B$3)+1)*L20+INDEX(Symboles!$H$6:$H$101,MOD(24+$C20+(4),$B$3)+1)*M20+IF($B$6=0,0,$B$6*NORMSINV(0.000001+0.999998*RAND())))</f>
        <v/>
      </c>
      <c r="EH20" s="30">
        <f>IF(26&gt;$B$3,99,INDEX(Symboles!$H$6:$H$101,MOD(25+$C20+(-4),$B$3)+1)*E20+INDEX(Symboles!$H$6:$H$101,MOD(25+$C20+(-3),$B$3)+1)*F20+INDEX(Symboles!$H$6:$H$101,MOD(25+$C20+(-2),$B$3)+1)*G20+INDEX(Symboles!$H$6:$H$101,MOD(25+$C20+(-1),$B$3)+1)*H20+INDEX(Symboles!$H$6:$H$101,MOD(25+$C20+(0),$B$3)+1)*I20+INDEX(Symboles!$H$6:$H$101,MOD(25+$C20+(1),$B$3)+1)*J20+INDEX(Symboles!$H$6:$H$101,MOD(25+$C20+(2),$B$3)+1)*K20+INDEX(Symboles!$H$6:$H$101,MOD(25+$C20+(3),$B$3)+1)*L20+INDEX(Symboles!$H$6:$H$101,MOD(25+$C20+(4),$B$3)+1)*M20+IF($B$6=0,0,$B$6*NORMSINV(0.000001+0.999998*RAND())))</f>
        <v/>
      </c>
      <c r="EI20" s="30">
        <f>IF(27&gt;$B$3,99,INDEX(Symboles!$H$6:$H$101,MOD(26+$C20+(-4),$B$3)+1)*E20+INDEX(Symboles!$H$6:$H$101,MOD(26+$C20+(-3),$B$3)+1)*F20+INDEX(Symboles!$H$6:$H$101,MOD(26+$C20+(-2),$B$3)+1)*G20+INDEX(Symboles!$H$6:$H$101,MOD(26+$C20+(-1),$B$3)+1)*H20+INDEX(Symboles!$H$6:$H$101,MOD(26+$C20+(0),$B$3)+1)*I20+INDEX(Symboles!$H$6:$H$101,MOD(26+$C20+(1),$B$3)+1)*J20+INDEX(Symboles!$H$6:$H$101,MOD(26+$C20+(2),$B$3)+1)*K20+INDEX(Symboles!$H$6:$H$101,MOD(26+$C20+(3),$B$3)+1)*L20+INDEX(Symboles!$H$6:$H$101,MOD(26+$C20+(4),$B$3)+1)*M20+IF($B$6=0,0,$B$6*NORMSINV(0.000001+0.999998*RAND())))</f>
        <v/>
      </c>
      <c r="EJ20" s="30">
        <f>IF(28&gt;$B$3,99,INDEX(Symboles!$H$6:$H$101,MOD(27+$C20+(-4),$B$3)+1)*E20+INDEX(Symboles!$H$6:$H$101,MOD(27+$C20+(-3),$B$3)+1)*F20+INDEX(Symboles!$H$6:$H$101,MOD(27+$C20+(-2),$B$3)+1)*G20+INDEX(Symboles!$H$6:$H$101,MOD(27+$C20+(-1),$B$3)+1)*H20+INDEX(Symboles!$H$6:$H$101,MOD(27+$C20+(0),$B$3)+1)*I20+INDEX(Symboles!$H$6:$H$101,MOD(27+$C20+(1),$B$3)+1)*J20+INDEX(Symboles!$H$6:$H$101,MOD(27+$C20+(2),$B$3)+1)*K20+INDEX(Symboles!$H$6:$H$101,MOD(27+$C20+(3),$B$3)+1)*L20+INDEX(Symboles!$H$6:$H$101,MOD(27+$C20+(4),$B$3)+1)*M20+IF($B$6=0,0,$B$6*NORMSINV(0.000001+0.999998*RAND())))</f>
        <v/>
      </c>
      <c r="EK20" s="30">
        <f>IF(29&gt;$B$3,99,INDEX(Symboles!$H$6:$H$101,MOD(28+$C20+(-4),$B$3)+1)*E20+INDEX(Symboles!$H$6:$H$101,MOD(28+$C20+(-3),$B$3)+1)*F20+INDEX(Symboles!$H$6:$H$101,MOD(28+$C20+(-2),$B$3)+1)*G20+INDEX(Symboles!$H$6:$H$101,MOD(28+$C20+(-1),$B$3)+1)*H20+INDEX(Symboles!$H$6:$H$101,MOD(28+$C20+(0),$B$3)+1)*I20+INDEX(Symboles!$H$6:$H$101,MOD(28+$C20+(1),$B$3)+1)*J20+INDEX(Symboles!$H$6:$H$101,MOD(28+$C20+(2),$B$3)+1)*K20+INDEX(Symboles!$H$6:$H$101,MOD(28+$C20+(3),$B$3)+1)*L20+INDEX(Symboles!$H$6:$H$101,MOD(28+$C20+(4),$B$3)+1)*M20+IF($B$6=0,0,$B$6*NORMSINV(0.000001+0.999998*RAND())))</f>
        <v/>
      </c>
      <c r="EL20" s="30">
        <f>IF(30&gt;$B$3,99,INDEX(Symboles!$H$6:$H$101,MOD(29+$C20+(-4),$B$3)+1)*E20+INDEX(Symboles!$H$6:$H$101,MOD(29+$C20+(-3),$B$3)+1)*F20+INDEX(Symboles!$H$6:$H$101,MOD(29+$C20+(-2),$B$3)+1)*G20+INDEX(Symboles!$H$6:$H$101,MOD(29+$C20+(-1),$B$3)+1)*H20+INDEX(Symboles!$H$6:$H$101,MOD(29+$C20+(0),$B$3)+1)*I20+INDEX(Symboles!$H$6:$H$101,MOD(29+$C20+(1),$B$3)+1)*J20+INDEX(Symboles!$H$6:$H$101,MOD(29+$C20+(2),$B$3)+1)*K20+INDEX(Symboles!$H$6:$H$101,MOD(29+$C20+(3),$B$3)+1)*L20+INDEX(Symboles!$H$6:$H$101,MOD(29+$C20+(4),$B$3)+1)*M20+IF($B$6=0,0,$B$6*NORMSINV(0.000001+0.999998*RAND())))</f>
        <v/>
      </c>
      <c r="EM20" s="30">
        <f>IF(31&gt;$B$3,99,INDEX(Symboles!$H$6:$H$101,MOD(30+$C20+(-4),$B$3)+1)*E20+INDEX(Symboles!$H$6:$H$101,MOD(30+$C20+(-3),$B$3)+1)*F20+INDEX(Symboles!$H$6:$H$101,MOD(30+$C20+(-2),$B$3)+1)*G20+INDEX(Symboles!$H$6:$H$101,MOD(30+$C20+(-1),$B$3)+1)*H20+INDEX(Symboles!$H$6:$H$101,MOD(30+$C20+(0),$B$3)+1)*I20+INDEX(Symboles!$H$6:$H$101,MOD(30+$C20+(1),$B$3)+1)*J20+INDEX(Symboles!$H$6:$H$101,MOD(30+$C20+(2),$B$3)+1)*K20+INDEX(Symboles!$H$6:$H$101,MOD(30+$C20+(3),$B$3)+1)*L20+INDEX(Symboles!$H$6:$H$101,MOD(30+$C20+(4),$B$3)+1)*M20+IF($B$6=0,0,$B$6*NORMSINV(0.000001+0.999998*RAND())))</f>
        <v/>
      </c>
      <c r="EN20" s="30">
        <f>IF(32&gt;$B$3,99,INDEX(Symboles!$H$6:$H$101,MOD(31+$C20+(-4),$B$3)+1)*E20+INDEX(Symboles!$H$6:$H$101,MOD(31+$C20+(-3),$B$3)+1)*F20+INDEX(Symboles!$H$6:$H$101,MOD(31+$C20+(-2),$B$3)+1)*G20+INDEX(Symboles!$H$6:$H$101,MOD(31+$C20+(-1),$B$3)+1)*H20+INDEX(Symboles!$H$6:$H$101,MOD(31+$C20+(0),$B$3)+1)*I20+INDEX(Symboles!$H$6:$H$101,MOD(31+$C20+(1),$B$3)+1)*J20+INDEX(Symboles!$H$6:$H$101,MOD(31+$C20+(2),$B$3)+1)*K20+INDEX(Symboles!$H$6:$H$101,MOD(31+$C20+(3),$B$3)+1)*L20+INDEX(Symboles!$H$6:$H$101,MOD(31+$C20+(4),$B$3)+1)*M20+IF($B$6=0,0,$B$6*NORMSINV(0.000001+0.999998*RAND())))</f>
        <v/>
      </c>
      <c r="EO20" s="30">
        <f>IF(33&gt;$B$3,99,INDEX(Symboles!$H$6:$H$101,MOD(32+$C20+(-4),$B$3)+1)*E20+INDEX(Symboles!$H$6:$H$101,MOD(32+$C20+(-3),$B$3)+1)*F20+INDEX(Symboles!$H$6:$H$101,MOD(32+$C20+(-2),$B$3)+1)*G20+INDEX(Symboles!$H$6:$H$101,MOD(32+$C20+(-1),$B$3)+1)*H20+INDEX(Symboles!$H$6:$H$101,MOD(32+$C20+(0),$B$3)+1)*I20+INDEX(Symboles!$H$6:$H$101,MOD(32+$C20+(1),$B$3)+1)*J20+INDEX(Symboles!$H$6:$H$101,MOD(32+$C20+(2),$B$3)+1)*K20+INDEX(Symboles!$H$6:$H$101,MOD(32+$C20+(3),$B$3)+1)*L20+INDEX(Symboles!$H$6:$H$101,MOD(32+$C20+(4),$B$3)+1)*M20+IF($B$6=0,0,$B$6*NORMSINV(0.000001+0.999998*RAND())))</f>
        <v/>
      </c>
      <c r="EP20" s="30">
        <f>IF(34&gt;$B$3,99,INDEX(Symboles!$H$6:$H$101,MOD(33+$C20+(-4),$B$3)+1)*E20+INDEX(Symboles!$H$6:$H$101,MOD(33+$C20+(-3),$B$3)+1)*F20+INDEX(Symboles!$H$6:$H$101,MOD(33+$C20+(-2),$B$3)+1)*G20+INDEX(Symboles!$H$6:$H$101,MOD(33+$C20+(-1),$B$3)+1)*H20+INDEX(Symboles!$H$6:$H$101,MOD(33+$C20+(0),$B$3)+1)*I20+INDEX(Symboles!$H$6:$H$101,MOD(33+$C20+(1),$B$3)+1)*J20+INDEX(Symboles!$H$6:$H$101,MOD(33+$C20+(2),$B$3)+1)*K20+INDEX(Symboles!$H$6:$H$101,MOD(33+$C20+(3),$B$3)+1)*L20+INDEX(Symboles!$H$6:$H$101,MOD(33+$C20+(4),$B$3)+1)*M20+IF($B$6=0,0,$B$6*NORMSINV(0.000001+0.999998*RAND())))</f>
        <v/>
      </c>
      <c r="EQ20" s="30">
        <f>IF(35&gt;$B$3,99,INDEX(Symboles!$H$6:$H$101,MOD(34+$C20+(-4),$B$3)+1)*E20+INDEX(Symboles!$H$6:$H$101,MOD(34+$C20+(-3),$B$3)+1)*F20+INDEX(Symboles!$H$6:$H$101,MOD(34+$C20+(-2),$B$3)+1)*G20+INDEX(Symboles!$H$6:$H$101,MOD(34+$C20+(-1),$B$3)+1)*H20+INDEX(Symboles!$H$6:$H$101,MOD(34+$C20+(0),$B$3)+1)*I20+INDEX(Symboles!$H$6:$H$101,MOD(34+$C20+(1),$B$3)+1)*J20+INDEX(Symboles!$H$6:$H$101,MOD(34+$C20+(2),$B$3)+1)*K20+INDEX(Symboles!$H$6:$H$101,MOD(34+$C20+(3),$B$3)+1)*L20+INDEX(Symboles!$H$6:$H$101,MOD(34+$C20+(4),$B$3)+1)*M20+IF($B$6=0,0,$B$6*NORMSINV(0.000001+0.999998*RAND())))</f>
        <v/>
      </c>
      <c r="ER20" s="30">
        <f>IF(36&gt;$B$3,99,INDEX(Symboles!$H$6:$H$101,MOD(35+$C20+(-4),$B$3)+1)*E20+INDEX(Symboles!$H$6:$H$101,MOD(35+$C20+(-3),$B$3)+1)*F20+INDEX(Symboles!$H$6:$H$101,MOD(35+$C20+(-2),$B$3)+1)*G20+INDEX(Symboles!$H$6:$H$101,MOD(35+$C20+(-1),$B$3)+1)*H20+INDEX(Symboles!$H$6:$H$101,MOD(35+$C20+(0),$B$3)+1)*I20+INDEX(Symboles!$H$6:$H$101,MOD(35+$C20+(1),$B$3)+1)*J20+INDEX(Symboles!$H$6:$H$101,MOD(35+$C20+(2),$B$3)+1)*K20+INDEX(Symboles!$H$6:$H$101,MOD(35+$C20+(3),$B$3)+1)*L20+INDEX(Symboles!$H$6:$H$101,MOD(35+$C20+(4),$B$3)+1)*M20+IF($B$6=0,0,$B$6*NORMSINV(0.000001+0.999998*RAND())))</f>
        <v/>
      </c>
      <c r="ES20" s="30">
        <f>IF(37&gt;$B$3,99,INDEX(Symboles!$H$6:$H$101,MOD(36+$C20+(-4),$B$3)+1)*E20+INDEX(Symboles!$H$6:$H$101,MOD(36+$C20+(-3),$B$3)+1)*F20+INDEX(Symboles!$H$6:$H$101,MOD(36+$C20+(-2),$B$3)+1)*G20+INDEX(Symboles!$H$6:$H$101,MOD(36+$C20+(-1),$B$3)+1)*H20+INDEX(Symboles!$H$6:$H$101,MOD(36+$C20+(0),$B$3)+1)*I20+INDEX(Symboles!$H$6:$H$101,MOD(36+$C20+(1),$B$3)+1)*J20+INDEX(Symboles!$H$6:$H$101,MOD(36+$C20+(2),$B$3)+1)*K20+INDEX(Symboles!$H$6:$H$101,MOD(36+$C20+(3),$B$3)+1)*L20+INDEX(Symboles!$H$6:$H$101,MOD(36+$C20+(4),$B$3)+1)*M20+IF($B$6=0,0,$B$6*NORMSINV(0.000001+0.999998*RAND())))</f>
        <v/>
      </c>
      <c r="ET20" s="30">
        <f>IF(38&gt;$B$3,99,INDEX(Symboles!$H$6:$H$101,MOD(37+$C20+(-4),$B$3)+1)*E20+INDEX(Symboles!$H$6:$H$101,MOD(37+$C20+(-3),$B$3)+1)*F20+INDEX(Symboles!$H$6:$H$101,MOD(37+$C20+(-2),$B$3)+1)*G20+INDEX(Symboles!$H$6:$H$101,MOD(37+$C20+(-1),$B$3)+1)*H20+INDEX(Symboles!$H$6:$H$101,MOD(37+$C20+(0),$B$3)+1)*I20+INDEX(Symboles!$H$6:$H$101,MOD(37+$C20+(1),$B$3)+1)*J20+INDEX(Symboles!$H$6:$H$101,MOD(37+$C20+(2),$B$3)+1)*K20+INDEX(Symboles!$H$6:$H$101,MOD(37+$C20+(3),$B$3)+1)*L20+INDEX(Symboles!$H$6:$H$101,MOD(37+$C20+(4),$B$3)+1)*M20+IF($B$6=0,0,$B$6*NORMSINV(0.000001+0.999998*RAND())))</f>
        <v/>
      </c>
      <c r="EU20" s="30">
        <f>IF(39&gt;$B$3,99,INDEX(Symboles!$H$6:$H$101,MOD(38+$C20+(-4),$B$3)+1)*E20+INDEX(Symboles!$H$6:$H$101,MOD(38+$C20+(-3),$B$3)+1)*F20+INDEX(Symboles!$H$6:$H$101,MOD(38+$C20+(-2),$B$3)+1)*G20+INDEX(Symboles!$H$6:$H$101,MOD(38+$C20+(-1),$B$3)+1)*H20+INDEX(Symboles!$H$6:$H$101,MOD(38+$C20+(0),$B$3)+1)*I20+INDEX(Symboles!$H$6:$H$101,MOD(38+$C20+(1),$B$3)+1)*J20+INDEX(Symboles!$H$6:$H$101,MOD(38+$C20+(2),$B$3)+1)*K20+INDEX(Symboles!$H$6:$H$101,MOD(38+$C20+(3),$B$3)+1)*L20+INDEX(Symboles!$H$6:$H$101,MOD(38+$C20+(4),$B$3)+1)*M20+IF($B$6=0,0,$B$6*NORMSINV(0.000001+0.999998*RAND())))</f>
        <v/>
      </c>
      <c r="EV20" s="30">
        <f>IF(40&gt;$B$3,99,INDEX(Symboles!$H$6:$H$101,MOD(39+$C20+(-4),$B$3)+1)*E20+INDEX(Symboles!$H$6:$H$101,MOD(39+$C20+(-3),$B$3)+1)*F20+INDEX(Symboles!$H$6:$H$101,MOD(39+$C20+(-2),$B$3)+1)*G20+INDEX(Symboles!$H$6:$H$101,MOD(39+$C20+(-1),$B$3)+1)*H20+INDEX(Symboles!$H$6:$H$101,MOD(39+$C20+(0),$B$3)+1)*I20+INDEX(Symboles!$H$6:$H$101,MOD(39+$C20+(1),$B$3)+1)*J20+INDEX(Symboles!$H$6:$H$101,MOD(39+$C20+(2),$B$3)+1)*K20+INDEX(Symboles!$H$6:$H$101,MOD(39+$C20+(3),$B$3)+1)*L20+INDEX(Symboles!$H$6:$H$101,MOD(39+$C20+(4),$B$3)+1)*M20+IF($B$6=0,0,$B$6*NORMSINV(0.000001+0.999998*RAND())))</f>
        <v/>
      </c>
      <c r="EW20" s="30">
        <f>IF(41&gt;$B$3,99,INDEX(Symboles!$H$6:$H$101,MOD(40+$C20+(-4),$B$3)+1)*E20+INDEX(Symboles!$H$6:$H$101,MOD(40+$C20+(-3),$B$3)+1)*F20+INDEX(Symboles!$H$6:$H$101,MOD(40+$C20+(-2),$B$3)+1)*G20+INDEX(Symboles!$H$6:$H$101,MOD(40+$C20+(-1),$B$3)+1)*H20+INDEX(Symboles!$H$6:$H$101,MOD(40+$C20+(0),$B$3)+1)*I20+INDEX(Symboles!$H$6:$H$101,MOD(40+$C20+(1),$B$3)+1)*J20+INDEX(Symboles!$H$6:$H$101,MOD(40+$C20+(2),$B$3)+1)*K20+INDEX(Symboles!$H$6:$H$101,MOD(40+$C20+(3),$B$3)+1)*L20+INDEX(Symboles!$H$6:$H$101,MOD(40+$C20+(4),$B$3)+1)*M20+IF($B$6=0,0,$B$6*NORMSINV(0.000001+0.999998*RAND())))</f>
        <v/>
      </c>
      <c r="EX20" s="30">
        <f>IF(42&gt;$B$3,99,INDEX(Symboles!$H$6:$H$101,MOD(41+$C20+(-4),$B$3)+1)*E20+INDEX(Symboles!$H$6:$H$101,MOD(41+$C20+(-3),$B$3)+1)*F20+INDEX(Symboles!$H$6:$H$101,MOD(41+$C20+(-2),$B$3)+1)*G20+INDEX(Symboles!$H$6:$H$101,MOD(41+$C20+(-1),$B$3)+1)*H20+INDEX(Symboles!$H$6:$H$101,MOD(41+$C20+(0),$B$3)+1)*I20+INDEX(Symboles!$H$6:$H$101,MOD(41+$C20+(1),$B$3)+1)*J20+INDEX(Symboles!$H$6:$H$101,MOD(41+$C20+(2),$B$3)+1)*K20+INDEX(Symboles!$H$6:$H$101,MOD(41+$C20+(3),$B$3)+1)*L20+INDEX(Symboles!$H$6:$H$101,MOD(41+$C20+(4),$B$3)+1)*M20+IF($B$6=0,0,$B$6*NORMSINV(0.000001+0.999998*RAND())))</f>
        <v/>
      </c>
      <c r="EY20" s="30">
        <f>IF(43&gt;$B$3,99,INDEX(Symboles!$H$6:$H$101,MOD(42+$C20+(-4),$B$3)+1)*E20+INDEX(Symboles!$H$6:$H$101,MOD(42+$C20+(-3),$B$3)+1)*F20+INDEX(Symboles!$H$6:$H$101,MOD(42+$C20+(-2),$B$3)+1)*G20+INDEX(Symboles!$H$6:$H$101,MOD(42+$C20+(-1),$B$3)+1)*H20+INDEX(Symboles!$H$6:$H$101,MOD(42+$C20+(0),$B$3)+1)*I20+INDEX(Symboles!$H$6:$H$101,MOD(42+$C20+(1),$B$3)+1)*J20+INDEX(Symboles!$H$6:$H$101,MOD(42+$C20+(2),$B$3)+1)*K20+INDEX(Symboles!$H$6:$H$101,MOD(42+$C20+(3),$B$3)+1)*L20+INDEX(Symboles!$H$6:$H$101,MOD(42+$C20+(4),$B$3)+1)*M20+IF($B$6=0,0,$B$6*NORMSINV(0.000001+0.999998*RAND())))</f>
        <v/>
      </c>
      <c r="EZ20" s="30">
        <f>IF(44&gt;$B$3,99,INDEX(Symboles!$H$6:$H$101,MOD(43+$C20+(-4),$B$3)+1)*E20+INDEX(Symboles!$H$6:$H$101,MOD(43+$C20+(-3),$B$3)+1)*F20+INDEX(Symboles!$H$6:$H$101,MOD(43+$C20+(-2),$B$3)+1)*G20+INDEX(Symboles!$H$6:$H$101,MOD(43+$C20+(-1),$B$3)+1)*H20+INDEX(Symboles!$H$6:$H$101,MOD(43+$C20+(0),$B$3)+1)*I20+INDEX(Symboles!$H$6:$H$101,MOD(43+$C20+(1),$B$3)+1)*J20+INDEX(Symboles!$H$6:$H$101,MOD(43+$C20+(2),$B$3)+1)*K20+INDEX(Symboles!$H$6:$H$101,MOD(43+$C20+(3),$B$3)+1)*L20+INDEX(Symboles!$H$6:$H$101,MOD(43+$C20+(4),$B$3)+1)*M20+IF($B$6=0,0,$B$6*NORMSINV(0.000001+0.999998*RAND())))</f>
        <v/>
      </c>
      <c r="FA20" s="30">
        <f>IF(45&gt;$B$3,99,INDEX(Symboles!$H$6:$H$101,MOD(44+$C20+(-4),$B$3)+1)*E20+INDEX(Symboles!$H$6:$H$101,MOD(44+$C20+(-3),$B$3)+1)*F20+INDEX(Symboles!$H$6:$H$101,MOD(44+$C20+(-2),$B$3)+1)*G20+INDEX(Symboles!$H$6:$H$101,MOD(44+$C20+(-1),$B$3)+1)*H20+INDEX(Symboles!$H$6:$H$101,MOD(44+$C20+(0),$B$3)+1)*I20+INDEX(Symboles!$H$6:$H$101,MOD(44+$C20+(1),$B$3)+1)*J20+INDEX(Symboles!$H$6:$H$101,MOD(44+$C20+(2),$B$3)+1)*K20+INDEX(Symboles!$H$6:$H$101,MOD(44+$C20+(3),$B$3)+1)*L20+INDEX(Symboles!$H$6:$H$101,MOD(44+$C20+(4),$B$3)+1)*M20+IF($B$6=0,0,$B$6*NORMSINV(0.000001+0.999998*RAND())))</f>
        <v/>
      </c>
      <c r="FB20" s="30">
        <f>IF(46&gt;$B$3,99,INDEX(Symboles!$H$6:$H$101,MOD(45+$C20+(-4),$B$3)+1)*E20+INDEX(Symboles!$H$6:$H$101,MOD(45+$C20+(-3),$B$3)+1)*F20+INDEX(Symboles!$H$6:$H$101,MOD(45+$C20+(-2),$B$3)+1)*G20+INDEX(Symboles!$H$6:$H$101,MOD(45+$C20+(-1),$B$3)+1)*H20+INDEX(Symboles!$H$6:$H$101,MOD(45+$C20+(0),$B$3)+1)*I20+INDEX(Symboles!$H$6:$H$101,MOD(45+$C20+(1),$B$3)+1)*J20+INDEX(Symboles!$H$6:$H$101,MOD(45+$C20+(2),$B$3)+1)*K20+INDEX(Symboles!$H$6:$H$101,MOD(45+$C20+(3),$B$3)+1)*L20+INDEX(Symboles!$H$6:$H$101,MOD(45+$C20+(4),$B$3)+1)*M20+IF($B$6=0,0,$B$6*NORMSINV(0.000001+0.999998*RAND())))</f>
        <v/>
      </c>
      <c r="FC20" s="30">
        <f>IF(47&gt;$B$3,99,INDEX(Symboles!$H$6:$H$101,MOD(46+$C20+(-4),$B$3)+1)*E20+INDEX(Symboles!$H$6:$H$101,MOD(46+$C20+(-3),$B$3)+1)*F20+INDEX(Symboles!$H$6:$H$101,MOD(46+$C20+(-2),$B$3)+1)*G20+INDEX(Symboles!$H$6:$H$101,MOD(46+$C20+(-1),$B$3)+1)*H20+INDEX(Symboles!$H$6:$H$101,MOD(46+$C20+(0),$B$3)+1)*I20+INDEX(Symboles!$H$6:$H$101,MOD(46+$C20+(1),$B$3)+1)*J20+INDEX(Symboles!$H$6:$H$101,MOD(46+$C20+(2),$B$3)+1)*K20+INDEX(Symboles!$H$6:$H$101,MOD(46+$C20+(3),$B$3)+1)*L20+INDEX(Symboles!$H$6:$H$101,MOD(46+$C20+(4),$B$3)+1)*M20+IF($B$6=0,0,$B$6*NORMSINV(0.000001+0.999998*RAND())))</f>
        <v/>
      </c>
      <c r="FD20" s="30">
        <f>IF(48&gt;$B$3,99,INDEX(Symboles!$H$6:$H$101,MOD(47+$C20+(-4),$B$3)+1)*E20+INDEX(Symboles!$H$6:$H$101,MOD(47+$C20+(-3),$B$3)+1)*F20+INDEX(Symboles!$H$6:$H$101,MOD(47+$C20+(-2),$B$3)+1)*G20+INDEX(Symboles!$H$6:$H$101,MOD(47+$C20+(-1),$B$3)+1)*H20+INDEX(Symboles!$H$6:$H$101,MOD(47+$C20+(0),$B$3)+1)*I20+INDEX(Symboles!$H$6:$H$101,MOD(47+$C20+(1),$B$3)+1)*J20+INDEX(Symboles!$H$6:$H$101,MOD(47+$C20+(2),$B$3)+1)*K20+INDEX(Symboles!$H$6:$H$101,MOD(47+$C20+(3),$B$3)+1)*L20+INDEX(Symboles!$H$6:$H$101,MOD(47+$C20+(4),$B$3)+1)*M20+IF($B$6=0,0,$B$6*NORMSINV(0.000001+0.999998*RAND())))</f>
        <v/>
      </c>
      <c r="FE20" s="30">
        <f>IF(49&gt;$B$3,99,INDEX(Symboles!$H$6:$H$101,MOD(48+$C20+(-4),$B$3)+1)*E20+INDEX(Symboles!$H$6:$H$101,MOD(48+$C20+(-3),$B$3)+1)*F20+INDEX(Symboles!$H$6:$H$101,MOD(48+$C20+(-2),$B$3)+1)*G20+INDEX(Symboles!$H$6:$H$101,MOD(48+$C20+(-1),$B$3)+1)*H20+INDEX(Symboles!$H$6:$H$101,MOD(48+$C20+(0),$B$3)+1)*I20+INDEX(Symboles!$H$6:$H$101,MOD(48+$C20+(1),$B$3)+1)*J20+INDEX(Symboles!$H$6:$H$101,MOD(48+$C20+(2),$B$3)+1)*K20+INDEX(Symboles!$H$6:$H$101,MOD(48+$C20+(3),$B$3)+1)*L20+INDEX(Symboles!$H$6:$H$101,MOD(48+$C20+(4),$B$3)+1)*M20+IF($B$6=0,0,$B$6*NORMSINV(0.000001+0.999998*RAND())))</f>
        <v/>
      </c>
      <c r="FF20" s="30">
        <f>IF(50&gt;$B$3,99,INDEX(Symboles!$H$6:$H$101,MOD(49+$C20+(-4),$B$3)+1)*E20+INDEX(Symboles!$H$6:$H$101,MOD(49+$C20+(-3),$B$3)+1)*F20+INDEX(Symboles!$H$6:$H$101,MOD(49+$C20+(-2),$B$3)+1)*G20+INDEX(Symboles!$H$6:$H$101,MOD(49+$C20+(-1),$B$3)+1)*H20+INDEX(Symboles!$H$6:$H$101,MOD(49+$C20+(0),$B$3)+1)*I20+INDEX(Symboles!$H$6:$H$101,MOD(49+$C20+(1),$B$3)+1)*J20+INDEX(Symboles!$H$6:$H$101,MOD(49+$C20+(2),$B$3)+1)*K20+INDEX(Symboles!$H$6:$H$101,MOD(49+$C20+(3),$B$3)+1)*L20+INDEX(Symboles!$H$6:$H$101,MOD(49+$C20+(4),$B$3)+1)*M20+IF($B$6=0,0,$B$6*NORMSINV(0.000001+0.999998*RAND())))</f>
        <v/>
      </c>
      <c r="FG20" s="30">
        <f>IF(51&gt;$B$3,99,INDEX(Symboles!$H$6:$H$101,MOD(50+$C20+(-4),$B$3)+1)*E20+INDEX(Symboles!$H$6:$H$101,MOD(50+$C20+(-3),$B$3)+1)*F20+INDEX(Symboles!$H$6:$H$101,MOD(50+$C20+(-2),$B$3)+1)*G20+INDEX(Symboles!$H$6:$H$101,MOD(50+$C20+(-1),$B$3)+1)*H20+INDEX(Symboles!$H$6:$H$101,MOD(50+$C20+(0),$B$3)+1)*I20+INDEX(Symboles!$H$6:$H$101,MOD(50+$C20+(1),$B$3)+1)*J20+INDEX(Symboles!$H$6:$H$101,MOD(50+$C20+(2),$B$3)+1)*K20+INDEX(Symboles!$H$6:$H$101,MOD(50+$C20+(3),$B$3)+1)*L20+INDEX(Symboles!$H$6:$H$101,MOD(50+$C20+(4),$B$3)+1)*M20+IF($B$6=0,0,$B$6*NORMSINV(0.000001+0.999998*RAND())))</f>
        <v/>
      </c>
      <c r="FH20" s="30">
        <f>IF(52&gt;$B$3,99,INDEX(Symboles!$H$6:$H$101,MOD(51+$C20+(-4),$B$3)+1)*E20+INDEX(Symboles!$H$6:$H$101,MOD(51+$C20+(-3),$B$3)+1)*F20+INDEX(Symboles!$H$6:$H$101,MOD(51+$C20+(-2),$B$3)+1)*G20+INDEX(Symboles!$H$6:$H$101,MOD(51+$C20+(-1),$B$3)+1)*H20+INDEX(Symboles!$H$6:$H$101,MOD(51+$C20+(0),$B$3)+1)*I20+INDEX(Symboles!$H$6:$H$101,MOD(51+$C20+(1),$B$3)+1)*J20+INDEX(Symboles!$H$6:$H$101,MOD(51+$C20+(2),$B$3)+1)*K20+INDEX(Symboles!$H$6:$H$101,MOD(51+$C20+(3),$B$3)+1)*L20+INDEX(Symboles!$H$6:$H$101,MOD(51+$C20+(4),$B$3)+1)*M20+IF($B$6=0,0,$B$6*NORMSINV(0.000001+0.999998*RAND())))</f>
        <v/>
      </c>
      <c r="FI20" s="30">
        <f>IF(53&gt;$B$3,99,INDEX(Symboles!$H$6:$H$101,MOD(52+$C20+(-4),$B$3)+1)*E20+INDEX(Symboles!$H$6:$H$101,MOD(52+$C20+(-3),$B$3)+1)*F20+INDEX(Symboles!$H$6:$H$101,MOD(52+$C20+(-2),$B$3)+1)*G20+INDEX(Symboles!$H$6:$H$101,MOD(52+$C20+(-1),$B$3)+1)*H20+INDEX(Symboles!$H$6:$H$101,MOD(52+$C20+(0),$B$3)+1)*I20+INDEX(Symboles!$H$6:$H$101,MOD(52+$C20+(1),$B$3)+1)*J20+INDEX(Symboles!$H$6:$H$101,MOD(52+$C20+(2),$B$3)+1)*K20+INDEX(Symboles!$H$6:$H$101,MOD(52+$C20+(3),$B$3)+1)*L20+INDEX(Symboles!$H$6:$H$101,MOD(52+$C20+(4),$B$3)+1)*M20+IF($B$6=0,0,$B$6*NORMSINV(0.000001+0.999998*RAND())))</f>
        <v/>
      </c>
      <c r="FJ20" s="30">
        <f>IF(54&gt;$B$3,99,INDEX(Symboles!$H$6:$H$101,MOD(53+$C20+(-4),$B$3)+1)*E20+INDEX(Symboles!$H$6:$H$101,MOD(53+$C20+(-3),$B$3)+1)*F20+INDEX(Symboles!$H$6:$H$101,MOD(53+$C20+(-2),$B$3)+1)*G20+INDEX(Symboles!$H$6:$H$101,MOD(53+$C20+(-1),$B$3)+1)*H20+INDEX(Symboles!$H$6:$H$101,MOD(53+$C20+(0),$B$3)+1)*I20+INDEX(Symboles!$H$6:$H$101,MOD(53+$C20+(1),$B$3)+1)*J20+INDEX(Symboles!$H$6:$H$101,MOD(53+$C20+(2),$B$3)+1)*K20+INDEX(Symboles!$H$6:$H$101,MOD(53+$C20+(3),$B$3)+1)*L20+INDEX(Symboles!$H$6:$H$101,MOD(53+$C20+(4),$B$3)+1)*M20+IF($B$6=0,0,$B$6*NORMSINV(0.000001+0.999998*RAND())))</f>
        <v/>
      </c>
      <c r="FK20" s="30">
        <f>IF(55&gt;$B$3,99,INDEX(Symboles!$H$6:$H$101,MOD(54+$C20+(-4),$B$3)+1)*E20+INDEX(Symboles!$H$6:$H$101,MOD(54+$C20+(-3),$B$3)+1)*F20+INDEX(Symboles!$H$6:$H$101,MOD(54+$C20+(-2),$B$3)+1)*G20+INDEX(Symboles!$H$6:$H$101,MOD(54+$C20+(-1),$B$3)+1)*H20+INDEX(Symboles!$H$6:$H$101,MOD(54+$C20+(0),$B$3)+1)*I20+INDEX(Symboles!$H$6:$H$101,MOD(54+$C20+(1),$B$3)+1)*J20+INDEX(Symboles!$H$6:$H$101,MOD(54+$C20+(2),$B$3)+1)*K20+INDEX(Symboles!$H$6:$H$101,MOD(54+$C20+(3),$B$3)+1)*L20+INDEX(Symboles!$H$6:$H$101,MOD(54+$C20+(4),$B$3)+1)*M20+IF($B$6=0,0,$B$6*NORMSINV(0.000001+0.999998*RAND())))</f>
        <v/>
      </c>
      <c r="FL20" s="30">
        <f>IF(56&gt;$B$3,99,INDEX(Symboles!$H$6:$H$101,MOD(55+$C20+(-4),$B$3)+1)*E20+INDEX(Symboles!$H$6:$H$101,MOD(55+$C20+(-3),$B$3)+1)*F20+INDEX(Symboles!$H$6:$H$101,MOD(55+$C20+(-2),$B$3)+1)*G20+INDEX(Symboles!$H$6:$H$101,MOD(55+$C20+(-1),$B$3)+1)*H20+INDEX(Symboles!$H$6:$H$101,MOD(55+$C20+(0),$B$3)+1)*I20+INDEX(Symboles!$H$6:$H$101,MOD(55+$C20+(1),$B$3)+1)*J20+INDEX(Symboles!$H$6:$H$101,MOD(55+$C20+(2),$B$3)+1)*K20+INDEX(Symboles!$H$6:$H$101,MOD(55+$C20+(3),$B$3)+1)*L20+INDEX(Symboles!$H$6:$H$101,MOD(55+$C20+(4),$B$3)+1)*M20+IF($B$6=0,0,$B$6*NORMSINV(0.000001+0.999998*RAND())))</f>
        <v/>
      </c>
      <c r="FM20" s="30">
        <f>IF(57&gt;$B$3,99,INDEX(Symboles!$H$6:$H$101,MOD(56+$C20+(-4),$B$3)+1)*E20+INDEX(Symboles!$H$6:$H$101,MOD(56+$C20+(-3),$B$3)+1)*F20+INDEX(Symboles!$H$6:$H$101,MOD(56+$C20+(-2),$B$3)+1)*G20+INDEX(Symboles!$H$6:$H$101,MOD(56+$C20+(-1),$B$3)+1)*H20+INDEX(Symboles!$H$6:$H$101,MOD(56+$C20+(0),$B$3)+1)*I20+INDEX(Symboles!$H$6:$H$101,MOD(56+$C20+(1),$B$3)+1)*J20+INDEX(Symboles!$H$6:$H$101,MOD(56+$C20+(2),$B$3)+1)*K20+INDEX(Symboles!$H$6:$H$101,MOD(56+$C20+(3),$B$3)+1)*L20+INDEX(Symboles!$H$6:$H$101,MOD(56+$C20+(4),$B$3)+1)*M20+IF($B$6=0,0,$B$6*NORMSINV(0.000001+0.999998*RAND())))</f>
        <v/>
      </c>
      <c r="FN20" s="30">
        <f>IF(58&gt;$B$3,99,INDEX(Symboles!$H$6:$H$101,MOD(57+$C20+(-4),$B$3)+1)*E20+INDEX(Symboles!$H$6:$H$101,MOD(57+$C20+(-3),$B$3)+1)*F20+INDEX(Symboles!$H$6:$H$101,MOD(57+$C20+(-2),$B$3)+1)*G20+INDEX(Symboles!$H$6:$H$101,MOD(57+$C20+(-1),$B$3)+1)*H20+INDEX(Symboles!$H$6:$H$101,MOD(57+$C20+(0),$B$3)+1)*I20+INDEX(Symboles!$H$6:$H$101,MOD(57+$C20+(1),$B$3)+1)*J20+INDEX(Symboles!$H$6:$H$101,MOD(57+$C20+(2),$B$3)+1)*K20+INDEX(Symboles!$H$6:$H$101,MOD(57+$C20+(3),$B$3)+1)*L20+INDEX(Symboles!$H$6:$H$101,MOD(57+$C20+(4),$B$3)+1)*M20+IF($B$6=0,0,$B$6*NORMSINV(0.000001+0.999998*RAND())))</f>
        <v/>
      </c>
      <c r="FO20" s="30">
        <f>IF(59&gt;$B$3,99,INDEX(Symboles!$H$6:$H$101,MOD(58+$C20+(-4),$B$3)+1)*E20+INDEX(Symboles!$H$6:$H$101,MOD(58+$C20+(-3),$B$3)+1)*F20+INDEX(Symboles!$H$6:$H$101,MOD(58+$C20+(-2),$B$3)+1)*G20+INDEX(Symboles!$H$6:$H$101,MOD(58+$C20+(-1),$B$3)+1)*H20+INDEX(Symboles!$H$6:$H$101,MOD(58+$C20+(0),$B$3)+1)*I20+INDEX(Symboles!$H$6:$H$101,MOD(58+$C20+(1),$B$3)+1)*J20+INDEX(Symboles!$H$6:$H$101,MOD(58+$C20+(2),$B$3)+1)*K20+INDEX(Symboles!$H$6:$H$101,MOD(58+$C20+(3),$B$3)+1)*L20+INDEX(Symboles!$H$6:$H$101,MOD(58+$C20+(4),$B$3)+1)*M20+IF($B$6=0,0,$B$6*NORMSINV(0.000001+0.999998*RAND())))</f>
        <v/>
      </c>
      <c r="FP20" s="30">
        <f>IF(60&gt;$B$3,99,INDEX(Symboles!$H$6:$H$101,MOD(59+$C20+(-4),$B$3)+1)*E20+INDEX(Symboles!$H$6:$H$101,MOD(59+$C20+(-3),$B$3)+1)*F20+INDEX(Symboles!$H$6:$H$101,MOD(59+$C20+(-2),$B$3)+1)*G20+INDEX(Symboles!$H$6:$H$101,MOD(59+$C20+(-1),$B$3)+1)*H20+INDEX(Symboles!$H$6:$H$101,MOD(59+$C20+(0),$B$3)+1)*I20+INDEX(Symboles!$H$6:$H$101,MOD(59+$C20+(1),$B$3)+1)*J20+INDEX(Symboles!$H$6:$H$101,MOD(59+$C20+(2),$B$3)+1)*K20+INDEX(Symboles!$H$6:$H$101,MOD(59+$C20+(3),$B$3)+1)*L20+INDEX(Symboles!$H$6:$H$101,MOD(59+$C20+(4),$B$3)+1)*M20+IF($B$6=0,0,$B$6*NORMSINV(0.000001+0.999998*RAND())))</f>
        <v/>
      </c>
      <c r="FQ20" s="30">
        <f>IF(61&gt;$B$3,99,INDEX(Symboles!$H$6:$H$101,MOD(60+$C20+(-4),$B$3)+1)*E20+INDEX(Symboles!$H$6:$H$101,MOD(60+$C20+(-3),$B$3)+1)*F20+INDEX(Symboles!$H$6:$H$101,MOD(60+$C20+(-2),$B$3)+1)*G20+INDEX(Symboles!$H$6:$H$101,MOD(60+$C20+(-1),$B$3)+1)*H20+INDEX(Symboles!$H$6:$H$101,MOD(60+$C20+(0),$B$3)+1)*I20+INDEX(Symboles!$H$6:$H$101,MOD(60+$C20+(1),$B$3)+1)*J20+INDEX(Symboles!$H$6:$H$101,MOD(60+$C20+(2),$B$3)+1)*K20+INDEX(Symboles!$H$6:$H$101,MOD(60+$C20+(3),$B$3)+1)*L20+INDEX(Symboles!$H$6:$H$101,MOD(60+$C20+(4),$B$3)+1)*M20+IF($B$6=0,0,$B$6*NORMSINV(0.000001+0.999998*RAND())))</f>
        <v/>
      </c>
      <c r="FR20" s="30">
        <f>IF(62&gt;$B$3,99,INDEX(Symboles!$H$6:$H$101,MOD(61+$C20+(-4),$B$3)+1)*E20+INDEX(Symboles!$H$6:$H$101,MOD(61+$C20+(-3),$B$3)+1)*F20+INDEX(Symboles!$H$6:$H$101,MOD(61+$C20+(-2),$B$3)+1)*G20+INDEX(Symboles!$H$6:$H$101,MOD(61+$C20+(-1),$B$3)+1)*H20+INDEX(Symboles!$H$6:$H$101,MOD(61+$C20+(0),$B$3)+1)*I20+INDEX(Symboles!$H$6:$H$101,MOD(61+$C20+(1),$B$3)+1)*J20+INDEX(Symboles!$H$6:$H$101,MOD(61+$C20+(2),$B$3)+1)*K20+INDEX(Symboles!$H$6:$H$101,MOD(61+$C20+(3),$B$3)+1)*L20+INDEX(Symboles!$H$6:$H$101,MOD(61+$C20+(4),$B$3)+1)*M20+IF($B$6=0,0,$B$6*NORMSINV(0.000001+0.999998*RAND())))</f>
        <v/>
      </c>
      <c r="FS20" s="30">
        <f>IF(63&gt;$B$3,99,INDEX(Symboles!$H$6:$H$101,MOD(62+$C20+(-4),$B$3)+1)*E20+INDEX(Symboles!$H$6:$H$101,MOD(62+$C20+(-3),$B$3)+1)*F20+INDEX(Symboles!$H$6:$H$101,MOD(62+$C20+(-2),$B$3)+1)*G20+INDEX(Symboles!$H$6:$H$101,MOD(62+$C20+(-1),$B$3)+1)*H20+INDEX(Symboles!$H$6:$H$101,MOD(62+$C20+(0),$B$3)+1)*I20+INDEX(Symboles!$H$6:$H$101,MOD(62+$C20+(1),$B$3)+1)*J20+INDEX(Symboles!$H$6:$H$101,MOD(62+$C20+(2),$B$3)+1)*K20+INDEX(Symboles!$H$6:$H$101,MOD(62+$C20+(3),$B$3)+1)*L20+INDEX(Symboles!$H$6:$H$101,MOD(62+$C20+(4),$B$3)+1)*M20+IF($B$6=0,0,$B$6*NORMSINV(0.000001+0.999998*RAND())))</f>
        <v/>
      </c>
      <c r="FT20" s="30">
        <f>IF(64&gt;$B$3,99,INDEX(Symboles!$H$6:$H$101,MOD(63+$C20+(-4),$B$3)+1)*E20+INDEX(Symboles!$H$6:$H$101,MOD(63+$C20+(-3),$B$3)+1)*F20+INDEX(Symboles!$H$6:$H$101,MOD(63+$C20+(-2),$B$3)+1)*G20+INDEX(Symboles!$H$6:$H$101,MOD(63+$C20+(-1),$B$3)+1)*H20+INDEX(Symboles!$H$6:$H$101,MOD(63+$C20+(0),$B$3)+1)*I20+INDEX(Symboles!$H$6:$H$101,MOD(63+$C20+(1),$B$3)+1)*J20+INDEX(Symboles!$H$6:$H$101,MOD(63+$C20+(2),$B$3)+1)*K20+INDEX(Symboles!$H$6:$H$101,MOD(63+$C20+(3),$B$3)+1)*L20+INDEX(Symboles!$H$6:$H$101,MOD(63+$C20+(4),$B$3)+1)*M20+IF($B$6=0,0,$B$6*NORMSINV(0.000001+0.999998*RAND())))</f>
        <v/>
      </c>
      <c r="FU20" s="30">
        <f>IF(65&gt;$B$3,99,INDEX(Symboles!$H$6:$H$101,MOD(64+$C20+(-4),$B$3)+1)*E20+INDEX(Symboles!$H$6:$H$101,MOD(64+$C20+(-3),$B$3)+1)*F20+INDEX(Symboles!$H$6:$H$101,MOD(64+$C20+(-2),$B$3)+1)*G20+INDEX(Symboles!$H$6:$H$101,MOD(64+$C20+(-1),$B$3)+1)*H20+INDEX(Symboles!$H$6:$H$101,MOD(64+$C20+(0),$B$3)+1)*I20+INDEX(Symboles!$H$6:$H$101,MOD(64+$C20+(1),$B$3)+1)*J20+INDEX(Symboles!$H$6:$H$101,MOD(64+$C20+(2),$B$3)+1)*K20+INDEX(Symboles!$H$6:$H$101,MOD(64+$C20+(3),$B$3)+1)*L20+INDEX(Symboles!$H$6:$H$101,MOD(64+$C20+(4),$B$3)+1)*M20+IF($B$6=0,0,$B$6*NORMSINV(0.000001+0.999998*RAND())))</f>
        <v/>
      </c>
      <c r="FV20" s="30">
        <f>IF(66&gt;$B$3,99,INDEX(Symboles!$H$6:$H$101,MOD(65+$C20+(-4),$B$3)+1)*E20+INDEX(Symboles!$H$6:$H$101,MOD(65+$C20+(-3),$B$3)+1)*F20+INDEX(Symboles!$H$6:$H$101,MOD(65+$C20+(-2),$B$3)+1)*G20+INDEX(Symboles!$H$6:$H$101,MOD(65+$C20+(-1),$B$3)+1)*H20+INDEX(Symboles!$H$6:$H$101,MOD(65+$C20+(0),$B$3)+1)*I20+INDEX(Symboles!$H$6:$H$101,MOD(65+$C20+(1),$B$3)+1)*J20+INDEX(Symboles!$H$6:$H$101,MOD(65+$C20+(2),$B$3)+1)*K20+INDEX(Symboles!$H$6:$H$101,MOD(65+$C20+(3),$B$3)+1)*L20+INDEX(Symboles!$H$6:$H$101,MOD(65+$C20+(4),$B$3)+1)*M20+IF($B$6=0,0,$B$6*NORMSINV(0.000001+0.999998*RAND())))</f>
        <v/>
      </c>
      <c r="FW20" s="30">
        <f>IF(67&gt;$B$3,99,INDEX(Symboles!$H$6:$H$101,MOD(66+$C20+(-4),$B$3)+1)*E20+INDEX(Symboles!$H$6:$H$101,MOD(66+$C20+(-3),$B$3)+1)*F20+INDEX(Symboles!$H$6:$H$101,MOD(66+$C20+(-2),$B$3)+1)*G20+INDEX(Symboles!$H$6:$H$101,MOD(66+$C20+(-1),$B$3)+1)*H20+INDEX(Symboles!$H$6:$H$101,MOD(66+$C20+(0),$B$3)+1)*I20+INDEX(Symboles!$H$6:$H$101,MOD(66+$C20+(1),$B$3)+1)*J20+INDEX(Symboles!$H$6:$H$101,MOD(66+$C20+(2),$B$3)+1)*K20+INDEX(Symboles!$H$6:$H$101,MOD(66+$C20+(3),$B$3)+1)*L20+INDEX(Symboles!$H$6:$H$101,MOD(66+$C20+(4),$B$3)+1)*M20+IF($B$6=0,0,$B$6*NORMSINV(0.000001+0.999998*RAND())))</f>
        <v/>
      </c>
      <c r="FX20" s="30">
        <f>IF(68&gt;$B$3,99,INDEX(Symboles!$H$6:$H$101,MOD(67+$C20+(-4),$B$3)+1)*E20+INDEX(Symboles!$H$6:$H$101,MOD(67+$C20+(-3),$B$3)+1)*F20+INDEX(Symboles!$H$6:$H$101,MOD(67+$C20+(-2),$B$3)+1)*G20+INDEX(Symboles!$H$6:$H$101,MOD(67+$C20+(-1),$B$3)+1)*H20+INDEX(Symboles!$H$6:$H$101,MOD(67+$C20+(0),$B$3)+1)*I20+INDEX(Symboles!$H$6:$H$101,MOD(67+$C20+(1),$B$3)+1)*J20+INDEX(Symboles!$H$6:$H$101,MOD(67+$C20+(2),$B$3)+1)*K20+INDEX(Symboles!$H$6:$H$101,MOD(67+$C20+(3),$B$3)+1)*L20+INDEX(Symboles!$H$6:$H$101,MOD(67+$C20+(4),$B$3)+1)*M20+IF($B$6=0,0,$B$6*NORMSINV(0.000001+0.999998*RAND())))</f>
        <v/>
      </c>
      <c r="FY20" s="30">
        <f>IF(69&gt;$B$3,99,INDEX(Symboles!$H$6:$H$101,MOD(68+$C20+(-4),$B$3)+1)*E20+INDEX(Symboles!$H$6:$H$101,MOD(68+$C20+(-3),$B$3)+1)*F20+INDEX(Symboles!$H$6:$H$101,MOD(68+$C20+(-2),$B$3)+1)*G20+INDEX(Symboles!$H$6:$H$101,MOD(68+$C20+(-1),$B$3)+1)*H20+INDEX(Symboles!$H$6:$H$101,MOD(68+$C20+(0),$B$3)+1)*I20+INDEX(Symboles!$H$6:$H$101,MOD(68+$C20+(1),$B$3)+1)*J20+INDEX(Symboles!$H$6:$H$101,MOD(68+$C20+(2),$B$3)+1)*K20+INDEX(Symboles!$H$6:$H$101,MOD(68+$C20+(3),$B$3)+1)*L20+INDEX(Symboles!$H$6:$H$101,MOD(68+$C20+(4),$B$3)+1)*M20+IF($B$6=0,0,$B$6*NORMSINV(0.000001+0.999998*RAND())))</f>
        <v/>
      </c>
      <c r="FZ20" s="30">
        <f>IF(70&gt;$B$3,99,INDEX(Symboles!$H$6:$H$101,MOD(69+$C20+(-4),$B$3)+1)*E20+INDEX(Symboles!$H$6:$H$101,MOD(69+$C20+(-3),$B$3)+1)*F20+INDEX(Symboles!$H$6:$H$101,MOD(69+$C20+(-2),$B$3)+1)*G20+INDEX(Symboles!$H$6:$H$101,MOD(69+$C20+(-1),$B$3)+1)*H20+INDEX(Symboles!$H$6:$H$101,MOD(69+$C20+(0),$B$3)+1)*I20+INDEX(Symboles!$H$6:$H$101,MOD(69+$C20+(1),$B$3)+1)*J20+INDEX(Symboles!$H$6:$H$101,MOD(69+$C20+(2),$B$3)+1)*K20+INDEX(Symboles!$H$6:$H$101,MOD(69+$C20+(3),$B$3)+1)*L20+INDEX(Symboles!$H$6:$H$101,MOD(69+$C20+(4),$B$3)+1)*M20+IF($B$6=0,0,$B$6*NORMSINV(0.000001+0.999998*RAND())))</f>
        <v/>
      </c>
      <c r="GA20" s="30">
        <f>IF(71&gt;$B$3,99,INDEX(Symboles!$H$6:$H$101,MOD(70+$C20+(-4),$B$3)+1)*E20+INDEX(Symboles!$H$6:$H$101,MOD(70+$C20+(-3),$B$3)+1)*F20+INDEX(Symboles!$H$6:$H$101,MOD(70+$C20+(-2),$B$3)+1)*G20+INDEX(Symboles!$H$6:$H$101,MOD(70+$C20+(-1),$B$3)+1)*H20+INDEX(Symboles!$H$6:$H$101,MOD(70+$C20+(0),$B$3)+1)*I20+INDEX(Symboles!$H$6:$H$101,MOD(70+$C20+(1),$B$3)+1)*J20+INDEX(Symboles!$H$6:$H$101,MOD(70+$C20+(2),$B$3)+1)*K20+INDEX(Symboles!$H$6:$H$101,MOD(70+$C20+(3),$B$3)+1)*L20+INDEX(Symboles!$H$6:$H$101,MOD(70+$C20+(4),$B$3)+1)*M20+IF($B$6=0,0,$B$6*NORMSINV(0.000001+0.999998*RAND())))</f>
        <v/>
      </c>
      <c r="GB20" s="30">
        <f>IF(72&gt;$B$3,99,INDEX(Symboles!$H$6:$H$101,MOD(71+$C20+(-4),$B$3)+1)*E20+INDEX(Symboles!$H$6:$H$101,MOD(71+$C20+(-3),$B$3)+1)*F20+INDEX(Symboles!$H$6:$H$101,MOD(71+$C20+(-2),$B$3)+1)*G20+INDEX(Symboles!$H$6:$H$101,MOD(71+$C20+(-1),$B$3)+1)*H20+INDEX(Symboles!$H$6:$H$101,MOD(71+$C20+(0),$B$3)+1)*I20+INDEX(Symboles!$H$6:$H$101,MOD(71+$C20+(1),$B$3)+1)*J20+INDEX(Symboles!$H$6:$H$101,MOD(71+$C20+(2),$B$3)+1)*K20+INDEX(Symboles!$H$6:$H$101,MOD(71+$C20+(3),$B$3)+1)*L20+INDEX(Symboles!$H$6:$H$101,MOD(71+$C20+(4),$B$3)+1)*M20+IF($B$6=0,0,$B$6*NORMSINV(0.000001+0.999998*RAND())))</f>
        <v/>
      </c>
      <c r="GC20" s="30">
        <f>IF(73&gt;$B$3,99,INDEX(Symboles!$H$6:$H$101,MOD(72+$C20+(-4),$B$3)+1)*E20+INDEX(Symboles!$H$6:$H$101,MOD(72+$C20+(-3),$B$3)+1)*F20+INDEX(Symboles!$H$6:$H$101,MOD(72+$C20+(-2),$B$3)+1)*G20+INDEX(Symboles!$H$6:$H$101,MOD(72+$C20+(-1),$B$3)+1)*H20+INDEX(Symboles!$H$6:$H$101,MOD(72+$C20+(0),$B$3)+1)*I20+INDEX(Symboles!$H$6:$H$101,MOD(72+$C20+(1),$B$3)+1)*J20+INDEX(Symboles!$H$6:$H$101,MOD(72+$C20+(2),$B$3)+1)*K20+INDEX(Symboles!$H$6:$H$101,MOD(72+$C20+(3),$B$3)+1)*L20+INDEX(Symboles!$H$6:$H$101,MOD(72+$C20+(4),$B$3)+1)*M20+IF($B$6=0,0,$B$6*NORMSINV(0.000001+0.999998*RAND())))</f>
        <v/>
      </c>
      <c r="GD20" s="30">
        <f>IF(74&gt;$B$3,99,INDEX(Symboles!$H$6:$H$101,MOD(73+$C20+(-4),$B$3)+1)*E20+INDEX(Symboles!$H$6:$H$101,MOD(73+$C20+(-3),$B$3)+1)*F20+INDEX(Symboles!$H$6:$H$101,MOD(73+$C20+(-2),$B$3)+1)*G20+INDEX(Symboles!$H$6:$H$101,MOD(73+$C20+(-1),$B$3)+1)*H20+INDEX(Symboles!$H$6:$H$101,MOD(73+$C20+(0),$B$3)+1)*I20+INDEX(Symboles!$H$6:$H$101,MOD(73+$C20+(1),$B$3)+1)*J20+INDEX(Symboles!$H$6:$H$101,MOD(73+$C20+(2),$B$3)+1)*K20+INDEX(Symboles!$H$6:$H$101,MOD(73+$C20+(3),$B$3)+1)*L20+INDEX(Symboles!$H$6:$H$101,MOD(73+$C20+(4),$B$3)+1)*M20+IF($B$6=0,0,$B$6*NORMSINV(0.000001+0.999998*RAND())))</f>
        <v/>
      </c>
      <c r="GE20" s="30">
        <f>IF(75&gt;$B$3,99,INDEX(Symboles!$H$6:$H$101,MOD(74+$C20+(-4),$B$3)+1)*E20+INDEX(Symboles!$H$6:$H$101,MOD(74+$C20+(-3),$B$3)+1)*F20+INDEX(Symboles!$H$6:$H$101,MOD(74+$C20+(-2),$B$3)+1)*G20+INDEX(Symboles!$H$6:$H$101,MOD(74+$C20+(-1),$B$3)+1)*H20+INDEX(Symboles!$H$6:$H$101,MOD(74+$C20+(0),$B$3)+1)*I20+INDEX(Symboles!$H$6:$H$101,MOD(74+$C20+(1),$B$3)+1)*J20+INDEX(Symboles!$H$6:$H$101,MOD(74+$C20+(2),$B$3)+1)*K20+INDEX(Symboles!$H$6:$H$101,MOD(74+$C20+(3),$B$3)+1)*L20+INDEX(Symboles!$H$6:$H$101,MOD(74+$C20+(4),$B$3)+1)*M20+IF($B$6=0,0,$B$6*NORMSINV(0.000001+0.999998*RAND())))</f>
        <v/>
      </c>
      <c r="GF20" s="30">
        <f>IF(76&gt;$B$3,99,INDEX(Symboles!$H$6:$H$101,MOD(75+$C20+(-4),$B$3)+1)*E20+INDEX(Symboles!$H$6:$H$101,MOD(75+$C20+(-3),$B$3)+1)*F20+INDEX(Symboles!$H$6:$H$101,MOD(75+$C20+(-2),$B$3)+1)*G20+INDEX(Symboles!$H$6:$H$101,MOD(75+$C20+(-1),$B$3)+1)*H20+INDEX(Symboles!$H$6:$H$101,MOD(75+$C20+(0),$B$3)+1)*I20+INDEX(Symboles!$H$6:$H$101,MOD(75+$C20+(1),$B$3)+1)*J20+INDEX(Symboles!$H$6:$H$101,MOD(75+$C20+(2),$B$3)+1)*K20+INDEX(Symboles!$H$6:$H$101,MOD(75+$C20+(3),$B$3)+1)*L20+INDEX(Symboles!$H$6:$H$101,MOD(75+$C20+(4),$B$3)+1)*M20+IF($B$6=0,0,$B$6*NORMSINV(0.000001+0.999998*RAND())))</f>
        <v/>
      </c>
      <c r="GG20" s="30">
        <f>IF(77&gt;$B$3,99,INDEX(Symboles!$H$6:$H$101,MOD(76+$C20+(-4),$B$3)+1)*E20+INDEX(Symboles!$H$6:$H$101,MOD(76+$C20+(-3),$B$3)+1)*F20+INDEX(Symboles!$H$6:$H$101,MOD(76+$C20+(-2),$B$3)+1)*G20+INDEX(Symboles!$H$6:$H$101,MOD(76+$C20+(-1),$B$3)+1)*H20+INDEX(Symboles!$H$6:$H$101,MOD(76+$C20+(0),$B$3)+1)*I20+INDEX(Symboles!$H$6:$H$101,MOD(76+$C20+(1),$B$3)+1)*J20+INDEX(Symboles!$H$6:$H$101,MOD(76+$C20+(2),$B$3)+1)*K20+INDEX(Symboles!$H$6:$H$101,MOD(76+$C20+(3),$B$3)+1)*L20+INDEX(Symboles!$H$6:$H$101,MOD(76+$C20+(4),$B$3)+1)*M20+IF($B$6=0,0,$B$6*NORMSINV(0.000001+0.999998*RAND())))</f>
        <v/>
      </c>
      <c r="GH20" s="30">
        <f>IF(78&gt;$B$3,99,INDEX(Symboles!$H$6:$H$101,MOD(77+$C20+(-4),$B$3)+1)*E20+INDEX(Symboles!$H$6:$H$101,MOD(77+$C20+(-3),$B$3)+1)*F20+INDEX(Symboles!$H$6:$H$101,MOD(77+$C20+(-2),$B$3)+1)*G20+INDEX(Symboles!$H$6:$H$101,MOD(77+$C20+(-1),$B$3)+1)*H20+INDEX(Symboles!$H$6:$H$101,MOD(77+$C20+(0),$B$3)+1)*I20+INDEX(Symboles!$H$6:$H$101,MOD(77+$C20+(1),$B$3)+1)*J20+INDEX(Symboles!$H$6:$H$101,MOD(77+$C20+(2),$B$3)+1)*K20+INDEX(Symboles!$H$6:$H$101,MOD(77+$C20+(3),$B$3)+1)*L20+INDEX(Symboles!$H$6:$H$101,MOD(77+$C20+(4),$B$3)+1)*M20+IF($B$6=0,0,$B$6*NORMSINV(0.000001+0.999998*RAND())))</f>
        <v/>
      </c>
      <c r="GI20" s="30">
        <f>IF(79&gt;$B$3,99,INDEX(Symboles!$H$6:$H$101,MOD(78+$C20+(-4),$B$3)+1)*E20+INDEX(Symboles!$H$6:$H$101,MOD(78+$C20+(-3),$B$3)+1)*F20+INDEX(Symboles!$H$6:$H$101,MOD(78+$C20+(-2),$B$3)+1)*G20+INDEX(Symboles!$H$6:$H$101,MOD(78+$C20+(-1),$B$3)+1)*H20+INDEX(Symboles!$H$6:$H$101,MOD(78+$C20+(0),$B$3)+1)*I20+INDEX(Symboles!$H$6:$H$101,MOD(78+$C20+(1),$B$3)+1)*J20+INDEX(Symboles!$H$6:$H$101,MOD(78+$C20+(2),$B$3)+1)*K20+INDEX(Symboles!$H$6:$H$101,MOD(78+$C20+(3),$B$3)+1)*L20+INDEX(Symboles!$H$6:$H$101,MOD(78+$C20+(4),$B$3)+1)*M20+IF($B$6=0,0,$B$6*NORMSINV(0.000001+0.999998*RAND())))</f>
        <v/>
      </c>
      <c r="GJ20" s="30">
        <f>IF(80&gt;$B$3,99,INDEX(Symboles!$H$6:$H$101,MOD(79+$C20+(-4),$B$3)+1)*E20+INDEX(Symboles!$H$6:$H$101,MOD(79+$C20+(-3),$B$3)+1)*F20+INDEX(Symboles!$H$6:$H$101,MOD(79+$C20+(-2),$B$3)+1)*G20+INDEX(Symboles!$H$6:$H$101,MOD(79+$C20+(-1),$B$3)+1)*H20+INDEX(Symboles!$H$6:$H$101,MOD(79+$C20+(0),$B$3)+1)*I20+INDEX(Symboles!$H$6:$H$101,MOD(79+$C20+(1),$B$3)+1)*J20+INDEX(Symboles!$H$6:$H$101,MOD(79+$C20+(2),$B$3)+1)*K20+INDEX(Symboles!$H$6:$H$101,MOD(79+$C20+(3),$B$3)+1)*L20+INDEX(Symboles!$H$6:$H$101,MOD(79+$C20+(4),$B$3)+1)*M20+IF($B$6=0,0,$B$6*NORMSINV(0.000001+0.999998*RAND())))</f>
        <v/>
      </c>
      <c r="GK20" s="30">
        <f>IF(81&gt;$B$3,99,INDEX(Symboles!$H$6:$H$101,MOD(80+$C20+(-4),$B$3)+1)*E20+INDEX(Symboles!$H$6:$H$101,MOD(80+$C20+(-3),$B$3)+1)*F20+INDEX(Symboles!$H$6:$H$101,MOD(80+$C20+(-2),$B$3)+1)*G20+INDEX(Symboles!$H$6:$H$101,MOD(80+$C20+(-1),$B$3)+1)*H20+INDEX(Symboles!$H$6:$H$101,MOD(80+$C20+(0),$B$3)+1)*I20+INDEX(Symboles!$H$6:$H$101,MOD(80+$C20+(1),$B$3)+1)*J20+INDEX(Symboles!$H$6:$H$101,MOD(80+$C20+(2),$B$3)+1)*K20+INDEX(Symboles!$H$6:$H$101,MOD(80+$C20+(3),$B$3)+1)*L20+INDEX(Symboles!$H$6:$H$101,MOD(80+$C20+(4),$B$3)+1)*M20+IF($B$6=0,0,$B$6*NORMSINV(0.000001+0.999998*RAND())))</f>
        <v/>
      </c>
      <c r="GL20" s="30">
        <f>IF(82&gt;$B$3,99,INDEX(Symboles!$H$6:$H$101,MOD(81+$C20+(-4),$B$3)+1)*E20+INDEX(Symboles!$H$6:$H$101,MOD(81+$C20+(-3),$B$3)+1)*F20+INDEX(Symboles!$H$6:$H$101,MOD(81+$C20+(-2),$B$3)+1)*G20+INDEX(Symboles!$H$6:$H$101,MOD(81+$C20+(-1),$B$3)+1)*H20+INDEX(Symboles!$H$6:$H$101,MOD(81+$C20+(0),$B$3)+1)*I20+INDEX(Symboles!$H$6:$H$101,MOD(81+$C20+(1),$B$3)+1)*J20+INDEX(Symboles!$H$6:$H$101,MOD(81+$C20+(2),$B$3)+1)*K20+INDEX(Symboles!$H$6:$H$101,MOD(81+$C20+(3),$B$3)+1)*L20+INDEX(Symboles!$H$6:$H$101,MOD(81+$C20+(4),$B$3)+1)*M20+IF($B$6=0,0,$B$6*NORMSINV(0.000001+0.999998*RAND())))</f>
        <v/>
      </c>
      <c r="GM20" s="30">
        <f>IF(83&gt;$B$3,99,INDEX(Symboles!$H$6:$H$101,MOD(82+$C20+(-4),$B$3)+1)*E20+INDEX(Symboles!$H$6:$H$101,MOD(82+$C20+(-3),$B$3)+1)*F20+INDEX(Symboles!$H$6:$H$101,MOD(82+$C20+(-2),$B$3)+1)*G20+INDEX(Symboles!$H$6:$H$101,MOD(82+$C20+(-1),$B$3)+1)*H20+INDEX(Symboles!$H$6:$H$101,MOD(82+$C20+(0),$B$3)+1)*I20+INDEX(Symboles!$H$6:$H$101,MOD(82+$C20+(1),$B$3)+1)*J20+INDEX(Symboles!$H$6:$H$101,MOD(82+$C20+(2),$B$3)+1)*K20+INDEX(Symboles!$H$6:$H$101,MOD(82+$C20+(3),$B$3)+1)*L20+INDEX(Symboles!$H$6:$H$101,MOD(82+$C20+(4),$B$3)+1)*M20+IF($B$6=0,0,$B$6*NORMSINV(0.000001+0.999998*RAND())))</f>
        <v/>
      </c>
      <c r="GN20" s="30">
        <f>IF(84&gt;$B$3,99,INDEX(Symboles!$H$6:$H$101,MOD(83+$C20+(-4),$B$3)+1)*E20+INDEX(Symboles!$H$6:$H$101,MOD(83+$C20+(-3),$B$3)+1)*F20+INDEX(Symboles!$H$6:$H$101,MOD(83+$C20+(-2),$B$3)+1)*G20+INDEX(Symboles!$H$6:$H$101,MOD(83+$C20+(-1),$B$3)+1)*H20+INDEX(Symboles!$H$6:$H$101,MOD(83+$C20+(0),$B$3)+1)*I20+INDEX(Symboles!$H$6:$H$101,MOD(83+$C20+(1),$B$3)+1)*J20+INDEX(Symboles!$H$6:$H$101,MOD(83+$C20+(2),$B$3)+1)*K20+INDEX(Symboles!$H$6:$H$101,MOD(83+$C20+(3),$B$3)+1)*L20+INDEX(Symboles!$H$6:$H$101,MOD(83+$C20+(4),$B$3)+1)*M20+IF($B$6=0,0,$B$6*NORMSINV(0.000001+0.999998*RAND())))</f>
        <v/>
      </c>
      <c r="GO20" s="30">
        <f>IF(85&gt;$B$3,99,INDEX(Symboles!$H$6:$H$101,MOD(84+$C20+(-4),$B$3)+1)*E20+INDEX(Symboles!$H$6:$H$101,MOD(84+$C20+(-3),$B$3)+1)*F20+INDEX(Symboles!$H$6:$H$101,MOD(84+$C20+(-2),$B$3)+1)*G20+INDEX(Symboles!$H$6:$H$101,MOD(84+$C20+(-1),$B$3)+1)*H20+INDEX(Symboles!$H$6:$H$101,MOD(84+$C20+(0),$B$3)+1)*I20+INDEX(Symboles!$H$6:$H$101,MOD(84+$C20+(1),$B$3)+1)*J20+INDEX(Symboles!$H$6:$H$101,MOD(84+$C20+(2),$B$3)+1)*K20+INDEX(Symboles!$H$6:$H$101,MOD(84+$C20+(3),$B$3)+1)*L20+INDEX(Symboles!$H$6:$H$101,MOD(84+$C20+(4),$B$3)+1)*M20+IF($B$6=0,0,$B$6*NORMSINV(0.000001+0.999998*RAND())))</f>
        <v/>
      </c>
      <c r="GP20" s="30">
        <f>IF(86&gt;$B$3,99,INDEX(Symboles!$H$6:$H$101,MOD(85+$C20+(-4),$B$3)+1)*E20+INDEX(Symboles!$H$6:$H$101,MOD(85+$C20+(-3),$B$3)+1)*F20+INDEX(Symboles!$H$6:$H$101,MOD(85+$C20+(-2),$B$3)+1)*G20+INDEX(Symboles!$H$6:$H$101,MOD(85+$C20+(-1),$B$3)+1)*H20+INDEX(Symboles!$H$6:$H$101,MOD(85+$C20+(0),$B$3)+1)*I20+INDEX(Symboles!$H$6:$H$101,MOD(85+$C20+(1),$B$3)+1)*J20+INDEX(Symboles!$H$6:$H$101,MOD(85+$C20+(2),$B$3)+1)*K20+INDEX(Symboles!$H$6:$H$101,MOD(85+$C20+(3),$B$3)+1)*L20+INDEX(Symboles!$H$6:$H$101,MOD(85+$C20+(4),$B$3)+1)*M20+IF($B$6=0,0,$B$6*NORMSINV(0.000001+0.999998*RAND())))</f>
        <v/>
      </c>
      <c r="GQ20" s="30">
        <f>IF(87&gt;$B$3,99,INDEX(Symboles!$H$6:$H$101,MOD(86+$C20+(-4),$B$3)+1)*E20+INDEX(Symboles!$H$6:$H$101,MOD(86+$C20+(-3),$B$3)+1)*F20+INDEX(Symboles!$H$6:$H$101,MOD(86+$C20+(-2),$B$3)+1)*G20+INDEX(Symboles!$H$6:$H$101,MOD(86+$C20+(-1),$B$3)+1)*H20+INDEX(Symboles!$H$6:$H$101,MOD(86+$C20+(0),$B$3)+1)*I20+INDEX(Symboles!$H$6:$H$101,MOD(86+$C20+(1),$B$3)+1)*J20+INDEX(Symboles!$H$6:$H$101,MOD(86+$C20+(2),$B$3)+1)*K20+INDEX(Symboles!$H$6:$H$101,MOD(86+$C20+(3),$B$3)+1)*L20+INDEX(Symboles!$H$6:$H$101,MOD(86+$C20+(4),$B$3)+1)*M20+IF($B$6=0,0,$B$6*NORMSINV(0.000001+0.999998*RAND())))</f>
        <v/>
      </c>
      <c r="GR20" s="30">
        <f>IF(88&gt;$B$3,99,INDEX(Symboles!$H$6:$H$101,MOD(87+$C20+(-4),$B$3)+1)*E20+INDEX(Symboles!$H$6:$H$101,MOD(87+$C20+(-3),$B$3)+1)*F20+INDEX(Symboles!$H$6:$H$101,MOD(87+$C20+(-2),$B$3)+1)*G20+INDEX(Symboles!$H$6:$H$101,MOD(87+$C20+(-1),$B$3)+1)*H20+INDEX(Symboles!$H$6:$H$101,MOD(87+$C20+(0),$B$3)+1)*I20+INDEX(Symboles!$H$6:$H$101,MOD(87+$C20+(1),$B$3)+1)*J20+INDEX(Symboles!$H$6:$H$101,MOD(87+$C20+(2),$B$3)+1)*K20+INDEX(Symboles!$H$6:$H$101,MOD(87+$C20+(3),$B$3)+1)*L20+INDEX(Symboles!$H$6:$H$101,MOD(87+$C20+(4),$B$3)+1)*M20+IF($B$6=0,0,$B$6*NORMSINV(0.000001+0.999998*RAND())))</f>
        <v/>
      </c>
      <c r="GS20" s="30">
        <f>IF(89&gt;$B$3,99,INDEX(Symboles!$H$6:$H$101,MOD(88+$C20+(-4),$B$3)+1)*E20+INDEX(Symboles!$H$6:$H$101,MOD(88+$C20+(-3),$B$3)+1)*F20+INDEX(Symboles!$H$6:$H$101,MOD(88+$C20+(-2),$B$3)+1)*G20+INDEX(Symboles!$H$6:$H$101,MOD(88+$C20+(-1),$B$3)+1)*H20+INDEX(Symboles!$H$6:$H$101,MOD(88+$C20+(0),$B$3)+1)*I20+INDEX(Symboles!$H$6:$H$101,MOD(88+$C20+(1),$B$3)+1)*J20+INDEX(Symboles!$H$6:$H$101,MOD(88+$C20+(2),$B$3)+1)*K20+INDEX(Symboles!$H$6:$H$101,MOD(88+$C20+(3),$B$3)+1)*L20+INDEX(Symboles!$H$6:$H$101,MOD(88+$C20+(4),$B$3)+1)*M20+IF($B$6=0,0,$B$6*NORMSINV(0.000001+0.999998*RAND())))</f>
        <v/>
      </c>
      <c r="GT20" s="30">
        <f>IF(90&gt;$B$3,99,INDEX(Symboles!$H$6:$H$101,MOD(89+$C20+(-4),$B$3)+1)*E20+INDEX(Symboles!$H$6:$H$101,MOD(89+$C20+(-3),$B$3)+1)*F20+INDEX(Symboles!$H$6:$H$101,MOD(89+$C20+(-2),$B$3)+1)*G20+INDEX(Symboles!$H$6:$H$101,MOD(89+$C20+(-1),$B$3)+1)*H20+INDEX(Symboles!$H$6:$H$101,MOD(89+$C20+(0),$B$3)+1)*I20+INDEX(Symboles!$H$6:$H$101,MOD(89+$C20+(1),$B$3)+1)*J20+INDEX(Symboles!$H$6:$H$101,MOD(89+$C20+(2),$B$3)+1)*K20+INDEX(Symboles!$H$6:$H$101,MOD(89+$C20+(3),$B$3)+1)*L20+INDEX(Symboles!$H$6:$H$101,MOD(89+$C20+(4),$B$3)+1)*M20+IF($B$6=0,0,$B$6*NORMSINV(0.000001+0.999998*RAND())))</f>
        <v/>
      </c>
      <c r="GU20" s="30">
        <f>IF(91&gt;$B$3,99,INDEX(Symboles!$H$6:$H$101,MOD(90+$C20+(-4),$B$3)+1)*E20+INDEX(Symboles!$H$6:$H$101,MOD(90+$C20+(-3),$B$3)+1)*F20+INDEX(Symboles!$H$6:$H$101,MOD(90+$C20+(-2),$B$3)+1)*G20+INDEX(Symboles!$H$6:$H$101,MOD(90+$C20+(-1),$B$3)+1)*H20+INDEX(Symboles!$H$6:$H$101,MOD(90+$C20+(0),$B$3)+1)*I20+INDEX(Symboles!$H$6:$H$101,MOD(90+$C20+(1),$B$3)+1)*J20+INDEX(Symboles!$H$6:$H$101,MOD(90+$C20+(2),$B$3)+1)*K20+INDEX(Symboles!$H$6:$H$101,MOD(90+$C20+(3),$B$3)+1)*L20+INDEX(Symboles!$H$6:$H$101,MOD(90+$C20+(4),$B$3)+1)*M20+IF($B$6=0,0,$B$6*NORMSINV(0.000001+0.999998*RAND())))</f>
        <v/>
      </c>
      <c r="GV20" s="30">
        <f>IF(92&gt;$B$3,99,INDEX(Symboles!$H$6:$H$101,MOD(91+$C20+(-4),$B$3)+1)*E20+INDEX(Symboles!$H$6:$H$101,MOD(91+$C20+(-3),$B$3)+1)*F20+INDEX(Symboles!$H$6:$H$101,MOD(91+$C20+(-2),$B$3)+1)*G20+INDEX(Symboles!$H$6:$H$101,MOD(91+$C20+(-1),$B$3)+1)*H20+INDEX(Symboles!$H$6:$H$101,MOD(91+$C20+(0),$B$3)+1)*I20+INDEX(Symboles!$H$6:$H$101,MOD(91+$C20+(1),$B$3)+1)*J20+INDEX(Symboles!$H$6:$H$101,MOD(91+$C20+(2),$B$3)+1)*K20+INDEX(Symboles!$H$6:$H$101,MOD(91+$C20+(3),$B$3)+1)*L20+INDEX(Symboles!$H$6:$H$101,MOD(91+$C20+(4),$B$3)+1)*M20+IF($B$6=0,0,$B$6*NORMSINV(0.000001+0.999998*RAND())))</f>
        <v/>
      </c>
      <c r="GW20" s="30">
        <f>IF(93&gt;$B$3,99,INDEX(Symboles!$H$6:$H$101,MOD(92+$C20+(-4),$B$3)+1)*E20+INDEX(Symboles!$H$6:$H$101,MOD(92+$C20+(-3),$B$3)+1)*F20+INDEX(Symboles!$H$6:$H$101,MOD(92+$C20+(-2),$B$3)+1)*G20+INDEX(Symboles!$H$6:$H$101,MOD(92+$C20+(-1),$B$3)+1)*H20+INDEX(Symboles!$H$6:$H$101,MOD(92+$C20+(0),$B$3)+1)*I20+INDEX(Symboles!$H$6:$H$101,MOD(92+$C20+(1),$B$3)+1)*J20+INDEX(Symboles!$H$6:$H$101,MOD(92+$C20+(2),$B$3)+1)*K20+INDEX(Symboles!$H$6:$H$101,MOD(92+$C20+(3),$B$3)+1)*L20+INDEX(Symboles!$H$6:$H$101,MOD(92+$C20+(4),$B$3)+1)*M20+IF($B$6=0,0,$B$6*NORMSINV(0.000001+0.999998*RAND())))</f>
        <v/>
      </c>
      <c r="GX20" s="30">
        <f>IF(94&gt;$B$3,99,INDEX(Symboles!$H$6:$H$101,MOD(93+$C20+(-4),$B$3)+1)*E20+INDEX(Symboles!$H$6:$H$101,MOD(93+$C20+(-3),$B$3)+1)*F20+INDEX(Symboles!$H$6:$H$101,MOD(93+$C20+(-2),$B$3)+1)*G20+INDEX(Symboles!$H$6:$H$101,MOD(93+$C20+(-1),$B$3)+1)*H20+INDEX(Symboles!$H$6:$H$101,MOD(93+$C20+(0),$B$3)+1)*I20+INDEX(Symboles!$H$6:$H$101,MOD(93+$C20+(1),$B$3)+1)*J20+INDEX(Symboles!$H$6:$H$101,MOD(93+$C20+(2),$B$3)+1)*K20+INDEX(Symboles!$H$6:$H$101,MOD(93+$C20+(3),$B$3)+1)*L20+INDEX(Symboles!$H$6:$H$101,MOD(93+$C20+(4),$B$3)+1)*M20+IF($B$6=0,0,$B$6*NORMSINV(0.000001+0.999998*RAND())))</f>
        <v/>
      </c>
      <c r="GY20" s="30">
        <f>IF(95&gt;$B$3,99,INDEX(Symboles!$H$6:$H$101,MOD(94+$C20+(-4),$B$3)+1)*E20+INDEX(Symboles!$H$6:$H$101,MOD(94+$C20+(-3),$B$3)+1)*F20+INDEX(Symboles!$H$6:$H$101,MOD(94+$C20+(-2),$B$3)+1)*G20+INDEX(Symboles!$H$6:$H$101,MOD(94+$C20+(-1),$B$3)+1)*H20+INDEX(Symboles!$H$6:$H$101,MOD(94+$C20+(0),$B$3)+1)*I20+INDEX(Symboles!$H$6:$H$101,MOD(94+$C20+(1),$B$3)+1)*J20+INDEX(Symboles!$H$6:$H$101,MOD(94+$C20+(2),$B$3)+1)*K20+INDEX(Symboles!$H$6:$H$101,MOD(94+$C20+(3),$B$3)+1)*L20+INDEX(Symboles!$H$6:$H$101,MOD(94+$C20+(4),$B$3)+1)*M20+IF($B$6=0,0,$B$6*NORMSINV(0.000001+0.999998*RAND())))</f>
        <v/>
      </c>
      <c r="GZ20" s="30">
        <f>IF(96&gt;$B$3,99,INDEX(Symboles!$H$6:$H$101,MOD(95+$C20+(-4),$B$3)+1)*E20+INDEX(Symboles!$H$6:$H$101,MOD(95+$C20+(-3),$B$3)+1)*F20+INDEX(Symboles!$H$6:$H$101,MOD(95+$C20+(-2),$B$3)+1)*G20+INDEX(Symboles!$H$6:$H$101,MOD(95+$C20+(-1),$B$3)+1)*H20+INDEX(Symboles!$H$6:$H$101,MOD(95+$C20+(0),$B$3)+1)*I20+INDEX(Symboles!$H$6:$H$101,MOD(95+$C20+(1),$B$3)+1)*J20+INDEX(Symboles!$H$6:$H$101,MOD(95+$C20+(2),$B$3)+1)*K20+INDEX(Symboles!$H$6:$H$101,MOD(95+$C20+(3),$B$3)+1)*L20+INDEX(Symboles!$H$6:$H$101,MOD(95+$C20+(4),$B$3)+1)*M20+IF($B$6=0,0,$B$6*NORMSINV(0.000001+0.999998*RAND())))</f>
        <v/>
      </c>
    </row>
    <row r="21">
      <c r="A21" s="28" t="n">
        <v>11</v>
      </c>
      <c r="B21" s="28" t="n">
        <v>-0.3125</v>
      </c>
      <c r="C21" s="28" t="n">
        <v>0</v>
      </c>
      <c r="D21" s="28" t="n">
        <v>3</v>
      </c>
      <c r="E21" s="29">
        <f>IF($B$4=1,0,IF(ABS(1-(2*$B$5*3.6875)^2)&lt;0.000001,PI()/4*SIN(PI()/(2*$B$5))/(PI()/(2*$B$5)),SIN(PI()*3.6875)/(PI()*3.6875)*COS(PI()*$B$5*3.6875)/(1-(2*$B$5*3.6875)^2)))</f>
        <v/>
      </c>
      <c r="F21" s="29">
        <f>IF($B$4=1,0,IF(ABS(1-(2*$B$5*2.6875)^2)&lt;0.000001,PI()/4*SIN(PI()/(2*$B$5))/(PI()/(2*$B$5)),SIN(PI()*2.6875)/(PI()*2.6875)*COS(PI()*$B$5*2.6875)/(1-(2*$B$5*2.6875)^2)))</f>
        <v/>
      </c>
      <c r="G21" s="29">
        <f>IF($B$4=1,0,IF(ABS(1-(2*$B$5*1.6875)^2)&lt;0.000001,PI()/4*SIN(PI()/(2*$B$5))/(PI()/(2*$B$5)),SIN(PI()*1.6875)/(PI()*1.6875)*COS(PI()*$B$5*1.6875)/(1-(2*$B$5*1.6875)^2)))</f>
        <v/>
      </c>
      <c r="H21" s="29">
        <f>IF($B$4=1,0,IF(ABS(1-(2*$B$5*0.6875)^2)&lt;0.000001,PI()/4*SIN(PI()/(2*$B$5))/(PI()/(2*$B$5)),SIN(PI()*0.6875)/(PI()*0.6875)*COS(PI()*$B$5*0.6875)/(1-(2*$B$5*0.6875)^2)))</f>
        <v/>
      </c>
      <c r="I21" s="29">
        <f>IF($B$4=1,1,IF(ABS(1-(2*$B$5*-0.3125)^2)&lt;0.000001,PI()/4*SIN(PI()/(2*$B$5))/(PI()/(2*$B$5)),SIN(PI()*-0.3125)/(PI()*-0.3125)*COS(PI()*$B$5*-0.3125)/(1-(2*$B$5*-0.3125)^2)))</f>
        <v/>
      </c>
      <c r="J21" s="29">
        <f>IF($B$4=1,0,IF(ABS(1-(2*$B$5*-1.3125)^2)&lt;0.000001,PI()/4*SIN(PI()/(2*$B$5))/(PI()/(2*$B$5)),SIN(PI()*-1.3125)/(PI()*-1.3125)*COS(PI()*$B$5*-1.3125)/(1-(2*$B$5*-1.3125)^2)))</f>
        <v/>
      </c>
      <c r="K21" s="29">
        <f>IF($B$4=1,0,IF(ABS(1-(2*$B$5*-2.3125)^2)&lt;0.000001,PI()/4*SIN(PI()/(2*$B$5))/(PI()/(2*$B$5)),SIN(PI()*-2.3125)/(PI()*-2.3125)*COS(PI()*$B$5*-2.3125)/(1-(2*$B$5*-2.3125)^2)))</f>
        <v/>
      </c>
      <c r="L21" s="29">
        <f>IF($B$4=1,0,IF(ABS(1-(2*$B$5*-3.3125)^2)&lt;0.000001,PI()/4*SIN(PI()/(2*$B$5))/(PI()/(2*$B$5)),SIN(PI()*-3.3125)/(PI()*-3.3125)*COS(PI()*$B$5*-3.3125)/(1-(2*$B$5*-3.3125)^2)))</f>
        <v/>
      </c>
      <c r="M21" s="29">
        <f>IF($B$4=1,0,IF(ABS(1-(2*$B$5*-4.3125)^2)&lt;0.000001,PI()/4*SIN(PI()/(2*$B$5))/(PI()/(2*$B$5)),SIN(PI()*-4.3125)/(PI()*-4.3125)*COS(PI()*$B$5*-4.3125)/(1-(2*$B$5*-4.3125)^2)))</f>
        <v/>
      </c>
      <c r="P21" s="30">
        <f>IF(1&gt;$B$3,99,INDEX(Symboles!$G$6:$G$101,MOD(0+$C21+(-4),$B$3)+1)*E21+INDEX(Symboles!$G$6:$G$101,MOD(0+$C21+(-3),$B$3)+1)*F21+INDEX(Symboles!$G$6:$G$101,MOD(0+$C21+(-2),$B$3)+1)*G21+INDEX(Symboles!$G$6:$G$101,MOD(0+$C21+(-1),$B$3)+1)*H21+INDEX(Symboles!$G$6:$G$101,MOD(0+$C21+(0),$B$3)+1)*I21+INDEX(Symboles!$G$6:$G$101,MOD(0+$C21+(1),$B$3)+1)*J21+INDEX(Symboles!$G$6:$G$101,MOD(0+$C21+(2),$B$3)+1)*K21+INDEX(Symboles!$G$6:$G$101,MOD(0+$C21+(3),$B$3)+1)*L21+INDEX(Symboles!$G$6:$G$101,MOD(0+$C21+(4),$B$3)+1)*M21+IF($B$6=0,0,$B$6*NORMSINV(0.000001+0.999998*RAND())))</f>
        <v/>
      </c>
      <c r="Q21" s="30">
        <f>IF(2&gt;$B$3,99,INDEX(Symboles!$G$6:$G$101,MOD(1+$C21+(-4),$B$3)+1)*E21+INDEX(Symboles!$G$6:$G$101,MOD(1+$C21+(-3),$B$3)+1)*F21+INDEX(Symboles!$G$6:$G$101,MOD(1+$C21+(-2),$B$3)+1)*G21+INDEX(Symboles!$G$6:$G$101,MOD(1+$C21+(-1),$B$3)+1)*H21+INDEX(Symboles!$G$6:$G$101,MOD(1+$C21+(0),$B$3)+1)*I21+INDEX(Symboles!$G$6:$G$101,MOD(1+$C21+(1),$B$3)+1)*J21+INDEX(Symboles!$G$6:$G$101,MOD(1+$C21+(2),$B$3)+1)*K21+INDEX(Symboles!$G$6:$G$101,MOD(1+$C21+(3),$B$3)+1)*L21+INDEX(Symboles!$G$6:$G$101,MOD(1+$C21+(4),$B$3)+1)*M21+IF($B$6=0,0,$B$6*NORMSINV(0.000001+0.999998*RAND())))</f>
        <v/>
      </c>
      <c r="R21" s="30">
        <f>IF(3&gt;$B$3,99,INDEX(Symboles!$G$6:$G$101,MOD(2+$C21+(-4),$B$3)+1)*E21+INDEX(Symboles!$G$6:$G$101,MOD(2+$C21+(-3),$B$3)+1)*F21+INDEX(Symboles!$G$6:$G$101,MOD(2+$C21+(-2),$B$3)+1)*G21+INDEX(Symboles!$G$6:$G$101,MOD(2+$C21+(-1),$B$3)+1)*H21+INDEX(Symboles!$G$6:$G$101,MOD(2+$C21+(0),$B$3)+1)*I21+INDEX(Symboles!$G$6:$G$101,MOD(2+$C21+(1),$B$3)+1)*J21+INDEX(Symboles!$G$6:$G$101,MOD(2+$C21+(2),$B$3)+1)*K21+INDEX(Symboles!$G$6:$G$101,MOD(2+$C21+(3),$B$3)+1)*L21+INDEX(Symboles!$G$6:$G$101,MOD(2+$C21+(4),$B$3)+1)*M21+IF($B$6=0,0,$B$6*NORMSINV(0.000001+0.999998*RAND())))</f>
        <v/>
      </c>
      <c r="S21" s="30">
        <f>IF(4&gt;$B$3,99,INDEX(Symboles!$G$6:$G$101,MOD(3+$C21+(-4),$B$3)+1)*E21+INDEX(Symboles!$G$6:$G$101,MOD(3+$C21+(-3),$B$3)+1)*F21+INDEX(Symboles!$G$6:$G$101,MOD(3+$C21+(-2),$B$3)+1)*G21+INDEX(Symboles!$G$6:$G$101,MOD(3+$C21+(-1),$B$3)+1)*H21+INDEX(Symboles!$G$6:$G$101,MOD(3+$C21+(0),$B$3)+1)*I21+INDEX(Symboles!$G$6:$G$101,MOD(3+$C21+(1),$B$3)+1)*J21+INDEX(Symboles!$G$6:$G$101,MOD(3+$C21+(2),$B$3)+1)*K21+INDEX(Symboles!$G$6:$G$101,MOD(3+$C21+(3),$B$3)+1)*L21+INDEX(Symboles!$G$6:$G$101,MOD(3+$C21+(4),$B$3)+1)*M21+IF($B$6=0,0,$B$6*NORMSINV(0.000001+0.999998*RAND())))</f>
        <v/>
      </c>
      <c r="T21" s="30">
        <f>IF(5&gt;$B$3,99,INDEX(Symboles!$G$6:$G$101,MOD(4+$C21+(-4),$B$3)+1)*E21+INDEX(Symboles!$G$6:$G$101,MOD(4+$C21+(-3),$B$3)+1)*F21+INDEX(Symboles!$G$6:$G$101,MOD(4+$C21+(-2),$B$3)+1)*G21+INDEX(Symboles!$G$6:$G$101,MOD(4+$C21+(-1),$B$3)+1)*H21+INDEX(Symboles!$G$6:$G$101,MOD(4+$C21+(0),$B$3)+1)*I21+INDEX(Symboles!$G$6:$G$101,MOD(4+$C21+(1),$B$3)+1)*J21+INDEX(Symboles!$G$6:$G$101,MOD(4+$C21+(2),$B$3)+1)*K21+INDEX(Symboles!$G$6:$G$101,MOD(4+$C21+(3),$B$3)+1)*L21+INDEX(Symboles!$G$6:$G$101,MOD(4+$C21+(4),$B$3)+1)*M21+IF($B$6=0,0,$B$6*NORMSINV(0.000001+0.999998*RAND())))</f>
        <v/>
      </c>
      <c r="U21" s="30">
        <f>IF(6&gt;$B$3,99,INDEX(Symboles!$G$6:$G$101,MOD(5+$C21+(-4),$B$3)+1)*E21+INDEX(Symboles!$G$6:$G$101,MOD(5+$C21+(-3),$B$3)+1)*F21+INDEX(Symboles!$G$6:$G$101,MOD(5+$C21+(-2),$B$3)+1)*G21+INDEX(Symboles!$G$6:$G$101,MOD(5+$C21+(-1),$B$3)+1)*H21+INDEX(Symboles!$G$6:$G$101,MOD(5+$C21+(0),$B$3)+1)*I21+INDEX(Symboles!$G$6:$G$101,MOD(5+$C21+(1),$B$3)+1)*J21+INDEX(Symboles!$G$6:$G$101,MOD(5+$C21+(2),$B$3)+1)*K21+INDEX(Symboles!$G$6:$G$101,MOD(5+$C21+(3),$B$3)+1)*L21+INDEX(Symboles!$G$6:$G$101,MOD(5+$C21+(4),$B$3)+1)*M21+IF($B$6=0,0,$B$6*NORMSINV(0.000001+0.999998*RAND())))</f>
        <v/>
      </c>
      <c r="V21" s="30">
        <f>IF(7&gt;$B$3,99,INDEX(Symboles!$G$6:$G$101,MOD(6+$C21+(-4),$B$3)+1)*E21+INDEX(Symboles!$G$6:$G$101,MOD(6+$C21+(-3),$B$3)+1)*F21+INDEX(Symboles!$G$6:$G$101,MOD(6+$C21+(-2),$B$3)+1)*G21+INDEX(Symboles!$G$6:$G$101,MOD(6+$C21+(-1),$B$3)+1)*H21+INDEX(Symboles!$G$6:$G$101,MOD(6+$C21+(0),$B$3)+1)*I21+INDEX(Symboles!$G$6:$G$101,MOD(6+$C21+(1),$B$3)+1)*J21+INDEX(Symboles!$G$6:$G$101,MOD(6+$C21+(2),$B$3)+1)*K21+INDEX(Symboles!$G$6:$G$101,MOD(6+$C21+(3),$B$3)+1)*L21+INDEX(Symboles!$G$6:$G$101,MOD(6+$C21+(4),$B$3)+1)*M21+IF($B$6=0,0,$B$6*NORMSINV(0.000001+0.999998*RAND())))</f>
        <v/>
      </c>
      <c r="W21" s="30">
        <f>IF(8&gt;$B$3,99,INDEX(Symboles!$G$6:$G$101,MOD(7+$C21+(-4),$B$3)+1)*E21+INDEX(Symboles!$G$6:$G$101,MOD(7+$C21+(-3),$B$3)+1)*F21+INDEX(Symboles!$G$6:$G$101,MOD(7+$C21+(-2),$B$3)+1)*G21+INDEX(Symboles!$G$6:$G$101,MOD(7+$C21+(-1),$B$3)+1)*H21+INDEX(Symboles!$G$6:$G$101,MOD(7+$C21+(0),$B$3)+1)*I21+INDEX(Symboles!$G$6:$G$101,MOD(7+$C21+(1),$B$3)+1)*J21+INDEX(Symboles!$G$6:$G$101,MOD(7+$C21+(2),$B$3)+1)*K21+INDEX(Symboles!$G$6:$G$101,MOD(7+$C21+(3),$B$3)+1)*L21+INDEX(Symboles!$G$6:$G$101,MOD(7+$C21+(4),$B$3)+1)*M21+IF($B$6=0,0,$B$6*NORMSINV(0.000001+0.999998*RAND())))</f>
        <v/>
      </c>
      <c r="X21" s="30">
        <f>IF(9&gt;$B$3,99,INDEX(Symboles!$G$6:$G$101,MOD(8+$C21+(-4),$B$3)+1)*E21+INDEX(Symboles!$G$6:$G$101,MOD(8+$C21+(-3),$B$3)+1)*F21+INDEX(Symboles!$G$6:$G$101,MOD(8+$C21+(-2),$B$3)+1)*G21+INDEX(Symboles!$G$6:$G$101,MOD(8+$C21+(-1),$B$3)+1)*H21+INDEX(Symboles!$G$6:$G$101,MOD(8+$C21+(0),$B$3)+1)*I21+INDEX(Symboles!$G$6:$G$101,MOD(8+$C21+(1),$B$3)+1)*J21+INDEX(Symboles!$G$6:$G$101,MOD(8+$C21+(2),$B$3)+1)*K21+INDEX(Symboles!$G$6:$G$101,MOD(8+$C21+(3),$B$3)+1)*L21+INDEX(Symboles!$G$6:$G$101,MOD(8+$C21+(4),$B$3)+1)*M21+IF($B$6=0,0,$B$6*NORMSINV(0.000001+0.999998*RAND())))</f>
        <v/>
      </c>
      <c r="Y21" s="30">
        <f>IF(10&gt;$B$3,99,INDEX(Symboles!$G$6:$G$101,MOD(9+$C21+(-4),$B$3)+1)*E21+INDEX(Symboles!$G$6:$G$101,MOD(9+$C21+(-3),$B$3)+1)*F21+INDEX(Symboles!$G$6:$G$101,MOD(9+$C21+(-2),$B$3)+1)*G21+INDEX(Symboles!$G$6:$G$101,MOD(9+$C21+(-1),$B$3)+1)*H21+INDEX(Symboles!$G$6:$G$101,MOD(9+$C21+(0),$B$3)+1)*I21+INDEX(Symboles!$G$6:$G$101,MOD(9+$C21+(1),$B$3)+1)*J21+INDEX(Symboles!$G$6:$G$101,MOD(9+$C21+(2),$B$3)+1)*K21+INDEX(Symboles!$G$6:$G$101,MOD(9+$C21+(3),$B$3)+1)*L21+INDEX(Symboles!$G$6:$G$101,MOD(9+$C21+(4),$B$3)+1)*M21+IF($B$6=0,0,$B$6*NORMSINV(0.000001+0.999998*RAND())))</f>
        <v/>
      </c>
      <c r="Z21" s="30">
        <f>IF(11&gt;$B$3,99,INDEX(Symboles!$G$6:$G$101,MOD(10+$C21+(-4),$B$3)+1)*E21+INDEX(Symboles!$G$6:$G$101,MOD(10+$C21+(-3),$B$3)+1)*F21+INDEX(Symboles!$G$6:$G$101,MOD(10+$C21+(-2),$B$3)+1)*G21+INDEX(Symboles!$G$6:$G$101,MOD(10+$C21+(-1),$B$3)+1)*H21+INDEX(Symboles!$G$6:$G$101,MOD(10+$C21+(0),$B$3)+1)*I21+INDEX(Symboles!$G$6:$G$101,MOD(10+$C21+(1),$B$3)+1)*J21+INDEX(Symboles!$G$6:$G$101,MOD(10+$C21+(2),$B$3)+1)*K21+INDEX(Symboles!$G$6:$G$101,MOD(10+$C21+(3),$B$3)+1)*L21+INDEX(Symboles!$G$6:$G$101,MOD(10+$C21+(4),$B$3)+1)*M21+IF($B$6=0,0,$B$6*NORMSINV(0.000001+0.999998*RAND())))</f>
        <v/>
      </c>
      <c r="AA21" s="30">
        <f>IF(12&gt;$B$3,99,INDEX(Symboles!$G$6:$G$101,MOD(11+$C21+(-4),$B$3)+1)*E21+INDEX(Symboles!$G$6:$G$101,MOD(11+$C21+(-3),$B$3)+1)*F21+INDEX(Symboles!$G$6:$G$101,MOD(11+$C21+(-2),$B$3)+1)*G21+INDEX(Symboles!$G$6:$G$101,MOD(11+$C21+(-1),$B$3)+1)*H21+INDEX(Symboles!$G$6:$G$101,MOD(11+$C21+(0),$B$3)+1)*I21+INDEX(Symboles!$G$6:$G$101,MOD(11+$C21+(1),$B$3)+1)*J21+INDEX(Symboles!$G$6:$G$101,MOD(11+$C21+(2),$B$3)+1)*K21+INDEX(Symboles!$G$6:$G$101,MOD(11+$C21+(3),$B$3)+1)*L21+INDEX(Symboles!$G$6:$G$101,MOD(11+$C21+(4),$B$3)+1)*M21+IF($B$6=0,0,$B$6*NORMSINV(0.000001+0.999998*RAND())))</f>
        <v/>
      </c>
      <c r="AB21" s="30">
        <f>IF(13&gt;$B$3,99,INDEX(Symboles!$G$6:$G$101,MOD(12+$C21+(-4),$B$3)+1)*E21+INDEX(Symboles!$G$6:$G$101,MOD(12+$C21+(-3),$B$3)+1)*F21+INDEX(Symboles!$G$6:$G$101,MOD(12+$C21+(-2),$B$3)+1)*G21+INDEX(Symboles!$G$6:$G$101,MOD(12+$C21+(-1),$B$3)+1)*H21+INDEX(Symboles!$G$6:$G$101,MOD(12+$C21+(0),$B$3)+1)*I21+INDEX(Symboles!$G$6:$G$101,MOD(12+$C21+(1),$B$3)+1)*J21+INDEX(Symboles!$G$6:$G$101,MOD(12+$C21+(2),$B$3)+1)*K21+INDEX(Symboles!$G$6:$G$101,MOD(12+$C21+(3),$B$3)+1)*L21+INDEX(Symboles!$G$6:$G$101,MOD(12+$C21+(4),$B$3)+1)*M21+IF($B$6=0,0,$B$6*NORMSINV(0.000001+0.999998*RAND())))</f>
        <v/>
      </c>
      <c r="AC21" s="30">
        <f>IF(14&gt;$B$3,99,INDEX(Symboles!$G$6:$G$101,MOD(13+$C21+(-4),$B$3)+1)*E21+INDEX(Symboles!$G$6:$G$101,MOD(13+$C21+(-3),$B$3)+1)*F21+INDEX(Symboles!$G$6:$G$101,MOD(13+$C21+(-2),$B$3)+1)*G21+INDEX(Symboles!$G$6:$G$101,MOD(13+$C21+(-1),$B$3)+1)*H21+INDEX(Symboles!$G$6:$G$101,MOD(13+$C21+(0),$B$3)+1)*I21+INDEX(Symboles!$G$6:$G$101,MOD(13+$C21+(1),$B$3)+1)*J21+INDEX(Symboles!$G$6:$G$101,MOD(13+$C21+(2),$B$3)+1)*K21+INDEX(Symboles!$G$6:$G$101,MOD(13+$C21+(3),$B$3)+1)*L21+INDEX(Symboles!$G$6:$G$101,MOD(13+$C21+(4),$B$3)+1)*M21+IF($B$6=0,0,$B$6*NORMSINV(0.000001+0.999998*RAND())))</f>
        <v/>
      </c>
      <c r="AD21" s="30">
        <f>IF(15&gt;$B$3,99,INDEX(Symboles!$G$6:$G$101,MOD(14+$C21+(-4),$B$3)+1)*E21+INDEX(Symboles!$G$6:$G$101,MOD(14+$C21+(-3),$B$3)+1)*F21+INDEX(Symboles!$G$6:$G$101,MOD(14+$C21+(-2),$B$3)+1)*G21+INDEX(Symboles!$G$6:$G$101,MOD(14+$C21+(-1),$B$3)+1)*H21+INDEX(Symboles!$G$6:$G$101,MOD(14+$C21+(0),$B$3)+1)*I21+INDEX(Symboles!$G$6:$G$101,MOD(14+$C21+(1),$B$3)+1)*J21+INDEX(Symboles!$G$6:$G$101,MOD(14+$C21+(2),$B$3)+1)*K21+INDEX(Symboles!$G$6:$G$101,MOD(14+$C21+(3),$B$3)+1)*L21+INDEX(Symboles!$G$6:$G$101,MOD(14+$C21+(4),$B$3)+1)*M21+IF($B$6=0,0,$B$6*NORMSINV(0.000001+0.999998*RAND())))</f>
        <v/>
      </c>
      <c r="AE21" s="30">
        <f>IF(16&gt;$B$3,99,INDEX(Symboles!$G$6:$G$101,MOD(15+$C21+(-4),$B$3)+1)*E21+INDEX(Symboles!$G$6:$G$101,MOD(15+$C21+(-3),$B$3)+1)*F21+INDEX(Symboles!$G$6:$G$101,MOD(15+$C21+(-2),$B$3)+1)*G21+INDEX(Symboles!$G$6:$G$101,MOD(15+$C21+(-1),$B$3)+1)*H21+INDEX(Symboles!$G$6:$G$101,MOD(15+$C21+(0),$B$3)+1)*I21+INDEX(Symboles!$G$6:$G$101,MOD(15+$C21+(1),$B$3)+1)*J21+INDEX(Symboles!$G$6:$G$101,MOD(15+$C21+(2),$B$3)+1)*K21+INDEX(Symboles!$G$6:$G$101,MOD(15+$C21+(3),$B$3)+1)*L21+INDEX(Symboles!$G$6:$G$101,MOD(15+$C21+(4),$B$3)+1)*M21+IF($B$6=0,0,$B$6*NORMSINV(0.000001+0.999998*RAND())))</f>
        <v/>
      </c>
      <c r="AF21" s="30">
        <f>IF(17&gt;$B$3,99,INDEX(Symboles!$G$6:$G$101,MOD(16+$C21+(-4),$B$3)+1)*E21+INDEX(Symboles!$G$6:$G$101,MOD(16+$C21+(-3),$B$3)+1)*F21+INDEX(Symboles!$G$6:$G$101,MOD(16+$C21+(-2),$B$3)+1)*G21+INDEX(Symboles!$G$6:$G$101,MOD(16+$C21+(-1),$B$3)+1)*H21+INDEX(Symboles!$G$6:$G$101,MOD(16+$C21+(0),$B$3)+1)*I21+INDEX(Symboles!$G$6:$G$101,MOD(16+$C21+(1),$B$3)+1)*J21+INDEX(Symboles!$G$6:$G$101,MOD(16+$C21+(2),$B$3)+1)*K21+INDEX(Symboles!$G$6:$G$101,MOD(16+$C21+(3),$B$3)+1)*L21+INDEX(Symboles!$G$6:$G$101,MOD(16+$C21+(4),$B$3)+1)*M21+IF($B$6=0,0,$B$6*NORMSINV(0.000001+0.999998*RAND())))</f>
        <v/>
      </c>
      <c r="AG21" s="30">
        <f>IF(18&gt;$B$3,99,INDEX(Symboles!$G$6:$G$101,MOD(17+$C21+(-4),$B$3)+1)*E21+INDEX(Symboles!$G$6:$G$101,MOD(17+$C21+(-3),$B$3)+1)*F21+INDEX(Symboles!$G$6:$G$101,MOD(17+$C21+(-2),$B$3)+1)*G21+INDEX(Symboles!$G$6:$G$101,MOD(17+$C21+(-1),$B$3)+1)*H21+INDEX(Symboles!$G$6:$G$101,MOD(17+$C21+(0),$B$3)+1)*I21+INDEX(Symboles!$G$6:$G$101,MOD(17+$C21+(1),$B$3)+1)*J21+INDEX(Symboles!$G$6:$G$101,MOD(17+$C21+(2),$B$3)+1)*K21+INDEX(Symboles!$G$6:$G$101,MOD(17+$C21+(3),$B$3)+1)*L21+INDEX(Symboles!$G$6:$G$101,MOD(17+$C21+(4),$B$3)+1)*M21+IF($B$6=0,0,$B$6*NORMSINV(0.000001+0.999998*RAND())))</f>
        <v/>
      </c>
      <c r="AH21" s="30">
        <f>IF(19&gt;$B$3,99,INDEX(Symboles!$G$6:$G$101,MOD(18+$C21+(-4),$B$3)+1)*E21+INDEX(Symboles!$G$6:$G$101,MOD(18+$C21+(-3),$B$3)+1)*F21+INDEX(Symboles!$G$6:$G$101,MOD(18+$C21+(-2),$B$3)+1)*G21+INDEX(Symboles!$G$6:$G$101,MOD(18+$C21+(-1),$B$3)+1)*H21+INDEX(Symboles!$G$6:$G$101,MOD(18+$C21+(0),$B$3)+1)*I21+INDEX(Symboles!$G$6:$G$101,MOD(18+$C21+(1),$B$3)+1)*J21+INDEX(Symboles!$G$6:$G$101,MOD(18+$C21+(2),$B$3)+1)*K21+INDEX(Symboles!$G$6:$G$101,MOD(18+$C21+(3),$B$3)+1)*L21+INDEX(Symboles!$G$6:$G$101,MOD(18+$C21+(4),$B$3)+1)*M21+IF($B$6=0,0,$B$6*NORMSINV(0.000001+0.999998*RAND())))</f>
        <v/>
      </c>
      <c r="AI21" s="30">
        <f>IF(20&gt;$B$3,99,INDEX(Symboles!$G$6:$G$101,MOD(19+$C21+(-4),$B$3)+1)*E21+INDEX(Symboles!$G$6:$G$101,MOD(19+$C21+(-3),$B$3)+1)*F21+INDEX(Symboles!$G$6:$G$101,MOD(19+$C21+(-2),$B$3)+1)*G21+INDEX(Symboles!$G$6:$G$101,MOD(19+$C21+(-1),$B$3)+1)*H21+INDEX(Symboles!$G$6:$G$101,MOD(19+$C21+(0),$B$3)+1)*I21+INDEX(Symboles!$G$6:$G$101,MOD(19+$C21+(1),$B$3)+1)*J21+INDEX(Symboles!$G$6:$G$101,MOD(19+$C21+(2),$B$3)+1)*K21+INDEX(Symboles!$G$6:$G$101,MOD(19+$C21+(3),$B$3)+1)*L21+INDEX(Symboles!$G$6:$G$101,MOD(19+$C21+(4),$B$3)+1)*M21+IF($B$6=0,0,$B$6*NORMSINV(0.000001+0.999998*RAND())))</f>
        <v/>
      </c>
      <c r="AJ21" s="30">
        <f>IF(21&gt;$B$3,99,INDEX(Symboles!$G$6:$G$101,MOD(20+$C21+(-4),$B$3)+1)*E21+INDEX(Symboles!$G$6:$G$101,MOD(20+$C21+(-3),$B$3)+1)*F21+INDEX(Symboles!$G$6:$G$101,MOD(20+$C21+(-2),$B$3)+1)*G21+INDEX(Symboles!$G$6:$G$101,MOD(20+$C21+(-1),$B$3)+1)*H21+INDEX(Symboles!$G$6:$G$101,MOD(20+$C21+(0),$B$3)+1)*I21+INDEX(Symboles!$G$6:$G$101,MOD(20+$C21+(1),$B$3)+1)*J21+INDEX(Symboles!$G$6:$G$101,MOD(20+$C21+(2),$B$3)+1)*K21+INDEX(Symboles!$G$6:$G$101,MOD(20+$C21+(3),$B$3)+1)*L21+INDEX(Symboles!$G$6:$G$101,MOD(20+$C21+(4),$B$3)+1)*M21+IF($B$6=0,0,$B$6*NORMSINV(0.000001+0.999998*RAND())))</f>
        <v/>
      </c>
      <c r="AK21" s="30">
        <f>IF(22&gt;$B$3,99,INDEX(Symboles!$G$6:$G$101,MOD(21+$C21+(-4),$B$3)+1)*E21+INDEX(Symboles!$G$6:$G$101,MOD(21+$C21+(-3),$B$3)+1)*F21+INDEX(Symboles!$G$6:$G$101,MOD(21+$C21+(-2),$B$3)+1)*G21+INDEX(Symboles!$G$6:$G$101,MOD(21+$C21+(-1),$B$3)+1)*H21+INDEX(Symboles!$G$6:$G$101,MOD(21+$C21+(0),$B$3)+1)*I21+INDEX(Symboles!$G$6:$G$101,MOD(21+$C21+(1),$B$3)+1)*J21+INDEX(Symboles!$G$6:$G$101,MOD(21+$C21+(2),$B$3)+1)*K21+INDEX(Symboles!$G$6:$G$101,MOD(21+$C21+(3),$B$3)+1)*L21+INDEX(Symboles!$G$6:$G$101,MOD(21+$C21+(4),$B$3)+1)*M21+IF($B$6=0,0,$B$6*NORMSINV(0.000001+0.999998*RAND())))</f>
        <v/>
      </c>
      <c r="AL21" s="30">
        <f>IF(23&gt;$B$3,99,INDEX(Symboles!$G$6:$G$101,MOD(22+$C21+(-4),$B$3)+1)*E21+INDEX(Symboles!$G$6:$G$101,MOD(22+$C21+(-3),$B$3)+1)*F21+INDEX(Symboles!$G$6:$G$101,MOD(22+$C21+(-2),$B$3)+1)*G21+INDEX(Symboles!$G$6:$G$101,MOD(22+$C21+(-1),$B$3)+1)*H21+INDEX(Symboles!$G$6:$G$101,MOD(22+$C21+(0),$B$3)+1)*I21+INDEX(Symboles!$G$6:$G$101,MOD(22+$C21+(1),$B$3)+1)*J21+INDEX(Symboles!$G$6:$G$101,MOD(22+$C21+(2),$B$3)+1)*K21+INDEX(Symboles!$G$6:$G$101,MOD(22+$C21+(3),$B$3)+1)*L21+INDEX(Symboles!$G$6:$G$101,MOD(22+$C21+(4),$B$3)+1)*M21+IF($B$6=0,0,$B$6*NORMSINV(0.000001+0.999998*RAND())))</f>
        <v/>
      </c>
      <c r="AM21" s="30">
        <f>IF(24&gt;$B$3,99,INDEX(Symboles!$G$6:$G$101,MOD(23+$C21+(-4),$B$3)+1)*E21+INDEX(Symboles!$G$6:$G$101,MOD(23+$C21+(-3),$B$3)+1)*F21+INDEX(Symboles!$G$6:$G$101,MOD(23+$C21+(-2),$B$3)+1)*G21+INDEX(Symboles!$G$6:$G$101,MOD(23+$C21+(-1),$B$3)+1)*H21+INDEX(Symboles!$G$6:$G$101,MOD(23+$C21+(0),$B$3)+1)*I21+INDEX(Symboles!$G$6:$G$101,MOD(23+$C21+(1),$B$3)+1)*J21+INDEX(Symboles!$G$6:$G$101,MOD(23+$C21+(2),$B$3)+1)*K21+INDEX(Symboles!$G$6:$G$101,MOD(23+$C21+(3),$B$3)+1)*L21+INDEX(Symboles!$G$6:$G$101,MOD(23+$C21+(4),$B$3)+1)*M21+IF($B$6=0,0,$B$6*NORMSINV(0.000001+0.999998*RAND())))</f>
        <v/>
      </c>
      <c r="AN21" s="30">
        <f>IF(25&gt;$B$3,99,INDEX(Symboles!$G$6:$G$101,MOD(24+$C21+(-4),$B$3)+1)*E21+INDEX(Symboles!$G$6:$G$101,MOD(24+$C21+(-3),$B$3)+1)*F21+INDEX(Symboles!$G$6:$G$101,MOD(24+$C21+(-2),$B$3)+1)*G21+INDEX(Symboles!$G$6:$G$101,MOD(24+$C21+(-1),$B$3)+1)*H21+INDEX(Symboles!$G$6:$G$101,MOD(24+$C21+(0),$B$3)+1)*I21+INDEX(Symboles!$G$6:$G$101,MOD(24+$C21+(1),$B$3)+1)*J21+INDEX(Symboles!$G$6:$G$101,MOD(24+$C21+(2),$B$3)+1)*K21+INDEX(Symboles!$G$6:$G$101,MOD(24+$C21+(3),$B$3)+1)*L21+INDEX(Symboles!$G$6:$G$101,MOD(24+$C21+(4),$B$3)+1)*M21+IF($B$6=0,0,$B$6*NORMSINV(0.000001+0.999998*RAND())))</f>
        <v/>
      </c>
      <c r="AO21" s="30">
        <f>IF(26&gt;$B$3,99,INDEX(Symboles!$G$6:$G$101,MOD(25+$C21+(-4),$B$3)+1)*E21+INDEX(Symboles!$G$6:$G$101,MOD(25+$C21+(-3),$B$3)+1)*F21+INDEX(Symboles!$G$6:$G$101,MOD(25+$C21+(-2),$B$3)+1)*G21+INDEX(Symboles!$G$6:$G$101,MOD(25+$C21+(-1),$B$3)+1)*H21+INDEX(Symboles!$G$6:$G$101,MOD(25+$C21+(0),$B$3)+1)*I21+INDEX(Symboles!$G$6:$G$101,MOD(25+$C21+(1),$B$3)+1)*J21+INDEX(Symboles!$G$6:$G$101,MOD(25+$C21+(2),$B$3)+1)*K21+INDEX(Symboles!$G$6:$G$101,MOD(25+$C21+(3),$B$3)+1)*L21+INDEX(Symboles!$G$6:$G$101,MOD(25+$C21+(4),$B$3)+1)*M21+IF($B$6=0,0,$B$6*NORMSINV(0.000001+0.999998*RAND())))</f>
        <v/>
      </c>
      <c r="AP21" s="30">
        <f>IF(27&gt;$B$3,99,INDEX(Symboles!$G$6:$G$101,MOD(26+$C21+(-4),$B$3)+1)*E21+INDEX(Symboles!$G$6:$G$101,MOD(26+$C21+(-3),$B$3)+1)*F21+INDEX(Symboles!$G$6:$G$101,MOD(26+$C21+(-2),$B$3)+1)*G21+INDEX(Symboles!$G$6:$G$101,MOD(26+$C21+(-1),$B$3)+1)*H21+INDEX(Symboles!$G$6:$G$101,MOD(26+$C21+(0),$B$3)+1)*I21+INDEX(Symboles!$G$6:$G$101,MOD(26+$C21+(1),$B$3)+1)*J21+INDEX(Symboles!$G$6:$G$101,MOD(26+$C21+(2),$B$3)+1)*K21+INDEX(Symboles!$G$6:$G$101,MOD(26+$C21+(3),$B$3)+1)*L21+INDEX(Symboles!$G$6:$G$101,MOD(26+$C21+(4),$B$3)+1)*M21+IF($B$6=0,0,$B$6*NORMSINV(0.000001+0.999998*RAND())))</f>
        <v/>
      </c>
      <c r="AQ21" s="30">
        <f>IF(28&gt;$B$3,99,INDEX(Symboles!$G$6:$G$101,MOD(27+$C21+(-4),$B$3)+1)*E21+INDEX(Symboles!$G$6:$G$101,MOD(27+$C21+(-3),$B$3)+1)*F21+INDEX(Symboles!$G$6:$G$101,MOD(27+$C21+(-2),$B$3)+1)*G21+INDEX(Symboles!$G$6:$G$101,MOD(27+$C21+(-1),$B$3)+1)*H21+INDEX(Symboles!$G$6:$G$101,MOD(27+$C21+(0),$B$3)+1)*I21+INDEX(Symboles!$G$6:$G$101,MOD(27+$C21+(1),$B$3)+1)*J21+INDEX(Symboles!$G$6:$G$101,MOD(27+$C21+(2),$B$3)+1)*K21+INDEX(Symboles!$G$6:$G$101,MOD(27+$C21+(3),$B$3)+1)*L21+INDEX(Symboles!$G$6:$G$101,MOD(27+$C21+(4),$B$3)+1)*M21+IF($B$6=0,0,$B$6*NORMSINV(0.000001+0.999998*RAND())))</f>
        <v/>
      </c>
      <c r="AR21" s="30">
        <f>IF(29&gt;$B$3,99,INDEX(Symboles!$G$6:$G$101,MOD(28+$C21+(-4),$B$3)+1)*E21+INDEX(Symboles!$G$6:$G$101,MOD(28+$C21+(-3),$B$3)+1)*F21+INDEX(Symboles!$G$6:$G$101,MOD(28+$C21+(-2),$B$3)+1)*G21+INDEX(Symboles!$G$6:$G$101,MOD(28+$C21+(-1),$B$3)+1)*H21+INDEX(Symboles!$G$6:$G$101,MOD(28+$C21+(0),$B$3)+1)*I21+INDEX(Symboles!$G$6:$G$101,MOD(28+$C21+(1),$B$3)+1)*J21+INDEX(Symboles!$G$6:$G$101,MOD(28+$C21+(2),$B$3)+1)*K21+INDEX(Symboles!$G$6:$G$101,MOD(28+$C21+(3),$B$3)+1)*L21+INDEX(Symboles!$G$6:$G$101,MOD(28+$C21+(4),$B$3)+1)*M21+IF($B$6=0,0,$B$6*NORMSINV(0.000001+0.999998*RAND())))</f>
        <v/>
      </c>
      <c r="AS21" s="30">
        <f>IF(30&gt;$B$3,99,INDEX(Symboles!$G$6:$G$101,MOD(29+$C21+(-4),$B$3)+1)*E21+INDEX(Symboles!$G$6:$G$101,MOD(29+$C21+(-3),$B$3)+1)*F21+INDEX(Symboles!$G$6:$G$101,MOD(29+$C21+(-2),$B$3)+1)*G21+INDEX(Symboles!$G$6:$G$101,MOD(29+$C21+(-1),$B$3)+1)*H21+INDEX(Symboles!$G$6:$G$101,MOD(29+$C21+(0),$B$3)+1)*I21+INDEX(Symboles!$G$6:$G$101,MOD(29+$C21+(1),$B$3)+1)*J21+INDEX(Symboles!$G$6:$G$101,MOD(29+$C21+(2),$B$3)+1)*K21+INDEX(Symboles!$G$6:$G$101,MOD(29+$C21+(3),$B$3)+1)*L21+INDEX(Symboles!$G$6:$G$101,MOD(29+$C21+(4),$B$3)+1)*M21+IF($B$6=0,0,$B$6*NORMSINV(0.000001+0.999998*RAND())))</f>
        <v/>
      </c>
      <c r="AT21" s="30">
        <f>IF(31&gt;$B$3,99,INDEX(Symboles!$G$6:$G$101,MOD(30+$C21+(-4),$B$3)+1)*E21+INDEX(Symboles!$G$6:$G$101,MOD(30+$C21+(-3),$B$3)+1)*F21+INDEX(Symboles!$G$6:$G$101,MOD(30+$C21+(-2),$B$3)+1)*G21+INDEX(Symboles!$G$6:$G$101,MOD(30+$C21+(-1),$B$3)+1)*H21+INDEX(Symboles!$G$6:$G$101,MOD(30+$C21+(0),$B$3)+1)*I21+INDEX(Symboles!$G$6:$G$101,MOD(30+$C21+(1),$B$3)+1)*J21+INDEX(Symboles!$G$6:$G$101,MOD(30+$C21+(2),$B$3)+1)*K21+INDEX(Symboles!$G$6:$G$101,MOD(30+$C21+(3),$B$3)+1)*L21+INDEX(Symboles!$G$6:$G$101,MOD(30+$C21+(4),$B$3)+1)*M21+IF($B$6=0,0,$B$6*NORMSINV(0.000001+0.999998*RAND())))</f>
        <v/>
      </c>
      <c r="AU21" s="30">
        <f>IF(32&gt;$B$3,99,INDEX(Symboles!$G$6:$G$101,MOD(31+$C21+(-4),$B$3)+1)*E21+INDEX(Symboles!$G$6:$G$101,MOD(31+$C21+(-3),$B$3)+1)*F21+INDEX(Symboles!$G$6:$G$101,MOD(31+$C21+(-2),$B$3)+1)*G21+INDEX(Symboles!$G$6:$G$101,MOD(31+$C21+(-1),$B$3)+1)*H21+INDEX(Symboles!$G$6:$G$101,MOD(31+$C21+(0),$B$3)+1)*I21+INDEX(Symboles!$G$6:$G$101,MOD(31+$C21+(1),$B$3)+1)*J21+INDEX(Symboles!$G$6:$G$101,MOD(31+$C21+(2),$B$3)+1)*K21+INDEX(Symboles!$G$6:$G$101,MOD(31+$C21+(3),$B$3)+1)*L21+INDEX(Symboles!$G$6:$G$101,MOD(31+$C21+(4),$B$3)+1)*M21+IF($B$6=0,0,$B$6*NORMSINV(0.000001+0.999998*RAND())))</f>
        <v/>
      </c>
      <c r="AV21" s="30">
        <f>IF(33&gt;$B$3,99,INDEX(Symboles!$G$6:$G$101,MOD(32+$C21+(-4),$B$3)+1)*E21+INDEX(Symboles!$G$6:$G$101,MOD(32+$C21+(-3),$B$3)+1)*F21+INDEX(Symboles!$G$6:$G$101,MOD(32+$C21+(-2),$B$3)+1)*G21+INDEX(Symboles!$G$6:$G$101,MOD(32+$C21+(-1),$B$3)+1)*H21+INDEX(Symboles!$G$6:$G$101,MOD(32+$C21+(0),$B$3)+1)*I21+INDEX(Symboles!$G$6:$G$101,MOD(32+$C21+(1),$B$3)+1)*J21+INDEX(Symboles!$G$6:$G$101,MOD(32+$C21+(2),$B$3)+1)*K21+INDEX(Symboles!$G$6:$G$101,MOD(32+$C21+(3),$B$3)+1)*L21+INDEX(Symboles!$G$6:$G$101,MOD(32+$C21+(4),$B$3)+1)*M21+IF($B$6=0,0,$B$6*NORMSINV(0.000001+0.999998*RAND())))</f>
        <v/>
      </c>
      <c r="AW21" s="30">
        <f>IF(34&gt;$B$3,99,INDEX(Symboles!$G$6:$G$101,MOD(33+$C21+(-4),$B$3)+1)*E21+INDEX(Symboles!$G$6:$G$101,MOD(33+$C21+(-3),$B$3)+1)*F21+INDEX(Symboles!$G$6:$G$101,MOD(33+$C21+(-2),$B$3)+1)*G21+INDEX(Symboles!$G$6:$G$101,MOD(33+$C21+(-1),$B$3)+1)*H21+INDEX(Symboles!$G$6:$G$101,MOD(33+$C21+(0),$B$3)+1)*I21+INDEX(Symboles!$G$6:$G$101,MOD(33+$C21+(1),$B$3)+1)*J21+INDEX(Symboles!$G$6:$G$101,MOD(33+$C21+(2),$B$3)+1)*K21+INDEX(Symboles!$G$6:$G$101,MOD(33+$C21+(3),$B$3)+1)*L21+INDEX(Symboles!$G$6:$G$101,MOD(33+$C21+(4),$B$3)+1)*M21+IF($B$6=0,0,$B$6*NORMSINV(0.000001+0.999998*RAND())))</f>
        <v/>
      </c>
      <c r="AX21" s="30">
        <f>IF(35&gt;$B$3,99,INDEX(Symboles!$G$6:$G$101,MOD(34+$C21+(-4),$B$3)+1)*E21+INDEX(Symboles!$G$6:$G$101,MOD(34+$C21+(-3),$B$3)+1)*F21+INDEX(Symboles!$G$6:$G$101,MOD(34+$C21+(-2),$B$3)+1)*G21+INDEX(Symboles!$G$6:$G$101,MOD(34+$C21+(-1),$B$3)+1)*H21+INDEX(Symboles!$G$6:$G$101,MOD(34+$C21+(0),$B$3)+1)*I21+INDEX(Symboles!$G$6:$G$101,MOD(34+$C21+(1),$B$3)+1)*J21+INDEX(Symboles!$G$6:$G$101,MOD(34+$C21+(2),$B$3)+1)*K21+INDEX(Symboles!$G$6:$G$101,MOD(34+$C21+(3),$B$3)+1)*L21+INDEX(Symboles!$G$6:$G$101,MOD(34+$C21+(4),$B$3)+1)*M21+IF($B$6=0,0,$B$6*NORMSINV(0.000001+0.999998*RAND())))</f>
        <v/>
      </c>
      <c r="AY21" s="30">
        <f>IF(36&gt;$B$3,99,INDEX(Symboles!$G$6:$G$101,MOD(35+$C21+(-4),$B$3)+1)*E21+INDEX(Symboles!$G$6:$G$101,MOD(35+$C21+(-3),$B$3)+1)*F21+INDEX(Symboles!$G$6:$G$101,MOD(35+$C21+(-2),$B$3)+1)*G21+INDEX(Symboles!$G$6:$G$101,MOD(35+$C21+(-1),$B$3)+1)*H21+INDEX(Symboles!$G$6:$G$101,MOD(35+$C21+(0),$B$3)+1)*I21+INDEX(Symboles!$G$6:$G$101,MOD(35+$C21+(1),$B$3)+1)*J21+INDEX(Symboles!$G$6:$G$101,MOD(35+$C21+(2),$B$3)+1)*K21+INDEX(Symboles!$G$6:$G$101,MOD(35+$C21+(3),$B$3)+1)*L21+INDEX(Symboles!$G$6:$G$101,MOD(35+$C21+(4),$B$3)+1)*M21+IF($B$6=0,0,$B$6*NORMSINV(0.000001+0.999998*RAND())))</f>
        <v/>
      </c>
      <c r="AZ21" s="30">
        <f>IF(37&gt;$B$3,99,INDEX(Symboles!$G$6:$G$101,MOD(36+$C21+(-4),$B$3)+1)*E21+INDEX(Symboles!$G$6:$G$101,MOD(36+$C21+(-3),$B$3)+1)*F21+INDEX(Symboles!$G$6:$G$101,MOD(36+$C21+(-2),$B$3)+1)*G21+INDEX(Symboles!$G$6:$G$101,MOD(36+$C21+(-1),$B$3)+1)*H21+INDEX(Symboles!$G$6:$G$101,MOD(36+$C21+(0),$B$3)+1)*I21+INDEX(Symboles!$G$6:$G$101,MOD(36+$C21+(1),$B$3)+1)*J21+INDEX(Symboles!$G$6:$G$101,MOD(36+$C21+(2),$B$3)+1)*K21+INDEX(Symboles!$G$6:$G$101,MOD(36+$C21+(3),$B$3)+1)*L21+INDEX(Symboles!$G$6:$G$101,MOD(36+$C21+(4),$B$3)+1)*M21+IF($B$6=0,0,$B$6*NORMSINV(0.000001+0.999998*RAND())))</f>
        <v/>
      </c>
      <c r="BA21" s="30">
        <f>IF(38&gt;$B$3,99,INDEX(Symboles!$G$6:$G$101,MOD(37+$C21+(-4),$B$3)+1)*E21+INDEX(Symboles!$G$6:$G$101,MOD(37+$C21+(-3),$B$3)+1)*F21+INDEX(Symboles!$G$6:$G$101,MOD(37+$C21+(-2),$B$3)+1)*G21+INDEX(Symboles!$G$6:$G$101,MOD(37+$C21+(-1),$B$3)+1)*H21+INDEX(Symboles!$G$6:$G$101,MOD(37+$C21+(0),$B$3)+1)*I21+INDEX(Symboles!$G$6:$G$101,MOD(37+$C21+(1),$B$3)+1)*J21+INDEX(Symboles!$G$6:$G$101,MOD(37+$C21+(2),$B$3)+1)*K21+INDEX(Symboles!$G$6:$G$101,MOD(37+$C21+(3),$B$3)+1)*L21+INDEX(Symboles!$G$6:$G$101,MOD(37+$C21+(4),$B$3)+1)*M21+IF($B$6=0,0,$B$6*NORMSINV(0.000001+0.999998*RAND())))</f>
        <v/>
      </c>
      <c r="BB21" s="30">
        <f>IF(39&gt;$B$3,99,INDEX(Symboles!$G$6:$G$101,MOD(38+$C21+(-4),$B$3)+1)*E21+INDEX(Symboles!$G$6:$G$101,MOD(38+$C21+(-3),$B$3)+1)*F21+INDEX(Symboles!$G$6:$G$101,MOD(38+$C21+(-2),$B$3)+1)*G21+INDEX(Symboles!$G$6:$G$101,MOD(38+$C21+(-1),$B$3)+1)*H21+INDEX(Symboles!$G$6:$G$101,MOD(38+$C21+(0),$B$3)+1)*I21+INDEX(Symboles!$G$6:$G$101,MOD(38+$C21+(1),$B$3)+1)*J21+INDEX(Symboles!$G$6:$G$101,MOD(38+$C21+(2),$B$3)+1)*K21+INDEX(Symboles!$G$6:$G$101,MOD(38+$C21+(3),$B$3)+1)*L21+INDEX(Symboles!$G$6:$G$101,MOD(38+$C21+(4),$B$3)+1)*M21+IF($B$6=0,0,$B$6*NORMSINV(0.000001+0.999998*RAND())))</f>
        <v/>
      </c>
      <c r="BC21" s="30">
        <f>IF(40&gt;$B$3,99,INDEX(Symboles!$G$6:$G$101,MOD(39+$C21+(-4),$B$3)+1)*E21+INDEX(Symboles!$G$6:$G$101,MOD(39+$C21+(-3),$B$3)+1)*F21+INDEX(Symboles!$G$6:$G$101,MOD(39+$C21+(-2),$B$3)+1)*G21+INDEX(Symboles!$G$6:$G$101,MOD(39+$C21+(-1),$B$3)+1)*H21+INDEX(Symboles!$G$6:$G$101,MOD(39+$C21+(0),$B$3)+1)*I21+INDEX(Symboles!$G$6:$G$101,MOD(39+$C21+(1),$B$3)+1)*J21+INDEX(Symboles!$G$6:$G$101,MOD(39+$C21+(2),$B$3)+1)*K21+INDEX(Symboles!$G$6:$G$101,MOD(39+$C21+(3),$B$3)+1)*L21+INDEX(Symboles!$G$6:$G$101,MOD(39+$C21+(4),$B$3)+1)*M21+IF($B$6=0,0,$B$6*NORMSINV(0.000001+0.999998*RAND())))</f>
        <v/>
      </c>
      <c r="BD21" s="30">
        <f>IF(41&gt;$B$3,99,INDEX(Symboles!$G$6:$G$101,MOD(40+$C21+(-4),$B$3)+1)*E21+INDEX(Symboles!$G$6:$G$101,MOD(40+$C21+(-3),$B$3)+1)*F21+INDEX(Symboles!$G$6:$G$101,MOD(40+$C21+(-2),$B$3)+1)*G21+INDEX(Symboles!$G$6:$G$101,MOD(40+$C21+(-1),$B$3)+1)*H21+INDEX(Symboles!$G$6:$G$101,MOD(40+$C21+(0),$B$3)+1)*I21+INDEX(Symboles!$G$6:$G$101,MOD(40+$C21+(1),$B$3)+1)*J21+INDEX(Symboles!$G$6:$G$101,MOD(40+$C21+(2),$B$3)+1)*K21+INDEX(Symboles!$G$6:$G$101,MOD(40+$C21+(3),$B$3)+1)*L21+INDEX(Symboles!$G$6:$G$101,MOD(40+$C21+(4),$B$3)+1)*M21+IF($B$6=0,0,$B$6*NORMSINV(0.000001+0.999998*RAND())))</f>
        <v/>
      </c>
      <c r="BE21" s="30">
        <f>IF(42&gt;$B$3,99,INDEX(Symboles!$G$6:$G$101,MOD(41+$C21+(-4),$B$3)+1)*E21+INDEX(Symboles!$G$6:$G$101,MOD(41+$C21+(-3),$B$3)+1)*F21+INDEX(Symboles!$G$6:$G$101,MOD(41+$C21+(-2),$B$3)+1)*G21+INDEX(Symboles!$G$6:$G$101,MOD(41+$C21+(-1),$B$3)+1)*H21+INDEX(Symboles!$G$6:$G$101,MOD(41+$C21+(0),$B$3)+1)*I21+INDEX(Symboles!$G$6:$G$101,MOD(41+$C21+(1),$B$3)+1)*J21+INDEX(Symboles!$G$6:$G$101,MOD(41+$C21+(2),$B$3)+1)*K21+INDEX(Symboles!$G$6:$G$101,MOD(41+$C21+(3),$B$3)+1)*L21+INDEX(Symboles!$G$6:$G$101,MOD(41+$C21+(4),$B$3)+1)*M21+IF($B$6=0,0,$B$6*NORMSINV(0.000001+0.999998*RAND())))</f>
        <v/>
      </c>
      <c r="BF21" s="30">
        <f>IF(43&gt;$B$3,99,INDEX(Symboles!$G$6:$G$101,MOD(42+$C21+(-4),$B$3)+1)*E21+INDEX(Symboles!$G$6:$G$101,MOD(42+$C21+(-3),$B$3)+1)*F21+INDEX(Symboles!$G$6:$G$101,MOD(42+$C21+(-2),$B$3)+1)*G21+INDEX(Symboles!$G$6:$G$101,MOD(42+$C21+(-1),$B$3)+1)*H21+INDEX(Symboles!$G$6:$G$101,MOD(42+$C21+(0),$B$3)+1)*I21+INDEX(Symboles!$G$6:$G$101,MOD(42+$C21+(1),$B$3)+1)*J21+INDEX(Symboles!$G$6:$G$101,MOD(42+$C21+(2),$B$3)+1)*K21+INDEX(Symboles!$G$6:$G$101,MOD(42+$C21+(3),$B$3)+1)*L21+INDEX(Symboles!$G$6:$G$101,MOD(42+$C21+(4),$B$3)+1)*M21+IF($B$6=0,0,$B$6*NORMSINV(0.000001+0.999998*RAND())))</f>
        <v/>
      </c>
      <c r="BG21" s="30">
        <f>IF(44&gt;$B$3,99,INDEX(Symboles!$G$6:$G$101,MOD(43+$C21+(-4),$B$3)+1)*E21+INDEX(Symboles!$G$6:$G$101,MOD(43+$C21+(-3),$B$3)+1)*F21+INDEX(Symboles!$G$6:$G$101,MOD(43+$C21+(-2),$B$3)+1)*G21+INDEX(Symboles!$G$6:$G$101,MOD(43+$C21+(-1),$B$3)+1)*H21+INDEX(Symboles!$G$6:$G$101,MOD(43+$C21+(0),$B$3)+1)*I21+INDEX(Symboles!$G$6:$G$101,MOD(43+$C21+(1),$B$3)+1)*J21+INDEX(Symboles!$G$6:$G$101,MOD(43+$C21+(2),$B$3)+1)*K21+INDEX(Symboles!$G$6:$G$101,MOD(43+$C21+(3),$B$3)+1)*L21+INDEX(Symboles!$G$6:$G$101,MOD(43+$C21+(4),$B$3)+1)*M21+IF($B$6=0,0,$B$6*NORMSINV(0.000001+0.999998*RAND())))</f>
        <v/>
      </c>
      <c r="BH21" s="30">
        <f>IF(45&gt;$B$3,99,INDEX(Symboles!$G$6:$G$101,MOD(44+$C21+(-4),$B$3)+1)*E21+INDEX(Symboles!$G$6:$G$101,MOD(44+$C21+(-3),$B$3)+1)*F21+INDEX(Symboles!$G$6:$G$101,MOD(44+$C21+(-2),$B$3)+1)*G21+INDEX(Symboles!$G$6:$G$101,MOD(44+$C21+(-1),$B$3)+1)*H21+INDEX(Symboles!$G$6:$G$101,MOD(44+$C21+(0),$B$3)+1)*I21+INDEX(Symboles!$G$6:$G$101,MOD(44+$C21+(1),$B$3)+1)*J21+INDEX(Symboles!$G$6:$G$101,MOD(44+$C21+(2),$B$3)+1)*K21+INDEX(Symboles!$G$6:$G$101,MOD(44+$C21+(3),$B$3)+1)*L21+INDEX(Symboles!$G$6:$G$101,MOD(44+$C21+(4),$B$3)+1)*M21+IF($B$6=0,0,$B$6*NORMSINV(0.000001+0.999998*RAND())))</f>
        <v/>
      </c>
      <c r="BI21" s="30">
        <f>IF(46&gt;$B$3,99,INDEX(Symboles!$G$6:$G$101,MOD(45+$C21+(-4),$B$3)+1)*E21+INDEX(Symboles!$G$6:$G$101,MOD(45+$C21+(-3),$B$3)+1)*F21+INDEX(Symboles!$G$6:$G$101,MOD(45+$C21+(-2),$B$3)+1)*G21+INDEX(Symboles!$G$6:$G$101,MOD(45+$C21+(-1),$B$3)+1)*H21+INDEX(Symboles!$G$6:$G$101,MOD(45+$C21+(0),$B$3)+1)*I21+INDEX(Symboles!$G$6:$G$101,MOD(45+$C21+(1),$B$3)+1)*J21+INDEX(Symboles!$G$6:$G$101,MOD(45+$C21+(2),$B$3)+1)*K21+INDEX(Symboles!$G$6:$G$101,MOD(45+$C21+(3),$B$3)+1)*L21+INDEX(Symboles!$G$6:$G$101,MOD(45+$C21+(4),$B$3)+1)*M21+IF($B$6=0,0,$B$6*NORMSINV(0.000001+0.999998*RAND())))</f>
        <v/>
      </c>
      <c r="BJ21" s="30">
        <f>IF(47&gt;$B$3,99,INDEX(Symboles!$G$6:$G$101,MOD(46+$C21+(-4),$B$3)+1)*E21+INDEX(Symboles!$G$6:$G$101,MOD(46+$C21+(-3),$B$3)+1)*F21+INDEX(Symboles!$G$6:$G$101,MOD(46+$C21+(-2),$B$3)+1)*G21+INDEX(Symboles!$G$6:$G$101,MOD(46+$C21+(-1),$B$3)+1)*H21+INDEX(Symboles!$G$6:$G$101,MOD(46+$C21+(0),$B$3)+1)*I21+INDEX(Symboles!$G$6:$G$101,MOD(46+$C21+(1),$B$3)+1)*J21+INDEX(Symboles!$G$6:$G$101,MOD(46+$C21+(2),$B$3)+1)*K21+INDEX(Symboles!$G$6:$G$101,MOD(46+$C21+(3),$B$3)+1)*L21+INDEX(Symboles!$G$6:$G$101,MOD(46+$C21+(4),$B$3)+1)*M21+IF($B$6=0,0,$B$6*NORMSINV(0.000001+0.999998*RAND())))</f>
        <v/>
      </c>
      <c r="BK21" s="30">
        <f>IF(48&gt;$B$3,99,INDEX(Symboles!$G$6:$G$101,MOD(47+$C21+(-4),$B$3)+1)*E21+INDEX(Symboles!$G$6:$G$101,MOD(47+$C21+(-3),$B$3)+1)*F21+INDEX(Symboles!$G$6:$G$101,MOD(47+$C21+(-2),$B$3)+1)*G21+INDEX(Symboles!$G$6:$G$101,MOD(47+$C21+(-1),$B$3)+1)*H21+INDEX(Symboles!$G$6:$G$101,MOD(47+$C21+(0),$B$3)+1)*I21+INDEX(Symboles!$G$6:$G$101,MOD(47+$C21+(1),$B$3)+1)*J21+INDEX(Symboles!$G$6:$G$101,MOD(47+$C21+(2),$B$3)+1)*K21+INDEX(Symboles!$G$6:$G$101,MOD(47+$C21+(3),$B$3)+1)*L21+INDEX(Symboles!$G$6:$G$101,MOD(47+$C21+(4),$B$3)+1)*M21+IF($B$6=0,0,$B$6*NORMSINV(0.000001+0.999998*RAND())))</f>
        <v/>
      </c>
      <c r="BL21" s="30">
        <f>IF(49&gt;$B$3,99,INDEX(Symboles!$G$6:$G$101,MOD(48+$C21+(-4),$B$3)+1)*E21+INDEX(Symboles!$G$6:$G$101,MOD(48+$C21+(-3),$B$3)+1)*F21+INDEX(Symboles!$G$6:$G$101,MOD(48+$C21+(-2),$B$3)+1)*G21+INDEX(Symboles!$G$6:$G$101,MOD(48+$C21+(-1),$B$3)+1)*H21+INDEX(Symboles!$G$6:$G$101,MOD(48+$C21+(0),$B$3)+1)*I21+INDEX(Symboles!$G$6:$G$101,MOD(48+$C21+(1),$B$3)+1)*J21+INDEX(Symboles!$G$6:$G$101,MOD(48+$C21+(2),$B$3)+1)*K21+INDEX(Symboles!$G$6:$G$101,MOD(48+$C21+(3),$B$3)+1)*L21+INDEX(Symboles!$G$6:$G$101,MOD(48+$C21+(4),$B$3)+1)*M21+IF($B$6=0,0,$B$6*NORMSINV(0.000001+0.999998*RAND())))</f>
        <v/>
      </c>
      <c r="BM21" s="30">
        <f>IF(50&gt;$B$3,99,INDEX(Symboles!$G$6:$G$101,MOD(49+$C21+(-4),$B$3)+1)*E21+INDEX(Symboles!$G$6:$G$101,MOD(49+$C21+(-3),$B$3)+1)*F21+INDEX(Symboles!$G$6:$G$101,MOD(49+$C21+(-2),$B$3)+1)*G21+INDEX(Symboles!$G$6:$G$101,MOD(49+$C21+(-1),$B$3)+1)*H21+INDEX(Symboles!$G$6:$G$101,MOD(49+$C21+(0),$B$3)+1)*I21+INDEX(Symboles!$G$6:$G$101,MOD(49+$C21+(1),$B$3)+1)*J21+INDEX(Symboles!$G$6:$G$101,MOD(49+$C21+(2),$B$3)+1)*K21+INDEX(Symboles!$G$6:$G$101,MOD(49+$C21+(3),$B$3)+1)*L21+INDEX(Symboles!$G$6:$G$101,MOD(49+$C21+(4),$B$3)+1)*M21+IF($B$6=0,0,$B$6*NORMSINV(0.000001+0.999998*RAND())))</f>
        <v/>
      </c>
      <c r="BN21" s="30">
        <f>IF(51&gt;$B$3,99,INDEX(Symboles!$G$6:$G$101,MOD(50+$C21+(-4),$B$3)+1)*E21+INDEX(Symboles!$G$6:$G$101,MOD(50+$C21+(-3),$B$3)+1)*F21+INDEX(Symboles!$G$6:$G$101,MOD(50+$C21+(-2),$B$3)+1)*G21+INDEX(Symboles!$G$6:$G$101,MOD(50+$C21+(-1),$B$3)+1)*H21+INDEX(Symboles!$G$6:$G$101,MOD(50+$C21+(0),$B$3)+1)*I21+INDEX(Symboles!$G$6:$G$101,MOD(50+$C21+(1),$B$3)+1)*J21+INDEX(Symboles!$G$6:$G$101,MOD(50+$C21+(2),$B$3)+1)*K21+INDEX(Symboles!$G$6:$G$101,MOD(50+$C21+(3),$B$3)+1)*L21+INDEX(Symboles!$G$6:$G$101,MOD(50+$C21+(4),$B$3)+1)*M21+IF($B$6=0,0,$B$6*NORMSINV(0.000001+0.999998*RAND())))</f>
        <v/>
      </c>
      <c r="BO21" s="30">
        <f>IF(52&gt;$B$3,99,INDEX(Symboles!$G$6:$G$101,MOD(51+$C21+(-4),$B$3)+1)*E21+INDEX(Symboles!$G$6:$G$101,MOD(51+$C21+(-3),$B$3)+1)*F21+INDEX(Symboles!$G$6:$G$101,MOD(51+$C21+(-2),$B$3)+1)*G21+INDEX(Symboles!$G$6:$G$101,MOD(51+$C21+(-1),$B$3)+1)*H21+INDEX(Symboles!$G$6:$G$101,MOD(51+$C21+(0),$B$3)+1)*I21+INDEX(Symboles!$G$6:$G$101,MOD(51+$C21+(1),$B$3)+1)*J21+INDEX(Symboles!$G$6:$G$101,MOD(51+$C21+(2),$B$3)+1)*K21+INDEX(Symboles!$G$6:$G$101,MOD(51+$C21+(3),$B$3)+1)*L21+INDEX(Symboles!$G$6:$G$101,MOD(51+$C21+(4),$B$3)+1)*M21+IF($B$6=0,0,$B$6*NORMSINV(0.000001+0.999998*RAND())))</f>
        <v/>
      </c>
      <c r="BP21" s="30">
        <f>IF(53&gt;$B$3,99,INDEX(Symboles!$G$6:$G$101,MOD(52+$C21+(-4),$B$3)+1)*E21+INDEX(Symboles!$G$6:$G$101,MOD(52+$C21+(-3),$B$3)+1)*F21+INDEX(Symboles!$G$6:$G$101,MOD(52+$C21+(-2),$B$3)+1)*G21+INDEX(Symboles!$G$6:$G$101,MOD(52+$C21+(-1),$B$3)+1)*H21+INDEX(Symboles!$G$6:$G$101,MOD(52+$C21+(0),$B$3)+1)*I21+INDEX(Symboles!$G$6:$G$101,MOD(52+$C21+(1),$B$3)+1)*J21+INDEX(Symboles!$G$6:$G$101,MOD(52+$C21+(2),$B$3)+1)*K21+INDEX(Symboles!$G$6:$G$101,MOD(52+$C21+(3),$B$3)+1)*L21+INDEX(Symboles!$G$6:$G$101,MOD(52+$C21+(4),$B$3)+1)*M21+IF($B$6=0,0,$B$6*NORMSINV(0.000001+0.999998*RAND())))</f>
        <v/>
      </c>
      <c r="BQ21" s="30">
        <f>IF(54&gt;$B$3,99,INDEX(Symboles!$G$6:$G$101,MOD(53+$C21+(-4),$B$3)+1)*E21+INDEX(Symboles!$G$6:$G$101,MOD(53+$C21+(-3),$B$3)+1)*F21+INDEX(Symboles!$G$6:$G$101,MOD(53+$C21+(-2),$B$3)+1)*G21+INDEX(Symboles!$G$6:$G$101,MOD(53+$C21+(-1),$B$3)+1)*H21+INDEX(Symboles!$G$6:$G$101,MOD(53+$C21+(0),$B$3)+1)*I21+INDEX(Symboles!$G$6:$G$101,MOD(53+$C21+(1),$B$3)+1)*J21+INDEX(Symboles!$G$6:$G$101,MOD(53+$C21+(2),$B$3)+1)*K21+INDEX(Symboles!$G$6:$G$101,MOD(53+$C21+(3),$B$3)+1)*L21+INDEX(Symboles!$G$6:$G$101,MOD(53+$C21+(4),$B$3)+1)*M21+IF($B$6=0,0,$B$6*NORMSINV(0.000001+0.999998*RAND())))</f>
        <v/>
      </c>
      <c r="BR21" s="30">
        <f>IF(55&gt;$B$3,99,INDEX(Symboles!$G$6:$G$101,MOD(54+$C21+(-4),$B$3)+1)*E21+INDEX(Symboles!$G$6:$G$101,MOD(54+$C21+(-3),$B$3)+1)*F21+INDEX(Symboles!$G$6:$G$101,MOD(54+$C21+(-2),$B$3)+1)*G21+INDEX(Symboles!$G$6:$G$101,MOD(54+$C21+(-1),$B$3)+1)*H21+INDEX(Symboles!$G$6:$G$101,MOD(54+$C21+(0),$B$3)+1)*I21+INDEX(Symboles!$G$6:$G$101,MOD(54+$C21+(1),$B$3)+1)*J21+INDEX(Symboles!$G$6:$G$101,MOD(54+$C21+(2),$B$3)+1)*K21+INDEX(Symboles!$G$6:$G$101,MOD(54+$C21+(3),$B$3)+1)*L21+INDEX(Symboles!$G$6:$G$101,MOD(54+$C21+(4),$B$3)+1)*M21+IF($B$6=0,0,$B$6*NORMSINV(0.000001+0.999998*RAND())))</f>
        <v/>
      </c>
      <c r="BS21" s="30">
        <f>IF(56&gt;$B$3,99,INDEX(Symboles!$G$6:$G$101,MOD(55+$C21+(-4),$B$3)+1)*E21+INDEX(Symboles!$G$6:$G$101,MOD(55+$C21+(-3),$B$3)+1)*F21+INDEX(Symboles!$G$6:$G$101,MOD(55+$C21+(-2),$B$3)+1)*G21+INDEX(Symboles!$G$6:$G$101,MOD(55+$C21+(-1),$B$3)+1)*H21+INDEX(Symboles!$G$6:$G$101,MOD(55+$C21+(0),$B$3)+1)*I21+INDEX(Symboles!$G$6:$G$101,MOD(55+$C21+(1),$B$3)+1)*J21+INDEX(Symboles!$G$6:$G$101,MOD(55+$C21+(2),$B$3)+1)*K21+INDEX(Symboles!$G$6:$G$101,MOD(55+$C21+(3),$B$3)+1)*L21+INDEX(Symboles!$G$6:$G$101,MOD(55+$C21+(4),$B$3)+1)*M21+IF($B$6=0,0,$B$6*NORMSINV(0.000001+0.999998*RAND())))</f>
        <v/>
      </c>
      <c r="BT21" s="30">
        <f>IF(57&gt;$B$3,99,INDEX(Symboles!$G$6:$G$101,MOD(56+$C21+(-4),$B$3)+1)*E21+INDEX(Symboles!$G$6:$G$101,MOD(56+$C21+(-3),$B$3)+1)*F21+INDEX(Symboles!$G$6:$G$101,MOD(56+$C21+(-2),$B$3)+1)*G21+INDEX(Symboles!$G$6:$G$101,MOD(56+$C21+(-1),$B$3)+1)*H21+INDEX(Symboles!$G$6:$G$101,MOD(56+$C21+(0),$B$3)+1)*I21+INDEX(Symboles!$G$6:$G$101,MOD(56+$C21+(1),$B$3)+1)*J21+INDEX(Symboles!$G$6:$G$101,MOD(56+$C21+(2),$B$3)+1)*K21+INDEX(Symboles!$G$6:$G$101,MOD(56+$C21+(3),$B$3)+1)*L21+INDEX(Symboles!$G$6:$G$101,MOD(56+$C21+(4),$B$3)+1)*M21+IF($B$6=0,0,$B$6*NORMSINV(0.000001+0.999998*RAND())))</f>
        <v/>
      </c>
      <c r="BU21" s="30">
        <f>IF(58&gt;$B$3,99,INDEX(Symboles!$G$6:$G$101,MOD(57+$C21+(-4),$B$3)+1)*E21+INDEX(Symboles!$G$6:$G$101,MOD(57+$C21+(-3),$B$3)+1)*F21+INDEX(Symboles!$G$6:$G$101,MOD(57+$C21+(-2),$B$3)+1)*G21+INDEX(Symboles!$G$6:$G$101,MOD(57+$C21+(-1),$B$3)+1)*H21+INDEX(Symboles!$G$6:$G$101,MOD(57+$C21+(0),$B$3)+1)*I21+INDEX(Symboles!$G$6:$G$101,MOD(57+$C21+(1),$B$3)+1)*J21+INDEX(Symboles!$G$6:$G$101,MOD(57+$C21+(2),$B$3)+1)*K21+INDEX(Symboles!$G$6:$G$101,MOD(57+$C21+(3),$B$3)+1)*L21+INDEX(Symboles!$G$6:$G$101,MOD(57+$C21+(4),$B$3)+1)*M21+IF($B$6=0,0,$B$6*NORMSINV(0.000001+0.999998*RAND())))</f>
        <v/>
      </c>
      <c r="BV21" s="30">
        <f>IF(59&gt;$B$3,99,INDEX(Symboles!$G$6:$G$101,MOD(58+$C21+(-4),$B$3)+1)*E21+INDEX(Symboles!$G$6:$G$101,MOD(58+$C21+(-3),$B$3)+1)*F21+INDEX(Symboles!$G$6:$G$101,MOD(58+$C21+(-2),$B$3)+1)*G21+INDEX(Symboles!$G$6:$G$101,MOD(58+$C21+(-1),$B$3)+1)*H21+INDEX(Symboles!$G$6:$G$101,MOD(58+$C21+(0),$B$3)+1)*I21+INDEX(Symboles!$G$6:$G$101,MOD(58+$C21+(1),$B$3)+1)*J21+INDEX(Symboles!$G$6:$G$101,MOD(58+$C21+(2),$B$3)+1)*K21+INDEX(Symboles!$G$6:$G$101,MOD(58+$C21+(3),$B$3)+1)*L21+INDEX(Symboles!$G$6:$G$101,MOD(58+$C21+(4),$B$3)+1)*M21+IF($B$6=0,0,$B$6*NORMSINV(0.000001+0.999998*RAND())))</f>
        <v/>
      </c>
      <c r="BW21" s="30">
        <f>IF(60&gt;$B$3,99,INDEX(Symboles!$G$6:$G$101,MOD(59+$C21+(-4),$B$3)+1)*E21+INDEX(Symboles!$G$6:$G$101,MOD(59+$C21+(-3),$B$3)+1)*F21+INDEX(Symboles!$G$6:$G$101,MOD(59+$C21+(-2),$B$3)+1)*G21+INDEX(Symboles!$G$6:$G$101,MOD(59+$C21+(-1),$B$3)+1)*H21+INDEX(Symboles!$G$6:$G$101,MOD(59+$C21+(0),$B$3)+1)*I21+INDEX(Symboles!$G$6:$G$101,MOD(59+$C21+(1),$B$3)+1)*J21+INDEX(Symboles!$G$6:$G$101,MOD(59+$C21+(2),$B$3)+1)*K21+INDEX(Symboles!$G$6:$G$101,MOD(59+$C21+(3),$B$3)+1)*L21+INDEX(Symboles!$G$6:$G$101,MOD(59+$C21+(4),$B$3)+1)*M21+IF($B$6=0,0,$B$6*NORMSINV(0.000001+0.999998*RAND())))</f>
        <v/>
      </c>
      <c r="BX21" s="30">
        <f>IF(61&gt;$B$3,99,INDEX(Symboles!$G$6:$G$101,MOD(60+$C21+(-4),$B$3)+1)*E21+INDEX(Symboles!$G$6:$G$101,MOD(60+$C21+(-3),$B$3)+1)*F21+INDEX(Symboles!$G$6:$G$101,MOD(60+$C21+(-2),$B$3)+1)*G21+INDEX(Symboles!$G$6:$G$101,MOD(60+$C21+(-1),$B$3)+1)*H21+INDEX(Symboles!$G$6:$G$101,MOD(60+$C21+(0),$B$3)+1)*I21+INDEX(Symboles!$G$6:$G$101,MOD(60+$C21+(1),$B$3)+1)*J21+INDEX(Symboles!$G$6:$G$101,MOD(60+$C21+(2),$B$3)+1)*K21+INDEX(Symboles!$G$6:$G$101,MOD(60+$C21+(3),$B$3)+1)*L21+INDEX(Symboles!$G$6:$G$101,MOD(60+$C21+(4),$B$3)+1)*M21+IF($B$6=0,0,$B$6*NORMSINV(0.000001+0.999998*RAND())))</f>
        <v/>
      </c>
      <c r="BY21" s="30">
        <f>IF(62&gt;$B$3,99,INDEX(Symboles!$G$6:$G$101,MOD(61+$C21+(-4),$B$3)+1)*E21+INDEX(Symboles!$G$6:$G$101,MOD(61+$C21+(-3),$B$3)+1)*F21+INDEX(Symboles!$G$6:$G$101,MOD(61+$C21+(-2),$B$3)+1)*G21+INDEX(Symboles!$G$6:$G$101,MOD(61+$C21+(-1),$B$3)+1)*H21+INDEX(Symboles!$G$6:$G$101,MOD(61+$C21+(0),$B$3)+1)*I21+INDEX(Symboles!$G$6:$G$101,MOD(61+$C21+(1),$B$3)+1)*J21+INDEX(Symboles!$G$6:$G$101,MOD(61+$C21+(2),$B$3)+1)*K21+INDEX(Symboles!$G$6:$G$101,MOD(61+$C21+(3),$B$3)+1)*L21+INDEX(Symboles!$G$6:$G$101,MOD(61+$C21+(4),$B$3)+1)*M21+IF($B$6=0,0,$B$6*NORMSINV(0.000001+0.999998*RAND())))</f>
        <v/>
      </c>
      <c r="BZ21" s="30">
        <f>IF(63&gt;$B$3,99,INDEX(Symboles!$G$6:$G$101,MOD(62+$C21+(-4),$B$3)+1)*E21+INDEX(Symboles!$G$6:$G$101,MOD(62+$C21+(-3),$B$3)+1)*F21+INDEX(Symboles!$G$6:$G$101,MOD(62+$C21+(-2),$B$3)+1)*G21+INDEX(Symboles!$G$6:$G$101,MOD(62+$C21+(-1),$B$3)+1)*H21+INDEX(Symboles!$G$6:$G$101,MOD(62+$C21+(0),$B$3)+1)*I21+INDEX(Symboles!$G$6:$G$101,MOD(62+$C21+(1),$B$3)+1)*J21+INDEX(Symboles!$G$6:$G$101,MOD(62+$C21+(2),$B$3)+1)*K21+INDEX(Symboles!$G$6:$G$101,MOD(62+$C21+(3),$B$3)+1)*L21+INDEX(Symboles!$G$6:$G$101,MOD(62+$C21+(4),$B$3)+1)*M21+IF($B$6=0,0,$B$6*NORMSINV(0.000001+0.999998*RAND())))</f>
        <v/>
      </c>
      <c r="CA21" s="30">
        <f>IF(64&gt;$B$3,99,INDEX(Symboles!$G$6:$G$101,MOD(63+$C21+(-4),$B$3)+1)*E21+INDEX(Symboles!$G$6:$G$101,MOD(63+$C21+(-3),$B$3)+1)*F21+INDEX(Symboles!$G$6:$G$101,MOD(63+$C21+(-2),$B$3)+1)*G21+INDEX(Symboles!$G$6:$G$101,MOD(63+$C21+(-1),$B$3)+1)*H21+INDEX(Symboles!$G$6:$G$101,MOD(63+$C21+(0),$B$3)+1)*I21+INDEX(Symboles!$G$6:$G$101,MOD(63+$C21+(1),$B$3)+1)*J21+INDEX(Symboles!$G$6:$G$101,MOD(63+$C21+(2),$B$3)+1)*K21+INDEX(Symboles!$G$6:$G$101,MOD(63+$C21+(3),$B$3)+1)*L21+INDEX(Symboles!$G$6:$G$101,MOD(63+$C21+(4),$B$3)+1)*M21+IF($B$6=0,0,$B$6*NORMSINV(0.000001+0.999998*RAND())))</f>
        <v/>
      </c>
      <c r="CB21" s="30">
        <f>IF(65&gt;$B$3,99,INDEX(Symboles!$G$6:$G$101,MOD(64+$C21+(-4),$B$3)+1)*E21+INDEX(Symboles!$G$6:$G$101,MOD(64+$C21+(-3),$B$3)+1)*F21+INDEX(Symboles!$G$6:$G$101,MOD(64+$C21+(-2),$B$3)+1)*G21+INDEX(Symboles!$G$6:$G$101,MOD(64+$C21+(-1),$B$3)+1)*H21+INDEX(Symboles!$G$6:$G$101,MOD(64+$C21+(0),$B$3)+1)*I21+INDEX(Symboles!$G$6:$G$101,MOD(64+$C21+(1),$B$3)+1)*J21+INDEX(Symboles!$G$6:$G$101,MOD(64+$C21+(2),$B$3)+1)*K21+INDEX(Symboles!$G$6:$G$101,MOD(64+$C21+(3),$B$3)+1)*L21+INDEX(Symboles!$G$6:$G$101,MOD(64+$C21+(4),$B$3)+1)*M21+IF($B$6=0,0,$B$6*NORMSINV(0.000001+0.999998*RAND())))</f>
        <v/>
      </c>
      <c r="CC21" s="30">
        <f>IF(66&gt;$B$3,99,INDEX(Symboles!$G$6:$G$101,MOD(65+$C21+(-4),$B$3)+1)*E21+INDEX(Symboles!$G$6:$G$101,MOD(65+$C21+(-3),$B$3)+1)*F21+INDEX(Symboles!$G$6:$G$101,MOD(65+$C21+(-2),$B$3)+1)*G21+INDEX(Symboles!$G$6:$G$101,MOD(65+$C21+(-1),$B$3)+1)*H21+INDEX(Symboles!$G$6:$G$101,MOD(65+$C21+(0),$B$3)+1)*I21+INDEX(Symboles!$G$6:$G$101,MOD(65+$C21+(1),$B$3)+1)*J21+INDEX(Symboles!$G$6:$G$101,MOD(65+$C21+(2),$B$3)+1)*K21+INDEX(Symboles!$G$6:$G$101,MOD(65+$C21+(3),$B$3)+1)*L21+INDEX(Symboles!$G$6:$G$101,MOD(65+$C21+(4),$B$3)+1)*M21+IF($B$6=0,0,$B$6*NORMSINV(0.000001+0.999998*RAND())))</f>
        <v/>
      </c>
      <c r="CD21" s="30">
        <f>IF(67&gt;$B$3,99,INDEX(Symboles!$G$6:$G$101,MOD(66+$C21+(-4),$B$3)+1)*E21+INDEX(Symboles!$G$6:$G$101,MOD(66+$C21+(-3),$B$3)+1)*F21+INDEX(Symboles!$G$6:$G$101,MOD(66+$C21+(-2),$B$3)+1)*G21+INDEX(Symboles!$G$6:$G$101,MOD(66+$C21+(-1),$B$3)+1)*H21+INDEX(Symboles!$G$6:$G$101,MOD(66+$C21+(0),$B$3)+1)*I21+INDEX(Symboles!$G$6:$G$101,MOD(66+$C21+(1),$B$3)+1)*J21+INDEX(Symboles!$G$6:$G$101,MOD(66+$C21+(2),$B$3)+1)*K21+INDEX(Symboles!$G$6:$G$101,MOD(66+$C21+(3),$B$3)+1)*L21+INDEX(Symboles!$G$6:$G$101,MOD(66+$C21+(4),$B$3)+1)*M21+IF($B$6=0,0,$B$6*NORMSINV(0.000001+0.999998*RAND())))</f>
        <v/>
      </c>
      <c r="CE21" s="30">
        <f>IF(68&gt;$B$3,99,INDEX(Symboles!$G$6:$G$101,MOD(67+$C21+(-4),$B$3)+1)*E21+INDEX(Symboles!$G$6:$G$101,MOD(67+$C21+(-3),$B$3)+1)*F21+INDEX(Symboles!$G$6:$G$101,MOD(67+$C21+(-2),$B$3)+1)*G21+INDEX(Symboles!$G$6:$G$101,MOD(67+$C21+(-1),$B$3)+1)*H21+INDEX(Symboles!$G$6:$G$101,MOD(67+$C21+(0),$B$3)+1)*I21+INDEX(Symboles!$G$6:$G$101,MOD(67+$C21+(1),$B$3)+1)*J21+INDEX(Symboles!$G$6:$G$101,MOD(67+$C21+(2),$B$3)+1)*K21+INDEX(Symboles!$G$6:$G$101,MOD(67+$C21+(3),$B$3)+1)*L21+INDEX(Symboles!$G$6:$G$101,MOD(67+$C21+(4),$B$3)+1)*M21+IF($B$6=0,0,$B$6*NORMSINV(0.000001+0.999998*RAND())))</f>
        <v/>
      </c>
      <c r="CF21" s="30">
        <f>IF(69&gt;$B$3,99,INDEX(Symboles!$G$6:$G$101,MOD(68+$C21+(-4),$B$3)+1)*E21+INDEX(Symboles!$G$6:$G$101,MOD(68+$C21+(-3),$B$3)+1)*F21+INDEX(Symboles!$G$6:$G$101,MOD(68+$C21+(-2),$B$3)+1)*G21+INDEX(Symboles!$G$6:$G$101,MOD(68+$C21+(-1),$B$3)+1)*H21+INDEX(Symboles!$G$6:$G$101,MOD(68+$C21+(0),$B$3)+1)*I21+INDEX(Symboles!$G$6:$G$101,MOD(68+$C21+(1),$B$3)+1)*J21+INDEX(Symboles!$G$6:$G$101,MOD(68+$C21+(2),$B$3)+1)*K21+INDEX(Symboles!$G$6:$G$101,MOD(68+$C21+(3),$B$3)+1)*L21+INDEX(Symboles!$G$6:$G$101,MOD(68+$C21+(4),$B$3)+1)*M21+IF($B$6=0,0,$B$6*NORMSINV(0.000001+0.999998*RAND())))</f>
        <v/>
      </c>
      <c r="CG21" s="30">
        <f>IF(70&gt;$B$3,99,INDEX(Symboles!$G$6:$G$101,MOD(69+$C21+(-4),$B$3)+1)*E21+INDEX(Symboles!$G$6:$G$101,MOD(69+$C21+(-3),$B$3)+1)*F21+INDEX(Symboles!$G$6:$G$101,MOD(69+$C21+(-2),$B$3)+1)*G21+INDEX(Symboles!$G$6:$G$101,MOD(69+$C21+(-1),$B$3)+1)*H21+INDEX(Symboles!$G$6:$G$101,MOD(69+$C21+(0),$B$3)+1)*I21+INDEX(Symboles!$G$6:$G$101,MOD(69+$C21+(1),$B$3)+1)*J21+INDEX(Symboles!$G$6:$G$101,MOD(69+$C21+(2),$B$3)+1)*K21+INDEX(Symboles!$G$6:$G$101,MOD(69+$C21+(3),$B$3)+1)*L21+INDEX(Symboles!$G$6:$G$101,MOD(69+$C21+(4),$B$3)+1)*M21+IF($B$6=0,0,$B$6*NORMSINV(0.000001+0.999998*RAND())))</f>
        <v/>
      </c>
      <c r="CH21" s="30">
        <f>IF(71&gt;$B$3,99,INDEX(Symboles!$G$6:$G$101,MOD(70+$C21+(-4),$B$3)+1)*E21+INDEX(Symboles!$G$6:$G$101,MOD(70+$C21+(-3),$B$3)+1)*F21+INDEX(Symboles!$G$6:$G$101,MOD(70+$C21+(-2),$B$3)+1)*G21+INDEX(Symboles!$G$6:$G$101,MOD(70+$C21+(-1),$B$3)+1)*H21+INDEX(Symboles!$G$6:$G$101,MOD(70+$C21+(0),$B$3)+1)*I21+INDEX(Symboles!$G$6:$G$101,MOD(70+$C21+(1),$B$3)+1)*J21+INDEX(Symboles!$G$6:$G$101,MOD(70+$C21+(2),$B$3)+1)*K21+INDEX(Symboles!$G$6:$G$101,MOD(70+$C21+(3),$B$3)+1)*L21+INDEX(Symboles!$G$6:$G$101,MOD(70+$C21+(4),$B$3)+1)*M21+IF($B$6=0,0,$B$6*NORMSINV(0.000001+0.999998*RAND())))</f>
        <v/>
      </c>
      <c r="CI21" s="30">
        <f>IF(72&gt;$B$3,99,INDEX(Symboles!$G$6:$G$101,MOD(71+$C21+(-4),$B$3)+1)*E21+INDEX(Symboles!$G$6:$G$101,MOD(71+$C21+(-3),$B$3)+1)*F21+INDEX(Symboles!$G$6:$G$101,MOD(71+$C21+(-2),$B$3)+1)*G21+INDEX(Symboles!$G$6:$G$101,MOD(71+$C21+(-1),$B$3)+1)*H21+INDEX(Symboles!$G$6:$G$101,MOD(71+$C21+(0),$B$3)+1)*I21+INDEX(Symboles!$G$6:$G$101,MOD(71+$C21+(1),$B$3)+1)*J21+INDEX(Symboles!$G$6:$G$101,MOD(71+$C21+(2),$B$3)+1)*K21+INDEX(Symboles!$G$6:$G$101,MOD(71+$C21+(3),$B$3)+1)*L21+INDEX(Symboles!$G$6:$G$101,MOD(71+$C21+(4),$B$3)+1)*M21+IF($B$6=0,0,$B$6*NORMSINV(0.000001+0.999998*RAND())))</f>
        <v/>
      </c>
      <c r="CJ21" s="30">
        <f>IF(73&gt;$B$3,99,INDEX(Symboles!$G$6:$G$101,MOD(72+$C21+(-4),$B$3)+1)*E21+INDEX(Symboles!$G$6:$G$101,MOD(72+$C21+(-3),$B$3)+1)*F21+INDEX(Symboles!$G$6:$G$101,MOD(72+$C21+(-2),$B$3)+1)*G21+INDEX(Symboles!$G$6:$G$101,MOD(72+$C21+(-1),$B$3)+1)*H21+INDEX(Symboles!$G$6:$G$101,MOD(72+$C21+(0),$B$3)+1)*I21+INDEX(Symboles!$G$6:$G$101,MOD(72+$C21+(1),$B$3)+1)*J21+INDEX(Symboles!$G$6:$G$101,MOD(72+$C21+(2),$B$3)+1)*K21+INDEX(Symboles!$G$6:$G$101,MOD(72+$C21+(3),$B$3)+1)*L21+INDEX(Symboles!$G$6:$G$101,MOD(72+$C21+(4),$B$3)+1)*M21+IF($B$6=0,0,$B$6*NORMSINV(0.000001+0.999998*RAND())))</f>
        <v/>
      </c>
      <c r="CK21" s="30">
        <f>IF(74&gt;$B$3,99,INDEX(Symboles!$G$6:$G$101,MOD(73+$C21+(-4),$B$3)+1)*E21+INDEX(Symboles!$G$6:$G$101,MOD(73+$C21+(-3),$B$3)+1)*F21+INDEX(Symboles!$G$6:$G$101,MOD(73+$C21+(-2),$B$3)+1)*G21+INDEX(Symboles!$G$6:$G$101,MOD(73+$C21+(-1),$B$3)+1)*H21+INDEX(Symboles!$G$6:$G$101,MOD(73+$C21+(0),$B$3)+1)*I21+INDEX(Symboles!$G$6:$G$101,MOD(73+$C21+(1),$B$3)+1)*J21+INDEX(Symboles!$G$6:$G$101,MOD(73+$C21+(2),$B$3)+1)*K21+INDEX(Symboles!$G$6:$G$101,MOD(73+$C21+(3),$B$3)+1)*L21+INDEX(Symboles!$G$6:$G$101,MOD(73+$C21+(4),$B$3)+1)*M21+IF($B$6=0,0,$B$6*NORMSINV(0.000001+0.999998*RAND())))</f>
        <v/>
      </c>
      <c r="CL21" s="30">
        <f>IF(75&gt;$B$3,99,INDEX(Symboles!$G$6:$G$101,MOD(74+$C21+(-4),$B$3)+1)*E21+INDEX(Symboles!$G$6:$G$101,MOD(74+$C21+(-3),$B$3)+1)*F21+INDEX(Symboles!$G$6:$G$101,MOD(74+$C21+(-2),$B$3)+1)*G21+INDEX(Symboles!$G$6:$G$101,MOD(74+$C21+(-1),$B$3)+1)*H21+INDEX(Symboles!$G$6:$G$101,MOD(74+$C21+(0),$B$3)+1)*I21+INDEX(Symboles!$G$6:$G$101,MOD(74+$C21+(1),$B$3)+1)*J21+INDEX(Symboles!$G$6:$G$101,MOD(74+$C21+(2),$B$3)+1)*K21+INDEX(Symboles!$G$6:$G$101,MOD(74+$C21+(3),$B$3)+1)*L21+INDEX(Symboles!$G$6:$G$101,MOD(74+$C21+(4),$B$3)+1)*M21+IF($B$6=0,0,$B$6*NORMSINV(0.000001+0.999998*RAND())))</f>
        <v/>
      </c>
      <c r="CM21" s="30">
        <f>IF(76&gt;$B$3,99,INDEX(Symboles!$G$6:$G$101,MOD(75+$C21+(-4),$B$3)+1)*E21+INDEX(Symboles!$G$6:$G$101,MOD(75+$C21+(-3),$B$3)+1)*F21+INDEX(Symboles!$G$6:$G$101,MOD(75+$C21+(-2),$B$3)+1)*G21+INDEX(Symboles!$G$6:$G$101,MOD(75+$C21+(-1),$B$3)+1)*H21+INDEX(Symboles!$G$6:$G$101,MOD(75+$C21+(0),$B$3)+1)*I21+INDEX(Symboles!$G$6:$G$101,MOD(75+$C21+(1),$B$3)+1)*J21+INDEX(Symboles!$G$6:$G$101,MOD(75+$C21+(2),$B$3)+1)*K21+INDEX(Symboles!$G$6:$G$101,MOD(75+$C21+(3),$B$3)+1)*L21+INDEX(Symboles!$G$6:$G$101,MOD(75+$C21+(4),$B$3)+1)*M21+IF($B$6=0,0,$B$6*NORMSINV(0.000001+0.999998*RAND())))</f>
        <v/>
      </c>
      <c r="CN21" s="30">
        <f>IF(77&gt;$B$3,99,INDEX(Symboles!$G$6:$G$101,MOD(76+$C21+(-4),$B$3)+1)*E21+INDEX(Symboles!$G$6:$G$101,MOD(76+$C21+(-3),$B$3)+1)*F21+INDEX(Symboles!$G$6:$G$101,MOD(76+$C21+(-2),$B$3)+1)*G21+INDEX(Symboles!$G$6:$G$101,MOD(76+$C21+(-1),$B$3)+1)*H21+INDEX(Symboles!$G$6:$G$101,MOD(76+$C21+(0),$B$3)+1)*I21+INDEX(Symboles!$G$6:$G$101,MOD(76+$C21+(1),$B$3)+1)*J21+INDEX(Symboles!$G$6:$G$101,MOD(76+$C21+(2),$B$3)+1)*K21+INDEX(Symboles!$G$6:$G$101,MOD(76+$C21+(3),$B$3)+1)*L21+INDEX(Symboles!$G$6:$G$101,MOD(76+$C21+(4),$B$3)+1)*M21+IF($B$6=0,0,$B$6*NORMSINV(0.000001+0.999998*RAND())))</f>
        <v/>
      </c>
      <c r="CO21" s="30">
        <f>IF(78&gt;$B$3,99,INDEX(Symboles!$G$6:$G$101,MOD(77+$C21+(-4),$B$3)+1)*E21+INDEX(Symboles!$G$6:$G$101,MOD(77+$C21+(-3),$B$3)+1)*F21+INDEX(Symboles!$G$6:$G$101,MOD(77+$C21+(-2),$B$3)+1)*G21+INDEX(Symboles!$G$6:$G$101,MOD(77+$C21+(-1),$B$3)+1)*H21+INDEX(Symboles!$G$6:$G$101,MOD(77+$C21+(0),$B$3)+1)*I21+INDEX(Symboles!$G$6:$G$101,MOD(77+$C21+(1),$B$3)+1)*J21+INDEX(Symboles!$G$6:$G$101,MOD(77+$C21+(2),$B$3)+1)*K21+INDEX(Symboles!$G$6:$G$101,MOD(77+$C21+(3),$B$3)+1)*L21+INDEX(Symboles!$G$6:$G$101,MOD(77+$C21+(4),$B$3)+1)*M21+IF($B$6=0,0,$B$6*NORMSINV(0.000001+0.999998*RAND())))</f>
        <v/>
      </c>
      <c r="CP21" s="30">
        <f>IF(79&gt;$B$3,99,INDEX(Symboles!$G$6:$G$101,MOD(78+$C21+(-4),$B$3)+1)*E21+INDEX(Symboles!$G$6:$G$101,MOD(78+$C21+(-3),$B$3)+1)*F21+INDEX(Symboles!$G$6:$G$101,MOD(78+$C21+(-2),$B$3)+1)*G21+INDEX(Symboles!$G$6:$G$101,MOD(78+$C21+(-1),$B$3)+1)*H21+INDEX(Symboles!$G$6:$G$101,MOD(78+$C21+(0),$B$3)+1)*I21+INDEX(Symboles!$G$6:$G$101,MOD(78+$C21+(1),$B$3)+1)*J21+INDEX(Symboles!$G$6:$G$101,MOD(78+$C21+(2),$B$3)+1)*K21+INDEX(Symboles!$G$6:$G$101,MOD(78+$C21+(3),$B$3)+1)*L21+INDEX(Symboles!$G$6:$G$101,MOD(78+$C21+(4),$B$3)+1)*M21+IF($B$6=0,0,$B$6*NORMSINV(0.000001+0.999998*RAND())))</f>
        <v/>
      </c>
      <c r="CQ21" s="30">
        <f>IF(80&gt;$B$3,99,INDEX(Symboles!$G$6:$G$101,MOD(79+$C21+(-4),$B$3)+1)*E21+INDEX(Symboles!$G$6:$G$101,MOD(79+$C21+(-3),$B$3)+1)*F21+INDEX(Symboles!$G$6:$G$101,MOD(79+$C21+(-2),$B$3)+1)*G21+INDEX(Symboles!$G$6:$G$101,MOD(79+$C21+(-1),$B$3)+1)*H21+INDEX(Symboles!$G$6:$G$101,MOD(79+$C21+(0),$B$3)+1)*I21+INDEX(Symboles!$G$6:$G$101,MOD(79+$C21+(1),$B$3)+1)*J21+INDEX(Symboles!$G$6:$G$101,MOD(79+$C21+(2),$B$3)+1)*K21+INDEX(Symboles!$G$6:$G$101,MOD(79+$C21+(3),$B$3)+1)*L21+INDEX(Symboles!$G$6:$G$101,MOD(79+$C21+(4),$B$3)+1)*M21+IF($B$6=0,0,$B$6*NORMSINV(0.000001+0.999998*RAND())))</f>
        <v/>
      </c>
      <c r="CR21" s="30">
        <f>IF(81&gt;$B$3,99,INDEX(Symboles!$G$6:$G$101,MOD(80+$C21+(-4),$B$3)+1)*E21+INDEX(Symboles!$G$6:$G$101,MOD(80+$C21+(-3),$B$3)+1)*F21+INDEX(Symboles!$G$6:$G$101,MOD(80+$C21+(-2),$B$3)+1)*G21+INDEX(Symboles!$G$6:$G$101,MOD(80+$C21+(-1),$B$3)+1)*H21+INDEX(Symboles!$G$6:$G$101,MOD(80+$C21+(0),$B$3)+1)*I21+INDEX(Symboles!$G$6:$G$101,MOD(80+$C21+(1),$B$3)+1)*J21+INDEX(Symboles!$G$6:$G$101,MOD(80+$C21+(2),$B$3)+1)*K21+INDEX(Symboles!$G$6:$G$101,MOD(80+$C21+(3),$B$3)+1)*L21+INDEX(Symboles!$G$6:$G$101,MOD(80+$C21+(4),$B$3)+1)*M21+IF($B$6=0,0,$B$6*NORMSINV(0.000001+0.999998*RAND())))</f>
        <v/>
      </c>
      <c r="CS21" s="30">
        <f>IF(82&gt;$B$3,99,INDEX(Symboles!$G$6:$G$101,MOD(81+$C21+(-4),$B$3)+1)*E21+INDEX(Symboles!$G$6:$G$101,MOD(81+$C21+(-3),$B$3)+1)*F21+INDEX(Symboles!$G$6:$G$101,MOD(81+$C21+(-2),$B$3)+1)*G21+INDEX(Symboles!$G$6:$G$101,MOD(81+$C21+(-1),$B$3)+1)*H21+INDEX(Symboles!$G$6:$G$101,MOD(81+$C21+(0),$B$3)+1)*I21+INDEX(Symboles!$G$6:$G$101,MOD(81+$C21+(1),$B$3)+1)*J21+INDEX(Symboles!$G$6:$G$101,MOD(81+$C21+(2),$B$3)+1)*K21+INDEX(Symboles!$G$6:$G$101,MOD(81+$C21+(3),$B$3)+1)*L21+INDEX(Symboles!$G$6:$G$101,MOD(81+$C21+(4),$B$3)+1)*M21+IF($B$6=0,0,$B$6*NORMSINV(0.000001+0.999998*RAND())))</f>
        <v/>
      </c>
      <c r="CT21" s="30">
        <f>IF(83&gt;$B$3,99,INDEX(Symboles!$G$6:$G$101,MOD(82+$C21+(-4),$B$3)+1)*E21+INDEX(Symboles!$G$6:$G$101,MOD(82+$C21+(-3),$B$3)+1)*F21+INDEX(Symboles!$G$6:$G$101,MOD(82+$C21+(-2),$B$3)+1)*G21+INDEX(Symboles!$G$6:$G$101,MOD(82+$C21+(-1),$B$3)+1)*H21+INDEX(Symboles!$G$6:$G$101,MOD(82+$C21+(0),$B$3)+1)*I21+INDEX(Symboles!$G$6:$G$101,MOD(82+$C21+(1),$B$3)+1)*J21+INDEX(Symboles!$G$6:$G$101,MOD(82+$C21+(2),$B$3)+1)*K21+INDEX(Symboles!$G$6:$G$101,MOD(82+$C21+(3),$B$3)+1)*L21+INDEX(Symboles!$G$6:$G$101,MOD(82+$C21+(4),$B$3)+1)*M21+IF($B$6=0,0,$B$6*NORMSINV(0.000001+0.999998*RAND())))</f>
        <v/>
      </c>
      <c r="CU21" s="30">
        <f>IF(84&gt;$B$3,99,INDEX(Symboles!$G$6:$G$101,MOD(83+$C21+(-4),$B$3)+1)*E21+INDEX(Symboles!$G$6:$G$101,MOD(83+$C21+(-3),$B$3)+1)*F21+INDEX(Symboles!$G$6:$G$101,MOD(83+$C21+(-2),$B$3)+1)*G21+INDEX(Symboles!$G$6:$G$101,MOD(83+$C21+(-1),$B$3)+1)*H21+INDEX(Symboles!$G$6:$G$101,MOD(83+$C21+(0),$B$3)+1)*I21+INDEX(Symboles!$G$6:$G$101,MOD(83+$C21+(1),$B$3)+1)*J21+INDEX(Symboles!$G$6:$G$101,MOD(83+$C21+(2),$B$3)+1)*K21+INDEX(Symboles!$G$6:$G$101,MOD(83+$C21+(3),$B$3)+1)*L21+INDEX(Symboles!$G$6:$G$101,MOD(83+$C21+(4),$B$3)+1)*M21+IF($B$6=0,0,$B$6*NORMSINV(0.000001+0.999998*RAND())))</f>
        <v/>
      </c>
      <c r="CV21" s="30">
        <f>IF(85&gt;$B$3,99,INDEX(Symboles!$G$6:$G$101,MOD(84+$C21+(-4),$B$3)+1)*E21+INDEX(Symboles!$G$6:$G$101,MOD(84+$C21+(-3),$B$3)+1)*F21+INDEX(Symboles!$G$6:$G$101,MOD(84+$C21+(-2),$B$3)+1)*G21+INDEX(Symboles!$G$6:$G$101,MOD(84+$C21+(-1),$B$3)+1)*H21+INDEX(Symboles!$G$6:$G$101,MOD(84+$C21+(0),$B$3)+1)*I21+INDEX(Symboles!$G$6:$G$101,MOD(84+$C21+(1),$B$3)+1)*J21+INDEX(Symboles!$G$6:$G$101,MOD(84+$C21+(2),$B$3)+1)*K21+INDEX(Symboles!$G$6:$G$101,MOD(84+$C21+(3),$B$3)+1)*L21+INDEX(Symboles!$G$6:$G$101,MOD(84+$C21+(4),$B$3)+1)*M21+IF($B$6=0,0,$B$6*NORMSINV(0.000001+0.999998*RAND())))</f>
        <v/>
      </c>
      <c r="CW21" s="30">
        <f>IF(86&gt;$B$3,99,INDEX(Symboles!$G$6:$G$101,MOD(85+$C21+(-4),$B$3)+1)*E21+INDEX(Symboles!$G$6:$G$101,MOD(85+$C21+(-3),$B$3)+1)*F21+INDEX(Symboles!$G$6:$G$101,MOD(85+$C21+(-2),$B$3)+1)*G21+INDEX(Symboles!$G$6:$G$101,MOD(85+$C21+(-1),$B$3)+1)*H21+INDEX(Symboles!$G$6:$G$101,MOD(85+$C21+(0),$B$3)+1)*I21+INDEX(Symboles!$G$6:$G$101,MOD(85+$C21+(1),$B$3)+1)*J21+INDEX(Symboles!$G$6:$G$101,MOD(85+$C21+(2),$B$3)+1)*K21+INDEX(Symboles!$G$6:$G$101,MOD(85+$C21+(3),$B$3)+1)*L21+INDEX(Symboles!$G$6:$G$101,MOD(85+$C21+(4),$B$3)+1)*M21+IF($B$6=0,0,$B$6*NORMSINV(0.000001+0.999998*RAND())))</f>
        <v/>
      </c>
      <c r="CX21" s="30">
        <f>IF(87&gt;$B$3,99,INDEX(Symboles!$G$6:$G$101,MOD(86+$C21+(-4),$B$3)+1)*E21+INDEX(Symboles!$G$6:$G$101,MOD(86+$C21+(-3),$B$3)+1)*F21+INDEX(Symboles!$G$6:$G$101,MOD(86+$C21+(-2),$B$3)+1)*G21+INDEX(Symboles!$G$6:$G$101,MOD(86+$C21+(-1),$B$3)+1)*H21+INDEX(Symboles!$G$6:$G$101,MOD(86+$C21+(0),$B$3)+1)*I21+INDEX(Symboles!$G$6:$G$101,MOD(86+$C21+(1),$B$3)+1)*J21+INDEX(Symboles!$G$6:$G$101,MOD(86+$C21+(2),$B$3)+1)*K21+INDEX(Symboles!$G$6:$G$101,MOD(86+$C21+(3),$B$3)+1)*L21+INDEX(Symboles!$G$6:$G$101,MOD(86+$C21+(4),$B$3)+1)*M21+IF($B$6=0,0,$B$6*NORMSINV(0.000001+0.999998*RAND())))</f>
        <v/>
      </c>
      <c r="CY21" s="30">
        <f>IF(88&gt;$B$3,99,INDEX(Symboles!$G$6:$G$101,MOD(87+$C21+(-4),$B$3)+1)*E21+INDEX(Symboles!$G$6:$G$101,MOD(87+$C21+(-3),$B$3)+1)*F21+INDEX(Symboles!$G$6:$G$101,MOD(87+$C21+(-2),$B$3)+1)*G21+INDEX(Symboles!$G$6:$G$101,MOD(87+$C21+(-1),$B$3)+1)*H21+INDEX(Symboles!$G$6:$G$101,MOD(87+$C21+(0),$B$3)+1)*I21+INDEX(Symboles!$G$6:$G$101,MOD(87+$C21+(1),$B$3)+1)*J21+INDEX(Symboles!$G$6:$G$101,MOD(87+$C21+(2),$B$3)+1)*K21+INDEX(Symboles!$G$6:$G$101,MOD(87+$C21+(3),$B$3)+1)*L21+INDEX(Symboles!$G$6:$G$101,MOD(87+$C21+(4),$B$3)+1)*M21+IF($B$6=0,0,$B$6*NORMSINV(0.000001+0.999998*RAND())))</f>
        <v/>
      </c>
      <c r="CZ21" s="30">
        <f>IF(89&gt;$B$3,99,INDEX(Symboles!$G$6:$G$101,MOD(88+$C21+(-4),$B$3)+1)*E21+INDEX(Symboles!$G$6:$G$101,MOD(88+$C21+(-3),$B$3)+1)*F21+INDEX(Symboles!$G$6:$G$101,MOD(88+$C21+(-2),$B$3)+1)*G21+INDEX(Symboles!$G$6:$G$101,MOD(88+$C21+(-1),$B$3)+1)*H21+INDEX(Symboles!$G$6:$G$101,MOD(88+$C21+(0),$B$3)+1)*I21+INDEX(Symboles!$G$6:$G$101,MOD(88+$C21+(1),$B$3)+1)*J21+INDEX(Symboles!$G$6:$G$101,MOD(88+$C21+(2),$B$3)+1)*K21+INDEX(Symboles!$G$6:$G$101,MOD(88+$C21+(3),$B$3)+1)*L21+INDEX(Symboles!$G$6:$G$101,MOD(88+$C21+(4),$B$3)+1)*M21+IF($B$6=0,0,$B$6*NORMSINV(0.000001+0.999998*RAND())))</f>
        <v/>
      </c>
      <c r="DA21" s="30">
        <f>IF(90&gt;$B$3,99,INDEX(Symboles!$G$6:$G$101,MOD(89+$C21+(-4),$B$3)+1)*E21+INDEX(Symboles!$G$6:$G$101,MOD(89+$C21+(-3),$B$3)+1)*F21+INDEX(Symboles!$G$6:$G$101,MOD(89+$C21+(-2),$B$3)+1)*G21+INDEX(Symboles!$G$6:$G$101,MOD(89+$C21+(-1),$B$3)+1)*H21+INDEX(Symboles!$G$6:$G$101,MOD(89+$C21+(0),$B$3)+1)*I21+INDEX(Symboles!$G$6:$G$101,MOD(89+$C21+(1),$B$3)+1)*J21+INDEX(Symboles!$G$6:$G$101,MOD(89+$C21+(2),$B$3)+1)*K21+INDEX(Symboles!$G$6:$G$101,MOD(89+$C21+(3),$B$3)+1)*L21+INDEX(Symboles!$G$6:$G$101,MOD(89+$C21+(4),$B$3)+1)*M21+IF($B$6=0,0,$B$6*NORMSINV(0.000001+0.999998*RAND())))</f>
        <v/>
      </c>
      <c r="DB21" s="30">
        <f>IF(91&gt;$B$3,99,INDEX(Symboles!$G$6:$G$101,MOD(90+$C21+(-4),$B$3)+1)*E21+INDEX(Symboles!$G$6:$G$101,MOD(90+$C21+(-3),$B$3)+1)*F21+INDEX(Symboles!$G$6:$G$101,MOD(90+$C21+(-2),$B$3)+1)*G21+INDEX(Symboles!$G$6:$G$101,MOD(90+$C21+(-1),$B$3)+1)*H21+INDEX(Symboles!$G$6:$G$101,MOD(90+$C21+(0),$B$3)+1)*I21+INDEX(Symboles!$G$6:$G$101,MOD(90+$C21+(1),$B$3)+1)*J21+INDEX(Symboles!$G$6:$G$101,MOD(90+$C21+(2),$B$3)+1)*K21+INDEX(Symboles!$G$6:$G$101,MOD(90+$C21+(3),$B$3)+1)*L21+INDEX(Symboles!$G$6:$G$101,MOD(90+$C21+(4),$B$3)+1)*M21+IF($B$6=0,0,$B$6*NORMSINV(0.000001+0.999998*RAND())))</f>
        <v/>
      </c>
      <c r="DC21" s="30">
        <f>IF(92&gt;$B$3,99,INDEX(Symboles!$G$6:$G$101,MOD(91+$C21+(-4),$B$3)+1)*E21+INDEX(Symboles!$G$6:$G$101,MOD(91+$C21+(-3),$B$3)+1)*F21+INDEX(Symboles!$G$6:$G$101,MOD(91+$C21+(-2),$B$3)+1)*G21+INDEX(Symboles!$G$6:$G$101,MOD(91+$C21+(-1),$B$3)+1)*H21+INDEX(Symboles!$G$6:$G$101,MOD(91+$C21+(0),$B$3)+1)*I21+INDEX(Symboles!$G$6:$G$101,MOD(91+$C21+(1),$B$3)+1)*J21+INDEX(Symboles!$G$6:$G$101,MOD(91+$C21+(2),$B$3)+1)*K21+INDEX(Symboles!$G$6:$G$101,MOD(91+$C21+(3),$B$3)+1)*L21+INDEX(Symboles!$G$6:$G$101,MOD(91+$C21+(4),$B$3)+1)*M21+IF($B$6=0,0,$B$6*NORMSINV(0.000001+0.999998*RAND())))</f>
        <v/>
      </c>
      <c r="DD21" s="30">
        <f>IF(93&gt;$B$3,99,INDEX(Symboles!$G$6:$G$101,MOD(92+$C21+(-4),$B$3)+1)*E21+INDEX(Symboles!$G$6:$G$101,MOD(92+$C21+(-3),$B$3)+1)*F21+INDEX(Symboles!$G$6:$G$101,MOD(92+$C21+(-2),$B$3)+1)*G21+INDEX(Symboles!$G$6:$G$101,MOD(92+$C21+(-1),$B$3)+1)*H21+INDEX(Symboles!$G$6:$G$101,MOD(92+$C21+(0),$B$3)+1)*I21+INDEX(Symboles!$G$6:$G$101,MOD(92+$C21+(1),$B$3)+1)*J21+INDEX(Symboles!$G$6:$G$101,MOD(92+$C21+(2),$B$3)+1)*K21+INDEX(Symboles!$G$6:$G$101,MOD(92+$C21+(3),$B$3)+1)*L21+INDEX(Symboles!$G$6:$G$101,MOD(92+$C21+(4),$B$3)+1)*M21+IF($B$6=0,0,$B$6*NORMSINV(0.000001+0.999998*RAND())))</f>
        <v/>
      </c>
      <c r="DE21" s="30">
        <f>IF(94&gt;$B$3,99,INDEX(Symboles!$G$6:$G$101,MOD(93+$C21+(-4),$B$3)+1)*E21+INDEX(Symboles!$G$6:$G$101,MOD(93+$C21+(-3),$B$3)+1)*F21+INDEX(Symboles!$G$6:$G$101,MOD(93+$C21+(-2),$B$3)+1)*G21+INDEX(Symboles!$G$6:$G$101,MOD(93+$C21+(-1),$B$3)+1)*H21+INDEX(Symboles!$G$6:$G$101,MOD(93+$C21+(0),$B$3)+1)*I21+INDEX(Symboles!$G$6:$G$101,MOD(93+$C21+(1),$B$3)+1)*J21+INDEX(Symboles!$G$6:$G$101,MOD(93+$C21+(2),$B$3)+1)*K21+INDEX(Symboles!$G$6:$G$101,MOD(93+$C21+(3),$B$3)+1)*L21+INDEX(Symboles!$G$6:$G$101,MOD(93+$C21+(4),$B$3)+1)*M21+IF($B$6=0,0,$B$6*NORMSINV(0.000001+0.999998*RAND())))</f>
        <v/>
      </c>
      <c r="DF21" s="30">
        <f>IF(95&gt;$B$3,99,INDEX(Symboles!$G$6:$G$101,MOD(94+$C21+(-4),$B$3)+1)*E21+INDEX(Symboles!$G$6:$G$101,MOD(94+$C21+(-3),$B$3)+1)*F21+INDEX(Symboles!$G$6:$G$101,MOD(94+$C21+(-2),$B$3)+1)*G21+INDEX(Symboles!$G$6:$G$101,MOD(94+$C21+(-1),$B$3)+1)*H21+INDEX(Symboles!$G$6:$G$101,MOD(94+$C21+(0),$B$3)+1)*I21+INDEX(Symboles!$G$6:$G$101,MOD(94+$C21+(1),$B$3)+1)*J21+INDEX(Symboles!$G$6:$G$101,MOD(94+$C21+(2),$B$3)+1)*K21+INDEX(Symboles!$G$6:$G$101,MOD(94+$C21+(3),$B$3)+1)*L21+INDEX(Symboles!$G$6:$G$101,MOD(94+$C21+(4),$B$3)+1)*M21+IF($B$6=0,0,$B$6*NORMSINV(0.000001+0.999998*RAND())))</f>
        <v/>
      </c>
      <c r="DG21" s="30">
        <f>IF(96&gt;$B$3,99,INDEX(Symboles!$G$6:$G$101,MOD(95+$C21+(-4),$B$3)+1)*E21+INDEX(Symboles!$G$6:$G$101,MOD(95+$C21+(-3),$B$3)+1)*F21+INDEX(Symboles!$G$6:$G$101,MOD(95+$C21+(-2),$B$3)+1)*G21+INDEX(Symboles!$G$6:$G$101,MOD(95+$C21+(-1),$B$3)+1)*H21+INDEX(Symboles!$G$6:$G$101,MOD(95+$C21+(0),$B$3)+1)*I21+INDEX(Symboles!$G$6:$G$101,MOD(95+$C21+(1),$B$3)+1)*J21+INDEX(Symboles!$G$6:$G$101,MOD(95+$C21+(2),$B$3)+1)*K21+INDEX(Symboles!$G$6:$G$101,MOD(95+$C21+(3),$B$3)+1)*L21+INDEX(Symboles!$G$6:$G$101,MOD(95+$C21+(4),$B$3)+1)*M21+IF($B$6=0,0,$B$6*NORMSINV(0.000001+0.999998*RAND())))</f>
        <v/>
      </c>
      <c r="DI21" s="30">
        <f>IF(1&gt;$B$3,99,INDEX(Symboles!$H$6:$H$101,MOD(0+$C21+(-4),$B$3)+1)*E21+INDEX(Symboles!$H$6:$H$101,MOD(0+$C21+(-3),$B$3)+1)*F21+INDEX(Symboles!$H$6:$H$101,MOD(0+$C21+(-2),$B$3)+1)*G21+INDEX(Symboles!$H$6:$H$101,MOD(0+$C21+(-1),$B$3)+1)*H21+INDEX(Symboles!$H$6:$H$101,MOD(0+$C21+(0),$B$3)+1)*I21+INDEX(Symboles!$H$6:$H$101,MOD(0+$C21+(1),$B$3)+1)*J21+INDEX(Symboles!$H$6:$H$101,MOD(0+$C21+(2),$B$3)+1)*K21+INDEX(Symboles!$H$6:$H$101,MOD(0+$C21+(3),$B$3)+1)*L21+INDEX(Symboles!$H$6:$H$101,MOD(0+$C21+(4),$B$3)+1)*M21+IF($B$6=0,0,$B$6*NORMSINV(0.000001+0.999998*RAND())))</f>
        <v/>
      </c>
      <c r="DJ21" s="30">
        <f>IF(2&gt;$B$3,99,INDEX(Symboles!$H$6:$H$101,MOD(1+$C21+(-4),$B$3)+1)*E21+INDEX(Symboles!$H$6:$H$101,MOD(1+$C21+(-3),$B$3)+1)*F21+INDEX(Symboles!$H$6:$H$101,MOD(1+$C21+(-2),$B$3)+1)*G21+INDEX(Symboles!$H$6:$H$101,MOD(1+$C21+(-1),$B$3)+1)*H21+INDEX(Symboles!$H$6:$H$101,MOD(1+$C21+(0),$B$3)+1)*I21+INDEX(Symboles!$H$6:$H$101,MOD(1+$C21+(1),$B$3)+1)*J21+INDEX(Symboles!$H$6:$H$101,MOD(1+$C21+(2),$B$3)+1)*K21+INDEX(Symboles!$H$6:$H$101,MOD(1+$C21+(3),$B$3)+1)*L21+INDEX(Symboles!$H$6:$H$101,MOD(1+$C21+(4),$B$3)+1)*M21+IF($B$6=0,0,$B$6*NORMSINV(0.000001+0.999998*RAND())))</f>
        <v/>
      </c>
      <c r="DK21" s="30">
        <f>IF(3&gt;$B$3,99,INDEX(Symboles!$H$6:$H$101,MOD(2+$C21+(-4),$B$3)+1)*E21+INDEX(Symboles!$H$6:$H$101,MOD(2+$C21+(-3),$B$3)+1)*F21+INDEX(Symboles!$H$6:$H$101,MOD(2+$C21+(-2),$B$3)+1)*G21+INDEX(Symboles!$H$6:$H$101,MOD(2+$C21+(-1),$B$3)+1)*H21+INDEX(Symboles!$H$6:$H$101,MOD(2+$C21+(0),$B$3)+1)*I21+INDEX(Symboles!$H$6:$H$101,MOD(2+$C21+(1),$B$3)+1)*J21+INDEX(Symboles!$H$6:$H$101,MOD(2+$C21+(2),$B$3)+1)*K21+INDEX(Symboles!$H$6:$H$101,MOD(2+$C21+(3),$B$3)+1)*L21+INDEX(Symboles!$H$6:$H$101,MOD(2+$C21+(4),$B$3)+1)*M21+IF($B$6=0,0,$B$6*NORMSINV(0.000001+0.999998*RAND())))</f>
        <v/>
      </c>
      <c r="DL21" s="30">
        <f>IF(4&gt;$B$3,99,INDEX(Symboles!$H$6:$H$101,MOD(3+$C21+(-4),$B$3)+1)*E21+INDEX(Symboles!$H$6:$H$101,MOD(3+$C21+(-3),$B$3)+1)*F21+INDEX(Symboles!$H$6:$H$101,MOD(3+$C21+(-2),$B$3)+1)*G21+INDEX(Symboles!$H$6:$H$101,MOD(3+$C21+(-1),$B$3)+1)*H21+INDEX(Symboles!$H$6:$H$101,MOD(3+$C21+(0),$B$3)+1)*I21+INDEX(Symboles!$H$6:$H$101,MOD(3+$C21+(1),$B$3)+1)*J21+INDEX(Symboles!$H$6:$H$101,MOD(3+$C21+(2),$B$3)+1)*K21+INDEX(Symboles!$H$6:$H$101,MOD(3+$C21+(3),$B$3)+1)*L21+INDEX(Symboles!$H$6:$H$101,MOD(3+$C21+(4),$B$3)+1)*M21+IF($B$6=0,0,$B$6*NORMSINV(0.000001+0.999998*RAND())))</f>
        <v/>
      </c>
      <c r="DM21" s="30">
        <f>IF(5&gt;$B$3,99,INDEX(Symboles!$H$6:$H$101,MOD(4+$C21+(-4),$B$3)+1)*E21+INDEX(Symboles!$H$6:$H$101,MOD(4+$C21+(-3),$B$3)+1)*F21+INDEX(Symboles!$H$6:$H$101,MOD(4+$C21+(-2),$B$3)+1)*G21+INDEX(Symboles!$H$6:$H$101,MOD(4+$C21+(-1),$B$3)+1)*H21+INDEX(Symboles!$H$6:$H$101,MOD(4+$C21+(0),$B$3)+1)*I21+INDEX(Symboles!$H$6:$H$101,MOD(4+$C21+(1),$B$3)+1)*J21+INDEX(Symboles!$H$6:$H$101,MOD(4+$C21+(2),$B$3)+1)*K21+INDEX(Symboles!$H$6:$H$101,MOD(4+$C21+(3),$B$3)+1)*L21+INDEX(Symboles!$H$6:$H$101,MOD(4+$C21+(4),$B$3)+1)*M21+IF($B$6=0,0,$B$6*NORMSINV(0.000001+0.999998*RAND())))</f>
        <v/>
      </c>
      <c r="DN21" s="30">
        <f>IF(6&gt;$B$3,99,INDEX(Symboles!$H$6:$H$101,MOD(5+$C21+(-4),$B$3)+1)*E21+INDEX(Symboles!$H$6:$H$101,MOD(5+$C21+(-3),$B$3)+1)*F21+INDEX(Symboles!$H$6:$H$101,MOD(5+$C21+(-2),$B$3)+1)*G21+INDEX(Symboles!$H$6:$H$101,MOD(5+$C21+(-1),$B$3)+1)*H21+INDEX(Symboles!$H$6:$H$101,MOD(5+$C21+(0),$B$3)+1)*I21+INDEX(Symboles!$H$6:$H$101,MOD(5+$C21+(1),$B$3)+1)*J21+INDEX(Symboles!$H$6:$H$101,MOD(5+$C21+(2),$B$3)+1)*K21+INDEX(Symboles!$H$6:$H$101,MOD(5+$C21+(3),$B$3)+1)*L21+INDEX(Symboles!$H$6:$H$101,MOD(5+$C21+(4),$B$3)+1)*M21+IF($B$6=0,0,$B$6*NORMSINV(0.000001+0.999998*RAND())))</f>
        <v/>
      </c>
      <c r="DO21" s="30">
        <f>IF(7&gt;$B$3,99,INDEX(Symboles!$H$6:$H$101,MOD(6+$C21+(-4),$B$3)+1)*E21+INDEX(Symboles!$H$6:$H$101,MOD(6+$C21+(-3),$B$3)+1)*F21+INDEX(Symboles!$H$6:$H$101,MOD(6+$C21+(-2),$B$3)+1)*G21+INDEX(Symboles!$H$6:$H$101,MOD(6+$C21+(-1),$B$3)+1)*H21+INDEX(Symboles!$H$6:$H$101,MOD(6+$C21+(0),$B$3)+1)*I21+INDEX(Symboles!$H$6:$H$101,MOD(6+$C21+(1),$B$3)+1)*J21+INDEX(Symboles!$H$6:$H$101,MOD(6+$C21+(2),$B$3)+1)*K21+INDEX(Symboles!$H$6:$H$101,MOD(6+$C21+(3),$B$3)+1)*L21+INDEX(Symboles!$H$6:$H$101,MOD(6+$C21+(4),$B$3)+1)*M21+IF($B$6=0,0,$B$6*NORMSINV(0.000001+0.999998*RAND())))</f>
        <v/>
      </c>
      <c r="DP21" s="30">
        <f>IF(8&gt;$B$3,99,INDEX(Symboles!$H$6:$H$101,MOD(7+$C21+(-4),$B$3)+1)*E21+INDEX(Symboles!$H$6:$H$101,MOD(7+$C21+(-3),$B$3)+1)*F21+INDEX(Symboles!$H$6:$H$101,MOD(7+$C21+(-2),$B$3)+1)*G21+INDEX(Symboles!$H$6:$H$101,MOD(7+$C21+(-1),$B$3)+1)*H21+INDEX(Symboles!$H$6:$H$101,MOD(7+$C21+(0),$B$3)+1)*I21+INDEX(Symboles!$H$6:$H$101,MOD(7+$C21+(1),$B$3)+1)*J21+INDEX(Symboles!$H$6:$H$101,MOD(7+$C21+(2),$B$3)+1)*K21+INDEX(Symboles!$H$6:$H$101,MOD(7+$C21+(3),$B$3)+1)*L21+INDEX(Symboles!$H$6:$H$101,MOD(7+$C21+(4),$B$3)+1)*M21+IF($B$6=0,0,$B$6*NORMSINV(0.000001+0.999998*RAND())))</f>
        <v/>
      </c>
      <c r="DQ21" s="30">
        <f>IF(9&gt;$B$3,99,INDEX(Symboles!$H$6:$H$101,MOD(8+$C21+(-4),$B$3)+1)*E21+INDEX(Symboles!$H$6:$H$101,MOD(8+$C21+(-3),$B$3)+1)*F21+INDEX(Symboles!$H$6:$H$101,MOD(8+$C21+(-2),$B$3)+1)*G21+INDEX(Symboles!$H$6:$H$101,MOD(8+$C21+(-1),$B$3)+1)*H21+INDEX(Symboles!$H$6:$H$101,MOD(8+$C21+(0),$B$3)+1)*I21+INDEX(Symboles!$H$6:$H$101,MOD(8+$C21+(1),$B$3)+1)*J21+INDEX(Symboles!$H$6:$H$101,MOD(8+$C21+(2),$B$3)+1)*K21+INDEX(Symboles!$H$6:$H$101,MOD(8+$C21+(3),$B$3)+1)*L21+INDEX(Symboles!$H$6:$H$101,MOD(8+$C21+(4),$B$3)+1)*M21+IF($B$6=0,0,$B$6*NORMSINV(0.000001+0.999998*RAND())))</f>
        <v/>
      </c>
      <c r="DR21" s="30">
        <f>IF(10&gt;$B$3,99,INDEX(Symboles!$H$6:$H$101,MOD(9+$C21+(-4),$B$3)+1)*E21+INDEX(Symboles!$H$6:$H$101,MOD(9+$C21+(-3),$B$3)+1)*F21+INDEX(Symboles!$H$6:$H$101,MOD(9+$C21+(-2),$B$3)+1)*G21+INDEX(Symboles!$H$6:$H$101,MOD(9+$C21+(-1),$B$3)+1)*H21+INDEX(Symboles!$H$6:$H$101,MOD(9+$C21+(0),$B$3)+1)*I21+INDEX(Symboles!$H$6:$H$101,MOD(9+$C21+(1),$B$3)+1)*J21+INDEX(Symboles!$H$6:$H$101,MOD(9+$C21+(2),$B$3)+1)*K21+INDEX(Symboles!$H$6:$H$101,MOD(9+$C21+(3),$B$3)+1)*L21+INDEX(Symboles!$H$6:$H$101,MOD(9+$C21+(4),$B$3)+1)*M21+IF($B$6=0,0,$B$6*NORMSINV(0.000001+0.999998*RAND())))</f>
        <v/>
      </c>
      <c r="DS21" s="30">
        <f>IF(11&gt;$B$3,99,INDEX(Symboles!$H$6:$H$101,MOD(10+$C21+(-4),$B$3)+1)*E21+INDEX(Symboles!$H$6:$H$101,MOD(10+$C21+(-3),$B$3)+1)*F21+INDEX(Symboles!$H$6:$H$101,MOD(10+$C21+(-2),$B$3)+1)*G21+INDEX(Symboles!$H$6:$H$101,MOD(10+$C21+(-1),$B$3)+1)*H21+INDEX(Symboles!$H$6:$H$101,MOD(10+$C21+(0),$B$3)+1)*I21+INDEX(Symboles!$H$6:$H$101,MOD(10+$C21+(1),$B$3)+1)*J21+INDEX(Symboles!$H$6:$H$101,MOD(10+$C21+(2),$B$3)+1)*K21+INDEX(Symboles!$H$6:$H$101,MOD(10+$C21+(3),$B$3)+1)*L21+INDEX(Symboles!$H$6:$H$101,MOD(10+$C21+(4),$B$3)+1)*M21+IF($B$6=0,0,$B$6*NORMSINV(0.000001+0.999998*RAND())))</f>
        <v/>
      </c>
      <c r="DT21" s="30">
        <f>IF(12&gt;$B$3,99,INDEX(Symboles!$H$6:$H$101,MOD(11+$C21+(-4),$B$3)+1)*E21+INDEX(Symboles!$H$6:$H$101,MOD(11+$C21+(-3),$B$3)+1)*F21+INDEX(Symboles!$H$6:$H$101,MOD(11+$C21+(-2),$B$3)+1)*G21+INDEX(Symboles!$H$6:$H$101,MOD(11+$C21+(-1),$B$3)+1)*H21+INDEX(Symboles!$H$6:$H$101,MOD(11+$C21+(0),$B$3)+1)*I21+INDEX(Symboles!$H$6:$H$101,MOD(11+$C21+(1),$B$3)+1)*J21+INDEX(Symboles!$H$6:$H$101,MOD(11+$C21+(2),$B$3)+1)*K21+INDEX(Symboles!$H$6:$H$101,MOD(11+$C21+(3),$B$3)+1)*L21+INDEX(Symboles!$H$6:$H$101,MOD(11+$C21+(4),$B$3)+1)*M21+IF($B$6=0,0,$B$6*NORMSINV(0.000001+0.999998*RAND())))</f>
        <v/>
      </c>
      <c r="DU21" s="30">
        <f>IF(13&gt;$B$3,99,INDEX(Symboles!$H$6:$H$101,MOD(12+$C21+(-4),$B$3)+1)*E21+INDEX(Symboles!$H$6:$H$101,MOD(12+$C21+(-3),$B$3)+1)*F21+INDEX(Symboles!$H$6:$H$101,MOD(12+$C21+(-2),$B$3)+1)*G21+INDEX(Symboles!$H$6:$H$101,MOD(12+$C21+(-1),$B$3)+1)*H21+INDEX(Symboles!$H$6:$H$101,MOD(12+$C21+(0),$B$3)+1)*I21+INDEX(Symboles!$H$6:$H$101,MOD(12+$C21+(1),$B$3)+1)*J21+INDEX(Symboles!$H$6:$H$101,MOD(12+$C21+(2),$B$3)+1)*K21+INDEX(Symboles!$H$6:$H$101,MOD(12+$C21+(3),$B$3)+1)*L21+INDEX(Symboles!$H$6:$H$101,MOD(12+$C21+(4),$B$3)+1)*M21+IF($B$6=0,0,$B$6*NORMSINV(0.000001+0.999998*RAND())))</f>
        <v/>
      </c>
      <c r="DV21" s="30">
        <f>IF(14&gt;$B$3,99,INDEX(Symboles!$H$6:$H$101,MOD(13+$C21+(-4),$B$3)+1)*E21+INDEX(Symboles!$H$6:$H$101,MOD(13+$C21+(-3),$B$3)+1)*F21+INDEX(Symboles!$H$6:$H$101,MOD(13+$C21+(-2),$B$3)+1)*G21+INDEX(Symboles!$H$6:$H$101,MOD(13+$C21+(-1),$B$3)+1)*H21+INDEX(Symboles!$H$6:$H$101,MOD(13+$C21+(0),$B$3)+1)*I21+INDEX(Symboles!$H$6:$H$101,MOD(13+$C21+(1),$B$3)+1)*J21+INDEX(Symboles!$H$6:$H$101,MOD(13+$C21+(2),$B$3)+1)*K21+INDEX(Symboles!$H$6:$H$101,MOD(13+$C21+(3),$B$3)+1)*L21+INDEX(Symboles!$H$6:$H$101,MOD(13+$C21+(4),$B$3)+1)*M21+IF($B$6=0,0,$B$6*NORMSINV(0.000001+0.999998*RAND())))</f>
        <v/>
      </c>
      <c r="DW21" s="30">
        <f>IF(15&gt;$B$3,99,INDEX(Symboles!$H$6:$H$101,MOD(14+$C21+(-4),$B$3)+1)*E21+INDEX(Symboles!$H$6:$H$101,MOD(14+$C21+(-3),$B$3)+1)*F21+INDEX(Symboles!$H$6:$H$101,MOD(14+$C21+(-2),$B$3)+1)*G21+INDEX(Symboles!$H$6:$H$101,MOD(14+$C21+(-1),$B$3)+1)*H21+INDEX(Symboles!$H$6:$H$101,MOD(14+$C21+(0),$B$3)+1)*I21+INDEX(Symboles!$H$6:$H$101,MOD(14+$C21+(1),$B$3)+1)*J21+INDEX(Symboles!$H$6:$H$101,MOD(14+$C21+(2),$B$3)+1)*K21+INDEX(Symboles!$H$6:$H$101,MOD(14+$C21+(3),$B$3)+1)*L21+INDEX(Symboles!$H$6:$H$101,MOD(14+$C21+(4),$B$3)+1)*M21+IF($B$6=0,0,$B$6*NORMSINV(0.000001+0.999998*RAND())))</f>
        <v/>
      </c>
      <c r="DX21" s="30">
        <f>IF(16&gt;$B$3,99,INDEX(Symboles!$H$6:$H$101,MOD(15+$C21+(-4),$B$3)+1)*E21+INDEX(Symboles!$H$6:$H$101,MOD(15+$C21+(-3),$B$3)+1)*F21+INDEX(Symboles!$H$6:$H$101,MOD(15+$C21+(-2),$B$3)+1)*G21+INDEX(Symboles!$H$6:$H$101,MOD(15+$C21+(-1),$B$3)+1)*H21+INDEX(Symboles!$H$6:$H$101,MOD(15+$C21+(0),$B$3)+1)*I21+INDEX(Symboles!$H$6:$H$101,MOD(15+$C21+(1),$B$3)+1)*J21+INDEX(Symboles!$H$6:$H$101,MOD(15+$C21+(2),$B$3)+1)*K21+INDEX(Symboles!$H$6:$H$101,MOD(15+$C21+(3),$B$3)+1)*L21+INDEX(Symboles!$H$6:$H$101,MOD(15+$C21+(4),$B$3)+1)*M21+IF($B$6=0,0,$B$6*NORMSINV(0.000001+0.999998*RAND())))</f>
        <v/>
      </c>
      <c r="DY21" s="30">
        <f>IF(17&gt;$B$3,99,INDEX(Symboles!$H$6:$H$101,MOD(16+$C21+(-4),$B$3)+1)*E21+INDEX(Symboles!$H$6:$H$101,MOD(16+$C21+(-3),$B$3)+1)*F21+INDEX(Symboles!$H$6:$H$101,MOD(16+$C21+(-2),$B$3)+1)*G21+INDEX(Symboles!$H$6:$H$101,MOD(16+$C21+(-1),$B$3)+1)*H21+INDEX(Symboles!$H$6:$H$101,MOD(16+$C21+(0),$B$3)+1)*I21+INDEX(Symboles!$H$6:$H$101,MOD(16+$C21+(1),$B$3)+1)*J21+INDEX(Symboles!$H$6:$H$101,MOD(16+$C21+(2),$B$3)+1)*K21+INDEX(Symboles!$H$6:$H$101,MOD(16+$C21+(3),$B$3)+1)*L21+INDEX(Symboles!$H$6:$H$101,MOD(16+$C21+(4),$B$3)+1)*M21+IF($B$6=0,0,$B$6*NORMSINV(0.000001+0.999998*RAND())))</f>
        <v/>
      </c>
      <c r="DZ21" s="30">
        <f>IF(18&gt;$B$3,99,INDEX(Symboles!$H$6:$H$101,MOD(17+$C21+(-4),$B$3)+1)*E21+INDEX(Symboles!$H$6:$H$101,MOD(17+$C21+(-3),$B$3)+1)*F21+INDEX(Symboles!$H$6:$H$101,MOD(17+$C21+(-2),$B$3)+1)*G21+INDEX(Symboles!$H$6:$H$101,MOD(17+$C21+(-1),$B$3)+1)*H21+INDEX(Symboles!$H$6:$H$101,MOD(17+$C21+(0),$B$3)+1)*I21+INDEX(Symboles!$H$6:$H$101,MOD(17+$C21+(1),$B$3)+1)*J21+INDEX(Symboles!$H$6:$H$101,MOD(17+$C21+(2),$B$3)+1)*K21+INDEX(Symboles!$H$6:$H$101,MOD(17+$C21+(3),$B$3)+1)*L21+INDEX(Symboles!$H$6:$H$101,MOD(17+$C21+(4),$B$3)+1)*M21+IF($B$6=0,0,$B$6*NORMSINV(0.000001+0.999998*RAND())))</f>
        <v/>
      </c>
      <c r="EA21" s="30">
        <f>IF(19&gt;$B$3,99,INDEX(Symboles!$H$6:$H$101,MOD(18+$C21+(-4),$B$3)+1)*E21+INDEX(Symboles!$H$6:$H$101,MOD(18+$C21+(-3),$B$3)+1)*F21+INDEX(Symboles!$H$6:$H$101,MOD(18+$C21+(-2),$B$3)+1)*G21+INDEX(Symboles!$H$6:$H$101,MOD(18+$C21+(-1),$B$3)+1)*H21+INDEX(Symboles!$H$6:$H$101,MOD(18+$C21+(0),$B$3)+1)*I21+INDEX(Symboles!$H$6:$H$101,MOD(18+$C21+(1),$B$3)+1)*J21+INDEX(Symboles!$H$6:$H$101,MOD(18+$C21+(2),$B$3)+1)*K21+INDEX(Symboles!$H$6:$H$101,MOD(18+$C21+(3),$B$3)+1)*L21+INDEX(Symboles!$H$6:$H$101,MOD(18+$C21+(4),$B$3)+1)*M21+IF($B$6=0,0,$B$6*NORMSINV(0.000001+0.999998*RAND())))</f>
        <v/>
      </c>
      <c r="EB21" s="30">
        <f>IF(20&gt;$B$3,99,INDEX(Symboles!$H$6:$H$101,MOD(19+$C21+(-4),$B$3)+1)*E21+INDEX(Symboles!$H$6:$H$101,MOD(19+$C21+(-3),$B$3)+1)*F21+INDEX(Symboles!$H$6:$H$101,MOD(19+$C21+(-2),$B$3)+1)*G21+INDEX(Symboles!$H$6:$H$101,MOD(19+$C21+(-1),$B$3)+1)*H21+INDEX(Symboles!$H$6:$H$101,MOD(19+$C21+(0),$B$3)+1)*I21+INDEX(Symboles!$H$6:$H$101,MOD(19+$C21+(1),$B$3)+1)*J21+INDEX(Symboles!$H$6:$H$101,MOD(19+$C21+(2),$B$3)+1)*K21+INDEX(Symboles!$H$6:$H$101,MOD(19+$C21+(3),$B$3)+1)*L21+INDEX(Symboles!$H$6:$H$101,MOD(19+$C21+(4),$B$3)+1)*M21+IF($B$6=0,0,$B$6*NORMSINV(0.000001+0.999998*RAND())))</f>
        <v/>
      </c>
      <c r="EC21" s="30">
        <f>IF(21&gt;$B$3,99,INDEX(Symboles!$H$6:$H$101,MOD(20+$C21+(-4),$B$3)+1)*E21+INDEX(Symboles!$H$6:$H$101,MOD(20+$C21+(-3),$B$3)+1)*F21+INDEX(Symboles!$H$6:$H$101,MOD(20+$C21+(-2),$B$3)+1)*G21+INDEX(Symboles!$H$6:$H$101,MOD(20+$C21+(-1),$B$3)+1)*H21+INDEX(Symboles!$H$6:$H$101,MOD(20+$C21+(0),$B$3)+1)*I21+INDEX(Symboles!$H$6:$H$101,MOD(20+$C21+(1),$B$3)+1)*J21+INDEX(Symboles!$H$6:$H$101,MOD(20+$C21+(2),$B$3)+1)*K21+INDEX(Symboles!$H$6:$H$101,MOD(20+$C21+(3),$B$3)+1)*L21+INDEX(Symboles!$H$6:$H$101,MOD(20+$C21+(4),$B$3)+1)*M21+IF($B$6=0,0,$B$6*NORMSINV(0.000001+0.999998*RAND())))</f>
        <v/>
      </c>
      <c r="ED21" s="30">
        <f>IF(22&gt;$B$3,99,INDEX(Symboles!$H$6:$H$101,MOD(21+$C21+(-4),$B$3)+1)*E21+INDEX(Symboles!$H$6:$H$101,MOD(21+$C21+(-3),$B$3)+1)*F21+INDEX(Symboles!$H$6:$H$101,MOD(21+$C21+(-2),$B$3)+1)*G21+INDEX(Symboles!$H$6:$H$101,MOD(21+$C21+(-1),$B$3)+1)*H21+INDEX(Symboles!$H$6:$H$101,MOD(21+$C21+(0),$B$3)+1)*I21+INDEX(Symboles!$H$6:$H$101,MOD(21+$C21+(1),$B$3)+1)*J21+INDEX(Symboles!$H$6:$H$101,MOD(21+$C21+(2),$B$3)+1)*K21+INDEX(Symboles!$H$6:$H$101,MOD(21+$C21+(3),$B$3)+1)*L21+INDEX(Symboles!$H$6:$H$101,MOD(21+$C21+(4),$B$3)+1)*M21+IF($B$6=0,0,$B$6*NORMSINV(0.000001+0.999998*RAND())))</f>
        <v/>
      </c>
      <c r="EE21" s="30">
        <f>IF(23&gt;$B$3,99,INDEX(Symboles!$H$6:$H$101,MOD(22+$C21+(-4),$B$3)+1)*E21+INDEX(Symboles!$H$6:$H$101,MOD(22+$C21+(-3),$B$3)+1)*F21+INDEX(Symboles!$H$6:$H$101,MOD(22+$C21+(-2),$B$3)+1)*G21+INDEX(Symboles!$H$6:$H$101,MOD(22+$C21+(-1),$B$3)+1)*H21+INDEX(Symboles!$H$6:$H$101,MOD(22+$C21+(0),$B$3)+1)*I21+INDEX(Symboles!$H$6:$H$101,MOD(22+$C21+(1),$B$3)+1)*J21+INDEX(Symboles!$H$6:$H$101,MOD(22+$C21+(2),$B$3)+1)*K21+INDEX(Symboles!$H$6:$H$101,MOD(22+$C21+(3),$B$3)+1)*L21+INDEX(Symboles!$H$6:$H$101,MOD(22+$C21+(4),$B$3)+1)*M21+IF($B$6=0,0,$B$6*NORMSINV(0.000001+0.999998*RAND())))</f>
        <v/>
      </c>
      <c r="EF21" s="30">
        <f>IF(24&gt;$B$3,99,INDEX(Symboles!$H$6:$H$101,MOD(23+$C21+(-4),$B$3)+1)*E21+INDEX(Symboles!$H$6:$H$101,MOD(23+$C21+(-3),$B$3)+1)*F21+INDEX(Symboles!$H$6:$H$101,MOD(23+$C21+(-2),$B$3)+1)*G21+INDEX(Symboles!$H$6:$H$101,MOD(23+$C21+(-1),$B$3)+1)*H21+INDEX(Symboles!$H$6:$H$101,MOD(23+$C21+(0),$B$3)+1)*I21+INDEX(Symboles!$H$6:$H$101,MOD(23+$C21+(1),$B$3)+1)*J21+INDEX(Symboles!$H$6:$H$101,MOD(23+$C21+(2),$B$3)+1)*K21+INDEX(Symboles!$H$6:$H$101,MOD(23+$C21+(3),$B$3)+1)*L21+INDEX(Symboles!$H$6:$H$101,MOD(23+$C21+(4),$B$3)+1)*M21+IF($B$6=0,0,$B$6*NORMSINV(0.000001+0.999998*RAND())))</f>
        <v/>
      </c>
      <c r="EG21" s="30">
        <f>IF(25&gt;$B$3,99,INDEX(Symboles!$H$6:$H$101,MOD(24+$C21+(-4),$B$3)+1)*E21+INDEX(Symboles!$H$6:$H$101,MOD(24+$C21+(-3),$B$3)+1)*F21+INDEX(Symboles!$H$6:$H$101,MOD(24+$C21+(-2),$B$3)+1)*G21+INDEX(Symboles!$H$6:$H$101,MOD(24+$C21+(-1),$B$3)+1)*H21+INDEX(Symboles!$H$6:$H$101,MOD(24+$C21+(0),$B$3)+1)*I21+INDEX(Symboles!$H$6:$H$101,MOD(24+$C21+(1),$B$3)+1)*J21+INDEX(Symboles!$H$6:$H$101,MOD(24+$C21+(2),$B$3)+1)*K21+INDEX(Symboles!$H$6:$H$101,MOD(24+$C21+(3),$B$3)+1)*L21+INDEX(Symboles!$H$6:$H$101,MOD(24+$C21+(4),$B$3)+1)*M21+IF($B$6=0,0,$B$6*NORMSINV(0.000001+0.999998*RAND())))</f>
        <v/>
      </c>
      <c r="EH21" s="30">
        <f>IF(26&gt;$B$3,99,INDEX(Symboles!$H$6:$H$101,MOD(25+$C21+(-4),$B$3)+1)*E21+INDEX(Symboles!$H$6:$H$101,MOD(25+$C21+(-3),$B$3)+1)*F21+INDEX(Symboles!$H$6:$H$101,MOD(25+$C21+(-2),$B$3)+1)*G21+INDEX(Symboles!$H$6:$H$101,MOD(25+$C21+(-1),$B$3)+1)*H21+INDEX(Symboles!$H$6:$H$101,MOD(25+$C21+(0),$B$3)+1)*I21+INDEX(Symboles!$H$6:$H$101,MOD(25+$C21+(1),$B$3)+1)*J21+INDEX(Symboles!$H$6:$H$101,MOD(25+$C21+(2),$B$3)+1)*K21+INDEX(Symboles!$H$6:$H$101,MOD(25+$C21+(3),$B$3)+1)*L21+INDEX(Symboles!$H$6:$H$101,MOD(25+$C21+(4),$B$3)+1)*M21+IF($B$6=0,0,$B$6*NORMSINV(0.000001+0.999998*RAND())))</f>
        <v/>
      </c>
      <c r="EI21" s="30">
        <f>IF(27&gt;$B$3,99,INDEX(Symboles!$H$6:$H$101,MOD(26+$C21+(-4),$B$3)+1)*E21+INDEX(Symboles!$H$6:$H$101,MOD(26+$C21+(-3),$B$3)+1)*F21+INDEX(Symboles!$H$6:$H$101,MOD(26+$C21+(-2),$B$3)+1)*G21+INDEX(Symboles!$H$6:$H$101,MOD(26+$C21+(-1),$B$3)+1)*H21+INDEX(Symboles!$H$6:$H$101,MOD(26+$C21+(0),$B$3)+1)*I21+INDEX(Symboles!$H$6:$H$101,MOD(26+$C21+(1),$B$3)+1)*J21+INDEX(Symboles!$H$6:$H$101,MOD(26+$C21+(2),$B$3)+1)*K21+INDEX(Symboles!$H$6:$H$101,MOD(26+$C21+(3),$B$3)+1)*L21+INDEX(Symboles!$H$6:$H$101,MOD(26+$C21+(4),$B$3)+1)*M21+IF($B$6=0,0,$B$6*NORMSINV(0.000001+0.999998*RAND())))</f>
        <v/>
      </c>
      <c r="EJ21" s="30">
        <f>IF(28&gt;$B$3,99,INDEX(Symboles!$H$6:$H$101,MOD(27+$C21+(-4),$B$3)+1)*E21+INDEX(Symboles!$H$6:$H$101,MOD(27+$C21+(-3),$B$3)+1)*F21+INDEX(Symboles!$H$6:$H$101,MOD(27+$C21+(-2),$B$3)+1)*G21+INDEX(Symboles!$H$6:$H$101,MOD(27+$C21+(-1),$B$3)+1)*H21+INDEX(Symboles!$H$6:$H$101,MOD(27+$C21+(0),$B$3)+1)*I21+INDEX(Symboles!$H$6:$H$101,MOD(27+$C21+(1),$B$3)+1)*J21+INDEX(Symboles!$H$6:$H$101,MOD(27+$C21+(2),$B$3)+1)*K21+INDEX(Symboles!$H$6:$H$101,MOD(27+$C21+(3),$B$3)+1)*L21+INDEX(Symboles!$H$6:$H$101,MOD(27+$C21+(4),$B$3)+1)*M21+IF($B$6=0,0,$B$6*NORMSINV(0.000001+0.999998*RAND())))</f>
        <v/>
      </c>
      <c r="EK21" s="30">
        <f>IF(29&gt;$B$3,99,INDEX(Symboles!$H$6:$H$101,MOD(28+$C21+(-4),$B$3)+1)*E21+INDEX(Symboles!$H$6:$H$101,MOD(28+$C21+(-3),$B$3)+1)*F21+INDEX(Symboles!$H$6:$H$101,MOD(28+$C21+(-2),$B$3)+1)*G21+INDEX(Symboles!$H$6:$H$101,MOD(28+$C21+(-1),$B$3)+1)*H21+INDEX(Symboles!$H$6:$H$101,MOD(28+$C21+(0),$B$3)+1)*I21+INDEX(Symboles!$H$6:$H$101,MOD(28+$C21+(1),$B$3)+1)*J21+INDEX(Symboles!$H$6:$H$101,MOD(28+$C21+(2),$B$3)+1)*K21+INDEX(Symboles!$H$6:$H$101,MOD(28+$C21+(3),$B$3)+1)*L21+INDEX(Symboles!$H$6:$H$101,MOD(28+$C21+(4),$B$3)+1)*M21+IF($B$6=0,0,$B$6*NORMSINV(0.000001+0.999998*RAND())))</f>
        <v/>
      </c>
      <c r="EL21" s="30">
        <f>IF(30&gt;$B$3,99,INDEX(Symboles!$H$6:$H$101,MOD(29+$C21+(-4),$B$3)+1)*E21+INDEX(Symboles!$H$6:$H$101,MOD(29+$C21+(-3),$B$3)+1)*F21+INDEX(Symboles!$H$6:$H$101,MOD(29+$C21+(-2),$B$3)+1)*G21+INDEX(Symboles!$H$6:$H$101,MOD(29+$C21+(-1),$B$3)+1)*H21+INDEX(Symboles!$H$6:$H$101,MOD(29+$C21+(0),$B$3)+1)*I21+INDEX(Symboles!$H$6:$H$101,MOD(29+$C21+(1),$B$3)+1)*J21+INDEX(Symboles!$H$6:$H$101,MOD(29+$C21+(2),$B$3)+1)*K21+INDEX(Symboles!$H$6:$H$101,MOD(29+$C21+(3),$B$3)+1)*L21+INDEX(Symboles!$H$6:$H$101,MOD(29+$C21+(4),$B$3)+1)*M21+IF($B$6=0,0,$B$6*NORMSINV(0.000001+0.999998*RAND())))</f>
        <v/>
      </c>
      <c r="EM21" s="30">
        <f>IF(31&gt;$B$3,99,INDEX(Symboles!$H$6:$H$101,MOD(30+$C21+(-4),$B$3)+1)*E21+INDEX(Symboles!$H$6:$H$101,MOD(30+$C21+(-3),$B$3)+1)*F21+INDEX(Symboles!$H$6:$H$101,MOD(30+$C21+(-2),$B$3)+1)*G21+INDEX(Symboles!$H$6:$H$101,MOD(30+$C21+(-1),$B$3)+1)*H21+INDEX(Symboles!$H$6:$H$101,MOD(30+$C21+(0),$B$3)+1)*I21+INDEX(Symboles!$H$6:$H$101,MOD(30+$C21+(1),$B$3)+1)*J21+INDEX(Symboles!$H$6:$H$101,MOD(30+$C21+(2),$B$3)+1)*K21+INDEX(Symboles!$H$6:$H$101,MOD(30+$C21+(3),$B$3)+1)*L21+INDEX(Symboles!$H$6:$H$101,MOD(30+$C21+(4),$B$3)+1)*M21+IF($B$6=0,0,$B$6*NORMSINV(0.000001+0.999998*RAND())))</f>
        <v/>
      </c>
      <c r="EN21" s="30">
        <f>IF(32&gt;$B$3,99,INDEX(Symboles!$H$6:$H$101,MOD(31+$C21+(-4),$B$3)+1)*E21+INDEX(Symboles!$H$6:$H$101,MOD(31+$C21+(-3),$B$3)+1)*F21+INDEX(Symboles!$H$6:$H$101,MOD(31+$C21+(-2),$B$3)+1)*G21+INDEX(Symboles!$H$6:$H$101,MOD(31+$C21+(-1),$B$3)+1)*H21+INDEX(Symboles!$H$6:$H$101,MOD(31+$C21+(0),$B$3)+1)*I21+INDEX(Symboles!$H$6:$H$101,MOD(31+$C21+(1),$B$3)+1)*J21+INDEX(Symboles!$H$6:$H$101,MOD(31+$C21+(2),$B$3)+1)*K21+INDEX(Symboles!$H$6:$H$101,MOD(31+$C21+(3),$B$3)+1)*L21+INDEX(Symboles!$H$6:$H$101,MOD(31+$C21+(4),$B$3)+1)*M21+IF($B$6=0,0,$B$6*NORMSINV(0.000001+0.999998*RAND())))</f>
        <v/>
      </c>
      <c r="EO21" s="30">
        <f>IF(33&gt;$B$3,99,INDEX(Symboles!$H$6:$H$101,MOD(32+$C21+(-4),$B$3)+1)*E21+INDEX(Symboles!$H$6:$H$101,MOD(32+$C21+(-3),$B$3)+1)*F21+INDEX(Symboles!$H$6:$H$101,MOD(32+$C21+(-2),$B$3)+1)*G21+INDEX(Symboles!$H$6:$H$101,MOD(32+$C21+(-1),$B$3)+1)*H21+INDEX(Symboles!$H$6:$H$101,MOD(32+$C21+(0),$B$3)+1)*I21+INDEX(Symboles!$H$6:$H$101,MOD(32+$C21+(1),$B$3)+1)*J21+INDEX(Symboles!$H$6:$H$101,MOD(32+$C21+(2),$B$3)+1)*K21+INDEX(Symboles!$H$6:$H$101,MOD(32+$C21+(3),$B$3)+1)*L21+INDEX(Symboles!$H$6:$H$101,MOD(32+$C21+(4),$B$3)+1)*M21+IF($B$6=0,0,$B$6*NORMSINV(0.000001+0.999998*RAND())))</f>
        <v/>
      </c>
      <c r="EP21" s="30">
        <f>IF(34&gt;$B$3,99,INDEX(Symboles!$H$6:$H$101,MOD(33+$C21+(-4),$B$3)+1)*E21+INDEX(Symboles!$H$6:$H$101,MOD(33+$C21+(-3),$B$3)+1)*F21+INDEX(Symboles!$H$6:$H$101,MOD(33+$C21+(-2),$B$3)+1)*G21+INDEX(Symboles!$H$6:$H$101,MOD(33+$C21+(-1),$B$3)+1)*H21+INDEX(Symboles!$H$6:$H$101,MOD(33+$C21+(0),$B$3)+1)*I21+INDEX(Symboles!$H$6:$H$101,MOD(33+$C21+(1),$B$3)+1)*J21+INDEX(Symboles!$H$6:$H$101,MOD(33+$C21+(2),$B$3)+1)*K21+INDEX(Symboles!$H$6:$H$101,MOD(33+$C21+(3),$B$3)+1)*L21+INDEX(Symboles!$H$6:$H$101,MOD(33+$C21+(4),$B$3)+1)*M21+IF($B$6=0,0,$B$6*NORMSINV(0.000001+0.999998*RAND())))</f>
        <v/>
      </c>
      <c r="EQ21" s="30">
        <f>IF(35&gt;$B$3,99,INDEX(Symboles!$H$6:$H$101,MOD(34+$C21+(-4),$B$3)+1)*E21+INDEX(Symboles!$H$6:$H$101,MOD(34+$C21+(-3),$B$3)+1)*F21+INDEX(Symboles!$H$6:$H$101,MOD(34+$C21+(-2),$B$3)+1)*G21+INDEX(Symboles!$H$6:$H$101,MOD(34+$C21+(-1),$B$3)+1)*H21+INDEX(Symboles!$H$6:$H$101,MOD(34+$C21+(0),$B$3)+1)*I21+INDEX(Symboles!$H$6:$H$101,MOD(34+$C21+(1),$B$3)+1)*J21+INDEX(Symboles!$H$6:$H$101,MOD(34+$C21+(2),$B$3)+1)*K21+INDEX(Symboles!$H$6:$H$101,MOD(34+$C21+(3),$B$3)+1)*L21+INDEX(Symboles!$H$6:$H$101,MOD(34+$C21+(4),$B$3)+1)*M21+IF($B$6=0,0,$B$6*NORMSINV(0.000001+0.999998*RAND())))</f>
        <v/>
      </c>
      <c r="ER21" s="30">
        <f>IF(36&gt;$B$3,99,INDEX(Symboles!$H$6:$H$101,MOD(35+$C21+(-4),$B$3)+1)*E21+INDEX(Symboles!$H$6:$H$101,MOD(35+$C21+(-3),$B$3)+1)*F21+INDEX(Symboles!$H$6:$H$101,MOD(35+$C21+(-2),$B$3)+1)*G21+INDEX(Symboles!$H$6:$H$101,MOD(35+$C21+(-1),$B$3)+1)*H21+INDEX(Symboles!$H$6:$H$101,MOD(35+$C21+(0),$B$3)+1)*I21+INDEX(Symboles!$H$6:$H$101,MOD(35+$C21+(1),$B$3)+1)*J21+INDEX(Symboles!$H$6:$H$101,MOD(35+$C21+(2),$B$3)+1)*K21+INDEX(Symboles!$H$6:$H$101,MOD(35+$C21+(3),$B$3)+1)*L21+INDEX(Symboles!$H$6:$H$101,MOD(35+$C21+(4),$B$3)+1)*M21+IF($B$6=0,0,$B$6*NORMSINV(0.000001+0.999998*RAND())))</f>
        <v/>
      </c>
      <c r="ES21" s="30">
        <f>IF(37&gt;$B$3,99,INDEX(Symboles!$H$6:$H$101,MOD(36+$C21+(-4),$B$3)+1)*E21+INDEX(Symboles!$H$6:$H$101,MOD(36+$C21+(-3),$B$3)+1)*F21+INDEX(Symboles!$H$6:$H$101,MOD(36+$C21+(-2),$B$3)+1)*G21+INDEX(Symboles!$H$6:$H$101,MOD(36+$C21+(-1),$B$3)+1)*H21+INDEX(Symboles!$H$6:$H$101,MOD(36+$C21+(0),$B$3)+1)*I21+INDEX(Symboles!$H$6:$H$101,MOD(36+$C21+(1),$B$3)+1)*J21+INDEX(Symboles!$H$6:$H$101,MOD(36+$C21+(2),$B$3)+1)*K21+INDEX(Symboles!$H$6:$H$101,MOD(36+$C21+(3),$B$3)+1)*L21+INDEX(Symboles!$H$6:$H$101,MOD(36+$C21+(4),$B$3)+1)*M21+IF($B$6=0,0,$B$6*NORMSINV(0.000001+0.999998*RAND())))</f>
        <v/>
      </c>
      <c r="ET21" s="30">
        <f>IF(38&gt;$B$3,99,INDEX(Symboles!$H$6:$H$101,MOD(37+$C21+(-4),$B$3)+1)*E21+INDEX(Symboles!$H$6:$H$101,MOD(37+$C21+(-3),$B$3)+1)*F21+INDEX(Symboles!$H$6:$H$101,MOD(37+$C21+(-2),$B$3)+1)*G21+INDEX(Symboles!$H$6:$H$101,MOD(37+$C21+(-1),$B$3)+1)*H21+INDEX(Symboles!$H$6:$H$101,MOD(37+$C21+(0),$B$3)+1)*I21+INDEX(Symboles!$H$6:$H$101,MOD(37+$C21+(1),$B$3)+1)*J21+INDEX(Symboles!$H$6:$H$101,MOD(37+$C21+(2),$B$3)+1)*K21+INDEX(Symboles!$H$6:$H$101,MOD(37+$C21+(3),$B$3)+1)*L21+INDEX(Symboles!$H$6:$H$101,MOD(37+$C21+(4),$B$3)+1)*M21+IF($B$6=0,0,$B$6*NORMSINV(0.000001+0.999998*RAND())))</f>
        <v/>
      </c>
      <c r="EU21" s="30">
        <f>IF(39&gt;$B$3,99,INDEX(Symboles!$H$6:$H$101,MOD(38+$C21+(-4),$B$3)+1)*E21+INDEX(Symboles!$H$6:$H$101,MOD(38+$C21+(-3),$B$3)+1)*F21+INDEX(Symboles!$H$6:$H$101,MOD(38+$C21+(-2),$B$3)+1)*G21+INDEX(Symboles!$H$6:$H$101,MOD(38+$C21+(-1),$B$3)+1)*H21+INDEX(Symboles!$H$6:$H$101,MOD(38+$C21+(0),$B$3)+1)*I21+INDEX(Symboles!$H$6:$H$101,MOD(38+$C21+(1),$B$3)+1)*J21+INDEX(Symboles!$H$6:$H$101,MOD(38+$C21+(2),$B$3)+1)*K21+INDEX(Symboles!$H$6:$H$101,MOD(38+$C21+(3),$B$3)+1)*L21+INDEX(Symboles!$H$6:$H$101,MOD(38+$C21+(4),$B$3)+1)*M21+IF($B$6=0,0,$B$6*NORMSINV(0.000001+0.999998*RAND())))</f>
        <v/>
      </c>
      <c r="EV21" s="30">
        <f>IF(40&gt;$B$3,99,INDEX(Symboles!$H$6:$H$101,MOD(39+$C21+(-4),$B$3)+1)*E21+INDEX(Symboles!$H$6:$H$101,MOD(39+$C21+(-3),$B$3)+1)*F21+INDEX(Symboles!$H$6:$H$101,MOD(39+$C21+(-2),$B$3)+1)*G21+INDEX(Symboles!$H$6:$H$101,MOD(39+$C21+(-1),$B$3)+1)*H21+INDEX(Symboles!$H$6:$H$101,MOD(39+$C21+(0),$B$3)+1)*I21+INDEX(Symboles!$H$6:$H$101,MOD(39+$C21+(1),$B$3)+1)*J21+INDEX(Symboles!$H$6:$H$101,MOD(39+$C21+(2),$B$3)+1)*K21+INDEX(Symboles!$H$6:$H$101,MOD(39+$C21+(3),$B$3)+1)*L21+INDEX(Symboles!$H$6:$H$101,MOD(39+$C21+(4),$B$3)+1)*M21+IF($B$6=0,0,$B$6*NORMSINV(0.000001+0.999998*RAND())))</f>
        <v/>
      </c>
      <c r="EW21" s="30">
        <f>IF(41&gt;$B$3,99,INDEX(Symboles!$H$6:$H$101,MOD(40+$C21+(-4),$B$3)+1)*E21+INDEX(Symboles!$H$6:$H$101,MOD(40+$C21+(-3),$B$3)+1)*F21+INDEX(Symboles!$H$6:$H$101,MOD(40+$C21+(-2),$B$3)+1)*G21+INDEX(Symboles!$H$6:$H$101,MOD(40+$C21+(-1),$B$3)+1)*H21+INDEX(Symboles!$H$6:$H$101,MOD(40+$C21+(0),$B$3)+1)*I21+INDEX(Symboles!$H$6:$H$101,MOD(40+$C21+(1),$B$3)+1)*J21+INDEX(Symboles!$H$6:$H$101,MOD(40+$C21+(2),$B$3)+1)*K21+INDEX(Symboles!$H$6:$H$101,MOD(40+$C21+(3),$B$3)+1)*L21+INDEX(Symboles!$H$6:$H$101,MOD(40+$C21+(4),$B$3)+1)*M21+IF($B$6=0,0,$B$6*NORMSINV(0.000001+0.999998*RAND())))</f>
        <v/>
      </c>
      <c r="EX21" s="30">
        <f>IF(42&gt;$B$3,99,INDEX(Symboles!$H$6:$H$101,MOD(41+$C21+(-4),$B$3)+1)*E21+INDEX(Symboles!$H$6:$H$101,MOD(41+$C21+(-3),$B$3)+1)*F21+INDEX(Symboles!$H$6:$H$101,MOD(41+$C21+(-2),$B$3)+1)*G21+INDEX(Symboles!$H$6:$H$101,MOD(41+$C21+(-1),$B$3)+1)*H21+INDEX(Symboles!$H$6:$H$101,MOD(41+$C21+(0),$B$3)+1)*I21+INDEX(Symboles!$H$6:$H$101,MOD(41+$C21+(1),$B$3)+1)*J21+INDEX(Symboles!$H$6:$H$101,MOD(41+$C21+(2),$B$3)+1)*K21+INDEX(Symboles!$H$6:$H$101,MOD(41+$C21+(3),$B$3)+1)*L21+INDEX(Symboles!$H$6:$H$101,MOD(41+$C21+(4),$B$3)+1)*M21+IF($B$6=0,0,$B$6*NORMSINV(0.000001+0.999998*RAND())))</f>
        <v/>
      </c>
      <c r="EY21" s="30">
        <f>IF(43&gt;$B$3,99,INDEX(Symboles!$H$6:$H$101,MOD(42+$C21+(-4),$B$3)+1)*E21+INDEX(Symboles!$H$6:$H$101,MOD(42+$C21+(-3),$B$3)+1)*F21+INDEX(Symboles!$H$6:$H$101,MOD(42+$C21+(-2),$B$3)+1)*G21+INDEX(Symboles!$H$6:$H$101,MOD(42+$C21+(-1),$B$3)+1)*H21+INDEX(Symboles!$H$6:$H$101,MOD(42+$C21+(0),$B$3)+1)*I21+INDEX(Symboles!$H$6:$H$101,MOD(42+$C21+(1),$B$3)+1)*J21+INDEX(Symboles!$H$6:$H$101,MOD(42+$C21+(2),$B$3)+1)*K21+INDEX(Symboles!$H$6:$H$101,MOD(42+$C21+(3),$B$3)+1)*L21+INDEX(Symboles!$H$6:$H$101,MOD(42+$C21+(4),$B$3)+1)*M21+IF($B$6=0,0,$B$6*NORMSINV(0.000001+0.999998*RAND())))</f>
        <v/>
      </c>
      <c r="EZ21" s="30">
        <f>IF(44&gt;$B$3,99,INDEX(Symboles!$H$6:$H$101,MOD(43+$C21+(-4),$B$3)+1)*E21+INDEX(Symboles!$H$6:$H$101,MOD(43+$C21+(-3),$B$3)+1)*F21+INDEX(Symboles!$H$6:$H$101,MOD(43+$C21+(-2),$B$3)+1)*G21+INDEX(Symboles!$H$6:$H$101,MOD(43+$C21+(-1),$B$3)+1)*H21+INDEX(Symboles!$H$6:$H$101,MOD(43+$C21+(0),$B$3)+1)*I21+INDEX(Symboles!$H$6:$H$101,MOD(43+$C21+(1),$B$3)+1)*J21+INDEX(Symboles!$H$6:$H$101,MOD(43+$C21+(2),$B$3)+1)*K21+INDEX(Symboles!$H$6:$H$101,MOD(43+$C21+(3),$B$3)+1)*L21+INDEX(Symboles!$H$6:$H$101,MOD(43+$C21+(4),$B$3)+1)*M21+IF($B$6=0,0,$B$6*NORMSINV(0.000001+0.999998*RAND())))</f>
        <v/>
      </c>
      <c r="FA21" s="30">
        <f>IF(45&gt;$B$3,99,INDEX(Symboles!$H$6:$H$101,MOD(44+$C21+(-4),$B$3)+1)*E21+INDEX(Symboles!$H$6:$H$101,MOD(44+$C21+(-3),$B$3)+1)*F21+INDEX(Symboles!$H$6:$H$101,MOD(44+$C21+(-2),$B$3)+1)*G21+INDEX(Symboles!$H$6:$H$101,MOD(44+$C21+(-1),$B$3)+1)*H21+INDEX(Symboles!$H$6:$H$101,MOD(44+$C21+(0),$B$3)+1)*I21+INDEX(Symboles!$H$6:$H$101,MOD(44+$C21+(1),$B$3)+1)*J21+INDEX(Symboles!$H$6:$H$101,MOD(44+$C21+(2),$B$3)+1)*K21+INDEX(Symboles!$H$6:$H$101,MOD(44+$C21+(3),$B$3)+1)*L21+INDEX(Symboles!$H$6:$H$101,MOD(44+$C21+(4),$B$3)+1)*M21+IF($B$6=0,0,$B$6*NORMSINV(0.000001+0.999998*RAND())))</f>
        <v/>
      </c>
      <c r="FB21" s="30">
        <f>IF(46&gt;$B$3,99,INDEX(Symboles!$H$6:$H$101,MOD(45+$C21+(-4),$B$3)+1)*E21+INDEX(Symboles!$H$6:$H$101,MOD(45+$C21+(-3),$B$3)+1)*F21+INDEX(Symboles!$H$6:$H$101,MOD(45+$C21+(-2),$B$3)+1)*G21+INDEX(Symboles!$H$6:$H$101,MOD(45+$C21+(-1),$B$3)+1)*H21+INDEX(Symboles!$H$6:$H$101,MOD(45+$C21+(0),$B$3)+1)*I21+INDEX(Symboles!$H$6:$H$101,MOD(45+$C21+(1),$B$3)+1)*J21+INDEX(Symboles!$H$6:$H$101,MOD(45+$C21+(2),$B$3)+1)*K21+INDEX(Symboles!$H$6:$H$101,MOD(45+$C21+(3),$B$3)+1)*L21+INDEX(Symboles!$H$6:$H$101,MOD(45+$C21+(4),$B$3)+1)*M21+IF($B$6=0,0,$B$6*NORMSINV(0.000001+0.999998*RAND())))</f>
        <v/>
      </c>
      <c r="FC21" s="30">
        <f>IF(47&gt;$B$3,99,INDEX(Symboles!$H$6:$H$101,MOD(46+$C21+(-4),$B$3)+1)*E21+INDEX(Symboles!$H$6:$H$101,MOD(46+$C21+(-3),$B$3)+1)*F21+INDEX(Symboles!$H$6:$H$101,MOD(46+$C21+(-2),$B$3)+1)*G21+INDEX(Symboles!$H$6:$H$101,MOD(46+$C21+(-1),$B$3)+1)*H21+INDEX(Symboles!$H$6:$H$101,MOD(46+$C21+(0),$B$3)+1)*I21+INDEX(Symboles!$H$6:$H$101,MOD(46+$C21+(1),$B$3)+1)*J21+INDEX(Symboles!$H$6:$H$101,MOD(46+$C21+(2),$B$3)+1)*K21+INDEX(Symboles!$H$6:$H$101,MOD(46+$C21+(3),$B$3)+1)*L21+INDEX(Symboles!$H$6:$H$101,MOD(46+$C21+(4),$B$3)+1)*M21+IF($B$6=0,0,$B$6*NORMSINV(0.000001+0.999998*RAND())))</f>
        <v/>
      </c>
      <c r="FD21" s="30">
        <f>IF(48&gt;$B$3,99,INDEX(Symboles!$H$6:$H$101,MOD(47+$C21+(-4),$B$3)+1)*E21+INDEX(Symboles!$H$6:$H$101,MOD(47+$C21+(-3),$B$3)+1)*F21+INDEX(Symboles!$H$6:$H$101,MOD(47+$C21+(-2),$B$3)+1)*G21+INDEX(Symboles!$H$6:$H$101,MOD(47+$C21+(-1),$B$3)+1)*H21+INDEX(Symboles!$H$6:$H$101,MOD(47+$C21+(0),$B$3)+1)*I21+INDEX(Symboles!$H$6:$H$101,MOD(47+$C21+(1),$B$3)+1)*J21+INDEX(Symboles!$H$6:$H$101,MOD(47+$C21+(2),$B$3)+1)*K21+INDEX(Symboles!$H$6:$H$101,MOD(47+$C21+(3),$B$3)+1)*L21+INDEX(Symboles!$H$6:$H$101,MOD(47+$C21+(4),$B$3)+1)*M21+IF($B$6=0,0,$B$6*NORMSINV(0.000001+0.999998*RAND())))</f>
        <v/>
      </c>
      <c r="FE21" s="30">
        <f>IF(49&gt;$B$3,99,INDEX(Symboles!$H$6:$H$101,MOD(48+$C21+(-4),$B$3)+1)*E21+INDEX(Symboles!$H$6:$H$101,MOD(48+$C21+(-3),$B$3)+1)*F21+INDEX(Symboles!$H$6:$H$101,MOD(48+$C21+(-2),$B$3)+1)*G21+INDEX(Symboles!$H$6:$H$101,MOD(48+$C21+(-1),$B$3)+1)*H21+INDEX(Symboles!$H$6:$H$101,MOD(48+$C21+(0),$B$3)+1)*I21+INDEX(Symboles!$H$6:$H$101,MOD(48+$C21+(1),$B$3)+1)*J21+INDEX(Symboles!$H$6:$H$101,MOD(48+$C21+(2),$B$3)+1)*K21+INDEX(Symboles!$H$6:$H$101,MOD(48+$C21+(3),$B$3)+1)*L21+INDEX(Symboles!$H$6:$H$101,MOD(48+$C21+(4),$B$3)+1)*M21+IF($B$6=0,0,$B$6*NORMSINV(0.000001+0.999998*RAND())))</f>
        <v/>
      </c>
      <c r="FF21" s="30">
        <f>IF(50&gt;$B$3,99,INDEX(Symboles!$H$6:$H$101,MOD(49+$C21+(-4),$B$3)+1)*E21+INDEX(Symboles!$H$6:$H$101,MOD(49+$C21+(-3),$B$3)+1)*F21+INDEX(Symboles!$H$6:$H$101,MOD(49+$C21+(-2),$B$3)+1)*G21+INDEX(Symboles!$H$6:$H$101,MOD(49+$C21+(-1),$B$3)+1)*H21+INDEX(Symboles!$H$6:$H$101,MOD(49+$C21+(0),$B$3)+1)*I21+INDEX(Symboles!$H$6:$H$101,MOD(49+$C21+(1),$B$3)+1)*J21+INDEX(Symboles!$H$6:$H$101,MOD(49+$C21+(2),$B$3)+1)*K21+INDEX(Symboles!$H$6:$H$101,MOD(49+$C21+(3),$B$3)+1)*L21+INDEX(Symboles!$H$6:$H$101,MOD(49+$C21+(4),$B$3)+1)*M21+IF($B$6=0,0,$B$6*NORMSINV(0.000001+0.999998*RAND())))</f>
        <v/>
      </c>
      <c r="FG21" s="30">
        <f>IF(51&gt;$B$3,99,INDEX(Symboles!$H$6:$H$101,MOD(50+$C21+(-4),$B$3)+1)*E21+INDEX(Symboles!$H$6:$H$101,MOD(50+$C21+(-3),$B$3)+1)*F21+INDEX(Symboles!$H$6:$H$101,MOD(50+$C21+(-2),$B$3)+1)*G21+INDEX(Symboles!$H$6:$H$101,MOD(50+$C21+(-1),$B$3)+1)*H21+INDEX(Symboles!$H$6:$H$101,MOD(50+$C21+(0),$B$3)+1)*I21+INDEX(Symboles!$H$6:$H$101,MOD(50+$C21+(1),$B$3)+1)*J21+INDEX(Symboles!$H$6:$H$101,MOD(50+$C21+(2),$B$3)+1)*K21+INDEX(Symboles!$H$6:$H$101,MOD(50+$C21+(3),$B$3)+1)*L21+INDEX(Symboles!$H$6:$H$101,MOD(50+$C21+(4),$B$3)+1)*M21+IF($B$6=0,0,$B$6*NORMSINV(0.000001+0.999998*RAND())))</f>
        <v/>
      </c>
      <c r="FH21" s="30">
        <f>IF(52&gt;$B$3,99,INDEX(Symboles!$H$6:$H$101,MOD(51+$C21+(-4),$B$3)+1)*E21+INDEX(Symboles!$H$6:$H$101,MOD(51+$C21+(-3),$B$3)+1)*F21+INDEX(Symboles!$H$6:$H$101,MOD(51+$C21+(-2),$B$3)+1)*G21+INDEX(Symboles!$H$6:$H$101,MOD(51+$C21+(-1),$B$3)+1)*H21+INDEX(Symboles!$H$6:$H$101,MOD(51+$C21+(0),$B$3)+1)*I21+INDEX(Symboles!$H$6:$H$101,MOD(51+$C21+(1),$B$3)+1)*J21+INDEX(Symboles!$H$6:$H$101,MOD(51+$C21+(2),$B$3)+1)*K21+INDEX(Symboles!$H$6:$H$101,MOD(51+$C21+(3),$B$3)+1)*L21+INDEX(Symboles!$H$6:$H$101,MOD(51+$C21+(4),$B$3)+1)*M21+IF($B$6=0,0,$B$6*NORMSINV(0.000001+0.999998*RAND())))</f>
        <v/>
      </c>
      <c r="FI21" s="30">
        <f>IF(53&gt;$B$3,99,INDEX(Symboles!$H$6:$H$101,MOD(52+$C21+(-4),$B$3)+1)*E21+INDEX(Symboles!$H$6:$H$101,MOD(52+$C21+(-3),$B$3)+1)*F21+INDEX(Symboles!$H$6:$H$101,MOD(52+$C21+(-2),$B$3)+1)*G21+INDEX(Symboles!$H$6:$H$101,MOD(52+$C21+(-1),$B$3)+1)*H21+INDEX(Symboles!$H$6:$H$101,MOD(52+$C21+(0),$B$3)+1)*I21+INDEX(Symboles!$H$6:$H$101,MOD(52+$C21+(1),$B$3)+1)*J21+INDEX(Symboles!$H$6:$H$101,MOD(52+$C21+(2),$B$3)+1)*K21+INDEX(Symboles!$H$6:$H$101,MOD(52+$C21+(3),$B$3)+1)*L21+INDEX(Symboles!$H$6:$H$101,MOD(52+$C21+(4),$B$3)+1)*M21+IF($B$6=0,0,$B$6*NORMSINV(0.000001+0.999998*RAND())))</f>
        <v/>
      </c>
      <c r="FJ21" s="30">
        <f>IF(54&gt;$B$3,99,INDEX(Symboles!$H$6:$H$101,MOD(53+$C21+(-4),$B$3)+1)*E21+INDEX(Symboles!$H$6:$H$101,MOD(53+$C21+(-3),$B$3)+1)*F21+INDEX(Symboles!$H$6:$H$101,MOD(53+$C21+(-2),$B$3)+1)*G21+INDEX(Symboles!$H$6:$H$101,MOD(53+$C21+(-1),$B$3)+1)*H21+INDEX(Symboles!$H$6:$H$101,MOD(53+$C21+(0),$B$3)+1)*I21+INDEX(Symboles!$H$6:$H$101,MOD(53+$C21+(1),$B$3)+1)*J21+INDEX(Symboles!$H$6:$H$101,MOD(53+$C21+(2),$B$3)+1)*K21+INDEX(Symboles!$H$6:$H$101,MOD(53+$C21+(3),$B$3)+1)*L21+INDEX(Symboles!$H$6:$H$101,MOD(53+$C21+(4),$B$3)+1)*M21+IF($B$6=0,0,$B$6*NORMSINV(0.000001+0.999998*RAND())))</f>
        <v/>
      </c>
      <c r="FK21" s="30">
        <f>IF(55&gt;$B$3,99,INDEX(Symboles!$H$6:$H$101,MOD(54+$C21+(-4),$B$3)+1)*E21+INDEX(Symboles!$H$6:$H$101,MOD(54+$C21+(-3),$B$3)+1)*F21+INDEX(Symboles!$H$6:$H$101,MOD(54+$C21+(-2),$B$3)+1)*G21+INDEX(Symboles!$H$6:$H$101,MOD(54+$C21+(-1),$B$3)+1)*H21+INDEX(Symboles!$H$6:$H$101,MOD(54+$C21+(0),$B$3)+1)*I21+INDEX(Symboles!$H$6:$H$101,MOD(54+$C21+(1),$B$3)+1)*J21+INDEX(Symboles!$H$6:$H$101,MOD(54+$C21+(2),$B$3)+1)*K21+INDEX(Symboles!$H$6:$H$101,MOD(54+$C21+(3),$B$3)+1)*L21+INDEX(Symboles!$H$6:$H$101,MOD(54+$C21+(4),$B$3)+1)*M21+IF($B$6=0,0,$B$6*NORMSINV(0.000001+0.999998*RAND())))</f>
        <v/>
      </c>
      <c r="FL21" s="30">
        <f>IF(56&gt;$B$3,99,INDEX(Symboles!$H$6:$H$101,MOD(55+$C21+(-4),$B$3)+1)*E21+INDEX(Symboles!$H$6:$H$101,MOD(55+$C21+(-3),$B$3)+1)*F21+INDEX(Symboles!$H$6:$H$101,MOD(55+$C21+(-2),$B$3)+1)*G21+INDEX(Symboles!$H$6:$H$101,MOD(55+$C21+(-1),$B$3)+1)*H21+INDEX(Symboles!$H$6:$H$101,MOD(55+$C21+(0),$B$3)+1)*I21+INDEX(Symboles!$H$6:$H$101,MOD(55+$C21+(1),$B$3)+1)*J21+INDEX(Symboles!$H$6:$H$101,MOD(55+$C21+(2),$B$3)+1)*K21+INDEX(Symboles!$H$6:$H$101,MOD(55+$C21+(3),$B$3)+1)*L21+INDEX(Symboles!$H$6:$H$101,MOD(55+$C21+(4),$B$3)+1)*M21+IF($B$6=0,0,$B$6*NORMSINV(0.000001+0.999998*RAND())))</f>
        <v/>
      </c>
      <c r="FM21" s="30">
        <f>IF(57&gt;$B$3,99,INDEX(Symboles!$H$6:$H$101,MOD(56+$C21+(-4),$B$3)+1)*E21+INDEX(Symboles!$H$6:$H$101,MOD(56+$C21+(-3),$B$3)+1)*F21+INDEX(Symboles!$H$6:$H$101,MOD(56+$C21+(-2),$B$3)+1)*G21+INDEX(Symboles!$H$6:$H$101,MOD(56+$C21+(-1),$B$3)+1)*H21+INDEX(Symboles!$H$6:$H$101,MOD(56+$C21+(0),$B$3)+1)*I21+INDEX(Symboles!$H$6:$H$101,MOD(56+$C21+(1),$B$3)+1)*J21+INDEX(Symboles!$H$6:$H$101,MOD(56+$C21+(2),$B$3)+1)*K21+INDEX(Symboles!$H$6:$H$101,MOD(56+$C21+(3),$B$3)+1)*L21+INDEX(Symboles!$H$6:$H$101,MOD(56+$C21+(4),$B$3)+1)*M21+IF($B$6=0,0,$B$6*NORMSINV(0.000001+0.999998*RAND())))</f>
        <v/>
      </c>
      <c r="FN21" s="30">
        <f>IF(58&gt;$B$3,99,INDEX(Symboles!$H$6:$H$101,MOD(57+$C21+(-4),$B$3)+1)*E21+INDEX(Symboles!$H$6:$H$101,MOD(57+$C21+(-3),$B$3)+1)*F21+INDEX(Symboles!$H$6:$H$101,MOD(57+$C21+(-2),$B$3)+1)*G21+INDEX(Symboles!$H$6:$H$101,MOD(57+$C21+(-1),$B$3)+1)*H21+INDEX(Symboles!$H$6:$H$101,MOD(57+$C21+(0),$B$3)+1)*I21+INDEX(Symboles!$H$6:$H$101,MOD(57+$C21+(1),$B$3)+1)*J21+INDEX(Symboles!$H$6:$H$101,MOD(57+$C21+(2),$B$3)+1)*K21+INDEX(Symboles!$H$6:$H$101,MOD(57+$C21+(3),$B$3)+1)*L21+INDEX(Symboles!$H$6:$H$101,MOD(57+$C21+(4),$B$3)+1)*M21+IF($B$6=0,0,$B$6*NORMSINV(0.000001+0.999998*RAND())))</f>
        <v/>
      </c>
      <c r="FO21" s="30">
        <f>IF(59&gt;$B$3,99,INDEX(Symboles!$H$6:$H$101,MOD(58+$C21+(-4),$B$3)+1)*E21+INDEX(Symboles!$H$6:$H$101,MOD(58+$C21+(-3),$B$3)+1)*F21+INDEX(Symboles!$H$6:$H$101,MOD(58+$C21+(-2),$B$3)+1)*G21+INDEX(Symboles!$H$6:$H$101,MOD(58+$C21+(-1),$B$3)+1)*H21+INDEX(Symboles!$H$6:$H$101,MOD(58+$C21+(0),$B$3)+1)*I21+INDEX(Symboles!$H$6:$H$101,MOD(58+$C21+(1),$B$3)+1)*J21+INDEX(Symboles!$H$6:$H$101,MOD(58+$C21+(2),$B$3)+1)*K21+INDEX(Symboles!$H$6:$H$101,MOD(58+$C21+(3),$B$3)+1)*L21+INDEX(Symboles!$H$6:$H$101,MOD(58+$C21+(4),$B$3)+1)*M21+IF($B$6=0,0,$B$6*NORMSINV(0.000001+0.999998*RAND())))</f>
        <v/>
      </c>
      <c r="FP21" s="30">
        <f>IF(60&gt;$B$3,99,INDEX(Symboles!$H$6:$H$101,MOD(59+$C21+(-4),$B$3)+1)*E21+INDEX(Symboles!$H$6:$H$101,MOD(59+$C21+(-3),$B$3)+1)*F21+INDEX(Symboles!$H$6:$H$101,MOD(59+$C21+(-2),$B$3)+1)*G21+INDEX(Symboles!$H$6:$H$101,MOD(59+$C21+(-1),$B$3)+1)*H21+INDEX(Symboles!$H$6:$H$101,MOD(59+$C21+(0),$B$3)+1)*I21+INDEX(Symboles!$H$6:$H$101,MOD(59+$C21+(1),$B$3)+1)*J21+INDEX(Symboles!$H$6:$H$101,MOD(59+$C21+(2),$B$3)+1)*K21+INDEX(Symboles!$H$6:$H$101,MOD(59+$C21+(3),$B$3)+1)*L21+INDEX(Symboles!$H$6:$H$101,MOD(59+$C21+(4),$B$3)+1)*M21+IF($B$6=0,0,$B$6*NORMSINV(0.000001+0.999998*RAND())))</f>
        <v/>
      </c>
      <c r="FQ21" s="30">
        <f>IF(61&gt;$B$3,99,INDEX(Symboles!$H$6:$H$101,MOD(60+$C21+(-4),$B$3)+1)*E21+INDEX(Symboles!$H$6:$H$101,MOD(60+$C21+(-3),$B$3)+1)*F21+INDEX(Symboles!$H$6:$H$101,MOD(60+$C21+(-2),$B$3)+1)*G21+INDEX(Symboles!$H$6:$H$101,MOD(60+$C21+(-1),$B$3)+1)*H21+INDEX(Symboles!$H$6:$H$101,MOD(60+$C21+(0),$B$3)+1)*I21+INDEX(Symboles!$H$6:$H$101,MOD(60+$C21+(1),$B$3)+1)*J21+INDEX(Symboles!$H$6:$H$101,MOD(60+$C21+(2),$B$3)+1)*K21+INDEX(Symboles!$H$6:$H$101,MOD(60+$C21+(3),$B$3)+1)*L21+INDEX(Symboles!$H$6:$H$101,MOD(60+$C21+(4),$B$3)+1)*M21+IF($B$6=0,0,$B$6*NORMSINV(0.000001+0.999998*RAND())))</f>
        <v/>
      </c>
      <c r="FR21" s="30">
        <f>IF(62&gt;$B$3,99,INDEX(Symboles!$H$6:$H$101,MOD(61+$C21+(-4),$B$3)+1)*E21+INDEX(Symboles!$H$6:$H$101,MOD(61+$C21+(-3),$B$3)+1)*F21+INDEX(Symboles!$H$6:$H$101,MOD(61+$C21+(-2),$B$3)+1)*G21+INDEX(Symboles!$H$6:$H$101,MOD(61+$C21+(-1),$B$3)+1)*H21+INDEX(Symboles!$H$6:$H$101,MOD(61+$C21+(0),$B$3)+1)*I21+INDEX(Symboles!$H$6:$H$101,MOD(61+$C21+(1),$B$3)+1)*J21+INDEX(Symboles!$H$6:$H$101,MOD(61+$C21+(2),$B$3)+1)*K21+INDEX(Symboles!$H$6:$H$101,MOD(61+$C21+(3),$B$3)+1)*L21+INDEX(Symboles!$H$6:$H$101,MOD(61+$C21+(4),$B$3)+1)*M21+IF($B$6=0,0,$B$6*NORMSINV(0.000001+0.999998*RAND())))</f>
        <v/>
      </c>
      <c r="FS21" s="30">
        <f>IF(63&gt;$B$3,99,INDEX(Symboles!$H$6:$H$101,MOD(62+$C21+(-4),$B$3)+1)*E21+INDEX(Symboles!$H$6:$H$101,MOD(62+$C21+(-3),$B$3)+1)*F21+INDEX(Symboles!$H$6:$H$101,MOD(62+$C21+(-2),$B$3)+1)*G21+INDEX(Symboles!$H$6:$H$101,MOD(62+$C21+(-1),$B$3)+1)*H21+INDEX(Symboles!$H$6:$H$101,MOD(62+$C21+(0),$B$3)+1)*I21+INDEX(Symboles!$H$6:$H$101,MOD(62+$C21+(1),$B$3)+1)*J21+INDEX(Symboles!$H$6:$H$101,MOD(62+$C21+(2),$B$3)+1)*K21+INDEX(Symboles!$H$6:$H$101,MOD(62+$C21+(3),$B$3)+1)*L21+INDEX(Symboles!$H$6:$H$101,MOD(62+$C21+(4),$B$3)+1)*M21+IF($B$6=0,0,$B$6*NORMSINV(0.000001+0.999998*RAND())))</f>
        <v/>
      </c>
      <c r="FT21" s="30">
        <f>IF(64&gt;$B$3,99,INDEX(Symboles!$H$6:$H$101,MOD(63+$C21+(-4),$B$3)+1)*E21+INDEX(Symboles!$H$6:$H$101,MOD(63+$C21+(-3),$B$3)+1)*F21+INDEX(Symboles!$H$6:$H$101,MOD(63+$C21+(-2),$B$3)+1)*G21+INDEX(Symboles!$H$6:$H$101,MOD(63+$C21+(-1),$B$3)+1)*H21+INDEX(Symboles!$H$6:$H$101,MOD(63+$C21+(0),$B$3)+1)*I21+INDEX(Symboles!$H$6:$H$101,MOD(63+$C21+(1),$B$3)+1)*J21+INDEX(Symboles!$H$6:$H$101,MOD(63+$C21+(2),$B$3)+1)*K21+INDEX(Symboles!$H$6:$H$101,MOD(63+$C21+(3),$B$3)+1)*L21+INDEX(Symboles!$H$6:$H$101,MOD(63+$C21+(4),$B$3)+1)*M21+IF($B$6=0,0,$B$6*NORMSINV(0.000001+0.999998*RAND())))</f>
        <v/>
      </c>
      <c r="FU21" s="30">
        <f>IF(65&gt;$B$3,99,INDEX(Symboles!$H$6:$H$101,MOD(64+$C21+(-4),$B$3)+1)*E21+INDEX(Symboles!$H$6:$H$101,MOD(64+$C21+(-3),$B$3)+1)*F21+INDEX(Symboles!$H$6:$H$101,MOD(64+$C21+(-2),$B$3)+1)*G21+INDEX(Symboles!$H$6:$H$101,MOD(64+$C21+(-1),$B$3)+1)*H21+INDEX(Symboles!$H$6:$H$101,MOD(64+$C21+(0),$B$3)+1)*I21+INDEX(Symboles!$H$6:$H$101,MOD(64+$C21+(1),$B$3)+1)*J21+INDEX(Symboles!$H$6:$H$101,MOD(64+$C21+(2),$B$3)+1)*K21+INDEX(Symboles!$H$6:$H$101,MOD(64+$C21+(3),$B$3)+1)*L21+INDEX(Symboles!$H$6:$H$101,MOD(64+$C21+(4),$B$3)+1)*M21+IF($B$6=0,0,$B$6*NORMSINV(0.000001+0.999998*RAND())))</f>
        <v/>
      </c>
      <c r="FV21" s="30">
        <f>IF(66&gt;$B$3,99,INDEX(Symboles!$H$6:$H$101,MOD(65+$C21+(-4),$B$3)+1)*E21+INDEX(Symboles!$H$6:$H$101,MOD(65+$C21+(-3),$B$3)+1)*F21+INDEX(Symboles!$H$6:$H$101,MOD(65+$C21+(-2),$B$3)+1)*G21+INDEX(Symboles!$H$6:$H$101,MOD(65+$C21+(-1),$B$3)+1)*H21+INDEX(Symboles!$H$6:$H$101,MOD(65+$C21+(0),$B$3)+1)*I21+INDEX(Symboles!$H$6:$H$101,MOD(65+$C21+(1),$B$3)+1)*J21+INDEX(Symboles!$H$6:$H$101,MOD(65+$C21+(2),$B$3)+1)*K21+INDEX(Symboles!$H$6:$H$101,MOD(65+$C21+(3),$B$3)+1)*L21+INDEX(Symboles!$H$6:$H$101,MOD(65+$C21+(4),$B$3)+1)*M21+IF($B$6=0,0,$B$6*NORMSINV(0.000001+0.999998*RAND())))</f>
        <v/>
      </c>
      <c r="FW21" s="30">
        <f>IF(67&gt;$B$3,99,INDEX(Symboles!$H$6:$H$101,MOD(66+$C21+(-4),$B$3)+1)*E21+INDEX(Symboles!$H$6:$H$101,MOD(66+$C21+(-3),$B$3)+1)*F21+INDEX(Symboles!$H$6:$H$101,MOD(66+$C21+(-2),$B$3)+1)*G21+INDEX(Symboles!$H$6:$H$101,MOD(66+$C21+(-1),$B$3)+1)*H21+INDEX(Symboles!$H$6:$H$101,MOD(66+$C21+(0),$B$3)+1)*I21+INDEX(Symboles!$H$6:$H$101,MOD(66+$C21+(1),$B$3)+1)*J21+INDEX(Symboles!$H$6:$H$101,MOD(66+$C21+(2),$B$3)+1)*K21+INDEX(Symboles!$H$6:$H$101,MOD(66+$C21+(3),$B$3)+1)*L21+INDEX(Symboles!$H$6:$H$101,MOD(66+$C21+(4),$B$3)+1)*M21+IF($B$6=0,0,$B$6*NORMSINV(0.000001+0.999998*RAND())))</f>
        <v/>
      </c>
      <c r="FX21" s="30">
        <f>IF(68&gt;$B$3,99,INDEX(Symboles!$H$6:$H$101,MOD(67+$C21+(-4),$B$3)+1)*E21+INDEX(Symboles!$H$6:$H$101,MOD(67+$C21+(-3),$B$3)+1)*F21+INDEX(Symboles!$H$6:$H$101,MOD(67+$C21+(-2),$B$3)+1)*G21+INDEX(Symboles!$H$6:$H$101,MOD(67+$C21+(-1),$B$3)+1)*H21+INDEX(Symboles!$H$6:$H$101,MOD(67+$C21+(0),$B$3)+1)*I21+INDEX(Symboles!$H$6:$H$101,MOD(67+$C21+(1),$B$3)+1)*J21+INDEX(Symboles!$H$6:$H$101,MOD(67+$C21+(2),$B$3)+1)*K21+INDEX(Symboles!$H$6:$H$101,MOD(67+$C21+(3),$B$3)+1)*L21+INDEX(Symboles!$H$6:$H$101,MOD(67+$C21+(4),$B$3)+1)*M21+IF($B$6=0,0,$B$6*NORMSINV(0.000001+0.999998*RAND())))</f>
        <v/>
      </c>
      <c r="FY21" s="30">
        <f>IF(69&gt;$B$3,99,INDEX(Symboles!$H$6:$H$101,MOD(68+$C21+(-4),$B$3)+1)*E21+INDEX(Symboles!$H$6:$H$101,MOD(68+$C21+(-3),$B$3)+1)*F21+INDEX(Symboles!$H$6:$H$101,MOD(68+$C21+(-2),$B$3)+1)*G21+INDEX(Symboles!$H$6:$H$101,MOD(68+$C21+(-1),$B$3)+1)*H21+INDEX(Symboles!$H$6:$H$101,MOD(68+$C21+(0),$B$3)+1)*I21+INDEX(Symboles!$H$6:$H$101,MOD(68+$C21+(1),$B$3)+1)*J21+INDEX(Symboles!$H$6:$H$101,MOD(68+$C21+(2),$B$3)+1)*K21+INDEX(Symboles!$H$6:$H$101,MOD(68+$C21+(3),$B$3)+1)*L21+INDEX(Symboles!$H$6:$H$101,MOD(68+$C21+(4),$B$3)+1)*M21+IF($B$6=0,0,$B$6*NORMSINV(0.000001+0.999998*RAND())))</f>
        <v/>
      </c>
      <c r="FZ21" s="30">
        <f>IF(70&gt;$B$3,99,INDEX(Symboles!$H$6:$H$101,MOD(69+$C21+(-4),$B$3)+1)*E21+INDEX(Symboles!$H$6:$H$101,MOD(69+$C21+(-3),$B$3)+1)*F21+INDEX(Symboles!$H$6:$H$101,MOD(69+$C21+(-2),$B$3)+1)*G21+INDEX(Symboles!$H$6:$H$101,MOD(69+$C21+(-1),$B$3)+1)*H21+INDEX(Symboles!$H$6:$H$101,MOD(69+$C21+(0),$B$3)+1)*I21+INDEX(Symboles!$H$6:$H$101,MOD(69+$C21+(1),$B$3)+1)*J21+INDEX(Symboles!$H$6:$H$101,MOD(69+$C21+(2),$B$3)+1)*K21+INDEX(Symboles!$H$6:$H$101,MOD(69+$C21+(3),$B$3)+1)*L21+INDEX(Symboles!$H$6:$H$101,MOD(69+$C21+(4),$B$3)+1)*M21+IF($B$6=0,0,$B$6*NORMSINV(0.000001+0.999998*RAND())))</f>
        <v/>
      </c>
      <c r="GA21" s="30">
        <f>IF(71&gt;$B$3,99,INDEX(Symboles!$H$6:$H$101,MOD(70+$C21+(-4),$B$3)+1)*E21+INDEX(Symboles!$H$6:$H$101,MOD(70+$C21+(-3),$B$3)+1)*F21+INDEX(Symboles!$H$6:$H$101,MOD(70+$C21+(-2),$B$3)+1)*G21+INDEX(Symboles!$H$6:$H$101,MOD(70+$C21+(-1),$B$3)+1)*H21+INDEX(Symboles!$H$6:$H$101,MOD(70+$C21+(0),$B$3)+1)*I21+INDEX(Symboles!$H$6:$H$101,MOD(70+$C21+(1),$B$3)+1)*J21+INDEX(Symboles!$H$6:$H$101,MOD(70+$C21+(2),$B$3)+1)*K21+INDEX(Symboles!$H$6:$H$101,MOD(70+$C21+(3),$B$3)+1)*L21+INDEX(Symboles!$H$6:$H$101,MOD(70+$C21+(4),$B$3)+1)*M21+IF($B$6=0,0,$B$6*NORMSINV(0.000001+0.999998*RAND())))</f>
        <v/>
      </c>
      <c r="GB21" s="30">
        <f>IF(72&gt;$B$3,99,INDEX(Symboles!$H$6:$H$101,MOD(71+$C21+(-4),$B$3)+1)*E21+INDEX(Symboles!$H$6:$H$101,MOD(71+$C21+(-3),$B$3)+1)*F21+INDEX(Symboles!$H$6:$H$101,MOD(71+$C21+(-2),$B$3)+1)*G21+INDEX(Symboles!$H$6:$H$101,MOD(71+$C21+(-1),$B$3)+1)*H21+INDEX(Symboles!$H$6:$H$101,MOD(71+$C21+(0),$B$3)+1)*I21+INDEX(Symboles!$H$6:$H$101,MOD(71+$C21+(1),$B$3)+1)*J21+INDEX(Symboles!$H$6:$H$101,MOD(71+$C21+(2),$B$3)+1)*K21+INDEX(Symboles!$H$6:$H$101,MOD(71+$C21+(3),$B$3)+1)*L21+INDEX(Symboles!$H$6:$H$101,MOD(71+$C21+(4),$B$3)+1)*M21+IF($B$6=0,0,$B$6*NORMSINV(0.000001+0.999998*RAND())))</f>
        <v/>
      </c>
      <c r="GC21" s="30">
        <f>IF(73&gt;$B$3,99,INDEX(Symboles!$H$6:$H$101,MOD(72+$C21+(-4),$B$3)+1)*E21+INDEX(Symboles!$H$6:$H$101,MOD(72+$C21+(-3),$B$3)+1)*F21+INDEX(Symboles!$H$6:$H$101,MOD(72+$C21+(-2),$B$3)+1)*G21+INDEX(Symboles!$H$6:$H$101,MOD(72+$C21+(-1),$B$3)+1)*H21+INDEX(Symboles!$H$6:$H$101,MOD(72+$C21+(0),$B$3)+1)*I21+INDEX(Symboles!$H$6:$H$101,MOD(72+$C21+(1),$B$3)+1)*J21+INDEX(Symboles!$H$6:$H$101,MOD(72+$C21+(2),$B$3)+1)*K21+INDEX(Symboles!$H$6:$H$101,MOD(72+$C21+(3),$B$3)+1)*L21+INDEX(Symboles!$H$6:$H$101,MOD(72+$C21+(4),$B$3)+1)*M21+IF($B$6=0,0,$B$6*NORMSINV(0.000001+0.999998*RAND())))</f>
        <v/>
      </c>
      <c r="GD21" s="30">
        <f>IF(74&gt;$B$3,99,INDEX(Symboles!$H$6:$H$101,MOD(73+$C21+(-4),$B$3)+1)*E21+INDEX(Symboles!$H$6:$H$101,MOD(73+$C21+(-3),$B$3)+1)*F21+INDEX(Symboles!$H$6:$H$101,MOD(73+$C21+(-2),$B$3)+1)*G21+INDEX(Symboles!$H$6:$H$101,MOD(73+$C21+(-1),$B$3)+1)*H21+INDEX(Symboles!$H$6:$H$101,MOD(73+$C21+(0),$B$3)+1)*I21+INDEX(Symboles!$H$6:$H$101,MOD(73+$C21+(1),$B$3)+1)*J21+INDEX(Symboles!$H$6:$H$101,MOD(73+$C21+(2),$B$3)+1)*K21+INDEX(Symboles!$H$6:$H$101,MOD(73+$C21+(3),$B$3)+1)*L21+INDEX(Symboles!$H$6:$H$101,MOD(73+$C21+(4),$B$3)+1)*M21+IF($B$6=0,0,$B$6*NORMSINV(0.000001+0.999998*RAND())))</f>
        <v/>
      </c>
      <c r="GE21" s="30">
        <f>IF(75&gt;$B$3,99,INDEX(Symboles!$H$6:$H$101,MOD(74+$C21+(-4),$B$3)+1)*E21+INDEX(Symboles!$H$6:$H$101,MOD(74+$C21+(-3),$B$3)+1)*F21+INDEX(Symboles!$H$6:$H$101,MOD(74+$C21+(-2),$B$3)+1)*G21+INDEX(Symboles!$H$6:$H$101,MOD(74+$C21+(-1),$B$3)+1)*H21+INDEX(Symboles!$H$6:$H$101,MOD(74+$C21+(0),$B$3)+1)*I21+INDEX(Symboles!$H$6:$H$101,MOD(74+$C21+(1),$B$3)+1)*J21+INDEX(Symboles!$H$6:$H$101,MOD(74+$C21+(2),$B$3)+1)*K21+INDEX(Symboles!$H$6:$H$101,MOD(74+$C21+(3),$B$3)+1)*L21+INDEX(Symboles!$H$6:$H$101,MOD(74+$C21+(4),$B$3)+1)*M21+IF($B$6=0,0,$B$6*NORMSINV(0.000001+0.999998*RAND())))</f>
        <v/>
      </c>
      <c r="GF21" s="30">
        <f>IF(76&gt;$B$3,99,INDEX(Symboles!$H$6:$H$101,MOD(75+$C21+(-4),$B$3)+1)*E21+INDEX(Symboles!$H$6:$H$101,MOD(75+$C21+(-3),$B$3)+1)*F21+INDEX(Symboles!$H$6:$H$101,MOD(75+$C21+(-2),$B$3)+1)*G21+INDEX(Symboles!$H$6:$H$101,MOD(75+$C21+(-1),$B$3)+1)*H21+INDEX(Symboles!$H$6:$H$101,MOD(75+$C21+(0),$B$3)+1)*I21+INDEX(Symboles!$H$6:$H$101,MOD(75+$C21+(1),$B$3)+1)*J21+INDEX(Symboles!$H$6:$H$101,MOD(75+$C21+(2),$B$3)+1)*K21+INDEX(Symboles!$H$6:$H$101,MOD(75+$C21+(3),$B$3)+1)*L21+INDEX(Symboles!$H$6:$H$101,MOD(75+$C21+(4),$B$3)+1)*M21+IF($B$6=0,0,$B$6*NORMSINV(0.000001+0.999998*RAND())))</f>
        <v/>
      </c>
      <c r="GG21" s="30">
        <f>IF(77&gt;$B$3,99,INDEX(Symboles!$H$6:$H$101,MOD(76+$C21+(-4),$B$3)+1)*E21+INDEX(Symboles!$H$6:$H$101,MOD(76+$C21+(-3),$B$3)+1)*F21+INDEX(Symboles!$H$6:$H$101,MOD(76+$C21+(-2),$B$3)+1)*G21+INDEX(Symboles!$H$6:$H$101,MOD(76+$C21+(-1),$B$3)+1)*H21+INDEX(Symboles!$H$6:$H$101,MOD(76+$C21+(0),$B$3)+1)*I21+INDEX(Symboles!$H$6:$H$101,MOD(76+$C21+(1),$B$3)+1)*J21+INDEX(Symboles!$H$6:$H$101,MOD(76+$C21+(2),$B$3)+1)*K21+INDEX(Symboles!$H$6:$H$101,MOD(76+$C21+(3),$B$3)+1)*L21+INDEX(Symboles!$H$6:$H$101,MOD(76+$C21+(4),$B$3)+1)*M21+IF($B$6=0,0,$B$6*NORMSINV(0.000001+0.999998*RAND())))</f>
        <v/>
      </c>
      <c r="GH21" s="30">
        <f>IF(78&gt;$B$3,99,INDEX(Symboles!$H$6:$H$101,MOD(77+$C21+(-4),$B$3)+1)*E21+INDEX(Symboles!$H$6:$H$101,MOD(77+$C21+(-3),$B$3)+1)*F21+INDEX(Symboles!$H$6:$H$101,MOD(77+$C21+(-2),$B$3)+1)*G21+INDEX(Symboles!$H$6:$H$101,MOD(77+$C21+(-1),$B$3)+1)*H21+INDEX(Symboles!$H$6:$H$101,MOD(77+$C21+(0),$B$3)+1)*I21+INDEX(Symboles!$H$6:$H$101,MOD(77+$C21+(1),$B$3)+1)*J21+INDEX(Symboles!$H$6:$H$101,MOD(77+$C21+(2),$B$3)+1)*K21+INDEX(Symboles!$H$6:$H$101,MOD(77+$C21+(3),$B$3)+1)*L21+INDEX(Symboles!$H$6:$H$101,MOD(77+$C21+(4),$B$3)+1)*M21+IF($B$6=0,0,$B$6*NORMSINV(0.000001+0.999998*RAND())))</f>
        <v/>
      </c>
      <c r="GI21" s="30">
        <f>IF(79&gt;$B$3,99,INDEX(Symboles!$H$6:$H$101,MOD(78+$C21+(-4),$B$3)+1)*E21+INDEX(Symboles!$H$6:$H$101,MOD(78+$C21+(-3),$B$3)+1)*F21+INDEX(Symboles!$H$6:$H$101,MOD(78+$C21+(-2),$B$3)+1)*G21+INDEX(Symboles!$H$6:$H$101,MOD(78+$C21+(-1),$B$3)+1)*H21+INDEX(Symboles!$H$6:$H$101,MOD(78+$C21+(0),$B$3)+1)*I21+INDEX(Symboles!$H$6:$H$101,MOD(78+$C21+(1),$B$3)+1)*J21+INDEX(Symboles!$H$6:$H$101,MOD(78+$C21+(2),$B$3)+1)*K21+INDEX(Symboles!$H$6:$H$101,MOD(78+$C21+(3),$B$3)+1)*L21+INDEX(Symboles!$H$6:$H$101,MOD(78+$C21+(4),$B$3)+1)*M21+IF($B$6=0,0,$B$6*NORMSINV(0.000001+0.999998*RAND())))</f>
        <v/>
      </c>
      <c r="GJ21" s="30">
        <f>IF(80&gt;$B$3,99,INDEX(Symboles!$H$6:$H$101,MOD(79+$C21+(-4),$B$3)+1)*E21+INDEX(Symboles!$H$6:$H$101,MOD(79+$C21+(-3),$B$3)+1)*F21+INDEX(Symboles!$H$6:$H$101,MOD(79+$C21+(-2),$B$3)+1)*G21+INDEX(Symboles!$H$6:$H$101,MOD(79+$C21+(-1),$B$3)+1)*H21+INDEX(Symboles!$H$6:$H$101,MOD(79+$C21+(0),$B$3)+1)*I21+INDEX(Symboles!$H$6:$H$101,MOD(79+$C21+(1),$B$3)+1)*J21+INDEX(Symboles!$H$6:$H$101,MOD(79+$C21+(2),$B$3)+1)*K21+INDEX(Symboles!$H$6:$H$101,MOD(79+$C21+(3),$B$3)+1)*L21+INDEX(Symboles!$H$6:$H$101,MOD(79+$C21+(4),$B$3)+1)*M21+IF($B$6=0,0,$B$6*NORMSINV(0.000001+0.999998*RAND())))</f>
        <v/>
      </c>
      <c r="GK21" s="30">
        <f>IF(81&gt;$B$3,99,INDEX(Symboles!$H$6:$H$101,MOD(80+$C21+(-4),$B$3)+1)*E21+INDEX(Symboles!$H$6:$H$101,MOD(80+$C21+(-3),$B$3)+1)*F21+INDEX(Symboles!$H$6:$H$101,MOD(80+$C21+(-2),$B$3)+1)*G21+INDEX(Symboles!$H$6:$H$101,MOD(80+$C21+(-1),$B$3)+1)*H21+INDEX(Symboles!$H$6:$H$101,MOD(80+$C21+(0),$B$3)+1)*I21+INDEX(Symboles!$H$6:$H$101,MOD(80+$C21+(1),$B$3)+1)*J21+INDEX(Symboles!$H$6:$H$101,MOD(80+$C21+(2),$B$3)+1)*K21+INDEX(Symboles!$H$6:$H$101,MOD(80+$C21+(3),$B$3)+1)*L21+INDEX(Symboles!$H$6:$H$101,MOD(80+$C21+(4),$B$3)+1)*M21+IF($B$6=0,0,$B$6*NORMSINV(0.000001+0.999998*RAND())))</f>
        <v/>
      </c>
      <c r="GL21" s="30">
        <f>IF(82&gt;$B$3,99,INDEX(Symboles!$H$6:$H$101,MOD(81+$C21+(-4),$B$3)+1)*E21+INDEX(Symboles!$H$6:$H$101,MOD(81+$C21+(-3),$B$3)+1)*F21+INDEX(Symboles!$H$6:$H$101,MOD(81+$C21+(-2),$B$3)+1)*G21+INDEX(Symboles!$H$6:$H$101,MOD(81+$C21+(-1),$B$3)+1)*H21+INDEX(Symboles!$H$6:$H$101,MOD(81+$C21+(0),$B$3)+1)*I21+INDEX(Symboles!$H$6:$H$101,MOD(81+$C21+(1),$B$3)+1)*J21+INDEX(Symboles!$H$6:$H$101,MOD(81+$C21+(2),$B$3)+1)*K21+INDEX(Symboles!$H$6:$H$101,MOD(81+$C21+(3),$B$3)+1)*L21+INDEX(Symboles!$H$6:$H$101,MOD(81+$C21+(4),$B$3)+1)*M21+IF($B$6=0,0,$B$6*NORMSINV(0.000001+0.999998*RAND())))</f>
        <v/>
      </c>
      <c r="GM21" s="30">
        <f>IF(83&gt;$B$3,99,INDEX(Symboles!$H$6:$H$101,MOD(82+$C21+(-4),$B$3)+1)*E21+INDEX(Symboles!$H$6:$H$101,MOD(82+$C21+(-3),$B$3)+1)*F21+INDEX(Symboles!$H$6:$H$101,MOD(82+$C21+(-2),$B$3)+1)*G21+INDEX(Symboles!$H$6:$H$101,MOD(82+$C21+(-1),$B$3)+1)*H21+INDEX(Symboles!$H$6:$H$101,MOD(82+$C21+(0),$B$3)+1)*I21+INDEX(Symboles!$H$6:$H$101,MOD(82+$C21+(1),$B$3)+1)*J21+INDEX(Symboles!$H$6:$H$101,MOD(82+$C21+(2),$B$3)+1)*K21+INDEX(Symboles!$H$6:$H$101,MOD(82+$C21+(3),$B$3)+1)*L21+INDEX(Symboles!$H$6:$H$101,MOD(82+$C21+(4),$B$3)+1)*M21+IF($B$6=0,0,$B$6*NORMSINV(0.000001+0.999998*RAND())))</f>
        <v/>
      </c>
      <c r="GN21" s="30">
        <f>IF(84&gt;$B$3,99,INDEX(Symboles!$H$6:$H$101,MOD(83+$C21+(-4),$B$3)+1)*E21+INDEX(Symboles!$H$6:$H$101,MOD(83+$C21+(-3),$B$3)+1)*F21+INDEX(Symboles!$H$6:$H$101,MOD(83+$C21+(-2),$B$3)+1)*G21+INDEX(Symboles!$H$6:$H$101,MOD(83+$C21+(-1),$B$3)+1)*H21+INDEX(Symboles!$H$6:$H$101,MOD(83+$C21+(0),$B$3)+1)*I21+INDEX(Symboles!$H$6:$H$101,MOD(83+$C21+(1),$B$3)+1)*J21+INDEX(Symboles!$H$6:$H$101,MOD(83+$C21+(2),$B$3)+1)*K21+INDEX(Symboles!$H$6:$H$101,MOD(83+$C21+(3),$B$3)+1)*L21+INDEX(Symboles!$H$6:$H$101,MOD(83+$C21+(4),$B$3)+1)*M21+IF($B$6=0,0,$B$6*NORMSINV(0.000001+0.999998*RAND())))</f>
        <v/>
      </c>
      <c r="GO21" s="30">
        <f>IF(85&gt;$B$3,99,INDEX(Symboles!$H$6:$H$101,MOD(84+$C21+(-4),$B$3)+1)*E21+INDEX(Symboles!$H$6:$H$101,MOD(84+$C21+(-3),$B$3)+1)*F21+INDEX(Symboles!$H$6:$H$101,MOD(84+$C21+(-2),$B$3)+1)*G21+INDEX(Symboles!$H$6:$H$101,MOD(84+$C21+(-1),$B$3)+1)*H21+INDEX(Symboles!$H$6:$H$101,MOD(84+$C21+(0),$B$3)+1)*I21+INDEX(Symboles!$H$6:$H$101,MOD(84+$C21+(1),$B$3)+1)*J21+INDEX(Symboles!$H$6:$H$101,MOD(84+$C21+(2),$B$3)+1)*K21+INDEX(Symboles!$H$6:$H$101,MOD(84+$C21+(3),$B$3)+1)*L21+INDEX(Symboles!$H$6:$H$101,MOD(84+$C21+(4),$B$3)+1)*M21+IF($B$6=0,0,$B$6*NORMSINV(0.000001+0.999998*RAND())))</f>
        <v/>
      </c>
      <c r="GP21" s="30">
        <f>IF(86&gt;$B$3,99,INDEX(Symboles!$H$6:$H$101,MOD(85+$C21+(-4),$B$3)+1)*E21+INDEX(Symboles!$H$6:$H$101,MOD(85+$C21+(-3),$B$3)+1)*F21+INDEX(Symboles!$H$6:$H$101,MOD(85+$C21+(-2),$B$3)+1)*G21+INDEX(Symboles!$H$6:$H$101,MOD(85+$C21+(-1),$B$3)+1)*H21+INDEX(Symboles!$H$6:$H$101,MOD(85+$C21+(0),$B$3)+1)*I21+INDEX(Symboles!$H$6:$H$101,MOD(85+$C21+(1),$B$3)+1)*J21+INDEX(Symboles!$H$6:$H$101,MOD(85+$C21+(2),$B$3)+1)*K21+INDEX(Symboles!$H$6:$H$101,MOD(85+$C21+(3),$B$3)+1)*L21+INDEX(Symboles!$H$6:$H$101,MOD(85+$C21+(4),$B$3)+1)*M21+IF($B$6=0,0,$B$6*NORMSINV(0.000001+0.999998*RAND())))</f>
        <v/>
      </c>
      <c r="GQ21" s="30">
        <f>IF(87&gt;$B$3,99,INDEX(Symboles!$H$6:$H$101,MOD(86+$C21+(-4),$B$3)+1)*E21+INDEX(Symboles!$H$6:$H$101,MOD(86+$C21+(-3),$B$3)+1)*F21+INDEX(Symboles!$H$6:$H$101,MOD(86+$C21+(-2),$B$3)+1)*G21+INDEX(Symboles!$H$6:$H$101,MOD(86+$C21+(-1),$B$3)+1)*H21+INDEX(Symboles!$H$6:$H$101,MOD(86+$C21+(0),$B$3)+1)*I21+INDEX(Symboles!$H$6:$H$101,MOD(86+$C21+(1),$B$3)+1)*J21+INDEX(Symboles!$H$6:$H$101,MOD(86+$C21+(2),$B$3)+1)*K21+INDEX(Symboles!$H$6:$H$101,MOD(86+$C21+(3),$B$3)+1)*L21+INDEX(Symboles!$H$6:$H$101,MOD(86+$C21+(4),$B$3)+1)*M21+IF($B$6=0,0,$B$6*NORMSINV(0.000001+0.999998*RAND())))</f>
        <v/>
      </c>
      <c r="GR21" s="30">
        <f>IF(88&gt;$B$3,99,INDEX(Symboles!$H$6:$H$101,MOD(87+$C21+(-4),$B$3)+1)*E21+INDEX(Symboles!$H$6:$H$101,MOD(87+$C21+(-3),$B$3)+1)*F21+INDEX(Symboles!$H$6:$H$101,MOD(87+$C21+(-2),$B$3)+1)*G21+INDEX(Symboles!$H$6:$H$101,MOD(87+$C21+(-1),$B$3)+1)*H21+INDEX(Symboles!$H$6:$H$101,MOD(87+$C21+(0),$B$3)+1)*I21+INDEX(Symboles!$H$6:$H$101,MOD(87+$C21+(1),$B$3)+1)*J21+INDEX(Symboles!$H$6:$H$101,MOD(87+$C21+(2),$B$3)+1)*K21+INDEX(Symboles!$H$6:$H$101,MOD(87+$C21+(3),$B$3)+1)*L21+INDEX(Symboles!$H$6:$H$101,MOD(87+$C21+(4),$B$3)+1)*M21+IF($B$6=0,0,$B$6*NORMSINV(0.000001+0.999998*RAND())))</f>
        <v/>
      </c>
      <c r="GS21" s="30">
        <f>IF(89&gt;$B$3,99,INDEX(Symboles!$H$6:$H$101,MOD(88+$C21+(-4),$B$3)+1)*E21+INDEX(Symboles!$H$6:$H$101,MOD(88+$C21+(-3),$B$3)+1)*F21+INDEX(Symboles!$H$6:$H$101,MOD(88+$C21+(-2),$B$3)+1)*G21+INDEX(Symboles!$H$6:$H$101,MOD(88+$C21+(-1),$B$3)+1)*H21+INDEX(Symboles!$H$6:$H$101,MOD(88+$C21+(0),$B$3)+1)*I21+INDEX(Symboles!$H$6:$H$101,MOD(88+$C21+(1),$B$3)+1)*J21+INDEX(Symboles!$H$6:$H$101,MOD(88+$C21+(2),$B$3)+1)*K21+INDEX(Symboles!$H$6:$H$101,MOD(88+$C21+(3),$B$3)+1)*L21+INDEX(Symboles!$H$6:$H$101,MOD(88+$C21+(4),$B$3)+1)*M21+IF($B$6=0,0,$B$6*NORMSINV(0.000001+0.999998*RAND())))</f>
        <v/>
      </c>
      <c r="GT21" s="30">
        <f>IF(90&gt;$B$3,99,INDEX(Symboles!$H$6:$H$101,MOD(89+$C21+(-4),$B$3)+1)*E21+INDEX(Symboles!$H$6:$H$101,MOD(89+$C21+(-3),$B$3)+1)*F21+INDEX(Symboles!$H$6:$H$101,MOD(89+$C21+(-2),$B$3)+1)*G21+INDEX(Symboles!$H$6:$H$101,MOD(89+$C21+(-1),$B$3)+1)*H21+INDEX(Symboles!$H$6:$H$101,MOD(89+$C21+(0),$B$3)+1)*I21+INDEX(Symboles!$H$6:$H$101,MOD(89+$C21+(1),$B$3)+1)*J21+INDEX(Symboles!$H$6:$H$101,MOD(89+$C21+(2),$B$3)+1)*K21+INDEX(Symboles!$H$6:$H$101,MOD(89+$C21+(3),$B$3)+1)*L21+INDEX(Symboles!$H$6:$H$101,MOD(89+$C21+(4),$B$3)+1)*M21+IF($B$6=0,0,$B$6*NORMSINV(0.000001+0.999998*RAND())))</f>
        <v/>
      </c>
      <c r="GU21" s="30">
        <f>IF(91&gt;$B$3,99,INDEX(Symboles!$H$6:$H$101,MOD(90+$C21+(-4),$B$3)+1)*E21+INDEX(Symboles!$H$6:$H$101,MOD(90+$C21+(-3),$B$3)+1)*F21+INDEX(Symboles!$H$6:$H$101,MOD(90+$C21+(-2),$B$3)+1)*G21+INDEX(Symboles!$H$6:$H$101,MOD(90+$C21+(-1),$B$3)+1)*H21+INDEX(Symboles!$H$6:$H$101,MOD(90+$C21+(0),$B$3)+1)*I21+INDEX(Symboles!$H$6:$H$101,MOD(90+$C21+(1),$B$3)+1)*J21+INDEX(Symboles!$H$6:$H$101,MOD(90+$C21+(2),$B$3)+1)*K21+INDEX(Symboles!$H$6:$H$101,MOD(90+$C21+(3),$B$3)+1)*L21+INDEX(Symboles!$H$6:$H$101,MOD(90+$C21+(4),$B$3)+1)*M21+IF($B$6=0,0,$B$6*NORMSINV(0.000001+0.999998*RAND())))</f>
        <v/>
      </c>
      <c r="GV21" s="30">
        <f>IF(92&gt;$B$3,99,INDEX(Symboles!$H$6:$H$101,MOD(91+$C21+(-4),$B$3)+1)*E21+INDEX(Symboles!$H$6:$H$101,MOD(91+$C21+(-3),$B$3)+1)*F21+INDEX(Symboles!$H$6:$H$101,MOD(91+$C21+(-2),$B$3)+1)*G21+INDEX(Symboles!$H$6:$H$101,MOD(91+$C21+(-1),$B$3)+1)*H21+INDEX(Symboles!$H$6:$H$101,MOD(91+$C21+(0),$B$3)+1)*I21+INDEX(Symboles!$H$6:$H$101,MOD(91+$C21+(1),$B$3)+1)*J21+INDEX(Symboles!$H$6:$H$101,MOD(91+$C21+(2),$B$3)+1)*K21+INDEX(Symboles!$H$6:$H$101,MOD(91+$C21+(3),$B$3)+1)*L21+INDEX(Symboles!$H$6:$H$101,MOD(91+$C21+(4),$B$3)+1)*M21+IF($B$6=0,0,$B$6*NORMSINV(0.000001+0.999998*RAND())))</f>
        <v/>
      </c>
      <c r="GW21" s="30">
        <f>IF(93&gt;$B$3,99,INDEX(Symboles!$H$6:$H$101,MOD(92+$C21+(-4),$B$3)+1)*E21+INDEX(Symboles!$H$6:$H$101,MOD(92+$C21+(-3),$B$3)+1)*F21+INDEX(Symboles!$H$6:$H$101,MOD(92+$C21+(-2),$B$3)+1)*G21+INDEX(Symboles!$H$6:$H$101,MOD(92+$C21+(-1),$B$3)+1)*H21+INDEX(Symboles!$H$6:$H$101,MOD(92+$C21+(0),$B$3)+1)*I21+INDEX(Symboles!$H$6:$H$101,MOD(92+$C21+(1),$B$3)+1)*J21+INDEX(Symboles!$H$6:$H$101,MOD(92+$C21+(2),$B$3)+1)*K21+INDEX(Symboles!$H$6:$H$101,MOD(92+$C21+(3),$B$3)+1)*L21+INDEX(Symboles!$H$6:$H$101,MOD(92+$C21+(4),$B$3)+1)*M21+IF($B$6=0,0,$B$6*NORMSINV(0.000001+0.999998*RAND())))</f>
        <v/>
      </c>
      <c r="GX21" s="30">
        <f>IF(94&gt;$B$3,99,INDEX(Symboles!$H$6:$H$101,MOD(93+$C21+(-4),$B$3)+1)*E21+INDEX(Symboles!$H$6:$H$101,MOD(93+$C21+(-3),$B$3)+1)*F21+INDEX(Symboles!$H$6:$H$101,MOD(93+$C21+(-2),$B$3)+1)*G21+INDEX(Symboles!$H$6:$H$101,MOD(93+$C21+(-1),$B$3)+1)*H21+INDEX(Symboles!$H$6:$H$101,MOD(93+$C21+(0),$B$3)+1)*I21+INDEX(Symboles!$H$6:$H$101,MOD(93+$C21+(1),$B$3)+1)*J21+INDEX(Symboles!$H$6:$H$101,MOD(93+$C21+(2),$B$3)+1)*K21+INDEX(Symboles!$H$6:$H$101,MOD(93+$C21+(3),$B$3)+1)*L21+INDEX(Symboles!$H$6:$H$101,MOD(93+$C21+(4),$B$3)+1)*M21+IF($B$6=0,0,$B$6*NORMSINV(0.000001+0.999998*RAND())))</f>
        <v/>
      </c>
      <c r="GY21" s="30">
        <f>IF(95&gt;$B$3,99,INDEX(Symboles!$H$6:$H$101,MOD(94+$C21+(-4),$B$3)+1)*E21+INDEX(Symboles!$H$6:$H$101,MOD(94+$C21+(-3),$B$3)+1)*F21+INDEX(Symboles!$H$6:$H$101,MOD(94+$C21+(-2),$B$3)+1)*G21+INDEX(Symboles!$H$6:$H$101,MOD(94+$C21+(-1),$B$3)+1)*H21+INDEX(Symboles!$H$6:$H$101,MOD(94+$C21+(0),$B$3)+1)*I21+INDEX(Symboles!$H$6:$H$101,MOD(94+$C21+(1),$B$3)+1)*J21+INDEX(Symboles!$H$6:$H$101,MOD(94+$C21+(2),$B$3)+1)*K21+INDEX(Symboles!$H$6:$H$101,MOD(94+$C21+(3),$B$3)+1)*L21+INDEX(Symboles!$H$6:$H$101,MOD(94+$C21+(4),$B$3)+1)*M21+IF($B$6=0,0,$B$6*NORMSINV(0.000001+0.999998*RAND())))</f>
        <v/>
      </c>
      <c r="GZ21" s="30">
        <f>IF(96&gt;$B$3,99,INDEX(Symboles!$H$6:$H$101,MOD(95+$C21+(-4),$B$3)+1)*E21+INDEX(Symboles!$H$6:$H$101,MOD(95+$C21+(-3),$B$3)+1)*F21+INDEX(Symboles!$H$6:$H$101,MOD(95+$C21+(-2),$B$3)+1)*G21+INDEX(Symboles!$H$6:$H$101,MOD(95+$C21+(-1),$B$3)+1)*H21+INDEX(Symboles!$H$6:$H$101,MOD(95+$C21+(0),$B$3)+1)*I21+INDEX(Symboles!$H$6:$H$101,MOD(95+$C21+(1),$B$3)+1)*J21+INDEX(Symboles!$H$6:$H$101,MOD(95+$C21+(2),$B$3)+1)*K21+INDEX(Symboles!$H$6:$H$101,MOD(95+$C21+(3),$B$3)+1)*L21+INDEX(Symboles!$H$6:$H$101,MOD(95+$C21+(4),$B$3)+1)*M21+IF($B$6=0,0,$B$6*NORMSINV(0.000001+0.999998*RAND())))</f>
        <v/>
      </c>
    </row>
    <row r="22">
      <c r="A22" s="28" t="n">
        <v>12</v>
      </c>
      <c r="B22" s="28" t="n">
        <v>-0.25</v>
      </c>
      <c r="C22" s="28" t="n">
        <v>0</v>
      </c>
      <c r="D22" s="28" t="n">
        <v>4</v>
      </c>
      <c r="E22" s="29">
        <f>IF($B$4=1,0,IF(ABS(1-(2*$B$5*3.75)^2)&lt;0.000001,PI()/4*SIN(PI()/(2*$B$5))/(PI()/(2*$B$5)),SIN(PI()*3.75)/(PI()*3.75)*COS(PI()*$B$5*3.75)/(1-(2*$B$5*3.75)^2)))</f>
        <v/>
      </c>
      <c r="F22" s="29">
        <f>IF($B$4=1,0,IF(ABS(1-(2*$B$5*2.75)^2)&lt;0.000001,PI()/4*SIN(PI()/(2*$B$5))/(PI()/(2*$B$5)),SIN(PI()*2.75)/(PI()*2.75)*COS(PI()*$B$5*2.75)/(1-(2*$B$5*2.75)^2)))</f>
        <v/>
      </c>
      <c r="G22" s="29">
        <f>IF($B$4=1,0,IF(ABS(1-(2*$B$5*1.75)^2)&lt;0.000001,PI()/4*SIN(PI()/(2*$B$5))/(PI()/(2*$B$5)),SIN(PI()*1.75)/(PI()*1.75)*COS(PI()*$B$5*1.75)/(1-(2*$B$5*1.75)^2)))</f>
        <v/>
      </c>
      <c r="H22" s="29">
        <f>IF($B$4=1,0,IF(ABS(1-(2*$B$5*0.75)^2)&lt;0.000001,PI()/4*SIN(PI()/(2*$B$5))/(PI()/(2*$B$5)),SIN(PI()*0.75)/(PI()*0.75)*COS(PI()*$B$5*0.75)/(1-(2*$B$5*0.75)^2)))</f>
        <v/>
      </c>
      <c r="I22" s="29">
        <f>IF($B$4=1,1,IF(ABS(1-(2*$B$5*-0.25)^2)&lt;0.000001,PI()/4*SIN(PI()/(2*$B$5))/(PI()/(2*$B$5)),SIN(PI()*-0.25)/(PI()*-0.25)*COS(PI()*$B$5*-0.25)/(1-(2*$B$5*-0.25)^2)))</f>
        <v/>
      </c>
      <c r="J22" s="29">
        <f>IF($B$4=1,0,IF(ABS(1-(2*$B$5*-1.25)^2)&lt;0.000001,PI()/4*SIN(PI()/(2*$B$5))/(PI()/(2*$B$5)),SIN(PI()*-1.25)/(PI()*-1.25)*COS(PI()*$B$5*-1.25)/(1-(2*$B$5*-1.25)^2)))</f>
        <v/>
      </c>
      <c r="K22" s="29">
        <f>IF($B$4=1,0,IF(ABS(1-(2*$B$5*-2.25)^2)&lt;0.000001,PI()/4*SIN(PI()/(2*$B$5))/(PI()/(2*$B$5)),SIN(PI()*-2.25)/(PI()*-2.25)*COS(PI()*$B$5*-2.25)/(1-(2*$B$5*-2.25)^2)))</f>
        <v/>
      </c>
      <c r="L22" s="29">
        <f>IF($B$4=1,0,IF(ABS(1-(2*$B$5*-3.25)^2)&lt;0.000001,PI()/4*SIN(PI()/(2*$B$5))/(PI()/(2*$B$5)),SIN(PI()*-3.25)/(PI()*-3.25)*COS(PI()*$B$5*-3.25)/(1-(2*$B$5*-3.25)^2)))</f>
        <v/>
      </c>
      <c r="M22" s="29">
        <f>IF($B$4=1,0,IF(ABS(1-(2*$B$5*-4.25)^2)&lt;0.000001,PI()/4*SIN(PI()/(2*$B$5))/(PI()/(2*$B$5)),SIN(PI()*-4.25)/(PI()*-4.25)*COS(PI()*$B$5*-4.25)/(1-(2*$B$5*-4.25)^2)))</f>
        <v/>
      </c>
      <c r="P22" s="30">
        <f>IF(1&gt;$B$3,99,INDEX(Symboles!$G$6:$G$101,MOD(0+$C22+(-4),$B$3)+1)*E22+INDEX(Symboles!$G$6:$G$101,MOD(0+$C22+(-3),$B$3)+1)*F22+INDEX(Symboles!$G$6:$G$101,MOD(0+$C22+(-2),$B$3)+1)*G22+INDEX(Symboles!$G$6:$G$101,MOD(0+$C22+(-1),$B$3)+1)*H22+INDEX(Symboles!$G$6:$G$101,MOD(0+$C22+(0),$B$3)+1)*I22+INDEX(Symboles!$G$6:$G$101,MOD(0+$C22+(1),$B$3)+1)*J22+INDEX(Symboles!$G$6:$G$101,MOD(0+$C22+(2),$B$3)+1)*K22+INDEX(Symboles!$G$6:$G$101,MOD(0+$C22+(3),$B$3)+1)*L22+INDEX(Symboles!$G$6:$G$101,MOD(0+$C22+(4),$B$3)+1)*M22+IF($B$6=0,0,$B$6*NORMSINV(0.000001+0.999998*RAND())))</f>
        <v/>
      </c>
      <c r="Q22" s="30">
        <f>IF(2&gt;$B$3,99,INDEX(Symboles!$G$6:$G$101,MOD(1+$C22+(-4),$B$3)+1)*E22+INDEX(Symboles!$G$6:$G$101,MOD(1+$C22+(-3),$B$3)+1)*F22+INDEX(Symboles!$G$6:$G$101,MOD(1+$C22+(-2),$B$3)+1)*G22+INDEX(Symboles!$G$6:$G$101,MOD(1+$C22+(-1),$B$3)+1)*H22+INDEX(Symboles!$G$6:$G$101,MOD(1+$C22+(0),$B$3)+1)*I22+INDEX(Symboles!$G$6:$G$101,MOD(1+$C22+(1),$B$3)+1)*J22+INDEX(Symboles!$G$6:$G$101,MOD(1+$C22+(2),$B$3)+1)*K22+INDEX(Symboles!$G$6:$G$101,MOD(1+$C22+(3),$B$3)+1)*L22+INDEX(Symboles!$G$6:$G$101,MOD(1+$C22+(4),$B$3)+1)*M22+IF($B$6=0,0,$B$6*NORMSINV(0.000001+0.999998*RAND())))</f>
        <v/>
      </c>
      <c r="R22" s="30">
        <f>IF(3&gt;$B$3,99,INDEX(Symboles!$G$6:$G$101,MOD(2+$C22+(-4),$B$3)+1)*E22+INDEX(Symboles!$G$6:$G$101,MOD(2+$C22+(-3),$B$3)+1)*F22+INDEX(Symboles!$G$6:$G$101,MOD(2+$C22+(-2),$B$3)+1)*G22+INDEX(Symboles!$G$6:$G$101,MOD(2+$C22+(-1),$B$3)+1)*H22+INDEX(Symboles!$G$6:$G$101,MOD(2+$C22+(0),$B$3)+1)*I22+INDEX(Symboles!$G$6:$G$101,MOD(2+$C22+(1),$B$3)+1)*J22+INDEX(Symboles!$G$6:$G$101,MOD(2+$C22+(2),$B$3)+1)*K22+INDEX(Symboles!$G$6:$G$101,MOD(2+$C22+(3),$B$3)+1)*L22+INDEX(Symboles!$G$6:$G$101,MOD(2+$C22+(4),$B$3)+1)*M22+IF($B$6=0,0,$B$6*NORMSINV(0.000001+0.999998*RAND())))</f>
        <v/>
      </c>
      <c r="S22" s="30">
        <f>IF(4&gt;$B$3,99,INDEX(Symboles!$G$6:$G$101,MOD(3+$C22+(-4),$B$3)+1)*E22+INDEX(Symboles!$G$6:$G$101,MOD(3+$C22+(-3),$B$3)+1)*F22+INDEX(Symboles!$G$6:$G$101,MOD(3+$C22+(-2),$B$3)+1)*G22+INDEX(Symboles!$G$6:$G$101,MOD(3+$C22+(-1),$B$3)+1)*H22+INDEX(Symboles!$G$6:$G$101,MOD(3+$C22+(0),$B$3)+1)*I22+INDEX(Symboles!$G$6:$G$101,MOD(3+$C22+(1),$B$3)+1)*J22+INDEX(Symboles!$G$6:$G$101,MOD(3+$C22+(2),$B$3)+1)*K22+INDEX(Symboles!$G$6:$G$101,MOD(3+$C22+(3),$B$3)+1)*L22+INDEX(Symboles!$G$6:$G$101,MOD(3+$C22+(4),$B$3)+1)*M22+IF($B$6=0,0,$B$6*NORMSINV(0.000001+0.999998*RAND())))</f>
        <v/>
      </c>
      <c r="T22" s="30">
        <f>IF(5&gt;$B$3,99,INDEX(Symboles!$G$6:$G$101,MOD(4+$C22+(-4),$B$3)+1)*E22+INDEX(Symboles!$G$6:$G$101,MOD(4+$C22+(-3),$B$3)+1)*F22+INDEX(Symboles!$G$6:$G$101,MOD(4+$C22+(-2),$B$3)+1)*G22+INDEX(Symboles!$G$6:$G$101,MOD(4+$C22+(-1),$B$3)+1)*H22+INDEX(Symboles!$G$6:$G$101,MOD(4+$C22+(0),$B$3)+1)*I22+INDEX(Symboles!$G$6:$G$101,MOD(4+$C22+(1),$B$3)+1)*J22+INDEX(Symboles!$G$6:$G$101,MOD(4+$C22+(2),$B$3)+1)*K22+INDEX(Symboles!$G$6:$G$101,MOD(4+$C22+(3),$B$3)+1)*L22+INDEX(Symboles!$G$6:$G$101,MOD(4+$C22+(4),$B$3)+1)*M22+IF($B$6=0,0,$B$6*NORMSINV(0.000001+0.999998*RAND())))</f>
        <v/>
      </c>
      <c r="U22" s="30">
        <f>IF(6&gt;$B$3,99,INDEX(Symboles!$G$6:$G$101,MOD(5+$C22+(-4),$B$3)+1)*E22+INDEX(Symboles!$G$6:$G$101,MOD(5+$C22+(-3),$B$3)+1)*F22+INDEX(Symboles!$G$6:$G$101,MOD(5+$C22+(-2),$B$3)+1)*G22+INDEX(Symboles!$G$6:$G$101,MOD(5+$C22+(-1),$B$3)+1)*H22+INDEX(Symboles!$G$6:$G$101,MOD(5+$C22+(0),$B$3)+1)*I22+INDEX(Symboles!$G$6:$G$101,MOD(5+$C22+(1),$B$3)+1)*J22+INDEX(Symboles!$G$6:$G$101,MOD(5+$C22+(2),$B$3)+1)*K22+INDEX(Symboles!$G$6:$G$101,MOD(5+$C22+(3),$B$3)+1)*L22+INDEX(Symboles!$G$6:$G$101,MOD(5+$C22+(4),$B$3)+1)*M22+IF($B$6=0,0,$B$6*NORMSINV(0.000001+0.999998*RAND())))</f>
        <v/>
      </c>
      <c r="V22" s="30">
        <f>IF(7&gt;$B$3,99,INDEX(Symboles!$G$6:$G$101,MOD(6+$C22+(-4),$B$3)+1)*E22+INDEX(Symboles!$G$6:$G$101,MOD(6+$C22+(-3),$B$3)+1)*F22+INDEX(Symboles!$G$6:$G$101,MOD(6+$C22+(-2),$B$3)+1)*G22+INDEX(Symboles!$G$6:$G$101,MOD(6+$C22+(-1),$B$3)+1)*H22+INDEX(Symboles!$G$6:$G$101,MOD(6+$C22+(0),$B$3)+1)*I22+INDEX(Symboles!$G$6:$G$101,MOD(6+$C22+(1),$B$3)+1)*J22+INDEX(Symboles!$G$6:$G$101,MOD(6+$C22+(2),$B$3)+1)*K22+INDEX(Symboles!$G$6:$G$101,MOD(6+$C22+(3),$B$3)+1)*L22+INDEX(Symboles!$G$6:$G$101,MOD(6+$C22+(4),$B$3)+1)*M22+IF($B$6=0,0,$B$6*NORMSINV(0.000001+0.999998*RAND())))</f>
        <v/>
      </c>
      <c r="W22" s="30">
        <f>IF(8&gt;$B$3,99,INDEX(Symboles!$G$6:$G$101,MOD(7+$C22+(-4),$B$3)+1)*E22+INDEX(Symboles!$G$6:$G$101,MOD(7+$C22+(-3),$B$3)+1)*F22+INDEX(Symboles!$G$6:$G$101,MOD(7+$C22+(-2),$B$3)+1)*G22+INDEX(Symboles!$G$6:$G$101,MOD(7+$C22+(-1),$B$3)+1)*H22+INDEX(Symboles!$G$6:$G$101,MOD(7+$C22+(0),$B$3)+1)*I22+INDEX(Symboles!$G$6:$G$101,MOD(7+$C22+(1),$B$3)+1)*J22+INDEX(Symboles!$G$6:$G$101,MOD(7+$C22+(2),$B$3)+1)*K22+INDEX(Symboles!$G$6:$G$101,MOD(7+$C22+(3),$B$3)+1)*L22+INDEX(Symboles!$G$6:$G$101,MOD(7+$C22+(4),$B$3)+1)*M22+IF($B$6=0,0,$B$6*NORMSINV(0.000001+0.999998*RAND())))</f>
        <v/>
      </c>
      <c r="X22" s="30">
        <f>IF(9&gt;$B$3,99,INDEX(Symboles!$G$6:$G$101,MOD(8+$C22+(-4),$B$3)+1)*E22+INDEX(Symboles!$G$6:$G$101,MOD(8+$C22+(-3),$B$3)+1)*F22+INDEX(Symboles!$G$6:$G$101,MOD(8+$C22+(-2),$B$3)+1)*G22+INDEX(Symboles!$G$6:$G$101,MOD(8+$C22+(-1),$B$3)+1)*H22+INDEX(Symboles!$G$6:$G$101,MOD(8+$C22+(0),$B$3)+1)*I22+INDEX(Symboles!$G$6:$G$101,MOD(8+$C22+(1),$B$3)+1)*J22+INDEX(Symboles!$G$6:$G$101,MOD(8+$C22+(2),$B$3)+1)*K22+INDEX(Symboles!$G$6:$G$101,MOD(8+$C22+(3),$B$3)+1)*L22+INDEX(Symboles!$G$6:$G$101,MOD(8+$C22+(4),$B$3)+1)*M22+IF($B$6=0,0,$B$6*NORMSINV(0.000001+0.999998*RAND())))</f>
        <v/>
      </c>
      <c r="Y22" s="30">
        <f>IF(10&gt;$B$3,99,INDEX(Symboles!$G$6:$G$101,MOD(9+$C22+(-4),$B$3)+1)*E22+INDEX(Symboles!$G$6:$G$101,MOD(9+$C22+(-3),$B$3)+1)*F22+INDEX(Symboles!$G$6:$G$101,MOD(9+$C22+(-2),$B$3)+1)*G22+INDEX(Symboles!$G$6:$G$101,MOD(9+$C22+(-1),$B$3)+1)*H22+INDEX(Symboles!$G$6:$G$101,MOD(9+$C22+(0),$B$3)+1)*I22+INDEX(Symboles!$G$6:$G$101,MOD(9+$C22+(1),$B$3)+1)*J22+INDEX(Symboles!$G$6:$G$101,MOD(9+$C22+(2),$B$3)+1)*K22+INDEX(Symboles!$G$6:$G$101,MOD(9+$C22+(3),$B$3)+1)*L22+INDEX(Symboles!$G$6:$G$101,MOD(9+$C22+(4),$B$3)+1)*M22+IF($B$6=0,0,$B$6*NORMSINV(0.000001+0.999998*RAND())))</f>
        <v/>
      </c>
      <c r="Z22" s="30">
        <f>IF(11&gt;$B$3,99,INDEX(Symboles!$G$6:$G$101,MOD(10+$C22+(-4),$B$3)+1)*E22+INDEX(Symboles!$G$6:$G$101,MOD(10+$C22+(-3),$B$3)+1)*F22+INDEX(Symboles!$G$6:$G$101,MOD(10+$C22+(-2),$B$3)+1)*G22+INDEX(Symboles!$G$6:$G$101,MOD(10+$C22+(-1),$B$3)+1)*H22+INDEX(Symboles!$G$6:$G$101,MOD(10+$C22+(0),$B$3)+1)*I22+INDEX(Symboles!$G$6:$G$101,MOD(10+$C22+(1),$B$3)+1)*J22+INDEX(Symboles!$G$6:$G$101,MOD(10+$C22+(2),$B$3)+1)*K22+INDEX(Symboles!$G$6:$G$101,MOD(10+$C22+(3),$B$3)+1)*L22+INDEX(Symboles!$G$6:$G$101,MOD(10+$C22+(4),$B$3)+1)*M22+IF($B$6=0,0,$B$6*NORMSINV(0.000001+0.999998*RAND())))</f>
        <v/>
      </c>
      <c r="AA22" s="30">
        <f>IF(12&gt;$B$3,99,INDEX(Symboles!$G$6:$G$101,MOD(11+$C22+(-4),$B$3)+1)*E22+INDEX(Symboles!$G$6:$G$101,MOD(11+$C22+(-3),$B$3)+1)*F22+INDEX(Symboles!$G$6:$G$101,MOD(11+$C22+(-2),$B$3)+1)*G22+INDEX(Symboles!$G$6:$G$101,MOD(11+$C22+(-1),$B$3)+1)*H22+INDEX(Symboles!$G$6:$G$101,MOD(11+$C22+(0),$B$3)+1)*I22+INDEX(Symboles!$G$6:$G$101,MOD(11+$C22+(1),$B$3)+1)*J22+INDEX(Symboles!$G$6:$G$101,MOD(11+$C22+(2),$B$3)+1)*K22+INDEX(Symboles!$G$6:$G$101,MOD(11+$C22+(3),$B$3)+1)*L22+INDEX(Symboles!$G$6:$G$101,MOD(11+$C22+(4),$B$3)+1)*M22+IF($B$6=0,0,$B$6*NORMSINV(0.000001+0.999998*RAND())))</f>
        <v/>
      </c>
      <c r="AB22" s="30">
        <f>IF(13&gt;$B$3,99,INDEX(Symboles!$G$6:$G$101,MOD(12+$C22+(-4),$B$3)+1)*E22+INDEX(Symboles!$G$6:$G$101,MOD(12+$C22+(-3),$B$3)+1)*F22+INDEX(Symboles!$G$6:$G$101,MOD(12+$C22+(-2),$B$3)+1)*G22+INDEX(Symboles!$G$6:$G$101,MOD(12+$C22+(-1),$B$3)+1)*H22+INDEX(Symboles!$G$6:$G$101,MOD(12+$C22+(0),$B$3)+1)*I22+INDEX(Symboles!$G$6:$G$101,MOD(12+$C22+(1),$B$3)+1)*J22+INDEX(Symboles!$G$6:$G$101,MOD(12+$C22+(2),$B$3)+1)*K22+INDEX(Symboles!$G$6:$G$101,MOD(12+$C22+(3),$B$3)+1)*L22+INDEX(Symboles!$G$6:$G$101,MOD(12+$C22+(4),$B$3)+1)*M22+IF($B$6=0,0,$B$6*NORMSINV(0.000001+0.999998*RAND())))</f>
        <v/>
      </c>
      <c r="AC22" s="30">
        <f>IF(14&gt;$B$3,99,INDEX(Symboles!$G$6:$G$101,MOD(13+$C22+(-4),$B$3)+1)*E22+INDEX(Symboles!$G$6:$G$101,MOD(13+$C22+(-3),$B$3)+1)*F22+INDEX(Symboles!$G$6:$G$101,MOD(13+$C22+(-2),$B$3)+1)*G22+INDEX(Symboles!$G$6:$G$101,MOD(13+$C22+(-1),$B$3)+1)*H22+INDEX(Symboles!$G$6:$G$101,MOD(13+$C22+(0),$B$3)+1)*I22+INDEX(Symboles!$G$6:$G$101,MOD(13+$C22+(1),$B$3)+1)*J22+INDEX(Symboles!$G$6:$G$101,MOD(13+$C22+(2),$B$3)+1)*K22+INDEX(Symboles!$G$6:$G$101,MOD(13+$C22+(3),$B$3)+1)*L22+INDEX(Symboles!$G$6:$G$101,MOD(13+$C22+(4),$B$3)+1)*M22+IF($B$6=0,0,$B$6*NORMSINV(0.000001+0.999998*RAND())))</f>
        <v/>
      </c>
      <c r="AD22" s="30">
        <f>IF(15&gt;$B$3,99,INDEX(Symboles!$G$6:$G$101,MOD(14+$C22+(-4),$B$3)+1)*E22+INDEX(Symboles!$G$6:$G$101,MOD(14+$C22+(-3),$B$3)+1)*F22+INDEX(Symboles!$G$6:$G$101,MOD(14+$C22+(-2),$B$3)+1)*G22+INDEX(Symboles!$G$6:$G$101,MOD(14+$C22+(-1),$B$3)+1)*H22+INDEX(Symboles!$G$6:$G$101,MOD(14+$C22+(0),$B$3)+1)*I22+INDEX(Symboles!$G$6:$G$101,MOD(14+$C22+(1),$B$3)+1)*J22+INDEX(Symboles!$G$6:$G$101,MOD(14+$C22+(2),$B$3)+1)*K22+INDEX(Symboles!$G$6:$G$101,MOD(14+$C22+(3),$B$3)+1)*L22+INDEX(Symboles!$G$6:$G$101,MOD(14+$C22+(4),$B$3)+1)*M22+IF($B$6=0,0,$B$6*NORMSINV(0.000001+0.999998*RAND())))</f>
        <v/>
      </c>
      <c r="AE22" s="30">
        <f>IF(16&gt;$B$3,99,INDEX(Symboles!$G$6:$G$101,MOD(15+$C22+(-4),$B$3)+1)*E22+INDEX(Symboles!$G$6:$G$101,MOD(15+$C22+(-3),$B$3)+1)*F22+INDEX(Symboles!$G$6:$G$101,MOD(15+$C22+(-2),$B$3)+1)*G22+INDEX(Symboles!$G$6:$G$101,MOD(15+$C22+(-1),$B$3)+1)*H22+INDEX(Symboles!$G$6:$G$101,MOD(15+$C22+(0),$B$3)+1)*I22+INDEX(Symboles!$G$6:$G$101,MOD(15+$C22+(1),$B$3)+1)*J22+INDEX(Symboles!$G$6:$G$101,MOD(15+$C22+(2),$B$3)+1)*K22+INDEX(Symboles!$G$6:$G$101,MOD(15+$C22+(3),$B$3)+1)*L22+INDEX(Symboles!$G$6:$G$101,MOD(15+$C22+(4),$B$3)+1)*M22+IF($B$6=0,0,$B$6*NORMSINV(0.000001+0.999998*RAND())))</f>
        <v/>
      </c>
      <c r="AF22" s="30">
        <f>IF(17&gt;$B$3,99,INDEX(Symboles!$G$6:$G$101,MOD(16+$C22+(-4),$B$3)+1)*E22+INDEX(Symboles!$G$6:$G$101,MOD(16+$C22+(-3),$B$3)+1)*F22+INDEX(Symboles!$G$6:$G$101,MOD(16+$C22+(-2),$B$3)+1)*G22+INDEX(Symboles!$G$6:$G$101,MOD(16+$C22+(-1),$B$3)+1)*H22+INDEX(Symboles!$G$6:$G$101,MOD(16+$C22+(0),$B$3)+1)*I22+INDEX(Symboles!$G$6:$G$101,MOD(16+$C22+(1),$B$3)+1)*J22+INDEX(Symboles!$G$6:$G$101,MOD(16+$C22+(2),$B$3)+1)*K22+INDEX(Symboles!$G$6:$G$101,MOD(16+$C22+(3),$B$3)+1)*L22+INDEX(Symboles!$G$6:$G$101,MOD(16+$C22+(4),$B$3)+1)*M22+IF($B$6=0,0,$B$6*NORMSINV(0.000001+0.999998*RAND())))</f>
        <v/>
      </c>
      <c r="AG22" s="30">
        <f>IF(18&gt;$B$3,99,INDEX(Symboles!$G$6:$G$101,MOD(17+$C22+(-4),$B$3)+1)*E22+INDEX(Symboles!$G$6:$G$101,MOD(17+$C22+(-3),$B$3)+1)*F22+INDEX(Symboles!$G$6:$G$101,MOD(17+$C22+(-2),$B$3)+1)*G22+INDEX(Symboles!$G$6:$G$101,MOD(17+$C22+(-1),$B$3)+1)*H22+INDEX(Symboles!$G$6:$G$101,MOD(17+$C22+(0),$B$3)+1)*I22+INDEX(Symboles!$G$6:$G$101,MOD(17+$C22+(1),$B$3)+1)*J22+INDEX(Symboles!$G$6:$G$101,MOD(17+$C22+(2),$B$3)+1)*K22+INDEX(Symboles!$G$6:$G$101,MOD(17+$C22+(3),$B$3)+1)*L22+INDEX(Symboles!$G$6:$G$101,MOD(17+$C22+(4),$B$3)+1)*M22+IF($B$6=0,0,$B$6*NORMSINV(0.000001+0.999998*RAND())))</f>
        <v/>
      </c>
      <c r="AH22" s="30">
        <f>IF(19&gt;$B$3,99,INDEX(Symboles!$G$6:$G$101,MOD(18+$C22+(-4),$B$3)+1)*E22+INDEX(Symboles!$G$6:$G$101,MOD(18+$C22+(-3),$B$3)+1)*F22+INDEX(Symboles!$G$6:$G$101,MOD(18+$C22+(-2),$B$3)+1)*G22+INDEX(Symboles!$G$6:$G$101,MOD(18+$C22+(-1),$B$3)+1)*H22+INDEX(Symboles!$G$6:$G$101,MOD(18+$C22+(0),$B$3)+1)*I22+INDEX(Symboles!$G$6:$G$101,MOD(18+$C22+(1),$B$3)+1)*J22+INDEX(Symboles!$G$6:$G$101,MOD(18+$C22+(2),$B$3)+1)*K22+INDEX(Symboles!$G$6:$G$101,MOD(18+$C22+(3),$B$3)+1)*L22+INDEX(Symboles!$G$6:$G$101,MOD(18+$C22+(4),$B$3)+1)*M22+IF($B$6=0,0,$B$6*NORMSINV(0.000001+0.999998*RAND())))</f>
        <v/>
      </c>
      <c r="AI22" s="30">
        <f>IF(20&gt;$B$3,99,INDEX(Symboles!$G$6:$G$101,MOD(19+$C22+(-4),$B$3)+1)*E22+INDEX(Symboles!$G$6:$G$101,MOD(19+$C22+(-3),$B$3)+1)*F22+INDEX(Symboles!$G$6:$G$101,MOD(19+$C22+(-2),$B$3)+1)*G22+INDEX(Symboles!$G$6:$G$101,MOD(19+$C22+(-1),$B$3)+1)*H22+INDEX(Symboles!$G$6:$G$101,MOD(19+$C22+(0),$B$3)+1)*I22+INDEX(Symboles!$G$6:$G$101,MOD(19+$C22+(1),$B$3)+1)*J22+INDEX(Symboles!$G$6:$G$101,MOD(19+$C22+(2),$B$3)+1)*K22+INDEX(Symboles!$G$6:$G$101,MOD(19+$C22+(3),$B$3)+1)*L22+INDEX(Symboles!$G$6:$G$101,MOD(19+$C22+(4),$B$3)+1)*M22+IF($B$6=0,0,$B$6*NORMSINV(0.000001+0.999998*RAND())))</f>
        <v/>
      </c>
      <c r="AJ22" s="30">
        <f>IF(21&gt;$B$3,99,INDEX(Symboles!$G$6:$G$101,MOD(20+$C22+(-4),$B$3)+1)*E22+INDEX(Symboles!$G$6:$G$101,MOD(20+$C22+(-3),$B$3)+1)*F22+INDEX(Symboles!$G$6:$G$101,MOD(20+$C22+(-2),$B$3)+1)*G22+INDEX(Symboles!$G$6:$G$101,MOD(20+$C22+(-1),$B$3)+1)*H22+INDEX(Symboles!$G$6:$G$101,MOD(20+$C22+(0),$B$3)+1)*I22+INDEX(Symboles!$G$6:$G$101,MOD(20+$C22+(1),$B$3)+1)*J22+INDEX(Symboles!$G$6:$G$101,MOD(20+$C22+(2),$B$3)+1)*K22+INDEX(Symboles!$G$6:$G$101,MOD(20+$C22+(3),$B$3)+1)*L22+INDEX(Symboles!$G$6:$G$101,MOD(20+$C22+(4),$B$3)+1)*M22+IF($B$6=0,0,$B$6*NORMSINV(0.000001+0.999998*RAND())))</f>
        <v/>
      </c>
      <c r="AK22" s="30">
        <f>IF(22&gt;$B$3,99,INDEX(Symboles!$G$6:$G$101,MOD(21+$C22+(-4),$B$3)+1)*E22+INDEX(Symboles!$G$6:$G$101,MOD(21+$C22+(-3),$B$3)+1)*F22+INDEX(Symboles!$G$6:$G$101,MOD(21+$C22+(-2),$B$3)+1)*G22+INDEX(Symboles!$G$6:$G$101,MOD(21+$C22+(-1),$B$3)+1)*H22+INDEX(Symboles!$G$6:$G$101,MOD(21+$C22+(0),$B$3)+1)*I22+INDEX(Symboles!$G$6:$G$101,MOD(21+$C22+(1),$B$3)+1)*J22+INDEX(Symboles!$G$6:$G$101,MOD(21+$C22+(2),$B$3)+1)*K22+INDEX(Symboles!$G$6:$G$101,MOD(21+$C22+(3),$B$3)+1)*L22+INDEX(Symboles!$G$6:$G$101,MOD(21+$C22+(4),$B$3)+1)*M22+IF($B$6=0,0,$B$6*NORMSINV(0.000001+0.999998*RAND())))</f>
        <v/>
      </c>
      <c r="AL22" s="30">
        <f>IF(23&gt;$B$3,99,INDEX(Symboles!$G$6:$G$101,MOD(22+$C22+(-4),$B$3)+1)*E22+INDEX(Symboles!$G$6:$G$101,MOD(22+$C22+(-3),$B$3)+1)*F22+INDEX(Symboles!$G$6:$G$101,MOD(22+$C22+(-2),$B$3)+1)*G22+INDEX(Symboles!$G$6:$G$101,MOD(22+$C22+(-1),$B$3)+1)*H22+INDEX(Symboles!$G$6:$G$101,MOD(22+$C22+(0),$B$3)+1)*I22+INDEX(Symboles!$G$6:$G$101,MOD(22+$C22+(1),$B$3)+1)*J22+INDEX(Symboles!$G$6:$G$101,MOD(22+$C22+(2),$B$3)+1)*K22+INDEX(Symboles!$G$6:$G$101,MOD(22+$C22+(3),$B$3)+1)*L22+INDEX(Symboles!$G$6:$G$101,MOD(22+$C22+(4),$B$3)+1)*M22+IF($B$6=0,0,$B$6*NORMSINV(0.000001+0.999998*RAND())))</f>
        <v/>
      </c>
      <c r="AM22" s="30">
        <f>IF(24&gt;$B$3,99,INDEX(Symboles!$G$6:$G$101,MOD(23+$C22+(-4),$B$3)+1)*E22+INDEX(Symboles!$G$6:$G$101,MOD(23+$C22+(-3),$B$3)+1)*F22+INDEX(Symboles!$G$6:$G$101,MOD(23+$C22+(-2),$B$3)+1)*G22+INDEX(Symboles!$G$6:$G$101,MOD(23+$C22+(-1),$B$3)+1)*H22+INDEX(Symboles!$G$6:$G$101,MOD(23+$C22+(0),$B$3)+1)*I22+INDEX(Symboles!$G$6:$G$101,MOD(23+$C22+(1),$B$3)+1)*J22+INDEX(Symboles!$G$6:$G$101,MOD(23+$C22+(2),$B$3)+1)*K22+INDEX(Symboles!$G$6:$G$101,MOD(23+$C22+(3),$B$3)+1)*L22+INDEX(Symboles!$G$6:$G$101,MOD(23+$C22+(4),$B$3)+1)*M22+IF($B$6=0,0,$B$6*NORMSINV(0.000001+0.999998*RAND())))</f>
        <v/>
      </c>
      <c r="AN22" s="30">
        <f>IF(25&gt;$B$3,99,INDEX(Symboles!$G$6:$G$101,MOD(24+$C22+(-4),$B$3)+1)*E22+INDEX(Symboles!$G$6:$G$101,MOD(24+$C22+(-3),$B$3)+1)*F22+INDEX(Symboles!$G$6:$G$101,MOD(24+$C22+(-2),$B$3)+1)*G22+INDEX(Symboles!$G$6:$G$101,MOD(24+$C22+(-1),$B$3)+1)*H22+INDEX(Symboles!$G$6:$G$101,MOD(24+$C22+(0),$B$3)+1)*I22+INDEX(Symboles!$G$6:$G$101,MOD(24+$C22+(1),$B$3)+1)*J22+INDEX(Symboles!$G$6:$G$101,MOD(24+$C22+(2),$B$3)+1)*K22+INDEX(Symboles!$G$6:$G$101,MOD(24+$C22+(3),$B$3)+1)*L22+INDEX(Symboles!$G$6:$G$101,MOD(24+$C22+(4),$B$3)+1)*M22+IF($B$6=0,0,$B$6*NORMSINV(0.000001+0.999998*RAND())))</f>
        <v/>
      </c>
      <c r="AO22" s="30">
        <f>IF(26&gt;$B$3,99,INDEX(Symboles!$G$6:$G$101,MOD(25+$C22+(-4),$B$3)+1)*E22+INDEX(Symboles!$G$6:$G$101,MOD(25+$C22+(-3),$B$3)+1)*F22+INDEX(Symboles!$G$6:$G$101,MOD(25+$C22+(-2),$B$3)+1)*G22+INDEX(Symboles!$G$6:$G$101,MOD(25+$C22+(-1),$B$3)+1)*H22+INDEX(Symboles!$G$6:$G$101,MOD(25+$C22+(0),$B$3)+1)*I22+INDEX(Symboles!$G$6:$G$101,MOD(25+$C22+(1),$B$3)+1)*J22+INDEX(Symboles!$G$6:$G$101,MOD(25+$C22+(2),$B$3)+1)*K22+INDEX(Symboles!$G$6:$G$101,MOD(25+$C22+(3),$B$3)+1)*L22+INDEX(Symboles!$G$6:$G$101,MOD(25+$C22+(4),$B$3)+1)*M22+IF($B$6=0,0,$B$6*NORMSINV(0.000001+0.999998*RAND())))</f>
        <v/>
      </c>
      <c r="AP22" s="30">
        <f>IF(27&gt;$B$3,99,INDEX(Symboles!$G$6:$G$101,MOD(26+$C22+(-4),$B$3)+1)*E22+INDEX(Symboles!$G$6:$G$101,MOD(26+$C22+(-3),$B$3)+1)*F22+INDEX(Symboles!$G$6:$G$101,MOD(26+$C22+(-2),$B$3)+1)*G22+INDEX(Symboles!$G$6:$G$101,MOD(26+$C22+(-1),$B$3)+1)*H22+INDEX(Symboles!$G$6:$G$101,MOD(26+$C22+(0),$B$3)+1)*I22+INDEX(Symboles!$G$6:$G$101,MOD(26+$C22+(1),$B$3)+1)*J22+INDEX(Symboles!$G$6:$G$101,MOD(26+$C22+(2),$B$3)+1)*K22+INDEX(Symboles!$G$6:$G$101,MOD(26+$C22+(3),$B$3)+1)*L22+INDEX(Symboles!$G$6:$G$101,MOD(26+$C22+(4),$B$3)+1)*M22+IF($B$6=0,0,$B$6*NORMSINV(0.000001+0.999998*RAND())))</f>
        <v/>
      </c>
      <c r="AQ22" s="30">
        <f>IF(28&gt;$B$3,99,INDEX(Symboles!$G$6:$G$101,MOD(27+$C22+(-4),$B$3)+1)*E22+INDEX(Symboles!$G$6:$G$101,MOD(27+$C22+(-3),$B$3)+1)*F22+INDEX(Symboles!$G$6:$G$101,MOD(27+$C22+(-2),$B$3)+1)*G22+INDEX(Symboles!$G$6:$G$101,MOD(27+$C22+(-1),$B$3)+1)*H22+INDEX(Symboles!$G$6:$G$101,MOD(27+$C22+(0),$B$3)+1)*I22+INDEX(Symboles!$G$6:$G$101,MOD(27+$C22+(1),$B$3)+1)*J22+INDEX(Symboles!$G$6:$G$101,MOD(27+$C22+(2),$B$3)+1)*K22+INDEX(Symboles!$G$6:$G$101,MOD(27+$C22+(3),$B$3)+1)*L22+INDEX(Symboles!$G$6:$G$101,MOD(27+$C22+(4),$B$3)+1)*M22+IF($B$6=0,0,$B$6*NORMSINV(0.000001+0.999998*RAND())))</f>
        <v/>
      </c>
      <c r="AR22" s="30">
        <f>IF(29&gt;$B$3,99,INDEX(Symboles!$G$6:$G$101,MOD(28+$C22+(-4),$B$3)+1)*E22+INDEX(Symboles!$G$6:$G$101,MOD(28+$C22+(-3),$B$3)+1)*F22+INDEX(Symboles!$G$6:$G$101,MOD(28+$C22+(-2),$B$3)+1)*G22+INDEX(Symboles!$G$6:$G$101,MOD(28+$C22+(-1),$B$3)+1)*H22+INDEX(Symboles!$G$6:$G$101,MOD(28+$C22+(0),$B$3)+1)*I22+INDEX(Symboles!$G$6:$G$101,MOD(28+$C22+(1),$B$3)+1)*J22+INDEX(Symboles!$G$6:$G$101,MOD(28+$C22+(2),$B$3)+1)*K22+INDEX(Symboles!$G$6:$G$101,MOD(28+$C22+(3),$B$3)+1)*L22+INDEX(Symboles!$G$6:$G$101,MOD(28+$C22+(4),$B$3)+1)*M22+IF($B$6=0,0,$B$6*NORMSINV(0.000001+0.999998*RAND())))</f>
        <v/>
      </c>
      <c r="AS22" s="30">
        <f>IF(30&gt;$B$3,99,INDEX(Symboles!$G$6:$G$101,MOD(29+$C22+(-4),$B$3)+1)*E22+INDEX(Symboles!$G$6:$G$101,MOD(29+$C22+(-3),$B$3)+1)*F22+INDEX(Symboles!$G$6:$G$101,MOD(29+$C22+(-2),$B$3)+1)*G22+INDEX(Symboles!$G$6:$G$101,MOD(29+$C22+(-1),$B$3)+1)*H22+INDEX(Symboles!$G$6:$G$101,MOD(29+$C22+(0),$B$3)+1)*I22+INDEX(Symboles!$G$6:$G$101,MOD(29+$C22+(1),$B$3)+1)*J22+INDEX(Symboles!$G$6:$G$101,MOD(29+$C22+(2),$B$3)+1)*K22+INDEX(Symboles!$G$6:$G$101,MOD(29+$C22+(3),$B$3)+1)*L22+INDEX(Symboles!$G$6:$G$101,MOD(29+$C22+(4),$B$3)+1)*M22+IF($B$6=0,0,$B$6*NORMSINV(0.000001+0.999998*RAND())))</f>
        <v/>
      </c>
      <c r="AT22" s="30">
        <f>IF(31&gt;$B$3,99,INDEX(Symboles!$G$6:$G$101,MOD(30+$C22+(-4),$B$3)+1)*E22+INDEX(Symboles!$G$6:$G$101,MOD(30+$C22+(-3),$B$3)+1)*F22+INDEX(Symboles!$G$6:$G$101,MOD(30+$C22+(-2),$B$3)+1)*G22+INDEX(Symboles!$G$6:$G$101,MOD(30+$C22+(-1),$B$3)+1)*H22+INDEX(Symboles!$G$6:$G$101,MOD(30+$C22+(0),$B$3)+1)*I22+INDEX(Symboles!$G$6:$G$101,MOD(30+$C22+(1),$B$3)+1)*J22+INDEX(Symboles!$G$6:$G$101,MOD(30+$C22+(2),$B$3)+1)*K22+INDEX(Symboles!$G$6:$G$101,MOD(30+$C22+(3),$B$3)+1)*L22+INDEX(Symboles!$G$6:$G$101,MOD(30+$C22+(4),$B$3)+1)*M22+IF($B$6=0,0,$B$6*NORMSINV(0.000001+0.999998*RAND())))</f>
        <v/>
      </c>
      <c r="AU22" s="30">
        <f>IF(32&gt;$B$3,99,INDEX(Symboles!$G$6:$G$101,MOD(31+$C22+(-4),$B$3)+1)*E22+INDEX(Symboles!$G$6:$G$101,MOD(31+$C22+(-3),$B$3)+1)*F22+INDEX(Symboles!$G$6:$G$101,MOD(31+$C22+(-2),$B$3)+1)*G22+INDEX(Symboles!$G$6:$G$101,MOD(31+$C22+(-1),$B$3)+1)*H22+INDEX(Symboles!$G$6:$G$101,MOD(31+$C22+(0),$B$3)+1)*I22+INDEX(Symboles!$G$6:$G$101,MOD(31+$C22+(1),$B$3)+1)*J22+INDEX(Symboles!$G$6:$G$101,MOD(31+$C22+(2),$B$3)+1)*K22+INDEX(Symboles!$G$6:$G$101,MOD(31+$C22+(3),$B$3)+1)*L22+INDEX(Symboles!$G$6:$G$101,MOD(31+$C22+(4),$B$3)+1)*M22+IF($B$6=0,0,$B$6*NORMSINV(0.000001+0.999998*RAND())))</f>
        <v/>
      </c>
      <c r="AV22" s="30">
        <f>IF(33&gt;$B$3,99,INDEX(Symboles!$G$6:$G$101,MOD(32+$C22+(-4),$B$3)+1)*E22+INDEX(Symboles!$G$6:$G$101,MOD(32+$C22+(-3),$B$3)+1)*F22+INDEX(Symboles!$G$6:$G$101,MOD(32+$C22+(-2),$B$3)+1)*G22+INDEX(Symboles!$G$6:$G$101,MOD(32+$C22+(-1),$B$3)+1)*H22+INDEX(Symboles!$G$6:$G$101,MOD(32+$C22+(0),$B$3)+1)*I22+INDEX(Symboles!$G$6:$G$101,MOD(32+$C22+(1),$B$3)+1)*J22+INDEX(Symboles!$G$6:$G$101,MOD(32+$C22+(2),$B$3)+1)*K22+INDEX(Symboles!$G$6:$G$101,MOD(32+$C22+(3),$B$3)+1)*L22+INDEX(Symboles!$G$6:$G$101,MOD(32+$C22+(4),$B$3)+1)*M22+IF($B$6=0,0,$B$6*NORMSINV(0.000001+0.999998*RAND())))</f>
        <v/>
      </c>
      <c r="AW22" s="30">
        <f>IF(34&gt;$B$3,99,INDEX(Symboles!$G$6:$G$101,MOD(33+$C22+(-4),$B$3)+1)*E22+INDEX(Symboles!$G$6:$G$101,MOD(33+$C22+(-3),$B$3)+1)*F22+INDEX(Symboles!$G$6:$G$101,MOD(33+$C22+(-2),$B$3)+1)*G22+INDEX(Symboles!$G$6:$G$101,MOD(33+$C22+(-1),$B$3)+1)*H22+INDEX(Symboles!$G$6:$G$101,MOD(33+$C22+(0),$B$3)+1)*I22+INDEX(Symboles!$G$6:$G$101,MOD(33+$C22+(1),$B$3)+1)*J22+INDEX(Symboles!$G$6:$G$101,MOD(33+$C22+(2),$B$3)+1)*K22+INDEX(Symboles!$G$6:$G$101,MOD(33+$C22+(3),$B$3)+1)*L22+INDEX(Symboles!$G$6:$G$101,MOD(33+$C22+(4),$B$3)+1)*M22+IF($B$6=0,0,$B$6*NORMSINV(0.000001+0.999998*RAND())))</f>
        <v/>
      </c>
      <c r="AX22" s="30">
        <f>IF(35&gt;$B$3,99,INDEX(Symboles!$G$6:$G$101,MOD(34+$C22+(-4),$B$3)+1)*E22+INDEX(Symboles!$G$6:$G$101,MOD(34+$C22+(-3),$B$3)+1)*F22+INDEX(Symboles!$G$6:$G$101,MOD(34+$C22+(-2),$B$3)+1)*G22+INDEX(Symboles!$G$6:$G$101,MOD(34+$C22+(-1),$B$3)+1)*H22+INDEX(Symboles!$G$6:$G$101,MOD(34+$C22+(0),$B$3)+1)*I22+INDEX(Symboles!$G$6:$G$101,MOD(34+$C22+(1),$B$3)+1)*J22+INDEX(Symboles!$G$6:$G$101,MOD(34+$C22+(2),$B$3)+1)*K22+INDEX(Symboles!$G$6:$G$101,MOD(34+$C22+(3),$B$3)+1)*L22+INDEX(Symboles!$G$6:$G$101,MOD(34+$C22+(4),$B$3)+1)*M22+IF($B$6=0,0,$B$6*NORMSINV(0.000001+0.999998*RAND())))</f>
        <v/>
      </c>
      <c r="AY22" s="30">
        <f>IF(36&gt;$B$3,99,INDEX(Symboles!$G$6:$G$101,MOD(35+$C22+(-4),$B$3)+1)*E22+INDEX(Symboles!$G$6:$G$101,MOD(35+$C22+(-3),$B$3)+1)*F22+INDEX(Symboles!$G$6:$G$101,MOD(35+$C22+(-2),$B$3)+1)*G22+INDEX(Symboles!$G$6:$G$101,MOD(35+$C22+(-1),$B$3)+1)*H22+INDEX(Symboles!$G$6:$G$101,MOD(35+$C22+(0),$B$3)+1)*I22+INDEX(Symboles!$G$6:$G$101,MOD(35+$C22+(1),$B$3)+1)*J22+INDEX(Symboles!$G$6:$G$101,MOD(35+$C22+(2),$B$3)+1)*K22+INDEX(Symboles!$G$6:$G$101,MOD(35+$C22+(3),$B$3)+1)*L22+INDEX(Symboles!$G$6:$G$101,MOD(35+$C22+(4),$B$3)+1)*M22+IF($B$6=0,0,$B$6*NORMSINV(0.000001+0.999998*RAND())))</f>
        <v/>
      </c>
      <c r="AZ22" s="30">
        <f>IF(37&gt;$B$3,99,INDEX(Symboles!$G$6:$G$101,MOD(36+$C22+(-4),$B$3)+1)*E22+INDEX(Symboles!$G$6:$G$101,MOD(36+$C22+(-3),$B$3)+1)*F22+INDEX(Symboles!$G$6:$G$101,MOD(36+$C22+(-2),$B$3)+1)*G22+INDEX(Symboles!$G$6:$G$101,MOD(36+$C22+(-1),$B$3)+1)*H22+INDEX(Symboles!$G$6:$G$101,MOD(36+$C22+(0),$B$3)+1)*I22+INDEX(Symboles!$G$6:$G$101,MOD(36+$C22+(1),$B$3)+1)*J22+INDEX(Symboles!$G$6:$G$101,MOD(36+$C22+(2),$B$3)+1)*K22+INDEX(Symboles!$G$6:$G$101,MOD(36+$C22+(3),$B$3)+1)*L22+INDEX(Symboles!$G$6:$G$101,MOD(36+$C22+(4),$B$3)+1)*M22+IF($B$6=0,0,$B$6*NORMSINV(0.000001+0.999998*RAND())))</f>
        <v/>
      </c>
      <c r="BA22" s="30">
        <f>IF(38&gt;$B$3,99,INDEX(Symboles!$G$6:$G$101,MOD(37+$C22+(-4),$B$3)+1)*E22+INDEX(Symboles!$G$6:$G$101,MOD(37+$C22+(-3),$B$3)+1)*F22+INDEX(Symboles!$G$6:$G$101,MOD(37+$C22+(-2),$B$3)+1)*G22+INDEX(Symboles!$G$6:$G$101,MOD(37+$C22+(-1),$B$3)+1)*H22+INDEX(Symboles!$G$6:$G$101,MOD(37+$C22+(0),$B$3)+1)*I22+INDEX(Symboles!$G$6:$G$101,MOD(37+$C22+(1),$B$3)+1)*J22+INDEX(Symboles!$G$6:$G$101,MOD(37+$C22+(2),$B$3)+1)*K22+INDEX(Symboles!$G$6:$G$101,MOD(37+$C22+(3),$B$3)+1)*L22+INDEX(Symboles!$G$6:$G$101,MOD(37+$C22+(4),$B$3)+1)*M22+IF($B$6=0,0,$B$6*NORMSINV(0.000001+0.999998*RAND())))</f>
        <v/>
      </c>
      <c r="BB22" s="30">
        <f>IF(39&gt;$B$3,99,INDEX(Symboles!$G$6:$G$101,MOD(38+$C22+(-4),$B$3)+1)*E22+INDEX(Symboles!$G$6:$G$101,MOD(38+$C22+(-3),$B$3)+1)*F22+INDEX(Symboles!$G$6:$G$101,MOD(38+$C22+(-2),$B$3)+1)*G22+INDEX(Symboles!$G$6:$G$101,MOD(38+$C22+(-1),$B$3)+1)*H22+INDEX(Symboles!$G$6:$G$101,MOD(38+$C22+(0),$B$3)+1)*I22+INDEX(Symboles!$G$6:$G$101,MOD(38+$C22+(1),$B$3)+1)*J22+INDEX(Symboles!$G$6:$G$101,MOD(38+$C22+(2),$B$3)+1)*K22+INDEX(Symboles!$G$6:$G$101,MOD(38+$C22+(3),$B$3)+1)*L22+INDEX(Symboles!$G$6:$G$101,MOD(38+$C22+(4),$B$3)+1)*M22+IF($B$6=0,0,$B$6*NORMSINV(0.000001+0.999998*RAND())))</f>
        <v/>
      </c>
      <c r="BC22" s="30">
        <f>IF(40&gt;$B$3,99,INDEX(Symboles!$G$6:$G$101,MOD(39+$C22+(-4),$B$3)+1)*E22+INDEX(Symboles!$G$6:$G$101,MOD(39+$C22+(-3),$B$3)+1)*F22+INDEX(Symboles!$G$6:$G$101,MOD(39+$C22+(-2),$B$3)+1)*G22+INDEX(Symboles!$G$6:$G$101,MOD(39+$C22+(-1),$B$3)+1)*H22+INDEX(Symboles!$G$6:$G$101,MOD(39+$C22+(0),$B$3)+1)*I22+INDEX(Symboles!$G$6:$G$101,MOD(39+$C22+(1),$B$3)+1)*J22+INDEX(Symboles!$G$6:$G$101,MOD(39+$C22+(2),$B$3)+1)*K22+INDEX(Symboles!$G$6:$G$101,MOD(39+$C22+(3),$B$3)+1)*L22+INDEX(Symboles!$G$6:$G$101,MOD(39+$C22+(4),$B$3)+1)*M22+IF($B$6=0,0,$B$6*NORMSINV(0.000001+0.999998*RAND())))</f>
        <v/>
      </c>
      <c r="BD22" s="30">
        <f>IF(41&gt;$B$3,99,INDEX(Symboles!$G$6:$G$101,MOD(40+$C22+(-4),$B$3)+1)*E22+INDEX(Symboles!$G$6:$G$101,MOD(40+$C22+(-3),$B$3)+1)*F22+INDEX(Symboles!$G$6:$G$101,MOD(40+$C22+(-2),$B$3)+1)*G22+INDEX(Symboles!$G$6:$G$101,MOD(40+$C22+(-1),$B$3)+1)*H22+INDEX(Symboles!$G$6:$G$101,MOD(40+$C22+(0),$B$3)+1)*I22+INDEX(Symboles!$G$6:$G$101,MOD(40+$C22+(1),$B$3)+1)*J22+INDEX(Symboles!$G$6:$G$101,MOD(40+$C22+(2),$B$3)+1)*K22+INDEX(Symboles!$G$6:$G$101,MOD(40+$C22+(3),$B$3)+1)*L22+INDEX(Symboles!$G$6:$G$101,MOD(40+$C22+(4),$B$3)+1)*M22+IF($B$6=0,0,$B$6*NORMSINV(0.000001+0.999998*RAND())))</f>
        <v/>
      </c>
      <c r="BE22" s="30">
        <f>IF(42&gt;$B$3,99,INDEX(Symboles!$G$6:$G$101,MOD(41+$C22+(-4),$B$3)+1)*E22+INDEX(Symboles!$G$6:$G$101,MOD(41+$C22+(-3),$B$3)+1)*F22+INDEX(Symboles!$G$6:$G$101,MOD(41+$C22+(-2),$B$3)+1)*G22+INDEX(Symboles!$G$6:$G$101,MOD(41+$C22+(-1),$B$3)+1)*H22+INDEX(Symboles!$G$6:$G$101,MOD(41+$C22+(0),$B$3)+1)*I22+INDEX(Symboles!$G$6:$G$101,MOD(41+$C22+(1),$B$3)+1)*J22+INDEX(Symboles!$G$6:$G$101,MOD(41+$C22+(2),$B$3)+1)*K22+INDEX(Symboles!$G$6:$G$101,MOD(41+$C22+(3),$B$3)+1)*L22+INDEX(Symboles!$G$6:$G$101,MOD(41+$C22+(4),$B$3)+1)*M22+IF($B$6=0,0,$B$6*NORMSINV(0.000001+0.999998*RAND())))</f>
        <v/>
      </c>
      <c r="BF22" s="30">
        <f>IF(43&gt;$B$3,99,INDEX(Symboles!$G$6:$G$101,MOD(42+$C22+(-4),$B$3)+1)*E22+INDEX(Symboles!$G$6:$G$101,MOD(42+$C22+(-3),$B$3)+1)*F22+INDEX(Symboles!$G$6:$G$101,MOD(42+$C22+(-2),$B$3)+1)*G22+INDEX(Symboles!$G$6:$G$101,MOD(42+$C22+(-1),$B$3)+1)*H22+INDEX(Symboles!$G$6:$G$101,MOD(42+$C22+(0),$B$3)+1)*I22+INDEX(Symboles!$G$6:$G$101,MOD(42+$C22+(1),$B$3)+1)*J22+INDEX(Symboles!$G$6:$G$101,MOD(42+$C22+(2),$B$3)+1)*K22+INDEX(Symboles!$G$6:$G$101,MOD(42+$C22+(3),$B$3)+1)*L22+INDEX(Symboles!$G$6:$G$101,MOD(42+$C22+(4),$B$3)+1)*M22+IF($B$6=0,0,$B$6*NORMSINV(0.000001+0.999998*RAND())))</f>
        <v/>
      </c>
      <c r="BG22" s="30">
        <f>IF(44&gt;$B$3,99,INDEX(Symboles!$G$6:$G$101,MOD(43+$C22+(-4),$B$3)+1)*E22+INDEX(Symboles!$G$6:$G$101,MOD(43+$C22+(-3),$B$3)+1)*F22+INDEX(Symboles!$G$6:$G$101,MOD(43+$C22+(-2),$B$3)+1)*G22+INDEX(Symboles!$G$6:$G$101,MOD(43+$C22+(-1),$B$3)+1)*H22+INDEX(Symboles!$G$6:$G$101,MOD(43+$C22+(0),$B$3)+1)*I22+INDEX(Symboles!$G$6:$G$101,MOD(43+$C22+(1),$B$3)+1)*J22+INDEX(Symboles!$G$6:$G$101,MOD(43+$C22+(2),$B$3)+1)*K22+INDEX(Symboles!$G$6:$G$101,MOD(43+$C22+(3),$B$3)+1)*L22+INDEX(Symboles!$G$6:$G$101,MOD(43+$C22+(4),$B$3)+1)*M22+IF($B$6=0,0,$B$6*NORMSINV(0.000001+0.999998*RAND())))</f>
        <v/>
      </c>
      <c r="BH22" s="30">
        <f>IF(45&gt;$B$3,99,INDEX(Symboles!$G$6:$G$101,MOD(44+$C22+(-4),$B$3)+1)*E22+INDEX(Symboles!$G$6:$G$101,MOD(44+$C22+(-3),$B$3)+1)*F22+INDEX(Symboles!$G$6:$G$101,MOD(44+$C22+(-2),$B$3)+1)*G22+INDEX(Symboles!$G$6:$G$101,MOD(44+$C22+(-1),$B$3)+1)*H22+INDEX(Symboles!$G$6:$G$101,MOD(44+$C22+(0),$B$3)+1)*I22+INDEX(Symboles!$G$6:$G$101,MOD(44+$C22+(1),$B$3)+1)*J22+INDEX(Symboles!$G$6:$G$101,MOD(44+$C22+(2),$B$3)+1)*K22+INDEX(Symboles!$G$6:$G$101,MOD(44+$C22+(3),$B$3)+1)*L22+INDEX(Symboles!$G$6:$G$101,MOD(44+$C22+(4),$B$3)+1)*M22+IF($B$6=0,0,$B$6*NORMSINV(0.000001+0.999998*RAND())))</f>
        <v/>
      </c>
      <c r="BI22" s="30">
        <f>IF(46&gt;$B$3,99,INDEX(Symboles!$G$6:$G$101,MOD(45+$C22+(-4),$B$3)+1)*E22+INDEX(Symboles!$G$6:$G$101,MOD(45+$C22+(-3),$B$3)+1)*F22+INDEX(Symboles!$G$6:$G$101,MOD(45+$C22+(-2),$B$3)+1)*G22+INDEX(Symboles!$G$6:$G$101,MOD(45+$C22+(-1),$B$3)+1)*H22+INDEX(Symboles!$G$6:$G$101,MOD(45+$C22+(0),$B$3)+1)*I22+INDEX(Symboles!$G$6:$G$101,MOD(45+$C22+(1),$B$3)+1)*J22+INDEX(Symboles!$G$6:$G$101,MOD(45+$C22+(2),$B$3)+1)*K22+INDEX(Symboles!$G$6:$G$101,MOD(45+$C22+(3),$B$3)+1)*L22+INDEX(Symboles!$G$6:$G$101,MOD(45+$C22+(4),$B$3)+1)*M22+IF($B$6=0,0,$B$6*NORMSINV(0.000001+0.999998*RAND())))</f>
        <v/>
      </c>
      <c r="BJ22" s="30">
        <f>IF(47&gt;$B$3,99,INDEX(Symboles!$G$6:$G$101,MOD(46+$C22+(-4),$B$3)+1)*E22+INDEX(Symboles!$G$6:$G$101,MOD(46+$C22+(-3),$B$3)+1)*F22+INDEX(Symboles!$G$6:$G$101,MOD(46+$C22+(-2),$B$3)+1)*G22+INDEX(Symboles!$G$6:$G$101,MOD(46+$C22+(-1),$B$3)+1)*H22+INDEX(Symboles!$G$6:$G$101,MOD(46+$C22+(0),$B$3)+1)*I22+INDEX(Symboles!$G$6:$G$101,MOD(46+$C22+(1),$B$3)+1)*J22+INDEX(Symboles!$G$6:$G$101,MOD(46+$C22+(2),$B$3)+1)*K22+INDEX(Symboles!$G$6:$G$101,MOD(46+$C22+(3),$B$3)+1)*L22+INDEX(Symboles!$G$6:$G$101,MOD(46+$C22+(4),$B$3)+1)*M22+IF($B$6=0,0,$B$6*NORMSINV(0.000001+0.999998*RAND())))</f>
        <v/>
      </c>
      <c r="BK22" s="30">
        <f>IF(48&gt;$B$3,99,INDEX(Symboles!$G$6:$G$101,MOD(47+$C22+(-4),$B$3)+1)*E22+INDEX(Symboles!$G$6:$G$101,MOD(47+$C22+(-3),$B$3)+1)*F22+INDEX(Symboles!$G$6:$G$101,MOD(47+$C22+(-2),$B$3)+1)*G22+INDEX(Symboles!$G$6:$G$101,MOD(47+$C22+(-1),$B$3)+1)*H22+INDEX(Symboles!$G$6:$G$101,MOD(47+$C22+(0),$B$3)+1)*I22+INDEX(Symboles!$G$6:$G$101,MOD(47+$C22+(1),$B$3)+1)*J22+INDEX(Symboles!$G$6:$G$101,MOD(47+$C22+(2),$B$3)+1)*K22+INDEX(Symboles!$G$6:$G$101,MOD(47+$C22+(3),$B$3)+1)*L22+INDEX(Symboles!$G$6:$G$101,MOD(47+$C22+(4),$B$3)+1)*M22+IF($B$6=0,0,$B$6*NORMSINV(0.000001+0.999998*RAND())))</f>
        <v/>
      </c>
      <c r="BL22" s="30">
        <f>IF(49&gt;$B$3,99,INDEX(Symboles!$G$6:$G$101,MOD(48+$C22+(-4),$B$3)+1)*E22+INDEX(Symboles!$G$6:$G$101,MOD(48+$C22+(-3),$B$3)+1)*F22+INDEX(Symboles!$G$6:$G$101,MOD(48+$C22+(-2),$B$3)+1)*G22+INDEX(Symboles!$G$6:$G$101,MOD(48+$C22+(-1),$B$3)+1)*H22+INDEX(Symboles!$G$6:$G$101,MOD(48+$C22+(0),$B$3)+1)*I22+INDEX(Symboles!$G$6:$G$101,MOD(48+$C22+(1),$B$3)+1)*J22+INDEX(Symboles!$G$6:$G$101,MOD(48+$C22+(2),$B$3)+1)*K22+INDEX(Symboles!$G$6:$G$101,MOD(48+$C22+(3),$B$3)+1)*L22+INDEX(Symboles!$G$6:$G$101,MOD(48+$C22+(4),$B$3)+1)*M22+IF($B$6=0,0,$B$6*NORMSINV(0.000001+0.999998*RAND())))</f>
        <v/>
      </c>
      <c r="BM22" s="30">
        <f>IF(50&gt;$B$3,99,INDEX(Symboles!$G$6:$G$101,MOD(49+$C22+(-4),$B$3)+1)*E22+INDEX(Symboles!$G$6:$G$101,MOD(49+$C22+(-3),$B$3)+1)*F22+INDEX(Symboles!$G$6:$G$101,MOD(49+$C22+(-2),$B$3)+1)*G22+INDEX(Symboles!$G$6:$G$101,MOD(49+$C22+(-1),$B$3)+1)*H22+INDEX(Symboles!$G$6:$G$101,MOD(49+$C22+(0),$B$3)+1)*I22+INDEX(Symboles!$G$6:$G$101,MOD(49+$C22+(1),$B$3)+1)*J22+INDEX(Symboles!$G$6:$G$101,MOD(49+$C22+(2),$B$3)+1)*K22+INDEX(Symboles!$G$6:$G$101,MOD(49+$C22+(3),$B$3)+1)*L22+INDEX(Symboles!$G$6:$G$101,MOD(49+$C22+(4),$B$3)+1)*M22+IF($B$6=0,0,$B$6*NORMSINV(0.000001+0.999998*RAND())))</f>
        <v/>
      </c>
      <c r="BN22" s="30">
        <f>IF(51&gt;$B$3,99,INDEX(Symboles!$G$6:$G$101,MOD(50+$C22+(-4),$B$3)+1)*E22+INDEX(Symboles!$G$6:$G$101,MOD(50+$C22+(-3),$B$3)+1)*F22+INDEX(Symboles!$G$6:$G$101,MOD(50+$C22+(-2),$B$3)+1)*G22+INDEX(Symboles!$G$6:$G$101,MOD(50+$C22+(-1),$B$3)+1)*H22+INDEX(Symboles!$G$6:$G$101,MOD(50+$C22+(0),$B$3)+1)*I22+INDEX(Symboles!$G$6:$G$101,MOD(50+$C22+(1),$B$3)+1)*J22+INDEX(Symboles!$G$6:$G$101,MOD(50+$C22+(2),$B$3)+1)*K22+INDEX(Symboles!$G$6:$G$101,MOD(50+$C22+(3),$B$3)+1)*L22+INDEX(Symboles!$G$6:$G$101,MOD(50+$C22+(4),$B$3)+1)*M22+IF($B$6=0,0,$B$6*NORMSINV(0.000001+0.999998*RAND())))</f>
        <v/>
      </c>
      <c r="BO22" s="30">
        <f>IF(52&gt;$B$3,99,INDEX(Symboles!$G$6:$G$101,MOD(51+$C22+(-4),$B$3)+1)*E22+INDEX(Symboles!$G$6:$G$101,MOD(51+$C22+(-3),$B$3)+1)*F22+INDEX(Symboles!$G$6:$G$101,MOD(51+$C22+(-2),$B$3)+1)*G22+INDEX(Symboles!$G$6:$G$101,MOD(51+$C22+(-1),$B$3)+1)*H22+INDEX(Symboles!$G$6:$G$101,MOD(51+$C22+(0),$B$3)+1)*I22+INDEX(Symboles!$G$6:$G$101,MOD(51+$C22+(1),$B$3)+1)*J22+INDEX(Symboles!$G$6:$G$101,MOD(51+$C22+(2),$B$3)+1)*K22+INDEX(Symboles!$G$6:$G$101,MOD(51+$C22+(3),$B$3)+1)*L22+INDEX(Symboles!$G$6:$G$101,MOD(51+$C22+(4),$B$3)+1)*M22+IF($B$6=0,0,$B$6*NORMSINV(0.000001+0.999998*RAND())))</f>
        <v/>
      </c>
      <c r="BP22" s="30">
        <f>IF(53&gt;$B$3,99,INDEX(Symboles!$G$6:$G$101,MOD(52+$C22+(-4),$B$3)+1)*E22+INDEX(Symboles!$G$6:$G$101,MOD(52+$C22+(-3),$B$3)+1)*F22+INDEX(Symboles!$G$6:$G$101,MOD(52+$C22+(-2),$B$3)+1)*G22+INDEX(Symboles!$G$6:$G$101,MOD(52+$C22+(-1),$B$3)+1)*H22+INDEX(Symboles!$G$6:$G$101,MOD(52+$C22+(0),$B$3)+1)*I22+INDEX(Symboles!$G$6:$G$101,MOD(52+$C22+(1),$B$3)+1)*J22+INDEX(Symboles!$G$6:$G$101,MOD(52+$C22+(2),$B$3)+1)*K22+INDEX(Symboles!$G$6:$G$101,MOD(52+$C22+(3),$B$3)+1)*L22+INDEX(Symboles!$G$6:$G$101,MOD(52+$C22+(4),$B$3)+1)*M22+IF($B$6=0,0,$B$6*NORMSINV(0.000001+0.999998*RAND())))</f>
        <v/>
      </c>
      <c r="BQ22" s="30">
        <f>IF(54&gt;$B$3,99,INDEX(Symboles!$G$6:$G$101,MOD(53+$C22+(-4),$B$3)+1)*E22+INDEX(Symboles!$G$6:$G$101,MOD(53+$C22+(-3),$B$3)+1)*F22+INDEX(Symboles!$G$6:$G$101,MOD(53+$C22+(-2),$B$3)+1)*G22+INDEX(Symboles!$G$6:$G$101,MOD(53+$C22+(-1),$B$3)+1)*H22+INDEX(Symboles!$G$6:$G$101,MOD(53+$C22+(0),$B$3)+1)*I22+INDEX(Symboles!$G$6:$G$101,MOD(53+$C22+(1),$B$3)+1)*J22+INDEX(Symboles!$G$6:$G$101,MOD(53+$C22+(2),$B$3)+1)*K22+INDEX(Symboles!$G$6:$G$101,MOD(53+$C22+(3),$B$3)+1)*L22+INDEX(Symboles!$G$6:$G$101,MOD(53+$C22+(4),$B$3)+1)*M22+IF($B$6=0,0,$B$6*NORMSINV(0.000001+0.999998*RAND())))</f>
        <v/>
      </c>
      <c r="BR22" s="30">
        <f>IF(55&gt;$B$3,99,INDEX(Symboles!$G$6:$G$101,MOD(54+$C22+(-4),$B$3)+1)*E22+INDEX(Symboles!$G$6:$G$101,MOD(54+$C22+(-3),$B$3)+1)*F22+INDEX(Symboles!$G$6:$G$101,MOD(54+$C22+(-2),$B$3)+1)*G22+INDEX(Symboles!$G$6:$G$101,MOD(54+$C22+(-1),$B$3)+1)*H22+INDEX(Symboles!$G$6:$G$101,MOD(54+$C22+(0),$B$3)+1)*I22+INDEX(Symboles!$G$6:$G$101,MOD(54+$C22+(1),$B$3)+1)*J22+INDEX(Symboles!$G$6:$G$101,MOD(54+$C22+(2),$B$3)+1)*K22+INDEX(Symboles!$G$6:$G$101,MOD(54+$C22+(3),$B$3)+1)*L22+INDEX(Symboles!$G$6:$G$101,MOD(54+$C22+(4),$B$3)+1)*M22+IF($B$6=0,0,$B$6*NORMSINV(0.000001+0.999998*RAND())))</f>
        <v/>
      </c>
      <c r="BS22" s="30">
        <f>IF(56&gt;$B$3,99,INDEX(Symboles!$G$6:$G$101,MOD(55+$C22+(-4),$B$3)+1)*E22+INDEX(Symboles!$G$6:$G$101,MOD(55+$C22+(-3),$B$3)+1)*F22+INDEX(Symboles!$G$6:$G$101,MOD(55+$C22+(-2),$B$3)+1)*G22+INDEX(Symboles!$G$6:$G$101,MOD(55+$C22+(-1),$B$3)+1)*H22+INDEX(Symboles!$G$6:$G$101,MOD(55+$C22+(0),$B$3)+1)*I22+INDEX(Symboles!$G$6:$G$101,MOD(55+$C22+(1),$B$3)+1)*J22+INDEX(Symboles!$G$6:$G$101,MOD(55+$C22+(2),$B$3)+1)*K22+INDEX(Symboles!$G$6:$G$101,MOD(55+$C22+(3),$B$3)+1)*L22+INDEX(Symboles!$G$6:$G$101,MOD(55+$C22+(4),$B$3)+1)*M22+IF($B$6=0,0,$B$6*NORMSINV(0.000001+0.999998*RAND())))</f>
        <v/>
      </c>
      <c r="BT22" s="30">
        <f>IF(57&gt;$B$3,99,INDEX(Symboles!$G$6:$G$101,MOD(56+$C22+(-4),$B$3)+1)*E22+INDEX(Symboles!$G$6:$G$101,MOD(56+$C22+(-3),$B$3)+1)*F22+INDEX(Symboles!$G$6:$G$101,MOD(56+$C22+(-2),$B$3)+1)*G22+INDEX(Symboles!$G$6:$G$101,MOD(56+$C22+(-1),$B$3)+1)*H22+INDEX(Symboles!$G$6:$G$101,MOD(56+$C22+(0),$B$3)+1)*I22+INDEX(Symboles!$G$6:$G$101,MOD(56+$C22+(1),$B$3)+1)*J22+INDEX(Symboles!$G$6:$G$101,MOD(56+$C22+(2),$B$3)+1)*K22+INDEX(Symboles!$G$6:$G$101,MOD(56+$C22+(3),$B$3)+1)*L22+INDEX(Symboles!$G$6:$G$101,MOD(56+$C22+(4),$B$3)+1)*M22+IF($B$6=0,0,$B$6*NORMSINV(0.000001+0.999998*RAND())))</f>
        <v/>
      </c>
      <c r="BU22" s="30">
        <f>IF(58&gt;$B$3,99,INDEX(Symboles!$G$6:$G$101,MOD(57+$C22+(-4),$B$3)+1)*E22+INDEX(Symboles!$G$6:$G$101,MOD(57+$C22+(-3),$B$3)+1)*F22+INDEX(Symboles!$G$6:$G$101,MOD(57+$C22+(-2),$B$3)+1)*G22+INDEX(Symboles!$G$6:$G$101,MOD(57+$C22+(-1),$B$3)+1)*H22+INDEX(Symboles!$G$6:$G$101,MOD(57+$C22+(0),$B$3)+1)*I22+INDEX(Symboles!$G$6:$G$101,MOD(57+$C22+(1),$B$3)+1)*J22+INDEX(Symboles!$G$6:$G$101,MOD(57+$C22+(2),$B$3)+1)*K22+INDEX(Symboles!$G$6:$G$101,MOD(57+$C22+(3),$B$3)+1)*L22+INDEX(Symboles!$G$6:$G$101,MOD(57+$C22+(4),$B$3)+1)*M22+IF($B$6=0,0,$B$6*NORMSINV(0.000001+0.999998*RAND())))</f>
        <v/>
      </c>
      <c r="BV22" s="30">
        <f>IF(59&gt;$B$3,99,INDEX(Symboles!$G$6:$G$101,MOD(58+$C22+(-4),$B$3)+1)*E22+INDEX(Symboles!$G$6:$G$101,MOD(58+$C22+(-3),$B$3)+1)*F22+INDEX(Symboles!$G$6:$G$101,MOD(58+$C22+(-2),$B$3)+1)*G22+INDEX(Symboles!$G$6:$G$101,MOD(58+$C22+(-1),$B$3)+1)*H22+INDEX(Symboles!$G$6:$G$101,MOD(58+$C22+(0),$B$3)+1)*I22+INDEX(Symboles!$G$6:$G$101,MOD(58+$C22+(1),$B$3)+1)*J22+INDEX(Symboles!$G$6:$G$101,MOD(58+$C22+(2),$B$3)+1)*K22+INDEX(Symboles!$G$6:$G$101,MOD(58+$C22+(3),$B$3)+1)*L22+INDEX(Symboles!$G$6:$G$101,MOD(58+$C22+(4),$B$3)+1)*M22+IF($B$6=0,0,$B$6*NORMSINV(0.000001+0.999998*RAND())))</f>
        <v/>
      </c>
      <c r="BW22" s="30">
        <f>IF(60&gt;$B$3,99,INDEX(Symboles!$G$6:$G$101,MOD(59+$C22+(-4),$B$3)+1)*E22+INDEX(Symboles!$G$6:$G$101,MOD(59+$C22+(-3),$B$3)+1)*F22+INDEX(Symboles!$G$6:$G$101,MOD(59+$C22+(-2),$B$3)+1)*G22+INDEX(Symboles!$G$6:$G$101,MOD(59+$C22+(-1),$B$3)+1)*H22+INDEX(Symboles!$G$6:$G$101,MOD(59+$C22+(0),$B$3)+1)*I22+INDEX(Symboles!$G$6:$G$101,MOD(59+$C22+(1),$B$3)+1)*J22+INDEX(Symboles!$G$6:$G$101,MOD(59+$C22+(2),$B$3)+1)*K22+INDEX(Symboles!$G$6:$G$101,MOD(59+$C22+(3),$B$3)+1)*L22+INDEX(Symboles!$G$6:$G$101,MOD(59+$C22+(4),$B$3)+1)*M22+IF($B$6=0,0,$B$6*NORMSINV(0.000001+0.999998*RAND())))</f>
        <v/>
      </c>
      <c r="BX22" s="30">
        <f>IF(61&gt;$B$3,99,INDEX(Symboles!$G$6:$G$101,MOD(60+$C22+(-4),$B$3)+1)*E22+INDEX(Symboles!$G$6:$G$101,MOD(60+$C22+(-3),$B$3)+1)*F22+INDEX(Symboles!$G$6:$G$101,MOD(60+$C22+(-2),$B$3)+1)*G22+INDEX(Symboles!$G$6:$G$101,MOD(60+$C22+(-1),$B$3)+1)*H22+INDEX(Symboles!$G$6:$G$101,MOD(60+$C22+(0),$B$3)+1)*I22+INDEX(Symboles!$G$6:$G$101,MOD(60+$C22+(1),$B$3)+1)*J22+INDEX(Symboles!$G$6:$G$101,MOD(60+$C22+(2),$B$3)+1)*K22+INDEX(Symboles!$G$6:$G$101,MOD(60+$C22+(3),$B$3)+1)*L22+INDEX(Symboles!$G$6:$G$101,MOD(60+$C22+(4),$B$3)+1)*M22+IF($B$6=0,0,$B$6*NORMSINV(0.000001+0.999998*RAND())))</f>
        <v/>
      </c>
      <c r="BY22" s="30">
        <f>IF(62&gt;$B$3,99,INDEX(Symboles!$G$6:$G$101,MOD(61+$C22+(-4),$B$3)+1)*E22+INDEX(Symboles!$G$6:$G$101,MOD(61+$C22+(-3),$B$3)+1)*F22+INDEX(Symboles!$G$6:$G$101,MOD(61+$C22+(-2),$B$3)+1)*G22+INDEX(Symboles!$G$6:$G$101,MOD(61+$C22+(-1),$B$3)+1)*H22+INDEX(Symboles!$G$6:$G$101,MOD(61+$C22+(0),$B$3)+1)*I22+INDEX(Symboles!$G$6:$G$101,MOD(61+$C22+(1),$B$3)+1)*J22+INDEX(Symboles!$G$6:$G$101,MOD(61+$C22+(2),$B$3)+1)*K22+INDEX(Symboles!$G$6:$G$101,MOD(61+$C22+(3),$B$3)+1)*L22+INDEX(Symboles!$G$6:$G$101,MOD(61+$C22+(4),$B$3)+1)*M22+IF($B$6=0,0,$B$6*NORMSINV(0.000001+0.999998*RAND())))</f>
        <v/>
      </c>
      <c r="BZ22" s="30">
        <f>IF(63&gt;$B$3,99,INDEX(Symboles!$G$6:$G$101,MOD(62+$C22+(-4),$B$3)+1)*E22+INDEX(Symboles!$G$6:$G$101,MOD(62+$C22+(-3),$B$3)+1)*F22+INDEX(Symboles!$G$6:$G$101,MOD(62+$C22+(-2),$B$3)+1)*G22+INDEX(Symboles!$G$6:$G$101,MOD(62+$C22+(-1),$B$3)+1)*H22+INDEX(Symboles!$G$6:$G$101,MOD(62+$C22+(0),$B$3)+1)*I22+INDEX(Symboles!$G$6:$G$101,MOD(62+$C22+(1),$B$3)+1)*J22+INDEX(Symboles!$G$6:$G$101,MOD(62+$C22+(2),$B$3)+1)*K22+INDEX(Symboles!$G$6:$G$101,MOD(62+$C22+(3),$B$3)+1)*L22+INDEX(Symboles!$G$6:$G$101,MOD(62+$C22+(4),$B$3)+1)*M22+IF($B$6=0,0,$B$6*NORMSINV(0.000001+0.999998*RAND())))</f>
        <v/>
      </c>
      <c r="CA22" s="30">
        <f>IF(64&gt;$B$3,99,INDEX(Symboles!$G$6:$G$101,MOD(63+$C22+(-4),$B$3)+1)*E22+INDEX(Symboles!$G$6:$G$101,MOD(63+$C22+(-3),$B$3)+1)*F22+INDEX(Symboles!$G$6:$G$101,MOD(63+$C22+(-2),$B$3)+1)*G22+INDEX(Symboles!$G$6:$G$101,MOD(63+$C22+(-1),$B$3)+1)*H22+INDEX(Symboles!$G$6:$G$101,MOD(63+$C22+(0),$B$3)+1)*I22+INDEX(Symboles!$G$6:$G$101,MOD(63+$C22+(1),$B$3)+1)*J22+INDEX(Symboles!$G$6:$G$101,MOD(63+$C22+(2),$B$3)+1)*K22+INDEX(Symboles!$G$6:$G$101,MOD(63+$C22+(3),$B$3)+1)*L22+INDEX(Symboles!$G$6:$G$101,MOD(63+$C22+(4),$B$3)+1)*M22+IF($B$6=0,0,$B$6*NORMSINV(0.000001+0.999998*RAND())))</f>
        <v/>
      </c>
      <c r="CB22" s="30">
        <f>IF(65&gt;$B$3,99,INDEX(Symboles!$G$6:$G$101,MOD(64+$C22+(-4),$B$3)+1)*E22+INDEX(Symboles!$G$6:$G$101,MOD(64+$C22+(-3),$B$3)+1)*F22+INDEX(Symboles!$G$6:$G$101,MOD(64+$C22+(-2),$B$3)+1)*G22+INDEX(Symboles!$G$6:$G$101,MOD(64+$C22+(-1),$B$3)+1)*H22+INDEX(Symboles!$G$6:$G$101,MOD(64+$C22+(0),$B$3)+1)*I22+INDEX(Symboles!$G$6:$G$101,MOD(64+$C22+(1),$B$3)+1)*J22+INDEX(Symboles!$G$6:$G$101,MOD(64+$C22+(2),$B$3)+1)*K22+INDEX(Symboles!$G$6:$G$101,MOD(64+$C22+(3),$B$3)+1)*L22+INDEX(Symboles!$G$6:$G$101,MOD(64+$C22+(4),$B$3)+1)*M22+IF($B$6=0,0,$B$6*NORMSINV(0.000001+0.999998*RAND())))</f>
        <v/>
      </c>
      <c r="CC22" s="30">
        <f>IF(66&gt;$B$3,99,INDEX(Symboles!$G$6:$G$101,MOD(65+$C22+(-4),$B$3)+1)*E22+INDEX(Symboles!$G$6:$G$101,MOD(65+$C22+(-3),$B$3)+1)*F22+INDEX(Symboles!$G$6:$G$101,MOD(65+$C22+(-2),$B$3)+1)*G22+INDEX(Symboles!$G$6:$G$101,MOD(65+$C22+(-1),$B$3)+1)*H22+INDEX(Symboles!$G$6:$G$101,MOD(65+$C22+(0),$B$3)+1)*I22+INDEX(Symboles!$G$6:$G$101,MOD(65+$C22+(1),$B$3)+1)*J22+INDEX(Symboles!$G$6:$G$101,MOD(65+$C22+(2),$B$3)+1)*K22+INDEX(Symboles!$G$6:$G$101,MOD(65+$C22+(3),$B$3)+1)*L22+INDEX(Symboles!$G$6:$G$101,MOD(65+$C22+(4),$B$3)+1)*M22+IF($B$6=0,0,$B$6*NORMSINV(0.000001+0.999998*RAND())))</f>
        <v/>
      </c>
      <c r="CD22" s="30">
        <f>IF(67&gt;$B$3,99,INDEX(Symboles!$G$6:$G$101,MOD(66+$C22+(-4),$B$3)+1)*E22+INDEX(Symboles!$G$6:$G$101,MOD(66+$C22+(-3),$B$3)+1)*F22+INDEX(Symboles!$G$6:$G$101,MOD(66+$C22+(-2),$B$3)+1)*G22+INDEX(Symboles!$G$6:$G$101,MOD(66+$C22+(-1),$B$3)+1)*H22+INDEX(Symboles!$G$6:$G$101,MOD(66+$C22+(0),$B$3)+1)*I22+INDEX(Symboles!$G$6:$G$101,MOD(66+$C22+(1),$B$3)+1)*J22+INDEX(Symboles!$G$6:$G$101,MOD(66+$C22+(2),$B$3)+1)*K22+INDEX(Symboles!$G$6:$G$101,MOD(66+$C22+(3),$B$3)+1)*L22+INDEX(Symboles!$G$6:$G$101,MOD(66+$C22+(4),$B$3)+1)*M22+IF($B$6=0,0,$B$6*NORMSINV(0.000001+0.999998*RAND())))</f>
        <v/>
      </c>
      <c r="CE22" s="30">
        <f>IF(68&gt;$B$3,99,INDEX(Symboles!$G$6:$G$101,MOD(67+$C22+(-4),$B$3)+1)*E22+INDEX(Symboles!$G$6:$G$101,MOD(67+$C22+(-3),$B$3)+1)*F22+INDEX(Symboles!$G$6:$G$101,MOD(67+$C22+(-2),$B$3)+1)*G22+INDEX(Symboles!$G$6:$G$101,MOD(67+$C22+(-1),$B$3)+1)*H22+INDEX(Symboles!$G$6:$G$101,MOD(67+$C22+(0),$B$3)+1)*I22+INDEX(Symboles!$G$6:$G$101,MOD(67+$C22+(1),$B$3)+1)*J22+INDEX(Symboles!$G$6:$G$101,MOD(67+$C22+(2),$B$3)+1)*K22+INDEX(Symboles!$G$6:$G$101,MOD(67+$C22+(3),$B$3)+1)*L22+INDEX(Symboles!$G$6:$G$101,MOD(67+$C22+(4),$B$3)+1)*M22+IF($B$6=0,0,$B$6*NORMSINV(0.000001+0.999998*RAND())))</f>
        <v/>
      </c>
      <c r="CF22" s="30">
        <f>IF(69&gt;$B$3,99,INDEX(Symboles!$G$6:$G$101,MOD(68+$C22+(-4),$B$3)+1)*E22+INDEX(Symboles!$G$6:$G$101,MOD(68+$C22+(-3),$B$3)+1)*F22+INDEX(Symboles!$G$6:$G$101,MOD(68+$C22+(-2),$B$3)+1)*G22+INDEX(Symboles!$G$6:$G$101,MOD(68+$C22+(-1),$B$3)+1)*H22+INDEX(Symboles!$G$6:$G$101,MOD(68+$C22+(0),$B$3)+1)*I22+INDEX(Symboles!$G$6:$G$101,MOD(68+$C22+(1),$B$3)+1)*J22+INDEX(Symboles!$G$6:$G$101,MOD(68+$C22+(2),$B$3)+1)*K22+INDEX(Symboles!$G$6:$G$101,MOD(68+$C22+(3),$B$3)+1)*L22+INDEX(Symboles!$G$6:$G$101,MOD(68+$C22+(4),$B$3)+1)*M22+IF($B$6=0,0,$B$6*NORMSINV(0.000001+0.999998*RAND())))</f>
        <v/>
      </c>
      <c r="CG22" s="30">
        <f>IF(70&gt;$B$3,99,INDEX(Symboles!$G$6:$G$101,MOD(69+$C22+(-4),$B$3)+1)*E22+INDEX(Symboles!$G$6:$G$101,MOD(69+$C22+(-3),$B$3)+1)*F22+INDEX(Symboles!$G$6:$G$101,MOD(69+$C22+(-2),$B$3)+1)*G22+INDEX(Symboles!$G$6:$G$101,MOD(69+$C22+(-1),$B$3)+1)*H22+INDEX(Symboles!$G$6:$G$101,MOD(69+$C22+(0),$B$3)+1)*I22+INDEX(Symboles!$G$6:$G$101,MOD(69+$C22+(1),$B$3)+1)*J22+INDEX(Symboles!$G$6:$G$101,MOD(69+$C22+(2),$B$3)+1)*K22+INDEX(Symboles!$G$6:$G$101,MOD(69+$C22+(3),$B$3)+1)*L22+INDEX(Symboles!$G$6:$G$101,MOD(69+$C22+(4),$B$3)+1)*M22+IF($B$6=0,0,$B$6*NORMSINV(0.000001+0.999998*RAND())))</f>
        <v/>
      </c>
      <c r="CH22" s="30">
        <f>IF(71&gt;$B$3,99,INDEX(Symboles!$G$6:$G$101,MOD(70+$C22+(-4),$B$3)+1)*E22+INDEX(Symboles!$G$6:$G$101,MOD(70+$C22+(-3),$B$3)+1)*F22+INDEX(Symboles!$G$6:$G$101,MOD(70+$C22+(-2),$B$3)+1)*G22+INDEX(Symboles!$G$6:$G$101,MOD(70+$C22+(-1),$B$3)+1)*H22+INDEX(Symboles!$G$6:$G$101,MOD(70+$C22+(0),$B$3)+1)*I22+INDEX(Symboles!$G$6:$G$101,MOD(70+$C22+(1),$B$3)+1)*J22+INDEX(Symboles!$G$6:$G$101,MOD(70+$C22+(2),$B$3)+1)*K22+INDEX(Symboles!$G$6:$G$101,MOD(70+$C22+(3),$B$3)+1)*L22+INDEX(Symboles!$G$6:$G$101,MOD(70+$C22+(4),$B$3)+1)*M22+IF($B$6=0,0,$B$6*NORMSINV(0.000001+0.999998*RAND())))</f>
        <v/>
      </c>
      <c r="CI22" s="30">
        <f>IF(72&gt;$B$3,99,INDEX(Symboles!$G$6:$G$101,MOD(71+$C22+(-4),$B$3)+1)*E22+INDEX(Symboles!$G$6:$G$101,MOD(71+$C22+(-3),$B$3)+1)*F22+INDEX(Symboles!$G$6:$G$101,MOD(71+$C22+(-2),$B$3)+1)*G22+INDEX(Symboles!$G$6:$G$101,MOD(71+$C22+(-1),$B$3)+1)*H22+INDEX(Symboles!$G$6:$G$101,MOD(71+$C22+(0),$B$3)+1)*I22+INDEX(Symboles!$G$6:$G$101,MOD(71+$C22+(1),$B$3)+1)*J22+INDEX(Symboles!$G$6:$G$101,MOD(71+$C22+(2),$B$3)+1)*K22+INDEX(Symboles!$G$6:$G$101,MOD(71+$C22+(3),$B$3)+1)*L22+INDEX(Symboles!$G$6:$G$101,MOD(71+$C22+(4),$B$3)+1)*M22+IF($B$6=0,0,$B$6*NORMSINV(0.000001+0.999998*RAND())))</f>
        <v/>
      </c>
      <c r="CJ22" s="30">
        <f>IF(73&gt;$B$3,99,INDEX(Symboles!$G$6:$G$101,MOD(72+$C22+(-4),$B$3)+1)*E22+INDEX(Symboles!$G$6:$G$101,MOD(72+$C22+(-3),$B$3)+1)*F22+INDEX(Symboles!$G$6:$G$101,MOD(72+$C22+(-2),$B$3)+1)*G22+INDEX(Symboles!$G$6:$G$101,MOD(72+$C22+(-1),$B$3)+1)*H22+INDEX(Symboles!$G$6:$G$101,MOD(72+$C22+(0),$B$3)+1)*I22+INDEX(Symboles!$G$6:$G$101,MOD(72+$C22+(1),$B$3)+1)*J22+INDEX(Symboles!$G$6:$G$101,MOD(72+$C22+(2),$B$3)+1)*K22+INDEX(Symboles!$G$6:$G$101,MOD(72+$C22+(3),$B$3)+1)*L22+INDEX(Symboles!$G$6:$G$101,MOD(72+$C22+(4),$B$3)+1)*M22+IF($B$6=0,0,$B$6*NORMSINV(0.000001+0.999998*RAND())))</f>
        <v/>
      </c>
      <c r="CK22" s="30">
        <f>IF(74&gt;$B$3,99,INDEX(Symboles!$G$6:$G$101,MOD(73+$C22+(-4),$B$3)+1)*E22+INDEX(Symboles!$G$6:$G$101,MOD(73+$C22+(-3),$B$3)+1)*F22+INDEX(Symboles!$G$6:$G$101,MOD(73+$C22+(-2),$B$3)+1)*G22+INDEX(Symboles!$G$6:$G$101,MOD(73+$C22+(-1),$B$3)+1)*H22+INDEX(Symboles!$G$6:$G$101,MOD(73+$C22+(0),$B$3)+1)*I22+INDEX(Symboles!$G$6:$G$101,MOD(73+$C22+(1),$B$3)+1)*J22+INDEX(Symboles!$G$6:$G$101,MOD(73+$C22+(2),$B$3)+1)*K22+INDEX(Symboles!$G$6:$G$101,MOD(73+$C22+(3),$B$3)+1)*L22+INDEX(Symboles!$G$6:$G$101,MOD(73+$C22+(4),$B$3)+1)*M22+IF($B$6=0,0,$B$6*NORMSINV(0.000001+0.999998*RAND())))</f>
        <v/>
      </c>
      <c r="CL22" s="30">
        <f>IF(75&gt;$B$3,99,INDEX(Symboles!$G$6:$G$101,MOD(74+$C22+(-4),$B$3)+1)*E22+INDEX(Symboles!$G$6:$G$101,MOD(74+$C22+(-3),$B$3)+1)*F22+INDEX(Symboles!$G$6:$G$101,MOD(74+$C22+(-2),$B$3)+1)*G22+INDEX(Symboles!$G$6:$G$101,MOD(74+$C22+(-1),$B$3)+1)*H22+INDEX(Symboles!$G$6:$G$101,MOD(74+$C22+(0),$B$3)+1)*I22+INDEX(Symboles!$G$6:$G$101,MOD(74+$C22+(1),$B$3)+1)*J22+INDEX(Symboles!$G$6:$G$101,MOD(74+$C22+(2),$B$3)+1)*K22+INDEX(Symboles!$G$6:$G$101,MOD(74+$C22+(3),$B$3)+1)*L22+INDEX(Symboles!$G$6:$G$101,MOD(74+$C22+(4),$B$3)+1)*M22+IF($B$6=0,0,$B$6*NORMSINV(0.000001+0.999998*RAND())))</f>
        <v/>
      </c>
      <c r="CM22" s="30">
        <f>IF(76&gt;$B$3,99,INDEX(Symboles!$G$6:$G$101,MOD(75+$C22+(-4),$B$3)+1)*E22+INDEX(Symboles!$G$6:$G$101,MOD(75+$C22+(-3),$B$3)+1)*F22+INDEX(Symboles!$G$6:$G$101,MOD(75+$C22+(-2),$B$3)+1)*G22+INDEX(Symboles!$G$6:$G$101,MOD(75+$C22+(-1),$B$3)+1)*H22+INDEX(Symboles!$G$6:$G$101,MOD(75+$C22+(0),$B$3)+1)*I22+INDEX(Symboles!$G$6:$G$101,MOD(75+$C22+(1),$B$3)+1)*J22+INDEX(Symboles!$G$6:$G$101,MOD(75+$C22+(2),$B$3)+1)*K22+INDEX(Symboles!$G$6:$G$101,MOD(75+$C22+(3),$B$3)+1)*L22+INDEX(Symboles!$G$6:$G$101,MOD(75+$C22+(4),$B$3)+1)*M22+IF($B$6=0,0,$B$6*NORMSINV(0.000001+0.999998*RAND())))</f>
        <v/>
      </c>
      <c r="CN22" s="30">
        <f>IF(77&gt;$B$3,99,INDEX(Symboles!$G$6:$G$101,MOD(76+$C22+(-4),$B$3)+1)*E22+INDEX(Symboles!$G$6:$G$101,MOD(76+$C22+(-3),$B$3)+1)*F22+INDEX(Symboles!$G$6:$G$101,MOD(76+$C22+(-2),$B$3)+1)*G22+INDEX(Symboles!$G$6:$G$101,MOD(76+$C22+(-1),$B$3)+1)*H22+INDEX(Symboles!$G$6:$G$101,MOD(76+$C22+(0),$B$3)+1)*I22+INDEX(Symboles!$G$6:$G$101,MOD(76+$C22+(1),$B$3)+1)*J22+INDEX(Symboles!$G$6:$G$101,MOD(76+$C22+(2),$B$3)+1)*K22+INDEX(Symboles!$G$6:$G$101,MOD(76+$C22+(3),$B$3)+1)*L22+INDEX(Symboles!$G$6:$G$101,MOD(76+$C22+(4),$B$3)+1)*M22+IF($B$6=0,0,$B$6*NORMSINV(0.000001+0.999998*RAND())))</f>
        <v/>
      </c>
      <c r="CO22" s="30">
        <f>IF(78&gt;$B$3,99,INDEX(Symboles!$G$6:$G$101,MOD(77+$C22+(-4),$B$3)+1)*E22+INDEX(Symboles!$G$6:$G$101,MOD(77+$C22+(-3),$B$3)+1)*F22+INDEX(Symboles!$G$6:$G$101,MOD(77+$C22+(-2),$B$3)+1)*G22+INDEX(Symboles!$G$6:$G$101,MOD(77+$C22+(-1),$B$3)+1)*H22+INDEX(Symboles!$G$6:$G$101,MOD(77+$C22+(0),$B$3)+1)*I22+INDEX(Symboles!$G$6:$G$101,MOD(77+$C22+(1),$B$3)+1)*J22+INDEX(Symboles!$G$6:$G$101,MOD(77+$C22+(2),$B$3)+1)*K22+INDEX(Symboles!$G$6:$G$101,MOD(77+$C22+(3),$B$3)+1)*L22+INDEX(Symboles!$G$6:$G$101,MOD(77+$C22+(4),$B$3)+1)*M22+IF($B$6=0,0,$B$6*NORMSINV(0.000001+0.999998*RAND())))</f>
        <v/>
      </c>
      <c r="CP22" s="30">
        <f>IF(79&gt;$B$3,99,INDEX(Symboles!$G$6:$G$101,MOD(78+$C22+(-4),$B$3)+1)*E22+INDEX(Symboles!$G$6:$G$101,MOD(78+$C22+(-3),$B$3)+1)*F22+INDEX(Symboles!$G$6:$G$101,MOD(78+$C22+(-2),$B$3)+1)*G22+INDEX(Symboles!$G$6:$G$101,MOD(78+$C22+(-1),$B$3)+1)*H22+INDEX(Symboles!$G$6:$G$101,MOD(78+$C22+(0),$B$3)+1)*I22+INDEX(Symboles!$G$6:$G$101,MOD(78+$C22+(1),$B$3)+1)*J22+INDEX(Symboles!$G$6:$G$101,MOD(78+$C22+(2),$B$3)+1)*K22+INDEX(Symboles!$G$6:$G$101,MOD(78+$C22+(3),$B$3)+1)*L22+INDEX(Symboles!$G$6:$G$101,MOD(78+$C22+(4),$B$3)+1)*M22+IF($B$6=0,0,$B$6*NORMSINV(0.000001+0.999998*RAND())))</f>
        <v/>
      </c>
      <c r="CQ22" s="30">
        <f>IF(80&gt;$B$3,99,INDEX(Symboles!$G$6:$G$101,MOD(79+$C22+(-4),$B$3)+1)*E22+INDEX(Symboles!$G$6:$G$101,MOD(79+$C22+(-3),$B$3)+1)*F22+INDEX(Symboles!$G$6:$G$101,MOD(79+$C22+(-2),$B$3)+1)*G22+INDEX(Symboles!$G$6:$G$101,MOD(79+$C22+(-1),$B$3)+1)*H22+INDEX(Symboles!$G$6:$G$101,MOD(79+$C22+(0),$B$3)+1)*I22+INDEX(Symboles!$G$6:$G$101,MOD(79+$C22+(1),$B$3)+1)*J22+INDEX(Symboles!$G$6:$G$101,MOD(79+$C22+(2),$B$3)+1)*K22+INDEX(Symboles!$G$6:$G$101,MOD(79+$C22+(3),$B$3)+1)*L22+INDEX(Symboles!$G$6:$G$101,MOD(79+$C22+(4),$B$3)+1)*M22+IF($B$6=0,0,$B$6*NORMSINV(0.000001+0.999998*RAND())))</f>
        <v/>
      </c>
      <c r="CR22" s="30">
        <f>IF(81&gt;$B$3,99,INDEX(Symboles!$G$6:$G$101,MOD(80+$C22+(-4),$B$3)+1)*E22+INDEX(Symboles!$G$6:$G$101,MOD(80+$C22+(-3),$B$3)+1)*F22+INDEX(Symboles!$G$6:$G$101,MOD(80+$C22+(-2),$B$3)+1)*G22+INDEX(Symboles!$G$6:$G$101,MOD(80+$C22+(-1),$B$3)+1)*H22+INDEX(Symboles!$G$6:$G$101,MOD(80+$C22+(0),$B$3)+1)*I22+INDEX(Symboles!$G$6:$G$101,MOD(80+$C22+(1),$B$3)+1)*J22+INDEX(Symboles!$G$6:$G$101,MOD(80+$C22+(2),$B$3)+1)*K22+INDEX(Symboles!$G$6:$G$101,MOD(80+$C22+(3),$B$3)+1)*L22+INDEX(Symboles!$G$6:$G$101,MOD(80+$C22+(4),$B$3)+1)*M22+IF($B$6=0,0,$B$6*NORMSINV(0.000001+0.999998*RAND())))</f>
        <v/>
      </c>
      <c r="CS22" s="30">
        <f>IF(82&gt;$B$3,99,INDEX(Symboles!$G$6:$G$101,MOD(81+$C22+(-4),$B$3)+1)*E22+INDEX(Symboles!$G$6:$G$101,MOD(81+$C22+(-3),$B$3)+1)*F22+INDEX(Symboles!$G$6:$G$101,MOD(81+$C22+(-2),$B$3)+1)*G22+INDEX(Symboles!$G$6:$G$101,MOD(81+$C22+(-1),$B$3)+1)*H22+INDEX(Symboles!$G$6:$G$101,MOD(81+$C22+(0),$B$3)+1)*I22+INDEX(Symboles!$G$6:$G$101,MOD(81+$C22+(1),$B$3)+1)*J22+INDEX(Symboles!$G$6:$G$101,MOD(81+$C22+(2),$B$3)+1)*K22+INDEX(Symboles!$G$6:$G$101,MOD(81+$C22+(3),$B$3)+1)*L22+INDEX(Symboles!$G$6:$G$101,MOD(81+$C22+(4),$B$3)+1)*M22+IF($B$6=0,0,$B$6*NORMSINV(0.000001+0.999998*RAND())))</f>
        <v/>
      </c>
      <c r="CT22" s="30">
        <f>IF(83&gt;$B$3,99,INDEX(Symboles!$G$6:$G$101,MOD(82+$C22+(-4),$B$3)+1)*E22+INDEX(Symboles!$G$6:$G$101,MOD(82+$C22+(-3),$B$3)+1)*F22+INDEX(Symboles!$G$6:$G$101,MOD(82+$C22+(-2),$B$3)+1)*G22+INDEX(Symboles!$G$6:$G$101,MOD(82+$C22+(-1),$B$3)+1)*H22+INDEX(Symboles!$G$6:$G$101,MOD(82+$C22+(0),$B$3)+1)*I22+INDEX(Symboles!$G$6:$G$101,MOD(82+$C22+(1),$B$3)+1)*J22+INDEX(Symboles!$G$6:$G$101,MOD(82+$C22+(2),$B$3)+1)*K22+INDEX(Symboles!$G$6:$G$101,MOD(82+$C22+(3),$B$3)+1)*L22+INDEX(Symboles!$G$6:$G$101,MOD(82+$C22+(4),$B$3)+1)*M22+IF($B$6=0,0,$B$6*NORMSINV(0.000001+0.999998*RAND())))</f>
        <v/>
      </c>
      <c r="CU22" s="30">
        <f>IF(84&gt;$B$3,99,INDEX(Symboles!$G$6:$G$101,MOD(83+$C22+(-4),$B$3)+1)*E22+INDEX(Symboles!$G$6:$G$101,MOD(83+$C22+(-3),$B$3)+1)*F22+INDEX(Symboles!$G$6:$G$101,MOD(83+$C22+(-2),$B$3)+1)*G22+INDEX(Symboles!$G$6:$G$101,MOD(83+$C22+(-1),$B$3)+1)*H22+INDEX(Symboles!$G$6:$G$101,MOD(83+$C22+(0),$B$3)+1)*I22+INDEX(Symboles!$G$6:$G$101,MOD(83+$C22+(1),$B$3)+1)*J22+INDEX(Symboles!$G$6:$G$101,MOD(83+$C22+(2),$B$3)+1)*K22+INDEX(Symboles!$G$6:$G$101,MOD(83+$C22+(3),$B$3)+1)*L22+INDEX(Symboles!$G$6:$G$101,MOD(83+$C22+(4),$B$3)+1)*M22+IF($B$6=0,0,$B$6*NORMSINV(0.000001+0.999998*RAND())))</f>
        <v/>
      </c>
      <c r="CV22" s="30">
        <f>IF(85&gt;$B$3,99,INDEX(Symboles!$G$6:$G$101,MOD(84+$C22+(-4),$B$3)+1)*E22+INDEX(Symboles!$G$6:$G$101,MOD(84+$C22+(-3),$B$3)+1)*F22+INDEX(Symboles!$G$6:$G$101,MOD(84+$C22+(-2),$B$3)+1)*G22+INDEX(Symboles!$G$6:$G$101,MOD(84+$C22+(-1),$B$3)+1)*H22+INDEX(Symboles!$G$6:$G$101,MOD(84+$C22+(0),$B$3)+1)*I22+INDEX(Symboles!$G$6:$G$101,MOD(84+$C22+(1),$B$3)+1)*J22+INDEX(Symboles!$G$6:$G$101,MOD(84+$C22+(2),$B$3)+1)*K22+INDEX(Symboles!$G$6:$G$101,MOD(84+$C22+(3),$B$3)+1)*L22+INDEX(Symboles!$G$6:$G$101,MOD(84+$C22+(4),$B$3)+1)*M22+IF($B$6=0,0,$B$6*NORMSINV(0.000001+0.999998*RAND())))</f>
        <v/>
      </c>
      <c r="CW22" s="30">
        <f>IF(86&gt;$B$3,99,INDEX(Symboles!$G$6:$G$101,MOD(85+$C22+(-4),$B$3)+1)*E22+INDEX(Symboles!$G$6:$G$101,MOD(85+$C22+(-3),$B$3)+1)*F22+INDEX(Symboles!$G$6:$G$101,MOD(85+$C22+(-2),$B$3)+1)*G22+INDEX(Symboles!$G$6:$G$101,MOD(85+$C22+(-1),$B$3)+1)*H22+INDEX(Symboles!$G$6:$G$101,MOD(85+$C22+(0),$B$3)+1)*I22+INDEX(Symboles!$G$6:$G$101,MOD(85+$C22+(1),$B$3)+1)*J22+INDEX(Symboles!$G$6:$G$101,MOD(85+$C22+(2),$B$3)+1)*K22+INDEX(Symboles!$G$6:$G$101,MOD(85+$C22+(3),$B$3)+1)*L22+INDEX(Symboles!$G$6:$G$101,MOD(85+$C22+(4),$B$3)+1)*M22+IF($B$6=0,0,$B$6*NORMSINV(0.000001+0.999998*RAND())))</f>
        <v/>
      </c>
      <c r="CX22" s="30">
        <f>IF(87&gt;$B$3,99,INDEX(Symboles!$G$6:$G$101,MOD(86+$C22+(-4),$B$3)+1)*E22+INDEX(Symboles!$G$6:$G$101,MOD(86+$C22+(-3),$B$3)+1)*F22+INDEX(Symboles!$G$6:$G$101,MOD(86+$C22+(-2),$B$3)+1)*G22+INDEX(Symboles!$G$6:$G$101,MOD(86+$C22+(-1),$B$3)+1)*H22+INDEX(Symboles!$G$6:$G$101,MOD(86+$C22+(0),$B$3)+1)*I22+INDEX(Symboles!$G$6:$G$101,MOD(86+$C22+(1),$B$3)+1)*J22+INDEX(Symboles!$G$6:$G$101,MOD(86+$C22+(2),$B$3)+1)*K22+INDEX(Symboles!$G$6:$G$101,MOD(86+$C22+(3),$B$3)+1)*L22+INDEX(Symboles!$G$6:$G$101,MOD(86+$C22+(4),$B$3)+1)*M22+IF($B$6=0,0,$B$6*NORMSINV(0.000001+0.999998*RAND())))</f>
        <v/>
      </c>
      <c r="CY22" s="30">
        <f>IF(88&gt;$B$3,99,INDEX(Symboles!$G$6:$G$101,MOD(87+$C22+(-4),$B$3)+1)*E22+INDEX(Symboles!$G$6:$G$101,MOD(87+$C22+(-3),$B$3)+1)*F22+INDEX(Symboles!$G$6:$G$101,MOD(87+$C22+(-2),$B$3)+1)*G22+INDEX(Symboles!$G$6:$G$101,MOD(87+$C22+(-1),$B$3)+1)*H22+INDEX(Symboles!$G$6:$G$101,MOD(87+$C22+(0),$B$3)+1)*I22+INDEX(Symboles!$G$6:$G$101,MOD(87+$C22+(1),$B$3)+1)*J22+INDEX(Symboles!$G$6:$G$101,MOD(87+$C22+(2),$B$3)+1)*K22+INDEX(Symboles!$G$6:$G$101,MOD(87+$C22+(3),$B$3)+1)*L22+INDEX(Symboles!$G$6:$G$101,MOD(87+$C22+(4),$B$3)+1)*M22+IF($B$6=0,0,$B$6*NORMSINV(0.000001+0.999998*RAND())))</f>
        <v/>
      </c>
      <c r="CZ22" s="30">
        <f>IF(89&gt;$B$3,99,INDEX(Symboles!$G$6:$G$101,MOD(88+$C22+(-4),$B$3)+1)*E22+INDEX(Symboles!$G$6:$G$101,MOD(88+$C22+(-3),$B$3)+1)*F22+INDEX(Symboles!$G$6:$G$101,MOD(88+$C22+(-2),$B$3)+1)*G22+INDEX(Symboles!$G$6:$G$101,MOD(88+$C22+(-1),$B$3)+1)*H22+INDEX(Symboles!$G$6:$G$101,MOD(88+$C22+(0),$B$3)+1)*I22+INDEX(Symboles!$G$6:$G$101,MOD(88+$C22+(1),$B$3)+1)*J22+INDEX(Symboles!$G$6:$G$101,MOD(88+$C22+(2),$B$3)+1)*K22+INDEX(Symboles!$G$6:$G$101,MOD(88+$C22+(3),$B$3)+1)*L22+INDEX(Symboles!$G$6:$G$101,MOD(88+$C22+(4),$B$3)+1)*M22+IF($B$6=0,0,$B$6*NORMSINV(0.000001+0.999998*RAND())))</f>
        <v/>
      </c>
      <c r="DA22" s="30">
        <f>IF(90&gt;$B$3,99,INDEX(Symboles!$G$6:$G$101,MOD(89+$C22+(-4),$B$3)+1)*E22+INDEX(Symboles!$G$6:$G$101,MOD(89+$C22+(-3),$B$3)+1)*F22+INDEX(Symboles!$G$6:$G$101,MOD(89+$C22+(-2),$B$3)+1)*G22+INDEX(Symboles!$G$6:$G$101,MOD(89+$C22+(-1),$B$3)+1)*H22+INDEX(Symboles!$G$6:$G$101,MOD(89+$C22+(0),$B$3)+1)*I22+INDEX(Symboles!$G$6:$G$101,MOD(89+$C22+(1),$B$3)+1)*J22+INDEX(Symboles!$G$6:$G$101,MOD(89+$C22+(2),$B$3)+1)*K22+INDEX(Symboles!$G$6:$G$101,MOD(89+$C22+(3),$B$3)+1)*L22+INDEX(Symboles!$G$6:$G$101,MOD(89+$C22+(4),$B$3)+1)*M22+IF($B$6=0,0,$B$6*NORMSINV(0.000001+0.999998*RAND())))</f>
        <v/>
      </c>
      <c r="DB22" s="30">
        <f>IF(91&gt;$B$3,99,INDEX(Symboles!$G$6:$G$101,MOD(90+$C22+(-4),$B$3)+1)*E22+INDEX(Symboles!$G$6:$G$101,MOD(90+$C22+(-3),$B$3)+1)*F22+INDEX(Symboles!$G$6:$G$101,MOD(90+$C22+(-2),$B$3)+1)*G22+INDEX(Symboles!$G$6:$G$101,MOD(90+$C22+(-1),$B$3)+1)*H22+INDEX(Symboles!$G$6:$G$101,MOD(90+$C22+(0),$B$3)+1)*I22+INDEX(Symboles!$G$6:$G$101,MOD(90+$C22+(1),$B$3)+1)*J22+INDEX(Symboles!$G$6:$G$101,MOD(90+$C22+(2),$B$3)+1)*K22+INDEX(Symboles!$G$6:$G$101,MOD(90+$C22+(3),$B$3)+1)*L22+INDEX(Symboles!$G$6:$G$101,MOD(90+$C22+(4),$B$3)+1)*M22+IF($B$6=0,0,$B$6*NORMSINV(0.000001+0.999998*RAND())))</f>
        <v/>
      </c>
      <c r="DC22" s="30">
        <f>IF(92&gt;$B$3,99,INDEX(Symboles!$G$6:$G$101,MOD(91+$C22+(-4),$B$3)+1)*E22+INDEX(Symboles!$G$6:$G$101,MOD(91+$C22+(-3),$B$3)+1)*F22+INDEX(Symboles!$G$6:$G$101,MOD(91+$C22+(-2),$B$3)+1)*G22+INDEX(Symboles!$G$6:$G$101,MOD(91+$C22+(-1),$B$3)+1)*H22+INDEX(Symboles!$G$6:$G$101,MOD(91+$C22+(0),$B$3)+1)*I22+INDEX(Symboles!$G$6:$G$101,MOD(91+$C22+(1),$B$3)+1)*J22+INDEX(Symboles!$G$6:$G$101,MOD(91+$C22+(2),$B$3)+1)*K22+INDEX(Symboles!$G$6:$G$101,MOD(91+$C22+(3),$B$3)+1)*L22+INDEX(Symboles!$G$6:$G$101,MOD(91+$C22+(4),$B$3)+1)*M22+IF($B$6=0,0,$B$6*NORMSINV(0.000001+0.999998*RAND())))</f>
        <v/>
      </c>
      <c r="DD22" s="30">
        <f>IF(93&gt;$B$3,99,INDEX(Symboles!$G$6:$G$101,MOD(92+$C22+(-4),$B$3)+1)*E22+INDEX(Symboles!$G$6:$G$101,MOD(92+$C22+(-3),$B$3)+1)*F22+INDEX(Symboles!$G$6:$G$101,MOD(92+$C22+(-2),$B$3)+1)*G22+INDEX(Symboles!$G$6:$G$101,MOD(92+$C22+(-1),$B$3)+1)*H22+INDEX(Symboles!$G$6:$G$101,MOD(92+$C22+(0),$B$3)+1)*I22+INDEX(Symboles!$G$6:$G$101,MOD(92+$C22+(1),$B$3)+1)*J22+INDEX(Symboles!$G$6:$G$101,MOD(92+$C22+(2),$B$3)+1)*K22+INDEX(Symboles!$G$6:$G$101,MOD(92+$C22+(3),$B$3)+1)*L22+INDEX(Symboles!$G$6:$G$101,MOD(92+$C22+(4),$B$3)+1)*M22+IF($B$6=0,0,$B$6*NORMSINV(0.000001+0.999998*RAND())))</f>
        <v/>
      </c>
      <c r="DE22" s="30">
        <f>IF(94&gt;$B$3,99,INDEX(Symboles!$G$6:$G$101,MOD(93+$C22+(-4),$B$3)+1)*E22+INDEX(Symboles!$G$6:$G$101,MOD(93+$C22+(-3),$B$3)+1)*F22+INDEX(Symboles!$G$6:$G$101,MOD(93+$C22+(-2),$B$3)+1)*G22+INDEX(Symboles!$G$6:$G$101,MOD(93+$C22+(-1),$B$3)+1)*H22+INDEX(Symboles!$G$6:$G$101,MOD(93+$C22+(0),$B$3)+1)*I22+INDEX(Symboles!$G$6:$G$101,MOD(93+$C22+(1),$B$3)+1)*J22+INDEX(Symboles!$G$6:$G$101,MOD(93+$C22+(2),$B$3)+1)*K22+INDEX(Symboles!$G$6:$G$101,MOD(93+$C22+(3),$B$3)+1)*L22+INDEX(Symboles!$G$6:$G$101,MOD(93+$C22+(4),$B$3)+1)*M22+IF($B$6=0,0,$B$6*NORMSINV(0.000001+0.999998*RAND())))</f>
        <v/>
      </c>
      <c r="DF22" s="30">
        <f>IF(95&gt;$B$3,99,INDEX(Symboles!$G$6:$G$101,MOD(94+$C22+(-4),$B$3)+1)*E22+INDEX(Symboles!$G$6:$G$101,MOD(94+$C22+(-3),$B$3)+1)*F22+INDEX(Symboles!$G$6:$G$101,MOD(94+$C22+(-2),$B$3)+1)*G22+INDEX(Symboles!$G$6:$G$101,MOD(94+$C22+(-1),$B$3)+1)*H22+INDEX(Symboles!$G$6:$G$101,MOD(94+$C22+(0),$B$3)+1)*I22+INDEX(Symboles!$G$6:$G$101,MOD(94+$C22+(1),$B$3)+1)*J22+INDEX(Symboles!$G$6:$G$101,MOD(94+$C22+(2),$B$3)+1)*K22+INDEX(Symboles!$G$6:$G$101,MOD(94+$C22+(3),$B$3)+1)*L22+INDEX(Symboles!$G$6:$G$101,MOD(94+$C22+(4),$B$3)+1)*M22+IF($B$6=0,0,$B$6*NORMSINV(0.000001+0.999998*RAND())))</f>
        <v/>
      </c>
      <c r="DG22" s="30">
        <f>IF(96&gt;$B$3,99,INDEX(Symboles!$G$6:$G$101,MOD(95+$C22+(-4),$B$3)+1)*E22+INDEX(Symboles!$G$6:$G$101,MOD(95+$C22+(-3),$B$3)+1)*F22+INDEX(Symboles!$G$6:$G$101,MOD(95+$C22+(-2),$B$3)+1)*G22+INDEX(Symboles!$G$6:$G$101,MOD(95+$C22+(-1),$B$3)+1)*H22+INDEX(Symboles!$G$6:$G$101,MOD(95+$C22+(0),$B$3)+1)*I22+INDEX(Symboles!$G$6:$G$101,MOD(95+$C22+(1),$B$3)+1)*J22+INDEX(Symboles!$G$6:$G$101,MOD(95+$C22+(2),$B$3)+1)*K22+INDEX(Symboles!$G$6:$G$101,MOD(95+$C22+(3),$B$3)+1)*L22+INDEX(Symboles!$G$6:$G$101,MOD(95+$C22+(4),$B$3)+1)*M22+IF($B$6=0,0,$B$6*NORMSINV(0.000001+0.999998*RAND())))</f>
        <v/>
      </c>
      <c r="DI22" s="30">
        <f>IF(1&gt;$B$3,99,INDEX(Symboles!$H$6:$H$101,MOD(0+$C22+(-4),$B$3)+1)*E22+INDEX(Symboles!$H$6:$H$101,MOD(0+$C22+(-3),$B$3)+1)*F22+INDEX(Symboles!$H$6:$H$101,MOD(0+$C22+(-2),$B$3)+1)*G22+INDEX(Symboles!$H$6:$H$101,MOD(0+$C22+(-1),$B$3)+1)*H22+INDEX(Symboles!$H$6:$H$101,MOD(0+$C22+(0),$B$3)+1)*I22+INDEX(Symboles!$H$6:$H$101,MOD(0+$C22+(1),$B$3)+1)*J22+INDEX(Symboles!$H$6:$H$101,MOD(0+$C22+(2),$B$3)+1)*K22+INDEX(Symboles!$H$6:$H$101,MOD(0+$C22+(3),$B$3)+1)*L22+INDEX(Symboles!$H$6:$H$101,MOD(0+$C22+(4),$B$3)+1)*M22+IF($B$6=0,0,$B$6*NORMSINV(0.000001+0.999998*RAND())))</f>
        <v/>
      </c>
      <c r="DJ22" s="30">
        <f>IF(2&gt;$B$3,99,INDEX(Symboles!$H$6:$H$101,MOD(1+$C22+(-4),$B$3)+1)*E22+INDEX(Symboles!$H$6:$H$101,MOD(1+$C22+(-3),$B$3)+1)*F22+INDEX(Symboles!$H$6:$H$101,MOD(1+$C22+(-2),$B$3)+1)*G22+INDEX(Symboles!$H$6:$H$101,MOD(1+$C22+(-1),$B$3)+1)*H22+INDEX(Symboles!$H$6:$H$101,MOD(1+$C22+(0),$B$3)+1)*I22+INDEX(Symboles!$H$6:$H$101,MOD(1+$C22+(1),$B$3)+1)*J22+INDEX(Symboles!$H$6:$H$101,MOD(1+$C22+(2),$B$3)+1)*K22+INDEX(Symboles!$H$6:$H$101,MOD(1+$C22+(3),$B$3)+1)*L22+INDEX(Symboles!$H$6:$H$101,MOD(1+$C22+(4),$B$3)+1)*M22+IF($B$6=0,0,$B$6*NORMSINV(0.000001+0.999998*RAND())))</f>
        <v/>
      </c>
      <c r="DK22" s="30">
        <f>IF(3&gt;$B$3,99,INDEX(Symboles!$H$6:$H$101,MOD(2+$C22+(-4),$B$3)+1)*E22+INDEX(Symboles!$H$6:$H$101,MOD(2+$C22+(-3),$B$3)+1)*F22+INDEX(Symboles!$H$6:$H$101,MOD(2+$C22+(-2),$B$3)+1)*G22+INDEX(Symboles!$H$6:$H$101,MOD(2+$C22+(-1),$B$3)+1)*H22+INDEX(Symboles!$H$6:$H$101,MOD(2+$C22+(0),$B$3)+1)*I22+INDEX(Symboles!$H$6:$H$101,MOD(2+$C22+(1),$B$3)+1)*J22+INDEX(Symboles!$H$6:$H$101,MOD(2+$C22+(2),$B$3)+1)*K22+INDEX(Symboles!$H$6:$H$101,MOD(2+$C22+(3),$B$3)+1)*L22+INDEX(Symboles!$H$6:$H$101,MOD(2+$C22+(4),$B$3)+1)*M22+IF($B$6=0,0,$B$6*NORMSINV(0.000001+0.999998*RAND())))</f>
        <v/>
      </c>
      <c r="DL22" s="30">
        <f>IF(4&gt;$B$3,99,INDEX(Symboles!$H$6:$H$101,MOD(3+$C22+(-4),$B$3)+1)*E22+INDEX(Symboles!$H$6:$H$101,MOD(3+$C22+(-3),$B$3)+1)*F22+INDEX(Symboles!$H$6:$H$101,MOD(3+$C22+(-2),$B$3)+1)*G22+INDEX(Symboles!$H$6:$H$101,MOD(3+$C22+(-1),$B$3)+1)*H22+INDEX(Symboles!$H$6:$H$101,MOD(3+$C22+(0),$B$3)+1)*I22+INDEX(Symboles!$H$6:$H$101,MOD(3+$C22+(1),$B$3)+1)*J22+INDEX(Symboles!$H$6:$H$101,MOD(3+$C22+(2),$B$3)+1)*K22+INDEX(Symboles!$H$6:$H$101,MOD(3+$C22+(3),$B$3)+1)*L22+INDEX(Symboles!$H$6:$H$101,MOD(3+$C22+(4),$B$3)+1)*M22+IF($B$6=0,0,$B$6*NORMSINV(0.000001+0.999998*RAND())))</f>
        <v/>
      </c>
      <c r="DM22" s="30">
        <f>IF(5&gt;$B$3,99,INDEX(Symboles!$H$6:$H$101,MOD(4+$C22+(-4),$B$3)+1)*E22+INDEX(Symboles!$H$6:$H$101,MOD(4+$C22+(-3),$B$3)+1)*F22+INDEX(Symboles!$H$6:$H$101,MOD(4+$C22+(-2),$B$3)+1)*G22+INDEX(Symboles!$H$6:$H$101,MOD(4+$C22+(-1),$B$3)+1)*H22+INDEX(Symboles!$H$6:$H$101,MOD(4+$C22+(0),$B$3)+1)*I22+INDEX(Symboles!$H$6:$H$101,MOD(4+$C22+(1),$B$3)+1)*J22+INDEX(Symboles!$H$6:$H$101,MOD(4+$C22+(2),$B$3)+1)*K22+INDEX(Symboles!$H$6:$H$101,MOD(4+$C22+(3),$B$3)+1)*L22+INDEX(Symboles!$H$6:$H$101,MOD(4+$C22+(4),$B$3)+1)*M22+IF($B$6=0,0,$B$6*NORMSINV(0.000001+0.999998*RAND())))</f>
        <v/>
      </c>
      <c r="DN22" s="30">
        <f>IF(6&gt;$B$3,99,INDEX(Symboles!$H$6:$H$101,MOD(5+$C22+(-4),$B$3)+1)*E22+INDEX(Symboles!$H$6:$H$101,MOD(5+$C22+(-3),$B$3)+1)*F22+INDEX(Symboles!$H$6:$H$101,MOD(5+$C22+(-2),$B$3)+1)*G22+INDEX(Symboles!$H$6:$H$101,MOD(5+$C22+(-1),$B$3)+1)*H22+INDEX(Symboles!$H$6:$H$101,MOD(5+$C22+(0),$B$3)+1)*I22+INDEX(Symboles!$H$6:$H$101,MOD(5+$C22+(1),$B$3)+1)*J22+INDEX(Symboles!$H$6:$H$101,MOD(5+$C22+(2),$B$3)+1)*K22+INDEX(Symboles!$H$6:$H$101,MOD(5+$C22+(3),$B$3)+1)*L22+INDEX(Symboles!$H$6:$H$101,MOD(5+$C22+(4),$B$3)+1)*M22+IF($B$6=0,0,$B$6*NORMSINV(0.000001+0.999998*RAND())))</f>
        <v/>
      </c>
      <c r="DO22" s="30">
        <f>IF(7&gt;$B$3,99,INDEX(Symboles!$H$6:$H$101,MOD(6+$C22+(-4),$B$3)+1)*E22+INDEX(Symboles!$H$6:$H$101,MOD(6+$C22+(-3),$B$3)+1)*F22+INDEX(Symboles!$H$6:$H$101,MOD(6+$C22+(-2),$B$3)+1)*G22+INDEX(Symboles!$H$6:$H$101,MOD(6+$C22+(-1),$B$3)+1)*H22+INDEX(Symboles!$H$6:$H$101,MOD(6+$C22+(0),$B$3)+1)*I22+INDEX(Symboles!$H$6:$H$101,MOD(6+$C22+(1),$B$3)+1)*J22+INDEX(Symboles!$H$6:$H$101,MOD(6+$C22+(2),$B$3)+1)*K22+INDEX(Symboles!$H$6:$H$101,MOD(6+$C22+(3),$B$3)+1)*L22+INDEX(Symboles!$H$6:$H$101,MOD(6+$C22+(4),$B$3)+1)*M22+IF($B$6=0,0,$B$6*NORMSINV(0.000001+0.999998*RAND())))</f>
        <v/>
      </c>
      <c r="DP22" s="30">
        <f>IF(8&gt;$B$3,99,INDEX(Symboles!$H$6:$H$101,MOD(7+$C22+(-4),$B$3)+1)*E22+INDEX(Symboles!$H$6:$H$101,MOD(7+$C22+(-3),$B$3)+1)*F22+INDEX(Symboles!$H$6:$H$101,MOD(7+$C22+(-2),$B$3)+1)*G22+INDEX(Symboles!$H$6:$H$101,MOD(7+$C22+(-1),$B$3)+1)*H22+INDEX(Symboles!$H$6:$H$101,MOD(7+$C22+(0),$B$3)+1)*I22+INDEX(Symboles!$H$6:$H$101,MOD(7+$C22+(1),$B$3)+1)*J22+INDEX(Symboles!$H$6:$H$101,MOD(7+$C22+(2),$B$3)+1)*K22+INDEX(Symboles!$H$6:$H$101,MOD(7+$C22+(3),$B$3)+1)*L22+INDEX(Symboles!$H$6:$H$101,MOD(7+$C22+(4),$B$3)+1)*M22+IF($B$6=0,0,$B$6*NORMSINV(0.000001+0.999998*RAND())))</f>
        <v/>
      </c>
      <c r="DQ22" s="30">
        <f>IF(9&gt;$B$3,99,INDEX(Symboles!$H$6:$H$101,MOD(8+$C22+(-4),$B$3)+1)*E22+INDEX(Symboles!$H$6:$H$101,MOD(8+$C22+(-3),$B$3)+1)*F22+INDEX(Symboles!$H$6:$H$101,MOD(8+$C22+(-2),$B$3)+1)*G22+INDEX(Symboles!$H$6:$H$101,MOD(8+$C22+(-1),$B$3)+1)*H22+INDEX(Symboles!$H$6:$H$101,MOD(8+$C22+(0),$B$3)+1)*I22+INDEX(Symboles!$H$6:$H$101,MOD(8+$C22+(1),$B$3)+1)*J22+INDEX(Symboles!$H$6:$H$101,MOD(8+$C22+(2),$B$3)+1)*K22+INDEX(Symboles!$H$6:$H$101,MOD(8+$C22+(3),$B$3)+1)*L22+INDEX(Symboles!$H$6:$H$101,MOD(8+$C22+(4),$B$3)+1)*M22+IF($B$6=0,0,$B$6*NORMSINV(0.000001+0.999998*RAND())))</f>
        <v/>
      </c>
      <c r="DR22" s="30">
        <f>IF(10&gt;$B$3,99,INDEX(Symboles!$H$6:$H$101,MOD(9+$C22+(-4),$B$3)+1)*E22+INDEX(Symboles!$H$6:$H$101,MOD(9+$C22+(-3),$B$3)+1)*F22+INDEX(Symboles!$H$6:$H$101,MOD(9+$C22+(-2),$B$3)+1)*G22+INDEX(Symboles!$H$6:$H$101,MOD(9+$C22+(-1),$B$3)+1)*H22+INDEX(Symboles!$H$6:$H$101,MOD(9+$C22+(0),$B$3)+1)*I22+INDEX(Symboles!$H$6:$H$101,MOD(9+$C22+(1),$B$3)+1)*J22+INDEX(Symboles!$H$6:$H$101,MOD(9+$C22+(2),$B$3)+1)*K22+INDEX(Symboles!$H$6:$H$101,MOD(9+$C22+(3),$B$3)+1)*L22+INDEX(Symboles!$H$6:$H$101,MOD(9+$C22+(4),$B$3)+1)*M22+IF($B$6=0,0,$B$6*NORMSINV(0.000001+0.999998*RAND())))</f>
        <v/>
      </c>
      <c r="DS22" s="30">
        <f>IF(11&gt;$B$3,99,INDEX(Symboles!$H$6:$H$101,MOD(10+$C22+(-4),$B$3)+1)*E22+INDEX(Symboles!$H$6:$H$101,MOD(10+$C22+(-3),$B$3)+1)*F22+INDEX(Symboles!$H$6:$H$101,MOD(10+$C22+(-2),$B$3)+1)*G22+INDEX(Symboles!$H$6:$H$101,MOD(10+$C22+(-1),$B$3)+1)*H22+INDEX(Symboles!$H$6:$H$101,MOD(10+$C22+(0),$B$3)+1)*I22+INDEX(Symboles!$H$6:$H$101,MOD(10+$C22+(1),$B$3)+1)*J22+INDEX(Symboles!$H$6:$H$101,MOD(10+$C22+(2),$B$3)+1)*K22+INDEX(Symboles!$H$6:$H$101,MOD(10+$C22+(3),$B$3)+1)*L22+INDEX(Symboles!$H$6:$H$101,MOD(10+$C22+(4),$B$3)+1)*M22+IF($B$6=0,0,$B$6*NORMSINV(0.000001+0.999998*RAND())))</f>
        <v/>
      </c>
      <c r="DT22" s="30">
        <f>IF(12&gt;$B$3,99,INDEX(Symboles!$H$6:$H$101,MOD(11+$C22+(-4),$B$3)+1)*E22+INDEX(Symboles!$H$6:$H$101,MOD(11+$C22+(-3),$B$3)+1)*F22+INDEX(Symboles!$H$6:$H$101,MOD(11+$C22+(-2),$B$3)+1)*G22+INDEX(Symboles!$H$6:$H$101,MOD(11+$C22+(-1),$B$3)+1)*H22+INDEX(Symboles!$H$6:$H$101,MOD(11+$C22+(0),$B$3)+1)*I22+INDEX(Symboles!$H$6:$H$101,MOD(11+$C22+(1),$B$3)+1)*J22+INDEX(Symboles!$H$6:$H$101,MOD(11+$C22+(2),$B$3)+1)*K22+INDEX(Symboles!$H$6:$H$101,MOD(11+$C22+(3),$B$3)+1)*L22+INDEX(Symboles!$H$6:$H$101,MOD(11+$C22+(4),$B$3)+1)*M22+IF($B$6=0,0,$B$6*NORMSINV(0.000001+0.999998*RAND())))</f>
        <v/>
      </c>
      <c r="DU22" s="30">
        <f>IF(13&gt;$B$3,99,INDEX(Symboles!$H$6:$H$101,MOD(12+$C22+(-4),$B$3)+1)*E22+INDEX(Symboles!$H$6:$H$101,MOD(12+$C22+(-3),$B$3)+1)*F22+INDEX(Symboles!$H$6:$H$101,MOD(12+$C22+(-2),$B$3)+1)*G22+INDEX(Symboles!$H$6:$H$101,MOD(12+$C22+(-1),$B$3)+1)*H22+INDEX(Symboles!$H$6:$H$101,MOD(12+$C22+(0),$B$3)+1)*I22+INDEX(Symboles!$H$6:$H$101,MOD(12+$C22+(1),$B$3)+1)*J22+INDEX(Symboles!$H$6:$H$101,MOD(12+$C22+(2),$B$3)+1)*K22+INDEX(Symboles!$H$6:$H$101,MOD(12+$C22+(3),$B$3)+1)*L22+INDEX(Symboles!$H$6:$H$101,MOD(12+$C22+(4),$B$3)+1)*M22+IF($B$6=0,0,$B$6*NORMSINV(0.000001+0.999998*RAND())))</f>
        <v/>
      </c>
      <c r="DV22" s="30">
        <f>IF(14&gt;$B$3,99,INDEX(Symboles!$H$6:$H$101,MOD(13+$C22+(-4),$B$3)+1)*E22+INDEX(Symboles!$H$6:$H$101,MOD(13+$C22+(-3),$B$3)+1)*F22+INDEX(Symboles!$H$6:$H$101,MOD(13+$C22+(-2),$B$3)+1)*G22+INDEX(Symboles!$H$6:$H$101,MOD(13+$C22+(-1),$B$3)+1)*H22+INDEX(Symboles!$H$6:$H$101,MOD(13+$C22+(0),$B$3)+1)*I22+INDEX(Symboles!$H$6:$H$101,MOD(13+$C22+(1),$B$3)+1)*J22+INDEX(Symboles!$H$6:$H$101,MOD(13+$C22+(2),$B$3)+1)*K22+INDEX(Symboles!$H$6:$H$101,MOD(13+$C22+(3),$B$3)+1)*L22+INDEX(Symboles!$H$6:$H$101,MOD(13+$C22+(4),$B$3)+1)*M22+IF($B$6=0,0,$B$6*NORMSINV(0.000001+0.999998*RAND())))</f>
        <v/>
      </c>
      <c r="DW22" s="30">
        <f>IF(15&gt;$B$3,99,INDEX(Symboles!$H$6:$H$101,MOD(14+$C22+(-4),$B$3)+1)*E22+INDEX(Symboles!$H$6:$H$101,MOD(14+$C22+(-3),$B$3)+1)*F22+INDEX(Symboles!$H$6:$H$101,MOD(14+$C22+(-2),$B$3)+1)*G22+INDEX(Symboles!$H$6:$H$101,MOD(14+$C22+(-1),$B$3)+1)*H22+INDEX(Symboles!$H$6:$H$101,MOD(14+$C22+(0),$B$3)+1)*I22+INDEX(Symboles!$H$6:$H$101,MOD(14+$C22+(1),$B$3)+1)*J22+INDEX(Symboles!$H$6:$H$101,MOD(14+$C22+(2),$B$3)+1)*K22+INDEX(Symboles!$H$6:$H$101,MOD(14+$C22+(3),$B$3)+1)*L22+INDEX(Symboles!$H$6:$H$101,MOD(14+$C22+(4),$B$3)+1)*M22+IF($B$6=0,0,$B$6*NORMSINV(0.000001+0.999998*RAND())))</f>
        <v/>
      </c>
      <c r="DX22" s="30">
        <f>IF(16&gt;$B$3,99,INDEX(Symboles!$H$6:$H$101,MOD(15+$C22+(-4),$B$3)+1)*E22+INDEX(Symboles!$H$6:$H$101,MOD(15+$C22+(-3),$B$3)+1)*F22+INDEX(Symboles!$H$6:$H$101,MOD(15+$C22+(-2),$B$3)+1)*G22+INDEX(Symboles!$H$6:$H$101,MOD(15+$C22+(-1),$B$3)+1)*H22+INDEX(Symboles!$H$6:$H$101,MOD(15+$C22+(0),$B$3)+1)*I22+INDEX(Symboles!$H$6:$H$101,MOD(15+$C22+(1),$B$3)+1)*J22+INDEX(Symboles!$H$6:$H$101,MOD(15+$C22+(2),$B$3)+1)*K22+INDEX(Symboles!$H$6:$H$101,MOD(15+$C22+(3),$B$3)+1)*L22+INDEX(Symboles!$H$6:$H$101,MOD(15+$C22+(4),$B$3)+1)*M22+IF($B$6=0,0,$B$6*NORMSINV(0.000001+0.999998*RAND())))</f>
        <v/>
      </c>
      <c r="DY22" s="30">
        <f>IF(17&gt;$B$3,99,INDEX(Symboles!$H$6:$H$101,MOD(16+$C22+(-4),$B$3)+1)*E22+INDEX(Symboles!$H$6:$H$101,MOD(16+$C22+(-3),$B$3)+1)*F22+INDEX(Symboles!$H$6:$H$101,MOD(16+$C22+(-2),$B$3)+1)*G22+INDEX(Symboles!$H$6:$H$101,MOD(16+$C22+(-1),$B$3)+1)*H22+INDEX(Symboles!$H$6:$H$101,MOD(16+$C22+(0),$B$3)+1)*I22+INDEX(Symboles!$H$6:$H$101,MOD(16+$C22+(1),$B$3)+1)*J22+INDEX(Symboles!$H$6:$H$101,MOD(16+$C22+(2),$B$3)+1)*K22+INDEX(Symboles!$H$6:$H$101,MOD(16+$C22+(3),$B$3)+1)*L22+INDEX(Symboles!$H$6:$H$101,MOD(16+$C22+(4),$B$3)+1)*M22+IF($B$6=0,0,$B$6*NORMSINV(0.000001+0.999998*RAND())))</f>
        <v/>
      </c>
      <c r="DZ22" s="30">
        <f>IF(18&gt;$B$3,99,INDEX(Symboles!$H$6:$H$101,MOD(17+$C22+(-4),$B$3)+1)*E22+INDEX(Symboles!$H$6:$H$101,MOD(17+$C22+(-3),$B$3)+1)*F22+INDEX(Symboles!$H$6:$H$101,MOD(17+$C22+(-2),$B$3)+1)*G22+INDEX(Symboles!$H$6:$H$101,MOD(17+$C22+(-1),$B$3)+1)*H22+INDEX(Symboles!$H$6:$H$101,MOD(17+$C22+(0),$B$3)+1)*I22+INDEX(Symboles!$H$6:$H$101,MOD(17+$C22+(1),$B$3)+1)*J22+INDEX(Symboles!$H$6:$H$101,MOD(17+$C22+(2),$B$3)+1)*K22+INDEX(Symboles!$H$6:$H$101,MOD(17+$C22+(3),$B$3)+1)*L22+INDEX(Symboles!$H$6:$H$101,MOD(17+$C22+(4),$B$3)+1)*M22+IF($B$6=0,0,$B$6*NORMSINV(0.000001+0.999998*RAND())))</f>
        <v/>
      </c>
      <c r="EA22" s="30">
        <f>IF(19&gt;$B$3,99,INDEX(Symboles!$H$6:$H$101,MOD(18+$C22+(-4),$B$3)+1)*E22+INDEX(Symboles!$H$6:$H$101,MOD(18+$C22+(-3),$B$3)+1)*F22+INDEX(Symboles!$H$6:$H$101,MOD(18+$C22+(-2),$B$3)+1)*G22+INDEX(Symboles!$H$6:$H$101,MOD(18+$C22+(-1),$B$3)+1)*H22+INDEX(Symboles!$H$6:$H$101,MOD(18+$C22+(0),$B$3)+1)*I22+INDEX(Symboles!$H$6:$H$101,MOD(18+$C22+(1),$B$3)+1)*J22+INDEX(Symboles!$H$6:$H$101,MOD(18+$C22+(2),$B$3)+1)*K22+INDEX(Symboles!$H$6:$H$101,MOD(18+$C22+(3),$B$3)+1)*L22+INDEX(Symboles!$H$6:$H$101,MOD(18+$C22+(4),$B$3)+1)*M22+IF($B$6=0,0,$B$6*NORMSINV(0.000001+0.999998*RAND())))</f>
        <v/>
      </c>
      <c r="EB22" s="30">
        <f>IF(20&gt;$B$3,99,INDEX(Symboles!$H$6:$H$101,MOD(19+$C22+(-4),$B$3)+1)*E22+INDEX(Symboles!$H$6:$H$101,MOD(19+$C22+(-3),$B$3)+1)*F22+INDEX(Symboles!$H$6:$H$101,MOD(19+$C22+(-2),$B$3)+1)*G22+INDEX(Symboles!$H$6:$H$101,MOD(19+$C22+(-1),$B$3)+1)*H22+INDEX(Symboles!$H$6:$H$101,MOD(19+$C22+(0),$B$3)+1)*I22+INDEX(Symboles!$H$6:$H$101,MOD(19+$C22+(1),$B$3)+1)*J22+INDEX(Symboles!$H$6:$H$101,MOD(19+$C22+(2),$B$3)+1)*K22+INDEX(Symboles!$H$6:$H$101,MOD(19+$C22+(3),$B$3)+1)*L22+INDEX(Symboles!$H$6:$H$101,MOD(19+$C22+(4),$B$3)+1)*M22+IF($B$6=0,0,$B$6*NORMSINV(0.000001+0.999998*RAND())))</f>
        <v/>
      </c>
      <c r="EC22" s="30">
        <f>IF(21&gt;$B$3,99,INDEX(Symboles!$H$6:$H$101,MOD(20+$C22+(-4),$B$3)+1)*E22+INDEX(Symboles!$H$6:$H$101,MOD(20+$C22+(-3),$B$3)+1)*F22+INDEX(Symboles!$H$6:$H$101,MOD(20+$C22+(-2),$B$3)+1)*G22+INDEX(Symboles!$H$6:$H$101,MOD(20+$C22+(-1),$B$3)+1)*H22+INDEX(Symboles!$H$6:$H$101,MOD(20+$C22+(0),$B$3)+1)*I22+INDEX(Symboles!$H$6:$H$101,MOD(20+$C22+(1),$B$3)+1)*J22+INDEX(Symboles!$H$6:$H$101,MOD(20+$C22+(2),$B$3)+1)*K22+INDEX(Symboles!$H$6:$H$101,MOD(20+$C22+(3),$B$3)+1)*L22+INDEX(Symboles!$H$6:$H$101,MOD(20+$C22+(4),$B$3)+1)*M22+IF($B$6=0,0,$B$6*NORMSINV(0.000001+0.999998*RAND())))</f>
        <v/>
      </c>
      <c r="ED22" s="30">
        <f>IF(22&gt;$B$3,99,INDEX(Symboles!$H$6:$H$101,MOD(21+$C22+(-4),$B$3)+1)*E22+INDEX(Symboles!$H$6:$H$101,MOD(21+$C22+(-3),$B$3)+1)*F22+INDEX(Symboles!$H$6:$H$101,MOD(21+$C22+(-2),$B$3)+1)*G22+INDEX(Symboles!$H$6:$H$101,MOD(21+$C22+(-1),$B$3)+1)*H22+INDEX(Symboles!$H$6:$H$101,MOD(21+$C22+(0),$B$3)+1)*I22+INDEX(Symboles!$H$6:$H$101,MOD(21+$C22+(1),$B$3)+1)*J22+INDEX(Symboles!$H$6:$H$101,MOD(21+$C22+(2),$B$3)+1)*K22+INDEX(Symboles!$H$6:$H$101,MOD(21+$C22+(3),$B$3)+1)*L22+INDEX(Symboles!$H$6:$H$101,MOD(21+$C22+(4),$B$3)+1)*M22+IF($B$6=0,0,$B$6*NORMSINV(0.000001+0.999998*RAND())))</f>
        <v/>
      </c>
      <c r="EE22" s="30">
        <f>IF(23&gt;$B$3,99,INDEX(Symboles!$H$6:$H$101,MOD(22+$C22+(-4),$B$3)+1)*E22+INDEX(Symboles!$H$6:$H$101,MOD(22+$C22+(-3),$B$3)+1)*F22+INDEX(Symboles!$H$6:$H$101,MOD(22+$C22+(-2),$B$3)+1)*G22+INDEX(Symboles!$H$6:$H$101,MOD(22+$C22+(-1),$B$3)+1)*H22+INDEX(Symboles!$H$6:$H$101,MOD(22+$C22+(0),$B$3)+1)*I22+INDEX(Symboles!$H$6:$H$101,MOD(22+$C22+(1),$B$3)+1)*J22+INDEX(Symboles!$H$6:$H$101,MOD(22+$C22+(2),$B$3)+1)*K22+INDEX(Symboles!$H$6:$H$101,MOD(22+$C22+(3),$B$3)+1)*L22+INDEX(Symboles!$H$6:$H$101,MOD(22+$C22+(4),$B$3)+1)*M22+IF($B$6=0,0,$B$6*NORMSINV(0.000001+0.999998*RAND())))</f>
        <v/>
      </c>
      <c r="EF22" s="30">
        <f>IF(24&gt;$B$3,99,INDEX(Symboles!$H$6:$H$101,MOD(23+$C22+(-4),$B$3)+1)*E22+INDEX(Symboles!$H$6:$H$101,MOD(23+$C22+(-3),$B$3)+1)*F22+INDEX(Symboles!$H$6:$H$101,MOD(23+$C22+(-2),$B$3)+1)*G22+INDEX(Symboles!$H$6:$H$101,MOD(23+$C22+(-1),$B$3)+1)*H22+INDEX(Symboles!$H$6:$H$101,MOD(23+$C22+(0),$B$3)+1)*I22+INDEX(Symboles!$H$6:$H$101,MOD(23+$C22+(1),$B$3)+1)*J22+INDEX(Symboles!$H$6:$H$101,MOD(23+$C22+(2),$B$3)+1)*K22+INDEX(Symboles!$H$6:$H$101,MOD(23+$C22+(3),$B$3)+1)*L22+INDEX(Symboles!$H$6:$H$101,MOD(23+$C22+(4),$B$3)+1)*M22+IF($B$6=0,0,$B$6*NORMSINV(0.000001+0.999998*RAND())))</f>
        <v/>
      </c>
      <c r="EG22" s="30">
        <f>IF(25&gt;$B$3,99,INDEX(Symboles!$H$6:$H$101,MOD(24+$C22+(-4),$B$3)+1)*E22+INDEX(Symboles!$H$6:$H$101,MOD(24+$C22+(-3),$B$3)+1)*F22+INDEX(Symboles!$H$6:$H$101,MOD(24+$C22+(-2),$B$3)+1)*G22+INDEX(Symboles!$H$6:$H$101,MOD(24+$C22+(-1),$B$3)+1)*H22+INDEX(Symboles!$H$6:$H$101,MOD(24+$C22+(0),$B$3)+1)*I22+INDEX(Symboles!$H$6:$H$101,MOD(24+$C22+(1),$B$3)+1)*J22+INDEX(Symboles!$H$6:$H$101,MOD(24+$C22+(2),$B$3)+1)*K22+INDEX(Symboles!$H$6:$H$101,MOD(24+$C22+(3),$B$3)+1)*L22+INDEX(Symboles!$H$6:$H$101,MOD(24+$C22+(4),$B$3)+1)*M22+IF($B$6=0,0,$B$6*NORMSINV(0.000001+0.999998*RAND())))</f>
        <v/>
      </c>
      <c r="EH22" s="30">
        <f>IF(26&gt;$B$3,99,INDEX(Symboles!$H$6:$H$101,MOD(25+$C22+(-4),$B$3)+1)*E22+INDEX(Symboles!$H$6:$H$101,MOD(25+$C22+(-3),$B$3)+1)*F22+INDEX(Symboles!$H$6:$H$101,MOD(25+$C22+(-2),$B$3)+1)*G22+INDEX(Symboles!$H$6:$H$101,MOD(25+$C22+(-1),$B$3)+1)*H22+INDEX(Symboles!$H$6:$H$101,MOD(25+$C22+(0),$B$3)+1)*I22+INDEX(Symboles!$H$6:$H$101,MOD(25+$C22+(1),$B$3)+1)*J22+INDEX(Symboles!$H$6:$H$101,MOD(25+$C22+(2),$B$3)+1)*K22+INDEX(Symboles!$H$6:$H$101,MOD(25+$C22+(3),$B$3)+1)*L22+INDEX(Symboles!$H$6:$H$101,MOD(25+$C22+(4),$B$3)+1)*M22+IF($B$6=0,0,$B$6*NORMSINV(0.000001+0.999998*RAND())))</f>
        <v/>
      </c>
      <c r="EI22" s="30">
        <f>IF(27&gt;$B$3,99,INDEX(Symboles!$H$6:$H$101,MOD(26+$C22+(-4),$B$3)+1)*E22+INDEX(Symboles!$H$6:$H$101,MOD(26+$C22+(-3),$B$3)+1)*F22+INDEX(Symboles!$H$6:$H$101,MOD(26+$C22+(-2),$B$3)+1)*G22+INDEX(Symboles!$H$6:$H$101,MOD(26+$C22+(-1),$B$3)+1)*H22+INDEX(Symboles!$H$6:$H$101,MOD(26+$C22+(0),$B$3)+1)*I22+INDEX(Symboles!$H$6:$H$101,MOD(26+$C22+(1),$B$3)+1)*J22+INDEX(Symboles!$H$6:$H$101,MOD(26+$C22+(2),$B$3)+1)*K22+INDEX(Symboles!$H$6:$H$101,MOD(26+$C22+(3),$B$3)+1)*L22+INDEX(Symboles!$H$6:$H$101,MOD(26+$C22+(4),$B$3)+1)*M22+IF($B$6=0,0,$B$6*NORMSINV(0.000001+0.999998*RAND())))</f>
        <v/>
      </c>
      <c r="EJ22" s="30">
        <f>IF(28&gt;$B$3,99,INDEX(Symboles!$H$6:$H$101,MOD(27+$C22+(-4),$B$3)+1)*E22+INDEX(Symboles!$H$6:$H$101,MOD(27+$C22+(-3),$B$3)+1)*F22+INDEX(Symboles!$H$6:$H$101,MOD(27+$C22+(-2),$B$3)+1)*G22+INDEX(Symboles!$H$6:$H$101,MOD(27+$C22+(-1),$B$3)+1)*H22+INDEX(Symboles!$H$6:$H$101,MOD(27+$C22+(0),$B$3)+1)*I22+INDEX(Symboles!$H$6:$H$101,MOD(27+$C22+(1),$B$3)+1)*J22+INDEX(Symboles!$H$6:$H$101,MOD(27+$C22+(2),$B$3)+1)*K22+INDEX(Symboles!$H$6:$H$101,MOD(27+$C22+(3),$B$3)+1)*L22+INDEX(Symboles!$H$6:$H$101,MOD(27+$C22+(4),$B$3)+1)*M22+IF($B$6=0,0,$B$6*NORMSINV(0.000001+0.999998*RAND())))</f>
        <v/>
      </c>
      <c r="EK22" s="30">
        <f>IF(29&gt;$B$3,99,INDEX(Symboles!$H$6:$H$101,MOD(28+$C22+(-4),$B$3)+1)*E22+INDEX(Symboles!$H$6:$H$101,MOD(28+$C22+(-3),$B$3)+1)*F22+INDEX(Symboles!$H$6:$H$101,MOD(28+$C22+(-2),$B$3)+1)*G22+INDEX(Symboles!$H$6:$H$101,MOD(28+$C22+(-1),$B$3)+1)*H22+INDEX(Symboles!$H$6:$H$101,MOD(28+$C22+(0),$B$3)+1)*I22+INDEX(Symboles!$H$6:$H$101,MOD(28+$C22+(1),$B$3)+1)*J22+INDEX(Symboles!$H$6:$H$101,MOD(28+$C22+(2),$B$3)+1)*K22+INDEX(Symboles!$H$6:$H$101,MOD(28+$C22+(3),$B$3)+1)*L22+INDEX(Symboles!$H$6:$H$101,MOD(28+$C22+(4),$B$3)+1)*M22+IF($B$6=0,0,$B$6*NORMSINV(0.000001+0.999998*RAND())))</f>
        <v/>
      </c>
      <c r="EL22" s="30">
        <f>IF(30&gt;$B$3,99,INDEX(Symboles!$H$6:$H$101,MOD(29+$C22+(-4),$B$3)+1)*E22+INDEX(Symboles!$H$6:$H$101,MOD(29+$C22+(-3),$B$3)+1)*F22+INDEX(Symboles!$H$6:$H$101,MOD(29+$C22+(-2),$B$3)+1)*G22+INDEX(Symboles!$H$6:$H$101,MOD(29+$C22+(-1),$B$3)+1)*H22+INDEX(Symboles!$H$6:$H$101,MOD(29+$C22+(0),$B$3)+1)*I22+INDEX(Symboles!$H$6:$H$101,MOD(29+$C22+(1),$B$3)+1)*J22+INDEX(Symboles!$H$6:$H$101,MOD(29+$C22+(2),$B$3)+1)*K22+INDEX(Symboles!$H$6:$H$101,MOD(29+$C22+(3),$B$3)+1)*L22+INDEX(Symboles!$H$6:$H$101,MOD(29+$C22+(4),$B$3)+1)*M22+IF($B$6=0,0,$B$6*NORMSINV(0.000001+0.999998*RAND())))</f>
        <v/>
      </c>
      <c r="EM22" s="30">
        <f>IF(31&gt;$B$3,99,INDEX(Symboles!$H$6:$H$101,MOD(30+$C22+(-4),$B$3)+1)*E22+INDEX(Symboles!$H$6:$H$101,MOD(30+$C22+(-3),$B$3)+1)*F22+INDEX(Symboles!$H$6:$H$101,MOD(30+$C22+(-2),$B$3)+1)*G22+INDEX(Symboles!$H$6:$H$101,MOD(30+$C22+(-1),$B$3)+1)*H22+INDEX(Symboles!$H$6:$H$101,MOD(30+$C22+(0),$B$3)+1)*I22+INDEX(Symboles!$H$6:$H$101,MOD(30+$C22+(1),$B$3)+1)*J22+INDEX(Symboles!$H$6:$H$101,MOD(30+$C22+(2),$B$3)+1)*K22+INDEX(Symboles!$H$6:$H$101,MOD(30+$C22+(3),$B$3)+1)*L22+INDEX(Symboles!$H$6:$H$101,MOD(30+$C22+(4),$B$3)+1)*M22+IF($B$6=0,0,$B$6*NORMSINV(0.000001+0.999998*RAND())))</f>
        <v/>
      </c>
      <c r="EN22" s="30">
        <f>IF(32&gt;$B$3,99,INDEX(Symboles!$H$6:$H$101,MOD(31+$C22+(-4),$B$3)+1)*E22+INDEX(Symboles!$H$6:$H$101,MOD(31+$C22+(-3),$B$3)+1)*F22+INDEX(Symboles!$H$6:$H$101,MOD(31+$C22+(-2),$B$3)+1)*G22+INDEX(Symboles!$H$6:$H$101,MOD(31+$C22+(-1),$B$3)+1)*H22+INDEX(Symboles!$H$6:$H$101,MOD(31+$C22+(0),$B$3)+1)*I22+INDEX(Symboles!$H$6:$H$101,MOD(31+$C22+(1),$B$3)+1)*J22+INDEX(Symboles!$H$6:$H$101,MOD(31+$C22+(2),$B$3)+1)*K22+INDEX(Symboles!$H$6:$H$101,MOD(31+$C22+(3),$B$3)+1)*L22+INDEX(Symboles!$H$6:$H$101,MOD(31+$C22+(4),$B$3)+1)*M22+IF($B$6=0,0,$B$6*NORMSINV(0.000001+0.999998*RAND())))</f>
        <v/>
      </c>
      <c r="EO22" s="30">
        <f>IF(33&gt;$B$3,99,INDEX(Symboles!$H$6:$H$101,MOD(32+$C22+(-4),$B$3)+1)*E22+INDEX(Symboles!$H$6:$H$101,MOD(32+$C22+(-3),$B$3)+1)*F22+INDEX(Symboles!$H$6:$H$101,MOD(32+$C22+(-2),$B$3)+1)*G22+INDEX(Symboles!$H$6:$H$101,MOD(32+$C22+(-1),$B$3)+1)*H22+INDEX(Symboles!$H$6:$H$101,MOD(32+$C22+(0),$B$3)+1)*I22+INDEX(Symboles!$H$6:$H$101,MOD(32+$C22+(1),$B$3)+1)*J22+INDEX(Symboles!$H$6:$H$101,MOD(32+$C22+(2),$B$3)+1)*K22+INDEX(Symboles!$H$6:$H$101,MOD(32+$C22+(3),$B$3)+1)*L22+INDEX(Symboles!$H$6:$H$101,MOD(32+$C22+(4),$B$3)+1)*M22+IF($B$6=0,0,$B$6*NORMSINV(0.000001+0.999998*RAND())))</f>
        <v/>
      </c>
      <c r="EP22" s="30">
        <f>IF(34&gt;$B$3,99,INDEX(Symboles!$H$6:$H$101,MOD(33+$C22+(-4),$B$3)+1)*E22+INDEX(Symboles!$H$6:$H$101,MOD(33+$C22+(-3),$B$3)+1)*F22+INDEX(Symboles!$H$6:$H$101,MOD(33+$C22+(-2),$B$3)+1)*G22+INDEX(Symboles!$H$6:$H$101,MOD(33+$C22+(-1),$B$3)+1)*H22+INDEX(Symboles!$H$6:$H$101,MOD(33+$C22+(0),$B$3)+1)*I22+INDEX(Symboles!$H$6:$H$101,MOD(33+$C22+(1),$B$3)+1)*J22+INDEX(Symboles!$H$6:$H$101,MOD(33+$C22+(2),$B$3)+1)*K22+INDEX(Symboles!$H$6:$H$101,MOD(33+$C22+(3),$B$3)+1)*L22+INDEX(Symboles!$H$6:$H$101,MOD(33+$C22+(4),$B$3)+1)*M22+IF($B$6=0,0,$B$6*NORMSINV(0.000001+0.999998*RAND())))</f>
        <v/>
      </c>
      <c r="EQ22" s="30">
        <f>IF(35&gt;$B$3,99,INDEX(Symboles!$H$6:$H$101,MOD(34+$C22+(-4),$B$3)+1)*E22+INDEX(Symboles!$H$6:$H$101,MOD(34+$C22+(-3),$B$3)+1)*F22+INDEX(Symboles!$H$6:$H$101,MOD(34+$C22+(-2),$B$3)+1)*G22+INDEX(Symboles!$H$6:$H$101,MOD(34+$C22+(-1),$B$3)+1)*H22+INDEX(Symboles!$H$6:$H$101,MOD(34+$C22+(0),$B$3)+1)*I22+INDEX(Symboles!$H$6:$H$101,MOD(34+$C22+(1),$B$3)+1)*J22+INDEX(Symboles!$H$6:$H$101,MOD(34+$C22+(2),$B$3)+1)*K22+INDEX(Symboles!$H$6:$H$101,MOD(34+$C22+(3),$B$3)+1)*L22+INDEX(Symboles!$H$6:$H$101,MOD(34+$C22+(4),$B$3)+1)*M22+IF($B$6=0,0,$B$6*NORMSINV(0.000001+0.999998*RAND())))</f>
        <v/>
      </c>
      <c r="ER22" s="30">
        <f>IF(36&gt;$B$3,99,INDEX(Symboles!$H$6:$H$101,MOD(35+$C22+(-4),$B$3)+1)*E22+INDEX(Symboles!$H$6:$H$101,MOD(35+$C22+(-3),$B$3)+1)*F22+INDEX(Symboles!$H$6:$H$101,MOD(35+$C22+(-2),$B$3)+1)*G22+INDEX(Symboles!$H$6:$H$101,MOD(35+$C22+(-1),$B$3)+1)*H22+INDEX(Symboles!$H$6:$H$101,MOD(35+$C22+(0),$B$3)+1)*I22+INDEX(Symboles!$H$6:$H$101,MOD(35+$C22+(1),$B$3)+1)*J22+INDEX(Symboles!$H$6:$H$101,MOD(35+$C22+(2),$B$3)+1)*K22+INDEX(Symboles!$H$6:$H$101,MOD(35+$C22+(3),$B$3)+1)*L22+INDEX(Symboles!$H$6:$H$101,MOD(35+$C22+(4),$B$3)+1)*M22+IF($B$6=0,0,$B$6*NORMSINV(0.000001+0.999998*RAND())))</f>
        <v/>
      </c>
      <c r="ES22" s="30">
        <f>IF(37&gt;$B$3,99,INDEX(Symboles!$H$6:$H$101,MOD(36+$C22+(-4),$B$3)+1)*E22+INDEX(Symboles!$H$6:$H$101,MOD(36+$C22+(-3),$B$3)+1)*F22+INDEX(Symboles!$H$6:$H$101,MOD(36+$C22+(-2),$B$3)+1)*G22+INDEX(Symboles!$H$6:$H$101,MOD(36+$C22+(-1),$B$3)+1)*H22+INDEX(Symboles!$H$6:$H$101,MOD(36+$C22+(0),$B$3)+1)*I22+INDEX(Symboles!$H$6:$H$101,MOD(36+$C22+(1),$B$3)+1)*J22+INDEX(Symboles!$H$6:$H$101,MOD(36+$C22+(2),$B$3)+1)*K22+INDEX(Symboles!$H$6:$H$101,MOD(36+$C22+(3),$B$3)+1)*L22+INDEX(Symboles!$H$6:$H$101,MOD(36+$C22+(4),$B$3)+1)*M22+IF($B$6=0,0,$B$6*NORMSINV(0.000001+0.999998*RAND())))</f>
        <v/>
      </c>
      <c r="ET22" s="30">
        <f>IF(38&gt;$B$3,99,INDEX(Symboles!$H$6:$H$101,MOD(37+$C22+(-4),$B$3)+1)*E22+INDEX(Symboles!$H$6:$H$101,MOD(37+$C22+(-3),$B$3)+1)*F22+INDEX(Symboles!$H$6:$H$101,MOD(37+$C22+(-2),$B$3)+1)*G22+INDEX(Symboles!$H$6:$H$101,MOD(37+$C22+(-1),$B$3)+1)*H22+INDEX(Symboles!$H$6:$H$101,MOD(37+$C22+(0),$B$3)+1)*I22+INDEX(Symboles!$H$6:$H$101,MOD(37+$C22+(1),$B$3)+1)*J22+INDEX(Symboles!$H$6:$H$101,MOD(37+$C22+(2),$B$3)+1)*K22+INDEX(Symboles!$H$6:$H$101,MOD(37+$C22+(3),$B$3)+1)*L22+INDEX(Symboles!$H$6:$H$101,MOD(37+$C22+(4),$B$3)+1)*M22+IF($B$6=0,0,$B$6*NORMSINV(0.000001+0.999998*RAND())))</f>
        <v/>
      </c>
      <c r="EU22" s="30">
        <f>IF(39&gt;$B$3,99,INDEX(Symboles!$H$6:$H$101,MOD(38+$C22+(-4),$B$3)+1)*E22+INDEX(Symboles!$H$6:$H$101,MOD(38+$C22+(-3),$B$3)+1)*F22+INDEX(Symboles!$H$6:$H$101,MOD(38+$C22+(-2),$B$3)+1)*G22+INDEX(Symboles!$H$6:$H$101,MOD(38+$C22+(-1),$B$3)+1)*H22+INDEX(Symboles!$H$6:$H$101,MOD(38+$C22+(0),$B$3)+1)*I22+INDEX(Symboles!$H$6:$H$101,MOD(38+$C22+(1),$B$3)+1)*J22+INDEX(Symboles!$H$6:$H$101,MOD(38+$C22+(2),$B$3)+1)*K22+INDEX(Symboles!$H$6:$H$101,MOD(38+$C22+(3),$B$3)+1)*L22+INDEX(Symboles!$H$6:$H$101,MOD(38+$C22+(4),$B$3)+1)*M22+IF($B$6=0,0,$B$6*NORMSINV(0.000001+0.999998*RAND())))</f>
        <v/>
      </c>
      <c r="EV22" s="30">
        <f>IF(40&gt;$B$3,99,INDEX(Symboles!$H$6:$H$101,MOD(39+$C22+(-4),$B$3)+1)*E22+INDEX(Symboles!$H$6:$H$101,MOD(39+$C22+(-3),$B$3)+1)*F22+INDEX(Symboles!$H$6:$H$101,MOD(39+$C22+(-2),$B$3)+1)*G22+INDEX(Symboles!$H$6:$H$101,MOD(39+$C22+(-1),$B$3)+1)*H22+INDEX(Symboles!$H$6:$H$101,MOD(39+$C22+(0),$B$3)+1)*I22+INDEX(Symboles!$H$6:$H$101,MOD(39+$C22+(1),$B$3)+1)*J22+INDEX(Symboles!$H$6:$H$101,MOD(39+$C22+(2),$B$3)+1)*K22+INDEX(Symboles!$H$6:$H$101,MOD(39+$C22+(3),$B$3)+1)*L22+INDEX(Symboles!$H$6:$H$101,MOD(39+$C22+(4),$B$3)+1)*M22+IF($B$6=0,0,$B$6*NORMSINV(0.000001+0.999998*RAND())))</f>
        <v/>
      </c>
      <c r="EW22" s="30">
        <f>IF(41&gt;$B$3,99,INDEX(Symboles!$H$6:$H$101,MOD(40+$C22+(-4),$B$3)+1)*E22+INDEX(Symboles!$H$6:$H$101,MOD(40+$C22+(-3),$B$3)+1)*F22+INDEX(Symboles!$H$6:$H$101,MOD(40+$C22+(-2),$B$3)+1)*G22+INDEX(Symboles!$H$6:$H$101,MOD(40+$C22+(-1),$B$3)+1)*H22+INDEX(Symboles!$H$6:$H$101,MOD(40+$C22+(0),$B$3)+1)*I22+INDEX(Symboles!$H$6:$H$101,MOD(40+$C22+(1),$B$3)+1)*J22+INDEX(Symboles!$H$6:$H$101,MOD(40+$C22+(2),$B$3)+1)*K22+INDEX(Symboles!$H$6:$H$101,MOD(40+$C22+(3),$B$3)+1)*L22+INDEX(Symboles!$H$6:$H$101,MOD(40+$C22+(4),$B$3)+1)*M22+IF($B$6=0,0,$B$6*NORMSINV(0.000001+0.999998*RAND())))</f>
        <v/>
      </c>
      <c r="EX22" s="30">
        <f>IF(42&gt;$B$3,99,INDEX(Symboles!$H$6:$H$101,MOD(41+$C22+(-4),$B$3)+1)*E22+INDEX(Symboles!$H$6:$H$101,MOD(41+$C22+(-3),$B$3)+1)*F22+INDEX(Symboles!$H$6:$H$101,MOD(41+$C22+(-2),$B$3)+1)*G22+INDEX(Symboles!$H$6:$H$101,MOD(41+$C22+(-1),$B$3)+1)*H22+INDEX(Symboles!$H$6:$H$101,MOD(41+$C22+(0),$B$3)+1)*I22+INDEX(Symboles!$H$6:$H$101,MOD(41+$C22+(1),$B$3)+1)*J22+INDEX(Symboles!$H$6:$H$101,MOD(41+$C22+(2),$B$3)+1)*K22+INDEX(Symboles!$H$6:$H$101,MOD(41+$C22+(3),$B$3)+1)*L22+INDEX(Symboles!$H$6:$H$101,MOD(41+$C22+(4),$B$3)+1)*M22+IF($B$6=0,0,$B$6*NORMSINV(0.000001+0.999998*RAND())))</f>
        <v/>
      </c>
      <c r="EY22" s="30">
        <f>IF(43&gt;$B$3,99,INDEX(Symboles!$H$6:$H$101,MOD(42+$C22+(-4),$B$3)+1)*E22+INDEX(Symboles!$H$6:$H$101,MOD(42+$C22+(-3),$B$3)+1)*F22+INDEX(Symboles!$H$6:$H$101,MOD(42+$C22+(-2),$B$3)+1)*G22+INDEX(Symboles!$H$6:$H$101,MOD(42+$C22+(-1),$B$3)+1)*H22+INDEX(Symboles!$H$6:$H$101,MOD(42+$C22+(0),$B$3)+1)*I22+INDEX(Symboles!$H$6:$H$101,MOD(42+$C22+(1),$B$3)+1)*J22+INDEX(Symboles!$H$6:$H$101,MOD(42+$C22+(2),$B$3)+1)*K22+INDEX(Symboles!$H$6:$H$101,MOD(42+$C22+(3),$B$3)+1)*L22+INDEX(Symboles!$H$6:$H$101,MOD(42+$C22+(4),$B$3)+1)*M22+IF($B$6=0,0,$B$6*NORMSINV(0.000001+0.999998*RAND())))</f>
        <v/>
      </c>
      <c r="EZ22" s="30">
        <f>IF(44&gt;$B$3,99,INDEX(Symboles!$H$6:$H$101,MOD(43+$C22+(-4),$B$3)+1)*E22+INDEX(Symboles!$H$6:$H$101,MOD(43+$C22+(-3),$B$3)+1)*F22+INDEX(Symboles!$H$6:$H$101,MOD(43+$C22+(-2),$B$3)+1)*G22+INDEX(Symboles!$H$6:$H$101,MOD(43+$C22+(-1),$B$3)+1)*H22+INDEX(Symboles!$H$6:$H$101,MOD(43+$C22+(0),$B$3)+1)*I22+INDEX(Symboles!$H$6:$H$101,MOD(43+$C22+(1),$B$3)+1)*J22+INDEX(Symboles!$H$6:$H$101,MOD(43+$C22+(2),$B$3)+1)*K22+INDEX(Symboles!$H$6:$H$101,MOD(43+$C22+(3),$B$3)+1)*L22+INDEX(Symboles!$H$6:$H$101,MOD(43+$C22+(4),$B$3)+1)*M22+IF($B$6=0,0,$B$6*NORMSINV(0.000001+0.999998*RAND())))</f>
        <v/>
      </c>
      <c r="FA22" s="30">
        <f>IF(45&gt;$B$3,99,INDEX(Symboles!$H$6:$H$101,MOD(44+$C22+(-4),$B$3)+1)*E22+INDEX(Symboles!$H$6:$H$101,MOD(44+$C22+(-3),$B$3)+1)*F22+INDEX(Symboles!$H$6:$H$101,MOD(44+$C22+(-2),$B$3)+1)*G22+INDEX(Symboles!$H$6:$H$101,MOD(44+$C22+(-1),$B$3)+1)*H22+INDEX(Symboles!$H$6:$H$101,MOD(44+$C22+(0),$B$3)+1)*I22+INDEX(Symboles!$H$6:$H$101,MOD(44+$C22+(1),$B$3)+1)*J22+INDEX(Symboles!$H$6:$H$101,MOD(44+$C22+(2),$B$3)+1)*K22+INDEX(Symboles!$H$6:$H$101,MOD(44+$C22+(3),$B$3)+1)*L22+INDEX(Symboles!$H$6:$H$101,MOD(44+$C22+(4),$B$3)+1)*M22+IF($B$6=0,0,$B$6*NORMSINV(0.000001+0.999998*RAND())))</f>
        <v/>
      </c>
      <c r="FB22" s="30">
        <f>IF(46&gt;$B$3,99,INDEX(Symboles!$H$6:$H$101,MOD(45+$C22+(-4),$B$3)+1)*E22+INDEX(Symboles!$H$6:$H$101,MOD(45+$C22+(-3),$B$3)+1)*F22+INDEX(Symboles!$H$6:$H$101,MOD(45+$C22+(-2),$B$3)+1)*G22+INDEX(Symboles!$H$6:$H$101,MOD(45+$C22+(-1),$B$3)+1)*H22+INDEX(Symboles!$H$6:$H$101,MOD(45+$C22+(0),$B$3)+1)*I22+INDEX(Symboles!$H$6:$H$101,MOD(45+$C22+(1),$B$3)+1)*J22+INDEX(Symboles!$H$6:$H$101,MOD(45+$C22+(2),$B$3)+1)*K22+INDEX(Symboles!$H$6:$H$101,MOD(45+$C22+(3),$B$3)+1)*L22+INDEX(Symboles!$H$6:$H$101,MOD(45+$C22+(4),$B$3)+1)*M22+IF($B$6=0,0,$B$6*NORMSINV(0.000001+0.999998*RAND())))</f>
        <v/>
      </c>
      <c r="FC22" s="30">
        <f>IF(47&gt;$B$3,99,INDEX(Symboles!$H$6:$H$101,MOD(46+$C22+(-4),$B$3)+1)*E22+INDEX(Symboles!$H$6:$H$101,MOD(46+$C22+(-3),$B$3)+1)*F22+INDEX(Symboles!$H$6:$H$101,MOD(46+$C22+(-2),$B$3)+1)*G22+INDEX(Symboles!$H$6:$H$101,MOD(46+$C22+(-1),$B$3)+1)*H22+INDEX(Symboles!$H$6:$H$101,MOD(46+$C22+(0),$B$3)+1)*I22+INDEX(Symboles!$H$6:$H$101,MOD(46+$C22+(1),$B$3)+1)*J22+INDEX(Symboles!$H$6:$H$101,MOD(46+$C22+(2),$B$3)+1)*K22+INDEX(Symboles!$H$6:$H$101,MOD(46+$C22+(3),$B$3)+1)*L22+INDEX(Symboles!$H$6:$H$101,MOD(46+$C22+(4),$B$3)+1)*M22+IF($B$6=0,0,$B$6*NORMSINV(0.000001+0.999998*RAND())))</f>
        <v/>
      </c>
      <c r="FD22" s="30">
        <f>IF(48&gt;$B$3,99,INDEX(Symboles!$H$6:$H$101,MOD(47+$C22+(-4),$B$3)+1)*E22+INDEX(Symboles!$H$6:$H$101,MOD(47+$C22+(-3),$B$3)+1)*F22+INDEX(Symboles!$H$6:$H$101,MOD(47+$C22+(-2),$B$3)+1)*G22+INDEX(Symboles!$H$6:$H$101,MOD(47+$C22+(-1),$B$3)+1)*H22+INDEX(Symboles!$H$6:$H$101,MOD(47+$C22+(0),$B$3)+1)*I22+INDEX(Symboles!$H$6:$H$101,MOD(47+$C22+(1),$B$3)+1)*J22+INDEX(Symboles!$H$6:$H$101,MOD(47+$C22+(2),$B$3)+1)*K22+INDEX(Symboles!$H$6:$H$101,MOD(47+$C22+(3),$B$3)+1)*L22+INDEX(Symboles!$H$6:$H$101,MOD(47+$C22+(4),$B$3)+1)*M22+IF($B$6=0,0,$B$6*NORMSINV(0.000001+0.999998*RAND())))</f>
        <v/>
      </c>
      <c r="FE22" s="30">
        <f>IF(49&gt;$B$3,99,INDEX(Symboles!$H$6:$H$101,MOD(48+$C22+(-4),$B$3)+1)*E22+INDEX(Symboles!$H$6:$H$101,MOD(48+$C22+(-3),$B$3)+1)*F22+INDEX(Symboles!$H$6:$H$101,MOD(48+$C22+(-2),$B$3)+1)*G22+INDEX(Symboles!$H$6:$H$101,MOD(48+$C22+(-1),$B$3)+1)*H22+INDEX(Symboles!$H$6:$H$101,MOD(48+$C22+(0),$B$3)+1)*I22+INDEX(Symboles!$H$6:$H$101,MOD(48+$C22+(1),$B$3)+1)*J22+INDEX(Symboles!$H$6:$H$101,MOD(48+$C22+(2),$B$3)+1)*K22+INDEX(Symboles!$H$6:$H$101,MOD(48+$C22+(3),$B$3)+1)*L22+INDEX(Symboles!$H$6:$H$101,MOD(48+$C22+(4),$B$3)+1)*M22+IF($B$6=0,0,$B$6*NORMSINV(0.000001+0.999998*RAND())))</f>
        <v/>
      </c>
      <c r="FF22" s="30">
        <f>IF(50&gt;$B$3,99,INDEX(Symboles!$H$6:$H$101,MOD(49+$C22+(-4),$B$3)+1)*E22+INDEX(Symboles!$H$6:$H$101,MOD(49+$C22+(-3),$B$3)+1)*F22+INDEX(Symboles!$H$6:$H$101,MOD(49+$C22+(-2),$B$3)+1)*G22+INDEX(Symboles!$H$6:$H$101,MOD(49+$C22+(-1),$B$3)+1)*H22+INDEX(Symboles!$H$6:$H$101,MOD(49+$C22+(0),$B$3)+1)*I22+INDEX(Symboles!$H$6:$H$101,MOD(49+$C22+(1),$B$3)+1)*J22+INDEX(Symboles!$H$6:$H$101,MOD(49+$C22+(2),$B$3)+1)*K22+INDEX(Symboles!$H$6:$H$101,MOD(49+$C22+(3),$B$3)+1)*L22+INDEX(Symboles!$H$6:$H$101,MOD(49+$C22+(4),$B$3)+1)*M22+IF($B$6=0,0,$B$6*NORMSINV(0.000001+0.999998*RAND())))</f>
        <v/>
      </c>
      <c r="FG22" s="30">
        <f>IF(51&gt;$B$3,99,INDEX(Symboles!$H$6:$H$101,MOD(50+$C22+(-4),$B$3)+1)*E22+INDEX(Symboles!$H$6:$H$101,MOD(50+$C22+(-3),$B$3)+1)*F22+INDEX(Symboles!$H$6:$H$101,MOD(50+$C22+(-2),$B$3)+1)*G22+INDEX(Symboles!$H$6:$H$101,MOD(50+$C22+(-1),$B$3)+1)*H22+INDEX(Symboles!$H$6:$H$101,MOD(50+$C22+(0),$B$3)+1)*I22+INDEX(Symboles!$H$6:$H$101,MOD(50+$C22+(1),$B$3)+1)*J22+INDEX(Symboles!$H$6:$H$101,MOD(50+$C22+(2),$B$3)+1)*K22+INDEX(Symboles!$H$6:$H$101,MOD(50+$C22+(3),$B$3)+1)*L22+INDEX(Symboles!$H$6:$H$101,MOD(50+$C22+(4),$B$3)+1)*M22+IF($B$6=0,0,$B$6*NORMSINV(0.000001+0.999998*RAND())))</f>
        <v/>
      </c>
      <c r="FH22" s="30">
        <f>IF(52&gt;$B$3,99,INDEX(Symboles!$H$6:$H$101,MOD(51+$C22+(-4),$B$3)+1)*E22+INDEX(Symboles!$H$6:$H$101,MOD(51+$C22+(-3),$B$3)+1)*F22+INDEX(Symboles!$H$6:$H$101,MOD(51+$C22+(-2),$B$3)+1)*G22+INDEX(Symboles!$H$6:$H$101,MOD(51+$C22+(-1),$B$3)+1)*H22+INDEX(Symboles!$H$6:$H$101,MOD(51+$C22+(0),$B$3)+1)*I22+INDEX(Symboles!$H$6:$H$101,MOD(51+$C22+(1),$B$3)+1)*J22+INDEX(Symboles!$H$6:$H$101,MOD(51+$C22+(2),$B$3)+1)*K22+INDEX(Symboles!$H$6:$H$101,MOD(51+$C22+(3),$B$3)+1)*L22+INDEX(Symboles!$H$6:$H$101,MOD(51+$C22+(4),$B$3)+1)*M22+IF($B$6=0,0,$B$6*NORMSINV(0.000001+0.999998*RAND())))</f>
        <v/>
      </c>
      <c r="FI22" s="30">
        <f>IF(53&gt;$B$3,99,INDEX(Symboles!$H$6:$H$101,MOD(52+$C22+(-4),$B$3)+1)*E22+INDEX(Symboles!$H$6:$H$101,MOD(52+$C22+(-3),$B$3)+1)*F22+INDEX(Symboles!$H$6:$H$101,MOD(52+$C22+(-2),$B$3)+1)*G22+INDEX(Symboles!$H$6:$H$101,MOD(52+$C22+(-1),$B$3)+1)*H22+INDEX(Symboles!$H$6:$H$101,MOD(52+$C22+(0),$B$3)+1)*I22+INDEX(Symboles!$H$6:$H$101,MOD(52+$C22+(1),$B$3)+1)*J22+INDEX(Symboles!$H$6:$H$101,MOD(52+$C22+(2),$B$3)+1)*K22+INDEX(Symboles!$H$6:$H$101,MOD(52+$C22+(3),$B$3)+1)*L22+INDEX(Symboles!$H$6:$H$101,MOD(52+$C22+(4),$B$3)+1)*M22+IF($B$6=0,0,$B$6*NORMSINV(0.000001+0.999998*RAND())))</f>
        <v/>
      </c>
      <c r="FJ22" s="30">
        <f>IF(54&gt;$B$3,99,INDEX(Symboles!$H$6:$H$101,MOD(53+$C22+(-4),$B$3)+1)*E22+INDEX(Symboles!$H$6:$H$101,MOD(53+$C22+(-3),$B$3)+1)*F22+INDEX(Symboles!$H$6:$H$101,MOD(53+$C22+(-2),$B$3)+1)*G22+INDEX(Symboles!$H$6:$H$101,MOD(53+$C22+(-1),$B$3)+1)*H22+INDEX(Symboles!$H$6:$H$101,MOD(53+$C22+(0),$B$3)+1)*I22+INDEX(Symboles!$H$6:$H$101,MOD(53+$C22+(1),$B$3)+1)*J22+INDEX(Symboles!$H$6:$H$101,MOD(53+$C22+(2),$B$3)+1)*K22+INDEX(Symboles!$H$6:$H$101,MOD(53+$C22+(3),$B$3)+1)*L22+INDEX(Symboles!$H$6:$H$101,MOD(53+$C22+(4),$B$3)+1)*M22+IF($B$6=0,0,$B$6*NORMSINV(0.000001+0.999998*RAND())))</f>
        <v/>
      </c>
      <c r="FK22" s="30">
        <f>IF(55&gt;$B$3,99,INDEX(Symboles!$H$6:$H$101,MOD(54+$C22+(-4),$B$3)+1)*E22+INDEX(Symboles!$H$6:$H$101,MOD(54+$C22+(-3),$B$3)+1)*F22+INDEX(Symboles!$H$6:$H$101,MOD(54+$C22+(-2),$B$3)+1)*G22+INDEX(Symboles!$H$6:$H$101,MOD(54+$C22+(-1),$B$3)+1)*H22+INDEX(Symboles!$H$6:$H$101,MOD(54+$C22+(0),$B$3)+1)*I22+INDEX(Symboles!$H$6:$H$101,MOD(54+$C22+(1),$B$3)+1)*J22+INDEX(Symboles!$H$6:$H$101,MOD(54+$C22+(2),$B$3)+1)*K22+INDEX(Symboles!$H$6:$H$101,MOD(54+$C22+(3),$B$3)+1)*L22+INDEX(Symboles!$H$6:$H$101,MOD(54+$C22+(4),$B$3)+1)*M22+IF($B$6=0,0,$B$6*NORMSINV(0.000001+0.999998*RAND())))</f>
        <v/>
      </c>
      <c r="FL22" s="30">
        <f>IF(56&gt;$B$3,99,INDEX(Symboles!$H$6:$H$101,MOD(55+$C22+(-4),$B$3)+1)*E22+INDEX(Symboles!$H$6:$H$101,MOD(55+$C22+(-3),$B$3)+1)*F22+INDEX(Symboles!$H$6:$H$101,MOD(55+$C22+(-2),$B$3)+1)*G22+INDEX(Symboles!$H$6:$H$101,MOD(55+$C22+(-1),$B$3)+1)*H22+INDEX(Symboles!$H$6:$H$101,MOD(55+$C22+(0),$B$3)+1)*I22+INDEX(Symboles!$H$6:$H$101,MOD(55+$C22+(1),$B$3)+1)*J22+INDEX(Symboles!$H$6:$H$101,MOD(55+$C22+(2),$B$3)+1)*K22+INDEX(Symboles!$H$6:$H$101,MOD(55+$C22+(3),$B$3)+1)*L22+INDEX(Symboles!$H$6:$H$101,MOD(55+$C22+(4),$B$3)+1)*M22+IF($B$6=0,0,$B$6*NORMSINV(0.000001+0.999998*RAND())))</f>
        <v/>
      </c>
      <c r="FM22" s="30">
        <f>IF(57&gt;$B$3,99,INDEX(Symboles!$H$6:$H$101,MOD(56+$C22+(-4),$B$3)+1)*E22+INDEX(Symboles!$H$6:$H$101,MOD(56+$C22+(-3),$B$3)+1)*F22+INDEX(Symboles!$H$6:$H$101,MOD(56+$C22+(-2),$B$3)+1)*G22+INDEX(Symboles!$H$6:$H$101,MOD(56+$C22+(-1),$B$3)+1)*H22+INDEX(Symboles!$H$6:$H$101,MOD(56+$C22+(0),$B$3)+1)*I22+INDEX(Symboles!$H$6:$H$101,MOD(56+$C22+(1),$B$3)+1)*J22+INDEX(Symboles!$H$6:$H$101,MOD(56+$C22+(2),$B$3)+1)*K22+INDEX(Symboles!$H$6:$H$101,MOD(56+$C22+(3),$B$3)+1)*L22+INDEX(Symboles!$H$6:$H$101,MOD(56+$C22+(4),$B$3)+1)*M22+IF($B$6=0,0,$B$6*NORMSINV(0.000001+0.999998*RAND())))</f>
        <v/>
      </c>
      <c r="FN22" s="30">
        <f>IF(58&gt;$B$3,99,INDEX(Symboles!$H$6:$H$101,MOD(57+$C22+(-4),$B$3)+1)*E22+INDEX(Symboles!$H$6:$H$101,MOD(57+$C22+(-3),$B$3)+1)*F22+INDEX(Symboles!$H$6:$H$101,MOD(57+$C22+(-2),$B$3)+1)*G22+INDEX(Symboles!$H$6:$H$101,MOD(57+$C22+(-1),$B$3)+1)*H22+INDEX(Symboles!$H$6:$H$101,MOD(57+$C22+(0),$B$3)+1)*I22+INDEX(Symboles!$H$6:$H$101,MOD(57+$C22+(1),$B$3)+1)*J22+INDEX(Symboles!$H$6:$H$101,MOD(57+$C22+(2),$B$3)+1)*K22+INDEX(Symboles!$H$6:$H$101,MOD(57+$C22+(3),$B$3)+1)*L22+INDEX(Symboles!$H$6:$H$101,MOD(57+$C22+(4),$B$3)+1)*M22+IF($B$6=0,0,$B$6*NORMSINV(0.000001+0.999998*RAND())))</f>
        <v/>
      </c>
      <c r="FO22" s="30">
        <f>IF(59&gt;$B$3,99,INDEX(Symboles!$H$6:$H$101,MOD(58+$C22+(-4),$B$3)+1)*E22+INDEX(Symboles!$H$6:$H$101,MOD(58+$C22+(-3),$B$3)+1)*F22+INDEX(Symboles!$H$6:$H$101,MOD(58+$C22+(-2),$B$3)+1)*G22+INDEX(Symboles!$H$6:$H$101,MOD(58+$C22+(-1),$B$3)+1)*H22+INDEX(Symboles!$H$6:$H$101,MOD(58+$C22+(0),$B$3)+1)*I22+INDEX(Symboles!$H$6:$H$101,MOD(58+$C22+(1),$B$3)+1)*J22+INDEX(Symboles!$H$6:$H$101,MOD(58+$C22+(2),$B$3)+1)*K22+INDEX(Symboles!$H$6:$H$101,MOD(58+$C22+(3),$B$3)+1)*L22+INDEX(Symboles!$H$6:$H$101,MOD(58+$C22+(4),$B$3)+1)*M22+IF($B$6=0,0,$B$6*NORMSINV(0.000001+0.999998*RAND())))</f>
        <v/>
      </c>
      <c r="FP22" s="30">
        <f>IF(60&gt;$B$3,99,INDEX(Symboles!$H$6:$H$101,MOD(59+$C22+(-4),$B$3)+1)*E22+INDEX(Symboles!$H$6:$H$101,MOD(59+$C22+(-3),$B$3)+1)*F22+INDEX(Symboles!$H$6:$H$101,MOD(59+$C22+(-2),$B$3)+1)*G22+INDEX(Symboles!$H$6:$H$101,MOD(59+$C22+(-1),$B$3)+1)*H22+INDEX(Symboles!$H$6:$H$101,MOD(59+$C22+(0),$B$3)+1)*I22+INDEX(Symboles!$H$6:$H$101,MOD(59+$C22+(1),$B$3)+1)*J22+INDEX(Symboles!$H$6:$H$101,MOD(59+$C22+(2),$B$3)+1)*K22+INDEX(Symboles!$H$6:$H$101,MOD(59+$C22+(3),$B$3)+1)*L22+INDEX(Symboles!$H$6:$H$101,MOD(59+$C22+(4),$B$3)+1)*M22+IF($B$6=0,0,$B$6*NORMSINV(0.000001+0.999998*RAND())))</f>
        <v/>
      </c>
      <c r="FQ22" s="30">
        <f>IF(61&gt;$B$3,99,INDEX(Symboles!$H$6:$H$101,MOD(60+$C22+(-4),$B$3)+1)*E22+INDEX(Symboles!$H$6:$H$101,MOD(60+$C22+(-3),$B$3)+1)*F22+INDEX(Symboles!$H$6:$H$101,MOD(60+$C22+(-2),$B$3)+1)*G22+INDEX(Symboles!$H$6:$H$101,MOD(60+$C22+(-1),$B$3)+1)*H22+INDEX(Symboles!$H$6:$H$101,MOD(60+$C22+(0),$B$3)+1)*I22+INDEX(Symboles!$H$6:$H$101,MOD(60+$C22+(1),$B$3)+1)*J22+INDEX(Symboles!$H$6:$H$101,MOD(60+$C22+(2),$B$3)+1)*K22+INDEX(Symboles!$H$6:$H$101,MOD(60+$C22+(3),$B$3)+1)*L22+INDEX(Symboles!$H$6:$H$101,MOD(60+$C22+(4),$B$3)+1)*M22+IF($B$6=0,0,$B$6*NORMSINV(0.000001+0.999998*RAND())))</f>
        <v/>
      </c>
      <c r="FR22" s="30">
        <f>IF(62&gt;$B$3,99,INDEX(Symboles!$H$6:$H$101,MOD(61+$C22+(-4),$B$3)+1)*E22+INDEX(Symboles!$H$6:$H$101,MOD(61+$C22+(-3),$B$3)+1)*F22+INDEX(Symboles!$H$6:$H$101,MOD(61+$C22+(-2),$B$3)+1)*G22+INDEX(Symboles!$H$6:$H$101,MOD(61+$C22+(-1),$B$3)+1)*H22+INDEX(Symboles!$H$6:$H$101,MOD(61+$C22+(0),$B$3)+1)*I22+INDEX(Symboles!$H$6:$H$101,MOD(61+$C22+(1),$B$3)+1)*J22+INDEX(Symboles!$H$6:$H$101,MOD(61+$C22+(2),$B$3)+1)*K22+INDEX(Symboles!$H$6:$H$101,MOD(61+$C22+(3),$B$3)+1)*L22+INDEX(Symboles!$H$6:$H$101,MOD(61+$C22+(4),$B$3)+1)*M22+IF($B$6=0,0,$B$6*NORMSINV(0.000001+0.999998*RAND())))</f>
        <v/>
      </c>
      <c r="FS22" s="30">
        <f>IF(63&gt;$B$3,99,INDEX(Symboles!$H$6:$H$101,MOD(62+$C22+(-4),$B$3)+1)*E22+INDEX(Symboles!$H$6:$H$101,MOD(62+$C22+(-3),$B$3)+1)*F22+INDEX(Symboles!$H$6:$H$101,MOD(62+$C22+(-2),$B$3)+1)*G22+INDEX(Symboles!$H$6:$H$101,MOD(62+$C22+(-1),$B$3)+1)*H22+INDEX(Symboles!$H$6:$H$101,MOD(62+$C22+(0),$B$3)+1)*I22+INDEX(Symboles!$H$6:$H$101,MOD(62+$C22+(1),$B$3)+1)*J22+INDEX(Symboles!$H$6:$H$101,MOD(62+$C22+(2),$B$3)+1)*K22+INDEX(Symboles!$H$6:$H$101,MOD(62+$C22+(3),$B$3)+1)*L22+INDEX(Symboles!$H$6:$H$101,MOD(62+$C22+(4),$B$3)+1)*M22+IF($B$6=0,0,$B$6*NORMSINV(0.000001+0.999998*RAND())))</f>
        <v/>
      </c>
      <c r="FT22" s="30">
        <f>IF(64&gt;$B$3,99,INDEX(Symboles!$H$6:$H$101,MOD(63+$C22+(-4),$B$3)+1)*E22+INDEX(Symboles!$H$6:$H$101,MOD(63+$C22+(-3),$B$3)+1)*F22+INDEX(Symboles!$H$6:$H$101,MOD(63+$C22+(-2),$B$3)+1)*G22+INDEX(Symboles!$H$6:$H$101,MOD(63+$C22+(-1),$B$3)+1)*H22+INDEX(Symboles!$H$6:$H$101,MOD(63+$C22+(0),$B$3)+1)*I22+INDEX(Symboles!$H$6:$H$101,MOD(63+$C22+(1),$B$3)+1)*J22+INDEX(Symboles!$H$6:$H$101,MOD(63+$C22+(2),$B$3)+1)*K22+INDEX(Symboles!$H$6:$H$101,MOD(63+$C22+(3),$B$3)+1)*L22+INDEX(Symboles!$H$6:$H$101,MOD(63+$C22+(4),$B$3)+1)*M22+IF($B$6=0,0,$B$6*NORMSINV(0.000001+0.999998*RAND())))</f>
        <v/>
      </c>
      <c r="FU22" s="30">
        <f>IF(65&gt;$B$3,99,INDEX(Symboles!$H$6:$H$101,MOD(64+$C22+(-4),$B$3)+1)*E22+INDEX(Symboles!$H$6:$H$101,MOD(64+$C22+(-3),$B$3)+1)*F22+INDEX(Symboles!$H$6:$H$101,MOD(64+$C22+(-2),$B$3)+1)*G22+INDEX(Symboles!$H$6:$H$101,MOD(64+$C22+(-1),$B$3)+1)*H22+INDEX(Symboles!$H$6:$H$101,MOD(64+$C22+(0),$B$3)+1)*I22+INDEX(Symboles!$H$6:$H$101,MOD(64+$C22+(1),$B$3)+1)*J22+INDEX(Symboles!$H$6:$H$101,MOD(64+$C22+(2),$B$3)+1)*K22+INDEX(Symboles!$H$6:$H$101,MOD(64+$C22+(3),$B$3)+1)*L22+INDEX(Symboles!$H$6:$H$101,MOD(64+$C22+(4),$B$3)+1)*M22+IF($B$6=0,0,$B$6*NORMSINV(0.000001+0.999998*RAND())))</f>
        <v/>
      </c>
      <c r="FV22" s="30">
        <f>IF(66&gt;$B$3,99,INDEX(Symboles!$H$6:$H$101,MOD(65+$C22+(-4),$B$3)+1)*E22+INDEX(Symboles!$H$6:$H$101,MOD(65+$C22+(-3),$B$3)+1)*F22+INDEX(Symboles!$H$6:$H$101,MOD(65+$C22+(-2),$B$3)+1)*G22+INDEX(Symboles!$H$6:$H$101,MOD(65+$C22+(-1),$B$3)+1)*H22+INDEX(Symboles!$H$6:$H$101,MOD(65+$C22+(0),$B$3)+1)*I22+INDEX(Symboles!$H$6:$H$101,MOD(65+$C22+(1),$B$3)+1)*J22+INDEX(Symboles!$H$6:$H$101,MOD(65+$C22+(2),$B$3)+1)*K22+INDEX(Symboles!$H$6:$H$101,MOD(65+$C22+(3),$B$3)+1)*L22+INDEX(Symboles!$H$6:$H$101,MOD(65+$C22+(4),$B$3)+1)*M22+IF($B$6=0,0,$B$6*NORMSINV(0.000001+0.999998*RAND())))</f>
        <v/>
      </c>
      <c r="FW22" s="30">
        <f>IF(67&gt;$B$3,99,INDEX(Symboles!$H$6:$H$101,MOD(66+$C22+(-4),$B$3)+1)*E22+INDEX(Symboles!$H$6:$H$101,MOD(66+$C22+(-3),$B$3)+1)*F22+INDEX(Symboles!$H$6:$H$101,MOD(66+$C22+(-2),$B$3)+1)*G22+INDEX(Symboles!$H$6:$H$101,MOD(66+$C22+(-1),$B$3)+1)*H22+INDEX(Symboles!$H$6:$H$101,MOD(66+$C22+(0),$B$3)+1)*I22+INDEX(Symboles!$H$6:$H$101,MOD(66+$C22+(1),$B$3)+1)*J22+INDEX(Symboles!$H$6:$H$101,MOD(66+$C22+(2),$B$3)+1)*K22+INDEX(Symboles!$H$6:$H$101,MOD(66+$C22+(3),$B$3)+1)*L22+INDEX(Symboles!$H$6:$H$101,MOD(66+$C22+(4),$B$3)+1)*M22+IF($B$6=0,0,$B$6*NORMSINV(0.000001+0.999998*RAND())))</f>
        <v/>
      </c>
      <c r="FX22" s="30">
        <f>IF(68&gt;$B$3,99,INDEX(Symboles!$H$6:$H$101,MOD(67+$C22+(-4),$B$3)+1)*E22+INDEX(Symboles!$H$6:$H$101,MOD(67+$C22+(-3),$B$3)+1)*F22+INDEX(Symboles!$H$6:$H$101,MOD(67+$C22+(-2),$B$3)+1)*G22+INDEX(Symboles!$H$6:$H$101,MOD(67+$C22+(-1),$B$3)+1)*H22+INDEX(Symboles!$H$6:$H$101,MOD(67+$C22+(0),$B$3)+1)*I22+INDEX(Symboles!$H$6:$H$101,MOD(67+$C22+(1),$B$3)+1)*J22+INDEX(Symboles!$H$6:$H$101,MOD(67+$C22+(2),$B$3)+1)*K22+INDEX(Symboles!$H$6:$H$101,MOD(67+$C22+(3),$B$3)+1)*L22+INDEX(Symboles!$H$6:$H$101,MOD(67+$C22+(4),$B$3)+1)*M22+IF($B$6=0,0,$B$6*NORMSINV(0.000001+0.999998*RAND())))</f>
        <v/>
      </c>
      <c r="FY22" s="30">
        <f>IF(69&gt;$B$3,99,INDEX(Symboles!$H$6:$H$101,MOD(68+$C22+(-4),$B$3)+1)*E22+INDEX(Symboles!$H$6:$H$101,MOD(68+$C22+(-3),$B$3)+1)*F22+INDEX(Symboles!$H$6:$H$101,MOD(68+$C22+(-2),$B$3)+1)*G22+INDEX(Symboles!$H$6:$H$101,MOD(68+$C22+(-1),$B$3)+1)*H22+INDEX(Symboles!$H$6:$H$101,MOD(68+$C22+(0),$B$3)+1)*I22+INDEX(Symboles!$H$6:$H$101,MOD(68+$C22+(1),$B$3)+1)*J22+INDEX(Symboles!$H$6:$H$101,MOD(68+$C22+(2),$B$3)+1)*K22+INDEX(Symboles!$H$6:$H$101,MOD(68+$C22+(3),$B$3)+1)*L22+INDEX(Symboles!$H$6:$H$101,MOD(68+$C22+(4),$B$3)+1)*M22+IF($B$6=0,0,$B$6*NORMSINV(0.000001+0.999998*RAND())))</f>
        <v/>
      </c>
      <c r="FZ22" s="30">
        <f>IF(70&gt;$B$3,99,INDEX(Symboles!$H$6:$H$101,MOD(69+$C22+(-4),$B$3)+1)*E22+INDEX(Symboles!$H$6:$H$101,MOD(69+$C22+(-3),$B$3)+1)*F22+INDEX(Symboles!$H$6:$H$101,MOD(69+$C22+(-2),$B$3)+1)*G22+INDEX(Symboles!$H$6:$H$101,MOD(69+$C22+(-1),$B$3)+1)*H22+INDEX(Symboles!$H$6:$H$101,MOD(69+$C22+(0),$B$3)+1)*I22+INDEX(Symboles!$H$6:$H$101,MOD(69+$C22+(1),$B$3)+1)*J22+INDEX(Symboles!$H$6:$H$101,MOD(69+$C22+(2),$B$3)+1)*K22+INDEX(Symboles!$H$6:$H$101,MOD(69+$C22+(3),$B$3)+1)*L22+INDEX(Symboles!$H$6:$H$101,MOD(69+$C22+(4),$B$3)+1)*M22+IF($B$6=0,0,$B$6*NORMSINV(0.000001+0.999998*RAND())))</f>
        <v/>
      </c>
      <c r="GA22" s="30">
        <f>IF(71&gt;$B$3,99,INDEX(Symboles!$H$6:$H$101,MOD(70+$C22+(-4),$B$3)+1)*E22+INDEX(Symboles!$H$6:$H$101,MOD(70+$C22+(-3),$B$3)+1)*F22+INDEX(Symboles!$H$6:$H$101,MOD(70+$C22+(-2),$B$3)+1)*G22+INDEX(Symboles!$H$6:$H$101,MOD(70+$C22+(-1),$B$3)+1)*H22+INDEX(Symboles!$H$6:$H$101,MOD(70+$C22+(0),$B$3)+1)*I22+INDEX(Symboles!$H$6:$H$101,MOD(70+$C22+(1),$B$3)+1)*J22+INDEX(Symboles!$H$6:$H$101,MOD(70+$C22+(2),$B$3)+1)*K22+INDEX(Symboles!$H$6:$H$101,MOD(70+$C22+(3),$B$3)+1)*L22+INDEX(Symboles!$H$6:$H$101,MOD(70+$C22+(4),$B$3)+1)*M22+IF($B$6=0,0,$B$6*NORMSINV(0.000001+0.999998*RAND())))</f>
        <v/>
      </c>
      <c r="GB22" s="30">
        <f>IF(72&gt;$B$3,99,INDEX(Symboles!$H$6:$H$101,MOD(71+$C22+(-4),$B$3)+1)*E22+INDEX(Symboles!$H$6:$H$101,MOD(71+$C22+(-3),$B$3)+1)*F22+INDEX(Symboles!$H$6:$H$101,MOD(71+$C22+(-2),$B$3)+1)*G22+INDEX(Symboles!$H$6:$H$101,MOD(71+$C22+(-1),$B$3)+1)*H22+INDEX(Symboles!$H$6:$H$101,MOD(71+$C22+(0),$B$3)+1)*I22+INDEX(Symboles!$H$6:$H$101,MOD(71+$C22+(1),$B$3)+1)*J22+INDEX(Symboles!$H$6:$H$101,MOD(71+$C22+(2),$B$3)+1)*K22+INDEX(Symboles!$H$6:$H$101,MOD(71+$C22+(3),$B$3)+1)*L22+INDEX(Symboles!$H$6:$H$101,MOD(71+$C22+(4),$B$3)+1)*M22+IF($B$6=0,0,$B$6*NORMSINV(0.000001+0.999998*RAND())))</f>
        <v/>
      </c>
      <c r="GC22" s="30">
        <f>IF(73&gt;$B$3,99,INDEX(Symboles!$H$6:$H$101,MOD(72+$C22+(-4),$B$3)+1)*E22+INDEX(Symboles!$H$6:$H$101,MOD(72+$C22+(-3),$B$3)+1)*F22+INDEX(Symboles!$H$6:$H$101,MOD(72+$C22+(-2),$B$3)+1)*G22+INDEX(Symboles!$H$6:$H$101,MOD(72+$C22+(-1),$B$3)+1)*H22+INDEX(Symboles!$H$6:$H$101,MOD(72+$C22+(0),$B$3)+1)*I22+INDEX(Symboles!$H$6:$H$101,MOD(72+$C22+(1),$B$3)+1)*J22+INDEX(Symboles!$H$6:$H$101,MOD(72+$C22+(2),$B$3)+1)*K22+INDEX(Symboles!$H$6:$H$101,MOD(72+$C22+(3),$B$3)+1)*L22+INDEX(Symboles!$H$6:$H$101,MOD(72+$C22+(4),$B$3)+1)*M22+IF($B$6=0,0,$B$6*NORMSINV(0.000001+0.999998*RAND())))</f>
        <v/>
      </c>
      <c r="GD22" s="30">
        <f>IF(74&gt;$B$3,99,INDEX(Symboles!$H$6:$H$101,MOD(73+$C22+(-4),$B$3)+1)*E22+INDEX(Symboles!$H$6:$H$101,MOD(73+$C22+(-3),$B$3)+1)*F22+INDEX(Symboles!$H$6:$H$101,MOD(73+$C22+(-2),$B$3)+1)*G22+INDEX(Symboles!$H$6:$H$101,MOD(73+$C22+(-1),$B$3)+1)*H22+INDEX(Symboles!$H$6:$H$101,MOD(73+$C22+(0),$B$3)+1)*I22+INDEX(Symboles!$H$6:$H$101,MOD(73+$C22+(1),$B$3)+1)*J22+INDEX(Symboles!$H$6:$H$101,MOD(73+$C22+(2),$B$3)+1)*K22+INDEX(Symboles!$H$6:$H$101,MOD(73+$C22+(3),$B$3)+1)*L22+INDEX(Symboles!$H$6:$H$101,MOD(73+$C22+(4),$B$3)+1)*M22+IF($B$6=0,0,$B$6*NORMSINV(0.000001+0.999998*RAND())))</f>
        <v/>
      </c>
      <c r="GE22" s="30">
        <f>IF(75&gt;$B$3,99,INDEX(Symboles!$H$6:$H$101,MOD(74+$C22+(-4),$B$3)+1)*E22+INDEX(Symboles!$H$6:$H$101,MOD(74+$C22+(-3),$B$3)+1)*F22+INDEX(Symboles!$H$6:$H$101,MOD(74+$C22+(-2),$B$3)+1)*G22+INDEX(Symboles!$H$6:$H$101,MOD(74+$C22+(-1),$B$3)+1)*H22+INDEX(Symboles!$H$6:$H$101,MOD(74+$C22+(0),$B$3)+1)*I22+INDEX(Symboles!$H$6:$H$101,MOD(74+$C22+(1),$B$3)+1)*J22+INDEX(Symboles!$H$6:$H$101,MOD(74+$C22+(2),$B$3)+1)*K22+INDEX(Symboles!$H$6:$H$101,MOD(74+$C22+(3),$B$3)+1)*L22+INDEX(Symboles!$H$6:$H$101,MOD(74+$C22+(4),$B$3)+1)*M22+IF($B$6=0,0,$B$6*NORMSINV(0.000001+0.999998*RAND())))</f>
        <v/>
      </c>
      <c r="GF22" s="30">
        <f>IF(76&gt;$B$3,99,INDEX(Symboles!$H$6:$H$101,MOD(75+$C22+(-4),$B$3)+1)*E22+INDEX(Symboles!$H$6:$H$101,MOD(75+$C22+(-3),$B$3)+1)*F22+INDEX(Symboles!$H$6:$H$101,MOD(75+$C22+(-2),$B$3)+1)*G22+INDEX(Symboles!$H$6:$H$101,MOD(75+$C22+(-1),$B$3)+1)*H22+INDEX(Symboles!$H$6:$H$101,MOD(75+$C22+(0),$B$3)+1)*I22+INDEX(Symboles!$H$6:$H$101,MOD(75+$C22+(1),$B$3)+1)*J22+INDEX(Symboles!$H$6:$H$101,MOD(75+$C22+(2),$B$3)+1)*K22+INDEX(Symboles!$H$6:$H$101,MOD(75+$C22+(3),$B$3)+1)*L22+INDEX(Symboles!$H$6:$H$101,MOD(75+$C22+(4),$B$3)+1)*M22+IF($B$6=0,0,$B$6*NORMSINV(0.000001+0.999998*RAND())))</f>
        <v/>
      </c>
      <c r="GG22" s="30">
        <f>IF(77&gt;$B$3,99,INDEX(Symboles!$H$6:$H$101,MOD(76+$C22+(-4),$B$3)+1)*E22+INDEX(Symboles!$H$6:$H$101,MOD(76+$C22+(-3),$B$3)+1)*F22+INDEX(Symboles!$H$6:$H$101,MOD(76+$C22+(-2),$B$3)+1)*G22+INDEX(Symboles!$H$6:$H$101,MOD(76+$C22+(-1),$B$3)+1)*H22+INDEX(Symboles!$H$6:$H$101,MOD(76+$C22+(0),$B$3)+1)*I22+INDEX(Symboles!$H$6:$H$101,MOD(76+$C22+(1),$B$3)+1)*J22+INDEX(Symboles!$H$6:$H$101,MOD(76+$C22+(2),$B$3)+1)*K22+INDEX(Symboles!$H$6:$H$101,MOD(76+$C22+(3),$B$3)+1)*L22+INDEX(Symboles!$H$6:$H$101,MOD(76+$C22+(4),$B$3)+1)*M22+IF($B$6=0,0,$B$6*NORMSINV(0.000001+0.999998*RAND())))</f>
        <v/>
      </c>
      <c r="GH22" s="30">
        <f>IF(78&gt;$B$3,99,INDEX(Symboles!$H$6:$H$101,MOD(77+$C22+(-4),$B$3)+1)*E22+INDEX(Symboles!$H$6:$H$101,MOD(77+$C22+(-3),$B$3)+1)*F22+INDEX(Symboles!$H$6:$H$101,MOD(77+$C22+(-2),$B$3)+1)*G22+INDEX(Symboles!$H$6:$H$101,MOD(77+$C22+(-1),$B$3)+1)*H22+INDEX(Symboles!$H$6:$H$101,MOD(77+$C22+(0),$B$3)+1)*I22+INDEX(Symboles!$H$6:$H$101,MOD(77+$C22+(1),$B$3)+1)*J22+INDEX(Symboles!$H$6:$H$101,MOD(77+$C22+(2),$B$3)+1)*K22+INDEX(Symboles!$H$6:$H$101,MOD(77+$C22+(3),$B$3)+1)*L22+INDEX(Symboles!$H$6:$H$101,MOD(77+$C22+(4),$B$3)+1)*M22+IF($B$6=0,0,$B$6*NORMSINV(0.000001+0.999998*RAND())))</f>
        <v/>
      </c>
      <c r="GI22" s="30">
        <f>IF(79&gt;$B$3,99,INDEX(Symboles!$H$6:$H$101,MOD(78+$C22+(-4),$B$3)+1)*E22+INDEX(Symboles!$H$6:$H$101,MOD(78+$C22+(-3),$B$3)+1)*F22+INDEX(Symboles!$H$6:$H$101,MOD(78+$C22+(-2),$B$3)+1)*G22+INDEX(Symboles!$H$6:$H$101,MOD(78+$C22+(-1),$B$3)+1)*H22+INDEX(Symboles!$H$6:$H$101,MOD(78+$C22+(0),$B$3)+1)*I22+INDEX(Symboles!$H$6:$H$101,MOD(78+$C22+(1),$B$3)+1)*J22+INDEX(Symboles!$H$6:$H$101,MOD(78+$C22+(2),$B$3)+1)*K22+INDEX(Symboles!$H$6:$H$101,MOD(78+$C22+(3),$B$3)+1)*L22+INDEX(Symboles!$H$6:$H$101,MOD(78+$C22+(4),$B$3)+1)*M22+IF($B$6=0,0,$B$6*NORMSINV(0.000001+0.999998*RAND())))</f>
        <v/>
      </c>
      <c r="GJ22" s="30">
        <f>IF(80&gt;$B$3,99,INDEX(Symboles!$H$6:$H$101,MOD(79+$C22+(-4),$B$3)+1)*E22+INDEX(Symboles!$H$6:$H$101,MOD(79+$C22+(-3),$B$3)+1)*F22+INDEX(Symboles!$H$6:$H$101,MOD(79+$C22+(-2),$B$3)+1)*G22+INDEX(Symboles!$H$6:$H$101,MOD(79+$C22+(-1),$B$3)+1)*H22+INDEX(Symboles!$H$6:$H$101,MOD(79+$C22+(0),$B$3)+1)*I22+INDEX(Symboles!$H$6:$H$101,MOD(79+$C22+(1),$B$3)+1)*J22+INDEX(Symboles!$H$6:$H$101,MOD(79+$C22+(2),$B$3)+1)*K22+INDEX(Symboles!$H$6:$H$101,MOD(79+$C22+(3),$B$3)+1)*L22+INDEX(Symboles!$H$6:$H$101,MOD(79+$C22+(4),$B$3)+1)*M22+IF($B$6=0,0,$B$6*NORMSINV(0.000001+0.999998*RAND())))</f>
        <v/>
      </c>
      <c r="GK22" s="30">
        <f>IF(81&gt;$B$3,99,INDEX(Symboles!$H$6:$H$101,MOD(80+$C22+(-4),$B$3)+1)*E22+INDEX(Symboles!$H$6:$H$101,MOD(80+$C22+(-3),$B$3)+1)*F22+INDEX(Symboles!$H$6:$H$101,MOD(80+$C22+(-2),$B$3)+1)*G22+INDEX(Symboles!$H$6:$H$101,MOD(80+$C22+(-1),$B$3)+1)*H22+INDEX(Symboles!$H$6:$H$101,MOD(80+$C22+(0),$B$3)+1)*I22+INDEX(Symboles!$H$6:$H$101,MOD(80+$C22+(1),$B$3)+1)*J22+INDEX(Symboles!$H$6:$H$101,MOD(80+$C22+(2),$B$3)+1)*K22+INDEX(Symboles!$H$6:$H$101,MOD(80+$C22+(3),$B$3)+1)*L22+INDEX(Symboles!$H$6:$H$101,MOD(80+$C22+(4),$B$3)+1)*M22+IF($B$6=0,0,$B$6*NORMSINV(0.000001+0.999998*RAND())))</f>
        <v/>
      </c>
      <c r="GL22" s="30">
        <f>IF(82&gt;$B$3,99,INDEX(Symboles!$H$6:$H$101,MOD(81+$C22+(-4),$B$3)+1)*E22+INDEX(Symboles!$H$6:$H$101,MOD(81+$C22+(-3),$B$3)+1)*F22+INDEX(Symboles!$H$6:$H$101,MOD(81+$C22+(-2),$B$3)+1)*G22+INDEX(Symboles!$H$6:$H$101,MOD(81+$C22+(-1),$B$3)+1)*H22+INDEX(Symboles!$H$6:$H$101,MOD(81+$C22+(0),$B$3)+1)*I22+INDEX(Symboles!$H$6:$H$101,MOD(81+$C22+(1),$B$3)+1)*J22+INDEX(Symboles!$H$6:$H$101,MOD(81+$C22+(2),$B$3)+1)*K22+INDEX(Symboles!$H$6:$H$101,MOD(81+$C22+(3),$B$3)+1)*L22+INDEX(Symboles!$H$6:$H$101,MOD(81+$C22+(4),$B$3)+1)*M22+IF($B$6=0,0,$B$6*NORMSINV(0.000001+0.999998*RAND())))</f>
        <v/>
      </c>
      <c r="GM22" s="30">
        <f>IF(83&gt;$B$3,99,INDEX(Symboles!$H$6:$H$101,MOD(82+$C22+(-4),$B$3)+1)*E22+INDEX(Symboles!$H$6:$H$101,MOD(82+$C22+(-3),$B$3)+1)*F22+INDEX(Symboles!$H$6:$H$101,MOD(82+$C22+(-2),$B$3)+1)*G22+INDEX(Symboles!$H$6:$H$101,MOD(82+$C22+(-1),$B$3)+1)*H22+INDEX(Symboles!$H$6:$H$101,MOD(82+$C22+(0),$B$3)+1)*I22+INDEX(Symboles!$H$6:$H$101,MOD(82+$C22+(1),$B$3)+1)*J22+INDEX(Symboles!$H$6:$H$101,MOD(82+$C22+(2),$B$3)+1)*K22+INDEX(Symboles!$H$6:$H$101,MOD(82+$C22+(3),$B$3)+1)*L22+INDEX(Symboles!$H$6:$H$101,MOD(82+$C22+(4),$B$3)+1)*M22+IF($B$6=0,0,$B$6*NORMSINV(0.000001+0.999998*RAND())))</f>
        <v/>
      </c>
      <c r="GN22" s="30">
        <f>IF(84&gt;$B$3,99,INDEX(Symboles!$H$6:$H$101,MOD(83+$C22+(-4),$B$3)+1)*E22+INDEX(Symboles!$H$6:$H$101,MOD(83+$C22+(-3),$B$3)+1)*F22+INDEX(Symboles!$H$6:$H$101,MOD(83+$C22+(-2),$B$3)+1)*G22+INDEX(Symboles!$H$6:$H$101,MOD(83+$C22+(-1),$B$3)+1)*H22+INDEX(Symboles!$H$6:$H$101,MOD(83+$C22+(0),$B$3)+1)*I22+INDEX(Symboles!$H$6:$H$101,MOD(83+$C22+(1),$B$3)+1)*J22+INDEX(Symboles!$H$6:$H$101,MOD(83+$C22+(2),$B$3)+1)*K22+INDEX(Symboles!$H$6:$H$101,MOD(83+$C22+(3),$B$3)+1)*L22+INDEX(Symboles!$H$6:$H$101,MOD(83+$C22+(4),$B$3)+1)*M22+IF($B$6=0,0,$B$6*NORMSINV(0.000001+0.999998*RAND())))</f>
        <v/>
      </c>
      <c r="GO22" s="30">
        <f>IF(85&gt;$B$3,99,INDEX(Symboles!$H$6:$H$101,MOD(84+$C22+(-4),$B$3)+1)*E22+INDEX(Symboles!$H$6:$H$101,MOD(84+$C22+(-3),$B$3)+1)*F22+INDEX(Symboles!$H$6:$H$101,MOD(84+$C22+(-2),$B$3)+1)*G22+INDEX(Symboles!$H$6:$H$101,MOD(84+$C22+(-1),$B$3)+1)*H22+INDEX(Symboles!$H$6:$H$101,MOD(84+$C22+(0),$B$3)+1)*I22+INDEX(Symboles!$H$6:$H$101,MOD(84+$C22+(1),$B$3)+1)*J22+INDEX(Symboles!$H$6:$H$101,MOD(84+$C22+(2),$B$3)+1)*K22+INDEX(Symboles!$H$6:$H$101,MOD(84+$C22+(3),$B$3)+1)*L22+INDEX(Symboles!$H$6:$H$101,MOD(84+$C22+(4),$B$3)+1)*M22+IF($B$6=0,0,$B$6*NORMSINV(0.000001+0.999998*RAND())))</f>
        <v/>
      </c>
      <c r="GP22" s="30">
        <f>IF(86&gt;$B$3,99,INDEX(Symboles!$H$6:$H$101,MOD(85+$C22+(-4),$B$3)+1)*E22+INDEX(Symboles!$H$6:$H$101,MOD(85+$C22+(-3),$B$3)+1)*F22+INDEX(Symboles!$H$6:$H$101,MOD(85+$C22+(-2),$B$3)+1)*G22+INDEX(Symboles!$H$6:$H$101,MOD(85+$C22+(-1),$B$3)+1)*H22+INDEX(Symboles!$H$6:$H$101,MOD(85+$C22+(0),$B$3)+1)*I22+INDEX(Symboles!$H$6:$H$101,MOD(85+$C22+(1),$B$3)+1)*J22+INDEX(Symboles!$H$6:$H$101,MOD(85+$C22+(2),$B$3)+1)*K22+INDEX(Symboles!$H$6:$H$101,MOD(85+$C22+(3),$B$3)+1)*L22+INDEX(Symboles!$H$6:$H$101,MOD(85+$C22+(4),$B$3)+1)*M22+IF($B$6=0,0,$B$6*NORMSINV(0.000001+0.999998*RAND())))</f>
        <v/>
      </c>
      <c r="GQ22" s="30">
        <f>IF(87&gt;$B$3,99,INDEX(Symboles!$H$6:$H$101,MOD(86+$C22+(-4),$B$3)+1)*E22+INDEX(Symboles!$H$6:$H$101,MOD(86+$C22+(-3),$B$3)+1)*F22+INDEX(Symboles!$H$6:$H$101,MOD(86+$C22+(-2),$B$3)+1)*G22+INDEX(Symboles!$H$6:$H$101,MOD(86+$C22+(-1),$B$3)+1)*H22+INDEX(Symboles!$H$6:$H$101,MOD(86+$C22+(0),$B$3)+1)*I22+INDEX(Symboles!$H$6:$H$101,MOD(86+$C22+(1),$B$3)+1)*J22+INDEX(Symboles!$H$6:$H$101,MOD(86+$C22+(2),$B$3)+1)*K22+INDEX(Symboles!$H$6:$H$101,MOD(86+$C22+(3),$B$3)+1)*L22+INDEX(Symboles!$H$6:$H$101,MOD(86+$C22+(4),$B$3)+1)*M22+IF($B$6=0,0,$B$6*NORMSINV(0.000001+0.999998*RAND())))</f>
        <v/>
      </c>
      <c r="GR22" s="30">
        <f>IF(88&gt;$B$3,99,INDEX(Symboles!$H$6:$H$101,MOD(87+$C22+(-4),$B$3)+1)*E22+INDEX(Symboles!$H$6:$H$101,MOD(87+$C22+(-3),$B$3)+1)*F22+INDEX(Symboles!$H$6:$H$101,MOD(87+$C22+(-2),$B$3)+1)*G22+INDEX(Symboles!$H$6:$H$101,MOD(87+$C22+(-1),$B$3)+1)*H22+INDEX(Symboles!$H$6:$H$101,MOD(87+$C22+(0),$B$3)+1)*I22+INDEX(Symboles!$H$6:$H$101,MOD(87+$C22+(1),$B$3)+1)*J22+INDEX(Symboles!$H$6:$H$101,MOD(87+$C22+(2),$B$3)+1)*K22+INDEX(Symboles!$H$6:$H$101,MOD(87+$C22+(3),$B$3)+1)*L22+INDEX(Symboles!$H$6:$H$101,MOD(87+$C22+(4),$B$3)+1)*M22+IF($B$6=0,0,$B$6*NORMSINV(0.000001+0.999998*RAND())))</f>
        <v/>
      </c>
      <c r="GS22" s="30">
        <f>IF(89&gt;$B$3,99,INDEX(Symboles!$H$6:$H$101,MOD(88+$C22+(-4),$B$3)+1)*E22+INDEX(Symboles!$H$6:$H$101,MOD(88+$C22+(-3),$B$3)+1)*F22+INDEX(Symboles!$H$6:$H$101,MOD(88+$C22+(-2),$B$3)+1)*G22+INDEX(Symboles!$H$6:$H$101,MOD(88+$C22+(-1),$B$3)+1)*H22+INDEX(Symboles!$H$6:$H$101,MOD(88+$C22+(0),$B$3)+1)*I22+INDEX(Symboles!$H$6:$H$101,MOD(88+$C22+(1),$B$3)+1)*J22+INDEX(Symboles!$H$6:$H$101,MOD(88+$C22+(2),$B$3)+1)*K22+INDEX(Symboles!$H$6:$H$101,MOD(88+$C22+(3),$B$3)+1)*L22+INDEX(Symboles!$H$6:$H$101,MOD(88+$C22+(4),$B$3)+1)*M22+IF($B$6=0,0,$B$6*NORMSINV(0.000001+0.999998*RAND())))</f>
        <v/>
      </c>
      <c r="GT22" s="30">
        <f>IF(90&gt;$B$3,99,INDEX(Symboles!$H$6:$H$101,MOD(89+$C22+(-4),$B$3)+1)*E22+INDEX(Symboles!$H$6:$H$101,MOD(89+$C22+(-3),$B$3)+1)*F22+INDEX(Symboles!$H$6:$H$101,MOD(89+$C22+(-2),$B$3)+1)*G22+INDEX(Symboles!$H$6:$H$101,MOD(89+$C22+(-1),$B$3)+1)*H22+INDEX(Symboles!$H$6:$H$101,MOD(89+$C22+(0),$B$3)+1)*I22+INDEX(Symboles!$H$6:$H$101,MOD(89+$C22+(1),$B$3)+1)*J22+INDEX(Symboles!$H$6:$H$101,MOD(89+$C22+(2),$B$3)+1)*K22+INDEX(Symboles!$H$6:$H$101,MOD(89+$C22+(3),$B$3)+1)*L22+INDEX(Symboles!$H$6:$H$101,MOD(89+$C22+(4),$B$3)+1)*M22+IF($B$6=0,0,$B$6*NORMSINV(0.000001+0.999998*RAND())))</f>
        <v/>
      </c>
      <c r="GU22" s="30">
        <f>IF(91&gt;$B$3,99,INDEX(Symboles!$H$6:$H$101,MOD(90+$C22+(-4),$B$3)+1)*E22+INDEX(Symboles!$H$6:$H$101,MOD(90+$C22+(-3),$B$3)+1)*F22+INDEX(Symboles!$H$6:$H$101,MOD(90+$C22+(-2),$B$3)+1)*G22+INDEX(Symboles!$H$6:$H$101,MOD(90+$C22+(-1),$B$3)+1)*H22+INDEX(Symboles!$H$6:$H$101,MOD(90+$C22+(0),$B$3)+1)*I22+INDEX(Symboles!$H$6:$H$101,MOD(90+$C22+(1),$B$3)+1)*J22+INDEX(Symboles!$H$6:$H$101,MOD(90+$C22+(2),$B$3)+1)*K22+INDEX(Symboles!$H$6:$H$101,MOD(90+$C22+(3),$B$3)+1)*L22+INDEX(Symboles!$H$6:$H$101,MOD(90+$C22+(4),$B$3)+1)*M22+IF($B$6=0,0,$B$6*NORMSINV(0.000001+0.999998*RAND())))</f>
        <v/>
      </c>
      <c r="GV22" s="30">
        <f>IF(92&gt;$B$3,99,INDEX(Symboles!$H$6:$H$101,MOD(91+$C22+(-4),$B$3)+1)*E22+INDEX(Symboles!$H$6:$H$101,MOD(91+$C22+(-3),$B$3)+1)*F22+INDEX(Symboles!$H$6:$H$101,MOD(91+$C22+(-2),$B$3)+1)*G22+INDEX(Symboles!$H$6:$H$101,MOD(91+$C22+(-1),$B$3)+1)*H22+INDEX(Symboles!$H$6:$H$101,MOD(91+$C22+(0),$B$3)+1)*I22+INDEX(Symboles!$H$6:$H$101,MOD(91+$C22+(1),$B$3)+1)*J22+INDEX(Symboles!$H$6:$H$101,MOD(91+$C22+(2),$B$3)+1)*K22+INDEX(Symboles!$H$6:$H$101,MOD(91+$C22+(3),$B$3)+1)*L22+INDEX(Symboles!$H$6:$H$101,MOD(91+$C22+(4),$B$3)+1)*M22+IF($B$6=0,0,$B$6*NORMSINV(0.000001+0.999998*RAND())))</f>
        <v/>
      </c>
      <c r="GW22" s="30">
        <f>IF(93&gt;$B$3,99,INDEX(Symboles!$H$6:$H$101,MOD(92+$C22+(-4),$B$3)+1)*E22+INDEX(Symboles!$H$6:$H$101,MOD(92+$C22+(-3),$B$3)+1)*F22+INDEX(Symboles!$H$6:$H$101,MOD(92+$C22+(-2),$B$3)+1)*G22+INDEX(Symboles!$H$6:$H$101,MOD(92+$C22+(-1),$B$3)+1)*H22+INDEX(Symboles!$H$6:$H$101,MOD(92+$C22+(0),$B$3)+1)*I22+INDEX(Symboles!$H$6:$H$101,MOD(92+$C22+(1),$B$3)+1)*J22+INDEX(Symboles!$H$6:$H$101,MOD(92+$C22+(2),$B$3)+1)*K22+INDEX(Symboles!$H$6:$H$101,MOD(92+$C22+(3),$B$3)+1)*L22+INDEX(Symboles!$H$6:$H$101,MOD(92+$C22+(4),$B$3)+1)*M22+IF($B$6=0,0,$B$6*NORMSINV(0.000001+0.999998*RAND())))</f>
        <v/>
      </c>
      <c r="GX22" s="30">
        <f>IF(94&gt;$B$3,99,INDEX(Symboles!$H$6:$H$101,MOD(93+$C22+(-4),$B$3)+1)*E22+INDEX(Symboles!$H$6:$H$101,MOD(93+$C22+(-3),$B$3)+1)*F22+INDEX(Symboles!$H$6:$H$101,MOD(93+$C22+(-2),$B$3)+1)*G22+INDEX(Symboles!$H$6:$H$101,MOD(93+$C22+(-1),$B$3)+1)*H22+INDEX(Symboles!$H$6:$H$101,MOD(93+$C22+(0),$B$3)+1)*I22+INDEX(Symboles!$H$6:$H$101,MOD(93+$C22+(1),$B$3)+1)*J22+INDEX(Symboles!$H$6:$H$101,MOD(93+$C22+(2),$B$3)+1)*K22+INDEX(Symboles!$H$6:$H$101,MOD(93+$C22+(3),$B$3)+1)*L22+INDEX(Symboles!$H$6:$H$101,MOD(93+$C22+(4),$B$3)+1)*M22+IF($B$6=0,0,$B$6*NORMSINV(0.000001+0.999998*RAND())))</f>
        <v/>
      </c>
      <c r="GY22" s="30">
        <f>IF(95&gt;$B$3,99,INDEX(Symboles!$H$6:$H$101,MOD(94+$C22+(-4),$B$3)+1)*E22+INDEX(Symboles!$H$6:$H$101,MOD(94+$C22+(-3),$B$3)+1)*F22+INDEX(Symboles!$H$6:$H$101,MOD(94+$C22+(-2),$B$3)+1)*G22+INDEX(Symboles!$H$6:$H$101,MOD(94+$C22+(-1),$B$3)+1)*H22+INDEX(Symboles!$H$6:$H$101,MOD(94+$C22+(0),$B$3)+1)*I22+INDEX(Symboles!$H$6:$H$101,MOD(94+$C22+(1),$B$3)+1)*J22+INDEX(Symboles!$H$6:$H$101,MOD(94+$C22+(2),$B$3)+1)*K22+INDEX(Symboles!$H$6:$H$101,MOD(94+$C22+(3),$B$3)+1)*L22+INDEX(Symboles!$H$6:$H$101,MOD(94+$C22+(4),$B$3)+1)*M22+IF($B$6=0,0,$B$6*NORMSINV(0.000001+0.999998*RAND())))</f>
        <v/>
      </c>
      <c r="GZ22" s="30">
        <f>IF(96&gt;$B$3,99,INDEX(Symboles!$H$6:$H$101,MOD(95+$C22+(-4),$B$3)+1)*E22+INDEX(Symboles!$H$6:$H$101,MOD(95+$C22+(-3),$B$3)+1)*F22+INDEX(Symboles!$H$6:$H$101,MOD(95+$C22+(-2),$B$3)+1)*G22+INDEX(Symboles!$H$6:$H$101,MOD(95+$C22+(-1),$B$3)+1)*H22+INDEX(Symboles!$H$6:$H$101,MOD(95+$C22+(0),$B$3)+1)*I22+INDEX(Symboles!$H$6:$H$101,MOD(95+$C22+(1),$B$3)+1)*J22+INDEX(Symboles!$H$6:$H$101,MOD(95+$C22+(2),$B$3)+1)*K22+INDEX(Symboles!$H$6:$H$101,MOD(95+$C22+(3),$B$3)+1)*L22+INDEX(Symboles!$H$6:$H$101,MOD(95+$C22+(4),$B$3)+1)*M22+IF($B$6=0,0,$B$6*NORMSINV(0.000001+0.999998*RAND())))</f>
        <v/>
      </c>
    </row>
    <row r="23">
      <c r="A23" s="28" t="n">
        <v>13</v>
      </c>
      <c r="B23" s="28" t="n">
        <v>-0.1875</v>
      </c>
      <c r="C23" s="28" t="n">
        <v>0</v>
      </c>
      <c r="D23" s="28" t="n">
        <v>5</v>
      </c>
      <c r="E23" s="29">
        <f>IF($B$4=1,0,IF(ABS(1-(2*$B$5*3.8125)^2)&lt;0.000001,PI()/4*SIN(PI()/(2*$B$5))/(PI()/(2*$B$5)),SIN(PI()*3.8125)/(PI()*3.8125)*COS(PI()*$B$5*3.8125)/(1-(2*$B$5*3.8125)^2)))</f>
        <v/>
      </c>
      <c r="F23" s="29">
        <f>IF($B$4=1,0,IF(ABS(1-(2*$B$5*2.8125)^2)&lt;0.000001,PI()/4*SIN(PI()/(2*$B$5))/(PI()/(2*$B$5)),SIN(PI()*2.8125)/(PI()*2.8125)*COS(PI()*$B$5*2.8125)/(1-(2*$B$5*2.8125)^2)))</f>
        <v/>
      </c>
      <c r="G23" s="29">
        <f>IF($B$4=1,0,IF(ABS(1-(2*$B$5*1.8125)^2)&lt;0.000001,PI()/4*SIN(PI()/(2*$B$5))/(PI()/(2*$B$5)),SIN(PI()*1.8125)/(PI()*1.8125)*COS(PI()*$B$5*1.8125)/(1-(2*$B$5*1.8125)^2)))</f>
        <v/>
      </c>
      <c r="H23" s="29">
        <f>IF($B$4=1,0,IF(ABS(1-(2*$B$5*0.8125)^2)&lt;0.000001,PI()/4*SIN(PI()/(2*$B$5))/(PI()/(2*$B$5)),SIN(PI()*0.8125)/(PI()*0.8125)*COS(PI()*$B$5*0.8125)/(1-(2*$B$5*0.8125)^2)))</f>
        <v/>
      </c>
      <c r="I23" s="29">
        <f>IF($B$4=1,1,IF(ABS(1-(2*$B$5*-0.1875)^2)&lt;0.000001,PI()/4*SIN(PI()/(2*$B$5))/(PI()/(2*$B$5)),SIN(PI()*-0.1875)/(PI()*-0.1875)*COS(PI()*$B$5*-0.1875)/(1-(2*$B$5*-0.1875)^2)))</f>
        <v/>
      </c>
      <c r="J23" s="29">
        <f>IF($B$4=1,0,IF(ABS(1-(2*$B$5*-1.1875)^2)&lt;0.000001,PI()/4*SIN(PI()/(2*$B$5))/(PI()/(2*$B$5)),SIN(PI()*-1.1875)/(PI()*-1.1875)*COS(PI()*$B$5*-1.1875)/(1-(2*$B$5*-1.1875)^2)))</f>
        <v/>
      </c>
      <c r="K23" s="29">
        <f>IF($B$4=1,0,IF(ABS(1-(2*$B$5*-2.1875)^2)&lt;0.000001,PI()/4*SIN(PI()/(2*$B$5))/(PI()/(2*$B$5)),SIN(PI()*-2.1875)/(PI()*-2.1875)*COS(PI()*$B$5*-2.1875)/(1-(2*$B$5*-2.1875)^2)))</f>
        <v/>
      </c>
      <c r="L23" s="29">
        <f>IF($B$4=1,0,IF(ABS(1-(2*$B$5*-3.1875)^2)&lt;0.000001,PI()/4*SIN(PI()/(2*$B$5))/(PI()/(2*$B$5)),SIN(PI()*-3.1875)/(PI()*-3.1875)*COS(PI()*$B$5*-3.1875)/(1-(2*$B$5*-3.1875)^2)))</f>
        <v/>
      </c>
      <c r="M23" s="29">
        <f>IF($B$4=1,0,IF(ABS(1-(2*$B$5*-4.1875)^2)&lt;0.000001,PI()/4*SIN(PI()/(2*$B$5))/(PI()/(2*$B$5)),SIN(PI()*-4.1875)/(PI()*-4.1875)*COS(PI()*$B$5*-4.1875)/(1-(2*$B$5*-4.1875)^2)))</f>
        <v/>
      </c>
      <c r="P23" s="30">
        <f>IF(1&gt;$B$3,99,INDEX(Symboles!$G$6:$G$101,MOD(0+$C23+(-4),$B$3)+1)*E23+INDEX(Symboles!$G$6:$G$101,MOD(0+$C23+(-3),$B$3)+1)*F23+INDEX(Symboles!$G$6:$G$101,MOD(0+$C23+(-2),$B$3)+1)*G23+INDEX(Symboles!$G$6:$G$101,MOD(0+$C23+(-1),$B$3)+1)*H23+INDEX(Symboles!$G$6:$G$101,MOD(0+$C23+(0),$B$3)+1)*I23+INDEX(Symboles!$G$6:$G$101,MOD(0+$C23+(1),$B$3)+1)*J23+INDEX(Symboles!$G$6:$G$101,MOD(0+$C23+(2),$B$3)+1)*K23+INDEX(Symboles!$G$6:$G$101,MOD(0+$C23+(3),$B$3)+1)*L23+INDEX(Symboles!$G$6:$G$101,MOD(0+$C23+(4),$B$3)+1)*M23+IF($B$6=0,0,$B$6*NORMSINV(0.000001+0.999998*RAND())))</f>
        <v/>
      </c>
      <c r="Q23" s="30">
        <f>IF(2&gt;$B$3,99,INDEX(Symboles!$G$6:$G$101,MOD(1+$C23+(-4),$B$3)+1)*E23+INDEX(Symboles!$G$6:$G$101,MOD(1+$C23+(-3),$B$3)+1)*F23+INDEX(Symboles!$G$6:$G$101,MOD(1+$C23+(-2),$B$3)+1)*G23+INDEX(Symboles!$G$6:$G$101,MOD(1+$C23+(-1),$B$3)+1)*H23+INDEX(Symboles!$G$6:$G$101,MOD(1+$C23+(0),$B$3)+1)*I23+INDEX(Symboles!$G$6:$G$101,MOD(1+$C23+(1),$B$3)+1)*J23+INDEX(Symboles!$G$6:$G$101,MOD(1+$C23+(2),$B$3)+1)*K23+INDEX(Symboles!$G$6:$G$101,MOD(1+$C23+(3),$B$3)+1)*L23+INDEX(Symboles!$G$6:$G$101,MOD(1+$C23+(4),$B$3)+1)*M23+IF($B$6=0,0,$B$6*NORMSINV(0.000001+0.999998*RAND())))</f>
        <v/>
      </c>
      <c r="R23" s="30">
        <f>IF(3&gt;$B$3,99,INDEX(Symboles!$G$6:$G$101,MOD(2+$C23+(-4),$B$3)+1)*E23+INDEX(Symboles!$G$6:$G$101,MOD(2+$C23+(-3),$B$3)+1)*F23+INDEX(Symboles!$G$6:$G$101,MOD(2+$C23+(-2),$B$3)+1)*G23+INDEX(Symboles!$G$6:$G$101,MOD(2+$C23+(-1),$B$3)+1)*H23+INDEX(Symboles!$G$6:$G$101,MOD(2+$C23+(0),$B$3)+1)*I23+INDEX(Symboles!$G$6:$G$101,MOD(2+$C23+(1),$B$3)+1)*J23+INDEX(Symboles!$G$6:$G$101,MOD(2+$C23+(2),$B$3)+1)*K23+INDEX(Symboles!$G$6:$G$101,MOD(2+$C23+(3),$B$3)+1)*L23+INDEX(Symboles!$G$6:$G$101,MOD(2+$C23+(4),$B$3)+1)*M23+IF($B$6=0,0,$B$6*NORMSINV(0.000001+0.999998*RAND())))</f>
        <v/>
      </c>
      <c r="S23" s="30">
        <f>IF(4&gt;$B$3,99,INDEX(Symboles!$G$6:$G$101,MOD(3+$C23+(-4),$B$3)+1)*E23+INDEX(Symboles!$G$6:$G$101,MOD(3+$C23+(-3),$B$3)+1)*F23+INDEX(Symboles!$G$6:$G$101,MOD(3+$C23+(-2),$B$3)+1)*G23+INDEX(Symboles!$G$6:$G$101,MOD(3+$C23+(-1),$B$3)+1)*H23+INDEX(Symboles!$G$6:$G$101,MOD(3+$C23+(0),$B$3)+1)*I23+INDEX(Symboles!$G$6:$G$101,MOD(3+$C23+(1),$B$3)+1)*J23+INDEX(Symboles!$G$6:$G$101,MOD(3+$C23+(2),$B$3)+1)*K23+INDEX(Symboles!$G$6:$G$101,MOD(3+$C23+(3),$B$3)+1)*L23+INDEX(Symboles!$G$6:$G$101,MOD(3+$C23+(4),$B$3)+1)*M23+IF($B$6=0,0,$B$6*NORMSINV(0.000001+0.999998*RAND())))</f>
        <v/>
      </c>
      <c r="T23" s="30">
        <f>IF(5&gt;$B$3,99,INDEX(Symboles!$G$6:$G$101,MOD(4+$C23+(-4),$B$3)+1)*E23+INDEX(Symboles!$G$6:$G$101,MOD(4+$C23+(-3),$B$3)+1)*F23+INDEX(Symboles!$G$6:$G$101,MOD(4+$C23+(-2),$B$3)+1)*G23+INDEX(Symboles!$G$6:$G$101,MOD(4+$C23+(-1),$B$3)+1)*H23+INDEX(Symboles!$G$6:$G$101,MOD(4+$C23+(0),$B$3)+1)*I23+INDEX(Symboles!$G$6:$G$101,MOD(4+$C23+(1),$B$3)+1)*J23+INDEX(Symboles!$G$6:$G$101,MOD(4+$C23+(2),$B$3)+1)*K23+INDEX(Symboles!$G$6:$G$101,MOD(4+$C23+(3),$B$3)+1)*L23+INDEX(Symboles!$G$6:$G$101,MOD(4+$C23+(4),$B$3)+1)*M23+IF($B$6=0,0,$B$6*NORMSINV(0.000001+0.999998*RAND())))</f>
        <v/>
      </c>
      <c r="U23" s="30">
        <f>IF(6&gt;$B$3,99,INDEX(Symboles!$G$6:$G$101,MOD(5+$C23+(-4),$B$3)+1)*E23+INDEX(Symboles!$G$6:$G$101,MOD(5+$C23+(-3),$B$3)+1)*F23+INDEX(Symboles!$G$6:$G$101,MOD(5+$C23+(-2),$B$3)+1)*G23+INDEX(Symboles!$G$6:$G$101,MOD(5+$C23+(-1),$B$3)+1)*H23+INDEX(Symboles!$G$6:$G$101,MOD(5+$C23+(0),$B$3)+1)*I23+INDEX(Symboles!$G$6:$G$101,MOD(5+$C23+(1),$B$3)+1)*J23+INDEX(Symboles!$G$6:$G$101,MOD(5+$C23+(2),$B$3)+1)*K23+INDEX(Symboles!$G$6:$G$101,MOD(5+$C23+(3),$B$3)+1)*L23+INDEX(Symboles!$G$6:$G$101,MOD(5+$C23+(4),$B$3)+1)*M23+IF($B$6=0,0,$B$6*NORMSINV(0.000001+0.999998*RAND())))</f>
        <v/>
      </c>
      <c r="V23" s="30">
        <f>IF(7&gt;$B$3,99,INDEX(Symboles!$G$6:$G$101,MOD(6+$C23+(-4),$B$3)+1)*E23+INDEX(Symboles!$G$6:$G$101,MOD(6+$C23+(-3),$B$3)+1)*F23+INDEX(Symboles!$G$6:$G$101,MOD(6+$C23+(-2),$B$3)+1)*G23+INDEX(Symboles!$G$6:$G$101,MOD(6+$C23+(-1),$B$3)+1)*H23+INDEX(Symboles!$G$6:$G$101,MOD(6+$C23+(0),$B$3)+1)*I23+INDEX(Symboles!$G$6:$G$101,MOD(6+$C23+(1),$B$3)+1)*J23+INDEX(Symboles!$G$6:$G$101,MOD(6+$C23+(2),$B$3)+1)*K23+INDEX(Symboles!$G$6:$G$101,MOD(6+$C23+(3),$B$3)+1)*L23+INDEX(Symboles!$G$6:$G$101,MOD(6+$C23+(4),$B$3)+1)*M23+IF($B$6=0,0,$B$6*NORMSINV(0.000001+0.999998*RAND())))</f>
        <v/>
      </c>
      <c r="W23" s="30">
        <f>IF(8&gt;$B$3,99,INDEX(Symboles!$G$6:$G$101,MOD(7+$C23+(-4),$B$3)+1)*E23+INDEX(Symboles!$G$6:$G$101,MOD(7+$C23+(-3),$B$3)+1)*F23+INDEX(Symboles!$G$6:$G$101,MOD(7+$C23+(-2),$B$3)+1)*G23+INDEX(Symboles!$G$6:$G$101,MOD(7+$C23+(-1),$B$3)+1)*H23+INDEX(Symboles!$G$6:$G$101,MOD(7+$C23+(0),$B$3)+1)*I23+INDEX(Symboles!$G$6:$G$101,MOD(7+$C23+(1),$B$3)+1)*J23+INDEX(Symboles!$G$6:$G$101,MOD(7+$C23+(2),$B$3)+1)*K23+INDEX(Symboles!$G$6:$G$101,MOD(7+$C23+(3),$B$3)+1)*L23+INDEX(Symboles!$G$6:$G$101,MOD(7+$C23+(4),$B$3)+1)*M23+IF($B$6=0,0,$B$6*NORMSINV(0.000001+0.999998*RAND())))</f>
        <v/>
      </c>
      <c r="X23" s="30">
        <f>IF(9&gt;$B$3,99,INDEX(Symboles!$G$6:$G$101,MOD(8+$C23+(-4),$B$3)+1)*E23+INDEX(Symboles!$G$6:$G$101,MOD(8+$C23+(-3),$B$3)+1)*F23+INDEX(Symboles!$G$6:$G$101,MOD(8+$C23+(-2),$B$3)+1)*G23+INDEX(Symboles!$G$6:$G$101,MOD(8+$C23+(-1),$B$3)+1)*H23+INDEX(Symboles!$G$6:$G$101,MOD(8+$C23+(0),$B$3)+1)*I23+INDEX(Symboles!$G$6:$G$101,MOD(8+$C23+(1),$B$3)+1)*J23+INDEX(Symboles!$G$6:$G$101,MOD(8+$C23+(2),$B$3)+1)*K23+INDEX(Symboles!$G$6:$G$101,MOD(8+$C23+(3),$B$3)+1)*L23+INDEX(Symboles!$G$6:$G$101,MOD(8+$C23+(4),$B$3)+1)*M23+IF($B$6=0,0,$B$6*NORMSINV(0.000001+0.999998*RAND())))</f>
        <v/>
      </c>
      <c r="Y23" s="30">
        <f>IF(10&gt;$B$3,99,INDEX(Symboles!$G$6:$G$101,MOD(9+$C23+(-4),$B$3)+1)*E23+INDEX(Symboles!$G$6:$G$101,MOD(9+$C23+(-3),$B$3)+1)*F23+INDEX(Symboles!$G$6:$G$101,MOD(9+$C23+(-2),$B$3)+1)*G23+INDEX(Symboles!$G$6:$G$101,MOD(9+$C23+(-1),$B$3)+1)*H23+INDEX(Symboles!$G$6:$G$101,MOD(9+$C23+(0),$B$3)+1)*I23+INDEX(Symboles!$G$6:$G$101,MOD(9+$C23+(1),$B$3)+1)*J23+INDEX(Symboles!$G$6:$G$101,MOD(9+$C23+(2),$B$3)+1)*K23+INDEX(Symboles!$G$6:$G$101,MOD(9+$C23+(3),$B$3)+1)*L23+INDEX(Symboles!$G$6:$G$101,MOD(9+$C23+(4),$B$3)+1)*M23+IF($B$6=0,0,$B$6*NORMSINV(0.000001+0.999998*RAND())))</f>
        <v/>
      </c>
      <c r="Z23" s="30">
        <f>IF(11&gt;$B$3,99,INDEX(Symboles!$G$6:$G$101,MOD(10+$C23+(-4),$B$3)+1)*E23+INDEX(Symboles!$G$6:$G$101,MOD(10+$C23+(-3),$B$3)+1)*F23+INDEX(Symboles!$G$6:$G$101,MOD(10+$C23+(-2),$B$3)+1)*G23+INDEX(Symboles!$G$6:$G$101,MOD(10+$C23+(-1),$B$3)+1)*H23+INDEX(Symboles!$G$6:$G$101,MOD(10+$C23+(0),$B$3)+1)*I23+INDEX(Symboles!$G$6:$G$101,MOD(10+$C23+(1),$B$3)+1)*J23+INDEX(Symboles!$G$6:$G$101,MOD(10+$C23+(2),$B$3)+1)*K23+INDEX(Symboles!$G$6:$G$101,MOD(10+$C23+(3),$B$3)+1)*L23+INDEX(Symboles!$G$6:$G$101,MOD(10+$C23+(4),$B$3)+1)*M23+IF($B$6=0,0,$B$6*NORMSINV(0.000001+0.999998*RAND())))</f>
        <v/>
      </c>
      <c r="AA23" s="30">
        <f>IF(12&gt;$B$3,99,INDEX(Symboles!$G$6:$G$101,MOD(11+$C23+(-4),$B$3)+1)*E23+INDEX(Symboles!$G$6:$G$101,MOD(11+$C23+(-3),$B$3)+1)*F23+INDEX(Symboles!$G$6:$G$101,MOD(11+$C23+(-2),$B$3)+1)*G23+INDEX(Symboles!$G$6:$G$101,MOD(11+$C23+(-1),$B$3)+1)*H23+INDEX(Symboles!$G$6:$G$101,MOD(11+$C23+(0),$B$3)+1)*I23+INDEX(Symboles!$G$6:$G$101,MOD(11+$C23+(1),$B$3)+1)*J23+INDEX(Symboles!$G$6:$G$101,MOD(11+$C23+(2),$B$3)+1)*K23+INDEX(Symboles!$G$6:$G$101,MOD(11+$C23+(3),$B$3)+1)*L23+INDEX(Symboles!$G$6:$G$101,MOD(11+$C23+(4),$B$3)+1)*M23+IF($B$6=0,0,$B$6*NORMSINV(0.000001+0.999998*RAND())))</f>
        <v/>
      </c>
      <c r="AB23" s="30">
        <f>IF(13&gt;$B$3,99,INDEX(Symboles!$G$6:$G$101,MOD(12+$C23+(-4),$B$3)+1)*E23+INDEX(Symboles!$G$6:$G$101,MOD(12+$C23+(-3),$B$3)+1)*F23+INDEX(Symboles!$G$6:$G$101,MOD(12+$C23+(-2),$B$3)+1)*G23+INDEX(Symboles!$G$6:$G$101,MOD(12+$C23+(-1),$B$3)+1)*H23+INDEX(Symboles!$G$6:$G$101,MOD(12+$C23+(0),$B$3)+1)*I23+INDEX(Symboles!$G$6:$G$101,MOD(12+$C23+(1),$B$3)+1)*J23+INDEX(Symboles!$G$6:$G$101,MOD(12+$C23+(2),$B$3)+1)*K23+INDEX(Symboles!$G$6:$G$101,MOD(12+$C23+(3),$B$3)+1)*L23+INDEX(Symboles!$G$6:$G$101,MOD(12+$C23+(4),$B$3)+1)*M23+IF($B$6=0,0,$B$6*NORMSINV(0.000001+0.999998*RAND())))</f>
        <v/>
      </c>
      <c r="AC23" s="30">
        <f>IF(14&gt;$B$3,99,INDEX(Symboles!$G$6:$G$101,MOD(13+$C23+(-4),$B$3)+1)*E23+INDEX(Symboles!$G$6:$G$101,MOD(13+$C23+(-3),$B$3)+1)*F23+INDEX(Symboles!$G$6:$G$101,MOD(13+$C23+(-2),$B$3)+1)*G23+INDEX(Symboles!$G$6:$G$101,MOD(13+$C23+(-1),$B$3)+1)*H23+INDEX(Symboles!$G$6:$G$101,MOD(13+$C23+(0),$B$3)+1)*I23+INDEX(Symboles!$G$6:$G$101,MOD(13+$C23+(1),$B$3)+1)*J23+INDEX(Symboles!$G$6:$G$101,MOD(13+$C23+(2),$B$3)+1)*K23+INDEX(Symboles!$G$6:$G$101,MOD(13+$C23+(3),$B$3)+1)*L23+INDEX(Symboles!$G$6:$G$101,MOD(13+$C23+(4),$B$3)+1)*M23+IF($B$6=0,0,$B$6*NORMSINV(0.000001+0.999998*RAND())))</f>
        <v/>
      </c>
      <c r="AD23" s="30">
        <f>IF(15&gt;$B$3,99,INDEX(Symboles!$G$6:$G$101,MOD(14+$C23+(-4),$B$3)+1)*E23+INDEX(Symboles!$G$6:$G$101,MOD(14+$C23+(-3),$B$3)+1)*F23+INDEX(Symboles!$G$6:$G$101,MOD(14+$C23+(-2),$B$3)+1)*G23+INDEX(Symboles!$G$6:$G$101,MOD(14+$C23+(-1),$B$3)+1)*H23+INDEX(Symboles!$G$6:$G$101,MOD(14+$C23+(0),$B$3)+1)*I23+INDEX(Symboles!$G$6:$G$101,MOD(14+$C23+(1),$B$3)+1)*J23+INDEX(Symboles!$G$6:$G$101,MOD(14+$C23+(2),$B$3)+1)*K23+INDEX(Symboles!$G$6:$G$101,MOD(14+$C23+(3),$B$3)+1)*L23+INDEX(Symboles!$G$6:$G$101,MOD(14+$C23+(4),$B$3)+1)*M23+IF($B$6=0,0,$B$6*NORMSINV(0.000001+0.999998*RAND())))</f>
        <v/>
      </c>
      <c r="AE23" s="30">
        <f>IF(16&gt;$B$3,99,INDEX(Symboles!$G$6:$G$101,MOD(15+$C23+(-4),$B$3)+1)*E23+INDEX(Symboles!$G$6:$G$101,MOD(15+$C23+(-3),$B$3)+1)*F23+INDEX(Symboles!$G$6:$G$101,MOD(15+$C23+(-2),$B$3)+1)*G23+INDEX(Symboles!$G$6:$G$101,MOD(15+$C23+(-1),$B$3)+1)*H23+INDEX(Symboles!$G$6:$G$101,MOD(15+$C23+(0),$B$3)+1)*I23+INDEX(Symboles!$G$6:$G$101,MOD(15+$C23+(1),$B$3)+1)*J23+INDEX(Symboles!$G$6:$G$101,MOD(15+$C23+(2),$B$3)+1)*K23+INDEX(Symboles!$G$6:$G$101,MOD(15+$C23+(3),$B$3)+1)*L23+INDEX(Symboles!$G$6:$G$101,MOD(15+$C23+(4),$B$3)+1)*M23+IF($B$6=0,0,$B$6*NORMSINV(0.000001+0.999998*RAND())))</f>
        <v/>
      </c>
      <c r="AF23" s="30">
        <f>IF(17&gt;$B$3,99,INDEX(Symboles!$G$6:$G$101,MOD(16+$C23+(-4),$B$3)+1)*E23+INDEX(Symboles!$G$6:$G$101,MOD(16+$C23+(-3),$B$3)+1)*F23+INDEX(Symboles!$G$6:$G$101,MOD(16+$C23+(-2),$B$3)+1)*G23+INDEX(Symboles!$G$6:$G$101,MOD(16+$C23+(-1),$B$3)+1)*H23+INDEX(Symboles!$G$6:$G$101,MOD(16+$C23+(0),$B$3)+1)*I23+INDEX(Symboles!$G$6:$G$101,MOD(16+$C23+(1),$B$3)+1)*J23+INDEX(Symboles!$G$6:$G$101,MOD(16+$C23+(2),$B$3)+1)*K23+INDEX(Symboles!$G$6:$G$101,MOD(16+$C23+(3),$B$3)+1)*L23+INDEX(Symboles!$G$6:$G$101,MOD(16+$C23+(4),$B$3)+1)*M23+IF($B$6=0,0,$B$6*NORMSINV(0.000001+0.999998*RAND())))</f>
        <v/>
      </c>
      <c r="AG23" s="30">
        <f>IF(18&gt;$B$3,99,INDEX(Symboles!$G$6:$G$101,MOD(17+$C23+(-4),$B$3)+1)*E23+INDEX(Symboles!$G$6:$G$101,MOD(17+$C23+(-3),$B$3)+1)*F23+INDEX(Symboles!$G$6:$G$101,MOD(17+$C23+(-2),$B$3)+1)*G23+INDEX(Symboles!$G$6:$G$101,MOD(17+$C23+(-1),$B$3)+1)*H23+INDEX(Symboles!$G$6:$G$101,MOD(17+$C23+(0),$B$3)+1)*I23+INDEX(Symboles!$G$6:$G$101,MOD(17+$C23+(1),$B$3)+1)*J23+INDEX(Symboles!$G$6:$G$101,MOD(17+$C23+(2),$B$3)+1)*K23+INDEX(Symboles!$G$6:$G$101,MOD(17+$C23+(3),$B$3)+1)*L23+INDEX(Symboles!$G$6:$G$101,MOD(17+$C23+(4),$B$3)+1)*M23+IF($B$6=0,0,$B$6*NORMSINV(0.000001+0.999998*RAND())))</f>
        <v/>
      </c>
      <c r="AH23" s="30">
        <f>IF(19&gt;$B$3,99,INDEX(Symboles!$G$6:$G$101,MOD(18+$C23+(-4),$B$3)+1)*E23+INDEX(Symboles!$G$6:$G$101,MOD(18+$C23+(-3),$B$3)+1)*F23+INDEX(Symboles!$G$6:$G$101,MOD(18+$C23+(-2),$B$3)+1)*G23+INDEX(Symboles!$G$6:$G$101,MOD(18+$C23+(-1),$B$3)+1)*H23+INDEX(Symboles!$G$6:$G$101,MOD(18+$C23+(0),$B$3)+1)*I23+INDEX(Symboles!$G$6:$G$101,MOD(18+$C23+(1),$B$3)+1)*J23+INDEX(Symboles!$G$6:$G$101,MOD(18+$C23+(2),$B$3)+1)*K23+INDEX(Symboles!$G$6:$G$101,MOD(18+$C23+(3),$B$3)+1)*L23+INDEX(Symboles!$G$6:$G$101,MOD(18+$C23+(4),$B$3)+1)*M23+IF($B$6=0,0,$B$6*NORMSINV(0.000001+0.999998*RAND())))</f>
        <v/>
      </c>
      <c r="AI23" s="30">
        <f>IF(20&gt;$B$3,99,INDEX(Symboles!$G$6:$G$101,MOD(19+$C23+(-4),$B$3)+1)*E23+INDEX(Symboles!$G$6:$G$101,MOD(19+$C23+(-3),$B$3)+1)*F23+INDEX(Symboles!$G$6:$G$101,MOD(19+$C23+(-2),$B$3)+1)*G23+INDEX(Symboles!$G$6:$G$101,MOD(19+$C23+(-1),$B$3)+1)*H23+INDEX(Symboles!$G$6:$G$101,MOD(19+$C23+(0),$B$3)+1)*I23+INDEX(Symboles!$G$6:$G$101,MOD(19+$C23+(1),$B$3)+1)*J23+INDEX(Symboles!$G$6:$G$101,MOD(19+$C23+(2),$B$3)+1)*K23+INDEX(Symboles!$G$6:$G$101,MOD(19+$C23+(3),$B$3)+1)*L23+INDEX(Symboles!$G$6:$G$101,MOD(19+$C23+(4),$B$3)+1)*M23+IF($B$6=0,0,$B$6*NORMSINV(0.000001+0.999998*RAND())))</f>
        <v/>
      </c>
      <c r="AJ23" s="30">
        <f>IF(21&gt;$B$3,99,INDEX(Symboles!$G$6:$G$101,MOD(20+$C23+(-4),$B$3)+1)*E23+INDEX(Symboles!$G$6:$G$101,MOD(20+$C23+(-3),$B$3)+1)*F23+INDEX(Symboles!$G$6:$G$101,MOD(20+$C23+(-2),$B$3)+1)*G23+INDEX(Symboles!$G$6:$G$101,MOD(20+$C23+(-1),$B$3)+1)*H23+INDEX(Symboles!$G$6:$G$101,MOD(20+$C23+(0),$B$3)+1)*I23+INDEX(Symboles!$G$6:$G$101,MOD(20+$C23+(1),$B$3)+1)*J23+INDEX(Symboles!$G$6:$G$101,MOD(20+$C23+(2),$B$3)+1)*K23+INDEX(Symboles!$G$6:$G$101,MOD(20+$C23+(3),$B$3)+1)*L23+INDEX(Symboles!$G$6:$G$101,MOD(20+$C23+(4),$B$3)+1)*M23+IF($B$6=0,0,$B$6*NORMSINV(0.000001+0.999998*RAND())))</f>
        <v/>
      </c>
      <c r="AK23" s="30">
        <f>IF(22&gt;$B$3,99,INDEX(Symboles!$G$6:$G$101,MOD(21+$C23+(-4),$B$3)+1)*E23+INDEX(Symboles!$G$6:$G$101,MOD(21+$C23+(-3),$B$3)+1)*F23+INDEX(Symboles!$G$6:$G$101,MOD(21+$C23+(-2),$B$3)+1)*G23+INDEX(Symboles!$G$6:$G$101,MOD(21+$C23+(-1),$B$3)+1)*H23+INDEX(Symboles!$G$6:$G$101,MOD(21+$C23+(0),$B$3)+1)*I23+INDEX(Symboles!$G$6:$G$101,MOD(21+$C23+(1),$B$3)+1)*J23+INDEX(Symboles!$G$6:$G$101,MOD(21+$C23+(2),$B$3)+1)*K23+INDEX(Symboles!$G$6:$G$101,MOD(21+$C23+(3),$B$3)+1)*L23+INDEX(Symboles!$G$6:$G$101,MOD(21+$C23+(4),$B$3)+1)*M23+IF($B$6=0,0,$B$6*NORMSINV(0.000001+0.999998*RAND())))</f>
        <v/>
      </c>
      <c r="AL23" s="30">
        <f>IF(23&gt;$B$3,99,INDEX(Symboles!$G$6:$G$101,MOD(22+$C23+(-4),$B$3)+1)*E23+INDEX(Symboles!$G$6:$G$101,MOD(22+$C23+(-3),$B$3)+1)*F23+INDEX(Symboles!$G$6:$G$101,MOD(22+$C23+(-2),$B$3)+1)*G23+INDEX(Symboles!$G$6:$G$101,MOD(22+$C23+(-1),$B$3)+1)*H23+INDEX(Symboles!$G$6:$G$101,MOD(22+$C23+(0),$B$3)+1)*I23+INDEX(Symboles!$G$6:$G$101,MOD(22+$C23+(1),$B$3)+1)*J23+INDEX(Symboles!$G$6:$G$101,MOD(22+$C23+(2),$B$3)+1)*K23+INDEX(Symboles!$G$6:$G$101,MOD(22+$C23+(3),$B$3)+1)*L23+INDEX(Symboles!$G$6:$G$101,MOD(22+$C23+(4),$B$3)+1)*M23+IF($B$6=0,0,$B$6*NORMSINV(0.000001+0.999998*RAND())))</f>
        <v/>
      </c>
      <c r="AM23" s="30">
        <f>IF(24&gt;$B$3,99,INDEX(Symboles!$G$6:$G$101,MOD(23+$C23+(-4),$B$3)+1)*E23+INDEX(Symboles!$G$6:$G$101,MOD(23+$C23+(-3),$B$3)+1)*F23+INDEX(Symboles!$G$6:$G$101,MOD(23+$C23+(-2),$B$3)+1)*G23+INDEX(Symboles!$G$6:$G$101,MOD(23+$C23+(-1),$B$3)+1)*H23+INDEX(Symboles!$G$6:$G$101,MOD(23+$C23+(0),$B$3)+1)*I23+INDEX(Symboles!$G$6:$G$101,MOD(23+$C23+(1),$B$3)+1)*J23+INDEX(Symboles!$G$6:$G$101,MOD(23+$C23+(2),$B$3)+1)*K23+INDEX(Symboles!$G$6:$G$101,MOD(23+$C23+(3),$B$3)+1)*L23+INDEX(Symboles!$G$6:$G$101,MOD(23+$C23+(4),$B$3)+1)*M23+IF($B$6=0,0,$B$6*NORMSINV(0.000001+0.999998*RAND())))</f>
        <v/>
      </c>
      <c r="AN23" s="30">
        <f>IF(25&gt;$B$3,99,INDEX(Symboles!$G$6:$G$101,MOD(24+$C23+(-4),$B$3)+1)*E23+INDEX(Symboles!$G$6:$G$101,MOD(24+$C23+(-3),$B$3)+1)*F23+INDEX(Symboles!$G$6:$G$101,MOD(24+$C23+(-2),$B$3)+1)*G23+INDEX(Symboles!$G$6:$G$101,MOD(24+$C23+(-1),$B$3)+1)*H23+INDEX(Symboles!$G$6:$G$101,MOD(24+$C23+(0),$B$3)+1)*I23+INDEX(Symboles!$G$6:$G$101,MOD(24+$C23+(1),$B$3)+1)*J23+INDEX(Symboles!$G$6:$G$101,MOD(24+$C23+(2),$B$3)+1)*K23+INDEX(Symboles!$G$6:$G$101,MOD(24+$C23+(3),$B$3)+1)*L23+INDEX(Symboles!$G$6:$G$101,MOD(24+$C23+(4),$B$3)+1)*M23+IF($B$6=0,0,$B$6*NORMSINV(0.000001+0.999998*RAND())))</f>
        <v/>
      </c>
      <c r="AO23" s="30">
        <f>IF(26&gt;$B$3,99,INDEX(Symboles!$G$6:$G$101,MOD(25+$C23+(-4),$B$3)+1)*E23+INDEX(Symboles!$G$6:$G$101,MOD(25+$C23+(-3),$B$3)+1)*F23+INDEX(Symboles!$G$6:$G$101,MOD(25+$C23+(-2),$B$3)+1)*G23+INDEX(Symboles!$G$6:$G$101,MOD(25+$C23+(-1),$B$3)+1)*H23+INDEX(Symboles!$G$6:$G$101,MOD(25+$C23+(0),$B$3)+1)*I23+INDEX(Symboles!$G$6:$G$101,MOD(25+$C23+(1),$B$3)+1)*J23+INDEX(Symboles!$G$6:$G$101,MOD(25+$C23+(2),$B$3)+1)*K23+INDEX(Symboles!$G$6:$G$101,MOD(25+$C23+(3),$B$3)+1)*L23+INDEX(Symboles!$G$6:$G$101,MOD(25+$C23+(4),$B$3)+1)*M23+IF($B$6=0,0,$B$6*NORMSINV(0.000001+0.999998*RAND())))</f>
        <v/>
      </c>
      <c r="AP23" s="30">
        <f>IF(27&gt;$B$3,99,INDEX(Symboles!$G$6:$G$101,MOD(26+$C23+(-4),$B$3)+1)*E23+INDEX(Symboles!$G$6:$G$101,MOD(26+$C23+(-3),$B$3)+1)*F23+INDEX(Symboles!$G$6:$G$101,MOD(26+$C23+(-2),$B$3)+1)*G23+INDEX(Symboles!$G$6:$G$101,MOD(26+$C23+(-1),$B$3)+1)*H23+INDEX(Symboles!$G$6:$G$101,MOD(26+$C23+(0),$B$3)+1)*I23+INDEX(Symboles!$G$6:$G$101,MOD(26+$C23+(1),$B$3)+1)*J23+INDEX(Symboles!$G$6:$G$101,MOD(26+$C23+(2),$B$3)+1)*K23+INDEX(Symboles!$G$6:$G$101,MOD(26+$C23+(3),$B$3)+1)*L23+INDEX(Symboles!$G$6:$G$101,MOD(26+$C23+(4),$B$3)+1)*M23+IF($B$6=0,0,$B$6*NORMSINV(0.000001+0.999998*RAND())))</f>
        <v/>
      </c>
      <c r="AQ23" s="30">
        <f>IF(28&gt;$B$3,99,INDEX(Symboles!$G$6:$G$101,MOD(27+$C23+(-4),$B$3)+1)*E23+INDEX(Symboles!$G$6:$G$101,MOD(27+$C23+(-3),$B$3)+1)*F23+INDEX(Symboles!$G$6:$G$101,MOD(27+$C23+(-2),$B$3)+1)*G23+INDEX(Symboles!$G$6:$G$101,MOD(27+$C23+(-1),$B$3)+1)*H23+INDEX(Symboles!$G$6:$G$101,MOD(27+$C23+(0),$B$3)+1)*I23+INDEX(Symboles!$G$6:$G$101,MOD(27+$C23+(1),$B$3)+1)*J23+INDEX(Symboles!$G$6:$G$101,MOD(27+$C23+(2),$B$3)+1)*K23+INDEX(Symboles!$G$6:$G$101,MOD(27+$C23+(3),$B$3)+1)*L23+INDEX(Symboles!$G$6:$G$101,MOD(27+$C23+(4),$B$3)+1)*M23+IF($B$6=0,0,$B$6*NORMSINV(0.000001+0.999998*RAND())))</f>
        <v/>
      </c>
      <c r="AR23" s="30">
        <f>IF(29&gt;$B$3,99,INDEX(Symboles!$G$6:$G$101,MOD(28+$C23+(-4),$B$3)+1)*E23+INDEX(Symboles!$G$6:$G$101,MOD(28+$C23+(-3),$B$3)+1)*F23+INDEX(Symboles!$G$6:$G$101,MOD(28+$C23+(-2),$B$3)+1)*G23+INDEX(Symboles!$G$6:$G$101,MOD(28+$C23+(-1),$B$3)+1)*H23+INDEX(Symboles!$G$6:$G$101,MOD(28+$C23+(0),$B$3)+1)*I23+INDEX(Symboles!$G$6:$G$101,MOD(28+$C23+(1),$B$3)+1)*J23+INDEX(Symboles!$G$6:$G$101,MOD(28+$C23+(2),$B$3)+1)*K23+INDEX(Symboles!$G$6:$G$101,MOD(28+$C23+(3),$B$3)+1)*L23+INDEX(Symboles!$G$6:$G$101,MOD(28+$C23+(4),$B$3)+1)*M23+IF($B$6=0,0,$B$6*NORMSINV(0.000001+0.999998*RAND())))</f>
        <v/>
      </c>
      <c r="AS23" s="30">
        <f>IF(30&gt;$B$3,99,INDEX(Symboles!$G$6:$G$101,MOD(29+$C23+(-4),$B$3)+1)*E23+INDEX(Symboles!$G$6:$G$101,MOD(29+$C23+(-3),$B$3)+1)*F23+INDEX(Symboles!$G$6:$G$101,MOD(29+$C23+(-2),$B$3)+1)*G23+INDEX(Symboles!$G$6:$G$101,MOD(29+$C23+(-1),$B$3)+1)*H23+INDEX(Symboles!$G$6:$G$101,MOD(29+$C23+(0),$B$3)+1)*I23+INDEX(Symboles!$G$6:$G$101,MOD(29+$C23+(1),$B$3)+1)*J23+INDEX(Symboles!$G$6:$G$101,MOD(29+$C23+(2),$B$3)+1)*K23+INDEX(Symboles!$G$6:$G$101,MOD(29+$C23+(3),$B$3)+1)*L23+INDEX(Symboles!$G$6:$G$101,MOD(29+$C23+(4),$B$3)+1)*M23+IF($B$6=0,0,$B$6*NORMSINV(0.000001+0.999998*RAND())))</f>
        <v/>
      </c>
      <c r="AT23" s="30">
        <f>IF(31&gt;$B$3,99,INDEX(Symboles!$G$6:$G$101,MOD(30+$C23+(-4),$B$3)+1)*E23+INDEX(Symboles!$G$6:$G$101,MOD(30+$C23+(-3),$B$3)+1)*F23+INDEX(Symboles!$G$6:$G$101,MOD(30+$C23+(-2),$B$3)+1)*G23+INDEX(Symboles!$G$6:$G$101,MOD(30+$C23+(-1),$B$3)+1)*H23+INDEX(Symboles!$G$6:$G$101,MOD(30+$C23+(0),$B$3)+1)*I23+INDEX(Symboles!$G$6:$G$101,MOD(30+$C23+(1),$B$3)+1)*J23+INDEX(Symboles!$G$6:$G$101,MOD(30+$C23+(2),$B$3)+1)*K23+INDEX(Symboles!$G$6:$G$101,MOD(30+$C23+(3),$B$3)+1)*L23+INDEX(Symboles!$G$6:$G$101,MOD(30+$C23+(4),$B$3)+1)*M23+IF($B$6=0,0,$B$6*NORMSINV(0.000001+0.999998*RAND())))</f>
        <v/>
      </c>
      <c r="AU23" s="30">
        <f>IF(32&gt;$B$3,99,INDEX(Symboles!$G$6:$G$101,MOD(31+$C23+(-4),$B$3)+1)*E23+INDEX(Symboles!$G$6:$G$101,MOD(31+$C23+(-3),$B$3)+1)*F23+INDEX(Symboles!$G$6:$G$101,MOD(31+$C23+(-2),$B$3)+1)*G23+INDEX(Symboles!$G$6:$G$101,MOD(31+$C23+(-1),$B$3)+1)*H23+INDEX(Symboles!$G$6:$G$101,MOD(31+$C23+(0),$B$3)+1)*I23+INDEX(Symboles!$G$6:$G$101,MOD(31+$C23+(1),$B$3)+1)*J23+INDEX(Symboles!$G$6:$G$101,MOD(31+$C23+(2),$B$3)+1)*K23+INDEX(Symboles!$G$6:$G$101,MOD(31+$C23+(3),$B$3)+1)*L23+INDEX(Symboles!$G$6:$G$101,MOD(31+$C23+(4),$B$3)+1)*M23+IF($B$6=0,0,$B$6*NORMSINV(0.000001+0.999998*RAND())))</f>
        <v/>
      </c>
      <c r="AV23" s="30">
        <f>IF(33&gt;$B$3,99,INDEX(Symboles!$G$6:$G$101,MOD(32+$C23+(-4),$B$3)+1)*E23+INDEX(Symboles!$G$6:$G$101,MOD(32+$C23+(-3),$B$3)+1)*F23+INDEX(Symboles!$G$6:$G$101,MOD(32+$C23+(-2),$B$3)+1)*G23+INDEX(Symboles!$G$6:$G$101,MOD(32+$C23+(-1),$B$3)+1)*H23+INDEX(Symboles!$G$6:$G$101,MOD(32+$C23+(0),$B$3)+1)*I23+INDEX(Symboles!$G$6:$G$101,MOD(32+$C23+(1),$B$3)+1)*J23+INDEX(Symboles!$G$6:$G$101,MOD(32+$C23+(2),$B$3)+1)*K23+INDEX(Symboles!$G$6:$G$101,MOD(32+$C23+(3),$B$3)+1)*L23+INDEX(Symboles!$G$6:$G$101,MOD(32+$C23+(4),$B$3)+1)*M23+IF($B$6=0,0,$B$6*NORMSINV(0.000001+0.999998*RAND())))</f>
        <v/>
      </c>
      <c r="AW23" s="30">
        <f>IF(34&gt;$B$3,99,INDEX(Symboles!$G$6:$G$101,MOD(33+$C23+(-4),$B$3)+1)*E23+INDEX(Symboles!$G$6:$G$101,MOD(33+$C23+(-3),$B$3)+1)*F23+INDEX(Symboles!$G$6:$G$101,MOD(33+$C23+(-2),$B$3)+1)*G23+INDEX(Symboles!$G$6:$G$101,MOD(33+$C23+(-1),$B$3)+1)*H23+INDEX(Symboles!$G$6:$G$101,MOD(33+$C23+(0),$B$3)+1)*I23+INDEX(Symboles!$G$6:$G$101,MOD(33+$C23+(1),$B$3)+1)*J23+INDEX(Symboles!$G$6:$G$101,MOD(33+$C23+(2),$B$3)+1)*K23+INDEX(Symboles!$G$6:$G$101,MOD(33+$C23+(3),$B$3)+1)*L23+INDEX(Symboles!$G$6:$G$101,MOD(33+$C23+(4),$B$3)+1)*M23+IF($B$6=0,0,$B$6*NORMSINV(0.000001+0.999998*RAND())))</f>
        <v/>
      </c>
      <c r="AX23" s="30">
        <f>IF(35&gt;$B$3,99,INDEX(Symboles!$G$6:$G$101,MOD(34+$C23+(-4),$B$3)+1)*E23+INDEX(Symboles!$G$6:$G$101,MOD(34+$C23+(-3),$B$3)+1)*F23+INDEX(Symboles!$G$6:$G$101,MOD(34+$C23+(-2),$B$3)+1)*G23+INDEX(Symboles!$G$6:$G$101,MOD(34+$C23+(-1),$B$3)+1)*H23+INDEX(Symboles!$G$6:$G$101,MOD(34+$C23+(0),$B$3)+1)*I23+INDEX(Symboles!$G$6:$G$101,MOD(34+$C23+(1),$B$3)+1)*J23+INDEX(Symboles!$G$6:$G$101,MOD(34+$C23+(2),$B$3)+1)*K23+INDEX(Symboles!$G$6:$G$101,MOD(34+$C23+(3),$B$3)+1)*L23+INDEX(Symboles!$G$6:$G$101,MOD(34+$C23+(4),$B$3)+1)*M23+IF($B$6=0,0,$B$6*NORMSINV(0.000001+0.999998*RAND())))</f>
        <v/>
      </c>
      <c r="AY23" s="30">
        <f>IF(36&gt;$B$3,99,INDEX(Symboles!$G$6:$G$101,MOD(35+$C23+(-4),$B$3)+1)*E23+INDEX(Symboles!$G$6:$G$101,MOD(35+$C23+(-3),$B$3)+1)*F23+INDEX(Symboles!$G$6:$G$101,MOD(35+$C23+(-2),$B$3)+1)*G23+INDEX(Symboles!$G$6:$G$101,MOD(35+$C23+(-1),$B$3)+1)*H23+INDEX(Symboles!$G$6:$G$101,MOD(35+$C23+(0),$B$3)+1)*I23+INDEX(Symboles!$G$6:$G$101,MOD(35+$C23+(1),$B$3)+1)*J23+INDEX(Symboles!$G$6:$G$101,MOD(35+$C23+(2),$B$3)+1)*K23+INDEX(Symboles!$G$6:$G$101,MOD(35+$C23+(3),$B$3)+1)*L23+INDEX(Symboles!$G$6:$G$101,MOD(35+$C23+(4),$B$3)+1)*M23+IF($B$6=0,0,$B$6*NORMSINV(0.000001+0.999998*RAND())))</f>
        <v/>
      </c>
      <c r="AZ23" s="30">
        <f>IF(37&gt;$B$3,99,INDEX(Symboles!$G$6:$G$101,MOD(36+$C23+(-4),$B$3)+1)*E23+INDEX(Symboles!$G$6:$G$101,MOD(36+$C23+(-3),$B$3)+1)*F23+INDEX(Symboles!$G$6:$G$101,MOD(36+$C23+(-2),$B$3)+1)*G23+INDEX(Symboles!$G$6:$G$101,MOD(36+$C23+(-1),$B$3)+1)*H23+INDEX(Symboles!$G$6:$G$101,MOD(36+$C23+(0),$B$3)+1)*I23+INDEX(Symboles!$G$6:$G$101,MOD(36+$C23+(1),$B$3)+1)*J23+INDEX(Symboles!$G$6:$G$101,MOD(36+$C23+(2),$B$3)+1)*K23+INDEX(Symboles!$G$6:$G$101,MOD(36+$C23+(3),$B$3)+1)*L23+INDEX(Symboles!$G$6:$G$101,MOD(36+$C23+(4),$B$3)+1)*M23+IF($B$6=0,0,$B$6*NORMSINV(0.000001+0.999998*RAND())))</f>
        <v/>
      </c>
      <c r="BA23" s="30">
        <f>IF(38&gt;$B$3,99,INDEX(Symboles!$G$6:$G$101,MOD(37+$C23+(-4),$B$3)+1)*E23+INDEX(Symboles!$G$6:$G$101,MOD(37+$C23+(-3),$B$3)+1)*F23+INDEX(Symboles!$G$6:$G$101,MOD(37+$C23+(-2),$B$3)+1)*G23+INDEX(Symboles!$G$6:$G$101,MOD(37+$C23+(-1),$B$3)+1)*H23+INDEX(Symboles!$G$6:$G$101,MOD(37+$C23+(0),$B$3)+1)*I23+INDEX(Symboles!$G$6:$G$101,MOD(37+$C23+(1),$B$3)+1)*J23+INDEX(Symboles!$G$6:$G$101,MOD(37+$C23+(2),$B$3)+1)*K23+INDEX(Symboles!$G$6:$G$101,MOD(37+$C23+(3),$B$3)+1)*L23+INDEX(Symboles!$G$6:$G$101,MOD(37+$C23+(4),$B$3)+1)*M23+IF($B$6=0,0,$B$6*NORMSINV(0.000001+0.999998*RAND())))</f>
        <v/>
      </c>
      <c r="BB23" s="30">
        <f>IF(39&gt;$B$3,99,INDEX(Symboles!$G$6:$G$101,MOD(38+$C23+(-4),$B$3)+1)*E23+INDEX(Symboles!$G$6:$G$101,MOD(38+$C23+(-3),$B$3)+1)*F23+INDEX(Symboles!$G$6:$G$101,MOD(38+$C23+(-2),$B$3)+1)*G23+INDEX(Symboles!$G$6:$G$101,MOD(38+$C23+(-1),$B$3)+1)*H23+INDEX(Symboles!$G$6:$G$101,MOD(38+$C23+(0),$B$3)+1)*I23+INDEX(Symboles!$G$6:$G$101,MOD(38+$C23+(1),$B$3)+1)*J23+INDEX(Symboles!$G$6:$G$101,MOD(38+$C23+(2),$B$3)+1)*K23+INDEX(Symboles!$G$6:$G$101,MOD(38+$C23+(3),$B$3)+1)*L23+INDEX(Symboles!$G$6:$G$101,MOD(38+$C23+(4),$B$3)+1)*M23+IF($B$6=0,0,$B$6*NORMSINV(0.000001+0.999998*RAND())))</f>
        <v/>
      </c>
      <c r="BC23" s="30">
        <f>IF(40&gt;$B$3,99,INDEX(Symboles!$G$6:$G$101,MOD(39+$C23+(-4),$B$3)+1)*E23+INDEX(Symboles!$G$6:$G$101,MOD(39+$C23+(-3),$B$3)+1)*F23+INDEX(Symboles!$G$6:$G$101,MOD(39+$C23+(-2),$B$3)+1)*G23+INDEX(Symboles!$G$6:$G$101,MOD(39+$C23+(-1),$B$3)+1)*H23+INDEX(Symboles!$G$6:$G$101,MOD(39+$C23+(0),$B$3)+1)*I23+INDEX(Symboles!$G$6:$G$101,MOD(39+$C23+(1),$B$3)+1)*J23+INDEX(Symboles!$G$6:$G$101,MOD(39+$C23+(2),$B$3)+1)*K23+INDEX(Symboles!$G$6:$G$101,MOD(39+$C23+(3),$B$3)+1)*L23+INDEX(Symboles!$G$6:$G$101,MOD(39+$C23+(4),$B$3)+1)*M23+IF($B$6=0,0,$B$6*NORMSINV(0.000001+0.999998*RAND())))</f>
        <v/>
      </c>
      <c r="BD23" s="30">
        <f>IF(41&gt;$B$3,99,INDEX(Symboles!$G$6:$G$101,MOD(40+$C23+(-4),$B$3)+1)*E23+INDEX(Symboles!$G$6:$G$101,MOD(40+$C23+(-3),$B$3)+1)*F23+INDEX(Symboles!$G$6:$G$101,MOD(40+$C23+(-2),$B$3)+1)*G23+INDEX(Symboles!$G$6:$G$101,MOD(40+$C23+(-1),$B$3)+1)*H23+INDEX(Symboles!$G$6:$G$101,MOD(40+$C23+(0),$B$3)+1)*I23+INDEX(Symboles!$G$6:$G$101,MOD(40+$C23+(1),$B$3)+1)*J23+INDEX(Symboles!$G$6:$G$101,MOD(40+$C23+(2),$B$3)+1)*K23+INDEX(Symboles!$G$6:$G$101,MOD(40+$C23+(3),$B$3)+1)*L23+INDEX(Symboles!$G$6:$G$101,MOD(40+$C23+(4),$B$3)+1)*M23+IF($B$6=0,0,$B$6*NORMSINV(0.000001+0.999998*RAND())))</f>
        <v/>
      </c>
      <c r="BE23" s="30">
        <f>IF(42&gt;$B$3,99,INDEX(Symboles!$G$6:$G$101,MOD(41+$C23+(-4),$B$3)+1)*E23+INDEX(Symboles!$G$6:$G$101,MOD(41+$C23+(-3),$B$3)+1)*F23+INDEX(Symboles!$G$6:$G$101,MOD(41+$C23+(-2),$B$3)+1)*G23+INDEX(Symboles!$G$6:$G$101,MOD(41+$C23+(-1),$B$3)+1)*H23+INDEX(Symboles!$G$6:$G$101,MOD(41+$C23+(0),$B$3)+1)*I23+INDEX(Symboles!$G$6:$G$101,MOD(41+$C23+(1),$B$3)+1)*J23+INDEX(Symboles!$G$6:$G$101,MOD(41+$C23+(2),$B$3)+1)*K23+INDEX(Symboles!$G$6:$G$101,MOD(41+$C23+(3),$B$3)+1)*L23+INDEX(Symboles!$G$6:$G$101,MOD(41+$C23+(4),$B$3)+1)*M23+IF($B$6=0,0,$B$6*NORMSINV(0.000001+0.999998*RAND())))</f>
        <v/>
      </c>
      <c r="BF23" s="30">
        <f>IF(43&gt;$B$3,99,INDEX(Symboles!$G$6:$G$101,MOD(42+$C23+(-4),$B$3)+1)*E23+INDEX(Symboles!$G$6:$G$101,MOD(42+$C23+(-3),$B$3)+1)*F23+INDEX(Symboles!$G$6:$G$101,MOD(42+$C23+(-2),$B$3)+1)*G23+INDEX(Symboles!$G$6:$G$101,MOD(42+$C23+(-1),$B$3)+1)*H23+INDEX(Symboles!$G$6:$G$101,MOD(42+$C23+(0),$B$3)+1)*I23+INDEX(Symboles!$G$6:$G$101,MOD(42+$C23+(1),$B$3)+1)*J23+INDEX(Symboles!$G$6:$G$101,MOD(42+$C23+(2),$B$3)+1)*K23+INDEX(Symboles!$G$6:$G$101,MOD(42+$C23+(3),$B$3)+1)*L23+INDEX(Symboles!$G$6:$G$101,MOD(42+$C23+(4),$B$3)+1)*M23+IF($B$6=0,0,$B$6*NORMSINV(0.000001+0.999998*RAND())))</f>
        <v/>
      </c>
      <c r="BG23" s="30">
        <f>IF(44&gt;$B$3,99,INDEX(Symboles!$G$6:$G$101,MOD(43+$C23+(-4),$B$3)+1)*E23+INDEX(Symboles!$G$6:$G$101,MOD(43+$C23+(-3),$B$3)+1)*F23+INDEX(Symboles!$G$6:$G$101,MOD(43+$C23+(-2),$B$3)+1)*G23+INDEX(Symboles!$G$6:$G$101,MOD(43+$C23+(-1),$B$3)+1)*H23+INDEX(Symboles!$G$6:$G$101,MOD(43+$C23+(0),$B$3)+1)*I23+INDEX(Symboles!$G$6:$G$101,MOD(43+$C23+(1),$B$3)+1)*J23+INDEX(Symboles!$G$6:$G$101,MOD(43+$C23+(2),$B$3)+1)*K23+INDEX(Symboles!$G$6:$G$101,MOD(43+$C23+(3),$B$3)+1)*L23+INDEX(Symboles!$G$6:$G$101,MOD(43+$C23+(4),$B$3)+1)*M23+IF($B$6=0,0,$B$6*NORMSINV(0.000001+0.999998*RAND())))</f>
        <v/>
      </c>
      <c r="BH23" s="30">
        <f>IF(45&gt;$B$3,99,INDEX(Symboles!$G$6:$G$101,MOD(44+$C23+(-4),$B$3)+1)*E23+INDEX(Symboles!$G$6:$G$101,MOD(44+$C23+(-3),$B$3)+1)*F23+INDEX(Symboles!$G$6:$G$101,MOD(44+$C23+(-2),$B$3)+1)*G23+INDEX(Symboles!$G$6:$G$101,MOD(44+$C23+(-1),$B$3)+1)*H23+INDEX(Symboles!$G$6:$G$101,MOD(44+$C23+(0),$B$3)+1)*I23+INDEX(Symboles!$G$6:$G$101,MOD(44+$C23+(1),$B$3)+1)*J23+INDEX(Symboles!$G$6:$G$101,MOD(44+$C23+(2),$B$3)+1)*K23+INDEX(Symboles!$G$6:$G$101,MOD(44+$C23+(3),$B$3)+1)*L23+INDEX(Symboles!$G$6:$G$101,MOD(44+$C23+(4),$B$3)+1)*M23+IF($B$6=0,0,$B$6*NORMSINV(0.000001+0.999998*RAND())))</f>
        <v/>
      </c>
      <c r="BI23" s="30">
        <f>IF(46&gt;$B$3,99,INDEX(Symboles!$G$6:$G$101,MOD(45+$C23+(-4),$B$3)+1)*E23+INDEX(Symboles!$G$6:$G$101,MOD(45+$C23+(-3),$B$3)+1)*F23+INDEX(Symboles!$G$6:$G$101,MOD(45+$C23+(-2),$B$3)+1)*G23+INDEX(Symboles!$G$6:$G$101,MOD(45+$C23+(-1),$B$3)+1)*H23+INDEX(Symboles!$G$6:$G$101,MOD(45+$C23+(0),$B$3)+1)*I23+INDEX(Symboles!$G$6:$G$101,MOD(45+$C23+(1),$B$3)+1)*J23+INDEX(Symboles!$G$6:$G$101,MOD(45+$C23+(2),$B$3)+1)*K23+INDEX(Symboles!$G$6:$G$101,MOD(45+$C23+(3),$B$3)+1)*L23+INDEX(Symboles!$G$6:$G$101,MOD(45+$C23+(4),$B$3)+1)*M23+IF($B$6=0,0,$B$6*NORMSINV(0.000001+0.999998*RAND())))</f>
        <v/>
      </c>
      <c r="BJ23" s="30">
        <f>IF(47&gt;$B$3,99,INDEX(Symboles!$G$6:$G$101,MOD(46+$C23+(-4),$B$3)+1)*E23+INDEX(Symboles!$G$6:$G$101,MOD(46+$C23+(-3),$B$3)+1)*F23+INDEX(Symboles!$G$6:$G$101,MOD(46+$C23+(-2),$B$3)+1)*G23+INDEX(Symboles!$G$6:$G$101,MOD(46+$C23+(-1),$B$3)+1)*H23+INDEX(Symboles!$G$6:$G$101,MOD(46+$C23+(0),$B$3)+1)*I23+INDEX(Symboles!$G$6:$G$101,MOD(46+$C23+(1),$B$3)+1)*J23+INDEX(Symboles!$G$6:$G$101,MOD(46+$C23+(2),$B$3)+1)*K23+INDEX(Symboles!$G$6:$G$101,MOD(46+$C23+(3),$B$3)+1)*L23+INDEX(Symboles!$G$6:$G$101,MOD(46+$C23+(4),$B$3)+1)*M23+IF($B$6=0,0,$B$6*NORMSINV(0.000001+0.999998*RAND())))</f>
        <v/>
      </c>
      <c r="BK23" s="30">
        <f>IF(48&gt;$B$3,99,INDEX(Symboles!$G$6:$G$101,MOD(47+$C23+(-4),$B$3)+1)*E23+INDEX(Symboles!$G$6:$G$101,MOD(47+$C23+(-3),$B$3)+1)*F23+INDEX(Symboles!$G$6:$G$101,MOD(47+$C23+(-2),$B$3)+1)*G23+INDEX(Symboles!$G$6:$G$101,MOD(47+$C23+(-1),$B$3)+1)*H23+INDEX(Symboles!$G$6:$G$101,MOD(47+$C23+(0),$B$3)+1)*I23+INDEX(Symboles!$G$6:$G$101,MOD(47+$C23+(1),$B$3)+1)*J23+INDEX(Symboles!$G$6:$G$101,MOD(47+$C23+(2),$B$3)+1)*K23+INDEX(Symboles!$G$6:$G$101,MOD(47+$C23+(3),$B$3)+1)*L23+INDEX(Symboles!$G$6:$G$101,MOD(47+$C23+(4),$B$3)+1)*M23+IF($B$6=0,0,$B$6*NORMSINV(0.000001+0.999998*RAND())))</f>
        <v/>
      </c>
      <c r="BL23" s="30">
        <f>IF(49&gt;$B$3,99,INDEX(Symboles!$G$6:$G$101,MOD(48+$C23+(-4),$B$3)+1)*E23+INDEX(Symboles!$G$6:$G$101,MOD(48+$C23+(-3),$B$3)+1)*F23+INDEX(Symboles!$G$6:$G$101,MOD(48+$C23+(-2),$B$3)+1)*G23+INDEX(Symboles!$G$6:$G$101,MOD(48+$C23+(-1),$B$3)+1)*H23+INDEX(Symboles!$G$6:$G$101,MOD(48+$C23+(0),$B$3)+1)*I23+INDEX(Symboles!$G$6:$G$101,MOD(48+$C23+(1),$B$3)+1)*J23+INDEX(Symboles!$G$6:$G$101,MOD(48+$C23+(2),$B$3)+1)*K23+INDEX(Symboles!$G$6:$G$101,MOD(48+$C23+(3),$B$3)+1)*L23+INDEX(Symboles!$G$6:$G$101,MOD(48+$C23+(4),$B$3)+1)*M23+IF($B$6=0,0,$B$6*NORMSINV(0.000001+0.999998*RAND())))</f>
        <v/>
      </c>
      <c r="BM23" s="30">
        <f>IF(50&gt;$B$3,99,INDEX(Symboles!$G$6:$G$101,MOD(49+$C23+(-4),$B$3)+1)*E23+INDEX(Symboles!$G$6:$G$101,MOD(49+$C23+(-3),$B$3)+1)*F23+INDEX(Symboles!$G$6:$G$101,MOD(49+$C23+(-2),$B$3)+1)*G23+INDEX(Symboles!$G$6:$G$101,MOD(49+$C23+(-1),$B$3)+1)*H23+INDEX(Symboles!$G$6:$G$101,MOD(49+$C23+(0),$B$3)+1)*I23+INDEX(Symboles!$G$6:$G$101,MOD(49+$C23+(1),$B$3)+1)*J23+INDEX(Symboles!$G$6:$G$101,MOD(49+$C23+(2),$B$3)+1)*K23+INDEX(Symboles!$G$6:$G$101,MOD(49+$C23+(3),$B$3)+1)*L23+INDEX(Symboles!$G$6:$G$101,MOD(49+$C23+(4),$B$3)+1)*M23+IF($B$6=0,0,$B$6*NORMSINV(0.000001+0.999998*RAND())))</f>
        <v/>
      </c>
      <c r="BN23" s="30">
        <f>IF(51&gt;$B$3,99,INDEX(Symboles!$G$6:$G$101,MOD(50+$C23+(-4),$B$3)+1)*E23+INDEX(Symboles!$G$6:$G$101,MOD(50+$C23+(-3),$B$3)+1)*F23+INDEX(Symboles!$G$6:$G$101,MOD(50+$C23+(-2),$B$3)+1)*G23+INDEX(Symboles!$G$6:$G$101,MOD(50+$C23+(-1),$B$3)+1)*H23+INDEX(Symboles!$G$6:$G$101,MOD(50+$C23+(0),$B$3)+1)*I23+INDEX(Symboles!$G$6:$G$101,MOD(50+$C23+(1),$B$3)+1)*J23+INDEX(Symboles!$G$6:$G$101,MOD(50+$C23+(2),$B$3)+1)*K23+INDEX(Symboles!$G$6:$G$101,MOD(50+$C23+(3),$B$3)+1)*L23+INDEX(Symboles!$G$6:$G$101,MOD(50+$C23+(4),$B$3)+1)*M23+IF($B$6=0,0,$B$6*NORMSINV(0.000001+0.999998*RAND())))</f>
        <v/>
      </c>
      <c r="BO23" s="30">
        <f>IF(52&gt;$B$3,99,INDEX(Symboles!$G$6:$G$101,MOD(51+$C23+(-4),$B$3)+1)*E23+INDEX(Symboles!$G$6:$G$101,MOD(51+$C23+(-3),$B$3)+1)*F23+INDEX(Symboles!$G$6:$G$101,MOD(51+$C23+(-2),$B$3)+1)*G23+INDEX(Symboles!$G$6:$G$101,MOD(51+$C23+(-1),$B$3)+1)*H23+INDEX(Symboles!$G$6:$G$101,MOD(51+$C23+(0),$B$3)+1)*I23+INDEX(Symboles!$G$6:$G$101,MOD(51+$C23+(1),$B$3)+1)*J23+INDEX(Symboles!$G$6:$G$101,MOD(51+$C23+(2),$B$3)+1)*K23+INDEX(Symboles!$G$6:$G$101,MOD(51+$C23+(3),$B$3)+1)*L23+INDEX(Symboles!$G$6:$G$101,MOD(51+$C23+(4),$B$3)+1)*M23+IF($B$6=0,0,$B$6*NORMSINV(0.000001+0.999998*RAND())))</f>
        <v/>
      </c>
      <c r="BP23" s="30">
        <f>IF(53&gt;$B$3,99,INDEX(Symboles!$G$6:$G$101,MOD(52+$C23+(-4),$B$3)+1)*E23+INDEX(Symboles!$G$6:$G$101,MOD(52+$C23+(-3),$B$3)+1)*F23+INDEX(Symboles!$G$6:$G$101,MOD(52+$C23+(-2),$B$3)+1)*G23+INDEX(Symboles!$G$6:$G$101,MOD(52+$C23+(-1),$B$3)+1)*H23+INDEX(Symboles!$G$6:$G$101,MOD(52+$C23+(0),$B$3)+1)*I23+INDEX(Symboles!$G$6:$G$101,MOD(52+$C23+(1),$B$3)+1)*J23+INDEX(Symboles!$G$6:$G$101,MOD(52+$C23+(2),$B$3)+1)*K23+INDEX(Symboles!$G$6:$G$101,MOD(52+$C23+(3),$B$3)+1)*L23+INDEX(Symboles!$G$6:$G$101,MOD(52+$C23+(4),$B$3)+1)*M23+IF($B$6=0,0,$B$6*NORMSINV(0.000001+0.999998*RAND())))</f>
        <v/>
      </c>
      <c r="BQ23" s="30">
        <f>IF(54&gt;$B$3,99,INDEX(Symboles!$G$6:$G$101,MOD(53+$C23+(-4),$B$3)+1)*E23+INDEX(Symboles!$G$6:$G$101,MOD(53+$C23+(-3),$B$3)+1)*F23+INDEX(Symboles!$G$6:$G$101,MOD(53+$C23+(-2),$B$3)+1)*G23+INDEX(Symboles!$G$6:$G$101,MOD(53+$C23+(-1),$B$3)+1)*H23+INDEX(Symboles!$G$6:$G$101,MOD(53+$C23+(0),$B$3)+1)*I23+INDEX(Symboles!$G$6:$G$101,MOD(53+$C23+(1),$B$3)+1)*J23+INDEX(Symboles!$G$6:$G$101,MOD(53+$C23+(2),$B$3)+1)*K23+INDEX(Symboles!$G$6:$G$101,MOD(53+$C23+(3),$B$3)+1)*L23+INDEX(Symboles!$G$6:$G$101,MOD(53+$C23+(4),$B$3)+1)*M23+IF($B$6=0,0,$B$6*NORMSINV(0.000001+0.999998*RAND())))</f>
        <v/>
      </c>
      <c r="BR23" s="30">
        <f>IF(55&gt;$B$3,99,INDEX(Symboles!$G$6:$G$101,MOD(54+$C23+(-4),$B$3)+1)*E23+INDEX(Symboles!$G$6:$G$101,MOD(54+$C23+(-3),$B$3)+1)*F23+INDEX(Symboles!$G$6:$G$101,MOD(54+$C23+(-2),$B$3)+1)*G23+INDEX(Symboles!$G$6:$G$101,MOD(54+$C23+(-1),$B$3)+1)*H23+INDEX(Symboles!$G$6:$G$101,MOD(54+$C23+(0),$B$3)+1)*I23+INDEX(Symboles!$G$6:$G$101,MOD(54+$C23+(1),$B$3)+1)*J23+INDEX(Symboles!$G$6:$G$101,MOD(54+$C23+(2),$B$3)+1)*K23+INDEX(Symboles!$G$6:$G$101,MOD(54+$C23+(3),$B$3)+1)*L23+INDEX(Symboles!$G$6:$G$101,MOD(54+$C23+(4),$B$3)+1)*M23+IF($B$6=0,0,$B$6*NORMSINV(0.000001+0.999998*RAND())))</f>
        <v/>
      </c>
      <c r="BS23" s="30">
        <f>IF(56&gt;$B$3,99,INDEX(Symboles!$G$6:$G$101,MOD(55+$C23+(-4),$B$3)+1)*E23+INDEX(Symboles!$G$6:$G$101,MOD(55+$C23+(-3),$B$3)+1)*F23+INDEX(Symboles!$G$6:$G$101,MOD(55+$C23+(-2),$B$3)+1)*G23+INDEX(Symboles!$G$6:$G$101,MOD(55+$C23+(-1),$B$3)+1)*H23+INDEX(Symboles!$G$6:$G$101,MOD(55+$C23+(0),$B$3)+1)*I23+INDEX(Symboles!$G$6:$G$101,MOD(55+$C23+(1),$B$3)+1)*J23+INDEX(Symboles!$G$6:$G$101,MOD(55+$C23+(2),$B$3)+1)*K23+INDEX(Symboles!$G$6:$G$101,MOD(55+$C23+(3),$B$3)+1)*L23+INDEX(Symboles!$G$6:$G$101,MOD(55+$C23+(4),$B$3)+1)*M23+IF($B$6=0,0,$B$6*NORMSINV(0.000001+0.999998*RAND())))</f>
        <v/>
      </c>
      <c r="BT23" s="30">
        <f>IF(57&gt;$B$3,99,INDEX(Symboles!$G$6:$G$101,MOD(56+$C23+(-4),$B$3)+1)*E23+INDEX(Symboles!$G$6:$G$101,MOD(56+$C23+(-3),$B$3)+1)*F23+INDEX(Symboles!$G$6:$G$101,MOD(56+$C23+(-2),$B$3)+1)*G23+INDEX(Symboles!$G$6:$G$101,MOD(56+$C23+(-1),$B$3)+1)*H23+INDEX(Symboles!$G$6:$G$101,MOD(56+$C23+(0),$B$3)+1)*I23+INDEX(Symboles!$G$6:$G$101,MOD(56+$C23+(1),$B$3)+1)*J23+INDEX(Symboles!$G$6:$G$101,MOD(56+$C23+(2),$B$3)+1)*K23+INDEX(Symboles!$G$6:$G$101,MOD(56+$C23+(3),$B$3)+1)*L23+INDEX(Symboles!$G$6:$G$101,MOD(56+$C23+(4),$B$3)+1)*M23+IF($B$6=0,0,$B$6*NORMSINV(0.000001+0.999998*RAND())))</f>
        <v/>
      </c>
      <c r="BU23" s="30">
        <f>IF(58&gt;$B$3,99,INDEX(Symboles!$G$6:$G$101,MOD(57+$C23+(-4),$B$3)+1)*E23+INDEX(Symboles!$G$6:$G$101,MOD(57+$C23+(-3),$B$3)+1)*F23+INDEX(Symboles!$G$6:$G$101,MOD(57+$C23+(-2),$B$3)+1)*G23+INDEX(Symboles!$G$6:$G$101,MOD(57+$C23+(-1),$B$3)+1)*H23+INDEX(Symboles!$G$6:$G$101,MOD(57+$C23+(0),$B$3)+1)*I23+INDEX(Symboles!$G$6:$G$101,MOD(57+$C23+(1),$B$3)+1)*J23+INDEX(Symboles!$G$6:$G$101,MOD(57+$C23+(2),$B$3)+1)*K23+INDEX(Symboles!$G$6:$G$101,MOD(57+$C23+(3),$B$3)+1)*L23+INDEX(Symboles!$G$6:$G$101,MOD(57+$C23+(4),$B$3)+1)*M23+IF($B$6=0,0,$B$6*NORMSINV(0.000001+0.999998*RAND())))</f>
        <v/>
      </c>
      <c r="BV23" s="30">
        <f>IF(59&gt;$B$3,99,INDEX(Symboles!$G$6:$G$101,MOD(58+$C23+(-4),$B$3)+1)*E23+INDEX(Symboles!$G$6:$G$101,MOD(58+$C23+(-3),$B$3)+1)*F23+INDEX(Symboles!$G$6:$G$101,MOD(58+$C23+(-2),$B$3)+1)*G23+INDEX(Symboles!$G$6:$G$101,MOD(58+$C23+(-1),$B$3)+1)*H23+INDEX(Symboles!$G$6:$G$101,MOD(58+$C23+(0),$B$3)+1)*I23+INDEX(Symboles!$G$6:$G$101,MOD(58+$C23+(1),$B$3)+1)*J23+INDEX(Symboles!$G$6:$G$101,MOD(58+$C23+(2),$B$3)+1)*K23+INDEX(Symboles!$G$6:$G$101,MOD(58+$C23+(3),$B$3)+1)*L23+INDEX(Symboles!$G$6:$G$101,MOD(58+$C23+(4),$B$3)+1)*M23+IF($B$6=0,0,$B$6*NORMSINV(0.000001+0.999998*RAND())))</f>
        <v/>
      </c>
      <c r="BW23" s="30">
        <f>IF(60&gt;$B$3,99,INDEX(Symboles!$G$6:$G$101,MOD(59+$C23+(-4),$B$3)+1)*E23+INDEX(Symboles!$G$6:$G$101,MOD(59+$C23+(-3),$B$3)+1)*F23+INDEX(Symboles!$G$6:$G$101,MOD(59+$C23+(-2),$B$3)+1)*G23+INDEX(Symboles!$G$6:$G$101,MOD(59+$C23+(-1),$B$3)+1)*H23+INDEX(Symboles!$G$6:$G$101,MOD(59+$C23+(0),$B$3)+1)*I23+INDEX(Symboles!$G$6:$G$101,MOD(59+$C23+(1),$B$3)+1)*J23+INDEX(Symboles!$G$6:$G$101,MOD(59+$C23+(2),$B$3)+1)*K23+INDEX(Symboles!$G$6:$G$101,MOD(59+$C23+(3),$B$3)+1)*L23+INDEX(Symboles!$G$6:$G$101,MOD(59+$C23+(4),$B$3)+1)*M23+IF($B$6=0,0,$B$6*NORMSINV(0.000001+0.999998*RAND())))</f>
        <v/>
      </c>
      <c r="BX23" s="30">
        <f>IF(61&gt;$B$3,99,INDEX(Symboles!$G$6:$G$101,MOD(60+$C23+(-4),$B$3)+1)*E23+INDEX(Symboles!$G$6:$G$101,MOD(60+$C23+(-3),$B$3)+1)*F23+INDEX(Symboles!$G$6:$G$101,MOD(60+$C23+(-2),$B$3)+1)*G23+INDEX(Symboles!$G$6:$G$101,MOD(60+$C23+(-1),$B$3)+1)*H23+INDEX(Symboles!$G$6:$G$101,MOD(60+$C23+(0),$B$3)+1)*I23+INDEX(Symboles!$G$6:$G$101,MOD(60+$C23+(1),$B$3)+1)*J23+INDEX(Symboles!$G$6:$G$101,MOD(60+$C23+(2),$B$3)+1)*K23+INDEX(Symboles!$G$6:$G$101,MOD(60+$C23+(3),$B$3)+1)*L23+INDEX(Symboles!$G$6:$G$101,MOD(60+$C23+(4),$B$3)+1)*M23+IF($B$6=0,0,$B$6*NORMSINV(0.000001+0.999998*RAND())))</f>
        <v/>
      </c>
      <c r="BY23" s="30">
        <f>IF(62&gt;$B$3,99,INDEX(Symboles!$G$6:$G$101,MOD(61+$C23+(-4),$B$3)+1)*E23+INDEX(Symboles!$G$6:$G$101,MOD(61+$C23+(-3),$B$3)+1)*F23+INDEX(Symboles!$G$6:$G$101,MOD(61+$C23+(-2),$B$3)+1)*G23+INDEX(Symboles!$G$6:$G$101,MOD(61+$C23+(-1),$B$3)+1)*H23+INDEX(Symboles!$G$6:$G$101,MOD(61+$C23+(0),$B$3)+1)*I23+INDEX(Symboles!$G$6:$G$101,MOD(61+$C23+(1),$B$3)+1)*J23+INDEX(Symboles!$G$6:$G$101,MOD(61+$C23+(2),$B$3)+1)*K23+INDEX(Symboles!$G$6:$G$101,MOD(61+$C23+(3),$B$3)+1)*L23+INDEX(Symboles!$G$6:$G$101,MOD(61+$C23+(4),$B$3)+1)*M23+IF($B$6=0,0,$B$6*NORMSINV(0.000001+0.999998*RAND())))</f>
        <v/>
      </c>
      <c r="BZ23" s="30">
        <f>IF(63&gt;$B$3,99,INDEX(Symboles!$G$6:$G$101,MOD(62+$C23+(-4),$B$3)+1)*E23+INDEX(Symboles!$G$6:$G$101,MOD(62+$C23+(-3),$B$3)+1)*F23+INDEX(Symboles!$G$6:$G$101,MOD(62+$C23+(-2),$B$3)+1)*G23+INDEX(Symboles!$G$6:$G$101,MOD(62+$C23+(-1),$B$3)+1)*H23+INDEX(Symboles!$G$6:$G$101,MOD(62+$C23+(0),$B$3)+1)*I23+INDEX(Symboles!$G$6:$G$101,MOD(62+$C23+(1),$B$3)+1)*J23+INDEX(Symboles!$G$6:$G$101,MOD(62+$C23+(2),$B$3)+1)*K23+INDEX(Symboles!$G$6:$G$101,MOD(62+$C23+(3),$B$3)+1)*L23+INDEX(Symboles!$G$6:$G$101,MOD(62+$C23+(4),$B$3)+1)*M23+IF($B$6=0,0,$B$6*NORMSINV(0.000001+0.999998*RAND())))</f>
        <v/>
      </c>
      <c r="CA23" s="30">
        <f>IF(64&gt;$B$3,99,INDEX(Symboles!$G$6:$G$101,MOD(63+$C23+(-4),$B$3)+1)*E23+INDEX(Symboles!$G$6:$G$101,MOD(63+$C23+(-3),$B$3)+1)*F23+INDEX(Symboles!$G$6:$G$101,MOD(63+$C23+(-2),$B$3)+1)*G23+INDEX(Symboles!$G$6:$G$101,MOD(63+$C23+(-1),$B$3)+1)*H23+INDEX(Symboles!$G$6:$G$101,MOD(63+$C23+(0),$B$3)+1)*I23+INDEX(Symboles!$G$6:$G$101,MOD(63+$C23+(1),$B$3)+1)*J23+INDEX(Symboles!$G$6:$G$101,MOD(63+$C23+(2),$B$3)+1)*K23+INDEX(Symboles!$G$6:$G$101,MOD(63+$C23+(3),$B$3)+1)*L23+INDEX(Symboles!$G$6:$G$101,MOD(63+$C23+(4),$B$3)+1)*M23+IF($B$6=0,0,$B$6*NORMSINV(0.000001+0.999998*RAND())))</f>
        <v/>
      </c>
      <c r="CB23" s="30">
        <f>IF(65&gt;$B$3,99,INDEX(Symboles!$G$6:$G$101,MOD(64+$C23+(-4),$B$3)+1)*E23+INDEX(Symboles!$G$6:$G$101,MOD(64+$C23+(-3),$B$3)+1)*F23+INDEX(Symboles!$G$6:$G$101,MOD(64+$C23+(-2),$B$3)+1)*G23+INDEX(Symboles!$G$6:$G$101,MOD(64+$C23+(-1),$B$3)+1)*H23+INDEX(Symboles!$G$6:$G$101,MOD(64+$C23+(0),$B$3)+1)*I23+INDEX(Symboles!$G$6:$G$101,MOD(64+$C23+(1),$B$3)+1)*J23+INDEX(Symboles!$G$6:$G$101,MOD(64+$C23+(2),$B$3)+1)*K23+INDEX(Symboles!$G$6:$G$101,MOD(64+$C23+(3),$B$3)+1)*L23+INDEX(Symboles!$G$6:$G$101,MOD(64+$C23+(4),$B$3)+1)*M23+IF($B$6=0,0,$B$6*NORMSINV(0.000001+0.999998*RAND())))</f>
        <v/>
      </c>
      <c r="CC23" s="30">
        <f>IF(66&gt;$B$3,99,INDEX(Symboles!$G$6:$G$101,MOD(65+$C23+(-4),$B$3)+1)*E23+INDEX(Symboles!$G$6:$G$101,MOD(65+$C23+(-3),$B$3)+1)*F23+INDEX(Symboles!$G$6:$G$101,MOD(65+$C23+(-2),$B$3)+1)*G23+INDEX(Symboles!$G$6:$G$101,MOD(65+$C23+(-1),$B$3)+1)*H23+INDEX(Symboles!$G$6:$G$101,MOD(65+$C23+(0),$B$3)+1)*I23+INDEX(Symboles!$G$6:$G$101,MOD(65+$C23+(1),$B$3)+1)*J23+INDEX(Symboles!$G$6:$G$101,MOD(65+$C23+(2),$B$3)+1)*K23+INDEX(Symboles!$G$6:$G$101,MOD(65+$C23+(3),$B$3)+1)*L23+INDEX(Symboles!$G$6:$G$101,MOD(65+$C23+(4),$B$3)+1)*M23+IF($B$6=0,0,$B$6*NORMSINV(0.000001+0.999998*RAND())))</f>
        <v/>
      </c>
      <c r="CD23" s="30">
        <f>IF(67&gt;$B$3,99,INDEX(Symboles!$G$6:$G$101,MOD(66+$C23+(-4),$B$3)+1)*E23+INDEX(Symboles!$G$6:$G$101,MOD(66+$C23+(-3),$B$3)+1)*F23+INDEX(Symboles!$G$6:$G$101,MOD(66+$C23+(-2),$B$3)+1)*G23+INDEX(Symboles!$G$6:$G$101,MOD(66+$C23+(-1),$B$3)+1)*H23+INDEX(Symboles!$G$6:$G$101,MOD(66+$C23+(0),$B$3)+1)*I23+INDEX(Symboles!$G$6:$G$101,MOD(66+$C23+(1),$B$3)+1)*J23+INDEX(Symboles!$G$6:$G$101,MOD(66+$C23+(2),$B$3)+1)*K23+INDEX(Symboles!$G$6:$G$101,MOD(66+$C23+(3),$B$3)+1)*L23+INDEX(Symboles!$G$6:$G$101,MOD(66+$C23+(4),$B$3)+1)*M23+IF($B$6=0,0,$B$6*NORMSINV(0.000001+0.999998*RAND())))</f>
        <v/>
      </c>
      <c r="CE23" s="30">
        <f>IF(68&gt;$B$3,99,INDEX(Symboles!$G$6:$G$101,MOD(67+$C23+(-4),$B$3)+1)*E23+INDEX(Symboles!$G$6:$G$101,MOD(67+$C23+(-3),$B$3)+1)*F23+INDEX(Symboles!$G$6:$G$101,MOD(67+$C23+(-2),$B$3)+1)*G23+INDEX(Symboles!$G$6:$G$101,MOD(67+$C23+(-1),$B$3)+1)*H23+INDEX(Symboles!$G$6:$G$101,MOD(67+$C23+(0),$B$3)+1)*I23+INDEX(Symboles!$G$6:$G$101,MOD(67+$C23+(1),$B$3)+1)*J23+INDEX(Symboles!$G$6:$G$101,MOD(67+$C23+(2),$B$3)+1)*K23+INDEX(Symboles!$G$6:$G$101,MOD(67+$C23+(3),$B$3)+1)*L23+INDEX(Symboles!$G$6:$G$101,MOD(67+$C23+(4),$B$3)+1)*M23+IF($B$6=0,0,$B$6*NORMSINV(0.000001+0.999998*RAND())))</f>
        <v/>
      </c>
      <c r="CF23" s="30">
        <f>IF(69&gt;$B$3,99,INDEX(Symboles!$G$6:$G$101,MOD(68+$C23+(-4),$B$3)+1)*E23+INDEX(Symboles!$G$6:$G$101,MOD(68+$C23+(-3),$B$3)+1)*F23+INDEX(Symboles!$G$6:$G$101,MOD(68+$C23+(-2),$B$3)+1)*G23+INDEX(Symboles!$G$6:$G$101,MOD(68+$C23+(-1),$B$3)+1)*H23+INDEX(Symboles!$G$6:$G$101,MOD(68+$C23+(0),$B$3)+1)*I23+INDEX(Symboles!$G$6:$G$101,MOD(68+$C23+(1),$B$3)+1)*J23+INDEX(Symboles!$G$6:$G$101,MOD(68+$C23+(2),$B$3)+1)*K23+INDEX(Symboles!$G$6:$G$101,MOD(68+$C23+(3),$B$3)+1)*L23+INDEX(Symboles!$G$6:$G$101,MOD(68+$C23+(4),$B$3)+1)*M23+IF($B$6=0,0,$B$6*NORMSINV(0.000001+0.999998*RAND())))</f>
        <v/>
      </c>
      <c r="CG23" s="30">
        <f>IF(70&gt;$B$3,99,INDEX(Symboles!$G$6:$G$101,MOD(69+$C23+(-4),$B$3)+1)*E23+INDEX(Symboles!$G$6:$G$101,MOD(69+$C23+(-3),$B$3)+1)*F23+INDEX(Symboles!$G$6:$G$101,MOD(69+$C23+(-2),$B$3)+1)*G23+INDEX(Symboles!$G$6:$G$101,MOD(69+$C23+(-1),$B$3)+1)*H23+INDEX(Symboles!$G$6:$G$101,MOD(69+$C23+(0),$B$3)+1)*I23+INDEX(Symboles!$G$6:$G$101,MOD(69+$C23+(1),$B$3)+1)*J23+INDEX(Symboles!$G$6:$G$101,MOD(69+$C23+(2),$B$3)+1)*K23+INDEX(Symboles!$G$6:$G$101,MOD(69+$C23+(3),$B$3)+1)*L23+INDEX(Symboles!$G$6:$G$101,MOD(69+$C23+(4),$B$3)+1)*M23+IF($B$6=0,0,$B$6*NORMSINV(0.000001+0.999998*RAND())))</f>
        <v/>
      </c>
      <c r="CH23" s="30">
        <f>IF(71&gt;$B$3,99,INDEX(Symboles!$G$6:$G$101,MOD(70+$C23+(-4),$B$3)+1)*E23+INDEX(Symboles!$G$6:$G$101,MOD(70+$C23+(-3),$B$3)+1)*F23+INDEX(Symboles!$G$6:$G$101,MOD(70+$C23+(-2),$B$3)+1)*G23+INDEX(Symboles!$G$6:$G$101,MOD(70+$C23+(-1),$B$3)+1)*H23+INDEX(Symboles!$G$6:$G$101,MOD(70+$C23+(0),$B$3)+1)*I23+INDEX(Symboles!$G$6:$G$101,MOD(70+$C23+(1),$B$3)+1)*J23+INDEX(Symboles!$G$6:$G$101,MOD(70+$C23+(2),$B$3)+1)*K23+INDEX(Symboles!$G$6:$G$101,MOD(70+$C23+(3),$B$3)+1)*L23+INDEX(Symboles!$G$6:$G$101,MOD(70+$C23+(4),$B$3)+1)*M23+IF($B$6=0,0,$B$6*NORMSINV(0.000001+0.999998*RAND())))</f>
        <v/>
      </c>
      <c r="CI23" s="30">
        <f>IF(72&gt;$B$3,99,INDEX(Symboles!$G$6:$G$101,MOD(71+$C23+(-4),$B$3)+1)*E23+INDEX(Symboles!$G$6:$G$101,MOD(71+$C23+(-3),$B$3)+1)*F23+INDEX(Symboles!$G$6:$G$101,MOD(71+$C23+(-2),$B$3)+1)*G23+INDEX(Symboles!$G$6:$G$101,MOD(71+$C23+(-1),$B$3)+1)*H23+INDEX(Symboles!$G$6:$G$101,MOD(71+$C23+(0),$B$3)+1)*I23+INDEX(Symboles!$G$6:$G$101,MOD(71+$C23+(1),$B$3)+1)*J23+INDEX(Symboles!$G$6:$G$101,MOD(71+$C23+(2),$B$3)+1)*K23+INDEX(Symboles!$G$6:$G$101,MOD(71+$C23+(3),$B$3)+1)*L23+INDEX(Symboles!$G$6:$G$101,MOD(71+$C23+(4),$B$3)+1)*M23+IF($B$6=0,0,$B$6*NORMSINV(0.000001+0.999998*RAND())))</f>
        <v/>
      </c>
      <c r="CJ23" s="30">
        <f>IF(73&gt;$B$3,99,INDEX(Symboles!$G$6:$G$101,MOD(72+$C23+(-4),$B$3)+1)*E23+INDEX(Symboles!$G$6:$G$101,MOD(72+$C23+(-3),$B$3)+1)*F23+INDEX(Symboles!$G$6:$G$101,MOD(72+$C23+(-2),$B$3)+1)*G23+INDEX(Symboles!$G$6:$G$101,MOD(72+$C23+(-1),$B$3)+1)*H23+INDEX(Symboles!$G$6:$G$101,MOD(72+$C23+(0),$B$3)+1)*I23+INDEX(Symboles!$G$6:$G$101,MOD(72+$C23+(1),$B$3)+1)*J23+INDEX(Symboles!$G$6:$G$101,MOD(72+$C23+(2),$B$3)+1)*K23+INDEX(Symboles!$G$6:$G$101,MOD(72+$C23+(3),$B$3)+1)*L23+INDEX(Symboles!$G$6:$G$101,MOD(72+$C23+(4),$B$3)+1)*M23+IF($B$6=0,0,$B$6*NORMSINV(0.000001+0.999998*RAND())))</f>
        <v/>
      </c>
      <c r="CK23" s="30">
        <f>IF(74&gt;$B$3,99,INDEX(Symboles!$G$6:$G$101,MOD(73+$C23+(-4),$B$3)+1)*E23+INDEX(Symboles!$G$6:$G$101,MOD(73+$C23+(-3),$B$3)+1)*F23+INDEX(Symboles!$G$6:$G$101,MOD(73+$C23+(-2),$B$3)+1)*G23+INDEX(Symboles!$G$6:$G$101,MOD(73+$C23+(-1),$B$3)+1)*H23+INDEX(Symboles!$G$6:$G$101,MOD(73+$C23+(0),$B$3)+1)*I23+INDEX(Symboles!$G$6:$G$101,MOD(73+$C23+(1),$B$3)+1)*J23+INDEX(Symboles!$G$6:$G$101,MOD(73+$C23+(2),$B$3)+1)*K23+INDEX(Symboles!$G$6:$G$101,MOD(73+$C23+(3),$B$3)+1)*L23+INDEX(Symboles!$G$6:$G$101,MOD(73+$C23+(4),$B$3)+1)*M23+IF($B$6=0,0,$B$6*NORMSINV(0.000001+0.999998*RAND())))</f>
        <v/>
      </c>
      <c r="CL23" s="30">
        <f>IF(75&gt;$B$3,99,INDEX(Symboles!$G$6:$G$101,MOD(74+$C23+(-4),$B$3)+1)*E23+INDEX(Symboles!$G$6:$G$101,MOD(74+$C23+(-3),$B$3)+1)*F23+INDEX(Symboles!$G$6:$G$101,MOD(74+$C23+(-2),$B$3)+1)*G23+INDEX(Symboles!$G$6:$G$101,MOD(74+$C23+(-1),$B$3)+1)*H23+INDEX(Symboles!$G$6:$G$101,MOD(74+$C23+(0),$B$3)+1)*I23+INDEX(Symboles!$G$6:$G$101,MOD(74+$C23+(1),$B$3)+1)*J23+INDEX(Symboles!$G$6:$G$101,MOD(74+$C23+(2),$B$3)+1)*K23+INDEX(Symboles!$G$6:$G$101,MOD(74+$C23+(3),$B$3)+1)*L23+INDEX(Symboles!$G$6:$G$101,MOD(74+$C23+(4),$B$3)+1)*M23+IF($B$6=0,0,$B$6*NORMSINV(0.000001+0.999998*RAND())))</f>
        <v/>
      </c>
      <c r="CM23" s="30">
        <f>IF(76&gt;$B$3,99,INDEX(Symboles!$G$6:$G$101,MOD(75+$C23+(-4),$B$3)+1)*E23+INDEX(Symboles!$G$6:$G$101,MOD(75+$C23+(-3),$B$3)+1)*F23+INDEX(Symboles!$G$6:$G$101,MOD(75+$C23+(-2),$B$3)+1)*G23+INDEX(Symboles!$G$6:$G$101,MOD(75+$C23+(-1),$B$3)+1)*H23+INDEX(Symboles!$G$6:$G$101,MOD(75+$C23+(0),$B$3)+1)*I23+INDEX(Symboles!$G$6:$G$101,MOD(75+$C23+(1),$B$3)+1)*J23+INDEX(Symboles!$G$6:$G$101,MOD(75+$C23+(2),$B$3)+1)*K23+INDEX(Symboles!$G$6:$G$101,MOD(75+$C23+(3),$B$3)+1)*L23+INDEX(Symboles!$G$6:$G$101,MOD(75+$C23+(4),$B$3)+1)*M23+IF($B$6=0,0,$B$6*NORMSINV(0.000001+0.999998*RAND())))</f>
        <v/>
      </c>
      <c r="CN23" s="30">
        <f>IF(77&gt;$B$3,99,INDEX(Symboles!$G$6:$G$101,MOD(76+$C23+(-4),$B$3)+1)*E23+INDEX(Symboles!$G$6:$G$101,MOD(76+$C23+(-3),$B$3)+1)*F23+INDEX(Symboles!$G$6:$G$101,MOD(76+$C23+(-2),$B$3)+1)*G23+INDEX(Symboles!$G$6:$G$101,MOD(76+$C23+(-1),$B$3)+1)*H23+INDEX(Symboles!$G$6:$G$101,MOD(76+$C23+(0),$B$3)+1)*I23+INDEX(Symboles!$G$6:$G$101,MOD(76+$C23+(1),$B$3)+1)*J23+INDEX(Symboles!$G$6:$G$101,MOD(76+$C23+(2),$B$3)+1)*K23+INDEX(Symboles!$G$6:$G$101,MOD(76+$C23+(3),$B$3)+1)*L23+INDEX(Symboles!$G$6:$G$101,MOD(76+$C23+(4),$B$3)+1)*M23+IF($B$6=0,0,$B$6*NORMSINV(0.000001+0.999998*RAND())))</f>
        <v/>
      </c>
      <c r="CO23" s="30">
        <f>IF(78&gt;$B$3,99,INDEX(Symboles!$G$6:$G$101,MOD(77+$C23+(-4),$B$3)+1)*E23+INDEX(Symboles!$G$6:$G$101,MOD(77+$C23+(-3),$B$3)+1)*F23+INDEX(Symboles!$G$6:$G$101,MOD(77+$C23+(-2),$B$3)+1)*G23+INDEX(Symboles!$G$6:$G$101,MOD(77+$C23+(-1),$B$3)+1)*H23+INDEX(Symboles!$G$6:$G$101,MOD(77+$C23+(0),$B$3)+1)*I23+INDEX(Symboles!$G$6:$G$101,MOD(77+$C23+(1),$B$3)+1)*J23+INDEX(Symboles!$G$6:$G$101,MOD(77+$C23+(2),$B$3)+1)*K23+INDEX(Symboles!$G$6:$G$101,MOD(77+$C23+(3),$B$3)+1)*L23+INDEX(Symboles!$G$6:$G$101,MOD(77+$C23+(4),$B$3)+1)*M23+IF($B$6=0,0,$B$6*NORMSINV(0.000001+0.999998*RAND())))</f>
        <v/>
      </c>
      <c r="CP23" s="30">
        <f>IF(79&gt;$B$3,99,INDEX(Symboles!$G$6:$G$101,MOD(78+$C23+(-4),$B$3)+1)*E23+INDEX(Symboles!$G$6:$G$101,MOD(78+$C23+(-3),$B$3)+1)*F23+INDEX(Symboles!$G$6:$G$101,MOD(78+$C23+(-2),$B$3)+1)*G23+INDEX(Symboles!$G$6:$G$101,MOD(78+$C23+(-1),$B$3)+1)*H23+INDEX(Symboles!$G$6:$G$101,MOD(78+$C23+(0),$B$3)+1)*I23+INDEX(Symboles!$G$6:$G$101,MOD(78+$C23+(1),$B$3)+1)*J23+INDEX(Symboles!$G$6:$G$101,MOD(78+$C23+(2),$B$3)+1)*K23+INDEX(Symboles!$G$6:$G$101,MOD(78+$C23+(3),$B$3)+1)*L23+INDEX(Symboles!$G$6:$G$101,MOD(78+$C23+(4),$B$3)+1)*M23+IF($B$6=0,0,$B$6*NORMSINV(0.000001+0.999998*RAND())))</f>
        <v/>
      </c>
      <c r="CQ23" s="30">
        <f>IF(80&gt;$B$3,99,INDEX(Symboles!$G$6:$G$101,MOD(79+$C23+(-4),$B$3)+1)*E23+INDEX(Symboles!$G$6:$G$101,MOD(79+$C23+(-3),$B$3)+1)*F23+INDEX(Symboles!$G$6:$G$101,MOD(79+$C23+(-2),$B$3)+1)*G23+INDEX(Symboles!$G$6:$G$101,MOD(79+$C23+(-1),$B$3)+1)*H23+INDEX(Symboles!$G$6:$G$101,MOD(79+$C23+(0),$B$3)+1)*I23+INDEX(Symboles!$G$6:$G$101,MOD(79+$C23+(1),$B$3)+1)*J23+INDEX(Symboles!$G$6:$G$101,MOD(79+$C23+(2),$B$3)+1)*K23+INDEX(Symboles!$G$6:$G$101,MOD(79+$C23+(3),$B$3)+1)*L23+INDEX(Symboles!$G$6:$G$101,MOD(79+$C23+(4),$B$3)+1)*M23+IF($B$6=0,0,$B$6*NORMSINV(0.000001+0.999998*RAND())))</f>
        <v/>
      </c>
      <c r="CR23" s="30">
        <f>IF(81&gt;$B$3,99,INDEX(Symboles!$G$6:$G$101,MOD(80+$C23+(-4),$B$3)+1)*E23+INDEX(Symboles!$G$6:$G$101,MOD(80+$C23+(-3),$B$3)+1)*F23+INDEX(Symboles!$G$6:$G$101,MOD(80+$C23+(-2),$B$3)+1)*G23+INDEX(Symboles!$G$6:$G$101,MOD(80+$C23+(-1),$B$3)+1)*H23+INDEX(Symboles!$G$6:$G$101,MOD(80+$C23+(0),$B$3)+1)*I23+INDEX(Symboles!$G$6:$G$101,MOD(80+$C23+(1),$B$3)+1)*J23+INDEX(Symboles!$G$6:$G$101,MOD(80+$C23+(2),$B$3)+1)*K23+INDEX(Symboles!$G$6:$G$101,MOD(80+$C23+(3),$B$3)+1)*L23+INDEX(Symboles!$G$6:$G$101,MOD(80+$C23+(4),$B$3)+1)*M23+IF($B$6=0,0,$B$6*NORMSINV(0.000001+0.999998*RAND())))</f>
        <v/>
      </c>
      <c r="CS23" s="30">
        <f>IF(82&gt;$B$3,99,INDEX(Symboles!$G$6:$G$101,MOD(81+$C23+(-4),$B$3)+1)*E23+INDEX(Symboles!$G$6:$G$101,MOD(81+$C23+(-3),$B$3)+1)*F23+INDEX(Symboles!$G$6:$G$101,MOD(81+$C23+(-2),$B$3)+1)*G23+INDEX(Symboles!$G$6:$G$101,MOD(81+$C23+(-1),$B$3)+1)*H23+INDEX(Symboles!$G$6:$G$101,MOD(81+$C23+(0),$B$3)+1)*I23+INDEX(Symboles!$G$6:$G$101,MOD(81+$C23+(1),$B$3)+1)*J23+INDEX(Symboles!$G$6:$G$101,MOD(81+$C23+(2),$B$3)+1)*K23+INDEX(Symboles!$G$6:$G$101,MOD(81+$C23+(3),$B$3)+1)*L23+INDEX(Symboles!$G$6:$G$101,MOD(81+$C23+(4),$B$3)+1)*M23+IF($B$6=0,0,$B$6*NORMSINV(0.000001+0.999998*RAND())))</f>
        <v/>
      </c>
      <c r="CT23" s="30">
        <f>IF(83&gt;$B$3,99,INDEX(Symboles!$G$6:$G$101,MOD(82+$C23+(-4),$B$3)+1)*E23+INDEX(Symboles!$G$6:$G$101,MOD(82+$C23+(-3),$B$3)+1)*F23+INDEX(Symboles!$G$6:$G$101,MOD(82+$C23+(-2),$B$3)+1)*G23+INDEX(Symboles!$G$6:$G$101,MOD(82+$C23+(-1),$B$3)+1)*H23+INDEX(Symboles!$G$6:$G$101,MOD(82+$C23+(0),$B$3)+1)*I23+INDEX(Symboles!$G$6:$G$101,MOD(82+$C23+(1),$B$3)+1)*J23+INDEX(Symboles!$G$6:$G$101,MOD(82+$C23+(2),$B$3)+1)*K23+INDEX(Symboles!$G$6:$G$101,MOD(82+$C23+(3),$B$3)+1)*L23+INDEX(Symboles!$G$6:$G$101,MOD(82+$C23+(4),$B$3)+1)*M23+IF($B$6=0,0,$B$6*NORMSINV(0.000001+0.999998*RAND())))</f>
        <v/>
      </c>
      <c r="CU23" s="30">
        <f>IF(84&gt;$B$3,99,INDEX(Symboles!$G$6:$G$101,MOD(83+$C23+(-4),$B$3)+1)*E23+INDEX(Symboles!$G$6:$G$101,MOD(83+$C23+(-3),$B$3)+1)*F23+INDEX(Symboles!$G$6:$G$101,MOD(83+$C23+(-2),$B$3)+1)*G23+INDEX(Symboles!$G$6:$G$101,MOD(83+$C23+(-1),$B$3)+1)*H23+INDEX(Symboles!$G$6:$G$101,MOD(83+$C23+(0),$B$3)+1)*I23+INDEX(Symboles!$G$6:$G$101,MOD(83+$C23+(1),$B$3)+1)*J23+INDEX(Symboles!$G$6:$G$101,MOD(83+$C23+(2),$B$3)+1)*K23+INDEX(Symboles!$G$6:$G$101,MOD(83+$C23+(3),$B$3)+1)*L23+INDEX(Symboles!$G$6:$G$101,MOD(83+$C23+(4),$B$3)+1)*M23+IF($B$6=0,0,$B$6*NORMSINV(0.000001+0.999998*RAND())))</f>
        <v/>
      </c>
      <c r="CV23" s="30">
        <f>IF(85&gt;$B$3,99,INDEX(Symboles!$G$6:$G$101,MOD(84+$C23+(-4),$B$3)+1)*E23+INDEX(Symboles!$G$6:$G$101,MOD(84+$C23+(-3),$B$3)+1)*F23+INDEX(Symboles!$G$6:$G$101,MOD(84+$C23+(-2),$B$3)+1)*G23+INDEX(Symboles!$G$6:$G$101,MOD(84+$C23+(-1),$B$3)+1)*H23+INDEX(Symboles!$G$6:$G$101,MOD(84+$C23+(0),$B$3)+1)*I23+INDEX(Symboles!$G$6:$G$101,MOD(84+$C23+(1),$B$3)+1)*J23+INDEX(Symboles!$G$6:$G$101,MOD(84+$C23+(2),$B$3)+1)*K23+INDEX(Symboles!$G$6:$G$101,MOD(84+$C23+(3),$B$3)+1)*L23+INDEX(Symboles!$G$6:$G$101,MOD(84+$C23+(4),$B$3)+1)*M23+IF($B$6=0,0,$B$6*NORMSINV(0.000001+0.999998*RAND())))</f>
        <v/>
      </c>
      <c r="CW23" s="30">
        <f>IF(86&gt;$B$3,99,INDEX(Symboles!$G$6:$G$101,MOD(85+$C23+(-4),$B$3)+1)*E23+INDEX(Symboles!$G$6:$G$101,MOD(85+$C23+(-3),$B$3)+1)*F23+INDEX(Symboles!$G$6:$G$101,MOD(85+$C23+(-2),$B$3)+1)*G23+INDEX(Symboles!$G$6:$G$101,MOD(85+$C23+(-1),$B$3)+1)*H23+INDEX(Symboles!$G$6:$G$101,MOD(85+$C23+(0),$B$3)+1)*I23+INDEX(Symboles!$G$6:$G$101,MOD(85+$C23+(1),$B$3)+1)*J23+INDEX(Symboles!$G$6:$G$101,MOD(85+$C23+(2),$B$3)+1)*K23+INDEX(Symboles!$G$6:$G$101,MOD(85+$C23+(3),$B$3)+1)*L23+INDEX(Symboles!$G$6:$G$101,MOD(85+$C23+(4),$B$3)+1)*M23+IF($B$6=0,0,$B$6*NORMSINV(0.000001+0.999998*RAND())))</f>
        <v/>
      </c>
      <c r="CX23" s="30">
        <f>IF(87&gt;$B$3,99,INDEX(Symboles!$G$6:$G$101,MOD(86+$C23+(-4),$B$3)+1)*E23+INDEX(Symboles!$G$6:$G$101,MOD(86+$C23+(-3),$B$3)+1)*F23+INDEX(Symboles!$G$6:$G$101,MOD(86+$C23+(-2),$B$3)+1)*G23+INDEX(Symboles!$G$6:$G$101,MOD(86+$C23+(-1),$B$3)+1)*H23+INDEX(Symboles!$G$6:$G$101,MOD(86+$C23+(0),$B$3)+1)*I23+INDEX(Symboles!$G$6:$G$101,MOD(86+$C23+(1),$B$3)+1)*J23+INDEX(Symboles!$G$6:$G$101,MOD(86+$C23+(2),$B$3)+1)*K23+INDEX(Symboles!$G$6:$G$101,MOD(86+$C23+(3),$B$3)+1)*L23+INDEX(Symboles!$G$6:$G$101,MOD(86+$C23+(4),$B$3)+1)*M23+IF($B$6=0,0,$B$6*NORMSINV(0.000001+0.999998*RAND())))</f>
        <v/>
      </c>
      <c r="CY23" s="30">
        <f>IF(88&gt;$B$3,99,INDEX(Symboles!$G$6:$G$101,MOD(87+$C23+(-4),$B$3)+1)*E23+INDEX(Symboles!$G$6:$G$101,MOD(87+$C23+(-3),$B$3)+1)*F23+INDEX(Symboles!$G$6:$G$101,MOD(87+$C23+(-2),$B$3)+1)*G23+INDEX(Symboles!$G$6:$G$101,MOD(87+$C23+(-1),$B$3)+1)*H23+INDEX(Symboles!$G$6:$G$101,MOD(87+$C23+(0),$B$3)+1)*I23+INDEX(Symboles!$G$6:$G$101,MOD(87+$C23+(1),$B$3)+1)*J23+INDEX(Symboles!$G$6:$G$101,MOD(87+$C23+(2),$B$3)+1)*K23+INDEX(Symboles!$G$6:$G$101,MOD(87+$C23+(3),$B$3)+1)*L23+INDEX(Symboles!$G$6:$G$101,MOD(87+$C23+(4),$B$3)+1)*M23+IF($B$6=0,0,$B$6*NORMSINV(0.000001+0.999998*RAND())))</f>
        <v/>
      </c>
      <c r="CZ23" s="30">
        <f>IF(89&gt;$B$3,99,INDEX(Symboles!$G$6:$G$101,MOD(88+$C23+(-4),$B$3)+1)*E23+INDEX(Symboles!$G$6:$G$101,MOD(88+$C23+(-3),$B$3)+1)*F23+INDEX(Symboles!$G$6:$G$101,MOD(88+$C23+(-2),$B$3)+1)*G23+INDEX(Symboles!$G$6:$G$101,MOD(88+$C23+(-1),$B$3)+1)*H23+INDEX(Symboles!$G$6:$G$101,MOD(88+$C23+(0),$B$3)+1)*I23+INDEX(Symboles!$G$6:$G$101,MOD(88+$C23+(1),$B$3)+1)*J23+INDEX(Symboles!$G$6:$G$101,MOD(88+$C23+(2),$B$3)+1)*K23+INDEX(Symboles!$G$6:$G$101,MOD(88+$C23+(3),$B$3)+1)*L23+INDEX(Symboles!$G$6:$G$101,MOD(88+$C23+(4),$B$3)+1)*M23+IF($B$6=0,0,$B$6*NORMSINV(0.000001+0.999998*RAND())))</f>
        <v/>
      </c>
      <c r="DA23" s="30">
        <f>IF(90&gt;$B$3,99,INDEX(Symboles!$G$6:$G$101,MOD(89+$C23+(-4),$B$3)+1)*E23+INDEX(Symboles!$G$6:$G$101,MOD(89+$C23+(-3),$B$3)+1)*F23+INDEX(Symboles!$G$6:$G$101,MOD(89+$C23+(-2),$B$3)+1)*G23+INDEX(Symboles!$G$6:$G$101,MOD(89+$C23+(-1),$B$3)+1)*H23+INDEX(Symboles!$G$6:$G$101,MOD(89+$C23+(0),$B$3)+1)*I23+INDEX(Symboles!$G$6:$G$101,MOD(89+$C23+(1),$B$3)+1)*J23+INDEX(Symboles!$G$6:$G$101,MOD(89+$C23+(2),$B$3)+1)*K23+INDEX(Symboles!$G$6:$G$101,MOD(89+$C23+(3),$B$3)+1)*L23+INDEX(Symboles!$G$6:$G$101,MOD(89+$C23+(4),$B$3)+1)*M23+IF($B$6=0,0,$B$6*NORMSINV(0.000001+0.999998*RAND())))</f>
        <v/>
      </c>
      <c r="DB23" s="30">
        <f>IF(91&gt;$B$3,99,INDEX(Symboles!$G$6:$G$101,MOD(90+$C23+(-4),$B$3)+1)*E23+INDEX(Symboles!$G$6:$G$101,MOD(90+$C23+(-3),$B$3)+1)*F23+INDEX(Symboles!$G$6:$G$101,MOD(90+$C23+(-2),$B$3)+1)*G23+INDEX(Symboles!$G$6:$G$101,MOD(90+$C23+(-1),$B$3)+1)*H23+INDEX(Symboles!$G$6:$G$101,MOD(90+$C23+(0),$B$3)+1)*I23+INDEX(Symboles!$G$6:$G$101,MOD(90+$C23+(1),$B$3)+1)*J23+INDEX(Symboles!$G$6:$G$101,MOD(90+$C23+(2),$B$3)+1)*K23+INDEX(Symboles!$G$6:$G$101,MOD(90+$C23+(3),$B$3)+1)*L23+INDEX(Symboles!$G$6:$G$101,MOD(90+$C23+(4),$B$3)+1)*M23+IF($B$6=0,0,$B$6*NORMSINV(0.000001+0.999998*RAND())))</f>
        <v/>
      </c>
      <c r="DC23" s="30">
        <f>IF(92&gt;$B$3,99,INDEX(Symboles!$G$6:$G$101,MOD(91+$C23+(-4),$B$3)+1)*E23+INDEX(Symboles!$G$6:$G$101,MOD(91+$C23+(-3),$B$3)+1)*F23+INDEX(Symboles!$G$6:$G$101,MOD(91+$C23+(-2),$B$3)+1)*G23+INDEX(Symboles!$G$6:$G$101,MOD(91+$C23+(-1),$B$3)+1)*H23+INDEX(Symboles!$G$6:$G$101,MOD(91+$C23+(0),$B$3)+1)*I23+INDEX(Symboles!$G$6:$G$101,MOD(91+$C23+(1),$B$3)+1)*J23+INDEX(Symboles!$G$6:$G$101,MOD(91+$C23+(2),$B$3)+1)*K23+INDEX(Symboles!$G$6:$G$101,MOD(91+$C23+(3),$B$3)+1)*L23+INDEX(Symboles!$G$6:$G$101,MOD(91+$C23+(4),$B$3)+1)*M23+IF($B$6=0,0,$B$6*NORMSINV(0.000001+0.999998*RAND())))</f>
        <v/>
      </c>
      <c r="DD23" s="30">
        <f>IF(93&gt;$B$3,99,INDEX(Symboles!$G$6:$G$101,MOD(92+$C23+(-4),$B$3)+1)*E23+INDEX(Symboles!$G$6:$G$101,MOD(92+$C23+(-3),$B$3)+1)*F23+INDEX(Symboles!$G$6:$G$101,MOD(92+$C23+(-2),$B$3)+1)*G23+INDEX(Symboles!$G$6:$G$101,MOD(92+$C23+(-1),$B$3)+1)*H23+INDEX(Symboles!$G$6:$G$101,MOD(92+$C23+(0),$B$3)+1)*I23+INDEX(Symboles!$G$6:$G$101,MOD(92+$C23+(1),$B$3)+1)*J23+INDEX(Symboles!$G$6:$G$101,MOD(92+$C23+(2),$B$3)+1)*K23+INDEX(Symboles!$G$6:$G$101,MOD(92+$C23+(3),$B$3)+1)*L23+INDEX(Symboles!$G$6:$G$101,MOD(92+$C23+(4),$B$3)+1)*M23+IF($B$6=0,0,$B$6*NORMSINV(0.000001+0.999998*RAND())))</f>
        <v/>
      </c>
      <c r="DE23" s="30">
        <f>IF(94&gt;$B$3,99,INDEX(Symboles!$G$6:$G$101,MOD(93+$C23+(-4),$B$3)+1)*E23+INDEX(Symboles!$G$6:$G$101,MOD(93+$C23+(-3),$B$3)+1)*F23+INDEX(Symboles!$G$6:$G$101,MOD(93+$C23+(-2),$B$3)+1)*G23+INDEX(Symboles!$G$6:$G$101,MOD(93+$C23+(-1),$B$3)+1)*H23+INDEX(Symboles!$G$6:$G$101,MOD(93+$C23+(0),$B$3)+1)*I23+INDEX(Symboles!$G$6:$G$101,MOD(93+$C23+(1),$B$3)+1)*J23+INDEX(Symboles!$G$6:$G$101,MOD(93+$C23+(2),$B$3)+1)*K23+INDEX(Symboles!$G$6:$G$101,MOD(93+$C23+(3),$B$3)+1)*L23+INDEX(Symboles!$G$6:$G$101,MOD(93+$C23+(4),$B$3)+1)*M23+IF($B$6=0,0,$B$6*NORMSINV(0.000001+0.999998*RAND())))</f>
        <v/>
      </c>
      <c r="DF23" s="30">
        <f>IF(95&gt;$B$3,99,INDEX(Symboles!$G$6:$G$101,MOD(94+$C23+(-4),$B$3)+1)*E23+INDEX(Symboles!$G$6:$G$101,MOD(94+$C23+(-3),$B$3)+1)*F23+INDEX(Symboles!$G$6:$G$101,MOD(94+$C23+(-2),$B$3)+1)*G23+INDEX(Symboles!$G$6:$G$101,MOD(94+$C23+(-1),$B$3)+1)*H23+INDEX(Symboles!$G$6:$G$101,MOD(94+$C23+(0),$B$3)+1)*I23+INDEX(Symboles!$G$6:$G$101,MOD(94+$C23+(1),$B$3)+1)*J23+INDEX(Symboles!$G$6:$G$101,MOD(94+$C23+(2),$B$3)+1)*K23+INDEX(Symboles!$G$6:$G$101,MOD(94+$C23+(3),$B$3)+1)*L23+INDEX(Symboles!$G$6:$G$101,MOD(94+$C23+(4),$B$3)+1)*M23+IF($B$6=0,0,$B$6*NORMSINV(0.000001+0.999998*RAND())))</f>
        <v/>
      </c>
      <c r="DG23" s="30">
        <f>IF(96&gt;$B$3,99,INDEX(Symboles!$G$6:$G$101,MOD(95+$C23+(-4),$B$3)+1)*E23+INDEX(Symboles!$G$6:$G$101,MOD(95+$C23+(-3),$B$3)+1)*F23+INDEX(Symboles!$G$6:$G$101,MOD(95+$C23+(-2),$B$3)+1)*G23+INDEX(Symboles!$G$6:$G$101,MOD(95+$C23+(-1),$B$3)+1)*H23+INDEX(Symboles!$G$6:$G$101,MOD(95+$C23+(0),$B$3)+1)*I23+INDEX(Symboles!$G$6:$G$101,MOD(95+$C23+(1),$B$3)+1)*J23+INDEX(Symboles!$G$6:$G$101,MOD(95+$C23+(2),$B$3)+1)*K23+INDEX(Symboles!$G$6:$G$101,MOD(95+$C23+(3),$B$3)+1)*L23+INDEX(Symboles!$G$6:$G$101,MOD(95+$C23+(4),$B$3)+1)*M23+IF($B$6=0,0,$B$6*NORMSINV(0.000001+0.999998*RAND())))</f>
        <v/>
      </c>
      <c r="DI23" s="30">
        <f>IF(1&gt;$B$3,99,INDEX(Symboles!$H$6:$H$101,MOD(0+$C23+(-4),$B$3)+1)*E23+INDEX(Symboles!$H$6:$H$101,MOD(0+$C23+(-3),$B$3)+1)*F23+INDEX(Symboles!$H$6:$H$101,MOD(0+$C23+(-2),$B$3)+1)*G23+INDEX(Symboles!$H$6:$H$101,MOD(0+$C23+(-1),$B$3)+1)*H23+INDEX(Symboles!$H$6:$H$101,MOD(0+$C23+(0),$B$3)+1)*I23+INDEX(Symboles!$H$6:$H$101,MOD(0+$C23+(1),$B$3)+1)*J23+INDEX(Symboles!$H$6:$H$101,MOD(0+$C23+(2),$B$3)+1)*K23+INDEX(Symboles!$H$6:$H$101,MOD(0+$C23+(3),$B$3)+1)*L23+INDEX(Symboles!$H$6:$H$101,MOD(0+$C23+(4),$B$3)+1)*M23+IF($B$6=0,0,$B$6*NORMSINV(0.000001+0.999998*RAND())))</f>
        <v/>
      </c>
      <c r="DJ23" s="30">
        <f>IF(2&gt;$B$3,99,INDEX(Symboles!$H$6:$H$101,MOD(1+$C23+(-4),$B$3)+1)*E23+INDEX(Symboles!$H$6:$H$101,MOD(1+$C23+(-3),$B$3)+1)*F23+INDEX(Symboles!$H$6:$H$101,MOD(1+$C23+(-2),$B$3)+1)*G23+INDEX(Symboles!$H$6:$H$101,MOD(1+$C23+(-1),$B$3)+1)*H23+INDEX(Symboles!$H$6:$H$101,MOD(1+$C23+(0),$B$3)+1)*I23+INDEX(Symboles!$H$6:$H$101,MOD(1+$C23+(1),$B$3)+1)*J23+INDEX(Symboles!$H$6:$H$101,MOD(1+$C23+(2),$B$3)+1)*K23+INDEX(Symboles!$H$6:$H$101,MOD(1+$C23+(3),$B$3)+1)*L23+INDEX(Symboles!$H$6:$H$101,MOD(1+$C23+(4),$B$3)+1)*M23+IF($B$6=0,0,$B$6*NORMSINV(0.000001+0.999998*RAND())))</f>
        <v/>
      </c>
      <c r="DK23" s="30">
        <f>IF(3&gt;$B$3,99,INDEX(Symboles!$H$6:$H$101,MOD(2+$C23+(-4),$B$3)+1)*E23+INDEX(Symboles!$H$6:$H$101,MOD(2+$C23+(-3),$B$3)+1)*F23+INDEX(Symboles!$H$6:$H$101,MOD(2+$C23+(-2),$B$3)+1)*G23+INDEX(Symboles!$H$6:$H$101,MOD(2+$C23+(-1),$B$3)+1)*H23+INDEX(Symboles!$H$6:$H$101,MOD(2+$C23+(0),$B$3)+1)*I23+INDEX(Symboles!$H$6:$H$101,MOD(2+$C23+(1),$B$3)+1)*J23+INDEX(Symboles!$H$6:$H$101,MOD(2+$C23+(2),$B$3)+1)*K23+INDEX(Symboles!$H$6:$H$101,MOD(2+$C23+(3),$B$3)+1)*L23+INDEX(Symboles!$H$6:$H$101,MOD(2+$C23+(4),$B$3)+1)*M23+IF($B$6=0,0,$B$6*NORMSINV(0.000001+0.999998*RAND())))</f>
        <v/>
      </c>
      <c r="DL23" s="30">
        <f>IF(4&gt;$B$3,99,INDEX(Symboles!$H$6:$H$101,MOD(3+$C23+(-4),$B$3)+1)*E23+INDEX(Symboles!$H$6:$H$101,MOD(3+$C23+(-3),$B$3)+1)*F23+INDEX(Symboles!$H$6:$H$101,MOD(3+$C23+(-2),$B$3)+1)*G23+INDEX(Symboles!$H$6:$H$101,MOD(3+$C23+(-1),$B$3)+1)*H23+INDEX(Symboles!$H$6:$H$101,MOD(3+$C23+(0),$B$3)+1)*I23+INDEX(Symboles!$H$6:$H$101,MOD(3+$C23+(1),$B$3)+1)*J23+INDEX(Symboles!$H$6:$H$101,MOD(3+$C23+(2),$B$3)+1)*K23+INDEX(Symboles!$H$6:$H$101,MOD(3+$C23+(3),$B$3)+1)*L23+INDEX(Symboles!$H$6:$H$101,MOD(3+$C23+(4),$B$3)+1)*M23+IF($B$6=0,0,$B$6*NORMSINV(0.000001+0.999998*RAND())))</f>
        <v/>
      </c>
      <c r="DM23" s="30">
        <f>IF(5&gt;$B$3,99,INDEX(Symboles!$H$6:$H$101,MOD(4+$C23+(-4),$B$3)+1)*E23+INDEX(Symboles!$H$6:$H$101,MOD(4+$C23+(-3),$B$3)+1)*F23+INDEX(Symboles!$H$6:$H$101,MOD(4+$C23+(-2),$B$3)+1)*G23+INDEX(Symboles!$H$6:$H$101,MOD(4+$C23+(-1),$B$3)+1)*H23+INDEX(Symboles!$H$6:$H$101,MOD(4+$C23+(0),$B$3)+1)*I23+INDEX(Symboles!$H$6:$H$101,MOD(4+$C23+(1),$B$3)+1)*J23+INDEX(Symboles!$H$6:$H$101,MOD(4+$C23+(2),$B$3)+1)*K23+INDEX(Symboles!$H$6:$H$101,MOD(4+$C23+(3),$B$3)+1)*L23+INDEX(Symboles!$H$6:$H$101,MOD(4+$C23+(4),$B$3)+1)*M23+IF($B$6=0,0,$B$6*NORMSINV(0.000001+0.999998*RAND())))</f>
        <v/>
      </c>
      <c r="DN23" s="30">
        <f>IF(6&gt;$B$3,99,INDEX(Symboles!$H$6:$H$101,MOD(5+$C23+(-4),$B$3)+1)*E23+INDEX(Symboles!$H$6:$H$101,MOD(5+$C23+(-3),$B$3)+1)*F23+INDEX(Symboles!$H$6:$H$101,MOD(5+$C23+(-2),$B$3)+1)*G23+INDEX(Symboles!$H$6:$H$101,MOD(5+$C23+(-1),$B$3)+1)*H23+INDEX(Symboles!$H$6:$H$101,MOD(5+$C23+(0),$B$3)+1)*I23+INDEX(Symboles!$H$6:$H$101,MOD(5+$C23+(1),$B$3)+1)*J23+INDEX(Symboles!$H$6:$H$101,MOD(5+$C23+(2),$B$3)+1)*K23+INDEX(Symboles!$H$6:$H$101,MOD(5+$C23+(3),$B$3)+1)*L23+INDEX(Symboles!$H$6:$H$101,MOD(5+$C23+(4),$B$3)+1)*M23+IF($B$6=0,0,$B$6*NORMSINV(0.000001+0.999998*RAND())))</f>
        <v/>
      </c>
      <c r="DO23" s="30">
        <f>IF(7&gt;$B$3,99,INDEX(Symboles!$H$6:$H$101,MOD(6+$C23+(-4),$B$3)+1)*E23+INDEX(Symboles!$H$6:$H$101,MOD(6+$C23+(-3),$B$3)+1)*F23+INDEX(Symboles!$H$6:$H$101,MOD(6+$C23+(-2),$B$3)+1)*G23+INDEX(Symboles!$H$6:$H$101,MOD(6+$C23+(-1),$B$3)+1)*H23+INDEX(Symboles!$H$6:$H$101,MOD(6+$C23+(0),$B$3)+1)*I23+INDEX(Symboles!$H$6:$H$101,MOD(6+$C23+(1),$B$3)+1)*J23+INDEX(Symboles!$H$6:$H$101,MOD(6+$C23+(2),$B$3)+1)*K23+INDEX(Symboles!$H$6:$H$101,MOD(6+$C23+(3),$B$3)+1)*L23+INDEX(Symboles!$H$6:$H$101,MOD(6+$C23+(4),$B$3)+1)*M23+IF($B$6=0,0,$B$6*NORMSINV(0.000001+0.999998*RAND())))</f>
        <v/>
      </c>
      <c r="DP23" s="30">
        <f>IF(8&gt;$B$3,99,INDEX(Symboles!$H$6:$H$101,MOD(7+$C23+(-4),$B$3)+1)*E23+INDEX(Symboles!$H$6:$H$101,MOD(7+$C23+(-3),$B$3)+1)*F23+INDEX(Symboles!$H$6:$H$101,MOD(7+$C23+(-2),$B$3)+1)*G23+INDEX(Symboles!$H$6:$H$101,MOD(7+$C23+(-1),$B$3)+1)*H23+INDEX(Symboles!$H$6:$H$101,MOD(7+$C23+(0),$B$3)+1)*I23+INDEX(Symboles!$H$6:$H$101,MOD(7+$C23+(1),$B$3)+1)*J23+INDEX(Symboles!$H$6:$H$101,MOD(7+$C23+(2),$B$3)+1)*K23+INDEX(Symboles!$H$6:$H$101,MOD(7+$C23+(3),$B$3)+1)*L23+INDEX(Symboles!$H$6:$H$101,MOD(7+$C23+(4),$B$3)+1)*M23+IF($B$6=0,0,$B$6*NORMSINV(0.000001+0.999998*RAND())))</f>
        <v/>
      </c>
      <c r="DQ23" s="30">
        <f>IF(9&gt;$B$3,99,INDEX(Symboles!$H$6:$H$101,MOD(8+$C23+(-4),$B$3)+1)*E23+INDEX(Symboles!$H$6:$H$101,MOD(8+$C23+(-3),$B$3)+1)*F23+INDEX(Symboles!$H$6:$H$101,MOD(8+$C23+(-2),$B$3)+1)*G23+INDEX(Symboles!$H$6:$H$101,MOD(8+$C23+(-1),$B$3)+1)*H23+INDEX(Symboles!$H$6:$H$101,MOD(8+$C23+(0),$B$3)+1)*I23+INDEX(Symboles!$H$6:$H$101,MOD(8+$C23+(1),$B$3)+1)*J23+INDEX(Symboles!$H$6:$H$101,MOD(8+$C23+(2),$B$3)+1)*K23+INDEX(Symboles!$H$6:$H$101,MOD(8+$C23+(3),$B$3)+1)*L23+INDEX(Symboles!$H$6:$H$101,MOD(8+$C23+(4),$B$3)+1)*M23+IF($B$6=0,0,$B$6*NORMSINV(0.000001+0.999998*RAND())))</f>
        <v/>
      </c>
      <c r="DR23" s="30">
        <f>IF(10&gt;$B$3,99,INDEX(Symboles!$H$6:$H$101,MOD(9+$C23+(-4),$B$3)+1)*E23+INDEX(Symboles!$H$6:$H$101,MOD(9+$C23+(-3),$B$3)+1)*F23+INDEX(Symboles!$H$6:$H$101,MOD(9+$C23+(-2),$B$3)+1)*G23+INDEX(Symboles!$H$6:$H$101,MOD(9+$C23+(-1),$B$3)+1)*H23+INDEX(Symboles!$H$6:$H$101,MOD(9+$C23+(0),$B$3)+1)*I23+INDEX(Symboles!$H$6:$H$101,MOD(9+$C23+(1),$B$3)+1)*J23+INDEX(Symboles!$H$6:$H$101,MOD(9+$C23+(2),$B$3)+1)*K23+INDEX(Symboles!$H$6:$H$101,MOD(9+$C23+(3),$B$3)+1)*L23+INDEX(Symboles!$H$6:$H$101,MOD(9+$C23+(4),$B$3)+1)*M23+IF($B$6=0,0,$B$6*NORMSINV(0.000001+0.999998*RAND())))</f>
        <v/>
      </c>
      <c r="DS23" s="30">
        <f>IF(11&gt;$B$3,99,INDEX(Symboles!$H$6:$H$101,MOD(10+$C23+(-4),$B$3)+1)*E23+INDEX(Symboles!$H$6:$H$101,MOD(10+$C23+(-3),$B$3)+1)*F23+INDEX(Symboles!$H$6:$H$101,MOD(10+$C23+(-2),$B$3)+1)*G23+INDEX(Symboles!$H$6:$H$101,MOD(10+$C23+(-1),$B$3)+1)*H23+INDEX(Symboles!$H$6:$H$101,MOD(10+$C23+(0),$B$3)+1)*I23+INDEX(Symboles!$H$6:$H$101,MOD(10+$C23+(1),$B$3)+1)*J23+INDEX(Symboles!$H$6:$H$101,MOD(10+$C23+(2),$B$3)+1)*K23+INDEX(Symboles!$H$6:$H$101,MOD(10+$C23+(3),$B$3)+1)*L23+INDEX(Symboles!$H$6:$H$101,MOD(10+$C23+(4),$B$3)+1)*M23+IF($B$6=0,0,$B$6*NORMSINV(0.000001+0.999998*RAND())))</f>
        <v/>
      </c>
      <c r="DT23" s="30">
        <f>IF(12&gt;$B$3,99,INDEX(Symboles!$H$6:$H$101,MOD(11+$C23+(-4),$B$3)+1)*E23+INDEX(Symboles!$H$6:$H$101,MOD(11+$C23+(-3),$B$3)+1)*F23+INDEX(Symboles!$H$6:$H$101,MOD(11+$C23+(-2),$B$3)+1)*G23+INDEX(Symboles!$H$6:$H$101,MOD(11+$C23+(-1),$B$3)+1)*H23+INDEX(Symboles!$H$6:$H$101,MOD(11+$C23+(0),$B$3)+1)*I23+INDEX(Symboles!$H$6:$H$101,MOD(11+$C23+(1),$B$3)+1)*J23+INDEX(Symboles!$H$6:$H$101,MOD(11+$C23+(2),$B$3)+1)*K23+INDEX(Symboles!$H$6:$H$101,MOD(11+$C23+(3),$B$3)+1)*L23+INDEX(Symboles!$H$6:$H$101,MOD(11+$C23+(4),$B$3)+1)*M23+IF($B$6=0,0,$B$6*NORMSINV(0.000001+0.999998*RAND())))</f>
        <v/>
      </c>
      <c r="DU23" s="30">
        <f>IF(13&gt;$B$3,99,INDEX(Symboles!$H$6:$H$101,MOD(12+$C23+(-4),$B$3)+1)*E23+INDEX(Symboles!$H$6:$H$101,MOD(12+$C23+(-3),$B$3)+1)*F23+INDEX(Symboles!$H$6:$H$101,MOD(12+$C23+(-2),$B$3)+1)*G23+INDEX(Symboles!$H$6:$H$101,MOD(12+$C23+(-1),$B$3)+1)*H23+INDEX(Symboles!$H$6:$H$101,MOD(12+$C23+(0),$B$3)+1)*I23+INDEX(Symboles!$H$6:$H$101,MOD(12+$C23+(1),$B$3)+1)*J23+INDEX(Symboles!$H$6:$H$101,MOD(12+$C23+(2),$B$3)+1)*K23+INDEX(Symboles!$H$6:$H$101,MOD(12+$C23+(3),$B$3)+1)*L23+INDEX(Symboles!$H$6:$H$101,MOD(12+$C23+(4),$B$3)+1)*M23+IF($B$6=0,0,$B$6*NORMSINV(0.000001+0.999998*RAND())))</f>
        <v/>
      </c>
      <c r="DV23" s="30">
        <f>IF(14&gt;$B$3,99,INDEX(Symboles!$H$6:$H$101,MOD(13+$C23+(-4),$B$3)+1)*E23+INDEX(Symboles!$H$6:$H$101,MOD(13+$C23+(-3),$B$3)+1)*F23+INDEX(Symboles!$H$6:$H$101,MOD(13+$C23+(-2),$B$3)+1)*G23+INDEX(Symboles!$H$6:$H$101,MOD(13+$C23+(-1),$B$3)+1)*H23+INDEX(Symboles!$H$6:$H$101,MOD(13+$C23+(0),$B$3)+1)*I23+INDEX(Symboles!$H$6:$H$101,MOD(13+$C23+(1),$B$3)+1)*J23+INDEX(Symboles!$H$6:$H$101,MOD(13+$C23+(2),$B$3)+1)*K23+INDEX(Symboles!$H$6:$H$101,MOD(13+$C23+(3),$B$3)+1)*L23+INDEX(Symboles!$H$6:$H$101,MOD(13+$C23+(4),$B$3)+1)*M23+IF($B$6=0,0,$B$6*NORMSINV(0.000001+0.999998*RAND())))</f>
        <v/>
      </c>
      <c r="DW23" s="30">
        <f>IF(15&gt;$B$3,99,INDEX(Symboles!$H$6:$H$101,MOD(14+$C23+(-4),$B$3)+1)*E23+INDEX(Symboles!$H$6:$H$101,MOD(14+$C23+(-3),$B$3)+1)*F23+INDEX(Symboles!$H$6:$H$101,MOD(14+$C23+(-2),$B$3)+1)*G23+INDEX(Symboles!$H$6:$H$101,MOD(14+$C23+(-1),$B$3)+1)*H23+INDEX(Symboles!$H$6:$H$101,MOD(14+$C23+(0),$B$3)+1)*I23+INDEX(Symboles!$H$6:$H$101,MOD(14+$C23+(1),$B$3)+1)*J23+INDEX(Symboles!$H$6:$H$101,MOD(14+$C23+(2),$B$3)+1)*K23+INDEX(Symboles!$H$6:$H$101,MOD(14+$C23+(3),$B$3)+1)*L23+INDEX(Symboles!$H$6:$H$101,MOD(14+$C23+(4),$B$3)+1)*M23+IF($B$6=0,0,$B$6*NORMSINV(0.000001+0.999998*RAND())))</f>
        <v/>
      </c>
      <c r="DX23" s="30">
        <f>IF(16&gt;$B$3,99,INDEX(Symboles!$H$6:$H$101,MOD(15+$C23+(-4),$B$3)+1)*E23+INDEX(Symboles!$H$6:$H$101,MOD(15+$C23+(-3),$B$3)+1)*F23+INDEX(Symboles!$H$6:$H$101,MOD(15+$C23+(-2),$B$3)+1)*G23+INDEX(Symboles!$H$6:$H$101,MOD(15+$C23+(-1),$B$3)+1)*H23+INDEX(Symboles!$H$6:$H$101,MOD(15+$C23+(0),$B$3)+1)*I23+INDEX(Symboles!$H$6:$H$101,MOD(15+$C23+(1),$B$3)+1)*J23+INDEX(Symboles!$H$6:$H$101,MOD(15+$C23+(2),$B$3)+1)*K23+INDEX(Symboles!$H$6:$H$101,MOD(15+$C23+(3),$B$3)+1)*L23+INDEX(Symboles!$H$6:$H$101,MOD(15+$C23+(4),$B$3)+1)*M23+IF($B$6=0,0,$B$6*NORMSINV(0.000001+0.999998*RAND())))</f>
        <v/>
      </c>
      <c r="DY23" s="30">
        <f>IF(17&gt;$B$3,99,INDEX(Symboles!$H$6:$H$101,MOD(16+$C23+(-4),$B$3)+1)*E23+INDEX(Symboles!$H$6:$H$101,MOD(16+$C23+(-3),$B$3)+1)*F23+INDEX(Symboles!$H$6:$H$101,MOD(16+$C23+(-2),$B$3)+1)*G23+INDEX(Symboles!$H$6:$H$101,MOD(16+$C23+(-1),$B$3)+1)*H23+INDEX(Symboles!$H$6:$H$101,MOD(16+$C23+(0),$B$3)+1)*I23+INDEX(Symboles!$H$6:$H$101,MOD(16+$C23+(1),$B$3)+1)*J23+INDEX(Symboles!$H$6:$H$101,MOD(16+$C23+(2),$B$3)+1)*K23+INDEX(Symboles!$H$6:$H$101,MOD(16+$C23+(3),$B$3)+1)*L23+INDEX(Symboles!$H$6:$H$101,MOD(16+$C23+(4),$B$3)+1)*M23+IF($B$6=0,0,$B$6*NORMSINV(0.000001+0.999998*RAND())))</f>
        <v/>
      </c>
      <c r="DZ23" s="30">
        <f>IF(18&gt;$B$3,99,INDEX(Symboles!$H$6:$H$101,MOD(17+$C23+(-4),$B$3)+1)*E23+INDEX(Symboles!$H$6:$H$101,MOD(17+$C23+(-3),$B$3)+1)*F23+INDEX(Symboles!$H$6:$H$101,MOD(17+$C23+(-2),$B$3)+1)*G23+INDEX(Symboles!$H$6:$H$101,MOD(17+$C23+(-1),$B$3)+1)*H23+INDEX(Symboles!$H$6:$H$101,MOD(17+$C23+(0),$B$3)+1)*I23+INDEX(Symboles!$H$6:$H$101,MOD(17+$C23+(1),$B$3)+1)*J23+INDEX(Symboles!$H$6:$H$101,MOD(17+$C23+(2),$B$3)+1)*K23+INDEX(Symboles!$H$6:$H$101,MOD(17+$C23+(3),$B$3)+1)*L23+INDEX(Symboles!$H$6:$H$101,MOD(17+$C23+(4),$B$3)+1)*M23+IF($B$6=0,0,$B$6*NORMSINV(0.000001+0.999998*RAND())))</f>
        <v/>
      </c>
      <c r="EA23" s="30">
        <f>IF(19&gt;$B$3,99,INDEX(Symboles!$H$6:$H$101,MOD(18+$C23+(-4),$B$3)+1)*E23+INDEX(Symboles!$H$6:$H$101,MOD(18+$C23+(-3),$B$3)+1)*F23+INDEX(Symboles!$H$6:$H$101,MOD(18+$C23+(-2),$B$3)+1)*G23+INDEX(Symboles!$H$6:$H$101,MOD(18+$C23+(-1),$B$3)+1)*H23+INDEX(Symboles!$H$6:$H$101,MOD(18+$C23+(0),$B$3)+1)*I23+INDEX(Symboles!$H$6:$H$101,MOD(18+$C23+(1),$B$3)+1)*J23+INDEX(Symboles!$H$6:$H$101,MOD(18+$C23+(2),$B$3)+1)*K23+INDEX(Symboles!$H$6:$H$101,MOD(18+$C23+(3),$B$3)+1)*L23+INDEX(Symboles!$H$6:$H$101,MOD(18+$C23+(4),$B$3)+1)*M23+IF($B$6=0,0,$B$6*NORMSINV(0.000001+0.999998*RAND())))</f>
        <v/>
      </c>
      <c r="EB23" s="30">
        <f>IF(20&gt;$B$3,99,INDEX(Symboles!$H$6:$H$101,MOD(19+$C23+(-4),$B$3)+1)*E23+INDEX(Symboles!$H$6:$H$101,MOD(19+$C23+(-3),$B$3)+1)*F23+INDEX(Symboles!$H$6:$H$101,MOD(19+$C23+(-2),$B$3)+1)*G23+INDEX(Symboles!$H$6:$H$101,MOD(19+$C23+(-1),$B$3)+1)*H23+INDEX(Symboles!$H$6:$H$101,MOD(19+$C23+(0),$B$3)+1)*I23+INDEX(Symboles!$H$6:$H$101,MOD(19+$C23+(1),$B$3)+1)*J23+INDEX(Symboles!$H$6:$H$101,MOD(19+$C23+(2),$B$3)+1)*K23+INDEX(Symboles!$H$6:$H$101,MOD(19+$C23+(3),$B$3)+1)*L23+INDEX(Symboles!$H$6:$H$101,MOD(19+$C23+(4),$B$3)+1)*M23+IF($B$6=0,0,$B$6*NORMSINV(0.000001+0.999998*RAND())))</f>
        <v/>
      </c>
      <c r="EC23" s="30">
        <f>IF(21&gt;$B$3,99,INDEX(Symboles!$H$6:$H$101,MOD(20+$C23+(-4),$B$3)+1)*E23+INDEX(Symboles!$H$6:$H$101,MOD(20+$C23+(-3),$B$3)+1)*F23+INDEX(Symboles!$H$6:$H$101,MOD(20+$C23+(-2),$B$3)+1)*G23+INDEX(Symboles!$H$6:$H$101,MOD(20+$C23+(-1),$B$3)+1)*H23+INDEX(Symboles!$H$6:$H$101,MOD(20+$C23+(0),$B$3)+1)*I23+INDEX(Symboles!$H$6:$H$101,MOD(20+$C23+(1),$B$3)+1)*J23+INDEX(Symboles!$H$6:$H$101,MOD(20+$C23+(2),$B$3)+1)*K23+INDEX(Symboles!$H$6:$H$101,MOD(20+$C23+(3),$B$3)+1)*L23+INDEX(Symboles!$H$6:$H$101,MOD(20+$C23+(4),$B$3)+1)*M23+IF($B$6=0,0,$B$6*NORMSINV(0.000001+0.999998*RAND())))</f>
        <v/>
      </c>
      <c r="ED23" s="30">
        <f>IF(22&gt;$B$3,99,INDEX(Symboles!$H$6:$H$101,MOD(21+$C23+(-4),$B$3)+1)*E23+INDEX(Symboles!$H$6:$H$101,MOD(21+$C23+(-3),$B$3)+1)*F23+INDEX(Symboles!$H$6:$H$101,MOD(21+$C23+(-2),$B$3)+1)*G23+INDEX(Symboles!$H$6:$H$101,MOD(21+$C23+(-1),$B$3)+1)*H23+INDEX(Symboles!$H$6:$H$101,MOD(21+$C23+(0),$B$3)+1)*I23+INDEX(Symboles!$H$6:$H$101,MOD(21+$C23+(1),$B$3)+1)*J23+INDEX(Symboles!$H$6:$H$101,MOD(21+$C23+(2),$B$3)+1)*K23+INDEX(Symboles!$H$6:$H$101,MOD(21+$C23+(3),$B$3)+1)*L23+INDEX(Symboles!$H$6:$H$101,MOD(21+$C23+(4),$B$3)+1)*M23+IF($B$6=0,0,$B$6*NORMSINV(0.000001+0.999998*RAND())))</f>
        <v/>
      </c>
      <c r="EE23" s="30">
        <f>IF(23&gt;$B$3,99,INDEX(Symboles!$H$6:$H$101,MOD(22+$C23+(-4),$B$3)+1)*E23+INDEX(Symboles!$H$6:$H$101,MOD(22+$C23+(-3),$B$3)+1)*F23+INDEX(Symboles!$H$6:$H$101,MOD(22+$C23+(-2),$B$3)+1)*G23+INDEX(Symboles!$H$6:$H$101,MOD(22+$C23+(-1),$B$3)+1)*H23+INDEX(Symboles!$H$6:$H$101,MOD(22+$C23+(0),$B$3)+1)*I23+INDEX(Symboles!$H$6:$H$101,MOD(22+$C23+(1),$B$3)+1)*J23+INDEX(Symboles!$H$6:$H$101,MOD(22+$C23+(2),$B$3)+1)*K23+INDEX(Symboles!$H$6:$H$101,MOD(22+$C23+(3),$B$3)+1)*L23+INDEX(Symboles!$H$6:$H$101,MOD(22+$C23+(4),$B$3)+1)*M23+IF($B$6=0,0,$B$6*NORMSINV(0.000001+0.999998*RAND())))</f>
        <v/>
      </c>
      <c r="EF23" s="30">
        <f>IF(24&gt;$B$3,99,INDEX(Symboles!$H$6:$H$101,MOD(23+$C23+(-4),$B$3)+1)*E23+INDEX(Symboles!$H$6:$H$101,MOD(23+$C23+(-3),$B$3)+1)*F23+INDEX(Symboles!$H$6:$H$101,MOD(23+$C23+(-2),$B$3)+1)*G23+INDEX(Symboles!$H$6:$H$101,MOD(23+$C23+(-1),$B$3)+1)*H23+INDEX(Symboles!$H$6:$H$101,MOD(23+$C23+(0),$B$3)+1)*I23+INDEX(Symboles!$H$6:$H$101,MOD(23+$C23+(1),$B$3)+1)*J23+INDEX(Symboles!$H$6:$H$101,MOD(23+$C23+(2),$B$3)+1)*K23+INDEX(Symboles!$H$6:$H$101,MOD(23+$C23+(3),$B$3)+1)*L23+INDEX(Symboles!$H$6:$H$101,MOD(23+$C23+(4),$B$3)+1)*M23+IF($B$6=0,0,$B$6*NORMSINV(0.000001+0.999998*RAND())))</f>
        <v/>
      </c>
      <c r="EG23" s="30">
        <f>IF(25&gt;$B$3,99,INDEX(Symboles!$H$6:$H$101,MOD(24+$C23+(-4),$B$3)+1)*E23+INDEX(Symboles!$H$6:$H$101,MOD(24+$C23+(-3),$B$3)+1)*F23+INDEX(Symboles!$H$6:$H$101,MOD(24+$C23+(-2),$B$3)+1)*G23+INDEX(Symboles!$H$6:$H$101,MOD(24+$C23+(-1),$B$3)+1)*H23+INDEX(Symboles!$H$6:$H$101,MOD(24+$C23+(0),$B$3)+1)*I23+INDEX(Symboles!$H$6:$H$101,MOD(24+$C23+(1),$B$3)+1)*J23+INDEX(Symboles!$H$6:$H$101,MOD(24+$C23+(2),$B$3)+1)*K23+INDEX(Symboles!$H$6:$H$101,MOD(24+$C23+(3),$B$3)+1)*L23+INDEX(Symboles!$H$6:$H$101,MOD(24+$C23+(4),$B$3)+1)*M23+IF($B$6=0,0,$B$6*NORMSINV(0.000001+0.999998*RAND())))</f>
        <v/>
      </c>
      <c r="EH23" s="30">
        <f>IF(26&gt;$B$3,99,INDEX(Symboles!$H$6:$H$101,MOD(25+$C23+(-4),$B$3)+1)*E23+INDEX(Symboles!$H$6:$H$101,MOD(25+$C23+(-3),$B$3)+1)*F23+INDEX(Symboles!$H$6:$H$101,MOD(25+$C23+(-2),$B$3)+1)*G23+INDEX(Symboles!$H$6:$H$101,MOD(25+$C23+(-1),$B$3)+1)*H23+INDEX(Symboles!$H$6:$H$101,MOD(25+$C23+(0),$B$3)+1)*I23+INDEX(Symboles!$H$6:$H$101,MOD(25+$C23+(1),$B$3)+1)*J23+INDEX(Symboles!$H$6:$H$101,MOD(25+$C23+(2),$B$3)+1)*K23+INDEX(Symboles!$H$6:$H$101,MOD(25+$C23+(3),$B$3)+1)*L23+INDEX(Symboles!$H$6:$H$101,MOD(25+$C23+(4),$B$3)+1)*M23+IF($B$6=0,0,$B$6*NORMSINV(0.000001+0.999998*RAND())))</f>
        <v/>
      </c>
      <c r="EI23" s="30">
        <f>IF(27&gt;$B$3,99,INDEX(Symboles!$H$6:$H$101,MOD(26+$C23+(-4),$B$3)+1)*E23+INDEX(Symboles!$H$6:$H$101,MOD(26+$C23+(-3),$B$3)+1)*F23+INDEX(Symboles!$H$6:$H$101,MOD(26+$C23+(-2),$B$3)+1)*G23+INDEX(Symboles!$H$6:$H$101,MOD(26+$C23+(-1),$B$3)+1)*H23+INDEX(Symboles!$H$6:$H$101,MOD(26+$C23+(0),$B$3)+1)*I23+INDEX(Symboles!$H$6:$H$101,MOD(26+$C23+(1),$B$3)+1)*J23+INDEX(Symboles!$H$6:$H$101,MOD(26+$C23+(2),$B$3)+1)*K23+INDEX(Symboles!$H$6:$H$101,MOD(26+$C23+(3),$B$3)+1)*L23+INDEX(Symboles!$H$6:$H$101,MOD(26+$C23+(4),$B$3)+1)*M23+IF($B$6=0,0,$B$6*NORMSINV(0.000001+0.999998*RAND())))</f>
        <v/>
      </c>
      <c r="EJ23" s="30">
        <f>IF(28&gt;$B$3,99,INDEX(Symboles!$H$6:$H$101,MOD(27+$C23+(-4),$B$3)+1)*E23+INDEX(Symboles!$H$6:$H$101,MOD(27+$C23+(-3),$B$3)+1)*F23+INDEX(Symboles!$H$6:$H$101,MOD(27+$C23+(-2),$B$3)+1)*G23+INDEX(Symboles!$H$6:$H$101,MOD(27+$C23+(-1),$B$3)+1)*H23+INDEX(Symboles!$H$6:$H$101,MOD(27+$C23+(0),$B$3)+1)*I23+INDEX(Symboles!$H$6:$H$101,MOD(27+$C23+(1),$B$3)+1)*J23+INDEX(Symboles!$H$6:$H$101,MOD(27+$C23+(2),$B$3)+1)*K23+INDEX(Symboles!$H$6:$H$101,MOD(27+$C23+(3),$B$3)+1)*L23+INDEX(Symboles!$H$6:$H$101,MOD(27+$C23+(4),$B$3)+1)*M23+IF($B$6=0,0,$B$6*NORMSINV(0.000001+0.999998*RAND())))</f>
        <v/>
      </c>
      <c r="EK23" s="30">
        <f>IF(29&gt;$B$3,99,INDEX(Symboles!$H$6:$H$101,MOD(28+$C23+(-4),$B$3)+1)*E23+INDEX(Symboles!$H$6:$H$101,MOD(28+$C23+(-3),$B$3)+1)*F23+INDEX(Symboles!$H$6:$H$101,MOD(28+$C23+(-2),$B$3)+1)*G23+INDEX(Symboles!$H$6:$H$101,MOD(28+$C23+(-1),$B$3)+1)*H23+INDEX(Symboles!$H$6:$H$101,MOD(28+$C23+(0),$B$3)+1)*I23+INDEX(Symboles!$H$6:$H$101,MOD(28+$C23+(1),$B$3)+1)*J23+INDEX(Symboles!$H$6:$H$101,MOD(28+$C23+(2),$B$3)+1)*K23+INDEX(Symboles!$H$6:$H$101,MOD(28+$C23+(3),$B$3)+1)*L23+INDEX(Symboles!$H$6:$H$101,MOD(28+$C23+(4),$B$3)+1)*M23+IF($B$6=0,0,$B$6*NORMSINV(0.000001+0.999998*RAND())))</f>
        <v/>
      </c>
      <c r="EL23" s="30">
        <f>IF(30&gt;$B$3,99,INDEX(Symboles!$H$6:$H$101,MOD(29+$C23+(-4),$B$3)+1)*E23+INDEX(Symboles!$H$6:$H$101,MOD(29+$C23+(-3),$B$3)+1)*F23+INDEX(Symboles!$H$6:$H$101,MOD(29+$C23+(-2),$B$3)+1)*G23+INDEX(Symboles!$H$6:$H$101,MOD(29+$C23+(-1),$B$3)+1)*H23+INDEX(Symboles!$H$6:$H$101,MOD(29+$C23+(0),$B$3)+1)*I23+INDEX(Symboles!$H$6:$H$101,MOD(29+$C23+(1),$B$3)+1)*J23+INDEX(Symboles!$H$6:$H$101,MOD(29+$C23+(2),$B$3)+1)*K23+INDEX(Symboles!$H$6:$H$101,MOD(29+$C23+(3),$B$3)+1)*L23+INDEX(Symboles!$H$6:$H$101,MOD(29+$C23+(4),$B$3)+1)*M23+IF($B$6=0,0,$B$6*NORMSINV(0.000001+0.999998*RAND())))</f>
        <v/>
      </c>
      <c r="EM23" s="30">
        <f>IF(31&gt;$B$3,99,INDEX(Symboles!$H$6:$H$101,MOD(30+$C23+(-4),$B$3)+1)*E23+INDEX(Symboles!$H$6:$H$101,MOD(30+$C23+(-3),$B$3)+1)*F23+INDEX(Symboles!$H$6:$H$101,MOD(30+$C23+(-2),$B$3)+1)*G23+INDEX(Symboles!$H$6:$H$101,MOD(30+$C23+(-1),$B$3)+1)*H23+INDEX(Symboles!$H$6:$H$101,MOD(30+$C23+(0),$B$3)+1)*I23+INDEX(Symboles!$H$6:$H$101,MOD(30+$C23+(1),$B$3)+1)*J23+INDEX(Symboles!$H$6:$H$101,MOD(30+$C23+(2),$B$3)+1)*K23+INDEX(Symboles!$H$6:$H$101,MOD(30+$C23+(3),$B$3)+1)*L23+INDEX(Symboles!$H$6:$H$101,MOD(30+$C23+(4),$B$3)+1)*M23+IF($B$6=0,0,$B$6*NORMSINV(0.000001+0.999998*RAND())))</f>
        <v/>
      </c>
      <c r="EN23" s="30">
        <f>IF(32&gt;$B$3,99,INDEX(Symboles!$H$6:$H$101,MOD(31+$C23+(-4),$B$3)+1)*E23+INDEX(Symboles!$H$6:$H$101,MOD(31+$C23+(-3),$B$3)+1)*F23+INDEX(Symboles!$H$6:$H$101,MOD(31+$C23+(-2),$B$3)+1)*G23+INDEX(Symboles!$H$6:$H$101,MOD(31+$C23+(-1),$B$3)+1)*H23+INDEX(Symboles!$H$6:$H$101,MOD(31+$C23+(0),$B$3)+1)*I23+INDEX(Symboles!$H$6:$H$101,MOD(31+$C23+(1),$B$3)+1)*J23+INDEX(Symboles!$H$6:$H$101,MOD(31+$C23+(2),$B$3)+1)*K23+INDEX(Symboles!$H$6:$H$101,MOD(31+$C23+(3),$B$3)+1)*L23+INDEX(Symboles!$H$6:$H$101,MOD(31+$C23+(4),$B$3)+1)*M23+IF($B$6=0,0,$B$6*NORMSINV(0.000001+0.999998*RAND())))</f>
        <v/>
      </c>
      <c r="EO23" s="30">
        <f>IF(33&gt;$B$3,99,INDEX(Symboles!$H$6:$H$101,MOD(32+$C23+(-4),$B$3)+1)*E23+INDEX(Symboles!$H$6:$H$101,MOD(32+$C23+(-3),$B$3)+1)*F23+INDEX(Symboles!$H$6:$H$101,MOD(32+$C23+(-2),$B$3)+1)*G23+INDEX(Symboles!$H$6:$H$101,MOD(32+$C23+(-1),$B$3)+1)*H23+INDEX(Symboles!$H$6:$H$101,MOD(32+$C23+(0),$B$3)+1)*I23+INDEX(Symboles!$H$6:$H$101,MOD(32+$C23+(1),$B$3)+1)*J23+INDEX(Symboles!$H$6:$H$101,MOD(32+$C23+(2),$B$3)+1)*K23+INDEX(Symboles!$H$6:$H$101,MOD(32+$C23+(3),$B$3)+1)*L23+INDEX(Symboles!$H$6:$H$101,MOD(32+$C23+(4),$B$3)+1)*M23+IF($B$6=0,0,$B$6*NORMSINV(0.000001+0.999998*RAND())))</f>
        <v/>
      </c>
      <c r="EP23" s="30">
        <f>IF(34&gt;$B$3,99,INDEX(Symboles!$H$6:$H$101,MOD(33+$C23+(-4),$B$3)+1)*E23+INDEX(Symboles!$H$6:$H$101,MOD(33+$C23+(-3),$B$3)+1)*F23+INDEX(Symboles!$H$6:$H$101,MOD(33+$C23+(-2),$B$3)+1)*G23+INDEX(Symboles!$H$6:$H$101,MOD(33+$C23+(-1),$B$3)+1)*H23+INDEX(Symboles!$H$6:$H$101,MOD(33+$C23+(0),$B$3)+1)*I23+INDEX(Symboles!$H$6:$H$101,MOD(33+$C23+(1),$B$3)+1)*J23+INDEX(Symboles!$H$6:$H$101,MOD(33+$C23+(2),$B$3)+1)*K23+INDEX(Symboles!$H$6:$H$101,MOD(33+$C23+(3),$B$3)+1)*L23+INDEX(Symboles!$H$6:$H$101,MOD(33+$C23+(4),$B$3)+1)*M23+IF($B$6=0,0,$B$6*NORMSINV(0.000001+0.999998*RAND())))</f>
        <v/>
      </c>
      <c r="EQ23" s="30">
        <f>IF(35&gt;$B$3,99,INDEX(Symboles!$H$6:$H$101,MOD(34+$C23+(-4),$B$3)+1)*E23+INDEX(Symboles!$H$6:$H$101,MOD(34+$C23+(-3),$B$3)+1)*F23+INDEX(Symboles!$H$6:$H$101,MOD(34+$C23+(-2),$B$3)+1)*G23+INDEX(Symboles!$H$6:$H$101,MOD(34+$C23+(-1),$B$3)+1)*H23+INDEX(Symboles!$H$6:$H$101,MOD(34+$C23+(0),$B$3)+1)*I23+INDEX(Symboles!$H$6:$H$101,MOD(34+$C23+(1),$B$3)+1)*J23+INDEX(Symboles!$H$6:$H$101,MOD(34+$C23+(2),$B$3)+1)*K23+INDEX(Symboles!$H$6:$H$101,MOD(34+$C23+(3),$B$3)+1)*L23+INDEX(Symboles!$H$6:$H$101,MOD(34+$C23+(4),$B$3)+1)*M23+IF($B$6=0,0,$B$6*NORMSINV(0.000001+0.999998*RAND())))</f>
        <v/>
      </c>
      <c r="ER23" s="30">
        <f>IF(36&gt;$B$3,99,INDEX(Symboles!$H$6:$H$101,MOD(35+$C23+(-4),$B$3)+1)*E23+INDEX(Symboles!$H$6:$H$101,MOD(35+$C23+(-3),$B$3)+1)*F23+INDEX(Symboles!$H$6:$H$101,MOD(35+$C23+(-2),$B$3)+1)*G23+INDEX(Symboles!$H$6:$H$101,MOD(35+$C23+(-1),$B$3)+1)*H23+INDEX(Symboles!$H$6:$H$101,MOD(35+$C23+(0),$B$3)+1)*I23+INDEX(Symboles!$H$6:$H$101,MOD(35+$C23+(1),$B$3)+1)*J23+INDEX(Symboles!$H$6:$H$101,MOD(35+$C23+(2),$B$3)+1)*K23+INDEX(Symboles!$H$6:$H$101,MOD(35+$C23+(3),$B$3)+1)*L23+INDEX(Symboles!$H$6:$H$101,MOD(35+$C23+(4),$B$3)+1)*M23+IF($B$6=0,0,$B$6*NORMSINV(0.000001+0.999998*RAND())))</f>
        <v/>
      </c>
      <c r="ES23" s="30">
        <f>IF(37&gt;$B$3,99,INDEX(Symboles!$H$6:$H$101,MOD(36+$C23+(-4),$B$3)+1)*E23+INDEX(Symboles!$H$6:$H$101,MOD(36+$C23+(-3),$B$3)+1)*F23+INDEX(Symboles!$H$6:$H$101,MOD(36+$C23+(-2),$B$3)+1)*G23+INDEX(Symboles!$H$6:$H$101,MOD(36+$C23+(-1),$B$3)+1)*H23+INDEX(Symboles!$H$6:$H$101,MOD(36+$C23+(0),$B$3)+1)*I23+INDEX(Symboles!$H$6:$H$101,MOD(36+$C23+(1),$B$3)+1)*J23+INDEX(Symboles!$H$6:$H$101,MOD(36+$C23+(2),$B$3)+1)*K23+INDEX(Symboles!$H$6:$H$101,MOD(36+$C23+(3),$B$3)+1)*L23+INDEX(Symboles!$H$6:$H$101,MOD(36+$C23+(4),$B$3)+1)*M23+IF($B$6=0,0,$B$6*NORMSINV(0.000001+0.999998*RAND())))</f>
        <v/>
      </c>
      <c r="ET23" s="30">
        <f>IF(38&gt;$B$3,99,INDEX(Symboles!$H$6:$H$101,MOD(37+$C23+(-4),$B$3)+1)*E23+INDEX(Symboles!$H$6:$H$101,MOD(37+$C23+(-3),$B$3)+1)*F23+INDEX(Symboles!$H$6:$H$101,MOD(37+$C23+(-2),$B$3)+1)*G23+INDEX(Symboles!$H$6:$H$101,MOD(37+$C23+(-1),$B$3)+1)*H23+INDEX(Symboles!$H$6:$H$101,MOD(37+$C23+(0),$B$3)+1)*I23+INDEX(Symboles!$H$6:$H$101,MOD(37+$C23+(1),$B$3)+1)*J23+INDEX(Symboles!$H$6:$H$101,MOD(37+$C23+(2),$B$3)+1)*K23+INDEX(Symboles!$H$6:$H$101,MOD(37+$C23+(3),$B$3)+1)*L23+INDEX(Symboles!$H$6:$H$101,MOD(37+$C23+(4),$B$3)+1)*M23+IF($B$6=0,0,$B$6*NORMSINV(0.000001+0.999998*RAND())))</f>
        <v/>
      </c>
      <c r="EU23" s="30">
        <f>IF(39&gt;$B$3,99,INDEX(Symboles!$H$6:$H$101,MOD(38+$C23+(-4),$B$3)+1)*E23+INDEX(Symboles!$H$6:$H$101,MOD(38+$C23+(-3),$B$3)+1)*F23+INDEX(Symboles!$H$6:$H$101,MOD(38+$C23+(-2),$B$3)+1)*G23+INDEX(Symboles!$H$6:$H$101,MOD(38+$C23+(-1),$B$3)+1)*H23+INDEX(Symboles!$H$6:$H$101,MOD(38+$C23+(0),$B$3)+1)*I23+INDEX(Symboles!$H$6:$H$101,MOD(38+$C23+(1),$B$3)+1)*J23+INDEX(Symboles!$H$6:$H$101,MOD(38+$C23+(2),$B$3)+1)*K23+INDEX(Symboles!$H$6:$H$101,MOD(38+$C23+(3),$B$3)+1)*L23+INDEX(Symboles!$H$6:$H$101,MOD(38+$C23+(4),$B$3)+1)*M23+IF($B$6=0,0,$B$6*NORMSINV(0.000001+0.999998*RAND())))</f>
        <v/>
      </c>
      <c r="EV23" s="30">
        <f>IF(40&gt;$B$3,99,INDEX(Symboles!$H$6:$H$101,MOD(39+$C23+(-4),$B$3)+1)*E23+INDEX(Symboles!$H$6:$H$101,MOD(39+$C23+(-3),$B$3)+1)*F23+INDEX(Symboles!$H$6:$H$101,MOD(39+$C23+(-2),$B$3)+1)*G23+INDEX(Symboles!$H$6:$H$101,MOD(39+$C23+(-1),$B$3)+1)*H23+INDEX(Symboles!$H$6:$H$101,MOD(39+$C23+(0),$B$3)+1)*I23+INDEX(Symboles!$H$6:$H$101,MOD(39+$C23+(1),$B$3)+1)*J23+INDEX(Symboles!$H$6:$H$101,MOD(39+$C23+(2),$B$3)+1)*K23+INDEX(Symboles!$H$6:$H$101,MOD(39+$C23+(3),$B$3)+1)*L23+INDEX(Symboles!$H$6:$H$101,MOD(39+$C23+(4),$B$3)+1)*M23+IF($B$6=0,0,$B$6*NORMSINV(0.000001+0.999998*RAND())))</f>
        <v/>
      </c>
      <c r="EW23" s="30">
        <f>IF(41&gt;$B$3,99,INDEX(Symboles!$H$6:$H$101,MOD(40+$C23+(-4),$B$3)+1)*E23+INDEX(Symboles!$H$6:$H$101,MOD(40+$C23+(-3),$B$3)+1)*F23+INDEX(Symboles!$H$6:$H$101,MOD(40+$C23+(-2),$B$3)+1)*G23+INDEX(Symboles!$H$6:$H$101,MOD(40+$C23+(-1),$B$3)+1)*H23+INDEX(Symboles!$H$6:$H$101,MOD(40+$C23+(0),$B$3)+1)*I23+INDEX(Symboles!$H$6:$H$101,MOD(40+$C23+(1),$B$3)+1)*J23+INDEX(Symboles!$H$6:$H$101,MOD(40+$C23+(2),$B$3)+1)*K23+INDEX(Symboles!$H$6:$H$101,MOD(40+$C23+(3),$B$3)+1)*L23+INDEX(Symboles!$H$6:$H$101,MOD(40+$C23+(4),$B$3)+1)*M23+IF($B$6=0,0,$B$6*NORMSINV(0.000001+0.999998*RAND())))</f>
        <v/>
      </c>
      <c r="EX23" s="30">
        <f>IF(42&gt;$B$3,99,INDEX(Symboles!$H$6:$H$101,MOD(41+$C23+(-4),$B$3)+1)*E23+INDEX(Symboles!$H$6:$H$101,MOD(41+$C23+(-3),$B$3)+1)*F23+INDEX(Symboles!$H$6:$H$101,MOD(41+$C23+(-2),$B$3)+1)*G23+INDEX(Symboles!$H$6:$H$101,MOD(41+$C23+(-1),$B$3)+1)*H23+INDEX(Symboles!$H$6:$H$101,MOD(41+$C23+(0),$B$3)+1)*I23+INDEX(Symboles!$H$6:$H$101,MOD(41+$C23+(1),$B$3)+1)*J23+INDEX(Symboles!$H$6:$H$101,MOD(41+$C23+(2),$B$3)+1)*K23+INDEX(Symboles!$H$6:$H$101,MOD(41+$C23+(3),$B$3)+1)*L23+INDEX(Symboles!$H$6:$H$101,MOD(41+$C23+(4),$B$3)+1)*M23+IF($B$6=0,0,$B$6*NORMSINV(0.000001+0.999998*RAND())))</f>
        <v/>
      </c>
      <c r="EY23" s="30">
        <f>IF(43&gt;$B$3,99,INDEX(Symboles!$H$6:$H$101,MOD(42+$C23+(-4),$B$3)+1)*E23+INDEX(Symboles!$H$6:$H$101,MOD(42+$C23+(-3),$B$3)+1)*F23+INDEX(Symboles!$H$6:$H$101,MOD(42+$C23+(-2),$B$3)+1)*G23+INDEX(Symboles!$H$6:$H$101,MOD(42+$C23+(-1),$B$3)+1)*H23+INDEX(Symboles!$H$6:$H$101,MOD(42+$C23+(0),$B$3)+1)*I23+INDEX(Symboles!$H$6:$H$101,MOD(42+$C23+(1),$B$3)+1)*J23+INDEX(Symboles!$H$6:$H$101,MOD(42+$C23+(2),$B$3)+1)*K23+INDEX(Symboles!$H$6:$H$101,MOD(42+$C23+(3),$B$3)+1)*L23+INDEX(Symboles!$H$6:$H$101,MOD(42+$C23+(4),$B$3)+1)*M23+IF($B$6=0,0,$B$6*NORMSINV(0.000001+0.999998*RAND())))</f>
        <v/>
      </c>
      <c r="EZ23" s="30">
        <f>IF(44&gt;$B$3,99,INDEX(Symboles!$H$6:$H$101,MOD(43+$C23+(-4),$B$3)+1)*E23+INDEX(Symboles!$H$6:$H$101,MOD(43+$C23+(-3),$B$3)+1)*F23+INDEX(Symboles!$H$6:$H$101,MOD(43+$C23+(-2),$B$3)+1)*G23+INDEX(Symboles!$H$6:$H$101,MOD(43+$C23+(-1),$B$3)+1)*H23+INDEX(Symboles!$H$6:$H$101,MOD(43+$C23+(0),$B$3)+1)*I23+INDEX(Symboles!$H$6:$H$101,MOD(43+$C23+(1),$B$3)+1)*J23+INDEX(Symboles!$H$6:$H$101,MOD(43+$C23+(2),$B$3)+1)*K23+INDEX(Symboles!$H$6:$H$101,MOD(43+$C23+(3),$B$3)+1)*L23+INDEX(Symboles!$H$6:$H$101,MOD(43+$C23+(4),$B$3)+1)*M23+IF($B$6=0,0,$B$6*NORMSINV(0.000001+0.999998*RAND())))</f>
        <v/>
      </c>
      <c r="FA23" s="30">
        <f>IF(45&gt;$B$3,99,INDEX(Symboles!$H$6:$H$101,MOD(44+$C23+(-4),$B$3)+1)*E23+INDEX(Symboles!$H$6:$H$101,MOD(44+$C23+(-3),$B$3)+1)*F23+INDEX(Symboles!$H$6:$H$101,MOD(44+$C23+(-2),$B$3)+1)*G23+INDEX(Symboles!$H$6:$H$101,MOD(44+$C23+(-1),$B$3)+1)*H23+INDEX(Symboles!$H$6:$H$101,MOD(44+$C23+(0),$B$3)+1)*I23+INDEX(Symboles!$H$6:$H$101,MOD(44+$C23+(1),$B$3)+1)*J23+INDEX(Symboles!$H$6:$H$101,MOD(44+$C23+(2),$B$3)+1)*K23+INDEX(Symboles!$H$6:$H$101,MOD(44+$C23+(3),$B$3)+1)*L23+INDEX(Symboles!$H$6:$H$101,MOD(44+$C23+(4),$B$3)+1)*M23+IF($B$6=0,0,$B$6*NORMSINV(0.000001+0.999998*RAND())))</f>
        <v/>
      </c>
      <c r="FB23" s="30">
        <f>IF(46&gt;$B$3,99,INDEX(Symboles!$H$6:$H$101,MOD(45+$C23+(-4),$B$3)+1)*E23+INDEX(Symboles!$H$6:$H$101,MOD(45+$C23+(-3),$B$3)+1)*F23+INDEX(Symboles!$H$6:$H$101,MOD(45+$C23+(-2),$B$3)+1)*G23+INDEX(Symboles!$H$6:$H$101,MOD(45+$C23+(-1),$B$3)+1)*H23+INDEX(Symboles!$H$6:$H$101,MOD(45+$C23+(0),$B$3)+1)*I23+INDEX(Symboles!$H$6:$H$101,MOD(45+$C23+(1),$B$3)+1)*J23+INDEX(Symboles!$H$6:$H$101,MOD(45+$C23+(2),$B$3)+1)*K23+INDEX(Symboles!$H$6:$H$101,MOD(45+$C23+(3),$B$3)+1)*L23+INDEX(Symboles!$H$6:$H$101,MOD(45+$C23+(4),$B$3)+1)*M23+IF($B$6=0,0,$B$6*NORMSINV(0.000001+0.999998*RAND())))</f>
        <v/>
      </c>
      <c r="FC23" s="30">
        <f>IF(47&gt;$B$3,99,INDEX(Symboles!$H$6:$H$101,MOD(46+$C23+(-4),$B$3)+1)*E23+INDEX(Symboles!$H$6:$H$101,MOD(46+$C23+(-3),$B$3)+1)*F23+INDEX(Symboles!$H$6:$H$101,MOD(46+$C23+(-2),$B$3)+1)*G23+INDEX(Symboles!$H$6:$H$101,MOD(46+$C23+(-1),$B$3)+1)*H23+INDEX(Symboles!$H$6:$H$101,MOD(46+$C23+(0),$B$3)+1)*I23+INDEX(Symboles!$H$6:$H$101,MOD(46+$C23+(1),$B$3)+1)*J23+INDEX(Symboles!$H$6:$H$101,MOD(46+$C23+(2),$B$3)+1)*K23+INDEX(Symboles!$H$6:$H$101,MOD(46+$C23+(3),$B$3)+1)*L23+INDEX(Symboles!$H$6:$H$101,MOD(46+$C23+(4),$B$3)+1)*M23+IF($B$6=0,0,$B$6*NORMSINV(0.000001+0.999998*RAND())))</f>
        <v/>
      </c>
      <c r="FD23" s="30">
        <f>IF(48&gt;$B$3,99,INDEX(Symboles!$H$6:$H$101,MOD(47+$C23+(-4),$B$3)+1)*E23+INDEX(Symboles!$H$6:$H$101,MOD(47+$C23+(-3),$B$3)+1)*F23+INDEX(Symboles!$H$6:$H$101,MOD(47+$C23+(-2),$B$3)+1)*G23+INDEX(Symboles!$H$6:$H$101,MOD(47+$C23+(-1),$B$3)+1)*H23+INDEX(Symboles!$H$6:$H$101,MOD(47+$C23+(0),$B$3)+1)*I23+INDEX(Symboles!$H$6:$H$101,MOD(47+$C23+(1),$B$3)+1)*J23+INDEX(Symboles!$H$6:$H$101,MOD(47+$C23+(2),$B$3)+1)*K23+INDEX(Symboles!$H$6:$H$101,MOD(47+$C23+(3),$B$3)+1)*L23+INDEX(Symboles!$H$6:$H$101,MOD(47+$C23+(4),$B$3)+1)*M23+IF($B$6=0,0,$B$6*NORMSINV(0.000001+0.999998*RAND())))</f>
        <v/>
      </c>
      <c r="FE23" s="30">
        <f>IF(49&gt;$B$3,99,INDEX(Symboles!$H$6:$H$101,MOD(48+$C23+(-4),$B$3)+1)*E23+INDEX(Symboles!$H$6:$H$101,MOD(48+$C23+(-3),$B$3)+1)*F23+INDEX(Symboles!$H$6:$H$101,MOD(48+$C23+(-2),$B$3)+1)*G23+INDEX(Symboles!$H$6:$H$101,MOD(48+$C23+(-1),$B$3)+1)*H23+INDEX(Symboles!$H$6:$H$101,MOD(48+$C23+(0),$B$3)+1)*I23+INDEX(Symboles!$H$6:$H$101,MOD(48+$C23+(1),$B$3)+1)*J23+INDEX(Symboles!$H$6:$H$101,MOD(48+$C23+(2),$B$3)+1)*K23+INDEX(Symboles!$H$6:$H$101,MOD(48+$C23+(3),$B$3)+1)*L23+INDEX(Symboles!$H$6:$H$101,MOD(48+$C23+(4),$B$3)+1)*M23+IF($B$6=0,0,$B$6*NORMSINV(0.000001+0.999998*RAND())))</f>
        <v/>
      </c>
      <c r="FF23" s="30">
        <f>IF(50&gt;$B$3,99,INDEX(Symboles!$H$6:$H$101,MOD(49+$C23+(-4),$B$3)+1)*E23+INDEX(Symboles!$H$6:$H$101,MOD(49+$C23+(-3),$B$3)+1)*F23+INDEX(Symboles!$H$6:$H$101,MOD(49+$C23+(-2),$B$3)+1)*G23+INDEX(Symboles!$H$6:$H$101,MOD(49+$C23+(-1),$B$3)+1)*H23+INDEX(Symboles!$H$6:$H$101,MOD(49+$C23+(0),$B$3)+1)*I23+INDEX(Symboles!$H$6:$H$101,MOD(49+$C23+(1),$B$3)+1)*J23+INDEX(Symboles!$H$6:$H$101,MOD(49+$C23+(2),$B$3)+1)*K23+INDEX(Symboles!$H$6:$H$101,MOD(49+$C23+(3),$B$3)+1)*L23+INDEX(Symboles!$H$6:$H$101,MOD(49+$C23+(4),$B$3)+1)*M23+IF($B$6=0,0,$B$6*NORMSINV(0.000001+0.999998*RAND())))</f>
        <v/>
      </c>
      <c r="FG23" s="30">
        <f>IF(51&gt;$B$3,99,INDEX(Symboles!$H$6:$H$101,MOD(50+$C23+(-4),$B$3)+1)*E23+INDEX(Symboles!$H$6:$H$101,MOD(50+$C23+(-3),$B$3)+1)*F23+INDEX(Symboles!$H$6:$H$101,MOD(50+$C23+(-2),$B$3)+1)*G23+INDEX(Symboles!$H$6:$H$101,MOD(50+$C23+(-1),$B$3)+1)*H23+INDEX(Symboles!$H$6:$H$101,MOD(50+$C23+(0),$B$3)+1)*I23+INDEX(Symboles!$H$6:$H$101,MOD(50+$C23+(1),$B$3)+1)*J23+INDEX(Symboles!$H$6:$H$101,MOD(50+$C23+(2),$B$3)+1)*K23+INDEX(Symboles!$H$6:$H$101,MOD(50+$C23+(3),$B$3)+1)*L23+INDEX(Symboles!$H$6:$H$101,MOD(50+$C23+(4),$B$3)+1)*M23+IF($B$6=0,0,$B$6*NORMSINV(0.000001+0.999998*RAND())))</f>
        <v/>
      </c>
      <c r="FH23" s="30">
        <f>IF(52&gt;$B$3,99,INDEX(Symboles!$H$6:$H$101,MOD(51+$C23+(-4),$B$3)+1)*E23+INDEX(Symboles!$H$6:$H$101,MOD(51+$C23+(-3),$B$3)+1)*F23+INDEX(Symboles!$H$6:$H$101,MOD(51+$C23+(-2),$B$3)+1)*G23+INDEX(Symboles!$H$6:$H$101,MOD(51+$C23+(-1),$B$3)+1)*H23+INDEX(Symboles!$H$6:$H$101,MOD(51+$C23+(0),$B$3)+1)*I23+INDEX(Symboles!$H$6:$H$101,MOD(51+$C23+(1),$B$3)+1)*J23+INDEX(Symboles!$H$6:$H$101,MOD(51+$C23+(2),$B$3)+1)*K23+INDEX(Symboles!$H$6:$H$101,MOD(51+$C23+(3),$B$3)+1)*L23+INDEX(Symboles!$H$6:$H$101,MOD(51+$C23+(4),$B$3)+1)*M23+IF($B$6=0,0,$B$6*NORMSINV(0.000001+0.999998*RAND())))</f>
        <v/>
      </c>
      <c r="FI23" s="30">
        <f>IF(53&gt;$B$3,99,INDEX(Symboles!$H$6:$H$101,MOD(52+$C23+(-4),$B$3)+1)*E23+INDEX(Symboles!$H$6:$H$101,MOD(52+$C23+(-3),$B$3)+1)*F23+INDEX(Symboles!$H$6:$H$101,MOD(52+$C23+(-2),$B$3)+1)*G23+INDEX(Symboles!$H$6:$H$101,MOD(52+$C23+(-1),$B$3)+1)*H23+INDEX(Symboles!$H$6:$H$101,MOD(52+$C23+(0),$B$3)+1)*I23+INDEX(Symboles!$H$6:$H$101,MOD(52+$C23+(1),$B$3)+1)*J23+INDEX(Symboles!$H$6:$H$101,MOD(52+$C23+(2),$B$3)+1)*K23+INDEX(Symboles!$H$6:$H$101,MOD(52+$C23+(3),$B$3)+1)*L23+INDEX(Symboles!$H$6:$H$101,MOD(52+$C23+(4),$B$3)+1)*M23+IF($B$6=0,0,$B$6*NORMSINV(0.000001+0.999998*RAND())))</f>
        <v/>
      </c>
      <c r="FJ23" s="30">
        <f>IF(54&gt;$B$3,99,INDEX(Symboles!$H$6:$H$101,MOD(53+$C23+(-4),$B$3)+1)*E23+INDEX(Symboles!$H$6:$H$101,MOD(53+$C23+(-3),$B$3)+1)*F23+INDEX(Symboles!$H$6:$H$101,MOD(53+$C23+(-2),$B$3)+1)*G23+INDEX(Symboles!$H$6:$H$101,MOD(53+$C23+(-1),$B$3)+1)*H23+INDEX(Symboles!$H$6:$H$101,MOD(53+$C23+(0),$B$3)+1)*I23+INDEX(Symboles!$H$6:$H$101,MOD(53+$C23+(1),$B$3)+1)*J23+INDEX(Symboles!$H$6:$H$101,MOD(53+$C23+(2),$B$3)+1)*K23+INDEX(Symboles!$H$6:$H$101,MOD(53+$C23+(3),$B$3)+1)*L23+INDEX(Symboles!$H$6:$H$101,MOD(53+$C23+(4),$B$3)+1)*M23+IF($B$6=0,0,$B$6*NORMSINV(0.000001+0.999998*RAND())))</f>
        <v/>
      </c>
      <c r="FK23" s="30">
        <f>IF(55&gt;$B$3,99,INDEX(Symboles!$H$6:$H$101,MOD(54+$C23+(-4),$B$3)+1)*E23+INDEX(Symboles!$H$6:$H$101,MOD(54+$C23+(-3),$B$3)+1)*F23+INDEX(Symboles!$H$6:$H$101,MOD(54+$C23+(-2),$B$3)+1)*G23+INDEX(Symboles!$H$6:$H$101,MOD(54+$C23+(-1),$B$3)+1)*H23+INDEX(Symboles!$H$6:$H$101,MOD(54+$C23+(0),$B$3)+1)*I23+INDEX(Symboles!$H$6:$H$101,MOD(54+$C23+(1),$B$3)+1)*J23+INDEX(Symboles!$H$6:$H$101,MOD(54+$C23+(2),$B$3)+1)*K23+INDEX(Symboles!$H$6:$H$101,MOD(54+$C23+(3),$B$3)+1)*L23+INDEX(Symboles!$H$6:$H$101,MOD(54+$C23+(4),$B$3)+1)*M23+IF($B$6=0,0,$B$6*NORMSINV(0.000001+0.999998*RAND())))</f>
        <v/>
      </c>
      <c r="FL23" s="30">
        <f>IF(56&gt;$B$3,99,INDEX(Symboles!$H$6:$H$101,MOD(55+$C23+(-4),$B$3)+1)*E23+INDEX(Symboles!$H$6:$H$101,MOD(55+$C23+(-3),$B$3)+1)*F23+INDEX(Symboles!$H$6:$H$101,MOD(55+$C23+(-2),$B$3)+1)*G23+INDEX(Symboles!$H$6:$H$101,MOD(55+$C23+(-1),$B$3)+1)*H23+INDEX(Symboles!$H$6:$H$101,MOD(55+$C23+(0),$B$3)+1)*I23+INDEX(Symboles!$H$6:$H$101,MOD(55+$C23+(1),$B$3)+1)*J23+INDEX(Symboles!$H$6:$H$101,MOD(55+$C23+(2),$B$3)+1)*K23+INDEX(Symboles!$H$6:$H$101,MOD(55+$C23+(3),$B$3)+1)*L23+INDEX(Symboles!$H$6:$H$101,MOD(55+$C23+(4),$B$3)+1)*M23+IF($B$6=0,0,$B$6*NORMSINV(0.000001+0.999998*RAND())))</f>
        <v/>
      </c>
      <c r="FM23" s="30">
        <f>IF(57&gt;$B$3,99,INDEX(Symboles!$H$6:$H$101,MOD(56+$C23+(-4),$B$3)+1)*E23+INDEX(Symboles!$H$6:$H$101,MOD(56+$C23+(-3),$B$3)+1)*F23+INDEX(Symboles!$H$6:$H$101,MOD(56+$C23+(-2),$B$3)+1)*G23+INDEX(Symboles!$H$6:$H$101,MOD(56+$C23+(-1),$B$3)+1)*H23+INDEX(Symboles!$H$6:$H$101,MOD(56+$C23+(0),$B$3)+1)*I23+INDEX(Symboles!$H$6:$H$101,MOD(56+$C23+(1),$B$3)+1)*J23+INDEX(Symboles!$H$6:$H$101,MOD(56+$C23+(2),$B$3)+1)*K23+INDEX(Symboles!$H$6:$H$101,MOD(56+$C23+(3),$B$3)+1)*L23+INDEX(Symboles!$H$6:$H$101,MOD(56+$C23+(4),$B$3)+1)*M23+IF($B$6=0,0,$B$6*NORMSINV(0.000001+0.999998*RAND())))</f>
        <v/>
      </c>
      <c r="FN23" s="30">
        <f>IF(58&gt;$B$3,99,INDEX(Symboles!$H$6:$H$101,MOD(57+$C23+(-4),$B$3)+1)*E23+INDEX(Symboles!$H$6:$H$101,MOD(57+$C23+(-3),$B$3)+1)*F23+INDEX(Symboles!$H$6:$H$101,MOD(57+$C23+(-2),$B$3)+1)*G23+INDEX(Symboles!$H$6:$H$101,MOD(57+$C23+(-1),$B$3)+1)*H23+INDEX(Symboles!$H$6:$H$101,MOD(57+$C23+(0),$B$3)+1)*I23+INDEX(Symboles!$H$6:$H$101,MOD(57+$C23+(1),$B$3)+1)*J23+INDEX(Symboles!$H$6:$H$101,MOD(57+$C23+(2),$B$3)+1)*K23+INDEX(Symboles!$H$6:$H$101,MOD(57+$C23+(3),$B$3)+1)*L23+INDEX(Symboles!$H$6:$H$101,MOD(57+$C23+(4),$B$3)+1)*M23+IF($B$6=0,0,$B$6*NORMSINV(0.000001+0.999998*RAND())))</f>
        <v/>
      </c>
      <c r="FO23" s="30">
        <f>IF(59&gt;$B$3,99,INDEX(Symboles!$H$6:$H$101,MOD(58+$C23+(-4),$B$3)+1)*E23+INDEX(Symboles!$H$6:$H$101,MOD(58+$C23+(-3),$B$3)+1)*F23+INDEX(Symboles!$H$6:$H$101,MOD(58+$C23+(-2),$B$3)+1)*G23+INDEX(Symboles!$H$6:$H$101,MOD(58+$C23+(-1),$B$3)+1)*H23+INDEX(Symboles!$H$6:$H$101,MOD(58+$C23+(0),$B$3)+1)*I23+INDEX(Symboles!$H$6:$H$101,MOD(58+$C23+(1),$B$3)+1)*J23+INDEX(Symboles!$H$6:$H$101,MOD(58+$C23+(2),$B$3)+1)*K23+INDEX(Symboles!$H$6:$H$101,MOD(58+$C23+(3),$B$3)+1)*L23+INDEX(Symboles!$H$6:$H$101,MOD(58+$C23+(4),$B$3)+1)*M23+IF($B$6=0,0,$B$6*NORMSINV(0.000001+0.999998*RAND())))</f>
        <v/>
      </c>
      <c r="FP23" s="30">
        <f>IF(60&gt;$B$3,99,INDEX(Symboles!$H$6:$H$101,MOD(59+$C23+(-4),$B$3)+1)*E23+INDEX(Symboles!$H$6:$H$101,MOD(59+$C23+(-3),$B$3)+1)*F23+INDEX(Symboles!$H$6:$H$101,MOD(59+$C23+(-2),$B$3)+1)*G23+INDEX(Symboles!$H$6:$H$101,MOD(59+$C23+(-1),$B$3)+1)*H23+INDEX(Symboles!$H$6:$H$101,MOD(59+$C23+(0),$B$3)+1)*I23+INDEX(Symboles!$H$6:$H$101,MOD(59+$C23+(1),$B$3)+1)*J23+INDEX(Symboles!$H$6:$H$101,MOD(59+$C23+(2),$B$3)+1)*K23+INDEX(Symboles!$H$6:$H$101,MOD(59+$C23+(3),$B$3)+1)*L23+INDEX(Symboles!$H$6:$H$101,MOD(59+$C23+(4),$B$3)+1)*M23+IF($B$6=0,0,$B$6*NORMSINV(0.000001+0.999998*RAND())))</f>
        <v/>
      </c>
      <c r="FQ23" s="30">
        <f>IF(61&gt;$B$3,99,INDEX(Symboles!$H$6:$H$101,MOD(60+$C23+(-4),$B$3)+1)*E23+INDEX(Symboles!$H$6:$H$101,MOD(60+$C23+(-3),$B$3)+1)*F23+INDEX(Symboles!$H$6:$H$101,MOD(60+$C23+(-2),$B$3)+1)*G23+INDEX(Symboles!$H$6:$H$101,MOD(60+$C23+(-1),$B$3)+1)*H23+INDEX(Symboles!$H$6:$H$101,MOD(60+$C23+(0),$B$3)+1)*I23+INDEX(Symboles!$H$6:$H$101,MOD(60+$C23+(1),$B$3)+1)*J23+INDEX(Symboles!$H$6:$H$101,MOD(60+$C23+(2),$B$3)+1)*K23+INDEX(Symboles!$H$6:$H$101,MOD(60+$C23+(3),$B$3)+1)*L23+INDEX(Symboles!$H$6:$H$101,MOD(60+$C23+(4),$B$3)+1)*M23+IF($B$6=0,0,$B$6*NORMSINV(0.000001+0.999998*RAND())))</f>
        <v/>
      </c>
      <c r="FR23" s="30">
        <f>IF(62&gt;$B$3,99,INDEX(Symboles!$H$6:$H$101,MOD(61+$C23+(-4),$B$3)+1)*E23+INDEX(Symboles!$H$6:$H$101,MOD(61+$C23+(-3),$B$3)+1)*F23+INDEX(Symboles!$H$6:$H$101,MOD(61+$C23+(-2),$B$3)+1)*G23+INDEX(Symboles!$H$6:$H$101,MOD(61+$C23+(-1),$B$3)+1)*H23+INDEX(Symboles!$H$6:$H$101,MOD(61+$C23+(0),$B$3)+1)*I23+INDEX(Symboles!$H$6:$H$101,MOD(61+$C23+(1),$B$3)+1)*J23+INDEX(Symboles!$H$6:$H$101,MOD(61+$C23+(2),$B$3)+1)*K23+INDEX(Symboles!$H$6:$H$101,MOD(61+$C23+(3),$B$3)+1)*L23+INDEX(Symboles!$H$6:$H$101,MOD(61+$C23+(4),$B$3)+1)*M23+IF($B$6=0,0,$B$6*NORMSINV(0.000001+0.999998*RAND())))</f>
        <v/>
      </c>
      <c r="FS23" s="30">
        <f>IF(63&gt;$B$3,99,INDEX(Symboles!$H$6:$H$101,MOD(62+$C23+(-4),$B$3)+1)*E23+INDEX(Symboles!$H$6:$H$101,MOD(62+$C23+(-3),$B$3)+1)*F23+INDEX(Symboles!$H$6:$H$101,MOD(62+$C23+(-2),$B$3)+1)*G23+INDEX(Symboles!$H$6:$H$101,MOD(62+$C23+(-1),$B$3)+1)*H23+INDEX(Symboles!$H$6:$H$101,MOD(62+$C23+(0),$B$3)+1)*I23+INDEX(Symboles!$H$6:$H$101,MOD(62+$C23+(1),$B$3)+1)*J23+INDEX(Symboles!$H$6:$H$101,MOD(62+$C23+(2),$B$3)+1)*K23+INDEX(Symboles!$H$6:$H$101,MOD(62+$C23+(3),$B$3)+1)*L23+INDEX(Symboles!$H$6:$H$101,MOD(62+$C23+(4),$B$3)+1)*M23+IF($B$6=0,0,$B$6*NORMSINV(0.000001+0.999998*RAND())))</f>
        <v/>
      </c>
      <c r="FT23" s="30">
        <f>IF(64&gt;$B$3,99,INDEX(Symboles!$H$6:$H$101,MOD(63+$C23+(-4),$B$3)+1)*E23+INDEX(Symboles!$H$6:$H$101,MOD(63+$C23+(-3),$B$3)+1)*F23+INDEX(Symboles!$H$6:$H$101,MOD(63+$C23+(-2),$B$3)+1)*G23+INDEX(Symboles!$H$6:$H$101,MOD(63+$C23+(-1),$B$3)+1)*H23+INDEX(Symboles!$H$6:$H$101,MOD(63+$C23+(0),$B$3)+1)*I23+INDEX(Symboles!$H$6:$H$101,MOD(63+$C23+(1),$B$3)+1)*J23+INDEX(Symboles!$H$6:$H$101,MOD(63+$C23+(2),$B$3)+1)*K23+INDEX(Symboles!$H$6:$H$101,MOD(63+$C23+(3),$B$3)+1)*L23+INDEX(Symboles!$H$6:$H$101,MOD(63+$C23+(4),$B$3)+1)*M23+IF($B$6=0,0,$B$6*NORMSINV(0.000001+0.999998*RAND())))</f>
        <v/>
      </c>
      <c r="FU23" s="30">
        <f>IF(65&gt;$B$3,99,INDEX(Symboles!$H$6:$H$101,MOD(64+$C23+(-4),$B$3)+1)*E23+INDEX(Symboles!$H$6:$H$101,MOD(64+$C23+(-3),$B$3)+1)*F23+INDEX(Symboles!$H$6:$H$101,MOD(64+$C23+(-2),$B$3)+1)*G23+INDEX(Symboles!$H$6:$H$101,MOD(64+$C23+(-1),$B$3)+1)*H23+INDEX(Symboles!$H$6:$H$101,MOD(64+$C23+(0),$B$3)+1)*I23+INDEX(Symboles!$H$6:$H$101,MOD(64+$C23+(1),$B$3)+1)*J23+INDEX(Symboles!$H$6:$H$101,MOD(64+$C23+(2),$B$3)+1)*K23+INDEX(Symboles!$H$6:$H$101,MOD(64+$C23+(3),$B$3)+1)*L23+INDEX(Symboles!$H$6:$H$101,MOD(64+$C23+(4),$B$3)+1)*M23+IF($B$6=0,0,$B$6*NORMSINV(0.000001+0.999998*RAND())))</f>
        <v/>
      </c>
      <c r="FV23" s="30">
        <f>IF(66&gt;$B$3,99,INDEX(Symboles!$H$6:$H$101,MOD(65+$C23+(-4),$B$3)+1)*E23+INDEX(Symboles!$H$6:$H$101,MOD(65+$C23+(-3),$B$3)+1)*F23+INDEX(Symboles!$H$6:$H$101,MOD(65+$C23+(-2),$B$3)+1)*G23+INDEX(Symboles!$H$6:$H$101,MOD(65+$C23+(-1),$B$3)+1)*H23+INDEX(Symboles!$H$6:$H$101,MOD(65+$C23+(0),$B$3)+1)*I23+INDEX(Symboles!$H$6:$H$101,MOD(65+$C23+(1),$B$3)+1)*J23+INDEX(Symboles!$H$6:$H$101,MOD(65+$C23+(2),$B$3)+1)*K23+INDEX(Symboles!$H$6:$H$101,MOD(65+$C23+(3),$B$3)+1)*L23+INDEX(Symboles!$H$6:$H$101,MOD(65+$C23+(4),$B$3)+1)*M23+IF($B$6=0,0,$B$6*NORMSINV(0.000001+0.999998*RAND())))</f>
        <v/>
      </c>
      <c r="FW23" s="30">
        <f>IF(67&gt;$B$3,99,INDEX(Symboles!$H$6:$H$101,MOD(66+$C23+(-4),$B$3)+1)*E23+INDEX(Symboles!$H$6:$H$101,MOD(66+$C23+(-3),$B$3)+1)*F23+INDEX(Symboles!$H$6:$H$101,MOD(66+$C23+(-2),$B$3)+1)*G23+INDEX(Symboles!$H$6:$H$101,MOD(66+$C23+(-1),$B$3)+1)*H23+INDEX(Symboles!$H$6:$H$101,MOD(66+$C23+(0),$B$3)+1)*I23+INDEX(Symboles!$H$6:$H$101,MOD(66+$C23+(1),$B$3)+1)*J23+INDEX(Symboles!$H$6:$H$101,MOD(66+$C23+(2),$B$3)+1)*K23+INDEX(Symboles!$H$6:$H$101,MOD(66+$C23+(3),$B$3)+1)*L23+INDEX(Symboles!$H$6:$H$101,MOD(66+$C23+(4),$B$3)+1)*M23+IF($B$6=0,0,$B$6*NORMSINV(0.000001+0.999998*RAND())))</f>
        <v/>
      </c>
      <c r="FX23" s="30">
        <f>IF(68&gt;$B$3,99,INDEX(Symboles!$H$6:$H$101,MOD(67+$C23+(-4),$B$3)+1)*E23+INDEX(Symboles!$H$6:$H$101,MOD(67+$C23+(-3),$B$3)+1)*F23+INDEX(Symboles!$H$6:$H$101,MOD(67+$C23+(-2),$B$3)+1)*G23+INDEX(Symboles!$H$6:$H$101,MOD(67+$C23+(-1),$B$3)+1)*H23+INDEX(Symboles!$H$6:$H$101,MOD(67+$C23+(0),$B$3)+1)*I23+INDEX(Symboles!$H$6:$H$101,MOD(67+$C23+(1),$B$3)+1)*J23+INDEX(Symboles!$H$6:$H$101,MOD(67+$C23+(2),$B$3)+1)*K23+INDEX(Symboles!$H$6:$H$101,MOD(67+$C23+(3),$B$3)+1)*L23+INDEX(Symboles!$H$6:$H$101,MOD(67+$C23+(4),$B$3)+1)*M23+IF($B$6=0,0,$B$6*NORMSINV(0.000001+0.999998*RAND())))</f>
        <v/>
      </c>
      <c r="FY23" s="30">
        <f>IF(69&gt;$B$3,99,INDEX(Symboles!$H$6:$H$101,MOD(68+$C23+(-4),$B$3)+1)*E23+INDEX(Symboles!$H$6:$H$101,MOD(68+$C23+(-3),$B$3)+1)*F23+INDEX(Symboles!$H$6:$H$101,MOD(68+$C23+(-2),$B$3)+1)*G23+INDEX(Symboles!$H$6:$H$101,MOD(68+$C23+(-1),$B$3)+1)*H23+INDEX(Symboles!$H$6:$H$101,MOD(68+$C23+(0),$B$3)+1)*I23+INDEX(Symboles!$H$6:$H$101,MOD(68+$C23+(1),$B$3)+1)*J23+INDEX(Symboles!$H$6:$H$101,MOD(68+$C23+(2),$B$3)+1)*K23+INDEX(Symboles!$H$6:$H$101,MOD(68+$C23+(3),$B$3)+1)*L23+INDEX(Symboles!$H$6:$H$101,MOD(68+$C23+(4),$B$3)+1)*M23+IF($B$6=0,0,$B$6*NORMSINV(0.000001+0.999998*RAND())))</f>
        <v/>
      </c>
      <c r="FZ23" s="30">
        <f>IF(70&gt;$B$3,99,INDEX(Symboles!$H$6:$H$101,MOD(69+$C23+(-4),$B$3)+1)*E23+INDEX(Symboles!$H$6:$H$101,MOD(69+$C23+(-3),$B$3)+1)*F23+INDEX(Symboles!$H$6:$H$101,MOD(69+$C23+(-2),$B$3)+1)*G23+INDEX(Symboles!$H$6:$H$101,MOD(69+$C23+(-1),$B$3)+1)*H23+INDEX(Symboles!$H$6:$H$101,MOD(69+$C23+(0),$B$3)+1)*I23+INDEX(Symboles!$H$6:$H$101,MOD(69+$C23+(1),$B$3)+1)*J23+INDEX(Symboles!$H$6:$H$101,MOD(69+$C23+(2),$B$3)+1)*K23+INDEX(Symboles!$H$6:$H$101,MOD(69+$C23+(3),$B$3)+1)*L23+INDEX(Symboles!$H$6:$H$101,MOD(69+$C23+(4),$B$3)+1)*M23+IF($B$6=0,0,$B$6*NORMSINV(0.000001+0.999998*RAND())))</f>
        <v/>
      </c>
      <c r="GA23" s="30">
        <f>IF(71&gt;$B$3,99,INDEX(Symboles!$H$6:$H$101,MOD(70+$C23+(-4),$B$3)+1)*E23+INDEX(Symboles!$H$6:$H$101,MOD(70+$C23+(-3),$B$3)+1)*F23+INDEX(Symboles!$H$6:$H$101,MOD(70+$C23+(-2),$B$3)+1)*G23+INDEX(Symboles!$H$6:$H$101,MOD(70+$C23+(-1),$B$3)+1)*H23+INDEX(Symboles!$H$6:$H$101,MOD(70+$C23+(0),$B$3)+1)*I23+INDEX(Symboles!$H$6:$H$101,MOD(70+$C23+(1),$B$3)+1)*J23+INDEX(Symboles!$H$6:$H$101,MOD(70+$C23+(2),$B$3)+1)*K23+INDEX(Symboles!$H$6:$H$101,MOD(70+$C23+(3),$B$3)+1)*L23+INDEX(Symboles!$H$6:$H$101,MOD(70+$C23+(4),$B$3)+1)*M23+IF($B$6=0,0,$B$6*NORMSINV(0.000001+0.999998*RAND())))</f>
        <v/>
      </c>
      <c r="GB23" s="30">
        <f>IF(72&gt;$B$3,99,INDEX(Symboles!$H$6:$H$101,MOD(71+$C23+(-4),$B$3)+1)*E23+INDEX(Symboles!$H$6:$H$101,MOD(71+$C23+(-3),$B$3)+1)*F23+INDEX(Symboles!$H$6:$H$101,MOD(71+$C23+(-2),$B$3)+1)*G23+INDEX(Symboles!$H$6:$H$101,MOD(71+$C23+(-1),$B$3)+1)*H23+INDEX(Symboles!$H$6:$H$101,MOD(71+$C23+(0),$B$3)+1)*I23+INDEX(Symboles!$H$6:$H$101,MOD(71+$C23+(1),$B$3)+1)*J23+INDEX(Symboles!$H$6:$H$101,MOD(71+$C23+(2),$B$3)+1)*K23+INDEX(Symboles!$H$6:$H$101,MOD(71+$C23+(3),$B$3)+1)*L23+INDEX(Symboles!$H$6:$H$101,MOD(71+$C23+(4),$B$3)+1)*M23+IF($B$6=0,0,$B$6*NORMSINV(0.000001+0.999998*RAND())))</f>
        <v/>
      </c>
      <c r="GC23" s="30">
        <f>IF(73&gt;$B$3,99,INDEX(Symboles!$H$6:$H$101,MOD(72+$C23+(-4),$B$3)+1)*E23+INDEX(Symboles!$H$6:$H$101,MOD(72+$C23+(-3),$B$3)+1)*F23+INDEX(Symboles!$H$6:$H$101,MOD(72+$C23+(-2),$B$3)+1)*G23+INDEX(Symboles!$H$6:$H$101,MOD(72+$C23+(-1),$B$3)+1)*H23+INDEX(Symboles!$H$6:$H$101,MOD(72+$C23+(0),$B$3)+1)*I23+INDEX(Symboles!$H$6:$H$101,MOD(72+$C23+(1),$B$3)+1)*J23+INDEX(Symboles!$H$6:$H$101,MOD(72+$C23+(2),$B$3)+1)*K23+INDEX(Symboles!$H$6:$H$101,MOD(72+$C23+(3),$B$3)+1)*L23+INDEX(Symboles!$H$6:$H$101,MOD(72+$C23+(4),$B$3)+1)*M23+IF($B$6=0,0,$B$6*NORMSINV(0.000001+0.999998*RAND())))</f>
        <v/>
      </c>
      <c r="GD23" s="30">
        <f>IF(74&gt;$B$3,99,INDEX(Symboles!$H$6:$H$101,MOD(73+$C23+(-4),$B$3)+1)*E23+INDEX(Symboles!$H$6:$H$101,MOD(73+$C23+(-3),$B$3)+1)*F23+INDEX(Symboles!$H$6:$H$101,MOD(73+$C23+(-2),$B$3)+1)*G23+INDEX(Symboles!$H$6:$H$101,MOD(73+$C23+(-1),$B$3)+1)*H23+INDEX(Symboles!$H$6:$H$101,MOD(73+$C23+(0),$B$3)+1)*I23+INDEX(Symboles!$H$6:$H$101,MOD(73+$C23+(1),$B$3)+1)*J23+INDEX(Symboles!$H$6:$H$101,MOD(73+$C23+(2),$B$3)+1)*K23+INDEX(Symboles!$H$6:$H$101,MOD(73+$C23+(3),$B$3)+1)*L23+INDEX(Symboles!$H$6:$H$101,MOD(73+$C23+(4),$B$3)+1)*M23+IF($B$6=0,0,$B$6*NORMSINV(0.000001+0.999998*RAND())))</f>
        <v/>
      </c>
      <c r="GE23" s="30">
        <f>IF(75&gt;$B$3,99,INDEX(Symboles!$H$6:$H$101,MOD(74+$C23+(-4),$B$3)+1)*E23+INDEX(Symboles!$H$6:$H$101,MOD(74+$C23+(-3),$B$3)+1)*F23+INDEX(Symboles!$H$6:$H$101,MOD(74+$C23+(-2),$B$3)+1)*G23+INDEX(Symboles!$H$6:$H$101,MOD(74+$C23+(-1),$B$3)+1)*H23+INDEX(Symboles!$H$6:$H$101,MOD(74+$C23+(0),$B$3)+1)*I23+INDEX(Symboles!$H$6:$H$101,MOD(74+$C23+(1),$B$3)+1)*J23+INDEX(Symboles!$H$6:$H$101,MOD(74+$C23+(2),$B$3)+1)*K23+INDEX(Symboles!$H$6:$H$101,MOD(74+$C23+(3),$B$3)+1)*L23+INDEX(Symboles!$H$6:$H$101,MOD(74+$C23+(4),$B$3)+1)*M23+IF($B$6=0,0,$B$6*NORMSINV(0.000001+0.999998*RAND())))</f>
        <v/>
      </c>
      <c r="GF23" s="30">
        <f>IF(76&gt;$B$3,99,INDEX(Symboles!$H$6:$H$101,MOD(75+$C23+(-4),$B$3)+1)*E23+INDEX(Symboles!$H$6:$H$101,MOD(75+$C23+(-3),$B$3)+1)*F23+INDEX(Symboles!$H$6:$H$101,MOD(75+$C23+(-2),$B$3)+1)*G23+INDEX(Symboles!$H$6:$H$101,MOD(75+$C23+(-1),$B$3)+1)*H23+INDEX(Symboles!$H$6:$H$101,MOD(75+$C23+(0),$B$3)+1)*I23+INDEX(Symboles!$H$6:$H$101,MOD(75+$C23+(1),$B$3)+1)*J23+INDEX(Symboles!$H$6:$H$101,MOD(75+$C23+(2),$B$3)+1)*K23+INDEX(Symboles!$H$6:$H$101,MOD(75+$C23+(3),$B$3)+1)*L23+INDEX(Symboles!$H$6:$H$101,MOD(75+$C23+(4),$B$3)+1)*M23+IF($B$6=0,0,$B$6*NORMSINV(0.000001+0.999998*RAND())))</f>
        <v/>
      </c>
      <c r="GG23" s="30">
        <f>IF(77&gt;$B$3,99,INDEX(Symboles!$H$6:$H$101,MOD(76+$C23+(-4),$B$3)+1)*E23+INDEX(Symboles!$H$6:$H$101,MOD(76+$C23+(-3),$B$3)+1)*F23+INDEX(Symboles!$H$6:$H$101,MOD(76+$C23+(-2),$B$3)+1)*G23+INDEX(Symboles!$H$6:$H$101,MOD(76+$C23+(-1),$B$3)+1)*H23+INDEX(Symboles!$H$6:$H$101,MOD(76+$C23+(0),$B$3)+1)*I23+INDEX(Symboles!$H$6:$H$101,MOD(76+$C23+(1),$B$3)+1)*J23+INDEX(Symboles!$H$6:$H$101,MOD(76+$C23+(2),$B$3)+1)*K23+INDEX(Symboles!$H$6:$H$101,MOD(76+$C23+(3),$B$3)+1)*L23+INDEX(Symboles!$H$6:$H$101,MOD(76+$C23+(4),$B$3)+1)*M23+IF($B$6=0,0,$B$6*NORMSINV(0.000001+0.999998*RAND())))</f>
        <v/>
      </c>
      <c r="GH23" s="30">
        <f>IF(78&gt;$B$3,99,INDEX(Symboles!$H$6:$H$101,MOD(77+$C23+(-4),$B$3)+1)*E23+INDEX(Symboles!$H$6:$H$101,MOD(77+$C23+(-3),$B$3)+1)*F23+INDEX(Symboles!$H$6:$H$101,MOD(77+$C23+(-2),$B$3)+1)*G23+INDEX(Symboles!$H$6:$H$101,MOD(77+$C23+(-1),$B$3)+1)*H23+INDEX(Symboles!$H$6:$H$101,MOD(77+$C23+(0),$B$3)+1)*I23+INDEX(Symboles!$H$6:$H$101,MOD(77+$C23+(1),$B$3)+1)*J23+INDEX(Symboles!$H$6:$H$101,MOD(77+$C23+(2),$B$3)+1)*K23+INDEX(Symboles!$H$6:$H$101,MOD(77+$C23+(3),$B$3)+1)*L23+INDEX(Symboles!$H$6:$H$101,MOD(77+$C23+(4),$B$3)+1)*M23+IF($B$6=0,0,$B$6*NORMSINV(0.000001+0.999998*RAND())))</f>
        <v/>
      </c>
      <c r="GI23" s="30">
        <f>IF(79&gt;$B$3,99,INDEX(Symboles!$H$6:$H$101,MOD(78+$C23+(-4),$B$3)+1)*E23+INDEX(Symboles!$H$6:$H$101,MOD(78+$C23+(-3),$B$3)+1)*F23+INDEX(Symboles!$H$6:$H$101,MOD(78+$C23+(-2),$B$3)+1)*G23+INDEX(Symboles!$H$6:$H$101,MOD(78+$C23+(-1),$B$3)+1)*H23+INDEX(Symboles!$H$6:$H$101,MOD(78+$C23+(0),$B$3)+1)*I23+INDEX(Symboles!$H$6:$H$101,MOD(78+$C23+(1),$B$3)+1)*J23+INDEX(Symboles!$H$6:$H$101,MOD(78+$C23+(2),$B$3)+1)*K23+INDEX(Symboles!$H$6:$H$101,MOD(78+$C23+(3),$B$3)+1)*L23+INDEX(Symboles!$H$6:$H$101,MOD(78+$C23+(4),$B$3)+1)*M23+IF($B$6=0,0,$B$6*NORMSINV(0.000001+0.999998*RAND())))</f>
        <v/>
      </c>
      <c r="GJ23" s="30">
        <f>IF(80&gt;$B$3,99,INDEX(Symboles!$H$6:$H$101,MOD(79+$C23+(-4),$B$3)+1)*E23+INDEX(Symboles!$H$6:$H$101,MOD(79+$C23+(-3),$B$3)+1)*F23+INDEX(Symboles!$H$6:$H$101,MOD(79+$C23+(-2),$B$3)+1)*G23+INDEX(Symboles!$H$6:$H$101,MOD(79+$C23+(-1),$B$3)+1)*H23+INDEX(Symboles!$H$6:$H$101,MOD(79+$C23+(0),$B$3)+1)*I23+INDEX(Symboles!$H$6:$H$101,MOD(79+$C23+(1),$B$3)+1)*J23+INDEX(Symboles!$H$6:$H$101,MOD(79+$C23+(2),$B$3)+1)*K23+INDEX(Symboles!$H$6:$H$101,MOD(79+$C23+(3),$B$3)+1)*L23+INDEX(Symboles!$H$6:$H$101,MOD(79+$C23+(4),$B$3)+1)*M23+IF($B$6=0,0,$B$6*NORMSINV(0.000001+0.999998*RAND())))</f>
        <v/>
      </c>
      <c r="GK23" s="30">
        <f>IF(81&gt;$B$3,99,INDEX(Symboles!$H$6:$H$101,MOD(80+$C23+(-4),$B$3)+1)*E23+INDEX(Symboles!$H$6:$H$101,MOD(80+$C23+(-3),$B$3)+1)*F23+INDEX(Symboles!$H$6:$H$101,MOD(80+$C23+(-2),$B$3)+1)*G23+INDEX(Symboles!$H$6:$H$101,MOD(80+$C23+(-1),$B$3)+1)*H23+INDEX(Symboles!$H$6:$H$101,MOD(80+$C23+(0),$B$3)+1)*I23+INDEX(Symboles!$H$6:$H$101,MOD(80+$C23+(1),$B$3)+1)*J23+INDEX(Symboles!$H$6:$H$101,MOD(80+$C23+(2),$B$3)+1)*K23+INDEX(Symboles!$H$6:$H$101,MOD(80+$C23+(3),$B$3)+1)*L23+INDEX(Symboles!$H$6:$H$101,MOD(80+$C23+(4),$B$3)+1)*M23+IF($B$6=0,0,$B$6*NORMSINV(0.000001+0.999998*RAND())))</f>
        <v/>
      </c>
      <c r="GL23" s="30">
        <f>IF(82&gt;$B$3,99,INDEX(Symboles!$H$6:$H$101,MOD(81+$C23+(-4),$B$3)+1)*E23+INDEX(Symboles!$H$6:$H$101,MOD(81+$C23+(-3),$B$3)+1)*F23+INDEX(Symboles!$H$6:$H$101,MOD(81+$C23+(-2),$B$3)+1)*G23+INDEX(Symboles!$H$6:$H$101,MOD(81+$C23+(-1),$B$3)+1)*H23+INDEX(Symboles!$H$6:$H$101,MOD(81+$C23+(0),$B$3)+1)*I23+INDEX(Symboles!$H$6:$H$101,MOD(81+$C23+(1),$B$3)+1)*J23+INDEX(Symboles!$H$6:$H$101,MOD(81+$C23+(2),$B$3)+1)*K23+INDEX(Symboles!$H$6:$H$101,MOD(81+$C23+(3),$B$3)+1)*L23+INDEX(Symboles!$H$6:$H$101,MOD(81+$C23+(4),$B$3)+1)*M23+IF($B$6=0,0,$B$6*NORMSINV(0.000001+0.999998*RAND())))</f>
        <v/>
      </c>
      <c r="GM23" s="30">
        <f>IF(83&gt;$B$3,99,INDEX(Symboles!$H$6:$H$101,MOD(82+$C23+(-4),$B$3)+1)*E23+INDEX(Symboles!$H$6:$H$101,MOD(82+$C23+(-3),$B$3)+1)*F23+INDEX(Symboles!$H$6:$H$101,MOD(82+$C23+(-2),$B$3)+1)*G23+INDEX(Symboles!$H$6:$H$101,MOD(82+$C23+(-1),$B$3)+1)*H23+INDEX(Symboles!$H$6:$H$101,MOD(82+$C23+(0),$B$3)+1)*I23+INDEX(Symboles!$H$6:$H$101,MOD(82+$C23+(1),$B$3)+1)*J23+INDEX(Symboles!$H$6:$H$101,MOD(82+$C23+(2),$B$3)+1)*K23+INDEX(Symboles!$H$6:$H$101,MOD(82+$C23+(3),$B$3)+1)*L23+INDEX(Symboles!$H$6:$H$101,MOD(82+$C23+(4),$B$3)+1)*M23+IF($B$6=0,0,$B$6*NORMSINV(0.000001+0.999998*RAND())))</f>
        <v/>
      </c>
      <c r="GN23" s="30">
        <f>IF(84&gt;$B$3,99,INDEX(Symboles!$H$6:$H$101,MOD(83+$C23+(-4),$B$3)+1)*E23+INDEX(Symboles!$H$6:$H$101,MOD(83+$C23+(-3),$B$3)+1)*F23+INDEX(Symboles!$H$6:$H$101,MOD(83+$C23+(-2),$B$3)+1)*G23+INDEX(Symboles!$H$6:$H$101,MOD(83+$C23+(-1),$B$3)+1)*H23+INDEX(Symboles!$H$6:$H$101,MOD(83+$C23+(0),$B$3)+1)*I23+INDEX(Symboles!$H$6:$H$101,MOD(83+$C23+(1),$B$3)+1)*J23+INDEX(Symboles!$H$6:$H$101,MOD(83+$C23+(2),$B$3)+1)*K23+INDEX(Symboles!$H$6:$H$101,MOD(83+$C23+(3),$B$3)+1)*L23+INDEX(Symboles!$H$6:$H$101,MOD(83+$C23+(4),$B$3)+1)*M23+IF($B$6=0,0,$B$6*NORMSINV(0.000001+0.999998*RAND())))</f>
        <v/>
      </c>
      <c r="GO23" s="30">
        <f>IF(85&gt;$B$3,99,INDEX(Symboles!$H$6:$H$101,MOD(84+$C23+(-4),$B$3)+1)*E23+INDEX(Symboles!$H$6:$H$101,MOD(84+$C23+(-3),$B$3)+1)*F23+INDEX(Symboles!$H$6:$H$101,MOD(84+$C23+(-2),$B$3)+1)*G23+INDEX(Symboles!$H$6:$H$101,MOD(84+$C23+(-1),$B$3)+1)*H23+INDEX(Symboles!$H$6:$H$101,MOD(84+$C23+(0),$B$3)+1)*I23+INDEX(Symboles!$H$6:$H$101,MOD(84+$C23+(1),$B$3)+1)*J23+INDEX(Symboles!$H$6:$H$101,MOD(84+$C23+(2),$B$3)+1)*K23+INDEX(Symboles!$H$6:$H$101,MOD(84+$C23+(3),$B$3)+1)*L23+INDEX(Symboles!$H$6:$H$101,MOD(84+$C23+(4),$B$3)+1)*M23+IF($B$6=0,0,$B$6*NORMSINV(0.000001+0.999998*RAND())))</f>
        <v/>
      </c>
      <c r="GP23" s="30">
        <f>IF(86&gt;$B$3,99,INDEX(Symboles!$H$6:$H$101,MOD(85+$C23+(-4),$B$3)+1)*E23+INDEX(Symboles!$H$6:$H$101,MOD(85+$C23+(-3),$B$3)+1)*F23+INDEX(Symboles!$H$6:$H$101,MOD(85+$C23+(-2),$B$3)+1)*G23+INDEX(Symboles!$H$6:$H$101,MOD(85+$C23+(-1),$B$3)+1)*H23+INDEX(Symboles!$H$6:$H$101,MOD(85+$C23+(0),$B$3)+1)*I23+INDEX(Symboles!$H$6:$H$101,MOD(85+$C23+(1),$B$3)+1)*J23+INDEX(Symboles!$H$6:$H$101,MOD(85+$C23+(2),$B$3)+1)*K23+INDEX(Symboles!$H$6:$H$101,MOD(85+$C23+(3),$B$3)+1)*L23+INDEX(Symboles!$H$6:$H$101,MOD(85+$C23+(4),$B$3)+1)*M23+IF($B$6=0,0,$B$6*NORMSINV(0.000001+0.999998*RAND())))</f>
        <v/>
      </c>
      <c r="GQ23" s="30">
        <f>IF(87&gt;$B$3,99,INDEX(Symboles!$H$6:$H$101,MOD(86+$C23+(-4),$B$3)+1)*E23+INDEX(Symboles!$H$6:$H$101,MOD(86+$C23+(-3),$B$3)+1)*F23+INDEX(Symboles!$H$6:$H$101,MOD(86+$C23+(-2),$B$3)+1)*G23+INDEX(Symboles!$H$6:$H$101,MOD(86+$C23+(-1),$B$3)+1)*H23+INDEX(Symboles!$H$6:$H$101,MOD(86+$C23+(0),$B$3)+1)*I23+INDEX(Symboles!$H$6:$H$101,MOD(86+$C23+(1),$B$3)+1)*J23+INDEX(Symboles!$H$6:$H$101,MOD(86+$C23+(2),$B$3)+1)*K23+INDEX(Symboles!$H$6:$H$101,MOD(86+$C23+(3),$B$3)+1)*L23+INDEX(Symboles!$H$6:$H$101,MOD(86+$C23+(4),$B$3)+1)*M23+IF($B$6=0,0,$B$6*NORMSINV(0.000001+0.999998*RAND())))</f>
        <v/>
      </c>
      <c r="GR23" s="30">
        <f>IF(88&gt;$B$3,99,INDEX(Symboles!$H$6:$H$101,MOD(87+$C23+(-4),$B$3)+1)*E23+INDEX(Symboles!$H$6:$H$101,MOD(87+$C23+(-3),$B$3)+1)*F23+INDEX(Symboles!$H$6:$H$101,MOD(87+$C23+(-2),$B$3)+1)*G23+INDEX(Symboles!$H$6:$H$101,MOD(87+$C23+(-1),$B$3)+1)*H23+INDEX(Symboles!$H$6:$H$101,MOD(87+$C23+(0),$B$3)+1)*I23+INDEX(Symboles!$H$6:$H$101,MOD(87+$C23+(1),$B$3)+1)*J23+INDEX(Symboles!$H$6:$H$101,MOD(87+$C23+(2),$B$3)+1)*K23+INDEX(Symboles!$H$6:$H$101,MOD(87+$C23+(3),$B$3)+1)*L23+INDEX(Symboles!$H$6:$H$101,MOD(87+$C23+(4),$B$3)+1)*M23+IF($B$6=0,0,$B$6*NORMSINV(0.000001+0.999998*RAND())))</f>
        <v/>
      </c>
      <c r="GS23" s="30">
        <f>IF(89&gt;$B$3,99,INDEX(Symboles!$H$6:$H$101,MOD(88+$C23+(-4),$B$3)+1)*E23+INDEX(Symboles!$H$6:$H$101,MOD(88+$C23+(-3),$B$3)+1)*F23+INDEX(Symboles!$H$6:$H$101,MOD(88+$C23+(-2),$B$3)+1)*G23+INDEX(Symboles!$H$6:$H$101,MOD(88+$C23+(-1),$B$3)+1)*H23+INDEX(Symboles!$H$6:$H$101,MOD(88+$C23+(0),$B$3)+1)*I23+INDEX(Symboles!$H$6:$H$101,MOD(88+$C23+(1),$B$3)+1)*J23+INDEX(Symboles!$H$6:$H$101,MOD(88+$C23+(2),$B$3)+1)*K23+INDEX(Symboles!$H$6:$H$101,MOD(88+$C23+(3),$B$3)+1)*L23+INDEX(Symboles!$H$6:$H$101,MOD(88+$C23+(4),$B$3)+1)*M23+IF($B$6=0,0,$B$6*NORMSINV(0.000001+0.999998*RAND())))</f>
        <v/>
      </c>
      <c r="GT23" s="30">
        <f>IF(90&gt;$B$3,99,INDEX(Symboles!$H$6:$H$101,MOD(89+$C23+(-4),$B$3)+1)*E23+INDEX(Symboles!$H$6:$H$101,MOD(89+$C23+(-3),$B$3)+1)*F23+INDEX(Symboles!$H$6:$H$101,MOD(89+$C23+(-2),$B$3)+1)*G23+INDEX(Symboles!$H$6:$H$101,MOD(89+$C23+(-1),$B$3)+1)*H23+INDEX(Symboles!$H$6:$H$101,MOD(89+$C23+(0),$B$3)+1)*I23+INDEX(Symboles!$H$6:$H$101,MOD(89+$C23+(1),$B$3)+1)*J23+INDEX(Symboles!$H$6:$H$101,MOD(89+$C23+(2),$B$3)+1)*K23+INDEX(Symboles!$H$6:$H$101,MOD(89+$C23+(3),$B$3)+1)*L23+INDEX(Symboles!$H$6:$H$101,MOD(89+$C23+(4),$B$3)+1)*M23+IF($B$6=0,0,$B$6*NORMSINV(0.000001+0.999998*RAND())))</f>
        <v/>
      </c>
      <c r="GU23" s="30">
        <f>IF(91&gt;$B$3,99,INDEX(Symboles!$H$6:$H$101,MOD(90+$C23+(-4),$B$3)+1)*E23+INDEX(Symboles!$H$6:$H$101,MOD(90+$C23+(-3),$B$3)+1)*F23+INDEX(Symboles!$H$6:$H$101,MOD(90+$C23+(-2),$B$3)+1)*G23+INDEX(Symboles!$H$6:$H$101,MOD(90+$C23+(-1),$B$3)+1)*H23+INDEX(Symboles!$H$6:$H$101,MOD(90+$C23+(0),$B$3)+1)*I23+INDEX(Symboles!$H$6:$H$101,MOD(90+$C23+(1),$B$3)+1)*J23+INDEX(Symboles!$H$6:$H$101,MOD(90+$C23+(2),$B$3)+1)*K23+INDEX(Symboles!$H$6:$H$101,MOD(90+$C23+(3),$B$3)+1)*L23+INDEX(Symboles!$H$6:$H$101,MOD(90+$C23+(4),$B$3)+1)*M23+IF($B$6=0,0,$B$6*NORMSINV(0.000001+0.999998*RAND())))</f>
        <v/>
      </c>
      <c r="GV23" s="30">
        <f>IF(92&gt;$B$3,99,INDEX(Symboles!$H$6:$H$101,MOD(91+$C23+(-4),$B$3)+1)*E23+INDEX(Symboles!$H$6:$H$101,MOD(91+$C23+(-3),$B$3)+1)*F23+INDEX(Symboles!$H$6:$H$101,MOD(91+$C23+(-2),$B$3)+1)*G23+INDEX(Symboles!$H$6:$H$101,MOD(91+$C23+(-1),$B$3)+1)*H23+INDEX(Symboles!$H$6:$H$101,MOD(91+$C23+(0),$B$3)+1)*I23+INDEX(Symboles!$H$6:$H$101,MOD(91+$C23+(1),$B$3)+1)*J23+INDEX(Symboles!$H$6:$H$101,MOD(91+$C23+(2),$B$3)+1)*K23+INDEX(Symboles!$H$6:$H$101,MOD(91+$C23+(3),$B$3)+1)*L23+INDEX(Symboles!$H$6:$H$101,MOD(91+$C23+(4),$B$3)+1)*M23+IF($B$6=0,0,$B$6*NORMSINV(0.000001+0.999998*RAND())))</f>
        <v/>
      </c>
      <c r="GW23" s="30">
        <f>IF(93&gt;$B$3,99,INDEX(Symboles!$H$6:$H$101,MOD(92+$C23+(-4),$B$3)+1)*E23+INDEX(Symboles!$H$6:$H$101,MOD(92+$C23+(-3),$B$3)+1)*F23+INDEX(Symboles!$H$6:$H$101,MOD(92+$C23+(-2),$B$3)+1)*G23+INDEX(Symboles!$H$6:$H$101,MOD(92+$C23+(-1),$B$3)+1)*H23+INDEX(Symboles!$H$6:$H$101,MOD(92+$C23+(0),$B$3)+1)*I23+INDEX(Symboles!$H$6:$H$101,MOD(92+$C23+(1),$B$3)+1)*J23+INDEX(Symboles!$H$6:$H$101,MOD(92+$C23+(2),$B$3)+1)*K23+INDEX(Symboles!$H$6:$H$101,MOD(92+$C23+(3),$B$3)+1)*L23+INDEX(Symboles!$H$6:$H$101,MOD(92+$C23+(4),$B$3)+1)*M23+IF($B$6=0,0,$B$6*NORMSINV(0.000001+0.999998*RAND())))</f>
        <v/>
      </c>
      <c r="GX23" s="30">
        <f>IF(94&gt;$B$3,99,INDEX(Symboles!$H$6:$H$101,MOD(93+$C23+(-4),$B$3)+1)*E23+INDEX(Symboles!$H$6:$H$101,MOD(93+$C23+(-3),$B$3)+1)*F23+INDEX(Symboles!$H$6:$H$101,MOD(93+$C23+(-2),$B$3)+1)*G23+INDEX(Symboles!$H$6:$H$101,MOD(93+$C23+(-1),$B$3)+1)*H23+INDEX(Symboles!$H$6:$H$101,MOD(93+$C23+(0),$B$3)+1)*I23+INDEX(Symboles!$H$6:$H$101,MOD(93+$C23+(1),$B$3)+1)*J23+INDEX(Symboles!$H$6:$H$101,MOD(93+$C23+(2),$B$3)+1)*K23+INDEX(Symboles!$H$6:$H$101,MOD(93+$C23+(3),$B$3)+1)*L23+INDEX(Symboles!$H$6:$H$101,MOD(93+$C23+(4),$B$3)+1)*M23+IF($B$6=0,0,$B$6*NORMSINV(0.000001+0.999998*RAND())))</f>
        <v/>
      </c>
      <c r="GY23" s="30">
        <f>IF(95&gt;$B$3,99,INDEX(Symboles!$H$6:$H$101,MOD(94+$C23+(-4),$B$3)+1)*E23+INDEX(Symboles!$H$6:$H$101,MOD(94+$C23+(-3),$B$3)+1)*F23+INDEX(Symboles!$H$6:$H$101,MOD(94+$C23+(-2),$B$3)+1)*G23+INDEX(Symboles!$H$6:$H$101,MOD(94+$C23+(-1),$B$3)+1)*H23+INDEX(Symboles!$H$6:$H$101,MOD(94+$C23+(0),$B$3)+1)*I23+INDEX(Symboles!$H$6:$H$101,MOD(94+$C23+(1),$B$3)+1)*J23+INDEX(Symboles!$H$6:$H$101,MOD(94+$C23+(2),$B$3)+1)*K23+INDEX(Symboles!$H$6:$H$101,MOD(94+$C23+(3),$B$3)+1)*L23+INDEX(Symboles!$H$6:$H$101,MOD(94+$C23+(4),$B$3)+1)*M23+IF($B$6=0,0,$B$6*NORMSINV(0.000001+0.999998*RAND())))</f>
        <v/>
      </c>
      <c r="GZ23" s="30">
        <f>IF(96&gt;$B$3,99,INDEX(Symboles!$H$6:$H$101,MOD(95+$C23+(-4),$B$3)+1)*E23+INDEX(Symboles!$H$6:$H$101,MOD(95+$C23+(-3),$B$3)+1)*F23+INDEX(Symboles!$H$6:$H$101,MOD(95+$C23+(-2),$B$3)+1)*G23+INDEX(Symboles!$H$6:$H$101,MOD(95+$C23+(-1),$B$3)+1)*H23+INDEX(Symboles!$H$6:$H$101,MOD(95+$C23+(0),$B$3)+1)*I23+INDEX(Symboles!$H$6:$H$101,MOD(95+$C23+(1),$B$3)+1)*J23+INDEX(Symboles!$H$6:$H$101,MOD(95+$C23+(2),$B$3)+1)*K23+INDEX(Symboles!$H$6:$H$101,MOD(95+$C23+(3),$B$3)+1)*L23+INDEX(Symboles!$H$6:$H$101,MOD(95+$C23+(4),$B$3)+1)*M23+IF($B$6=0,0,$B$6*NORMSINV(0.000001+0.999998*RAND())))</f>
        <v/>
      </c>
    </row>
    <row r="24">
      <c r="A24" s="28" t="n">
        <v>14</v>
      </c>
      <c r="B24" s="28" t="n">
        <v>-0.125</v>
      </c>
      <c r="C24" s="28" t="n">
        <v>0</v>
      </c>
      <c r="D24" s="28" t="n">
        <v>6</v>
      </c>
      <c r="E24" s="29">
        <f>IF($B$4=1,0,IF(ABS(1-(2*$B$5*3.875)^2)&lt;0.000001,PI()/4*SIN(PI()/(2*$B$5))/(PI()/(2*$B$5)),SIN(PI()*3.875)/(PI()*3.875)*COS(PI()*$B$5*3.875)/(1-(2*$B$5*3.875)^2)))</f>
        <v/>
      </c>
      <c r="F24" s="29">
        <f>IF($B$4=1,0,IF(ABS(1-(2*$B$5*2.875)^2)&lt;0.000001,PI()/4*SIN(PI()/(2*$B$5))/(PI()/(2*$B$5)),SIN(PI()*2.875)/(PI()*2.875)*COS(PI()*$B$5*2.875)/(1-(2*$B$5*2.875)^2)))</f>
        <v/>
      </c>
      <c r="G24" s="29">
        <f>IF($B$4=1,0,IF(ABS(1-(2*$B$5*1.875)^2)&lt;0.000001,PI()/4*SIN(PI()/(2*$B$5))/(PI()/(2*$B$5)),SIN(PI()*1.875)/(PI()*1.875)*COS(PI()*$B$5*1.875)/(1-(2*$B$5*1.875)^2)))</f>
        <v/>
      </c>
      <c r="H24" s="29">
        <f>IF($B$4=1,0,IF(ABS(1-(2*$B$5*0.875)^2)&lt;0.000001,PI()/4*SIN(PI()/(2*$B$5))/(PI()/(2*$B$5)),SIN(PI()*0.875)/(PI()*0.875)*COS(PI()*$B$5*0.875)/(1-(2*$B$5*0.875)^2)))</f>
        <v/>
      </c>
      <c r="I24" s="29">
        <f>IF($B$4=1,1,IF(ABS(1-(2*$B$5*-0.125)^2)&lt;0.000001,PI()/4*SIN(PI()/(2*$B$5))/(PI()/(2*$B$5)),SIN(PI()*-0.125)/(PI()*-0.125)*COS(PI()*$B$5*-0.125)/(1-(2*$B$5*-0.125)^2)))</f>
        <v/>
      </c>
      <c r="J24" s="29">
        <f>IF($B$4=1,0,IF(ABS(1-(2*$B$5*-1.125)^2)&lt;0.000001,PI()/4*SIN(PI()/(2*$B$5))/(PI()/(2*$B$5)),SIN(PI()*-1.125)/(PI()*-1.125)*COS(PI()*$B$5*-1.125)/(1-(2*$B$5*-1.125)^2)))</f>
        <v/>
      </c>
      <c r="K24" s="29">
        <f>IF($B$4=1,0,IF(ABS(1-(2*$B$5*-2.125)^2)&lt;0.000001,PI()/4*SIN(PI()/(2*$B$5))/(PI()/(2*$B$5)),SIN(PI()*-2.125)/(PI()*-2.125)*COS(PI()*$B$5*-2.125)/(1-(2*$B$5*-2.125)^2)))</f>
        <v/>
      </c>
      <c r="L24" s="29">
        <f>IF($B$4=1,0,IF(ABS(1-(2*$B$5*-3.125)^2)&lt;0.000001,PI()/4*SIN(PI()/(2*$B$5))/(PI()/(2*$B$5)),SIN(PI()*-3.125)/(PI()*-3.125)*COS(PI()*$B$5*-3.125)/(1-(2*$B$5*-3.125)^2)))</f>
        <v/>
      </c>
      <c r="M24" s="29">
        <f>IF($B$4=1,0,IF(ABS(1-(2*$B$5*-4.125)^2)&lt;0.000001,PI()/4*SIN(PI()/(2*$B$5))/(PI()/(2*$B$5)),SIN(PI()*-4.125)/(PI()*-4.125)*COS(PI()*$B$5*-4.125)/(1-(2*$B$5*-4.125)^2)))</f>
        <v/>
      </c>
      <c r="P24" s="30">
        <f>IF(1&gt;$B$3,99,INDEX(Symboles!$G$6:$G$101,MOD(0+$C24+(-4),$B$3)+1)*E24+INDEX(Symboles!$G$6:$G$101,MOD(0+$C24+(-3),$B$3)+1)*F24+INDEX(Symboles!$G$6:$G$101,MOD(0+$C24+(-2),$B$3)+1)*G24+INDEX(Symboles!$G$6:$G$101,MOD(0+$C24+(-1),$B$3)+1)*H24+INDEX(Symboles!$G$6:$G$101,MOD(0+$C24+(0),$B$3)+1)*I24+INDEX(Symboles!$G$6:$G$101,MOD(0+$C24+(1),$B$3)+1)*J24+INDEX(Symboles!$G$6:$G$101,MOD(0+$C24+(2),$B$3)+1)*K24+INDEX(Symboles!$G$6:$G$101,MOD(0+$C24+(3),$B$3)+1)*L24+INDEX(Symboles!$G$6:$G$101,MOD(0+$C24+(4),$B$3)+1)*M24+IF($B$6=0,0,$B$6*NORMSINV(0.000001+0.999998*RAND())))</f>
        <v/>
      </c>
      <c r="Q24" s="30">
        <f>IF(2&gt;$B$3,99,INDEX(Symboles!$G$6:$G$101,MOD(1+$C24+(-4),$B$3)+1)*E24+INDEX(Symboles!$G$6:$G$101,MOD(1+$C24+(-3),$B$3)+1)*F24+INDEX(Symboles!$G$6:$G$101,MOD(1+$C24+(-2),$B$3)+1)*G24+INDEX(Symboles!$G$6:$G$101,MOD(1+$C24+(-1),$B$3)+1)*H24+INDEX(Symboles!$G$6:$G$101,MOD(1+$C24+(0),$B$3)+1)*I24+INDEX(Symboles!$G$6:$G$101,MOD(1+$C24+(1),$B$3)+1)*J24+INDEX(Symboles!$G$6:$G$101,MOD(1+$C24+(2),$B$3)+1)*K24+INDEX(Symboles!$G$6:$G$101,MOD(1+$C24+(3),$B$3)+1)*L24+INDEX(Symboles!$G$6:$G$101,MOD(1+$C24+(4),$B$3)+1)*M24+IF($B$6=0,0,$B$6*NORMSINV(0.000001+0.999998*RAND())))</f>
        <v/>
      </c>
      <c r="R24" s="30">
        <f>IF(3&gt;$B$3,99,INDEX(Symboles!$G$6:$G$101,MOD(2+$C24+(-4),$B$3)+1)*E24+INDEX(Symboles!$G$6:$G$101,MOD(2+$C24+(-3),$B$3)+1)*F24+INDEX(Symboles!$G$6:$G$101,MOD(2+$C24+(-2),$B$3)+1)*G24+INDEX(Symboles!$G$6:$G$101,MOD(2+$C24+(-1),$B$3)+1)*H24+INDEX(Symboles!$G$6:$G$101,MOD(2+$C24+(0),$B$3)+1)*I24+INDEX(Symboles!$G$6:$G$101,MOD(2+$C24+(1),$B$3)+1)*J24+INDEX(Symboles!$G$6:$G$101,MOD(2+$C24+(2),$B$3)+1)*K24+INDEX(Symboles!$G$6:$G$101,MOD(2+$C24+(3),$B$3)+1)*L24+INDEX(Symboles!$G$6:$G$101,MOD(2+$C24+(4),$B$3)+1)*M24+IF($B$6=0,0,$B$6*NORMSINV(0.000001+0.999998*RAND())))</f>
        <v/>
      </c>
      <c r="S24" s="30">
        <f>IF(4&gt;$B$3,99,INDEX(Symboles!$G$6:$G$101,MOD(3+$C24+(-4),$B$3)+1)*E24+INDEX(Symboles!$G$6:$G$101,MOD(3+$C24+(-3),$B$3)+1)*F24+INDEX(Symboles!$G$6:$G$101,MOD(3+$C24+(-2),$B$3)+1)*G24+INDEX(Symboles!$G$6:$G$101,MOD(3+$C24+(-1),$B$3)+1)*H24+INDEX(Symboles!$G$6:$G$101,MOD(3+$C24+(0),$B$3)+1)*I24+INDEX(Symboles!$G$6:$G$101,MOD(3+$C24+(1),$B$3)+1)*J24+INDEX(Symboles!$G$6:$G$101,MOD(3+$C24+(2),$B$3)+1)*K24+INDEX(Symboles!$G$6:$G$101,MOD(3+$C24+(3),$B$3)+1)*L24+INDEX(Symboles!$G$6:$G$101,MOD(3+$C24+(4),$B$3)+1)*M24+IF($B$6=0,0,$B$6*NORMSINV(0.000001+0.999998*RAND())))</f>
        <v/>
      </c>
      <c r="T24" s="30">
        <f>IF(5&gt;$B$3,99,INDEX(Symboles!$G$6:$G$101,MOD(4+$C24+(-4),$B$3)+1)*E24+INDEX(Symboles!$G$6:$G$101,MOD(4+$C24+(-3),$B$3)+1)*F24+INDEX(Symboles!$G$6:$G$101,MOD(4+$C24+(-2),$B$3)+1)*G24+INDEX(Symboles!$G$6:$G$101,MOD(4+$C24+(-1),$B$3)+1)*H24+INDEX(Symboles!$G$6:$G$101,MOD(4+$C24+(0),$B$3)+1)*I24+INDEX(Symboles!$G$6:$G$101,MOD(4+$C24+(1),$B$3)+1)*J24+INDEX(Symboles!$G$6:$G$101,MOD(4+$C24+(2),$B$3)+1)*K24+INDEX(Symboles!$G$6:$G$101,MOD(4+$C24+(3),$B$3)+1)*L24+INDEX(Symboles!$G$6:$G$101,MOD(4+$C24+(4),$B$3)+1)*M24+IF($B$6=0,0,$B$6*NORMSINV(0.000001+0.999998*RAND())))</f>
        <v/>
      </c>
      <c r="U24" s="30">
        <f>IF(6&gt;$B$3,99,INDEX(Symboles!$G$6:$G$101,MOD(5+$C24+(-4),$B$3)+1)*E24+INDEX(Symboles!$G$6:$G$101,MOD(5+$C24+(-3),$B$3)+1)*F24+INDEX(Symboles!$G$6:$G$101,MOD(5+$C24+(-2),$B$3)+1)*G24+INDEX(Symboles!$G$6:$G$101,MOD(5+$C24+(-1),$B$3)+1)*H24+INDEX(Symboles!$G$6:$G$101,MOD(5+$C24+(0),$B$3)+1)*I24+INDEX(Symboles!$G$6:$G$101,MOD(5+$C24+(1),$B$3)+1)*J24+INDEX(Symboles!$G$6:$G$101,MOD(5+$C24+(2),$B$3)+1)*K24+INDEX(Symboles!$G$6:$G$101,MOD(5+$C24+(3),$B$3)+1)*L24+INDEX(Symboles!$G$6:$G$101,MOD(5+$C24+(4),$B$3)+1)*M24+IF($B$6=0,0,$B$6*NORMSINV(0.000001+0.999998*RAND())))</f>
        <v/>
      </c>
      <c r="V24" s="30">
        <f>IF(7&gt;$B$3,99,INDEX(Symboles!$G$6:$G$101,MOD(6+$C24+(-4),$B$3)+1)*E24+INDEX(Symboles!$G$6:$G$101,MOD(6+$C24+(-3),$B$3)+1)*F24+INDEX(Symboles!$G$6:$G$101,MOD(6+$C24+(-2),$B$3)+1)*G24+INDEX(Symboles!$G$6:$G$101,MOD(6+$C24+(-1),$B$3)+1)*H24+INDEX(Symboles!$G$6:$G$101,MOD(6+$C24+(0),$B$3)+1)*I24+INDEX(Symboles!$G$6:$G$101,MOD(6+$C24+(1),$B$3)+1)*J24+INDEX(Symboles!$G$6:$G$101,MOD(6+$C24+(2),$B$3)+1)*K24+INDEX(Symboles!$G$6:$G$101,MOD(6+$C24+(3),$B$3)+1)*L24+INDEX(Symboles!$G$6:$G$101,MOD(6+$C24+(4),$B$3)+1)*M24+IF($B$6=0,0,$B$6*NORMSINV(0.000001+0.999998*RAND())))</f>
        <v/>
      </c>
      <c r="W24" s="30">
        <f>IF(8&gt;$B$3,99,INDEX(Symboles!$G$6:$G$101,MOD(7+$C24+(-4),$B$3)+1)*E24+INDEX(Symboles!$G$6:$G$101,MOD(7+$C24+(-3),$B$3)+1)*F24+INDEX(Symboles!$G$6:$G$101,MOD(7+$C24+(-2),$B$3)+1)*G24+INDEX(Symboles!$G$6:$G$101,MOD(7+$C24+(-1),$B$3)+1)*H24+INDEX(Symboles!$G$6:$G$101,MOD(7+$C24+(0),$B$3)+1)*I24+INDEX(Symboles!$G$6:$G$101,MOD(7+$C24+(1),$B$3)+1)*J24+INDEX(Symboles!$G$6:$G$101,MOD(7+$C24+(2),$B$3)+1)*K24+INDEX(Symboles!$G$6:$G$101,MOD(7+$C24+(3),$B$3)+1)*L24+INDEX(Symboles!$G$6:$G$101,MOD(7+$C24+(4),$B$3)+1)*M24+IF($B$6=0,0,$B$6*NORMSINV(0.000001+0.999998*RAND())))</f>
        <v/>
      </c>
      <c r="X24" s="30">
        <f>IF(9&gt;$B$3,99,INDEX(Symboles!$G$6:$G$101,MOD(8+$C24+(-4),$B$3)+1)*E24+INDEX(Symboles!$G$6:$G$101,MOD(8+$C24+(-3),$B$3)+1)*F24+INDEX(Symboles!$G$6:$G$101,MOD(8+$C24+(-2),$B$3)+1)*G24+INDEX(Symboles!$G$6:$G$101,MOD(8+$C24+(-1),$B$3)+1)*H24+INDEX(Symboles!$G$6:$G$101,MOD(8+$C24+(0),$B$3)+1)*I24+INDEX(Symboles!$G$6:$G$101,MOD(8+$C24+(1),$B$3)+1)*J24+INDEX(Symboles!$G$6:$G$101,MOD(8+$C24+(2),$B$3)+1)*K24+INDEX(Symboles!$G$6:$G$101,MOD(8+$C24+(3),$B$3)+1)*L24+INDEX(Symboles!$G$6:$G$101,MOD(8+$C24+(4),$B$3)+1)*M24+IF($B$6=0,0,$B$6*NORMSINV(0.000001+0.999998*RAND())))</f>
        <v/>
      </c>
      <c r="Y24" s="30">
        <f>IF(10&gt;$B$3,99,INDEX(Symboles!$G$6:$G$101,MOD(9+$C24+(-4),$B$3)+1)*E24+INDEX(Symboles!$G$6:$G$101,MOD(9+$C24+(-3),$B$3)+1)*F24+INDEX(Symboles!$G$6:$G$101,MOD(9+$C24+(-2),$B$3)+1)*G24+INDEX(Symboles!$G$6:$G$101,MOD(9+$C24+(-1),$B$3)+1)*H24+INDEX(Symboles!$G$6:$G$101,MOD(9+$C24+(0),$B$3)+1)*I24+INDEX(Symboles!$G$6:$G$101,MOD(9+$C24+(1),$B$3)+1)*J24+INDEX(Symboles!$G$6:$G$101,MOD(9+$C24+(2),$B$3)+1)*K24+INDEX(Symboles!$G$6:$G$101,MOD(9+$C24+(3),$B$3)+1)*L24+INDEX(Symboles!$G$6:$G$101,MOD(9+$C24+(4),$B$3)+1)*M24+IF($B$6=0,0,$B$6*NORMSINV(0.000001+0.999998*RAND())))</f>
        <v/>
      </c>
      <c r="Z24" s="30">
        <f>IF(11&gt;$B$3,99,INDEX(Symboles!$G$6:$G$101,MOD(10+$C24+(-4),$B$3)+1)*E24+INDEX(Symboles!$G$6:$G$101,MOD(10+$C24+(-3),$B$3)+1)*F24+INDEX(Symboles!$G$6:$G$101,MOD(10+$C24+(-2),$B$3)+1)*G24+INDEX(Symboles!$G$6:$G$101,MOD(10+$C24+(-1),$B$3)+1)*H24+INDEX(Symboles!$G$6:$G$101,MOD(10+$C24+(0),$B$3)+1)*I24+INDEX(Symboles!$G$6:$G$101,MOD(10+$C24+(1),$B$3)+1)*J24+INDEX(Symboles!$G$6:$G$101,MOD(10+$C24+(2),$B$3)+1)*K24+INDEX(Symboles!$G$6:$G$101,MOD(10+$C24+(3),$B$3)+1)*L24+INDEX(Symboles!$G$6:$G$101,MOD(10+$C24+(4),$B$3)+1)*M24+IF($B$6=0,0,$B$6*NORMSINV(0.000001+0.999998*RAND())))</f>
        <v/>
      </c>
      <c r="AA24" s="30">
        <f>IF(12&gt;$B$3,99,INDEX(Symboles!$G$6:$G$101,MOD(11+$C24+(-4),$B$3)+1)*E24+INDEX(Symboles!$G$6:$G$101,MOD(11+$C24+(-3),$B$3)+1)*F24+INDEX(Symboles!$G$6:$G$101,MOD(11+$C24+(-2),$B$3)+1)*G24+INDEX(Symboles!$G$6:$G$101,MOD(11+$C24+(-1),$B$3)+1)*H24+INDEX(Symboles!$G$6:$G$101,MOD(11+$C24+(0),$B$3)+1)*I24+INDEX(Symboles!$G$6:$G$101,MOD(11+$C24+(1),$B$3)+1)*J24+INDEX(Symboles!$G$6:$G$101,MOD(11+$C24+(2),$B$3)+1)*K24+INDEX(Symboles!$G$6:$G$101,MOD(11+$C24+(3),$B$3)+1)*L24+INDEX(Symboles!$G$6:$G$101,MOD(11+$C24+(4),$B$3)+1)*M24+IF($B$6=0,0,$B$6*NORMSINV(0.000001+0.999998*RAND())))</f>
        <v/>
      </c>
      <c r="AB24" s="30">
        <f>IF(13&gt;$B$3,99,INDEX(Symboles!$G$6:$G$101,MOD(12+$C24+(-4),$B$3)+1)*E24+INDEX(Symboles!$G$6:$G$101,MOD(12+$C24+(-3),$B$3)+1)*F24+INDEX(Symboles!$G$6:$G$101,MOD(12+$C24+(-2),$B$3)+1)*G24+INDEX(Symboles!$G$6:$G$101,MOD(12+$C24+(-1),$B$3)+1)*H24+INDEX(Symboles!$G$6:$G$101,MOD(12+$C24+(0),$B$3)+1)*I24+INDEX(Symboles!$G$6:$G$101,MOD(12+$C24+(1),$B$3)+1)*J24+INDEX(Symboles!$G$6:$G$101,MOD(12+$C24+(2),$B$3)+1)*K24+INDEX(Symboles!$G$6:$G$101,MOD(12+$C24+(3),$B$3)+1)*L24+INDEX(Symboles!$G$6:$G$101,MOD(12+$C24+(4),$B$3)+1)*M24+IF($B$6=0,0,$B$6*NORMSINV(0.000001+0.999998*RAND())))</f>
        <v/>
      </c>
      <c r="AC24" s="30">
        <f>IF(14&gt;$B$3,99,INDEX(Symboles!$G$6:$G$101,MOD(13+$C24+(-4),$B$3)+1)*E24+INDEX(Symboles!$G$6:$G$101,MOD(13+$C24+(-3),$B$3)+1)*F24+INDEX(Symboles!$G$6:$G$101,MOD(13+$C24+(-2),$B$3)+1)*G24+INDEX(Symboles!$G$6:$G$101,MOD(13+$C24+(-1),$B$3)+1)*H24+INDEX(Symboles!$G$6:$G$101,MOD(13+$C24+(0),$B$3)+1)*I24+INDEX(Symboles!$G$6:$G$101,MOD(13+$C24+(1),$B$3)+1)*J24+INDEX(Symboles!$G$6:$G$101,MOD(13+$C24+(2),$B$3)+1)*K24+INDEX(Symboles!$G$6:$G$101,MOD(13+$C24+(3),$B$3)+1)*L24+INDEX(Symboles!$G$6:$G$101,MOD(13+$C24+(4),$B$3)+1)*M24+IF($B$6=0,0,$B$6*NORMSINV(0.000001+0.999998*RAND())))</f>
        <v/>
      </c>
      <c r="AD24" s="30">
        <f>IF(15&gt;$B$3,99,INDEX(Symboles!$G$6:$G$101,MOD(14+$C24+(-4),$B$3)+1)*E24+INDEX(Symboles!$G$6:$G$101,MOD(14+$C24+(-3),$B$3)+1)*F24+INDEX(Symboles!$G$6:$G$101,MOD(14+$C24+(-2),$B$3)+1)*G24+INDEX(Symboles!$G$6:$G$101,MOD(14+$C24+(-1),$B$3)+1)*H24+INDEX(Symboles!$G$6:$G$101,MOD(14+$C24+(0),$B$3)+1)*I24+INDEX(Symboles!$G$6:$G$101,MOD(14+$C24+(1),$B$3)+1)*J24+INDEX(Symboles!$G$6:$G$101,MOD(14+$C24+(2),$B$3)+1)*K24+INDEX(Symboles!$G$6:$G$101,MOD(14+$C24+(3),$B$3)+1)*L24+INDEX(Symboles!$G$6:$G$101,MOD(14+$C24+(4),$B$3)+1)*M24+IF($B$6=0,0,$B$6*NORMSINV(0.000001+0.999998*RAND())))</f>
        <v/>
      </c>
      <c r="AE24" s="30">
        <f>IF(16&gt;$B$3,99,INDEX(Symboles!$G$6:$G$101,MOD(15+$C24+(-4),$B$3)+1)*E24+INDEX(Symboles!$G$6:$G$101,MOD(15+$C24+(-3),$B$3)+1)*F24+INDEX(Symboles!$G$6:$G$101,MOD(15+$C24+(-2),$B$3)+1)*G24+INDEX(Symboles!$G$6:$G$101,MOD(15+$C24+(-1),$B$3)+1)*H24+INDEX(Symboles!$G$6:$G$101,MOD(15+$C24+(0),$B$3)+1)*I24+INDEX(Symboles!$G$6:$G$101,MOD(15+$C24+(1),$B$3)+1)*J24+INDEX(Symboles!$G$6:$G$101,MOD(15+$C24+(2),$B$3)+1)*K24+INDEX(Symboles!$G$6:$G$101,MOD(15+$C24+(3),$B$3)+1)*L24+INDEX(Symboles!$G$6:$G$101,MOD(15+$C24+(4),$B$3)+1)*M24+IF($B$6=0,0,$B$6*NORMSINV(0.000001+0.999998*RAND())))</f>
        <v/>
      </c>
      <c r="AF24" s="30">
        <f>IF(17&gt;$B$3,99,INDEX(Symboles!$G$6:$G$101,MOD(16+$C24+(-4),$B$3)+1)*E24+INDEX(Symboles!$G$6:$G$101,MOD(16+$C24+(-3),$B$3)+1)*F24+INDEX(Symboles!$G$6:$G$101,MOD(16+$C24+(-2),$B$3)+1)*G24+INDEX(Symboles!$G$6:$G$101,MOD(16+$C24+(-1),$B$3)+1)*H24+INDEX(Symboles!$G$6:$G$101,MOD(16+$C24+(0),$B$3)+1)*I24+INDEX(Symboles!$G$6:$G$101,MOD(16+$C24+(1),$B$3)+1)*J24+INDEX(Symboles!$G$6:$G$101,MOD(16+$C24+(2),$B$3)+1)*K24+INDEX(Symboles!$G$6:$G$101,MOD(16+$C24+(3),$B$3)+1)*L24+INDEX(Symboles!$G$6:$G$101,MOD(16+$C24+(4),$B$3)+1)*M24+IF($B$6=0,0,$B$6*NORMSINV(0.000001+0.999998*RAND())))</f>
        <v/>
      </c>
      <c r="AG24" s="30">
        <f>IF(18&gt;$B$3,99,INDEX(Symboles!$G$6:$G$101,MOD(17+$C24+(-4),$B$3)+1)*E24+INDEX(Symboles!$G$6:$G$101,MOD(17+$C24+(-3),$B$3)+1)*F24+INDEX(Symboles!$G$6:$G$101,MOD(17+$C24+(-2),$B$3)+1)*G24+INDEX(Symboles!$G$6:$G$101,MOD(17+$C24+(-1),$B$3)+1)*H24+INDEX(Symboles!$G$6:$G$101,MOD(17+$C24+(0),$B$3)+1)*I24+INDEX(Symboles!$G$6:$G$101,MOD(17+$C24+(1),$B$3)+1)*J24+INDEX(Symboles!$G$6:$G$101,MOD(17+$C24+(2),$B$3)+1)*K24+INDEX(Symboles!$G$6:$G$101,MOD(17+$C24+(3),$B$3)+1)*L24+INDEX(Symboles!$G$6:$G$101,MOD(17+$C24+(4),$B$3)+1)*M24+IF($B$6=0,0,$B$6*NORMSINV(0.000001+0.999998*RAND())))</f>
        <v/>
      </c>
      <c r="AH24" s="30">
        <f>IF(19&gt;$B$3,99,INDEX(Symboles!$G$6:$G$101,MOD(18+$C24+(-4),$B$3)+1)*E24+INDEX(Symboles!$G$6:$G$101,MOD(18+$C24+(-3),$B$3)+1)*F24+INDEX(Symboles!$G$6:$G$101,MOD(18+$C24+(-2),$B$3)+1)*G24+INDEX(Symboles!$G$6:$G$101,MOD(18+$C24+(-1),$B$3)+1)*H24+INDEX(Symboles!$G$6:$G$101,MOD(18+$C24+(0),$B$3)+1)*I24+INDEX(Symboles!$G$6:$G$101,MOD(18+$C24+(1),$B$3)+1)*J24+INDEX(Symboles!$G$6:$G$101,MOD(18+$C24+(2),$B$3)+1)*K24+INDEX(Symboles!$G$6:$G$101,MOD(18+$C24+(3),$B$3)+1)*L24+INDEX(Symboles!$G$6:$G$101,MOD(18+$C24+(4),$B$3)+1)*M24+IF($B$6=0,0,$B$6*NORMSINV(0.000001+0.999998*RAND())))</f>
        <v/>
      </c>
      <c r="AI24" s="30">
        <f>IF(20&gt;$B$3,99,INDEX(Symboles!$G$6:$G$101,MOD(19+$C24+(-4),$B$3)+1)*E24+INDEX(Symboles!$G$6:$G$101,MOD(19+$C24+(-3),$B$3)+1)*F24+INDEX(Symboles!$G$6:$G$101,MOD(19+$C24+(-2),$B$3)+1)*G24+INDEX(Symboles!$G$6:$G$101,MOD(19+$C24+(-1),$B$3)+1)*H24+INDEX(Symboles!$G$6:$G$101,MOD(19+$C24+(0),$B$3)+1)*I24+INDEX(Symboles!$G$6:$G$101,MOD(19+$C24+(1),$B$3)+1)*J24+INDEX(Symboles!$G$6:$G$101,MOD(19+$C24+(2),$B$3)+1)*K24+INDEX(Symboles!$G$6:$G$101,MOD(19+$C24+(3),$B$3)+1)*L24+INDEX(Symboles!$G$6:$G$101,MOD(19+$C24+(4),$B$3)+1)*M24+IF($B$6=0,0,$B$6*NORMSINV(0.000001+0.999998*RAND())))</f>
        <v/>
      </c>
      <c r="AJ24" s="30">
        <f>IF(21&gt;$B$3,99,INDEX(Symboles!$G$6:$G$101,MOD(20+$C24+(-4),$B$3)+1)*E24+INDEX(Symboles!$G$6:$G$101,MOD(20+$C24+(-3),$B$3)+1)*F24+INDEX(Symboles!$G$6:$G$101,MOD(20+$C24+(-2),$B$3)+1)*G24+INDEX(Symboles!$G$6:$G$101,MOD(20+$C24+(-1),$B$3)+1)*H24+INDEX(Symboles!$G$6:$G$101,MOD(20+$C24+(0),$B$3)+1)*I24+INDEX(Symboles!$G$6:$G$101,MOD(20+$C24+(1),$B$3)+1)*J24+INDEX(Symboles!$G$6:$G$101,MOD(20+$C24+(2),$B$3)+1)*K24+INDEX(Symboles!$G$6:$G$101,MOD(20+$C24+(3),$B$3)+1)*L24+INDEX(Symboles!$G$6:$G$101,MOD(20+$C24+(4),$B$3)+1)*M24+IF($B$6=0,0,$B$6*NORMSINV(0.000001+0.999998*RAND())))</f>
        <v/>
      </c>
      <c r="AK24" s="30">
        <f>IF(22&gt;$B$3,99,INDEX(Symboles!$G$6:$G$101,MOD(21+$C24+(-4),$B$3)+1)*E24+INDEX(Symboles!$G$6:$G$101,MOD(21+$C24+(-3),$B$3)+1)*F24+INDEX(Symboles!$G$6:$G$101,MOD(21+$C24+(-2),$B$3)+1)*G24+INDEX(Symboles!$G$6:$G$101,MOD(21+$C24+(-1),$B$3)+1)*H24+INDEX(Symboles!$G$6:$G$101,MOD(21+$C24+(0),$B$3)+1)*I24+INDEX(Symboles!$G$6:$G$101,MOD(21+$C24+(1),$B$3)+1)*J24+INDEX(Symboles!$G$6:$G$101,MOD(21+$C24+(2),$B$3)+1)*K24+INDEX(Symboles!$G$6:$G$101,MOD(21+$C24+(3),$B$3)+1)*L24+INDEX(Symboles!$G$6:$G$101,MOD(21+$C24+(4),$B$3)+1)*M24+IF($B$6=0,0,$B$6*NORMSINV(0.000001+0.999998*RAND())))</f>
        <v/>
      </c>
      <c r="AL24" s="30">
        <f>IF(23&gt;$B$3,99,INDEX(Symboles!$G$6:$G$101,MOD(22+$C24+(-4),$B$3)+1)*E24+INDEX(Symboles!$G$6:$G$101,MOD(22+$C24+(-3),$B$3)+1)*F24+INDEX(Symboles!$G$6:$G$101,MOD(22+$C24+(-2),$B$3)+1)*G24+INDEX(Symboles!$G$6:$G$101,MOD(22+$C24+(-1),$B$3)+1)*H24+INDEX(Symboles!$G$6:$G$101,MOD(22+$C24+(0),$B$3)+1)*I24+INDEX(Symboles!$G$6:$G$101,MOD(22+$C24+(1),$B$3)+1)*J24+INDEX(Symboles!$G$6:$G$101,MOD(22+$C24+(2),$B$3)+1)*K24+INDEX(Symboles!$G$6:$G$101,MOD(22+$C24+(3),$B$3)+1)*L24+INDEX(Symboles!$G$6:$G$101,MOD(22+$C24+(4),$B$3)+1)*M24+IF($B$6=0,0,$B$6*NORMSINV(0.000001+0.999998*RAND())))</f>
        <v/>
      </c>
      <c r="AM24" s="30">
        <f>IF(24&gt;$B$3,99,INDEX(Symboles!$G$6:$G$101,MOD(23+$C24+(-4),$B$3)+1)*E24+INDEX(Symboles!$G$6:$G$101,MOD(23+$C24+(-3),$B$3)+1)*F24+INDEX(Symboles!$G$6:$G$101,MOD(23+$C24+(-2),$B$3)+1)*G24+INDEX(Symboles!$G$6:$G$101,MOD(23+$C24+(-1),$B$3)+1)*H24+INDEX(Symboles!$G$6:$G$101,MOD(23+$C24+(0),$B$3)+1)*I24+INDEX(Symboles!$G$6:$G$101,MOD(23+$C24+(1),$B$3)+1)*J24+INDEX(Symboles!$G$6:$G$101,MOD(23+$C24+(2),$B$3)+1)*K24+INDEX(Symboles!$G$6:$G$101,MOD(23+$C24+(3),$B$3)+1)*L24+INDEX(Symboles!$G$6:$G$101,MOD(23+$C24+(4),$B$3)+1)*M24+IF($B$6=0,0,$B$6*NORMSINV(0.000001+0.999998*RAND())))</f>
        <v/>
      </c>
      <c r="AN24" s="30">
        <f>IF(25&gt;$B$3,99,INDEX(Symboles!$G$6:$G$101,MOD(24+$C24+(-4),$B$3)+1)*E24+INDEX(Symboles!$G$6:$G$101,MOD(24+$C24+(-3),$B$3)+1)*F24+INDEX(Symboles!$G$6:$G$101,MOD(24+$C24+(-2),$B$3)+1)*G24+INDEX(Symboles!$G$6:$G$101,MOD(24+$C24+(-1),$B$3)+1)*H24+INDEX(Symboles!$G$6:$G$101,MOD(24+$C24+(0),$B$3)+1)*I24+INDEX(Symboles!$G$6:$G$101,MOD(24+$C24+(1),$B$3)+1)*J24+INDEX(Symboles!$G$6:$G$101,MOD(24+$C24+(2),$B$3)+1)*K24+INDEX(Symboles!$G$6:$G$101,MOD(24+$C24+(3),$B$3)+1)*L24+INDEX(Symboles!$G$6:$G$101,MOD(24+$C24+(4),$B$3)+1)*M24+IF($B$6=0,0,$B$6*NORMSINV(0.000001+0.999998*RAND())))</f>
        <v/>
      </c>
      <c r="AO24" s="30">
        <f>IF(26&gt;$B$3,99,INDEX(Symboles!$G$6:$G$101,MOD(25+$C24+(-4),$B$3)+1)*E24+INDEX(Symboles!$G$6:$G$101,MOD(25+$C24+(-3),$B$3)+1)*F24+INDEX(Symboles!$G$6:$G$101,MOD(25+$C24+(-2),$B$3)+1)*G24+INDEX(Symboles!$G$6:$G$101,MOD(25+$C24+(-1),$B$3)+1)*H24+INDEX(Symboles!$G$6:$G$101,MOD(25+$C24+(0),$B$3)+1)*I24+INDEX(Symboles!$G$6:$G$101,MOD(25+$C24+(1),$B$3)+1)*J24+INDEX(Symboles!$G$6:$G$101,MOD(25+$C24+(2),$B$3)+1)*K24+INDEX(Symboles!$G$6:$G$101,MOD(25+$C24+(3),$B$3)+1)*L24+INDEX(Symboles!$G$6:$G$101,MOD(25+$C24+(4),$B$3)+1)*M24+IF($B$6=0,0,$B$6*NORMSINV(0.000001+0.999998*RAND())))</f>
        <v/>
      </c>
      <c r="AP24" s="30">
        <f>IF(27&gt;$B$3,99,INDEX(Symboles!$G$6:$G$101,MOD(26+$C24+(-4),$B$3)+1)*E24+INDEX(Symboles!$G$6:$G$101,MOD(26+$C24+(-3),$B$3)+1)*F24+INDEX(Symboles!$G$6:$G$101,MOD(26+$C24+(-2),$B$3)+1)*G24+INDEX(Symboles!$G$6:$G$101,MOD(26+$C24+(-1),$B$3)+1)*H24+INDEX(Symboles!$G$6:$G$101,MOD(26+$C24+(0),$B$3)+1)*I24+INDEX(Symboles!$G$6:$G$101,MOD(26+$C24+(1),$B$3)+1)*J24+INDEX(Symboles!$G$6:$G$101,MOD(26+$C24+(2),$B$3)+1)*K24+INDEX(Symboles!$G$6:$G$101,MOD(26+$C24+(3),$B$3)+1)*L24+INDEX(Symboles!$G$6:$G$101,MOD(26+$C24+(4),$B$3)+1)*M24+IF($B$6=0,0,$B$6*NORMSINV(0.000001+0.999998*RAND())))</f>
        <v/>
      </c>
      <c r="AQ24" s="30">
        <f>IF(28&gt;$B$3,99,INDEX(Symboles!$G$6:$G$101,MOD(27+$C24+(-4),$B$3)+1)*E24+INDEX(Symboles!$G$6:$G$101,MOD(27+$C24+(-3),$B$3)+1)*F24+INDEX(Symboles!$G$6:$G$101,MOD(27+$C24+(-2),$B$3)+1)*G24+INDEX(Symboles!$G$6:$G$101,MOD(27+$C24+(-1),$B$3)+1)*H24+INDEX(Symboles!$G$6:$G$101,MOD(27+$C24+(0),$B$3)+1)*I24+INDEX(Symboles!$G$6:$G$101,MOD(27+$C24+(1),$B$3)+1)*J24+INDEX(Symboles!$G$6:$G$101,MOD(27+$C24+(2),$B$3)+1)*K24+INDEX(Symboles!$G$6:$G$101,MOD(27+$C24+(3),$B$3)+1)*L24+INDEX(Symboles!$G$6:$G$101,MOD(27+$C24+(4),$B$3)+1)*M24+IF($B$6=0,0,$B$6*NORMSINV(0.000001+0.999998*RAND())))</f>
        <v/>
      </c>
      <c r="AR24" s="30">
        <f>IF(29&gt;$B$3,99,INDEX(Symboles!$G$6:$G$101,MOD(28+$C24+(-4),$B$3)+1)*E24+INDEX(Symboles!$G$6:$G$101,MOD(28+$C24+(-3),$B$3)+1)*F24+INDEX(Symboles!$G$6:$G$101,MOD(28+$C24+(-2),$B$3)+1)*G24+INDEX(Symboles!$G$6:$G$101,MOD(28+$C24+(-1),$B$3)+1)*H24+INDEX(Symboles!$G$6:$G$101,MOD(28+$C24+(0),$B$3)+1)*I24+INDEX(Symboles!$G$6:$G$101,MOD(28+$C24+(1),$B$3)+1)*J24+INDEX(Symboles!$G$6:$G$101,MOD(28+$C24+(2),$B$3)+1)*K24+INDEX(Symboles!$G$6:$G$101,MOD(28+$C24+(3),$B$3)+1)*L24+INDEX(Symboles!$G$6:$G$101,MOD(28+$C24+(4),$B$3)+1)*M24+IF($B$6=0,0,$B$6*NORMSINV(0.000001+0.999998*RAND())))</f>
        <v/>
      </c>
      <c r="AS24" s="30">
        <f>IF(30&gt;$B$3,99,INDEX(Symboles!$G$6:$G$101,MOD(29+$C24+(-4),$B$3)+1)*E24+INDEX(Symboles!$G$6:$G$101,MOD(29+$C24+(-3),$B$3)+1)*F24+INDEX(Symboles!$G$6:$G$101,MOD(29+$C24+(-2),$B$3)+1)*G24+INDEX(Symboles!$G$6:$G$101,MOD(29+$C24+(-1),$B$3)+1)*H24+INDEX(Symboles!$G$6:$G$101,MOD(29+$C24+(0),$B$3)+1)*I24+INDEX(Symboles!$G$6:$G$101,MOD(29+$C24+(1),$B$3)+1)*J24+INDEX(Symboles!$G$6:$G$101,MOD(29+$C24+(2),$B$3)+1)*K24+INDEX(Symboles!$G$6:$G$101,MOD(29+$C24+(3),$B$3)+1)*L24+INDEX(Symboles!$G$6:$G$101,MOD(29+$C24+(4),$B$3)+1)*M24+IF($B$6=0,0,$B$6*NORMSINV(0.000001+0.999998*RAND())))</f>
        <v/>
      </c>
      <c r="AT24" s="30">
        <f>IF(31&gt;$B$3,99,INDEX(Symboles!$G$6:$G$101,MOD(30+$C24+(-4),$B$3)+1)*E24+INDEX(Symboles!$G$6:$G$101,MOD(30+$C24+(-3),$B$3)+1)*F24+INDEX(Symboles!$G$6:$G$101,MOD(30+$C24+(-2),$B$3)+1)*G24+INDEX(Symboles!$G$6:$G$101,MOD(30+$C24+(-1),$B$3)+1)*H24+INDEX(Symboles!$G$6:$G$101,MOD(30+$C24+(0),$B$3)+1)*I24+INDEX(Symboles!$G$6:$G$101,MOD(30+$C24+(1),$B$3)+1)*J24+INDEX(Symboles!$G$6:$G$101,MOD(30+$C24+(2),$B$3)+1)*K24+INDEX(Symboles!$G$6:$G$101,MOD(30+$C24+(3),$B$3)+1)*L24+INDEX(Symboles!$G$6:$G$101,MOD(30+$C24+(4),$B$3)+1)*M24+IF($B$6=0,0,$B$6*NORMSINV(0.000001+0.999998*RAND())))</f>
        <v/>
      </c>
      <c r="AU24" s="30">
        <f>IF(32&gt;$B$3,99,INDEX(Symboles!$G$6:$G$101,MOD(31+$C24+(-4),$B$3)+1)*E24+INDEX(Symboles!$G$6:$G$101,MOD(31+$C24+(-3),$B$3)+1)*F24+INDEX(Symboles!$G$6:$G$101,MOD(31+$C24+(-2),$B$3)+1)*G24+INDEX(Symboles!$G$6:$G$101,MOD(31+$C24+(-1),$B$3)+1)*H24+INDEX(Symboles!$G$6:$G$101,MOD(31+$C24+(0),$B$3)+1)*I24+INDEX(Symboles!$G$6:$G$101,MOD(31+$C24+(1),$B$3)+1)*J24+INDEX(Symboles!$G$6:$G$101,MOD(31+$C24+(2),$B$3)+1)*K24+INDEX(Symboles!$G$6:$G$101,MOD(31+$C24+(3),$B$3)+1)*L24+INDEX(Symboles!$G$6:$G$101,MOD(31+$C24+(4),$B$3)+1)*M24+IF($B$6=0,0,$B$6*NORMSINV(0.000001+0.999998*RAND())))</f>
        <v/>
      </c>
      <c r="AV24" s="30">
        <f>IF(33&gt;$B$3,99,INDEX(Symboles!$G$6:$G$101,MOD(32+$C24+(-4),$B$3)+1)*E24+INDEX(Symboles!$G$6:$G$101,MOD(32+$C24+(-3),$B$3)+1)*F24+INDEX(Symboles!$G$6:$G$101,MOD(32+$C24+(-2),$B$3)+1)*G24+INDEX(Symboles!$G$6:$G$101,MOD(32+$C24+(-1),$B$3)+1)*H24+INDEX(Symboles!$G$6:$G$101,MOD(32+$C24+(0),$B$3)+1)*I24+INDEX(Symboles!$G$6:$G$101,MOD(32+$C24+(1),$B$3)+1)*J24+INDEX(Symboles!$G$6:$G$101,MOD(32+$C24+(2),$B$3)+1)*K24+INDEX(Symboles!$G$6:$G$101,MOD(32+$C24+(3),$B$3)+1)*L24+INDEX(Symboles!$G$6:$G$101,MOD(32+$C24+(4),$B$3)+1)*M24+IF($B$6=0,0,$B$6*NORMSINV(0.000001+0.999998*RAND())))</f>
        <v/>
      </c>
      <c r="AW24" s="30">
        <f>IF(34&gt;$B$3,99,INDEX(Symboles!$G$6:$G$101,MOD(33+$C24+(-4),$B$3)+1)*E24+INDEX(Symboles!$G$6:$G$101,MOD(33+$C24+(-3),$B$3)+1)*F24+INDEX(Symboles!$G$6:$G$101,MOD(33+$C24+(-2),$B$3)+1)*G24+INDEX(Symboles!$G$6:$G$101,MOD(33+$C24+(-1),$B$3)+1)*H24+INDEX(Symboles!$G$6:$G$101,MOD(33+$C24+(0),$B$3)+1)*I24+INDEX(Symboles!$G$6:$G$101,MOD(33+$C24+(1),$B$3)+1)*J24+INDEX(Symboles!$G$6:$G$101,MOD(33+$C24+(2),$B$3)+1)*K24+INDEX(Symboles!$G$6:$G$101,MOD(33+$C24+(3),$B$3)+1)*L24+INDEX(Symboles!$G$6:$G$101,MOD(33+$C24+(4),$B$3)+1)*M24+IF($B$6=0,0,$B$6*NORMSINV(0.000001+0.999998*RAND())))</f>
        <v/>
      </c>
      <c r="AX24" s="30">
        <f>IF(35&gt;$B$3,99,INDEX(Symboles!$G$6:$G$101,MOD(34+$C24+(-4),$B$3)+1)*E24+INDEX(Symboles!$G$6:$G$101,MOD(34+$C24+(-3),$B$3)+1)*F24+INDEX(Symboles!$G$6:$G$101,MOD(34+$C24+(-2),$B$3)+1)*G24+INDEX(Symboles!$G$6:$G$101,MOD(34+$C24+(-1),$B$3)+1)*H24+INDEX(Symboles!$G$6:$G$101,MOD(34+$C24+(0),$B$3)+1)*I24+INDEX(Symboles!$G$6:$G$101,MOD(34+$C24+(1),$B$3)+1)*J24+INDEX(Symboles!$G$6:$G$101,MOD(34+$C24+(2),$B$3)+1)*K24+INDEX(Symboles!$G$6:$G$101,MOD(34+$C24+(3),$B$3)+1)*L24+INDEX(Symboles!$G$6:$G$101,MOD(34+$C24+(4),$B$3)+1)*M24+IF($B$6=0,0,$B$6*NORMSINV(0.000001+0.999998*RAND())))</f>
        <v/>
      </c>
      <c r="AY24" s="30">
        <f>IF(36&gt;$B$3,99,INDEX(Symboles!$G$6:$G$101,MOD(35+$C24+(-4),$B$3)+1)*E24+INDEX(Symboles!$G$6:$G$101,MOD(35+$C24+(-3),$B$3)+1)*F24+INDEX(Symboles!$G$6:$G$101,MOD(35+$C24+(-2),$B$3)+1)*G24+INDEX(Symboles!$G$6:$G$101,MOD(35+$C24+(-1),$B$3)+1)*H24+INDEX(Symboles!$G$6:$G$101,MOD(35+$C24+(0),$B$3)+1)*I24+INDEX(Symboles!$G$6:$G$101,MOD(35+$C24+(1),$B$3)+1)*J24+INDEX(Symboles!$G$6:$G$101,MOD(35+$C24+(2),$B$3)+1)*K24+INDEX(Symboles!$G$6:$G$101,MOD(35+$C24+(3),$B$3)+1)*L24+INDEX(Symboles!$G$6:$G$101,MOD(35+$C24+(4),$B$3)+1)*M24+IF($B$6=0,0,$B$6*NORMSINV(0.000001+0.999998*RAND())))</f>
        <v/>
      </c>
      <c r="AZ24" s="30">
        <f>IF(37&gt;$B$3,99,INDEX(Symboles!$G$6:$G$101,MOD(36+$C24+(-4),$B$3)+1)*E24+INDEX(Symboles!$G$6:$G$101,MOD(36+$C24+(-3),$B$3)+1)*F24+INDEX(Symboles!$G$6:$G$101,MOD(36+$C24+(-2),$B$3)+1)*G24+INDEX(Symboles!$G$6:$G$101,MOD(36+$C24+(-1),$B$3)+1)*H24+INDEX(Symboles!$G$6:$G$101,MOD(36+$C24+(0),$B$3)+1)*I24+INDEX(Symboles!$G$6:$G$101,MOD(36+$C24+(1),$B$3)+1)*J24+INDEX(Symboles!$G$6:$G$101,MOD(36+$C24+(2),$B$3)+1)*K24+INDEX(Symboles!$G$6:$G$101,MOD(36+$C24+(3),$B$3)+1)*L24+INDEX(Symboles!$G$6:$G$101,MOD(36+$C24+(4),$B$3)+1)*M24+IF($B$6=0,0,$B$6*NORMSINV(0.000001+0.999998*RAND())))</f>
        <v/>
      </c>
      <c r="BA24" s="30">
        <f>IF(38&gt;$B$3,99,INDEX(Symboles!$G$6:$G$101,MOD(37+$C24+(-4),$B$3)+1)*E24+INDEX(Symboles!$G$6:$G$101,MOD(37+$C24+(-3),$B$3)+1)*F24+INDEX(Symboles!$G$6:$G$101,MOD(37+$C24+(-2),$B$3)+1)*G24+INDEX(Symboles!$G$6:$G$101,MOD(37+$C24+(-1),$B$3)+1)*H24+INDEX(Symboles!$G$6:$G$101,MOD(37+$C24+(0),$B$3)+1)*I24+INDEX(Symboles!$G$6:$G$101,MOD(37+$C24+(1),$B$3)+1)*J24+INDEX(Symboles!$G$6:$G$101,MOD(37+$C24+(2),$B$3)+1)*K24+INDEX(Symboles!$G$6:$G$101,MOD(37+$C24+(3),$B$3)+1)*L24+INDEX(Symboles!$G$6:$G$101,MOD(37+$C24+(4),$B$3)+1)*M24+IF($B$6=0,0,$B$6*NORMSINV(0.000001+0.999998*RAND())))</f>
        <v/>
      </c>
      <c r="BB24" s="30">
        <f>IF(39&gt;$B$3,99,INDEX(Symboles!$G$6:$G$101,MOD(38+$C24+(-4),$B$3)+1)*E24+INDEX(Symboles!$G$6:$G$101,MOD(38+$C24+(-3),$B$3)+1)*F24+INDEX(Symboles!$G$6:$G$101,MOD(38+$C24+(-2),$B$3)+1)*G24+INDEX(Symboles!$G$6:$G$101,MOD(38+$C24+(-1),$B$3)+1)*H24+INDEX(Symboles!$G$6:$G$101,MOD(38+$C24+(0),$B$3)+1)*I24+INDEX(Symboles!$G$6:$G$101,MOD(38+$C24+(1),$B$3)+1)*J24+INDEX(Symboles!$G$6:$G$101,MOD(38+$C24+(2),$B$3)+1)*K24+INDEX(Symboles!$G$6:$G$101,MOD(38+$C24+(3),$B$3)+1)*L24+INDEX(Symboles!$G$6:$G$101,MOD(38+$C24+(4),$B$3)+1)*M24+IF($B$6=0,0,$B$6*NORMSINV(0.000001+0.999998*RAND())))</f>
        <v/>
      </c>
      <c r="BC24" s="30">
        <f>IF(40&gt;$B$3,99,INDEX(Symboles!$G$6:$G$101,MOD(39+$C24+(-4),$B$3)+1)*E24+INDEX(Symboles!$G$6:$G$101,MOD(39+$C24+(-3),$B$3)+1)*F24+INDEX(Symboles!$G$6:$G$101,MOD(39+$C24+(-2),$B$3)+1)*G24+INDEX(Symboles!$G$6:$G$101,MOD(39+$C24+(-1),$B$3)+1)*H24+INDEX(Symboles!$G$6:$G$101,MOD(39+$C24+(0),$B$3)+1)*I24+INDEX(Symboles!$G$6:$G$101,MOD(39+$C24+(1),$B$3)+1)*J24+INDEX(Symboles!$G$6:$G$101,MOD(39+$C24+(2),$B$3)+1)*K24+INDEX(Symboles!$G$6:$G$101,MOD(39+$C24+(3),$B$3)+1)*L24+INDEX(Symboles!$G$6:$G$101,MOD(39+$C24+(4),$B$3)+1)*M24+IF($B$6=0,0,$B$6*NORMSINV(0.000001+0.999998*RAND())))</f>
        <v/>
      </c>
      <c r="BD24" s="30">
        <f>IF(41&gt;$B$3,99,INDEX(Symboles!$G$6:$G$101,MOD(40+$C24+(-4),$B$3)+1)*E24+INDEX(Symboles!$G$6:$G$101,MOD(40+$C24+(-3),$B$3)+1)*F24+INDEX(Symboles!$G$6:$G$101,MOD(40+$C24+(-2),$B$3)+1)*G24+INDEX(Symboles!$G$6:$G$101,MOD(40+$C24+(-1),$B$3)+1)*H24+INDEX(Symboles!$G$6:$G$101,MOD(40+$C24+(0),$B$3)+1)*I24+INDEX(Symboles!$G$6:$G$101,MOD(40+$C24+(1),$B$3)+1)*J24+INDEX(Symboles!$G$6:$G$101,MOD(40+$C24+(2),$B$3)+1)*K24+INDEX(Symboles!$G$6:$G$101,MOD(40+$C24+(3),$B$3)+1)*L24+INDEX(Symboles!$G$6:$G$101,MOD(40+$C24+(4),$B$3)+1)*M24+IF($B$6=0,0,$B$6*NORMSINV(0.000001+0.999998*RAND())))</f>
        <v/>
      </c>
      <c r="BE24" s="30">
        <f>IF(42&gt;$B$3,99,INDEX(Symboles!$G$6:$G$101,MOD(41+$C24+(-4),$B$3)+1)*E24+INDEX(Symboles!$G$6:$G$101,MOD(41+$C24+(-3),$B$3)+1)*F24+INDEX(Symboles!$G$6:$G$101,MOD(41+$C24+(-2),$B$3)+1)*G24+INDEX(Symboles!$G$6:$G$101,MOD(41+$C24+(-1),$B$3)+1)*H24+INDEX(Symboles!$G$6:$G$101,MOD(41+$C24+(0),$B$3)+1)*I24+INDEX(Symboles!$G$6:$G$101,MOD(41+$C24+(1),$B$3)+1)*J24+INDEX(Symboles!$G$6:$G$101,MOD(41+$C24+(2),$B$3)+1)*K24+INDEX(Symboles!$G$6:$G$101,MOD(41+$C24+(3),$B$3)+1)*L24+INDEX(Symboles!$G$6:$G$101,MOD(41+$C24+(4),$B$3)+1)*M24+IF($B$6=0,0,$B$6*NORMSINV(0.000001+0.999998*RAND())))</f>
        <v/>
      </c>
      <c r="BF24" s="30">
        <f>IF(43&gt;$B$3,99,INDEX(Symboles!$G$6:$G$101,MOD(42+$C24+(-4),$B$3)+1)*E24+INDEX(Symboles!$G$6:$G$101,MOD(42+$C24+(-3),$B$3)+1)*F24+INDEX(Symboles!$G$6:$G$101,MOD(42+$C24+(-2),$B$3)+1)*G24+INDEX(Symboles!$G$6:$G$101,MOD(42+$C24+(-1),$B$3)+1)*H24+INDEX(Symboles!$G$6:$G$101,MOD(42+$C24+(0),$B$3)+1)*I24+INDEX(Symboles!$G$6:$G$101,MOD(42+$C24+(1),$B$3)+1)*J24+INDEX(Symboles!$G$6:$G$101,MOD(42+$C24+(2),$B$3)+1)*K24+INDEX(Symboles!$G$6:$G$101,MOD(42+$C24+(3),$B$3)+1)*L24+INDEX(Symboles!$G$6:$G$101,MOD(42+$C24+(4),$B$3)+1)*M24+IF($B$6=0,0,$B$6*NORMSINV(0.000001+0.999998*RAND())))</f>
        <v/>
      </c>
      <c r="BG24" s="30">
        <f>IF(44&gt;$B$3,99,INDEX(Symboles!$G$6:$G$101,MOD(43+$C24+(-4),$B$3)+1)*E24+INDEX(Symboles!$G$6:$G$101,MOD(43+$C24+(-3),$B$3)+1)*F24+INDEX(Symboles!$G$6:$G$101,MOD(43+$C24+(-2),$B$3)+1)*G24+INDEX(Symboles!$G$6:$G$101,MOD(43+$C24+(-1),$B$3)+1)*H24+INDEX(Symboles!$G$6:$G$101,MOD(43+$C24+(0),$B$3)+1)*I24+INDEX(Symboles!$G$6:$G$101,MOD(43+$C24+(1),$B$3)+1)*J24+INDEX(Symboles!$G$6:$G$101,MOD(43+$C24+(2),$B$3)+1)*K24+INDEX(Symboles!$G$6:$G$101,MOD(43+$C24+(3),$B$3)+1)*L24+INDEX(Symboles!$G$6:$G$101,MOD(43+$C24+(4),$B$3)+1)*M24+IF($B$6=0,0,$B$6*NORMSINV(0.000001+0.999998*RAND())))</f>
        <v/>
      </c>
      <c r="BH24" s="30">
        <f>IF(45&gt;$B$3,99,INDEX(Symboles!$G$6:$G$101,MOD(44+$C24+(-4),$B$3)+1)*E24+INDEX(Symboles!$G$6:$G$101,MOD(44+$C24+(-3),$B$3)+1)*F24+INDEX(Symboles!$G$6:$G$101,MOD(44+$C24+(-2),$B$3)+1)*G24+INDEX(Symboles!$G$6:$G$101,MOD(44+$C24+(-1),$B$3)+1)*H24+INDEX(Symboles!$G$6:$G$101,MOD(44+$C24+(0),$B$3)+1)*I24+INDEX(Symboles!$G$6:$G$101,MOD(44+$C24+(1),$B$3)+1)*J24+INDEX(Symboles!$G$6:$G$101,MOD(44+$C24+(2),$B$3)+1)*K24+INDEX(Symboles!$G$6:$G$101,MOD(44+$C24+(3),$B$3)+1)*L24+INDEX(Symboles!$G$6:$G$101,MOD(44+$C24+(4),$B$3)+1)*M24+IF($B$6=0,0,$B$6*NORMSINV(0.000001+0.999998*RAND())))</f>
        <v/>
      </c>
      <c r="BI24" s="30">
        <f>IF(46&gt;$B$3,99,INDEX(Symboles!$G$6:$G$101,MOD(45+$C24+(-4),$B$3)+1)*E24+INDEX(Symboles!$G$6:$G$101,MOD(45+$C24+(-3),$B$3)+1)*F24+INDEX(Symboles!$G$6:$G$101,MOD(45+$C24+(-2),$B$3)+1)*G24+INDEX(Symboles!$G$6:$G$101,MOD(45+$C24+(-1),$B$3)+1)*H24+INDEX(Symboles!$G$6:$G$101,MOD(45+$C24+(0),$B$3)+1)*I24+INDEX(Symboles!$G$6:$G$101,MOD(45+$C24+(1),$B$3)+1)*J24+INDEX(Symboles!$G$6:$G$101,MOD(45+$C24+(2),$B$3)+1)*K24+INDEX(Symboles!$G$6:$G$101,MOD(45+$C24+(3),$B$3)+1)*L24+INDEX(Symboles!$G$6:$G$101,MOD(45+$C24+(4),$B$3)+1)*M24+IF($B$6=0,0,$B$6*NORMSINV(0.000001+0.999998*RAND())))</f>
        <v/>
      </c>
      <c r="BJ24" s="30">
        <f>IF(47&gt;$B$3,99,INDEX(Symboles!$G$6:$G$101,MOD(46+$C24+(-4),$B$3)+1)*E24+INDEX(Symboles!$G$6:$G$101,MOD(46+$C24+(-3),$B$3)+1)*F24+INDEX(Symboles!$G$6:$G$101,MOD(46+$C24+(-2),$B$3)+1)*G24+INDEX(Symboles!$G$6:$G$101,MOD(46+$C24+(-1),$B$3)+1)*H24+INDEX(Symboles!$G$6:$G$101,MOD(46+$C24+(0),$B$3)+1)*I24+INDEX(Symboles!$G$6:$G$101,MOD(46+$C24+(1),$B$3)+1)*J24+INDEX(Symboles!$G$6:$G$101,MOD(46+$C24+(2),$B$3)+1)*K24+INDEX(Symboles!$G$6:$G$101,MOD(46+$C24+(3),$B$3)+1)*L24+INDEX(Symboles!$G$6:$G$101,MOD(46+$C24+(4),$B$3)+1)*M24+IF($B$6=0,0,$B$6*NORMSINV(0.000001+0.999998*RAND())))</f>
        <v/>
      </c>
      <c r="BK24" s="30">
        <f>IF(48&gt;$B$3,99,INDEX(Symboles!$G$6:$G$101,MOD(47+$C24+(-4),$B$3)+1)*E24+INDEX(Symboles!$G$6:$G$101,MOD(47+$C24+(-3),$B$3)+1)*F24+INDEX(Symboles!$G$6:$G$101,MOD(47+$C24+(-2),$B$3)+1)*G24+INDEX(Symboles!$G$6:$G$101,MOD(47+$C24+(-1),$B$3)+1)*H24+INDEX(Symboles!$G$6:$G$101,MOD(47+$C24+(0),$B$3)+1)*I24+INDEX(Symboles!$G$6:$G$101,MOD(47+$C24+(1),$B$3)+1)*J24+INDEX(Symboles!$G$6:$G$101,MOD(47+$C24+(2),$B$3)+1)*K24+INDEX(Symboles!$G$6:$G$101,MOD(47+$C24+(3),$B$3)+1)*L24+INDEX(Symboles!$G$6:$G$101,MOD(47+$C24+(4),$B$3)+1)*M24+IF($B$6=0,0,$B$6*NORMSINV(0.000001+0.999998*RAND())))</f>
        <v/>
      </c>
      <c r="BL24" s="30">
        <f>IF(49&gt;$B$3,99,INDEX(Symboles!$G$6:$G$101,MOD(48+$C24+(-4),$B$3)+1)*E24+INDEX(Symboles!$G$6:$G$101,MOD(48+$C24+(-3),$B$3)+1)*F24+INDEX(Symboles!$G$6:$G$101,MOD(48+$C24+(-2),$B$3)+1)*G24+INDEX(Symboles!$G$6:$G$101,MOD(48+$C24+(-1),$B$3)+1)*H24+INDEX(Symboles!$G$6:$G$101,MOD(48+$C24+(0),$B$3)+1)*I24+INDEX(Symboles!$G$6:$G$101,MOD(48+$C24+(1),$B$3)+1)*J24+INDEX(Symboles!$G$6:$G$101,MOD(48+$C24+(2),$B$3)+1)*K24+INDEX(Symboles!$G$6:$G$101,MOD(48+$C24+(3),$B$3)+1)*L24+INDEX(Symboles!$G$6:$G$101,MOD(48+$C24+(4),$B$3)+1)*M24+IF($B$6=0,0,$B$6*NORMSINV(0.000001+0.999998*RAND())))</f>
        <v/>
      </c>
      <c r="BM24" s="30">
        <f>IF(50&gt;$B$3,99,INDEX(Symboles!$G$6:$G$101,MOD(49+$C24+(-4),$B$3)+1)*E24+INDEX(Symboles!$G$6:$G$101,MOD(49+$C24+(-3),$B$3)+1)*F24+INDEX(Symboles!$G$6:$G$101,MOD(49+$C24+(-2),$B$3)+1)*G24+INDEX(Symboles!$G$6:$G$101,MOD(49+$C24+(-1),$B$3)+1)*H24+INDEX(Symboles!$G$6:$G$101,MOD(49+$C24+(0),$B$3)+1)*I24+INDEX(Symboles!$G$6:$G$101,MOD(49+$C24+(1),$B$3)+1)*J24+INDEX(Symboles!$G$6:$G$101,MOD(49+$C24+(2),$B$3)+1)*K24+INDEX(Symboles!$G$6:$G$101,MOD(49+$C24+(3),$B$3)+1)*L24+INDEX(Symboles!$G$6:$G$101,MOD(49+$C24+(4),$B$3)+1)*M24+IF($B$6=0,0,$B$6*NORMSINV(0.000001+0.999998*RAND())))</f>
        <v/>
      </c>
      <c r="BN24" s="30">
        <f>IF(51&gt;$B$3,99,INDEX(Symboles!$G$6:$G$101,MOD(50+$C24+(-4),$B$3)+1)*E24+INDEX(Symboles!$G$6:$G$101,MOD(50+$C24+(-3),$B$3)+1)*F24+INDEX(Symboles!$G$6:$G$101,MOD(50+$C24+(-2),$B$3)+1)*G24+INDEX(Symboles!$G$6:$G$101,MOD(50+$C24+(-1),$B$3)+1)*H24+INDEX(Symboles!$G$6:$G$101,MOD(50+$C24+(0),$B$3)+1)*I24+INDEX(Symboles!$G$6:$G$101,MOD(50+$C24+(1),$B$3)+1)*J24+INDEX(Symboles!$G$6:$G$101,MOD(50+$C24+(2),$B$3)+1)*K24+INDEX(Symboles!$G$6:$G$101,MOD(50+$C24+(3),$B$3)+1)*L24+INDEX(Symboles!$G$6:$G$101,MOD(50+$C24+(4),$B$3)+1)*M24+IF($B$6=0,0,$B$6*NORMSINV(0.000001+0.999998*RAND())))</f>
        <v/>
      </c>
      <c r="BO24" s="30">
        <f>IF(52&gt;$B$3,99,INDEX(Symboles!$G$6:$G$101,MOD(51+$C24+(-4),$B$3)+1)*E24+INDEX(Symboles!$G$6:$G$101,MOD(51+$C24+(-3),$B$3)+1)*F24+INDEX(Symboles!$G$6:$G$101,MOD(51+$C24+(-2),$B$3)+1)*G24+INDEX(Symboles!$G$6:$G$101,MOD(51+$C24+(-1),$B$3)+1)*H24+INDEX(Symboles!$G$6:$G$101,MOD(51+$C24+(0),$B$3)+1)*I24+INDEX(Symboles!$G$6:$G$101,MOD(51+$C24+(1),$B$3)+1)*J24+INDEX(Symboles!$G$6:$G$101,MOD(51+$C24+(2),$B$3)+1)*K24+INDEX(Symboles!$G$6:$G$101,MOD(51+$C24+(3),$B$3)+1)*L24+INDEX(Symboles!$G$6:$G$101,MOD(51+$C24+(4),$B$3)+1)*M24+IF($B$6=0,0,$B$6*NORMSINV(0.000001+0.999998*RAND())))</f>
        <v/>
      </c>
      <c r="BP24" s="30">
        <f>IF(53&gt;$B$3,99,INDEX(Symboles!$G$6:$G$101,MOD(52+$C24+(-4),$B$3)+1)*E24+INDEX(Symboles!$G$6:$G$101,MOD(52+$C24+(-3),$B$3)+1)*F24+INDEX(Symboles!$G$6:$G$101,MOD(52+$C24+(-2),$B$3)+1)*G24+INDEX(Symboles!$G$6:$G$101,MOD(52+$C24+(-1),$B$3)+1)*H24+INDEX(Symboles!$G$6:$G$101,MOD(52+$C24+(0),$B$3)+1)*I24+INDEX(Symboles!$G$6:$G$101,MOD(52+$C24+(1),$B$3)+1)*J24+INDEX(Symboles!$G$6:$G$101,MOD(52+$C24+(2),$B$3)+1)*K24+INDEX(Symboles!$G$6:$G$101,MOD(52+$C24+(3),$B$3)+1)*L24+INDEX(Symboles!$G$6:$G$101,MOD(52+$C24+(4),$B$3)+1)*M24+IF($B$6=0,0,$B$6*NORMSINV(0.000001+0.999998*RAND())))</f>
        <v/>
      </c>
      <c r="BQ24" s="30">
        <f>IF(54&gt;$B$3,99,INDEX(Symboles!$G$6:$G$101,MOD(53+$C24+(-4),$B$3)+1)*E24+INDEX(Symboles!$G$6:$G$101,MOD(53+$C24+(-3),$B$3)+1)*F24+INDEX(Symboles!$G$6:$G$101,MOD(53+$C24+(-2),$B$3)+1)*G24+INDEX(Symboles!$G$6:$G$101,MOD(53+$C24+(-1),$B$3)+1)*H24+INDEX(Symboles!$G$6:$G$101,MOD(53+$C24+(0),$B$3)+1)*I24+INDEX(Symboles!$G$6:$G$101,MOD(53+$C24+(1),$B$3)+1)*J24+INDEX(Symboles!$G$6:$G$101,MOD(53+$C24+(2),$B$3)+1)*K24+INDEX(Symboles!$G$6:$G$101,MOD(53+$C24+(3),$B$3)+1)*L24+INDEX(Symboles!$G$6:$G$101,MOD(53+$C24+(4),$B$3)+1)*M24+IF($B$6=0,0,$B$6*NORMSINV(0.000001+0.999998*RAND())))</f>
        <v/>
      </c>
      <c r="BR24" s="30">
        <f>IF(55&gt;$B$3,99,INDEX(Symboles!$G$6:$G$101,MOD(54+$C24+(-4),$B$3)+1)*E24+INDEX(Symboles!$G$6:$G$101,MOD(54+$C24+(-3),$B$3)+1)*F24+INDEX(Symboles!$G$6:$G$101,MOD(54+$C24+(-2),$B$3)+1)*G24+INDEX(Symboles!$G$6:$G$101,MOD(54+$C24+(-1),$B$3)+1)*H24+INDEX(Symboles!$G$6:$G$101,MOD(54+$C24+(0),$B$3)+1)*I24+INDEX(Symboles!$G$6:$G$101,MOD(54+$C24+(1),$B$3)+1)*J24+INDEX(Symboles!$G$6:$G$101,MOD(54+$C24+(2),$B$3)+1)*K24+INDEX(Symboles!$G$6:$G$101,MOD(54+$C24+(3),$B$3)+1)*L24+INDEX(Symboles!$G$6:$G$101,MOD(54+$C24+(4),$B$3)+1)*M24+IF($B$6=0,0,$B$6*NORMSINV(0.000001+0.999998*RAND())))</f>
        <v/>
      </c>
      <c r="BS24" s="30">
        <f>IF(56&gt;$B$3,99,INDEX(Symboles!$G$6:$G$101,MOD(55+$C24+(-4),$B$3)+1)*E24+INDEX(Symboles!$G$6:$G$101,MOD(55+$C24+(-3),$B$3)+1)*F24+INDEX(Symboles!$G$6:$G$101,MOD(55+$C24+(-2),$B$3)+1)*G24+INDEX(Symboles!$G$6:$G$101,MOD(55+$C24+(-1),$B$3)+1)*H24+INDEX(Symboles!$G$6:$G$101,MOD(55+$C24+(0),$B$3)+1)*I24+INDEX(Symboles!$G$6:$G$101,MOD(55+$C24+(1),$B$3)+1)*J24+INDEX(Symboles!$G$6:$G$101,MOD(55+$C24+(2),$B$3)+1)*K24+INDEX(Symboles!$G$6:$G$101,MOD(55+$C24+(3),$B$3)+1)*L24+INDEX(Symboles!$G$6:$G$101,MOD(55+$C24+(4),$B$3)+1)*M24+IF($B$6=0,0,$B$6*NORMSINV(0.000001+0.999998*RAND())))</f>
        <v/>
      </c>
      <c r="BT24" s="30">
        <f>IF(57&gt;$B$3,99,INDEX(Symboles!$G$6:$G$101,MOD(56+$C24+(-4),$B$3)+1)*E24+INDEX(Symboles!$G$6:$G$101,MOD(56+$C24+(-3),$B$3)+1)*F24+INDEX(Symboles!$G$6:$G$101,MOD(56+$C24+(-2),$B$3)+1)*G24+INDEX(Symboles!$G$6:$G$101,MOD(56+$C24+(-1),$B$3)+1)*H24+INDEX(Symboles!$G$6:$G$101,MOD(56+$C24+(0),$B$3)+1)*I24+INDEX(Symboles!$G$6:$G$101,MOD(56+$C24+(1),$B$3)+1)*J24+INDEX(Symboles!$G$6:$G$101,MOD(56+$C24+(2),$B$3)+1)*K24+INDEX(Symboles!$G$6:$G$101,MOD(56+$C24+(3),$B$3)+1)*L24+INDEX(Symboles!$G$6:$G$101,MOD(56+$C24+(4),$B$3)+1)*M24+IF($B$6=0,0,$B$6*NORMSINV(0.000001+0.999998*RAND())))</f>
        <v/>
      </c>
      <c r="BU24" s="30">
        <f>IF(58&gt;$B$3,99,INDEX(Symboles!$G$6:$G$101,MOD(57+$C24+(-4),$B$3)+1)*E24+INDEX(Symboles!$G$6:$G$101,MOD(57+$C24+(-3),$B$3)+1)*F24+INDEX(Symboles!$G$6:$G$101,MOD(57+$C24+(-2),$B$3)+1)*G24+INDEX(Symboles!$G$6:$G$101,MOD(57+$C24+(-1),$B$3)+1)*H24+INDEX(Symboles!$G$6:$G$101,MOD(57+$C24+(0),$B$3)+1)*I24+INDEX(Symboles!$G$6:$G$101,MOD(57+$C24+(1),$B$3)+1)*J24+INDEX(Symboles!$G$6:$G$101,MOD(57+$C24+(2),$B$3)+1)*K24+INDEX(Symboles!$G$6:$G$101,MOD(57+$C24+(3),$B$3)+1)*L24+INDEX(Symboles!$G$6:$G$101,MOD(57+$C24+(4),$B$3)+1)*M24+IF($B$6=0,0,$B$6*NORMSINV(0.000001+0.999998*RAND())))</f>
        <v/>
      </c>
      <c r="BV24" s="30">
        <f>IF(59&gt;$B$3,99,INDEX(Symboles!$G$6:$G$101,MOD(58+$C24+(-4),$B$3)+1)*E24+INDEX(Symboles!$G$6:$G$101,MOD(58+$C24+(-3),$B$3)+1)*F24+INDEX(Symboles!$G$6:$G$101,MOD(58+$C24+(-2),$B$3)+1)*G24+INDEX(Symboles!$G$6:$G$101,MOD(58+$C24+(-1),$B$3)+1)*H24+INDEX(Symboles!$G$6:$G$101,MOD(58+$C24+(0),$B$3)+1)*I24+INDEX(Symboles!$G$6:$G$101,MOD(58+$C24+(1),$B$3)+1)*J24+INDEX(Symboles!$G$6:$G$101,MOD(58+$C24+(2),$B$3)+1)*K24+INDEX(Symboles!$G$6:$G$101,MOD(58+$C24+(3),$B$3)+1)*L24+INDEX(Symboles!$G$6:$G$101,MOD(58+$C24+(4),$B$3)+1)*M24+IF($B$6=0,0,$B$6*NORMSINV(0.000001+0.999998*RAND())))</f>
        <v/>
      </c>
      <c r="BW24" s="30">
        <f>IF(60&gt;$B$3,99,INDEX(Symboles!$G$6:$G$101,MOD(59+$C24+(-4),$B$3)+1)*E24+INDEX(Symboles!$G$6:$G$101,MOD(59+$C24+(-3),$B$3)+1)*F24+INDEX(Symboles!$G$6:$G$101,MOD(59+$C24+(-2),$B$3)+1)*G24+INDEX(Symboles!$G$6:$G$101,MOD(59+$C24+(-1),$B$3)+1)*H24+INDEX(Symboles!$G$6:$G$101,MOD(59+$C24+(0),$B$3)+1)*I24+INDEX(Symboles!$G$6:$G$101,MOD(59+$C24+(1),$B$3)+1)*J24+INDEX(Symboles!$G$6:$G$101,MOD(59+$C24+(2),$B$3)+1)*K24+INDEX(Symboles!$G$6:$G$101,MOD(59+$C24+(3),$B$3)+1)*L24+INDEX(Symboles!$G$6:$G$101,MOD(59+$C24+(4),$B$3)+1)*M24+IF($B$6=0,0,$B$6*NORMSINV(0.000001+0.999998*RAND())))</f>
        <v/>
      </c>
      <c r="BX24" s="30">
        <f>IF(61&gt;$B$3,99,INDEX(Symboles!$G$6:$G$101,MOD(60+$C24+(-4),$B$3)+1)*E24+INDEX(Symboles!$G$6:$G$101,MOD(60+$C24+(-3),$B$3)+1)*F24+INDEX(Symboles!$G$6:$G$101,MOD(60+$C24+(-2),$B$3)+1)*G24+INDEX(Symboles!$G$6:$G$101,MOD(60+$C24+(-1),$B$3)+1)*H24+INDEX(Symboles!$G$6:$G$101,MOD(60+$C24+(0),$B$3)+1)*I24+INDEX(Symboles!$G$6:$G$101,MOD(60+$C24+(1),$B$3)+1)*J24+INDEX(Symboles!$G$6:$G$101,MOD(60+$C24+(2),$B$3)+1)*K24+INDEX(Symboles!$G$6:$G$101,MOD(60+$C24+(3),$B$3)+1)*L24+INDEX(Symboles!$G$6:$G$101,MOD(60+$C24+(4),$B$3)+1)*M24+IF($B$6=0,0,$B$6*NORMSINV(0.000001+0.999998*RAND())))</f>
        <v/>
      </c>
      <c r="BY24" s="30">
        <f>IF(62&gt;$B$3,99,INDEX(Symboles!$G$6:$G$101,MOD(61+$C24+(-4),$B$3)+1)*E24+INDEX(Symboles!$G$6:$G$101,MOD(61+$C24+(-3),$B$3)+1)*F24+INDEX(Symboles!$G$6:$G$101,MOD(61+$C24+(-2),$B$3)+1)*G24+INDEX(Symboles!$G$6:$G$101,MOD(61+$C24+(-1),$B$3)+1)*H24+INDEX(Symboles!$G$6:$G$101,MOD(61+$C24+(0),$B$3)+1)*I24+INDEX(Symboles!$G$6:$G$101,MOD(61+$C24+(1),$B$3)+1)*J24+INDEX(Symboles!$G$6:$G$101,MOD(61+$C24+(2),$B$3)+1)*K24+INDEX(Symboles!$G$6:$G$101,MOD(61+$C24+(3),$B$3)+1)*L24+INDEX(Symboles!$G$6:$G$101,MOD(61+$C24+(4),$B$3)+1)*M24+IF($B$6=0,0,$B$6*NORMSINV(0.000001+0.999998*RAND())))</f>
        <v/>
      </c>
      <c r="BZ24" s="30">
        <f>IF(63&gt;$B$3,99,INDEX(Symboles!$G$6:$G$101,MOD(62+$C24+(-4),$B$3)+1)*E24+INDEX(Symboles!$G$6:$G$101,MOD(62+$C24+(-3),$B$3)+1)*F24+INDEX(Symboles!$G$6:$G$101,MOD(62+$C24+(-2),$B$3)+1)*G24+INDEX(Symboles!$G$6:$G$101,MOD(62+$C24+(-1),$B$3)+1)*H24+INDEX(Symboles!$G$6:$G$101,MOD(62+$C24+(0),$B$3)+1)*I24+INDEX(Symboles!$G$6:$G$101,MOD(62+$C24+(1),$B$3)+1)*J24+INDEX(Symboles!$G$6:$G$101,MOD(62+$C24+(2),$B$3)+1)*K24+INDEX(Symboles!$G$6:$G$101,MOD(62+$C24+(3),$B$3)+1)*L24+INDEX(Symboles!$G$6:$G$101,MOD(62+$C24+(4),$B$3)+1)*M24+IF($B$6=0,0,$B$6*NORMSINV(0.000001+0.999998*RAND())))</f>
        <v/>
      </c>
      <c r="CA24" s="30">
        <f>IF(64&gt;$B$3,99,INDEX(Symboles!$G$6:$G$101,MOD(63+$C24+(-4),$B$3)+1)*E24+INDEX(Symboles!$G$6:$G$101,MOD(63+$C24+(-3),$B$3)+1)*F24+INDEX(Symboles!$G$6:$G$101,MOD(63+$C24+(-2),$B$3)+1)*G24+INDEX(Symboles!$G$6:$G$101,MOD(63+$C24+(-1),$B$3)+1)*H24+INDEX(Symboles!$G$6:$G$101,MOD(63+$C24+(0),$B$3)+1)*I24+INDEX(Symboles!$G$6:$G$101,MOD(63+$C24+(1),$B$3)+1)*J24+INDEX(Symboles!$G$6:$G$101,MOD(63+$C24+(2),$B$3)+1)*K24+INDEX(Symboles!$G$6:$G$101,MOD(63+$C24+(3),$B$3)+1)*L24+INDEX(Symboles!$G$6:$G$101,MOD(63+$C24+(4),$B$3)+1)*M24+IF($B$6=0,0,$B$6*NORMSINV(0.000001+0.999998*RAND())))</f>
        <v/>
      </c>
      <c r="CB24" s="30">
        <f>IF(65&gt;$B$3,99,INDEX(Symboles!$G$6:$G$101,MOD(64+$C24+(-4),$B$3)+1)*E24+INDEX(Symboles!$G$6:$G$101,MOD(64+$C24+(-3),$B$3)+1)*F24+INDEX(Symboles!$G$6:$G$101,MOD(64+$C24+(-2),$B$3)+1)*G24+INDEX(Symboles!$G$6:$G$101,MOD(64+$C24+(-1),$B$3)+1)*H24+INDEX(Symboles!$G$6:$G$101,MOD(64+$C24+(0),$B$3)+1)*I24+INDEX(Symboles!$G$6:$G$101,MOD(64+$C24+(1),$B$3)+1)*J24+INDEX(Symboles!$G$6:$G$101,MOD(64+$C24+(2),$B$3)+1)*K24+INDEX(Symboles!$G$6:$G$101,MOD(64+$C24+(3),$B$3)+1)*L24+INDEX(Symboles!$G$6:$G$101,MOD(64+$C24+(4),$B$3)+1)*M24+IF($B$6=0,0,$B$6*NORMSINV(0.000001+0.999998*RAND())))</f>
        <v/>
      </c>
      <c r="CC24" s="30">
        <f>IF(66&gt;$B$3,99,INDEX(Symboles!$G$6:$G$101,MOD(65+$C24+(-4),$B$3)+1)*E24+INDEX(Symboles!$G$6:$G$101,MOD(65+$C24+(-3),$B$3)+1)*F24+INDEX(Symboles!$G$6:$G$101,MOD(65+$C24+(-2),$B$3)+1)*G24+INDEX(Symboles!$G$6:$G$101,MOD(65+$C24+(-1),$B$3)+1)*H24+INDEX(Symboles!$G$6:$G$101,MOD(65+$C24+(0),$B$3)+1)*I24+INDEX(Symboles!$G$6:$G$101,MOD(65+$C24+(1),$B$3)+1)*J24+INDEX(Symboles!$G$6:$G$101,MOD(65+$C24+(2),$B$3)+1)*K24+INDEX(Symboles!$G$6:$G$101,MOD(65+$C24+(3),$B$3)+1)*L24+INDEX(Symboles!$G$6:$G$101,MOD(65+$C24+(4),$B$3)+1)*M24+IF($B$6=0,0,$B$6*NORMSINV(0.000001+0.999998*RAND())))</f>
        <v/>
      </c>
      <c r="CD24" s="30">
        <f>IF(67&gt;$B$3,99,INDEX(Symboles!$G$6:$G$101,MOD(66+$C24+(-4),$B$3)+1)*E24+INDEX(Symboles!$G$6:$G$101,MOD(66+$C24+(-3),$B$3)+1)*F24+INDEX(Symboles!$G$6:$G$101,MOD(66+$C24+(-2),$B$3)+1)*G24+INDEX(Symboles!$G$6:$G$101,MOD(66+$C24+(-1),$B$3)+1)*H24+INDEX(Symboles!$G$6:$G$101,MOD(66+$C24+(0),$B$3)+1)*I24+INDEX(Symboles!$G$6:$G$101,MOD(66+$C24+(1),$B$3)+1)*J24+INDEX(Symboles!$G$6:$G$101,MOD(66+$C24+(2),$B$3)+1)*K24+INDEX(Symboles!$G$6:$G$101,MOD(66+$C24+(3),$B$3)+1)*L24+INDEX(Symboles!$G$6:$G$101,MOD(66+$C24+(4),$B$3)+1)*M24+IF($B$6=0,0,$B$6*NORMSINV(0.000001+0.999998*RAND())))</f>
        <v/>
      </c>
      <c r="CE24" s="30">
        <f>IF(68&gt;$B$3,99,INDEX(Symboles!$G$6:$G$101,MOD(67+$C24+(-4),$B$3)+1)*E24+INDEX(Symboles!$G$6:$G$101,MOD(67+$C24+(-3),$B$3)+1)*F24+INDEX(Symboles!$G$6:$G$101,MOD(67+$C24+(-2),$B$3)+1)*G24+INDEX(Symboles!$G$6:$G$101,MOD(67+$C24+(-1),$B$3)+1)*H24+INDEX(Symboles!$G$6:$G$101,MOD(67+$C24+(0),$B$3)+1)*I24+INDEX(Symboles!$G$6:$G$101,MOD(67+$C24+(1),$B$3)+1)*J24+INDEX(Symboles!$G$6:$G$101,MOD(67+$C24+(2),$B$3)+1)*K24+INDEX(Symboles!$G$6:$G$101,MOD(67+$C24+(3),$B$3)+1)*L24+INDEX(Symboles!$G$6:$G$101,MOD(67+$C24+(4),$B$3)+1)*M24+IF($B$6=0,0,$B$6*NORMSINV(0.000001+0.999998*RAND())))</f>
        <v/>
      </c>
      <c r="CF24" s="30">
        <f>IF(69&gt;$B$3,99,INDEX(Symboles!$G$6:$G$101,MOD(68+$C24+(-4),$B$3)+1)*E24+INDEX(Symboles!$G$6:$G$101,MOD(68+$C24+(-3),$B$3)+1)*F24+INDEX(Symboles!$G$6:$G$101,MOD(68+$C24+(-2),$B$3)+1)*G24+INDEX(Symboles!$G$6:$G$101,MOD(68+$C24+(-1),$B$3)+1)*H24+INDEX(Symboles!$G$6:$G$101,MOD(68+$C24+(0),$B$3)+1)*I24+INDEX(Symboles!$G$6:$G$101,MOD(68+$C24+(1),$B$3)+1)*J24+INDEX(Symboles!$G$6:$G$101,MOD(68+$C24+(2),$B$3)+1)*K24+INDEX(Symboles!$G$6:$G$101,MOD(68+$C24+(3),$B$3)+1)*L24+INDEX(Symboles!$G$6:$G$101,MOD(68+$C24+(4),$B$3)+1)*M24+IF($B$6=0,0,$B$6*NORMSINV(0.000001+0.999998*RAND())))</f>
        <v/>
      </c>
      <c r="CG24" s="30">
        <f>IF(70&gt;$B$3,99,INDEX(Symboles!$G$6:$G$101,MOD(69+$C24+(-4),$B$3)+1)*E24+INDEX(Symboles!$G$6:$G$101,MOD(69+$C24+(-3),$B$3)+1)*F24+INDEX(Symboles!$G$6:$G$101,MOD(69+$C24+(-2),$B$3)+1)*G24+INDEX(Symboles!$G$6:$G$101,MOD(69+$C24+(-1),$B$3)+1)*H24+INDEX(Symboles!$G$6:$G$101,MOD(69+$C24+(0),$B$3)+1)*I24+INDEX(Symboles!$G$6:$G$101,MOD(69+$C24+(1),$B$3)+1)*J24+INDEX(Symboles!$G$6:$G$101,MOD(69+$C24+(2),$B$3)+1)*K24+INDEX(Symboles!$G$6:$G$101,MOD(69+$C24+(3),$B$3)+1)*L24+INDEX(Symboles!$G$6:$G$101,MOD(69+$C24+(4),$B$3)+1)*M24+IF($B$6=0,0,$B$6*NORMSINV(0.000001+0.999998*RAND())))</f>
        <v/>
      </c>
      <c r="CH24" s="30">
        <f>IF(71&gt;$B$3,99,INDEX(Symboles!$G$6:$G$101,MOD(70+$C24+(-4),$B$3)+1)*E24+INDEX(Symboles!$G$6:$G$101,MOD(70+$C24+(-3),$B$3)+1)*F24+INDEX(Symboles!$G$6:$G$101,MOD(70+$C24+(-2),$B$3)+1)*G24+INDEX(Symboles!$G$6:$G$101,MOD(70+$C24+(-1),$B$3)+1)*H24+INDEX(Symboles!$G$6:$G$101,MOD(70+$C24+(0),$B$3)+1)*I24+INDEX(Symboles!$G$6:$G$101,MOD(70+$C24+(1),$B$3)+1)*J24+INDEX(Symboles!$G$6:$G$101,MOD(70+$C24+(2),$B$3)+1)*K24+INDEX(Symboles!$G$6:$G$101,MOD(70+$C24+(3),$B$3)+1)*L24+INDEX(Symboles!$G$6:$G$101,MOD(70+$C24+(4),$B$3)+1)*M24+IF($B$6=0,0,$B$6*NORMSINV(0.000001+0.999998*RAND())))</f>
        <v/>
      </c>
      <c r="CI24" s="30">
        <f>IF(72&gt;$B$3,99,INDEX(Symboles!$G$6:$G$101,MOD(71+$C24+(-4),$B$3)+1)*E24+INDEX(Symboles!$G$6:$G$101,MOD(71+$C24+(-3),$B$3)+1)*F24+INDEX(Symboles!$G$6:$G$101,MOD(71+$C24+(-2),$B$3)+1)*G24+INDEX(Symboles!$G$6:$G$101,MOD(71+$C24+(-1),$B$3)+1)*H24+INDEX(Symboles!$G$6:$G$101,MOD(71+$C24+(0),$B$3)+1)*I24+INDEX(Symboles!$G$6:$G$101,MOD(71+$C24+(1),$B$3)+1)*J24+INDEX(Symboles!$G$6:$G$101,MOD(71+$C24+(2),$B$3)+1)*K24+INDEX(Symboles!$G$6:$G$101,MOD(71+$C24+(3),$B$3)+1)*L24+INDEX(Symboles!$G$6:$G$101,MOD(71+$C24+(4),$B$3)+1)*M24+IF($B$6=0,0,$B$6*NORMSINV(0.000001+0.999998*RAND())))</f>
        <v/>
      </c>
      <c r="CJ24" s="30">
        <f>IF(73&gt;$B$3,99,INDEX(Symboles!$G$6:$G$101,MOD(72+$C24+(-4),$B$3)+1)*E24+INDEX(Symboles!$G$6:$G$101,MOD(72+$C24+(-3),$B$3)+1)*F24+INDEX(Symboles!$G$6:$G$101,MOD(72+$C24+(-2),$B$3)+1)*G24+INDEX(Symboles!$G$6:$G$101,MOD(72+$C24+(-1),$B$3)+1)*H24+INDEX(Symboles!$G$6:$G$101,MOD(72+$C24+(0),$B$3)+1)*I24+INDEX(Symboles!$G$6:$G$101,MOD(72+$C24+(1),$B$3)+1)*J24+INDEX(Symboles!$G$6:$G$101,MOD(72+$C24+(2),$B$3)+1)*K24+INDEX(Symboles!$G$6:$G$101,MOD(72+$C24+(3),$B$3)+1)*L24+INDEX(Symboles!$G$6:$G$101,MOD(72+$C24+(4),$B$3)+1)*M24+IF($B$6=0,0,$B$6*NORMSINV(0.000001+0.999998*RAND())))</f>
        <v/>
      </c>
      <c r="CK24" s="30">
        <f>IF(74&gt;$B$3,99,INDEX(Symboles!$G$6:$G$101,MOD(73+$C24+(-4),$B$3)+1)*E24+INDEX(Symboles!$G$6:$G$101,MOD(73+$C24+(-3),$B$3)+1)*F24+INDEX(Symboles!$G$6:$G$101,MOD(73+$C24+(-2),$B$3)+1)*G24+INDEX(Symboles!$G$6:$G$101,MOD(73+$C24+(-1),$B$3)+1)*H24+INDEX(Symboles!$G$6:$G$101,MOD(73+$C24+(0),$B$3)+1)*I24+INDEX(Symboles!$G$6:$G$101,MOD(73+$C24+(1),$B$3)+1)*J24+INDEX(Symboles!$G$6:$G$101,MOD(73+$C24+(2),$B$3)+1)*K24+INDEX(Symboles!$G$6:$G$101,MOD(73+$C24+(3),$B$3)+1)*L24+INDEX(Symboles!$G$6:$G$101,MOD(73+$C24+(4),$B$3)+1)*M24+IF($B$6=0,0,$B$6*NORMSINV(0.000001+0.999998*RAND())))</f>
        <v/>
      </c>
      <c r="CL24" s="30">
        <f>IF(75&gt;$B$3,99,INDEX(Symboles!$G$6:$G$101,MOD(74+$C24+(-4),$B$3)+1)*E24+INDEX(Symboles!$G$6:$G$101,MOD(74+$C24+(-3),$B$3)+1)*F24+INDEX(Symboles!$G$6:$G$101,MOD(74+$C24+(-2),$B$3)+1)*G24+INDEX(Symboles!$G$6:$G$101,MOD(74+$C24+(-1),$B$3)+1)*H24+INDEX(Symboles!$G$6:$G$101,MOD(74+$C24+(0),$B$3)+1)*I24+INDEX(Symboles!$G$6:$G$101,MOD(74+$C24+(1),$B$3)+1)*J24+INDEX(Symboles!$G$6:$G$101,MOD(74+$C24+(2),$B$3)+1)*K24+INDEX(Symboles!$G$6:$G$101,MOD(74+$C24+(3),$B$3)+1)*L24+INDEX(Symboles!$G$6:$G$101,MOD(74+$C24+(4),$B$3)+1)*M24+IF($B$6=0,0,$B$6*NORMSINV(0.000001+0.999998*RAND())))</f>
        <v/>
      </c>
      <c r="CM24" s="30">
        <f>IF(76&gt;$B$3,99,INDEX(Symboles!$G$6:$G$101,MOD(75+$C24+(-4),$B$3)+1)*E24+INDEX(Symboles!$G$6:$G$101,MOD(75+$C24+(-3),$B$3)+1)*F24+INDEX(Symboles!$G$6:$G$101,MOD(75+$C24+(-2),$B$3)+1)*G24+INDEX(Symboles!$G$6:$G$101,MOD(75+$C24+(-1),$B$3)+1)*H24+INDEX(Symboles!$G$6:$G$101,MOD(75+$C24+(0),$B$3)+1)*I24+INDEX(Symboles!$G$6:$G$101,MOD(75+$C24+(1),$B$3)+1)*J24+INDEX(Symboles!$G$6:$G$101,MOD(75+$C24+(2),$B$3)+1)*K24+INDEX(Symboles!$G$6:$G$101,MOD(75+$C24+(3),$B$3)+1)*L24+INDEX(Symboles!$G$6:$G$101,MOD(75+$C24+(4),$B$3)+1)*M24+IF($B$6=0,0,$B$6*NORMSINV(0.000001+0.999998*RAND())))</f>
        <v/>
      </c>
      <c r="CN24" s="30">
        <f>IF(77&gt;$B$3,99,INDEX(Symboles!$G$6:$G$101,MOD(76+$C24+(-4),$B$3)+1)*E24+INDEX(Symboles!$G$6:$G$101,MOD(76+$C24+(-3),$B$3)+1)*F24+INDEX(Symboles!$G$6:$G$101,MOD(76+$C24+(-2),$B$3)+1)*G24+INDEX(Symboles!$G$6:$G$101,MOD(76+$C24+(-1),$B$3)+1)*H24+INDEX(Symboles!$G$6:$G$101,MOD(76+$C24+(0),$B$3)+1)*I24+INDEX(Symboles!$G$6:$G$101,MOD(76+$C24+(1),$B$3)+1)*J24+INDEX(Symboles!$G$6:$G$101,MOD(76+$C24+(2),$B$3)+1)*K24+INDEX(Symboles!$G$6:$G$101,MOD(76+$C24+(3),$B$3)+1)*L24+INDEX(Symboles!$G$6:$G$101,MOD(76+$C24+(4),$B$3)+1)*M24+IF($B$6=0,0,$B$6*NORMSINV(0.000001+0.999998*RAND())))</f>
        <v/>
      </c>
      <c r="CO24" s="30">
        <f>IF(78&gt;$B$3,99,INDEX(Symboles!$G$6:$G$101,MOD(77+$C24+(-4),$B$3)+1)*E24+INDEX(Symboles!$G$6:$G$101,MOD(77+$C24+(-3),$B$3)+1)*F24+INDEX(Symboles!$G$6:$G$101,MOD(77+$C24+(-2),$B$3)+1)*G24+INDEX(Symboles!$G$6:$G$101,MOD(77+$C24+(-1),$B$3)+1)*H24+INDEX(Symboles!$G$6:$G$101,MOD(77+$C24+(0),$B$3)+1)*I24+INDEX(Symboles!$G$6:$G$101,MOD(77+$C24+(1),$B$3)+1)*J24+INDEX(Symboles!$G$6:$G$101,MOD(77+$C24+(2),$B$3)+1)*K24+INDEX(Symboles!$G$6:$G$101,MOD(77+$C24+(3),$B$3)+1)*L24+INDEX(Symboles!$G$6:$G$101,MOD(77+$C24+(4),$B$3)+1)*M24+IF($B$6=0,0,$B$6*NORMSINV(0.000001+0.999998*RAND())))</f>
        <v/>
      </c>
      <c r="CP24" s="30">
        <f>IF(79&gt;$B$3,99,INDEX(Symboles!$G$6:$G$101,MOD(78+$C24+(-4),$B$3)+1)*E24+INDEX(Symboles!$G$6:$G$101,MOD(78+$C24+(-3),$B$3)+1)*F24+INDEX(Symboles!$G$6:$G$101,MOD(78+$C24+(-2),$B$3)+1)*G24+INDEX(Symboles!$G$6:$G$101,MOD(78+$C24+(-1),$B$3)+1)*H24+INDEX(Symboles!$G$6:$G$101,MOD(78+$C24+(0),$B$3)+1)*I24+INDEX(Symboles!$G$6:$G$101,MOD(78+$C24+(1),$B$3)+1)*J24+INDEX(Symboles!$G$6:$G$101,MOD(78+$C24+(2),$B$3)+1)*K24+INDEX(Symboles!$G$6:$G$101,MOD(78+$C24+(3),$B$3)+1)*L24+INDEX(Symboles!$G$6:$G$101,MOD(78+$C24+(4),$B$3)+1)*M24+IF($B$6=0,0,$B$6*NORMSINV(0.000001+0.999998*RAND())))</f>
        <v/>
      </c>
      <c r="CQ24" s="30">
        <f>IF(80&gt;$B$3,99,INDEX(Symboles!$G$6:$G$101,MOD(79+$C24+(-4),$B$3)+1)*E24+INDEX(Symboles!$G$6:$G$101,MOD(79+$C24+(-3),$B$3)+1)*F24+INDEX(Symboles!$G$6:$G$101,MOD(79+$C24+(-2),$B$3)+1)*G24+INDEX(Symboles!$G$6:$G$101,MOD(79+$C24+(-1),$B$3)+1)*H24+INDEX(Symboles!$G$6:$G$101,MOD(79+$C24+(0),$B$3)+1)*I24+INDEX(Symboles!$G$6:$G$101,MOD(79+$C24+(1),$B$3)+1)*J24+INDEX(Symboles!$G$6:$G$101,MOD(79+$C24+(2),$B$3)+1)*K24+INDEX(Symboles!$G$6:$G$101,MOD(79+$C24+(3),$B$3)+1)*L24+INDEX(Symboles!$G$6:$G$101,MOD(79+$C24+(4),$B$3)+1)*M24+IF($B$6=0,0,$B$6*NORMSINV(0.000001+0.999998*RAND())))</f>
        <v/>
      </c>
      <c r="CR24" s="30">
        <f>IF(81&gt;$B$3,99,INDEX(Symboles!$G$6:$G$101,MOD(80+$C24+(-4),$B$3)+1)*E24+INDEX(Symboles!$G$6:$G$101,MOD(80+$C24+(-3),$B$3)+1)*F24+INDEX(Symboles!$G$6:$G$101,MOD(80+$C24+(-2),$B$3)+1)*G24+INDEX(Symboles!$G$6:$G$101,MOD(80+$C24+(-1),$B$3)+1)*H24+INDEX(Symboles!$G$6:$G$101,MOD(80+$C24+(0),$B$3)+1)*I24+INDEX(Symboles!$G$6:$G$101,MOD(80+$C24+(1),$B$3)+1)*J24+INDEX(Symboles!$G$6:$G$101,MOD(80+$C24+(2),$B$3)+1)*K24+INDEX(Symboles!$G$6:$G$101,MOD(80+$C24+(3),$B$3)+1)*L24+INDEX(Symboles!$G$6:$G$101,MOD(80+$C24+(4),$B$3)+1)*M24+IF($B$6=0,0,$B$6*NORMSINV(0.000001+0.999998*RAND())))</f>
        <v/>
      </c>
      <c r="CS24" s="30">
        <f>IF(82&gt;$B$3,99,INDEX(Symboles!$G$6:$G$101,MOD(81+$C24+(-4),$B$3)+1)*E24+INDEX(Symboles!$G$6:$G$101,MOD(81+$C24+(-3),$B$3)+1)*F24+INDEX(Symboles!$G$6:$G$101,MOD(81+$C24+(-2),$B$3)+1)*G24+INDEX(Symboles!$G$6:$G$101,MOD(81+$C24+(-1),$B$3)+1)*H24+INDEX(Symboles!$G$6:$G$101,MOD(81+$C24+(0),$B$3)+1)*I24+INDEX(Symboles!$G$6:$G$101,MOD(81+$C24+(1),$B$3)+1)*J24+INDEX(Symboles!$G$6:$G$101,MOD(81+$C24+(2),$B$3)+1)*K24+INDEX(Symboles!$G$6:$G$101,MOD(81+$C24+(3),$B$3)+1)*L24+INDEX(Symboles!$G$6:$G$101,MOD(81+$C24+(4),$B$3)+1)*M24+IF($B$6=0,0,$B$6*NORMSINV(0.000001+0.999998*RAND())))</f>
        <v/>
      </c>
      <c r="CT24" s="30">
        <f>IF(83&gt;$B$3,99,INDEX(Symboles!$G$6:$G$101,MOD(82+$C24+(-4),$B$3)+1)*E24+INDEX(Symboles!$G$6:$G$101,MOD(82+$C24+(-3),$B$3)+1)*F24+INDEX(Symboles!$G$6:$G$101,MOD(82+$C24+(-2),$B$3)+1)*G24+INDEX(Symboles!$G$6:$G$101,MOD(82+$C24+(-1),$B$3)+1)*H24+INDEX(Symboles!$G$6:$G$101,MOD(82+$C24+(0),$B$3)+1)*I24+INDEX(Symboles!$G$6:$G$101,MOD(82+$C24+(1),$B$3)+1)*J24+INDEX(Symboles!$G$6:$G$101,MOD(82+$C24+(2),$B$3)+1)*K24+INDEX(Symboles!$G$6:$G$101,MOD(82+$C24+(3),$B$3)+1)*L24+INDEX(Symboles!$G$6:$G$101,MOD(82+$C24+(4),$B$3)+1)*M24+IF($B$6=0,0,$B$6*NORMSINV(0.000001+0.999998*RAND())))</f>
        <v/>
      </c>
      <c r="CU24" s="30">
        <f>IF(84&gt;$B$3,99,INDEX(Symboles!$G$6:$G$101,MOD(83+$C24+(-4),$B$3)+1)*E24+INDEX(Symboles!$G$6:$G$101,MOD(83+$C24+(-3),$B$3)+1)*F24+INDEX(Symboles!$G$6:$G$101,MOD(83+$C24+(-2),$B$3)+1)*G24+INDEX(Symboles!$G$6:$G$101,MOD(83+$C24+(-1),$B$3)+1)*H24+INDEX(Symboles!$G$6:$G$101,MOD(83+$C24+(0),$B$3)+1)*I24+INDEX(Symboles!$G$6:$G$101,MOD(83+$C24+(1),$B$3)+1)*J24+INDEX(Symboles!$G$6:$G$101,MOD(83+$C24+(2),$B$3)+1)*K24+INDEX(Symboles!$G$6:$G$101,MOD(83+$C24+(3),$B$3)+1)*L24+INDEX(Symboles!$G$6:$G$101,MOD(83+$C24+(4),$B$3)+1)*M24+IF($B$6=0,0,$B$6*NORMSINV(0.000001+0.999998*RAND())))</f>
        <v/>
      </c>
      <c r="CV24" s="30">
        <f>IF(85&gt;$B$3,99,INDEX(Symboles!$G$6:$G$101,MOD(84+$C24+(-4),$B$3)+1)*E24+INDEX(Symboles!$G$6:$G$101,MOD(84+$C24+(-3),$B$3)+1)*F24+INDEX(Symboles!$G$6:$G$101,MOD(84+$C24+(-2),$B$3)+1)*G24+INDEX(Symboles!$G$6:$G$101,MOD(84+$C24+(-1),$B$3)+1)*H24+INDEX(Symboles!$G$6:$G$101,MOD(84+$C24+(0),$B$3)+1)*I24+INDEX(Symboles!$G$6:$G$101,MOD(84+$C24+(1),$B$3)+1)*J24+INDEX(Symboles!$G$6:$G$101,MOD(84+$C24+(2),$B$3)+1)*K24+INDEX(Symboles!$G$6:$G$101,MOD(84+$C24+(3),$B$3)+1)*L24+INDEX(Symboles!$G$6:$G$101,MOD(84+$C24+(4),$B$3)+1)*M24+IF($B$6=0,0,$B$6*NORMSINV(0.000001+0.999998*RAND())))</f>
        <v/>
      </c>
      <c r="CW24" s="30">
        <f>IF(86&gt;$B$3,99,INDEX(Symboles!$G$6:$G$101,MOD(85+$C24+(-4),$B$3)+1)*E24+INDEX(Symboles!$G$6:$G$101,MOD(85+$C24+(-3),$B$3)+1)*F24+INDEX(Symboles!$G$6:$G$101,MOD(85+$C24+(-2),$B$3)+1)*G24+INDEX(Symboles!$G$6:$G$101,MOD(85+$C24+(-1),$B$3)+1)*H24+INDEX(Symboles!$G$6:$G$101,MOD(85+$C24+(0),$B$3)+1)*I24+INDEX(Symboles!$G$6:$G$101,MOD(85+$C24+(1),$B$3)+1)*J24+INDEX(Symboles!$G$6:$G$101,MOD(85+$C24+(2),$B$3)+1)*K24+INDEX(Symboles!$G$6:$G$101,MOD(85+$C24+(3),$B$3)+1)*L24+INDEX(Symboles!$G$6:$G$101,MOD(85+$C24+(4),$B$3)+1)*M24+IF($B$6=0,0,$B$6*NORMSINV(0.000001+0.999998*RAND())))</f>
        <v/>
      </c>
      <c r="CX24" s="30">
        <f>IF(87&gt;$B$3,99,INDEX(Symboles!$G$6:$G$101,MOD(86+$C24+(-4),$B$3)+1)*E24+INDEX(Symboles!$G$6:$G$101,MOD(86+$C24+(-3),$B$3)+1)*F24+INDEX(Symboles!$G$6:$G$101,MOD(86+$C24+(-2),$B$3)+1)*G24+INDEX(Symboles!$G$6:$G$101,MOD(86+$C24+(-1),$B$3)+1)*H24+INDEX(Symboles!$G$6:$G$101,MOD(86+$C24+(0),$B$3)+1)*I24+INDEX(Symboles!$G$6:$G$101,MOD(86+$C24+(1),$B$3)+1)*J24+INDEX(Symboles!$G$6:$G$101,MOD(86+$C24+(2),$B$3)+1)*K24+INDEX(Symboles!$G$6:$G$101,MOD(86+$C24+(3),$B$3)+1)*L24+INDEX(Symboles!$G$6:$G$101,MOD(86+$C24+(4),$B$3)+1)*M24+IF($B$6=0,0,$B$6*NORMSINV(0.000001+0.999998*RAND())))</f>
        <v/>
      </c>
      <c r="CY24" s="30">
        <f>IF(88&gt;$B$3,99,INDEX(Symboles!$G$6:$G$101,MOD(87+$C24+(-4),$B$3)+1)*E24+INDEX(Symboles!$G$6:$G$101,MOD(87+$C24+(-3),$B$3)+1)*F24+INDEX(Symboles!$G$6:$G$101,MOD(87+$C24+(-2),$B$3)+1)*G24+INDEX(Symboles!$G$6:$G$101,MOD(87+$C24+(-1),$B$3)+1)*H24+INDEX(Symboles!$G$6:$G$101,MOD(87+$C24+(0),$B$3)+1)*I24+INDEX(Symboles!$G$6:$G$101,MOD(87+$C24+(1),$B$3)+1)*J24+INDEX(Symboles!$G$6:$G$101,MOD(87+$C24+(2),$B$3)+1)*K24+INDEX(Symboles!$G$6:$G$101,MOD(87+$C24+(3),$B$3)+1)*L24+INDEX(Symboles!$G$6:$G$101,MOD(87+$C24+(4),$B$3)+1)*M24+IF($B$6=0,0,$B$6*NORMSINV(0.000001+0.999998*RAND())))</f>
        <v/>
      </c>
      <c r="CZ24" s="30">
        <f>IF(89&gt;$B$3,99,INDEX(Symboles!$G$6:$G$101,MOD(88+$C24+(-4),$B$3)+1)*E24+INDEX(Symboles!$G$6:$G$101,MOD(88+$C24+(-3),$B$3)+1)*F24+INDEX(Symboles!$G$6:$G$101,MOD(88+$C24+(-2),$B$3)+1)*G24+INDEX(Symboles!$G$6:$G$101,MOD(88+$C24+(-1),$B$3)+1)*H24+INDEX(Symboles!$G$6:$G$101,MOD(88+$C24+(0),$B$3)+1)*I24+INDEX(Symboles!$G$6:$G$101,MOD(88+$C24+(1),$B$3)+1)*J24+INDEX(Symboles!$G$6:$G$101,MOD(88+$C24+(2),$B$3)+1)*K24+INDEX(Symboles!$G$6:$G$101,MOD(88+$C24+(3),$B$3)+1)*L24+INDEX(Symboles!$G$6:$G$101,MOD(88+$C24+(4),$B$3)+1)*M24+IF($B$6=0,0,$B$6*NORMSINV(0.000001+0.999998*RAND())))</f>
        <v/>
      </c>
      <c r="DA24" s="30">
        <f>IF(90&gt;$B$3,99,INDEX(Symboles!$G$6:$G$101,MOD(89+$C24+(-4),$B$3)+1)*E24+INDEX(Symboles!$G$6:$G$101,MOD(89+$C24+(-3),$B$3)+1)*F24+INDEX(Symboles!$G$6:$G$101,MOD(89+$C24+(-2),$B$3)+1)*G24+INDEX(Symboles!$G$6:$G$101,MOD(89+$C24+(-1),$B$3)+1)*H24+INDEX(Symboles!$G$6:$G$101,MOD(89+$C24+(0),$B$3)+1)*I24+INDEX(Symboles!$G$6:$G$101,MOD(89+$C24+(1),$B$3)+1)*J24+INDEX(Symboles!$G$6:$G$101,MOD(89+$C24+(2),$B$3)+1)*K24+INDEX(Symboles!$G$6:$G$101,MOD(89+$C24+(3),$B$3)+1)*L24+INDEX(Symboles!$G$6:$G$101,MOD(89+$C24+(4),$B$3)+1)*M24+IF($B$6=0,0,$B$6*NORMSINV(0.000001+0.999998*RAND())))</f>
        <v/>
      </c>
      <c r="DB24" s="30">
        <f>IF(91&gt;$B$3,99,INDEX(Symboles!$G$6:$G$101,MOD(90+$C24+(-4),$B$3)+1)*E24+INDEX(Symboles!$G$6:$G$101,MOD(90+$C24+(-3),$B$3)+1)*F24+INDEX(Symboles!$G$6:$G$101,MOD(90+$C24+(-2),$B$3)+1)*G24+INDEX(Symboles!$G$6:$G$101,MOD(90+$C24+(-1),$B$3)+1)*H24+INDEX(Symboles!$G$6:$G$101,MOD(90+$C24+(0),$B$3)+1)*I24+INDEX(Symboles!$G$6:$G$101,MOD(90+$C24+(1),$B$3)+1)*J24+INDEX(Symboles!$G$6:$G$101,MOD(90+$C24+(2),$B$3)+1)*K24+INDEX(Symboles!$G$6:$G$101,MOD(90+$C24+(3),$B$3)+1)*L24+INDEX(Symboles!$G$6:$G$101,MOD(90+$C24+(4),$B$3)+1)*M24+IF($B$6=0,0,$B$6*NORMSINV(0.000001+0.999998*RAND())))</f>
        <v/>
      </c>
      <c r="DC24" s="30">
        <f>IF(92&gt;$B$3,99,INDEX(Symboles!$G$6:$G$101,MOD(91+$C24+(-4),$B$3)+1)*E24+INDEX(Symboles!$G$6:$G$101,MOD(91+$C24+(-3),$B$3)+1)*F24+INDEX(Symboles!$G$6:$G$101,MOD(91+$C24+(-2),$B$3)+1)*G24+INDEX(Symboles!$G$6:$G$101,MOD(91+$C24+(-1),$B$3)+1)*H24+INDEX(Symboles!$G$6:$G$101,MOD(91+$C24+(0),$B$3)+1)*I24+INDEX(Symboles!$G$6:$G$101,MOD(91+$C24+(1),$B$3)+1)*J24+INDEX(Symboles!$G$6:$G$101,MOD(91+$C24+(2),$B$3)+1)*K24+INDEX(Symboles!$G$6:$G$101,MOD(91+$C24+(3),$B$3)+1)*L24+INDEX(Symboles!$G$6:$G$101,MOD(91+$C24+(4),$B$3)+1)*M24+IF($B$6=0,0,$B$6*NORMSINV(0.000001+0.999998*RAND())))</f>
        <v/>
      </c>
      <c r="DD24" s="30">
        <f>IF(93&gt;$B$3,99,INDEX(Symboles!$G$6:$G$101,MOD(92+$C24+(-4),$B$3)+1)*E24+INDEX(Symboles!$G$6:$G$101,MOD(92+$C24+(-3),$B$3)+1)*F24+INDEX(Symboles!$G$6:$G$101,MOD(92+$C24+(-2),$B$3)+1)*G24+INDEX(Symboles!$G$6:$G$101,MOD(92+$C24+(-1),$B$3)+1)*H24+INDEX(Symboles!$G$6:$G$101,MOD(92+$C24+(0),$B$3)+1)*I24+INDEX(Symboles!$G$6:$G$101,MOD(92+$C24+(1),$B$3)+1)*J24+INDEX(Symboles!$G$6:$G$101,MOD(92+$C24+(2),$B$3)+1)*K24+INDEX(Symboles!$G$6:$G$101,MOD(92+$C24+(3),$B$3)+1)*L24+INDEX(Symboles!$G$6:$G$101,MOD(92+$C24+(4),$B$3)+1)*M24+IF($B$6=0,0,$B$6*NORMSINV(0.000001+0.999998*RAND())))</f>
        <v/>
      </c>
      <c r="DE24" s="30">
        <f>IF(94&gt;$B$3,99,INDEX(Symboles!$G$6:$G$101,MOD(93+$C24+(-4),$B$3)+1)*E24+INDEX(Symboles!$G$6:$G$101,MOD(93+$C24+(-3),$B$3)+1)*F24+INDEX(Symboles!$G$6:$G$101,MOD(93+$C24+(-2),$B$3)+1)*G24+INDEX(Symboles!$G$6:$G$101,MOD(93+$C24+(-1),$B$3)+1)*H24+INDEX(Symboles!$G$6:$G$101,MOD(93+$C24+(0),$B$3)+1)*I24+INDEX(Symboles!$G$6:$G$101,MOD(93+$C24+(1),$B$3)+1)*J24+INDEX(Symboles!$G$6:$G$101,MOD(93+$C24+(2),$B$3)+1)*K24+INDEX(Symboles!$G$6:$G$101,MOD(93+$C24+(3),$B$3)+1)*L24+INDEX(Symboles!$G$6:$G$101,MOD(93+$C24+(4),$B$3)+1)*M24+IF($B$6=0,0,$B$6*NORMSINV(0.000001+0.999998*RAND())))</f>
        <v/>
      </c>
      <c r="DF24" s="30">
        <f>IF(95&gt;$B$3,99,INDEX(Symboles!$G$6:$G$101,MOD(94+$C24+(-4),$B$3)+1)*E24+INDEX(Symboles!$G$6:$G$101,MOD(94+$C24+(-3),$B$3)+1)*F24+INDEX(Symboles!$G$6:$G$101,MOD(94+$C24+(-2),$B$3)+1)*G24+INDEX(Symboles!$G$6:$G$101,MOD(94+$C24+(-1),$B$3)+1)*H24+INDEX(Symboles!$G$6:$G$101,MOD(94+$C24+(0),$B$3)+1)*I24+INDEX(Symboles!$G$6:$G$101,MOD(94+$C24+(1),$B$3)+1)*J24+INDEX(Symboles!$G$6:$G$101,MOD(94+$C24+(2),$B$3)+1)*K24+INDEX(Symboles!$G$6:$G$101,MOD(94+$C24+(3),$B$3)+1)*L24+INDEX(Symboles!$G$6:$G$101,MOD(94+$C24+(4),$B$3)+1)*M24+IF($B$6=0,0,$B$6*NORMSINV(0.000001+0.999998*RAND())))</f>
        <v/>
      </c>
      <c r="DG24" s="30">
        <f>IF(96&gt;$B$3,99,INDEX(Symboles!$G$6:$G$101,MOD(95+$C24+(-4),$B$3)+1)*E24+INDEX(Symboles!$G$6:$G$101,MOD(95+$C24+(-3),$B$3)+1)*F24+INDEX(Symboles!$G$6:$G$101,MOD(95+$C24+(-2),$B$3)+1)*G24+INDEX(Symboles!$G$6:$G$101,MOD(95+$C24+(-1),$B$3)+1)*H24+INDEX(Symboles!$G$6:$G$101,MOD(95+$C24+(0),$B$3)+1)*I24+INDEX(Symboles!$G$6:$G$101,MOD(95+$C24+(1),$B$3)+1)*J24+INDEX(Symboles!$G$6:$G$101,MOD(95+$C24+(2),$B$3)+1)*K24+INDEX(Symboles!$G$6:$G$101,MOD(95+$C24+(3),$B$3)+1)*L24+INDEX(Symboles!$G$6:$G$101,MOD(95+$C24+(4),$B$3)+1)*M24+IF($B$6=0,0,$B$6*NORMSINV(0.000001+0.999998*RAND())))</f>
        <v/>
      </c>
      <c r="DI24" s="30">
        <f>IF(1&gt;$B$3,99,INDEX(Symboles!$H$6:$H$101,MOD(0+$C24+(-4),$B$3)+1)*E24+INDEX(Symboles!$H$6:$H$101,MOD(0+$C24+(-3),$B$3)+1)*F24+INDEX(Symboles!$H$6:$H$101,MOD(0+$C24+(-2),$B$3)+1)*G24+INDEX(Symboles!$H$6:$H$101,MOD(0+$C24+(-1),$B$3)+1)*H24+INDEX(Symboles!$H$6:$H$101,MOD(0+$C24+(0),$B$3)+1)*I24+INDEX(Symboles!$H$6:$H$101,MOD(0+$C24+(1),$B$3)+1)*J24+INDEX(Symboles!$H$6:$H$101,MOD(0+$C24+(2),$B$3)+1)*K24+INDEX(Symboles!$H$6:$H$101,MOD(0+$C24+(3),$B$3)+1)*L24+INDEX(Symboles!$H$6:$H$101,MOD(0+$C24+(4),$B$3)+1)*M24+IF($B$6=0,0,$B$6*NORMSINV(0.000001+0.999998*RAND())))</f>
        <v/>
      </c>
      <c r="DJ24" s="30">
        <f>IF(2&gt;$B$3,99,INDEX(Symboles!$H$6:$H$101,MOD(1+$C24+(-4),$B$3)+1)*E24+INDEX(Symboles!$H$6:$H$101,MOD(1+$C24+(-3),$B$3)+1)*F24+INDEX(Symboles!$H$6:$H$101,MOD(1+$C24+(-2),$B$3)+1)*G24+INDEX(Symboles!$H$6:$H$101,MOD(1+$C24+(-1),$B$3)+1)*H24+INDEX(Symboles!$H$6:$H$101,MOD(1+$C24+(0),$B$3)+1)*I24+INDEX(Symboles!$H$6:$H$101,MOD(1+$C24+(1),$B$3)+1)*J24+INDEX(Symboles!$H$6:$H$101,MOD(1+$C24+(2),$B$3)+1)*K24+INDEX(Symboles!$H$6:$H$101,MOD(1+$C24+(3),$B$3)+1)*L24+INDEX(Symboles!$H$6:$H$101,MOD(1+$C24+(4),$B$3)+1)*M24+IF($B$6=0,0,$B$6*NORMSINV(0.000001+0.999998*RAND())))</f>
        <v/>
      </c>
      <c r="DK24" s="30">
        <f>IF(3&gt;$B$3,99,INDEX(Symboles!$H$6:$H$101,MOD(2+$C24+(-4),$B$3)+1)*E24+INDEX(Symboles!$H$6:$H$101,MOD(2+$C24+(-3),$B$3)+1)*F24+INDEX(Symboles!$H$6:$H$101,MOD(2+$C24+(-2),$B$3)+1)*G24+INDEX(Symboles!$H$6:$H$101,MOD(2+$C24+(-1),$B$3)+1)*H24+INDEX(Symboles!$H$6:$H$101,MOD(2+$C24+(0),$B$3)+1)*I24+INDEX(Symboles!$H$6:$H$101,MOD(2+$C24+(1),$B$3)+1)*J24+INDEX(Symboles!$H$6:$H$101,MOD(2+$C24+(2),$B$3)+1)*K24+INDEX(Symboles!$H$6:$H$101,MOD(2+$C24+(3),$B$3)+1)*L24+INDEX(Symboles!$H$6:$H$101,MOD(2+$C24+(4),$B$3)+1)*M24+IF($B$6=0,0,$B$6*NORMSINV(0.000001+0.999998*RAND())))</f>
        <v/>
      </c>
      <c r="DL24" s="30">
        <f>IF(4&gt;$B$3,99,INDEX(Symboles!$H$6:$H$101,MOD(3+$C24+(-4),$B$3)+1)*E24+INDEX(Symboles!$H$6:$H$101,MOD(3+$C24+(-3),$B$3)+1)*F24+INDEX(Symboles!$H$6:$H$101,MOD(3+$C24+(-2),$B$3)+1)*G24+INDEX(Symboles!$H$6:$H$101,MOD(3+$C24+(-1),$B$3)+1)*H24+INDEX(Symboles!$H$6:$H$101,MOD(3+$C24+(0),$B$3)+1)*I24+INDEX(Symboles!$H$6:$H$101,MOD(3+$C24+(1),$B$3)+1)*J24+INDEX(Symboles!$H$6:$H$101,MOD(3+$C24+(2),$B$3)+1)*K24+INDEX(Symboles!$H$6:$H$101,MOD(3+$C24+(3),$B$3)+1)*L24+INDEX(Symboles!$H$6:$H$101,MOD(3+$C24+(4),$B$3)+1)*M24+IF($B$6=0,0,$B$6*NORMSINV(0.000001+0.999998*RAND())))</f>
        <v/>
      </c>
      <c r="DM24" s="30">
        <f>IF(5&gt;$B$3,99,INDEX(Symboles!$H$6:$H$101,MOD(4+$C24+(-4),$B$3)+1)*E24+INDEX(Symboles!$H$6:$H$101,MOD(4+$C24+(-3),$B$3)+1)*F24+INDEX(Symboles!$H$6:$H$101,MOD(4+$C24+(-2),$B$3)+1)*G24+INDEX(Symboles!$H$6:$H$101,MOD(4+$C24+(-1),$B$3)+1)*H24+INDEX(Symboles!$H$6:$H$101,MOD(4+$C24+(0),$B$3)+1)*I24+INDEX(Symboles!$H$6:$H$101,MOD(4+$C24+(1),$B$3)+1)*J24+INDEX(Symboles!$H$6:$H$101,MOD(4+$C24+(2),$B$3)+1)*K24+INDEX(Symboles!$H$6:$H$101,MOD(4+$C24+(3),$B$3)+1)*L24+INDEX(Symboles!$H$6:$H$101,MOD(4+$C24+(4),$B$3)+1)*M24+IF($B$6=0,0,$B$6*NORMSINV(0.000001+0.999998*RAND())))</f>
        <v/>
      </c>
      <c r="DN24" s="30">
        <f>IF(6&gt;$B$3,99,INDEX(Symboles!$H$6:$H$101,MOD(5+$C24+(-4),$B$3)+1)*E24+INDEX(Symboles!$H$6:$H$101,MOD(5+$C24+(-3),$B$3)+1)*F24+INDEX(Symboles!$H$6:$H$101,MOD(5+$C24+(-2),$B$3)+1)*G24+INDEX(Symboles!$H$6:$H$101,MOD(5+$C24+(-1),$B$3)+1)*H24+INDEX(Symboles!$H$6:$H$101,MOD(5+$C24+(0),$B$3)+1)*I24+INDEX(Symboles!$H$6:$H$101,MOD(5+$C24+(1),$B$3)+1)*J24+INDEX(Symboles!$H$6:$H$101,MOD(5+$C24+(2),$B$3)+1)*K24+INDEX(Symboles!$H$6:$H$101,MOD(5+$C24+(3),$B$3)+1)*L24+INDEX(Symboles!$H$6:$H$101,MOD(5+$C24+(4),$B$3)+1)*M24+IF($B$6=0,0,$B$6*NORMSINV(0.000001+0.999998*RAND())))</f>
        <v/>
      </c>
      <c r="DO24" s="30">
        <f>IF(7&gt;$B$3,99,INDEX(Symboles!$H$6:$H$101,MOD(6+$C24+(-4),$B$3)+1)*E24+INDEX(Symboles!$H$6:$H$101,MOD(6+$C24+(-3),$B$3)+1)*F24+INDEX(Symboles!$H$6:$H$101,MOD(6+$C24+(-2),$B$3)+1)*G24+INDEX(Symboles!$H$6:$H$101,MOD(6+$C24+(-1),$B$3)+1)*H24+INDEX(Symboles!$H$6:$H$101,MOD(6+$C24+(0),$B$3)+1)*I24+INDEX(Symboles!$H$6:$H$101,MOD(6+$C24+(1),$B$3)+1)*J24+INDEX(Symboles!$H$6:$H$101,MOD(6+$C24+(2),$B$3)+1)*K24+INDEX(Symboles!$H$6:$H$101,MOD(6+$C24+(3),$B$3)+1)*L24+INDEX(Symboles!$H$6:$H$101,MOD(6+$C24+(4),$B$3)+1)*M24+IF($B$6=0,0,$B$6*NORMSINV(0.000001+0.999998*RAND())))</f>
        <v/>
      </c>
      <c r="DP24" s="30">
        <f>IF(8&gt;$B$3,99,INDEX(Symboles!$H$6:$H$101,MOD(7+$C24+(-4),$B$3)+1)*E24+INDEX(Symboles!$H$6:$H$101,MOD(7+$C24+(-3),$B$3)+1)*F24+INDEX(Symboles!$H$6:$H$101,MOD(7+$C24+(-2),$B$3)+1)*G24+INDEX(Symboles!$H$6:$H$101,MOD(7+$C24+(-1),$B$3)+1)*H24+INDEX(Symboles!$H$6:$H$101,MOD(7+$C24+(0),$B$3)+1)*I24+INDEX(Symboles!$H$6:$H$101,MOD(7+$C24+(1),$B$3)+1)*J24+INDEX(Symboles!$H$6:$H$101,MOD(7+$C24+(2),$B$3)+1)*K24+INDEX(Symboles!$H$6:$H$101,MOD(7+$C24+(3),$B$3)+1)*L24+INDEX(Symboles!$H$6:$H$101,MOD(7+$C24+(4),$B$3)+1)*M24+IF($B$6=0,0,$B$6*NORMSINV(0.000001+0.999998*RAND())))</f>
        <v/>
      </c>
      <c r="DQ24" s="30">
        <f>IF(9&gt;$B$3,99,INDEX(Symboles!$H$6:$H$101,MOD(8+$C24+(-4),$B$3)+1)*E24+INDEX(Symboles!$H$6:$H$101,MOD(8+$C24+(-3),$B$3)+1)*F24+INDEX(Symboles!$H$6:$H$101,MOD(8+$C24+(-2),$B$3)+1)*G24+INDEX(Symboles!$H$6:$H$101,MOD(8+$C24+(-1),$B$3)+1)*H24+INDEX(Symboles!$H$6:$H$101,MOD(8+$C24+(0),$B$3)+1)*I24+INDEX(Symboles!$H$6:$H$101,MOD(8+$C24+(1),$B$3)+1)*J24+INDEX(Symboles!$H$6:$H$101,MOD(8+$C24+(2),$B$3)+1)*K24+INDEX(Symboles!$H$6:$H$101,MOD(8+$C24+(3),$B$3)+1)*L24+INDEX(Symboles!$H$6:$H$101,MOD(8+$C24+(4),$B$3)+1)*M24+IF($B$6=0,0,$B$6*NORMSINV(0.000001+0.999998*RAND())))</f>
        <v/>
      </c>
      <c r="DR24" s="30">
        <f>IF(10&gt;$B$3,99,INDEX(Symboles!$H$6:$H$101,MOD(9+$C24+(-4),$B$3)+1)*E24+INDEX(Symboles!$H$6:$H$101,MOD(9+$C24+(-3),$B$3)+1)*F24+INDEX(Symboles!$H$6:$H$101,MOD(9+$C24+(-2),$B$3)+1)*G24+INDEX(Symboles!$H$6:$H$101,MOD(9+$C24+(-1),$B$3)+1)*H24+INDEX(Symboles!$H$6:$H$101,MOD(9+$C24+(0),$B$3)+1)*I24+INDEX(Symboles!$H$6:$H$101,MOD(9+$C24+(1),$B$3)+1)*J24+INDEX(Symboles!$H$6:$H$101,MOD(9+$C24+(2),$B$3)+1)*K24+INDEX(Symboles!$H$6:$H$101,MOD(9+$C24+(3),$B$3)+1)*L24+INDEX(Symboles!$H$6:$H$101,MOD(9+$C24+(4),$B$3)+1)*M24+IF($B$6=0,0,$B$6*NORMSINV(0.000001+0.999998*RAND())))</f>
        <v/>
      </c>
      <c r="DS24" s="30">
        <f>IF(11&gt;$B$3,99,INDEX(Symboles!$H$6:$H$101,MOD(10+$C24+(-4),$B$3)+1)*E24+INDEX(Symboles!$H$6:$H$101,MOD(10+$C24+(-3),$B$3)+1)*F24+INDEX(Symboles!$H$6:$H$101,MOD(10+$C24+(-2),$B$3)+1)*G24+INDEX(Symboles!$H$6:$H$101,MOD(10+$C24+(-1),$B$3)+1)*H24+INDEX(Symboles!$H$6:$H$101,MOD(10+$C24+(0),$B$3)+1)*I24+INDEX(Symboles!$H$6:$H$101,MOD(10+$C24+(1),$B$3)+1)*J24+INDEX(Symboles!$H$6:$H$101,MOD(10+$C24+(2),$B$3)+1)*K24+INDEX(Symboles!$H$6:$H$101,MOD(10+$C24+(3),$B$3)+1)*L24+INDEX(Symboles!$H$6:$H$101,MOD(10+$C24+(4),$B$3)+1)*M24+IF($B$6=0,0,$B$6*NORMSINV(0.000001+0.999998*RAND())))</f>
        <v/>
      </c>
      <c r="DT24" s="30">
        <f>IF(12&gt;$B$3,99,INDEX(Symboles!$H$6:$H$101,MOD(11+$C24+(-4),$B$3)+1)*E24+INDEX(Symboles!$H$6:$H$101,MOD(11+$C24+(-3),$B$3)+1)*F24+INDEX(Symboles!$H$6:$H$101,MOD(11+$C24+(-2),$B$3)+1)*G24+INDEX(Symboles!$H$6:$H$101,MOD(11+$C24+(-1),$B$3)+1)*H24+INDEX(Symboles!$H$6:$H$101,MOD(11+$C24+(0),$B$3)+1)*I24+INDEX(Symboles!$H$6:$H$101,MOD(11+$C24+(1),$B$3)+1)*J24+INDEX(Symboles!$H$6:$H$101,MOD(11+$C24+(2),$B$3)+1)*K24+INDEX(Symboles!$H$6:$H$101,MOD(11+$C24+(3),$B$3)+1)*L24+INDEX(Symboles!$H$6:$H$101,MOD(11+$C24+(4),$B$3)+1)*M24+IF($B$6=0,0,$B$6*NORMSINV(0.000001+0.999998*RAND())))</f>
        <v/>
      </c>
      <c r="DU24" s="30">
        <f>IF(13&gt;$B$3,99,INDEX(Symboles!$H$6:$H$101,MOD(12+$C24+(-4),$B$3)+1)*E24+INDEX(Symboles!$H$6:$H$101,MOD(12+$C24+(-3),$B$3)+1)*F24+INDEX(Symboles!$H$6:$H$101,MOD(12+$C24+(-2),$B$3)+1)*G24+INDEX(Symboles!$H$6:$H$101,MOD(12+$C24+(-1),$B$3)+1)*H24+INDEX(Symboles!$H$6:$H$101,MOD(12+$C24+(0),$B$3)+1)*I24+INDEX(Symboles!$H$6:$H$101,MOD(12+$C24+(1),$B$3)+1)*J24+INDEX(Symboles!$H$6:$H$101,MOD(12+$C24+(2),$B$3)+1)*K24+INDEX(Symboles!$H$6:$H$101,MOD(12+$C24+(3),$B$3)+1)*L24+INDEX(Symboles!$H$6:$H$101,MOD(12+$C24+(4),$B$3)+1)*M24+IF($B$6=0,0,$B$6*NORMSINV(0.000001+0.999998*RAND())))</f>
        <v/>
      </c>
      <c r="DV24" s="30">
        <f>IF(14&gt;$B$3,99,INDEX(Symboles!$H$6:$H$101,MOD(13+$C24+(-4),$B$3)+1)*E24+INDEX(Symboles!$H$6:$H$101,MOD(13+$C24+(-3),$B$3)+1)*F24+INDEX(Symboles!$H$6:$H$101,MOD(13+$C24+(-2),$B$3)+1)*G24+INDEX(Symboles!$H$6:$H$101,MOD(13+$C24+(-1),$B$3)+1)*H24+INDEX(Symboles!$H$6:$H$101,MOD(13+$C24+(0),$B$3)+1)*I24+INDEX(Symboles!$H$6:$H$101,MOD(13+$C24+(1),$B$3)+1)*J24+INDEX(Symboles!$H$6:$H$101,MOD(13+$C24+(2),$B$3)+1)*K24+INDEX(Symboles!$H$6:$H$101,MOD(13+$C24+(3),$B$3)+1)*L24+INDEX(Symboles!$H$6:$H$101,MOD(13+$C24+(4),$B$3)+1)*M24+IF($B$6=0,0,$B$6*NORMSINV(0.000001+0.999998*RAND())))</f>
        <v/>
      </c>
      <c r="DW24" s="30">
        <f>IF(15&gt;$B$3,99,INDEX(Symboles!$H$6:$H$101,MOD(14+$C24+(-4),$B$3)+1)*E24+INDEX(Symboles!$H$6:$H$101,MOD(14+$C24+(-3),$B$3)+1)*F24+INDEX(Symboles!$H$6:$H$101,MOD(14+$C24+(-2),$B$3)+1)*G24+INDEX(Symboles!$H$6:$H$101,MOD(14+$C24+(-1),$B$3)+1)*H24+INDEX(Symboles!$H$6:$H$101,MOD(14+$C24+(0),$B$3)+1)*I24+INDEX(Symboles!$H$6:$H$101,MOD(14+$C24+(1),$B$3)+1)*J24+INDEX(Symboles!$H$6:$H$101,MOD(14+$C24+(2),$B$3)+1)*K24+INDEX(Symboles!$H$6:$H$101,MOD(14+$C24+(3),$B$3)+1)*L24+INDEX(Symboles!$H$6:$H$101,MOD(14+$C24+(4),$B$3)+1)*M24+IF($B$6=0,0,$B$6*NORMSINV(0.000001+0.999998*RAND())))</f>
        <v/>
      </c>
      <c r="DX24" s="30">
        <f>IF(16&gt;$B$3,99,INDEX(Symboles!$H$6:$H$101,MOD(15+$C24+(-4),$B$3)+1)*E24+INDEX(Symboles!$H$6:$H$101,MOD(15+$C24+(-3),$B$3)+1)*F24+INDEX(Symboles!$H$6:$H$101,MOD(15+$C24+(-2),$B$3)+1)*G24+INDEX(Symboles!$H$6:$H$101,MOD(15+$C24+(-1),$B$3)+1)*H24+INDEX(Symboles!$H$6:$H$101,MOD(15+$C24+(0),$B$3)+1)*I24+INDEX(Symboles!$H$6:$H$101,MOD(15+$C24+(1),$B$3)+1)*J24+INDEX(Symboles!$H$6:$H$101,MOD(15+$C24+(2),$B$3)+1)*K24+INDEX(Symboles!$H$6:$H$101,MOD(15+$C24+(3),$B$3)+1)*L24+INDEX(Symboles!$H$6:$H$101,MOD(15+$C24+(4),$B$3)+1)*M24+IF($B$6=0,0,$B$6*NORMSINV(0.000001+0.999998*RAND())))</f>
        <v/>
      </c>
      <c r="DY24" s="30">
        <f>IF(17&gt;$B$3,99,INDEX(Symboles!$H$6:$H$101,MOD(16+$C24+(-4),$B$3)+1)*E24+INDEX(Symboles!$H$6:$H$101,MOD(16+$C24+(-3),$B$3)+1)*F24+INDEX(Symboles!$H$6:$H$101,MOD(16+$C24+(-2),$B$3)+1)*G24+INDEX(Symboles!$H$6:$H$101,MOD(16+$C24+(-1),$B$3)+1)*H24+INDEX(Symboles!$H$6:$H$101,MOD(16+$C24+(0),$B$3)+1)*I24+INDEX(Symboles!$H$6:$H$101,MOD(16+$C24+(1),$B$3)+1)*J24+INDEX(Symboles!$H$6:$H$101,MOD(16+$C24+(2),$B$3)+1)*K24+INDEX(Symboles!$H$6:$H$101,MOD(16+$C24+(3),$B$3)+1)*L24+INDEX(Symboles!$H$6:$H$101,MOD(16+$C24+(4),$B$3)+1)*M24+IF($B$6=0,0,$B$6*NORMSINV(0.000001+0.999998*RAND())))</f>
        <v/>
      </c>
      <c r="DZ24" s="30">
        <f>IF(18&gt;$B$3,99,INDEX(Symboles!$H$6:$H$101,MOD(17+$C24+(-4),$B$3)+1)*E24+INDEX(Symboles!$H$6:$H$101,MOD(17+$C24+(-3),$B$3)+1)*F24+INDEX(Symboles!$H$6:$H$101,MOD(17+$C24+(-2),$B$3)+1)*G24+INDEX(Symboles!$H$6:$H$101,MOD(17+$C24+(-1),$B$3)+1)*H24+INDEX(Symboles!$H$6:$H$101,MOD(17+$C24+(0),$B$3)+1)*I24+INDEX(Symboles!$H$6:$H$101,MOD(17+$C24+(1),$B$3)+1)*J24+INDEX(Symboles!$H$6:$H$101,MOD(17+$C24+(2),$B$3)+1)*K24+INDEX(Symboles!$H$6:$H$101,MOD(17+$C24+(3),$B$3)+1)*L24+INDEX(Symboles!$H$6:$H$101,MOD(17+$C24+(4),$B$3)+1)*M24+IF($B$6=0,0,$B$6*NORMSINV(0.000001+0.999998*RAND())))</f>
        <v/>
      </c>
      <c r="EA24" s="30">
        <f>IF(19&gt;$B$3,99,INDEX(Symboles!$H$6:$H$101,MOD(18+$C24+(-4),$B$3)+1)*E24+INDEX(Symboles!$H$6:$H$101,MOD(18+$C24+(-3),$B$3)+1)*F24+INDEX(Symboles!$H$6:$H$101,MOD(18+$C24+(-2),$B$3)+1)*G24+INDEX(Symboles!$H$6:$H$101,MOD(18+$C24+(-1),$B$3)+1)*H24+INDEX(Symboles!$H$6:$H$101,MOD(18+$C24+(0),$B$3)+1)*I24+INDEX(Symboles!$H$6:$H$101,MOD(18+$C24+(1),$B$3)+1)*J24+INDEX(Symboles!$H$6:$H$101,MOD(18+$C24+(2),$B$3)+1)*K24+INDEX(Symboles!$H$6:$H$101,MOD(18+$C24+(3),$B$3)+1)*L24+INDEX(Symboles!$H$6:$H$101,MOD(18+$C24+(4),$B$3)+1)*M24+IF($B$6=0,0,$B$6*NORMSINV(0.000001+0.999998*RAND())))</f>
        <v/>
      </c>
      <c r="EB24" s="30">
        <f>IF(20&gt;$B$3,99,INDEX(Symboles!$H$6:$H$101,MOD(19+$C24+(-4),$B$3)+1)*E24+INDEX(Symboles!$H$6:$H$101,MOD(19+$C24+(-3),$B$3)+1)*F24+INDEX(Symboles!$H$6:$H$101,MOD(19+$C24+(-2),$B$3)+1)*G24+INDEX(Symboles!$H$6:$H$101,MOD(19+$C24+(-1),$B$3)+1)*H24+INDEX(Symboles!$H$6:$H$101,MOD(19+$C24+(0),$B$3)+1)*I24+INDEX(Symboles!$H$6:$H$101,MOD(19+$C24+(1),$B$3)+1)*J24+INDEX(Symboles!$H$6:$H$101,MOD(19+$C24+(2),$B$3)+1)*K24+INDEX(Symboles!$H$6:$H$101,MOD(19+$C24+(3),$B$3)+1)*L24+INDEX(Symboles!$H$6:$H$101,MOD(19+$C24+(4),$B$3)+1)*M24+IF($B$6=0,0,$B$6*NORMSINV(0.000001+0.999998*RAND())))</f>
        <v/>
      </c>
      <c r="EC24" s="30">
        <f>IF(21&gt;$B$3,99,INDEX(Symboles!$H$6:$H$101,MOD(20+$C24+(-4),$B$3)+1)*E24+INDEX(Symboles!$H$6:$H$101,MOD(20+$C24+(-3),$B$3)+1)*F24+INDEX(Symboles!$H$6:$H$101,MOD(20+$C24+(-2),$B$3)+1)*G24+INDEX(Symboles!$H$6:$H$101,MOD(20+$C24+(-1),$B$3)+1)*H24+INDEX(Symboles!$H$6:$H$101,MOD(20+$C24+(0),$B$3)+1)*I24+INDEX(Symboles!$H$6:$H$101,MOD(20+$C24+(1),$B$3)+1)*J24+INDEX(Symboles!$H$6:$H$101,MOD(20+$C24+(2),$B$3)+1)*K24+INDEX(Symboles!$H$6:$H$101,MOD(20+$C24+(3),$B$3)+1)*L24+INDEX(Symboles!$H$6:$H$101,MOD(20+$C24+(4),$B$3)+1)*M24+IF($B$6=0,0,$B$6*NORMSINV(0.000001+0.999998*RAND())))</f>
        <v/>
      </c>
      <c r="ED24" s="30">
        <f>IF(22&gt;$B$3,99,INDEX(Symboles!$H$6:$H$101,MOD(21+$C24+(-4),$B$3)+1)*E24+INDEX(Symboles!$H$6:$H$101,MOD(21+$C24+(-3),$B$3)+1)*F24+INDEX(Symboles!$H$6:$H$101,MOD(21+$C24+(-2),$B$3)+1)*G24+INDEX(Symboles!$H$6:$H$101,MOD(21+$C24+(-1),$B$3)+1)*H24+INDEX(Symboles!$H$6:$H$101,MOD(21+$C24+(0),$B$3)+1)*I24+INDEX(Symboles!$H$6:$H$101,MOD(21+$C24+(1),$B$3)+1)*J24+INDEX(Symboles!$H$6:$H$101,MOD(21+$C24+(2),$B$3)+1)*K24+INDEX(Symboles!$H$6:$H$101,MOD(21+$C24+(3),$B$3)+1)*L24+INDEX(Symboles!$H$6:$H$101,MOD(21+$C24+(4),$B$3)+1)*M24+IF($B$6=0,0,$B$6*NORMSINV(0.000001+0.999998*RAND())))</f>
        <v/>
      </c>
      <c r="EE24" s="30">
        <f>IF(23&gt;$B$3,99,INDEX(Symboles!$H$6:$H$101,MOD(22+$C24+(-4),$B$3)+1)*E24+INDEX(Symboles!$H$6:$H$101,MOD(22+$C24+(-3),$B$3)+1)*F24+INDEX(Symboles!$H$6:$H$101,MOD(22+$C24+(-2),$B$3)+1)*G24+INDEX(Symboles!$H$6:$H$101,MOD(22+$C24+(-1),$B$3)+1)*H24+INDEX(Symboles!$H$6:$H$101,MOD(22+$C24+(0),$B$3)+1)*I24+INDEX(Symboles!$H$6:$H$101,MOD(22+$C24+(1),$B$3)+1)*J24+INDEX(Symboles!$H$6:$H$101,MOD(22+$C24+(2),$B$3)+1)*K24+INDEX(Symboles!$H$6:$H$101,MOD(22+$C24+(3),$B$3)+1)*L24+INDEX(Symboles!$H$6:$H$101,MOD(22+$C24+(4),$B$3)+1)*M24+IF($B$6=0,0,$B$6*NORMSINV(0.000001+0.999998*RAND())))</f>
        <v/>
      </c>
      <c r="EF24" s="30">
        <f>IF(24&gt;$B$3,99,INDEX(Symboles!$H$6:$H$101,MOD(23+$C24+(-4),$B$3)+1)*E24+INDEX(Symboles!$H$6:$H$101,MOD(23+$C24+(-3),$B$3)+1)*F24+INDEX(Symboles!$H$6:$H$101,MOD(23+$C24+(-2),$B$3)+1)*G24+INDEX(Symboles!$H$6:$H$101,MOD(23+$C24+(-1),$B$3)+1)*H24+INDEX(Symboles!$H$6:$H$101,MOD(23+$C24+(0),$B$3)+1)*I24+INDEX(Symboles!$H$6:$H$101,MOD(23+$C24+(1),$B$3)+1)*J24+INDEX(Symboles!$H$6:$H$101,MOD(23+$C24+(2),$B$3)+1)*K24+INDEX(Symboles!$H$6:$H$101,MOD(23+$C24+(3),$B$3)+1)*L24+INDEX(Symboles!$H$6:$H$101,MOD(23+$C24+(4),$B$3)+1)*M24+IF($B$6=0,0,$B$6*NORMSINV(0.000001+0.999998*RAND())))</f>
        <v/>
      </c>
      <c r="EG24" s="30">
        <f>IF(25&gt;$B$3,99,INDEX(Symboles!$H$6:$H$101,MOD(24+$C24+(-4),$B$3)+1)*E24+INDEX(Symboles!$H$6:$H$101,MOD(24+$C24+(-3),$B$3)+1)*F24+INDEX(Symboles!$H$6:$H$101,MOD(24+$C24+(-2),$B$3)+1)*G24+INDEX(Symboles!$H$6:$H$101,MOD(24+$C24+(-1),$B$3)+1)*H24+INDEX(Symboles!$H$6:$H$101,MOD(24+$C24+(0),$B$3)+1)*I24+INDEX(Symboles!$H$6:$H$101,MOD(24+$C24+(1),$B$3)+1)*J24+INDEX(Symboles!$H$6:$H$101,MOD(24+$C24+(2),$B$3)+1)*K24+INDEX(Symboles!$H$6:$H$101,MOD(24+$C24+(3),$B$3)+1)*L24+INDEX(Symboles!$H$6:$H$101,MOD(24+$C24+(4),$B$3)+1)*M24+IF($B$6=0,0,$B$6*NORMSINV(0.000001+0.999998*RAND())))</f>
        <v/>
      </c>
      <c r="EH24" s="30">
        <f>IF(26&gt;$B$3,99,INDEX(Symboles!$H$6:$H$101,MOD(25+$C24+(-4),$B$3)+1)*E24+INDEX(Symboles!$H$6:$H$101,MOD(25+$C24+(-3),$B$3)+1)*F24+INDEX(Symboles!$H$6:$H$101,MOD(25+$C24+(-2),$B$3)+1)*G24+INDEX(Symboles!$H$6:$H$101,MOD(25+$C24+(-1),$B$3)+1)*H24+INDEX(Symboles!$H$6:$H$101,MOD(25+$C24+(0),$B$3)+1)*I24+INDEX(Symboles!$H$6:$H$101,MOD(25+$C24+(1),$B$3)+1)*J24+INDEX(Symboles!$H$6:$H$101,MOD(25+$C24+(2),$B$3)+1)*K24+INDEX(Symboles!$H$6:$H$101,MOD(25+$C24+(3),$B$3)+1)*L24+INDEX(Symboles!$H$6:$H$101,MOD(25+$C24+(4),$B$3)+1)*M24+IF($B$6=0,0,$B$6*NORMSINV(0.000001+0.999998*RAND())))</f>
        <v/>
      </c>
      <c r="EI24" s="30">
        <f>IF(27&gt;$B$3,99,INDEX(Symboles!$H$6:$H$101,MOD(26+$C24+(-4),$B$3)+1)*E24+INDEX(Symboles!$H$6:$H$101,MOD(26+$C24+(-3),$B$3)+1)*F24+INDEX(Symboles!$H$6:$H$101,MOD(26+$C24+(-2),$B$3)+1)*G24+INDEX(Symboles!$H$6:$H$101,MOD(26+$C24+(-1),$B$3)+1)*H24+INDEX(Symboles!$H$6:$H$101,MOD(26+$C24+(0),$B$3)+1)*I24+INDEX(Symboles!$H$6:$H$101,MOD(26+$C24+(1),$B$3)+1)*J24+INDEX(Symboles!$H$6:$H$101,MOD(26+$C24+(2),$B$3)+1)*K24+INDEX(Symboles!$H$6:$H$101,MOD(26+$C24+(3),$B$3)+1)*L24+INDEX(Symboles!$H$6:$H$101,MOD(26+$C24+(4),$B$3)+1)*M24+IF($B$6=0,0,$B$6*NORMSINV(0.000001+0.999998*RAND())))</f>
        <v/>
      </c>
      <c r="EJ24" s="30">
        <f>IF(28&gt;$B$3,99,INDEX(Symboles!$H$6:$H$101,MOD(27+$C24+(-4),$B$3)+1)*E24+INDEX(Symboles!$H$6:$H$101,MOD(27+$C24+(-3),$B$3)+1)*F24+INDEX(Symboles!$H$6:$H$101,MOD(27+$C24+(-2),$B$3)+1)*G24+INDEX(Symboles!$H$6:$H$101,MOD(27+$C24+(-1),$B$3)+1)*H24+INDEX(Symboles!$H$6:$H$101,MOD(27+$C24+(0),$B$3)+1)*I24+INDEX(Symboles!$H$6:$H$101,MOD(27+$C24+(1),$B$3)+1)*J24+INDEX(Symboles!$H$6:$H$101,MOD(27+$C24+(2),$B$3)+1)*K24+INDEX(Symboles!$H$6:$H$101,MOD(27+$C24+(3),$B$3)+1)*L24+INDEX(Symboles!$H$6:$H$101,MOD(27+$C24+(4),$B$3)+1)*M24+IF($B$6=0,0,$B$6*NORMSINV(0.000001+0.999998*RAND())))</f>
        <v/>
      </c>
      <c r="EK24" s="30">
        <f>IF(29&gt;$B$3,99,INDEX(Symboles!$H$6:$H$101,MOD(28+$C24+(-4),$B$3)+1)*E24+INDEX(Symboles!$H$6:$H$101,MOD(28+$C24+(-3),$B$3)+1)*F24+INDEX(Symboles!$H$6:$H$101,MOD(28+$C24+(-2),$B$3)+1)*G24+INDEX(Symboles!$H$6:$H$101,MOD(28+$C24+(-1),$B$3)+1)*H24+INDEX(Symboles!$H$6:$H$101,MOD(28+$C24+(0),$B$3)+1)*I24+INDEX(Symboles!$H$6:$H$101,MOD(28+$C24+(1),$B$3)+1)*J24+INDEX(Symboles!$H$6:$H$101,MOD(28+$C24+(2),$B$3)+1)*K24+INDEX(Symboles!$H$6:$H$101,MOD(28+$C24+(3),$B$3)+1)*L24+INDEX(Symboles!$H$6:$H$101,MOD(28+$C24+(4),$B$3)+1)*M24+IF($B$6=0,0,$B$6*NORMSINV(0.000001+0.999998*RAND())))</f>
        <v/>
      </c>
      <c r="EL24" s="30">
        <f>IF(30&gt;$B$3,99,INDEX(Symboles!$H$6:$H$101,MOD(29+$C24+(-4),$B$3)+1)*E24+INDEX(Symboles!$H$6:$H$101,MOD(29+$C24+(-3),$B$3)+1)*F24+INDEX(Symboles!$H$6:$H$101,MOD(29+$C24+(-2),$B$3)+1)*G24+INDEX(Symboles!$H$6:$H$101,MOD(29+$C24+(-1),$B$3)+1)*H24+INDEX(Symboles!$H$6:$H$101,MOD(29+$C24+(0),$B$3)+1)*I24+INDEX(Symboles!$H$6:$H$101,MOD(29+$C24+(1),$B$3)+1)*J24+INDEX(Symboles!$H$6:$H$101,MOD(29+$C24+(2),$B$3)+1)*K24+INDEX(Symboles!$H$6:$H$101,MOD(29+$C24+(3),$B$3)+1)*L24+INDEX(Symboles!$H$6:$H$101,MOD(29+$C24+(4),$B$3)+1)*M24+IF($B$6=0,0,$B$6*NORMSINV(0.000001+0.999998*RAND())))</f>
        <v/>
      </c>
      <c r="EM24" s="30">
        <f>IF(31&gt;$B$3,99,INDEX(Symboles!$H$6:$H$101,MOD(30+$C24+(-4),$B$3)+1)*E24+INDEX(Symboles!$H$6:$H$101,MOD(30+$C24+(-3),$B$3)+1)*F24+INDEX(Symboles!$H$6:$H$101,MOD(30+$C24+(-2),$B$3)+1)*G24+INDEX(Symboles!$H$6:$H$101,MOD(30+$C24+(-1),$B$3)+1)*H24+INDEX(Symboles!$H$6:$H$101,MOD(30+$C24+(0),$B$3)+1)*I24+INDEX(Symboles!$H$6:$H$101,MOD(30+$C24+(1),$B$3)+1)*J24+INDEX(Symboles!$H$6:$H$101,MOD(30+$C24+(2),$B$3)+1)*K24+INDEX(Symboles!$H$6:$H$101,MOD(30+$C24+(3),$B$3)+1)*L24+INDEX(Symboles!$H$6:$H$101,MOD(30+$C24+(4),$B$3)+1)*M24+IF($B$6=0,0,$B$6*NORMSINV(0.000001+0.999998*RAND())))</f>
        <v/>
      </c>
      <c r="EN24" s="30">
        <f>IF(32&gt;$B$3,99,INDEX(Symboles!$H$6:$H$101,MOD(31+$C24+(-4),$B$3)+1)*E24+INDEX(Symboles!$H$6:$H$101,MOD(31+$C24+(-3),$B$3)+1)*F24+INDEX(Symboles!$H$6:$H$101,MOD(31+$C24+(-2),$B$3)+1)*G24+INDEX(Symboles!$H$6:$H$101,MOD(31+$C24+(-1),$B$3)+1)*H24+INDEX(Symboles!$H$6:$H$101,MOD(31+$C24+(0),$B$3)+1)*I24+INDEX(Symboles!$H$6:$H$101,MOD(31+$C24+(1),$B$3)+1)*J24+INDEX(Symboles!$H$6:$H$101,MOD(31+$C24+(2),$B$3)+1)*K24+INDEX(Symboles!$H$6:$H$101,MOD(31+$C24+(3),$B$3)+1)*L24+INDEX(Symboles!$H$6:$H$101,MOD(31+$C24+(4),$B$3)+1)*M24+IF($B$6=0,0,$B$6*NORMSINV(0.000001+0.999998*RAND())))</f>
        <v/>
      </c>
      <c r="EO24" s="30">
        <f>IF(33&gt;$B$3,99,INDEX(Symboles!$H$6:$H$101,MOD(32+$C24+(-4),$B$3)+1)*E24+INDEX(Symboles!$H$6:$H$101,MOD(32+$C24+(-3),$B$3)+1)*F24+INDEX(Symboles!$H$6:$H$101,MOD(32+$C24+(-2),$B$3)+1)*G24+INDEX(Symboles!$H$6:$H$101,MOD(32+$C24+(-1),$B$3)+1)*H24+INDEX(Symboles!$H$6:$H$101,MOD(32+$C24+(0),$B$3)+1)*I24+INDEX(Symboles!$H$6:$H$101,MOD(32+$C24+(1),$B$3)+1)*J24+INDEX(Symboles!$H$6:$H$101,MOD(32+$C24+(2),$B$3)+1)*K24+INDEX(Symboles!$H$6:$H$101,MOD(32+$C24+(3),$B$3)+1)*L24+INDEX(Symboles!$H$6:$H$101,MOD(32+$C24+(4),$B$3)+1)*M24+IF($B$6=0,0,$B$6*NORMSINV(0.000001+0.999998*RAND())))</f>
        <v/>
      </c>
      <c r="EP24" s="30">
        <f>IF(34&gt;$B$3,99,INDEX(Symboles!$H$6:$H$101,MOD(33+$C24+(-4),$B$3)+1)*E24+INDEX(Symboles!$H$6:$H$101,MOD(33+$C24+(-3),$B$3)+1)*F24+INDEX(Symboles!$H$6:$H$101,MOD(33+$C24+(-2),$B$3)+1)*G24+INDEX(Symboles!$H$6:$H$101,MOD(33+$C24+(-1),$B$3)+1)*H24+INDEX(Symboles!$H$6:$H$101,MOD(33+$C24+(0),$B$3)+1)*I24+INDEX(Symboles!$H$6:$H$101,MOD(33+$C24+(1),$B$3)+1)*J24+INDEX(Symboles!$H$6:$H$101,MOD(33+$C24+(2),$B$3)+1)*K24+INDEX(Symboles!$H$6:$H$101,MOD(33+$C24+(3),$B$3)+1)*L24+INDEX(Symboles!$H$6:$H$101,MOD(33+$C24+(4),$B$3)+1)*M24+IF($B$6=0,0,$B$6*NORMSINV(0.000001+0.999998*RAND())))</f>
        <v/>
      </c>
      <c r="EQ24" s="30">
        <f>IF(35&gt;$B$3,99,INDEX(Symboles!$H$6:$H$101,MOD(34+$C24+(-4),$B$3)+1)*E24+INDEX(Symboles!$H$6:$H$101,MOD(34+$C24+(-3),$B$3)+1)*F24+INDEX(Symboles!$H$6:$H$101,MOD(34+$C24+(-2),$B$3)+1)*G24+INDEX(Symboles!$H$6:$H$101,MOD(34+$C24+(-1),$B$3)+1)*H24+INDEX(Symboles!$H$6:$H$101,MOD(34+$C24+(0),$B$3)+1)*I24+INDEX(Symboles!$H$6:$H$101,MOD(34+$C24+(1),$B$3)+1)*J24+INDEX(Symboles!$H$6:$H$101,MOD(34+$C24+(2),$B$3)+1)*K24+INDEX(Symboles!$H$6:$H$101,MOD(34+$C24+(3),$B$3)+1)*L24+INDEX(Symboles!$H$6:$H$101,MOD(34+$C24+(4),$B$3)+1)*M24+IF($B$6=0,0,$B$6*NORMSINV(0.000001+0.999998*RAND())))</f>
        <v/>
      </c>
      <c r="ER24" s="30">
        <f>IF(36&gt;$B$3,99,INDEX(Symboles!$H$6:$H$101,MOD(35+$C24+(-4),$B$3)+1)*E24+INDEX(Symboles!$H$6:$H$101,MOD(35+$C24+(-3),$B$3)+1)*F24+INDEX(Symboles!$H$6:$H$101,MOD(35+$C24+(-2),$B$3)+1)*G24+INDEX(Symboles!$H$6:$H$101,MOD(35+$C24+(-1),$B$3)+1)*H24+INDEX(Symboles!$H$6:$H$101,MOD(35+$C24+(0),$B$3)+1)*I24+INDEX(Symboles!$H$6:$H$101,MOD(35+$C24+(1),$B$3)+1)*J24+INDEX(Symboles!$H$6:$H$101,MOD(35+$C24+(2),$B$3)+1)*K24+INDEX(Symboles!$H$6:$H$101,MOD(35+$C24+(3),$B$3)+1)*L24+INDEX(Symboles!$H$6:$H$101,MOD(35+$C24+(4),$B$3)+1)*M24+IF($B$6=0,0,$B$6*NORMSINV(0.000001+0.999998*RAND())))</f>
        <v/>
      </c>
      <c r="ES24" s="30">
        <f>IF(37&gt;$B$3,99,INDEX(Symboles!$H$6:$H$101,MOD(36+$C24+(-4),$B$3)+1)*E24+INDEX(Symboles!$H$6:$H$101,MOD(36+$C24+(-3),$B$3)+1)*F24+INDEX(Symboles!$H$6:$H$101,MOD(36+$C24+(-2),$B$3)+1)*G24+INDEX(Symboles!$H$6:$H$101,MOD(36+$C24+(-1),$B$3)+1)*H24+INDEX(Symboles!$H$6:$H$101,MOD(36+$C24+(0),$B$3)+1)*I24+INDEX(Symboles!$H$6:$H$101,MOD(36+$C24+(1),$B$3)+1)*J24+INDEX(Symboles!$H$6:$H$101,MOD(36+$C24+(2),$B$3)+1)*K24+INDEX(Symboles!$H$6:$H$101,MOD(36+$C24+(3),$B$3)+1)*L24+INDEX(Symboles!$H$6:$H$101,MOD(36+$C24+(4),$B$3)+1)*M24+IF($B$6=0,0,$B$6*NORMSINV(0.000001+0.999998*RAND())))</f>
        <v/>
      </c>
      <c r="ET24" s="30">
        <f>IF(38&gt;$B$3,99,INDEX(Symboles!$H$6:$H$101,MOD(37+$C24+(-4),$B$3)+1)*E24+INDEX(Symboles!$H$6:$H$101,MOD(37+$C24+(-3),$B$3)+1)*F24+INDEX(Symboles!$H$6:$H$101,MOD(37+$C24+(-2),$B$3)+1)*G24+INDEX(Symboles!$H$6:$H$101,MOD(37+$C24+(-1),$B$3)+1)*H24+INDEX(Symboles!$H$6:$H$101,MOD(37+$C24+(0),$B$3)+1)*I24+INDEX(Symboles!$H$6:$H$101,MOD(37+$C24+(1),$B$3)+1)*J24+INDEX(Symboles!$H$6:$H$101,MOD(37+$C24+(2),$B$3)+1)*K24+INDEX(Symboles!$H$6:$H$101,MOD(37+$C24+(3),$B$3)+1)*L24+INDEX(Symboles!$H$6:$H$101,MOD(37+$C24+(4),$B$3)+1)*M24+IF($B$6=0,0,$B$6*NORMSINV(0.000001+0.999998*RAND())))</f>
        <v/>
      </c>
      <c r="EU24" s="30">
        <f>IF(39&gt;$B$3,99,INDEX(Symboles!$H$6:$H$101,MOD(38+$C24+(-4),$B$3)+1)*E24+INDEX(Symboles!$H$6:$H$101,MOD(38+$C24+(-3),$B$3)+1)*F24+INDEX(Symboles!$H$6:$H$101,MOD(38+$C24+(-2),$B$3)+1)*G24+INDEX(Symboles!$H$6:$H$101,MOD(38+$C24+(-1),$B$3)+1)*H24+INDEX(Symboles!$H$6:$H$101,MOD(38+$C24+(0),$B$3)+1)*I24+INDEX(Symboles!$H$6:$H$101,MOD(38+$C24+(1),$B$3)+1)*J24+INDEX(Symboles!$H$6:$H$101,MOD(38+$C24+(2),$B$3)+1)*K24+INDEX(Symboles!$H$6:$H$101,MOD(38+$C24+(3),$B$3)+1)*L24+INDEX(Symboles!$H$6:$H$101,MOD(38+$C24+(4),$B$3)+1)*M24+IF($B$6=0,0,$B$6*NORMSINV(0.000001+0.999998*RAND())))</f>
        <v/>
      </c>
      <c r="EV24" s="30">
        <f>IF(40&gt;$B$3,99,INDEX(Symboles!$H$6:$H$101,MOD(39+$C24+(-4),$B$3)+1)*E24+INDEX(Symboles!$H$6:$H$101,MOD(39+$C24+(-3),$B$3)+1)*F24+INDEX(Symboles!$H$6:$H$101,MOD(39+$C24+(-2),$B$3)+1)*G24+INDEX(Symboles!$H$6:$H$101,MOD(39+$C24+(-1),$B$3)+1)*H24+INDEX(Symboles!$H$6:$H$101,MOD(39+$C24+(0),$B$3)+1)*I24+INDEX(Symboles!$H$6:$H$101,MOD(39+$C24+(1),$B$3)+1)*J24+INDEX(Symboles!$H$6:$H$101,MOD(39+$C24+(2),$B$3)+1)*K24+INDEX(Symboles!$H$6:$H$101,MOD(39+$C24+(3),$B$3)+1)*L24+INDEX(Symboles!$H$6:$H$101,MOD(39+$C24+(4),$B$3)+1)*M24+IF($B$6=0,0,$B$6*NORMSINV(0.000001+0.999998*RAND())))</f>
        <v/>
      </c>
      <c r="EW24" s="30">
        <f>IF(41&gt;$B$3,99,INDEX(Symboles!$H$6:$H$101,MOD(40+$C24+(-4),$B$3)+1)*E24+INDEX(Symboles!$H$6:$H$101,MOD(40+$C24+(-3),$B$3)+1)*F24+INDEX(Symboles!$H$6:$H$101,MOD(40+$C24+(-2),$B$3)+1)*G24+INDEX(Symboles!$H$6:$H$101,MOD(40+$C24+(-1),$B$3)+1)*H24+INDEX(Symboles!$H$6:$H$101,MOD(40+$C24+(0),$B$3)+1)*I24+INDEX(Symboles!$H$6:$H$101,MOD(40+$C24+(1),$B$3)+1)*J24+INDEX(Symboles!$H$6:$H$101,MOD(40+$C24+(2),$B$3)+1)*K24+INDEX(Symboles!$H$6:$H$101,MOD(40+$C24+(3),$B$3)+1)*L24+INDEX(Symboles!$H$6:$H$101,MOD(40+$C24+(4),$B$3)+1)*M24+IF($B$6=0,0,$B$6*NORMSINV(0.000001+0.999998*RAND())))</f>
        <v/>
      </c>
      <c r="EX24" s="30">
        <f>IF(42&gt;$B$3,99,INDEX(Symboles!$H$6:$H$101,MOD(41+$C24+(-4),$B$3)+1)*E24+INDEX(Symboles!$H$6:$H$101,MOD(41+$C24+(-3),$B$3)+1)*F24+INDEX(Symboles!$H$6:$H$101,MOD(41+$C24+(-2),$B$3)+1)*G24+INDEX(Symboles!$H$6:$H$101,MOD(41+$C24+(-1),$B$3)+1)*H24+INDEX(Symboles!$H$6:$H$101,MOD(41+$C24+(0),$B$3)+1)*I24+INDEX(Symboles!$H$6:$H$101,MOD(41+$C24+(1),$B$3)+1)*J24+INDEX(Symboles!$H$6:$H$101,MOD(41+$C24+(2),$B$3)+1)*K24+INDEX(Symboles!$H$6:$H$101,MOD(41+$C24+(3),$B$3)+1)*L24+INDEX(Symboles!$H$6:$H$101,MOD(41+$C24+(4),$B$3)+1)*M24+IF($B$6=0,0,$B$6*NORMSINV(0.000001+0.999998*RAND())))</f>
        <v/>
      </c>
      <c r="EY24" s="30">
        <f>IF(43&gt;$B$3,99,INDEX(Symboles!$H$6:$H$101,MOD(42+$C24+(-4),$B$3)+1)*E24+INDEX(Symboles!$H$6:$H$101,MOD(42+$C24+(-3),$B$3)+1)*F24+INDEX(Symboles!$H$6:$H$101,MOD(42+$C24+(-2),$B$3)+1)*G24+INDEX(Symboles!$H$6:$H$101,MOD(42+$C24+(-1),$B$3)+1)*H24+INDEX(Symboles!$H$6:$H$101,MOD(42+$C24+(0),$B$3)+1)*I24+INDEX(Symboles!$H$6:$H$101,MOD(42+$C24+(1),$B$3)+1)*J24+INDEX(Symboles!$H$6:$H$101,MOD(42+$C24+(2),$B$3)+1)*K24+INDEX(Symboles!$H$6:$H$101,MOD(42+$C24+(3),$B$3)+1)*L24+INDEX(Symboles!$H$6:$H$101,MOD(42+$C24+(4),$B$3)+1)*M24+IF($B$6=0,0,$B$6*NORMSINV(0.000001+0.999998*RAND())))</f>
        <v/>
      </c>
      <c r="EZ24" s="30">
        <f>IF(44&gt;$B$3,99,INDEX(Symboles!$H$6:$H$101,MOD(43+$C24+(-4),$B$3)+1)*E24+INDEX(Symboles!$H$6:$H$101,MOD(43+$C24+(-3),$B$3)+1)*F24+INDEX(Symboles!$H$6:$H$101,MOD(43+$C24+(-2),$B$3)+1)*G24+INDEX(Symboles!$H$6:$H$101,MOD(43+$C24+(-1),$B$3)+1)*H24+INDEX(Symboles!$H$6:$H$101,MOD(43+$C24+(0),$B$3)+1)*I24+INDEX(Symboles!$H$6:$H$101,MOD(43+$C24+(1),$B$3)+1)*J24+INDEX(Symboles!$H$6:$H$101,MOD(43+$C24+(2),$B$3)+1)*K24+INDEX(Symboles!$H$6:$H$101,MOD(43+$C24+(3),$B$3)+1)*L24+INDEX(Symboles!$H$6:$H$101,MOD(43+$C24+(4),$B$3)+1)*M24+IF($B$6=0,0,$B$6*NORMSINV(0.000001+0.999998*RAND())))</f>
        <v/>
      </c>
      <c r="FA24" s="30">
        <f>IF(45&gt;$B$3,99,INDEX(Symboles!$H$6:$H$101,MOD(44+$C24+(-4),$B$3)+1)*E24+INDEX(Symboles!$H$6:$H$101,MOD(44+$C24+(-3),$B$3)+1)*F24+INDEX(Symboles!$H$6:$H$101,MOD(44+$C24+(-2),$B$3)+1)*G24+INDEX(Symboles!$H$6:$H$101,MOD(44+$C24+(-1),$B$3)+1)*H24+INDEX(Symboles!$H$6:$H$101,MOD(44+$C24+(0),$B$3)+1)*I24+INDEX(Symboles!$H$6:$H$101,MOD(44+$C24+(1),$B$3)+1)*J24+INDEX(Symboles!$H$6:$H$101,MOD(44+$C24+(2),$B$3)+1)*K24+INDEX(Symboles!$H$6:$H$101,MOD(44+$C24+(3),$B$3)+1)*L24+INDEX(Symboles!$H$6:$H$101,MOD(44+$C24+(4),$B$3)+1)*M24+IF($B$6=0,0,$B$6*NORMSINV(0.000001+0.999998*RAND())))</f>
        <v/>
      </c>
      <c r="FB24" s="30">
        <f>IF(46&gt;$B$3,99,INDEX(Symboles!$H$6:$H$101,MOD(45+$C24+(-4),$B$3)+1)*E24+INDEX(Symboles!$H$6:$H$101,MOD(45+$C24+(-3),$B$3)+1)*F24+INDEX(Symboles!$H$6:$H$101,MOD(45+$C24+(-2),$B$3)+1)*G24+INDEX(Symboles!$H$6:$H$101,MOD(45+$C24+(-1),$B$3)+1)*H24+INDEX(Symboles!$H$6:$H$101,MOD(45+$C24+(0),$B$3)+1)*I24+INDEX(Symboles!$H$6:$H$101,MOD(45+$C24+(1),$B$3)+1)*J24+INDEX(Symboles!$H$6:$H$101,MOD(45+$C24+(2),$B$3)+1)*K24+INDEX(Symboles!$H$6:$H$101,MOD(45+$C24+(3),$B$3)+1)*L24+INDEX(Symboles!$H$6:$H$101,MOD(45+$C24+(4),$B$3)+1)*M24+IF($B$6=0,0,$B$6*NORMSINV(0.000001+0.999998*RAND())))</f>
        <v/>
      </c>
      <c r="FC24" s="30">
        <f>IF(47&gt;$B$3,99,INDEX(Symboles!$H$6:$H$101,MOD(46+$C24+(-4),$B$3)+1)*E24+INDEX(Symboles!$H$6:$H$101,MOD(46+$C24+(-3),$B$3)+1)*F24+INDEX(Symboles!$H$6:$H$101,MOD(46+$C24+(-2),$B$3)+1)*G24+INDEX(Symboles!$H$6:$H$101,MOD(46+$C24+(-1),$B$3)+1)*H24+INDEX(Symboles!$H$6:$H$101,MOD(46+$C24+(0),$B$3)+1)*I24+INDEX(Symboles!$H$6:$H$101,MOD(46+$C24+(1),$B$3)+1)*J24+INDEX(Symboles!$H$6:$H$101,MOD(46+$C24+(2),$B$3)+1)*K24+INDEX(Symboles!$H$6:$H$101,MOD(46+$C24+(3),$B$3)+1)*L24+INDEX(Symboles!$H$6:$H$101,MOD(46+$C24+(4),$B$3)+1)*M24+IF($B$6=0,0,$B$6*NORMSINV(0.000001+0.999998*RAND())))</f>
        <v/>
      </c>
      <c r="FD24" s="30">
        <f>IF(48&gt;$B$3,99,INDEX(Symboles!$H$6:$H$101,MOD(47+$C24+(-4),$B$3)+1)*E24+INDEX(Symboles!$H$6:$H$101,MOD(47+$C24+(-3),$B$3)+1)*F24+INDEX(Symboles!$H$6:$H$101,MOD(47+$C24+(-2),$B$3)+1)*G24+INDEX(Symboles!$H$6:$H$101,MOD(47+$C24+(-1),$B$3)+1)*H24+INDEX(Symboles!$H$6:$H$101,MOD(47+$C24+(0),$B$3)+1)*I24+INDEX(Symboles!$H$6:$H$101,MOD(47+$C24+(1),$B$3)+1)*J24+INDEX(Symboles!$H$6:$H$101,MOD(47+$C24+(2),$B$3)+1)*K24+INDEX(Symboles!$H$6:$H$101,MOD(47+$C24+(3),$B$3)+1)*L24+INDEX(Symboles!$H$6:$H$101,MOD(47+$C24+(4),$B$3)+1)*M24+IF($B$6=0,0,$B$6*NORMSINV(0.000001+0.999998*RAND())))</f>
        <v/>
      </c>
      <c r="FE24" s="30">
        <f>IF(49&gt;$B$3,99,INDEX(Symboles!$H$6:$H$101,MOD(48+$C24+(-4),$B$3)+1)*E24+INDEX(Symboles!$H$6:$H$101,MOD(48+$C24+(-3),$B$3)+1)*F24+INDEX(Symboles!$H$6:$H$101,MOD(48+$C24+(-2),$B$3)+1)*G24+INDEX(Symboles!$H$6:$H$101,MOD(48+$C24+(-1),$B$3)+1)*H24+INDEX(Symboles!$H$6:$H$101,MOD(48+$C24+(0),$B$3)+1)*I24+INDEX(Symboles!$H$6:$H$101,MOD(48+$C24+(1),$B$3)+1)*J24+INDEX(Symboles!$H$6:$H$101,MOD(48+$C24+(2),$B$3)+1)*K24+INDEX(Symboles!$H$6:$H$101,MOD(48+$C24+(3),$B$3)+1)*L24+INDEX(Symboles!$H$6:$H$101,MOD(48+$C24+(4),$B$3)+1)*M24+IF($B$6=0,0,$B$6*NORMSINV(0.000001+0.999998*RAND())))</f>
        <v/>
      </c>
      <c r="FF24" s="30">
        <f>IF(50&gt;$B$3,99,INDEX(Symboles!$H$6:$H$101,MOD(49+$C24+(-4),$B$3)+1)*E24+INDEX(Symboles!$H$6:$H$101,MOD(49+$C24+(-3),$B$3)+1)*F24+INDEX(Symboles!$H$6:$H$101,MOD(49+$C24+(-2),$B$3)+1)*G24+INDEX(Symboles!$H$6:$H$101,MOD(49+$C24+(-1),$B$3)+1)*H24+INDEX(Symboles!$H$6:$H$101,MOD(49+$C24+(0),$B$3)+1)*I24+INDEX(Symboles!$H$6:$H$101,MOD(49+$C24+(1),$B$3)+1)*J24+INDEX(Symboles!$H$6:$H$101,MOD(49+$C24+(2),$B$3)+1)*K24+INDEX(Symboles!$H$6:$H$101,MOD(49+$C24+(3),$B$3)+1)*L24+INDEX(Symboles!$H$6:$H$101,MOD(49+$C24+(4),$B$3)+1)*M24+IF($B$6=0,0,$B$6*NORMSINV(0.000001+0.999998*RAND())))</f>
        <v/>
      </c>
      <c r="FG24" s="30">
        <f>IF(51&gt;$B$3,99,INDEX(Symboles!$H$6:$H$101,MOD(50+$C24+(-4),$B$3)+1)*E24+INDEX(Symboles!$H$6:$H$101,MOD(50+$C24+(-3),$B$3)+1)*F24+INDEX(Symboles!$H$6:$H$101,MOD(50+$C24+(-2),$B$3)+1)*G24+INDEX(Symboles!$H$6:$H$101,MOD(50+$C24+(-1),$B$3)+1)*H24+INDEX(Symboles!$H$6:$H$101,MOD(50+$C24+(0),$B$3)+1)*I24+INDEX(Symboles!$H$6:$H$101,MOD(50+$C24+(1),$B$3)+1)*J24+INDEX(Symboles!$H$6:$H$101,MOD(50+$C24+(2),$B$3)+1)*K24+INDEX(Symboles!$H$6:$H$101,MOD(50+$C24+(3),$B$3)+1)*L24+INDEX(Symboles!$H$6:$H$101,MOD(50+$C24+(4),$B$3)+1)*M24+IF($B$6=0,0,$B$6*NORMSINV(0.000001+0.999998*RAND())))</f>
        <v/>
      </c>
      <c r="FH24" s="30">
        <f>IF(52&gt;$B$3,99,INDEX(Symboles!$H$6:$H$101,MOD(51+$C24+(-4),$B$3)+1)*E24+INDEX(Symboles!$H$6:$H$101,MOD(51+$C24+(-3),$B$3)+1)*F24+INDEX(Symboles!$H$6:$H$101,MOD(51+$C24+(-2),$B$3)+1)*G24+INDEX(Symboles!$H$6:$H$101,MOD(51+$C24+(-1),$B$3)+1)*H24+INDEX(Symboles!$H$6:$H$101,MOD(51+$C24+(0),$B$3)+1)*I24+INDEX(Symboles!$H$6:$H$101,MOD(51+$C24+(1),$B$3)+1)*J24+INDEX(Symboles!$H$6:$H$101,MOD(51+$C24+(2),$B$3)+1)*K24+INDEX(Symboles!$H$6:$H$101,MOD(51+$C24+(3),$B$3)+1)*L24+INDEX(Symboles!$H$6:$H$101,MOD(51+$C24+(4),$B$3)+1)*M24+IF($B$6=0,0,$B$6*NORMSINV(0.000001+0.999998*RAND())))</f>
        <v/>
      </c>
      <c r="FI24" s="30">
        <f>IF(53&gt;$B$3,99,INDEX(Symboles!$H$6:$H$101,MOD(52+$C24+(-4),$B$3)+1)*E24+INDEX(Symboles!$H$6:$H$101,MOD(52+$C24+(-3),$B$3)+1)*F24+INDEX(Symboles!$H$6:$H$101,MOD(52+$C24+(-2),$B$3)+1)*G24+INDEX(Symboles!$H$6:$H$101,MOD(52+$C24+(-1),$B$3)+1)*H24+INDEX(Symboles!$H$6:$H$101,MOD(52+$C24+(0),$B$3)+1)*I24+INDEX(Symboles!$H$6:$H$101,MOD(52+$C24+(1),$B$3)+1)*J24+INDEX(Symboles!$H$6:$H$101,MOD(52+$C24+(2),$B$3)+1)*K24+INDEX(Symboles!$H$6:$H$101,MOD(52+$C24+(3),$B$3)+1)*L24+INDEX(Symboles!$H$6:$H$101,MOD(52+$C24+(4),$B$3)+1)*M24+IF($B$6=0,0,$B$6*NORMSINV(0.000001+0.999998*RAND())))</f>
        <v/>
      </c>
      <c r="FJ24" s="30">
        <f>IF(54&gt;$B$3,99,INDEX(Symboles!$H$6:$H$101,MOD(53+$C24+(-4),$B$3)+1)*E24+INDEX(Symboles!$H$6:$H$101,MOD(53+$C24+(-3),$B$3)+1)*F24+INDEX(Symboles!$H$6:$H$101,MOD(53+$C24+(-2),$B$3)+1)*G24+INDEX(Symboles!$H$6:$H$101,MOD(53+$C24+(-1),$B$3)+1)*H24+INDEX(Symboles!$H$6:$H$101,MOD(53+$C24+(0),$B$3)+1)*I24+INDEX(Symboles!$H$6:$H$101,MOD(53+$C24+(1),$B$3)+1)*J24+INDEX(Symboles!$H$6:$H$101,MOD(53+$C24+(2),$B$3)+1)*K24+INDEX(Symboles!$H$6:$H$101,MOD(53+$C24+(3),$B$3)+1)*L24+INDEX(Symboles!$H$6:$H$101,MOD(53+$C24+(4),$B$3)+1)*M24+IF($B$6=0,0,$B$6*NORMSINV(0.000001+0.999998*RAND())))</f>
        <v/>
      </c>
      <c r="FK24" s="30">
        <f>IF(55&gt;$B$3,99,INDEX(Symboles!$H$6:$H$101,MOD(54+$C24+(-4),$B$3)+1)*E24+INDEX(Symboles!$H$6:$H$101,MOD(54+$C24+(-3),$B$3)+1)*F24+INDEX(Symboles!$H$6:$H$101,MOD(54+$C24+(-2),$B$3)+1)*G24+INDEX(Symboles!$H$6:$H$101,MOD(54+$C24+(-1),$B$3)+1)*H24+INDEX(Symboles!$H$6:$H$101,MOD(54+$C24+(0),$B$3)+1)*I24+INDEX(Symboles!$H$6:$H$101,MOD(54+$C24+(1),$B$3)+1)*J24+INDEX(Symboles!$H$6:$H$101,MOD(54+$C24+(2),$B$3)+1)*K24+INDEX(Symboles!$H$6:$H$101,MOD(54+$C24+(3),$B$3)+1)*L24+INDEX(Symboles!$H$6:$H$101,MOD(54+$C24+(4),$B$3)+1)*M24+IF($B$6=0,0,$B$6*NORMSINV(0.000001+0.999998*RAND())))</f>
        <v/>
      </c>
      <c r="FL24" s="30">
        <f>IF(56&gt;$B$3,99,INDEX(Symboles!$H$6:$H$101,MOD(55+$C24+(-4),$B$3)+1)*E24+INDEX(Symboles!$H$6:$H$101,MOD(55+$C24+(-3),$B$3)+1)*F24+INDEX(Symboles!$H$6:$H$101,MOD(55+$C24+(-2),$B$3)+1)*G24+INDEX(Symboles!$H$6:$H$101,MOD(55+$C24+(-1),$B$3)+1)*H24+INDEX(Symboles!$H$6:$H$101,MOD(55+$C24+(0),$B$3)+1)*I24+INDEX(Symboles!$H$6:$H$101,MOD(55+$C24+(1),$B$3)+1)*J24+INDEX(Symboles!$H$6:$H$101,MOD(55+$C24+(2),$B$3)+1)*K24+INDEX(Symboles!$H$6:$H$101,MOD(55+$C24+(3),$B$3)+1)*L24+INDEX(Symboles!$H$6:$H$101,MOD(55+$C24+(4),$B$3)+1)*M24+IF($B$6=0,0,$B$6*NORMSINV(0.000001+0.999998*RAND())))</f>
        <v/>
      </c>
      <c r="FM24" s="30">
        <f>IF(57&gt;$B$3,99,INDEX(Symboles!$H$6:$H$101,MOD(56+$C24+(-4),$B$3)+1)*E24+INDEX(Symboles!$H$6:$H$101,MOD(56+$C24+(-3),$B$3)+1)*F24+INDEX(Symboles!$H$6:$H$101,MOD(56+$C24+(-2),$B$3)+1)*G24+INDEX(Symboles!$H$6:$H$101,MOD(56+$C24+(-1),$B$3)+1)*H24+INDEX(Symboles!$H$6:$H$101,MOD(56+$C24+(0),$B$3)+1)*I24+INDEX(Symboles!$H$6:$H$101,MOD(56+$C24+(1),$B$3)+1)*J24+INDEX(Symboles!$H$6:$H$101,MOD(56+$C24+(2),$B$3)+1)*K24+INDEX(Symboles!$H$6:$H$101,MOD(56+$C24+(3),$B$3)+1)*L24+INDEX(Symboles!$H$6:$H$101,MOD(56+$C24+(4),$B$3)+1)*M24+IF($B$6=0,0,$B$6*NORMSINV(0.000001+0.999998*RAND())))</f>
        <v/>
      </c>
      <c r="FN24" s="30">
        <f>IF(58&gt;$B$3,99,INDEX(Symboles!$H$6:$H$101,MOD(57+$C24+(-4),$B$3)+1)*E24+INDEX(Symboles!$H$6:$H$101,MOD(57+$C24+(-3),$B$3)+1)*F24+INDEX(Symboles!$H$6:$H$101,MOD(57+$C24+(-2),$B$3)+1)*G24+INDEX(Symboles!$H$6:$H$101,MOD(57+$C24+(-1),$B$3)+1)*H24+INDEX(Symboles!$H$6:$H$101,MOD(57+$C24+(0),$B$3)+1)*I24+INDEX(Symboles!$H$6:$H$101,MOD(57+$C24+(1),$B$3)+1)*J24+INDEX(Symboles!$H$6:$H$101,MOD(57+$C24+(2),$B$3)+1)*K24+INDEX(Symboles!$H$6:$H$101,MOD(57+$C24+(3),$B$3)+1)*L24+INDEX(Symboles!$H$6:$H$101,MOD(57+$C24+(4),$B$3)+1)*M24+IF($B$6=0,0,$B$6*NORMSINV(0.000001+0.999998*RAND())))</f>
        <v/>
      </c>
      <c r="FO24" s="30">
        <f>IF(59&gt;$B$3,99,INDEX(Symboles!$H$6:$H$101,MOD(58+$C24+(-4),$B$3)+1)*E24+INDEX(Symboles!$H$6:$H$101,MOD(58+$C24+(-3),$B$3)+1)*F24+INDEX(Symboles!$H$6:$H$101,MOD(58+$C24+(-2),$B$3)+1)*G24+INDEX(Symboles!$H$6:$H$101,MOD(58+$C24+(-1),$B$3)+1)*H24+INDEX(Symboles!$H$6:$H$101,MOD(58+$C24+(0),$B$3)+1)*I24+INDEX(Symboles!$H$6:$H$101,MOD(58+$C24+(1),$B$3)+1)*J24+INDEX(Symboles!$H$6:$H$101,MOD(58+$C24+(2),$B$3)+1)*K24+INDEX(Symboles!$H$6:$H$101,MOD(58+$C24+(3),$B$3)+1)*L24+INDEX(Symboles!$H$6:$H$101,MOD(58+$C24+(4),$B$3)+1)*M24+IF($B$6=0,0,$B$6*NORMSINV(0.000001+0.999998*RAND())))</f>
        <v/>
      </c>
      <c r="FP24" s="30">
        <f>IF(60&gt;$B$3,99,INDEX(Symboles!$H$6:$H$101,MOD(59+$C24+(-4),$B$3)+1)*E24+INDEX(Symboles!$H$6:$H$101,MOD(59+$C24+(-3),$B$3)+1)*F24+INDEX(Symboles!$H$6:$H$101,MOD(59+$C24+(-2),$B$3)+1)*G24+INDEX(Symboles!$H$6:$H$101,MOD(59+$C24+(-1),$B$3)+1)*H24+INDEX(Symboles!$H$6:$H$101,MOD(59+$C24+(0),$B$3)+1)*I24+INDEX(Symboles!$H$6:$H$101,MOD(59+$C24+(1),$B$3)+1)*J24+INDEX(Symboles!$H$6:$H$101,MOD(59+$C24+(2),$B$3)+1)*K24+INDEX(Symboles!$H$6:$H$101,MOD(59+$C24+(3),$B$3)+1)*L24+INDEX(Symboles!$H$6:$H$101,MOD(59+$C24+(4),$B$3)+1)*M24+IF($B$6=0,0,$B$6*NORMSINV(0.000001+0.999998*RAND())))</f>
        <v/>
      </c>
      <c r="FQ24" s="30">
        <f>IF(61&gt;$B$3,99,INDEX(Symboles!$H$6:$H$101,MOD(60+$C24+(-4),$B$3)+1)*E24+INDEX(Symboles!$H$6:$H$101,MOD(60+$C24+(-3),$B$3)+1)*F24+INDEX(Symboles!$H$6:$H$101,MOD(60+$C24+(-2),$B$3)+1)*G24+INDEX(Symboles!$H$6:$H$101,MOD(60+$C24+(-1),$B$3)+1)*H24+INDEX(Symboles!$H$6:$H$101,MOD(60+$C24+(0),$B$3)+1)*I24+INDEX(Symboles!$H$6:$H$101,MOD(60+$C24+(1),$B$3)+1)*J24+INDEX(Symboles!$H$6:$H$101,MOD(60+$C24+(2),$B$3)+1)*K24+INDEX(Symboles!$H$6:$H$101,MOD(60+$C24+(3),$B$3)+1)*L24+INDEX(Symboles!$H$6:$H$101,MOD(60+$C24+(4),$B$3)+1)*M24+IF($B$6=0,0,$B$6*NORMSINV(0.000001+0.999998*RAND())))</f>
        <v/>
      </c>
      <c r="FR24" s="30">
        <f>IF(62&gt;$B$3,99,INDEX(Symboles!$H$6:$H$101,MOD(61+$C24+(-4),$B$3)+1)*E24+INDEX(Symboles!$H$6:$H$101,MOD(61+$C24+(-3),$B$3)+1)*F24+INDEX(Symboles!$H$6:$H$101,MOD(61+$C24+(-2),$B$3)+1)*G24+INDEX(Symboles!$H$6:$H$101,MOD(61+$C24+(-1),$B$3)+1)*H24+INDEX(Symboles!$H$6:$H$101,MOD(61+$C24+(0),$B$3)+1)*I24+INDEX(Symboles!$H$6:$H$101,MOD(61+$C24+(1),$B$3)+1)*J24+INDEX(Symboles!$H$6:$H$101,MOD(61+$C24+(2),$B$3)+1)*K24+INDEX(Symboles!$H$6:$H$101,MOD(61+$C24+(3),$B$3)+1)*L24+INDEX(Symboles!$H$6:$H$101,MOD(61+$C24+(4),$B$3)+1)*M24+IF($B$6=0,0,$B$6*NORMSINV(0.000001+0.999998*RAND())))</f>
        <v/>
      </c>
      <c r="FS24" s="30">
        <f>IF(63&gt;$B$3,99,INDEX(Symboles!$H$6:$H$101,MOD(62+$C24+(-4),$B$3)+1)*E24+INDEX(Symboles!$H$6:$H$101,MOD(62+$C24+(-3),$B$3)+1)*F24+INDEX(Symboles!$H$6:$H$101,MOD(62+$C24+(-2),$B$3)+1)*G24+INDEX(Symboles!$H$6:$H$101,MOD(62+$C24+(-1),$B$3)+1)*H24+INDEX(Symboles!$H$6:$H$101,MOD(62+$C24+(0),$B$3)+1)*I24+INDEX(Symboles!$H$6:$H$101,MOD(62+$C24+(1),$B$3)+1)*J24+INDEX(Symboles!$H$6:$H$101,MOD(62+$C24+(2),$B$3)+1)*K24+INDEX(Symboles!$H$6:$H$101,MOD(62+$C24+(3),$B$3)+1)*L24+INDEX(Symboles!$H$6:$H$101,MOD(62+$C24+(4),$B$3)+1)*M24+IF($B$6=0,0,$B$6*NORMSINV(0.000001+0.999998*RAND())))</f>
        <v/>
      </c>
      <c r="FT24" s="30">
        <f>IF(64&gt;$B$3,99,INDEX(Symboles!$H$6:$H$101,MOD(63+$C24+(-4),$B$3)+1)*E24+INDEX(Symboles!$H$6:$H$101,MOD(63+$C24+(-3),$B$3)+1)*F24+INDEX(Symboles!$H$6:$H$101,MOD(63+$C24+(-2),$B$3)+1)*G24+INDEX(Symboles!$H$6:$H$101,MOD(63+$C24+(-1),$B$3)+1)*H24+INDEX(Symboles!$H$6:$H$101,MOD(63+$C24+(0),$B$3)+1)*I24+INDEX(Symboles!$H$6:$H$101,MOD(63+$C24+(1),$B$3)+1)*J24+INDEX(Symboles!$H$6:$H$101,MOD(63+$C24+(2),$B$3)+1)*K24+INDEX(Symboles!$H$6:$H$101,MOD(63+$C24+(3),$B$3)+1)*L24+INDEX(Symboles!$H$6:$H$101,MOD(63+$C24+(4),$B$3)+1)*M24+IF($B$6=0,0,$B$6*NORMSINV(0.000001+0.999998*RAND())))</f>
        <v/>
      </c>
      <c r="FU24" s="30">
        <f>IF(65&gt;$B$3,99,INDEX(Symboles!$H$6:$H$101,MOD(64+$C24+(-4),$B$3)+1)*E24+INDEX(Symboles!$H$6:$H$101,MOD(64+$C24+(-3),$B$3)+1)*F24+INDEX(Symboles!$H$6:$H$101,MOD(64+$C24+(-2),$B$3)+1)*G24+INDEX(Symboles!$H$6:$H$101,MOD(64+$C24+(-1),$B$3)+1)*H24+INDEX(Symboles!$H$6:$H$101,MOD(64+$C24+(0),$B$3)+1)*I24+INDEX(Symboles!$H$6:$H$101,MOD(64+$C24+(1),$B$3)+1)*J24+INDEX(Symboles!$H$6:$H$101,MOD(64+$C24+(2),$B$3)+1)*K24+INDEX(Symboles!$H$6:$H$101,MOD(64+$C24+(3),$B$3)+1)*L24+INDEX(Symboles!$H$6:$H$101,MOD(64+$C24+(4),$B$3)+1)*M24+IF($B$6=0,0,$B$6*NORMSINV(0.000001+0.999998*RAND())))</f>
        <v/>
      </c>
      <c r="FV24" s="30">
        <f>IF(66&gt;$B$3,99,INDEX(Symboles!$H$6:$H$101,MOD(65+$C24+(-4),$B$3)+1)*E24+INDEX(Symboles!$H$6:$H$101,MOD(65+$C24+(-3),$B$3)+1)*F24+INDEX(Symboles!$H$6:$H$101,MOD(65+$C24+(-2),$B$3)+1)*G24+INDEX(Symboles!$H$6:$H$101,MOD(65+$C24+(-1),$B$3)+1)*H24+INDEX(Symboles!$H$6:$H$101,MOD(65+$C24+(0),$B$3)+1)*I24+INDEX(Symboles!$H$6:$H$101,MOD(65+$C24+(1),$B$3)+1)*J24+INDEX(Symboles!$H$6:$H$101,MOD(65+$C24+(2),$B$3)+1)*K24+INDEX(Symboles!$H$6:$H$101,MOD(65+$C24+(3),$B$3)+1)*L24+INDEX(Symboles!$H$6:$H$101,MOD(65+$C24+(4),$B$3)+1)*M24+IF($B$6=0,0,$B$6*NORMSINV(0.000001+0.999998*RAND())))</f>
        <v/>
      </c>
      <c r="FW24" s="30">
        <f>IF(67&gt;$B$3,99,INDEX(Symboles!$H$6:$H$101,MOD(66+$C24+(-4),$B$3)+1)*E24+INDEX(Symboles!$H$6:$H$101,MOD(66+$C24+(-3),$B$3)+1)*F24+INDEX(Symboles!$H$6:$H$101,MOD(66+$C24+(-2),$B$3)+1)*G24+INDEX(Symboles!$H$6:$H$101,MOD(66+$C24+(-1),$B$3)+1)*H24+INDEX(Symboles!$H$6:$H$101,MOD(66+$C24+(0),$B$3)+1)*I24+INDEX(Symboles!$H$6:$H$101,MOD(66+$C24+(1),$B$3)+1)*J24+INDEX(Symboles!$H$6:$H$101,MOD(66+$C24+(2),$B$3)+1)*K24+INDEX(Symboles!$H$6:$H$101,MOD(66+$C24+(3),$B$3)+1)*L24+INDEX(Symboles!$H$6:$H$101,MOD(66+$C24+(4),$B$3)+1)*M24+IF($B$6=0,0,$B$6*NORMSINV(0.000001+0.999998*RAND())))</f>
        <v/>
      </c>
      <c r="FX24" s="30">
        <f>IF(68&gt;$B$3,99,INDEX(Symboles!$H$6:$H$101,MOD(67+$C24+(-4),$B$3)+1)*E24+INDEX(Symboles!$H$6:$H$101,MOD(67+$C24+(-3),$B$3)+1)*F24+INDEX(Symboles!$H$6:$H$101,MOD(67+$C24+(-2),$B$3)+1)*G24+INDEX(Symboles!$H$6:$H$101,MOD(67+$C24+(-1),$B$3)+1)*H24+INDEX(Symboles!$H$6:$H$101,MOD(67+$C24+(0),$B$3)+1)*I24+INDEX(Symboles!$H$6:$H$101,MOD(67+$C24+(1),$B$3)+1)*J24+INDEX(Symboles!$H$6:$H$101,MOD(67+$C24+(2),$B$3)+1)*K24+INDEX(Symboles!$H$6:$H$101,MOD(67+$C24+(3),$B$3)+1)*L24+INDEX(Symboles!$H$6:$H$101,MOD(67+$C24+(4),$B$3)+1)*M24+IF($B$6=0,0,$B$6*NORMSINV(0.000001+0.999998*RAND())))</f>
        <v/>
      </c>
      <c r="FY24" s="30">
        <f>IF(69&gt;$B$3,99,INDEX(Symboles!$H$6:$H$101,MOD(68+$C24+(-4),$B$3)+1)*E24+INDEX(Symboles!$H$6:$H$101,MOD(68+$C24+(-3),$B$3)+1)*F24+INDEX(Symboles!$H$6:$H$101,MOD(68+$C24+(-2),$B$3)+1)*G24+INDEX(Symboles!$H$6:$H$101,MOD(68+$C24+(-1),$B$3)+1)*H24+INDEX(Symboles!$H$6:$H$101,MOD(68+$C24+(0),$B$3)+1)*I24+INDEX(Symboles!$H$6:$H$101,MOD(68+$C24+(1),$B$3)+1)*J24+INDEX(Symboles!$H$6:$H$101,MOD(68+$C24+(2),$B$3)+1)*K24+INDEX(Symboles!$H$6:$H$101,MOD(68+$C24+(3),$B$3)+1)*L24+INDEX(Symboles!$H$6:$H$101,MOD(68+$C24+(4),$B$3)+1)*M24+IF($B$6=0,0,$B$6*NORMSINV(0.000001+0.999998*RAND())))</f>
        <v/>
      </c>
      <c r="FZ24" s="30">
        <f>IF(70&gt;$B$3,99,INDEX(Symboles!$H$6:$H$101,MOD(69+$C24+(-4),$B$3)+1)*E24+INDEX(Symboles!$H$6:$H$101,MOD(69+$C24+(-3),$B$3)+1)*F24+INDEX(Symboles!$H$6:$H$101,MOD(69+$C24+(-2),$B$3)+1)*G24+INDEX(Symboles!$H$6:$H$101,MOD(69+$C24+(-1),$B$3)+1)*H24+INDEX(Symboles!$H$6:$H$101,MOD(69+$C24+(0),$B$3)+1)*I24+INDEX(Symboles!$H$6:$H$101,MOD(69+$C24+(1),$B$3)+1)*J24+INDEX(Symboles!$H$6:$H$101,MOD(69+$C24+(2),$B$3)+1)*K24+INDEX(Symboles!$H$6:$H$101,MOD(69+$C24+(3),$B$3)+1)*L24+INDEX(Symboles!$H$6:$H$101,MOD(69+$C24+(4),$B$3)+1)*M24+IF($B$6=0,0,$B$6*NORMSINV(0.000001+0.999998*RAND())))</f>
        <v/>
      </c>
      <c r="GA24" s="30">
        <f>IF(71&gt;$B$3,99,INDEX(Symboles!$H$6:$H$101,MOD(70+$C24+(-4),$B$3)+1)*E24+INDEX(Symboles!$H$6:$H$101,MOD(70+$C24+(-3),$B$3)+1)*F24+INDEX(Symboles!$H$6:$H$101,MOD(70+$C24+(-2),$B$3)+1)*G24+INDEX(Symboles!$H$6:$H$101,MOD(70+$C24+(-1),$B$3)+1)*H24+INDEX(Symboles!$H$6:$H$101,MOD(70+$C24+(0),$B$3)+1)*I24+INDEX(Symboles!$H$6:$H$101,MOD(70+$C24+(1),$B$3)+1)*J24+INDEX(Symboles!$H$6:$H$101,MOD(70+$C24+(2),$B$3)+1)*K24+INDEX(Symboles!$H$6:$H$101,MOD(70+$C24+(3),$B$3)+1)*L24+INDEX(Symboles!$H$6:$H$101,MOD(70+$C24+(4),$B$3)+1)*M24+IF($B$6=0,0,$B$6*NORMSINV(0.000001+0.999998*RAND())))</f>
        <v/>
      </c>
      <c r="GB24" s="30">
        <f>IF(72&gt;$B$3,99,INDEX(Symboles!$H$6:$H$101,MOD(71+$C24+(-4),$B$3)+1)*E24+INDEX(Symboles!$H$6:$H$101,MOD(71+$C24+(-3),$B$3)+1)*F24+INDEX(Symboles!$H$6:$H$101,MOD(71+$C24+(-2),$B$3)+1)*G24+INDEX(Symboles!$H$6:$H$101,MOD(71+$C24+(-1),$B$3)+1)*H24+INDEX(Symboles!$H$6:$H$101,MOD(71+$C24+(0),$B$3)+1)*I24+INDEX(Symboles!$H$6:$H$101,MOD(71+$C24+(1),$B$3)+1)*J24+INDEX(Symboles!$H$6:$H$101,MOD(71+$C24+(2),$B$3)+1)*K24+INDEX(Symboles!$H$6:$H$101,MOD(71+$C24+(3),$B$3)+1)*L24+INDEX(Symboles!$H$6:$H$101,MOD(71+$C24+(4),$B$3)+1)*M24+IF($B$6=0,0,$B$6*NORMSINV(0.000001+0.999998*RAND())))</f>
        <v/>
      </c>
      <c r="GC24" s="30">
        <f>IF(73&gt;$B$3,99,INDEX(Symboles!$H$6:$H$101,MOD(72+$C24+(-4),$B$3)+1)*E24+INDEX(Symboles!$H$6:$H$101,MOD(72+$C24+(-3),$B$3)+1)*F24+INDEX(Symboles!$H$6:$H$101,MOD(72+$C24+(-2),$B$3)+1)*G24+INDEX(Symboles!$H$6:$H$101,MOD(72+$C24+(-1),$B$3)+1)*H24+INDEX(Symboles!$H$6:$H$101,MOD(72+$C24+(0),$B$3)+1)*I24+INDEX(Symboles!$H$6:$H$101,MOD(72+$C24+(1),$B$3)+1)*J24+INDEX(Symboles!$H$6:$H$101,MOD(72+$C24+(2),$B$3)+1)*K24+INDEX(Symboles!$H$6:$H$101,MOD(72+$C24+(3),$B$3)+1)*L24+INDEX(Symboles!$H$6:$H$101,MOD(72+$C24+(4),$B$3)+1)*M24+IF($B$6=0,0,$B$6*NORMSINV(0.000001+0.999998*RAND())))</f>
        <v/>
      </c>
      <c r="GD24" s="30">
        <f>IF(74&gt;$B$3,99,INDEX(Symboles!$H$6:$H$101,MOD(73+$C24+(-4),$B$3)+1)*E24+INDEX(Symboles!$H$6:$H$101,MOD(73+$C24+(-3),$B$3)+1)*F24+INDEX(Symboles!$H$6:$H$101,MOD(73+$C24+(-2),$B$3)+1)*G24+INDEX(Symboles!$H$6:$H$101,MOD(73+$C24+(-1),$B$3)+1)*H24+INDEX(Symboles!$H$6:$H$101,MOD(73+$C24+(0),$B$3)+1)*I24+INDEX(Symboles!$H$6:$H$101,MOD(73+$C24+(1),$B$3)+1)*J24+INDEX(Symboles!$H$6:$H$101,MOD(73+$C24+(2),$B$3)+1)*K24+INDEX(Symboles!$H$6:$H$101,MOD(73+$C24+(3),$B$3)+1)*L24+INDEX(Symboles!$H$6:$H$101,MOD(73+$C24+(4),$B$3)+1)*M24+IF($B$6=0,0,$B$6*NORMSINV(0.000001+0.999998*RAND())))</f>
        <v/>
      </c>
      <c r="GE24" s="30">
        <f>IF(75&gt;$B$3,99,INDEX(Symboles!$H$6:$H$101,MOD(74+$C24+(-4),$B$3)+1)*E24+INDEX(Symboles!$H$6:$H$101,MOD(74+$C24+(-3),$B$3)+1)*F24+INDEX(Symboles!$H$6:$H$101,MOD(74+$C24+(-2),$B$3)+1)*G24+INDEX(Symboles!$H$6:$H$101,MOD(74+$C24+(-1),$B$3)+1)*H24+INDEX(Symboles!$H$6:$H$101,MOD(74+$C24+(0),$B$3)+1)*I24+INDEX(Symboles!$H$6:$H$101,MOD(74+$C24+(1),$B$3)+1)*J24+INDEX(Symboles!$H$6:$H$101,MOD(74+$C24+(2),$B$3)+1)*K24+INDEX(Symboles!$H$6:$H$101,MOD(74+$C24+(3),$B$3)+1)*L24+INDEX(Symboles!$H$6:$H$101,MOD(74+$C24+(4),$B$3)+1)*M24+IF($B$6=0,0,$B$6*NORMSINV(0.000001+0.999998*RAND())))</f>
        <v/>
      </c>
      <c r="GF24" s="30">
        <f>IF(76&gt;$B$3,99,INDEX(Symboles!$H$6:$H$101,MOD(75+$C24+(-4),$B$3)+1)*E24+INDEX(Symboles!$H$6:$H$101,MOD(75+$C24+(-3),$B$3)+1)*F24+INDEX(Symboles!$H$6:$H$101,MOD(75+$C24+(-2),$B$3)+1)*G24+INDEX(Symboles!$H$6:$H$101,MOD(75+$C24+(-1),$B$3)+1)*H24+INDEX(Symboles!$H$6:$H$101,MOD(75+$C24+(0),$B$3)+1)*I24+INDEX(Symboles!$H$6:$H$101,MOD(75+$C24+(1),$B$3)+1)*J24+INDEX(Symboles!$H$6:$H$101,MOD(75+$C24+(2),$B$3)+1)*K24+INDEX(Symboles!$H$6:$H$101,MOD(75+$C24+(3),$B$3)+1)*L24+INDEX(Symboles!$H$6:$H$101,MOD(75+$C24+(4),$B$3)+1)*M24+IF($B$6=0,0,$B$6*NORMSINV(0.000001+0.999998*RAND())))</f>
        <v/>
      </c>
      <c r="GG24" s="30">
        <f>IF(77&gt;$B$3,99,INDEX(Symboles!$H$6:$H$101,MOD(76+$C24+(-4),$B$3)+1)*E24+INDEX(Symboles!$H$6:$H$101,MOD(76+$C24+(-3),$B$3)+1)*F24+INDEX(Symboles!$H$6:$H$101,MOD(76+$C24+(-2),$B$3)+1)*G24+INDEX(Symboles!$H$6:$H$101,MOD(76+$C24+(-1),$B$3)+1)*H24+INDEX(Symboles!$H$6:$H$101,MOD(76+$C24+(0),$B$3)+1)*I24+INDEX(Symboles!$H$6:$H$101,MOD(76+$C24+(1),$B$3)+1)*J24+INDEX(Symboles!$H$6:$H$101,MOD(76+$C24+(2),$B$3)+1)*K24+INDEX(Symboles!$H$6:$H$101,MOD(76+$C24+(3),$B$3)+1)*L24+INDEX(Symboles!$H$6:$H$101,MOD(76+$C24+(4),$B$3)+1)*M24+IF($B$6=0,0,$B$6*NORMSINV(0.000001+0.999998*RAND())))</f>
        <v/>
      </c>
      <c r="GH24" s="30">
        <f>IF(78&gt;$B$3,99,INDEX(Symboles!$H$6:$H$101,MOD(77+$C24+(-4),$B$3)+1)*E24+INDEX(Symboles!$H$6:$H$101,MOD(77+$C24+(-3),$B$3)+1)*F24+INDEX(Symboles!$H$6:$H$101,MOD(77+$C24+(-2),$B$3)+1)*G24+INDEX(Symboles!$H$6:$H$101,MOD(77+$C24+(-1),$B$3)+1)*H24+INDEX(Symboles!$H$6:$H$101,MOD(77+$C24+(0),$B$3)+1)*I24+INDEX(Symboles!$H$6:$H$101,MOD(77+$C24+(1),$B$3)+1)*J24+INDEX(Symboles!$H$6:$H$101,MOD(77+$C24+(2),$B$3)+1)*K24+INDEX(Symboles!$H$6:$H$101,MOD(77+$C24+(3),$B$3)+1)*L24+INDEX(Symboles!$H$6:$H$101,MOD(77+$C24+(4),$B$3)+1)*M24+IF($B$6=0,0,$B$6*NORMSINV(0.000001+0.999998*RAND())))</f>
        <v/>
      </c>
      <c r="GI24" s="30">
        <f>IF(79&gt;$B$3,99,INDEX(Symboles!$H$6:$H$101,MOD(78+$C24+(-4),$B$3)+1)*E24+INDEX(Symboles!$H$6:$H$101,MOD(78+$C24+(-3),$B$3)+1)*F24+INDEX(Symboles!$H$6:$H$101,MOD(78+$C24+(-2),$B$3)+1)*G24+INDEX(Symboles!$H$6:$H$101,MOD(78+$C24+(-1),$B$3)+1)*H24+INDEX(Symboles!$H$6:$H$101,MOD(78+$C24+(0),$B$3)+1)*I24+INDEX(Symboles!$H$6:$H$101,MOD(78+$C24+(1),$B$3)+1)*J24+INDEX(Symboles!$H$6:$H$101,MOD(78+$C24+(2),$B$3)+1)*K24+INDEX(Symboles!$H$6:$H$101,MOD(78+$C24+(3),$B$3)+1)*L24+INDEX(Symboles!$H$6:$H$101,MOD(78+$C24+(4),$B$3)+1)*M24+IF($B$6=0,0,$B$6*NORMSINV(0.000001+0.999998*RAND())))</f>
        <v/>
      </c>
      <c r="GJ24" s="30">
        <f>IF(80&gt;$B$3,99,INDEX(Symboles!$H$6:$H$101,MOD(79+$C24+(-4),$B$3)+1)*E24+INDEX(Symboles!$H$6:$H$101,MOD(79+$C24+(-3),$B$3)+1)*F24+INDEX(Symboles!$H$6:$H$101,MOD(79+$C24+(-2),$B$3)+1)*G24+INDEX(Symboles!$H$6:$H$101,MOD(79+$C24+(-1),$B$3)+1)*H24+INDEX(Symboles!$H$6:$H$101,MOD(79+$C24+(0),$B$3)+1)*I24+INDEX(Symboles!$H$6:$H$101,MOD(79+$C24+(1),$B$3)+1)*J24+INDEX(Symboles!$H$6:$H$101,MOD(79+$C24+(2),$B$3)+1)*K24+INDEX(Symboles!$H$6:$H$101,MOD(79+$C24+(3),$B$3)+1)*L24+INDEX(Symboles!$H$6:$H$101,MOD(79+$C24+(4),$B$3)+1)*M24+IF($B$6=0,0,$B$6*NORMSINV(0.000001+0.999998*RAND())))</f>
        <v/>
      </c>
      <c r="GK24" s="30">
        <f>IF(81&gt;$B$3,99,INDEX(Symboles!$H$6:$H$101,MOD(80+$C24+(-4),$B$3)+1)*E24+INDEX(Symboles!$H$6:$H$101,MOD(80+$C24+(-3),$B$3)+1)*F24+INDEX(Symboles!$H$6:$H$101,MOD(80+$C24+(-2),$B$3)+1)*G24+INDEX(Symboles!$H$6:$H$101,MOD(80+$C24+(-1),$B$3)+1)*H24+INDEX(Symboles!$H$6:$H$101,MOD(80+$C24+(0),$B$3)+1)*I24+INDEX(Symboles!$H$6:$H$101,MOD(80+$C24+(1),$B$3)+1)*J24+INDEX(Symboles!$H$6:$H$101,MOD(80+$C24+(2),$B$3)+1)*K24+INDEX(Symboles!$H$6:$H$101,MOD(80+$C24+(3),$B$3)+1)*L24+INDEX(Symboles!$H$6:$H$101,MOD(80+$C24+(4),$B$3)+1)*M24+IF($B$6=0,0,$B$6*NORMSINV(0.000001+0.999998*RAND())))</f>
        <v/>
      </c>
      <c r="GL24" s="30">
        <f>IF(82&gt;$B$3,99,INDEX(Symboles!$H$6:$H$101,MOD(81+$C24+(-4),$B$3)+1)*E24+INDEX(Symboles!$H$6:$H$101,MOD(81+$C24+(-3),$B$3)+1)*F24+INDEX(Symboles!$H$6:$H$101,MOD(81+$C24+(-2),$B$3)+1)*G24+INDEX(Symboles!$H$6:$H$101,MOD(81+$C24+(-1),$B$3)+1)*H24+INDEX(Symboles!$H$6:$H$101,MOD(81+$C24+(0),$B$3)+1)*I24+INDEX(Symboles!$H$6:$H$101,MOD(81+$C24+(1),$B$3)+1)*J24+INDEX(Symboles!$H$6:$H$101,MOD(81+$C24+(2),$B$3)+1)*K24+INDEX(Symboles!$H$6:$H$101,MOD(81+$C24+(3),$B$3)+1)*L24+INDEX(Symboles!$H$6:$H$101,MOD(81+$C24+(4),$B$3)+1)*M24+IF($B$6=0,0,$B$6*NORMSINV(0.000001+0.999998*RAND())))</f>
        <v/>
      </c>
      <c r="GM24" s="30">
        <f>IF(83&gt;$B$3,99,INDEX(Symboles!$H$6:$H$101,MOD(82+$C24+(-4),$B$3)+1)*E24+INDEX(Symboles!$H$6:$H$101,MOD(82+$C24+(-3),$B$3)+1)*F24+INDEX(Symboles!$H$6:$H$101,MOD(82+$C24+(-2),$B$3)+1)*G24+INDEX(Symboles!$H$6:$H$101,MOD(82+$C24+(-1),$B$3)+1)*H24+INDEX(Symboles!$H$6:$H$101,MOD(82+$C24+(0),$B$3)+1)*I24+INDEX(Symboles!$H$6:$H$101,MOD(82+$C24+(1),$B$3)+1)*J24+INDEX(Symboles!$H$6:$H$101,MOD(82+$C24+(2),$B$3)+1)*K24+INDEX(Symboles!$H$6:$H$101,MOD(82+$C24+(3),$B$3)+1)*L24+INDEX(Symboles!$H$6:$H$101,MOD(82+$C24+(4),$B$3)+1)*M24+IF($B$6=0,0,$B$6*NORMSINV(0.000001+0.999998*RAND())))</f>
        <v/>
      </c>
      <c r="GN24" s="30">
        <f>IF(84&gt;$B$3,99,INDEX(Symboles!$H$6:$H$101,MOD(83+$C24+(-4),$B$3)+1)*E24+INDEX(Symboles!$H$6:$H$101,MOD(83+$C24+(-3),$B$3)+1)*F24+INDEX(Symboles!$H$6:$H$101,MOD(83+$C24+(-2),$B$3)+1)*G24+INDEX(Symboles!$H$6:$H$101,MOD(83+$C24+(-1),$B$3)+1)*H24+INDEX(Symboles!$H$6:$H$101,MOD(83+$C24+(0),$B$3)+1)*I24+INDEX(Symboles!$H$6:$H$101,MOD(83+$C24+(1),$B$3)+1)*J24+INDEX(Symboles!$H$6:$H$101,MOD(83+$C24+(2),$B$3)+1)*K24+INDEX(Symboles!$H$6:$H$101,MOD(83+$C24+(3),$B$3)+1)*L24+INDEX(Symboles!$H$6:$H$101,MOD(83+$C24+(4),$B$3)+1)*M24+IF($B$6=0,0,$B$6*NORMSINV(0.000001+0.999998*RAND())))</f>
        <v/>
      </c>
      <c r="GO24" s="30">
        <f>IF(85&gt;$B$3,99,INDEX(Symboles!$H$6:$H$101,MOD(84+$C24+(-4),$B$3)+1)*E24+INDEX(Symboles!$H$6:$H$101,MOD(84+$C24+(-3),$B$3)+1)*F24+INDEX(Symboles!$H$6:$H$101,MOD(84+$C24+(-2),$B$3)+1)*G24+INDEX(Symboles!$H$6:$H$101,MOD(84+$C24+(-1),$B$3)+1)*H24+INDEX(Symboles!$H$6:$H$101,MOD(84+$C24+(0),$B$3)+1)*I24+INDEX(Symboles!$H$6:$H$101,MOD(84+$C24+(1),$B$3)+1)*J24+INDEX(Symboles!$H$6:$H$101,MOD(84+$C24+(2),$B$3)+1)*K24+INDEX(Symboles!$H$6:$H$101,MOD(84+$C24+(3),$B$3)+1)*L24+INDEX(Symboles!$H$6:$H$101,MOD(84+$C24+(4),$B$3)+1)*M24+IF($B$6=0,0,$B$6*NORMSINV(0.000001+0.999998*RAND())))</f>
        <v/>
      </c>
      <c r="GP24" s="30">
        <f>IF(86&gt;$B$3,99,INDEX(Symboles!$H$6:$H$101,MOD(85+$C24+(-4),$B$3)+1)*E24+INDEX(Symboles!$H$6:$H$101,MOD(85+$C24+(-3),$B$3)+1)*F24+INDEX(Symboles!$H$6:$H$101,MOD(85+$C24+(-2),$B$3)+1)*G24+INDEX(Symboles!$H$6:$H$101,MOD(85+$C24+(-1),$B$3)+1)*H24+INDEX(Symboles!$H$6:$H$101,MOD(85+$C24+(0),$B$3)+1)*I24+INDEX(Symboles!$H$6:$H$101,MOD(85+$C24+(1),$B$3)+1)*J24+INDEX(Symboles!$H$6:$H$101,MOD(85+$C24+(2),$B$3)+1)*K24+INDEX(Symboles!$H$6:$H$101,MOD(85+$C24+(3),$B$3)+1)*L24+INDEX(Symboles!$H$6:$H$101,MOD(85+$C24+(4),$B$3)+1)*M24+IF($B$6=0,0,$B$6*NORMSINV(0.000001+0.999998*RAND())))</f>
        <v/>
      </c>
      <c r="GQ24" s="30">
        <f>IF(87&gt;$B$3,99,INDEX(Symboles!$H$6:$H$101,MOD(86+$C24+(-4),$B$3)+1)*E24+INDEX(Symboles!$H$6:$H$101,MOD(86+$C24+(-3),$B$3)+1)*F24+INDEX(Symboles!$H$6:$H$101,MOD(86+$C24+(-2),$B$3)+1)*G24+INDEX(Symboles!$H$6:$H$101,MOD(86+$C24+(-1),$B$3)+1)*H24+INDEX(Symboles!$H$6:$H$101,MOD(86+$C24+(0),$B$3)+1)*I24+INDEX(Symboles!$H$6:$H$101,MOD(86+$C24+(1),$B$3)+1)*J24+INDEX(Symboles!$H$6:$H$101,MOD(86+$C24+(2),$B$3)+1)*K24+INDEX(Symboles!$H$6:$H$101,MOD(86+$C24+(3),$B$3)+1)*L24+INDEX(Symboles!$H$6:$H$101,MOD(86+$C24+(4),$B$3)+1)*M24+IF($B$6=0,0,$B$6*NORMSINV(0.000001+0.999998*RAND())))</f>
        <v/>
      </c>
      <c r="GR24" s="30">
        <f>IF(88&gt;$B$3,99,INDEX(Symboles!$H$6:$H$101,MOD(87+$C24+(-4),$B$3)+1)*E24+INDEX(Symboles!$H$6:$H$101,MOD(87+$C24+(-3),$B$3)+1)*F24+INDEX(Symboles!$H$6:$H$101,MOD(87+$C24+(-2),$B$3)+1)*G24+INDEX(Symboles!$H$6:$H$101,MOD(87+$C24+(-1),$B$3)+1)*H24+INDEX(Symboles!$H$6:$H$101,MOD(87+$C24+(0),$B$3)+1)*I24+INDEX(Symboles!$H$6:$H$101,MOD(87+$C24+(1),$B$3)+1)*J24+INDEX(Symboles!$H$6:$H$101,MOD(87+$C24+(2),$B$3)+1)*K24+INDEX(Symboles!$H$6:$H$101,MOD(87+$C24+(3),$B$3)+1)*L24+INDEX(Symboles!$H$6:$H$101,MOD(87+$C24+(4),$B$3)+1)*M24+IF($B$6=0,0,$B$6*NORMSINV(0.000001+0.999998*RAND())))</f>
        <v/>
      </c>
      <c r="GS24" s="30">
        <f>IF(89&gt;$B$3,99,INDEX(Symboles!$H$6:$H$101,MOD(88+$C24+(-4),$B$3)+1)*E24+INDEX(Symboles!$H$6:$H$101,MOD(88+$C24+(-3),$B$3)+1)*F24+INDEX(Symboles!$H$6:$H$101,MOD(88+$C24+(-2),$B$3)+1)*G24+INDEX(Symboles!$H$6:$H$101,MOD(88+$C24+(-1),$B$3)+1)*H24+INDEX(Symboles!$H$6:$H$101,MOD(88+$C24+(0),$B$3)+1)*I24+INDEX(Symboles!$H$6:$H$101,MOD(88+$C24+(1),$B$3)+1)*J24+INDEX(Symboles!$H$6:$H$101,MOD(88+$C24+(2),$B$3)+1)*K24+INDEX(Symboles!$H$6:$H$101,MOD(88+$C24+(3),$B$3)+1)*L24+INDEX(Symboles!$H$6:$H$101,MOD(88+$C24+(4),$B$3)+1)*M24+IF($B$6=0,0,$B$6*NORMSINV(0.000001+0.999998*RAND())))</f>
        <v/>
      </c>
      <c r="GT24" s="30">
        <f>IF(90&gt;$B$3,99,INDEX(Symboles!$H$6:$H$101,MOD(89+$C24+(-4),$B$3)+1)*E24+INDEX(Symboles!$H$6:$H$101,MOD(89+$C24+(-3),$B$3)+1)*F24+INDEX(Symboles!$H$6:$H$101,MOD(89+$C24+(-2),$B$3)+1)*G24+INDEX(Symboles!$H$6:$H$101,MOD(89+$C24+(-1),$B$3)+1)*H24+INDEX(Symboles!$H$6:$H$101,MOD(89+$C24+(0),$B$3)+1)*I24+INDEX(Symboles!$H$6:$H$101,MOD(89+$C24+(1),$B$3)+1)*J24+INDEX(Symboles!$H$6:$H$101,MOD(89+$C24+(2),$B$3)+1)*K24+INDEX(Symboles!$H$6:$H$101,MOD(89+$C24+(3),$B$3)+1)*L24+INDEX(Symboles!$H$6:$H$101,MOD(89+$C24+(4),$B$3)+1)*M24+IF($B$6=0,0,$B$6*NORMSINV(0.000001+0.999998*RAND())))</f>
        <v/>
      </c>
      <c r="GU24" s="30">
        <f>IF(91&gt;$B$3,99,INDEX(Symboles!$H$6:$H$101,MOD(90+$C24+(-4),$B$3)+1)*E24+INDEX(Symboles!$H$6:$H$101,MOD(90+$C24+(-3),$B$3)+1)*F24+INDEX(Symboles!$H$6:$H$101,MOD(90+$C24+(-2),$B$3)+1)*G24+INDEX(Symboles!$H$6:$H$101,MOD(90+$C24+(-1),$B$3)+1)*H24+INDEX(Symboles!$H$6:$H$101,MOD(90+$C24+(0),$B$3)+1)*I24+INDEX(Symboles!$H$6:$H$101,MOD(90+$C24+(1),$B$3)+1)*J24+INDEX(Symboles!$H$6:$H$101,MOD(90+$C24+(2),$B$3)+1)*K24+INDEX(Symboles!$H$6:$H$101,MOD(90+$C24+(3),$B$3)+1)*L24+INDEX(Symboles!$H$6:$H$101,MOD(90+$C24+(4),$B$3)+1)*M24+IF($B$6=0,0,$B$6*NORMSINV(0.000001+0.999998*RAND())))</f>
        <v/>
      </c>
      <c r="GV24" s="30">
        <f>IF(92&gt;$B$3,99,INDEX(Symboles!$H$6:$H$101,MOD(91+$C24+(-4),$B$3)+1)*E24+INDEX(Symboles!$H$6:$H$101,MOD(91+$C24+(-3),$B$3)+1)*F24+INDEX(Symboles!$H$6:$H$101,MOD(91+$C24+(-2),$B$3)+1)*G24+INDEX(Symboles!$H$6:$H$101,MOD(91+$C24+(-1),$B$3)+1)*H24+INDEX(Symboles!$H$6:$H$101,MOD(91+$C24+(0),$B$3)+1)*I24+INDEX(Symboles!$H$6:$H$101,MOD(91+$C24+(1),$B$3)+1)*J24+INDEX(Symboles!$H$6:$H$101,MOD(91+$C24+(2),$B$3)+1)*K24+INDEX(Symboles!$H$6:$H$101,MOD(91+$C24+(3),$B$3)+1)*L24+INDEX(Symboles!$H$6:$H$101,MOD(91+$C24+(4),$B$3)+1)*M24+IF($B$6=0,0,$B$6*NORMSINV(0.000001+0.999998*RAND())))</f>
        <v/>
      </c>
      <c r="GW24" s="30">
        <f>IF(93&gt;$B$3,99,INDEX(Symboles!$H$6:$H$101,MOD(92+$C24+(-4),$B$3)+1)*E24+INDEX(Symboles!$H$6:$H$101,MOD(92+$C24+(-3),$B$3)+1)*F24+INDEX(Symboles!$H$6:$H$101,MOD(92+$C24+(-2),$B$3)+1)*G24+INDEX(Symboles!$H$6:$H$101,MOD(92+$C24+(-1),$B$3)+1)*H24+INDEX(Symboles!$H$6:$H$101,MOD(92+$C24+(0),$B$3)+1)*I24+INDEX(Symboles!$H$6:$H$101,MOD(92+$C24+(1),$B$3)+1)*J24+INDEX(Symboles!$H$6:$H$101,MOD(92+$C24+(2),$B$3)+1)*K24+INDEX(Symboles!$H$6:$H$101,MOD(92+$C24+(3),$B$3)+1)*L24+INDEX(Symboles!$H$6:$H$101,MOD(92+$C24+(4),$B$3)+1)*M24+IF($B$6=0,0,$B$6*NORMSINV(0.000001+0.999998*RAND())))</f>
        <v/>
      </c>
      <c r="GX24" s="30">
        <f>IF(94&gt;$B$3,99,INDEX(Symboles!$H$6:$H$101,MOD(93+$C24+(-4),$B$3)+1)*E24+INDEX(Symboles!$H$6:$H$101,MOD(93+$C24+(-3),$B$3)+1)*F24+INDEX(Symboles!$H$6:$H$101,MOD(93+$C24+(-2),$B$3)+1)*G24+INDEX(Symboles!$H$6:$H$101,MOD(93+$C24+(-1),$B$3)+1)*H24+INDEX(Symboles!$H$6:$H$101,MOD(93+$C24+(0),$B$3)+1)*I24+INDEX(Symboles!$H$6:$H$101,MOD(93+$C24+(1),$B$3)+1)*J24+INDEX(Symboles!$H$6:$H$101,MOD(93+$C24+(2),$B$3)+1)*K24+INDEX(Symboles!$H$6:$H$101,MOD(93+$C24+(3),$B$3)+1)*L24+INDEX(Symboles!$H$6:$H$101,MOD(93+$C24+(4),$B$3)+1)*M24+IF($B$6=0,0,$B$6*NORMSINV(0.000001+0.999998*RAND())))</f>
        <v/>
      </c>
      <c r="GY24" s="30">
        <f>IF(95&gt;$B$3,99,INDEX(Symboles!$H$6:$H$101,MOD(94+$C24+(-4),$B$3)+1)*E24+INDEX(Symboles!$H$6:$H$101,MOD(94+$C24+(-3),$B$3)+1)*F24+INDEX(Symboles!$H$6:$H$101,MOD(94+$C24+(-2),$B$3)+1)*G24+INDEX(Symboles!$H$6:$H$101,MOD(94+$C24+(-1),$B$3)+1)*H24+INDEX(Symboles!$H$6:$H$101,MOD(94+$C24+(0),$B$3)+1)*I24+INDEX(Symboles!$H$6:$H$101,MOD(94+$C24+(1),$B$3)+1)*J24+INDEX(Symboles!$H$6:$H$101,MOD(94+$C24+(2),$B$3)+1)*K24+INDEX(Symboles!$H$6:$H$101,MOD(94+$C24+(3),$B$3)+1)*L24+INDEX(Symboles!$H$6:$H$101,MOD(94+$C24+(4),$B$3)+1)*M24+IF($B$6=0,0,$B$6*NORMSINV(0.000001+0.999998*RAND())))</f>
        <v/>
      </c>
      <c r="GZ24" s="30">
        <f>IF(96&gt;$B$3,99,INDEX(Symboles!$H$6:$H$101,MOD(95+$C24+(-4),$B$3)+1)*E24+INDEX(Symboles!$H$6:$H$101,MOD(95+$C24+(-3),$B$3)+1)*F24+INDEX(Symboles!$H$6:$H$101,MOD(95+$C24+(-2),$B$3)+1)*G24+INDEX(Symboles!$H$6:$H$101,MOD(95+$C24+(-1),$B$3)+1)*H24+INDEX(Symboles!$H$6:$H$101,MOD(95+$C24+(0),$B$3)+1)*I24+INDEX(Symboles!$H$6:$H$101,MOD(95+$C24+(1),$B$3)+1)*J24+INDEX(Symboles!$H$6:$H$101,MOD(95+$C24+(2),$B$3)+1)*K24+INDEX(Symboles!$H$6:$H$101,MOD(95+$C24+(3),$B$3)+1)*L24+INDEX(Symboles!$H$6:$H$101,MOD(95+$C24+(4),$B$3)+1)*M24+IF($B$6=0,0,$B$6*NORMSINV(0.000001+0.999998*RAND())))</f>
        <v/>
      </c>
    </row>
    <row r="25">
      <c r="A25" s="28" t="n">
        <v>15</v>
      </c>
      <c r="B25" s="28" t="n">
        <v>-0.0625</v>
      </c>
      <c r="C25" s="28" t="n">
        <v>0</v>
      </c>
      <c r="D25" s="28" t="n">
        <v>7</v>
      </c>
      <c r="E25" s="29">
        <f>IF($B$4=1,0,IF(ABS(1-(2*$B$5*3.9375)^2)&lt;0.000001,PI()/4*SIN(PI()/(2*$B$5))/(PI()/(2*$B$5)),SIN(PI()*3.9375)/(PI()*3.9375)*COS(PI()*$B$5*3.9375)/(1-(2*$B$5*3.9375)^2)))</f>
        <v/>
      </c>
      <c r="F25" s="29">
        <f>IF($B$4=1,0,IF(ABS(1-(2*$B$5*2.9375)^2)&lt;0.000001,PI()/4*SIN(PI()/(2*$B$5))/(PI()/(2*$B$5)),SIN(PI()*2.9375)/(PI()*2.9375)*COS(PI()*$B$5*2.9375)/(1-(2*$B$5*2.9375)^2)))</f>
        <v/>
      </c>
      <c r="G25" s="29">
        <f>IF($B$4=1,0,IF(ABS(1-(2*$B$5*1.9375)^2)&lt;0.000001,PI()/4*SIN(PI()/(2*$B$5))/(PI()/(2*$B$5)),SIN(PI()*1.9375)/(PI()*1.9375)*COS(PI()*$B$5*1.9375)/(1-(2*$B$5*1.9375)^2)))</f>
        <v/>
      </c>
      <c r="H25" s="29">
        <f>IF($B$4=1,0,IF(ABS(1-(2*$B$5*0.9375)^2)&lt;0.000001,PI()/4*SIN(PI()/(2*$B$5))/(PI()/(2*$B$5)),SIN(PI()*0.9375)/(PI()*0.9375)*COS(PI()*$B$5*0.9375)/(1-(2*$B$5*0.9375)^2)))</f>
        <v/>
      </c>
      <c r="I25" s="29">
        <f>IF($B$4=1,1,IF(ABS(1-(2*$B$5*-0.0625)^2)&lt;0.000001,PI()/4*SIN(PI()/(2*$B$5))/(PI()/(2*$B$5)),SIN(PI()*-0.0625)/(PI()*-0.0625)*COS(PI()*$B$5*-0.0625)/(1-(2*$B$5*-0.0625)^2)))</f>
        <v/>
      </c>
      <c r="J25" s="29">
        <f>IF($B$4=1,0,IF(ABS(1-(2*$B$5*-1.0625)^2)&lt;0.000001,PI()/4*SIN(PI()/(2*$B$5))/(PI()/(2*$B$5)),SIN(PI()*-1.0625)/(PI()*-1.0625)*COS(PI()*$B$5*-1.0625)/(1-(2*$B$5*-1.0625)^2)))</f>
        <v/>
      </c>
      <c r="K25" s="29">
        <f>IF($B$4=1,0,IF(ABS(1-(2*$B$5*-2.0625)^2)&lt;0.000001,PI()/4*SIN(PI()/(2*$B$5))/(PI()/(2*$B$5)),SIN(PI()*-2.0625)/(PI()*-2.0625)*COS(PI()*$B$5*-2.0625)/(1-(2*$B$5*-2.0625)^2)))</f>
        <v/>
      </c>
      <c r="L25" s="29">
        <f>IF($B$4=1,0,IF(ABS(1-(2*$B$5*-3.0625)^2)&lt;0.000001,PI()/4*SIN(PI()/(2*$B$5))/(PI()/(2*$B$5)),SIN(PI()*-3.0625)/(PI()*-3.0625)*COS(PI()*$B$5*-3.0625)/(1-(2*$B$5*-3.0625)^2)))</f>
        <v/>
      </c>
      <c r="M25" s="29">
        <f>IF($B$4=1,0,IF(ABS(1-(2*$B$5*-4.0625)^2)&lt;0.000001,PI()/4*SIN(PI()/(2*$B$5))/(PI()/(2*$B$5)),SIN(PI()*-4.0625)/(PI()*-4.0625)*COS(PI()*$B$5*-4.0625)/(1-(2*$B$5*-4.0625)^2)))</f>
        <v/>
      </c>
      <c r="P25" s="30">
        <f>IF(1&gt;$B$3,99,INDEX(Symboles!$G$6:$G$101,MOD(0+$C25+(-4),$B$3)+1)*E25+INDEX(Symboles!$G$6:$G$101,MOD(0+$C25+(-3),$B$3)+1)*F25+INDEX(Symboles!$G$6:$G$101,MOD(0+$C25+(-2),$B$3)+1)*G25+INDEX(Symboles!$G$6:$G$101,MOD(0+$C25+(-1),$B$3)+1)*H25+INDEX(Symboles!$G$6:$G$101,MOD(0+$C25+(0),$B$3)+1)*I25+INDEX(Symboles!$G$6:$G$101,MOD(0+$C25+(1),$B$3)+1)*J25+INDEX(Symboles!$G$6:$G$101,MOD(0+$C25+(2),$B$3)+1)*K25+INDEX(Symboles!$G$6:$G$101,MOD(0+$C25+(3),$B$3)+1)*L25+INDEX(Symboles!$G$6:$G$101,MOD(0+$C25+(4),$B$3)+1)*M25+IF($B$6=0,0,$B$6*NORMSINV(0.000001+0.999998*RAND())))</f>
        <v/>
      </c>
      <c r="Q25" s="30">
        <f>IF(2&gt;$B$3,99,INDEX(Symboles!$G$6:$G$101,MOD(1+$C25+(-4),$B$3)+1)*E25+INDEX(Symboles!$G$6:$G$101,MOD(1+$C25+(-3),$B$3)+1)*F25+INDEX(Symboles!$G$6:$G$101,MOD(1+$C25+(-2),$B$3)+1)*G25+INDEX(Symboles!$G$6:$G$101,MOD(1+$C25+(-1),$B$3)+1)*H25+INDEX(Symboles!$G$6:$G$101,MOD(1+$C25+(0),$B$3)+1)*I25+INDEX(Symboles!$G$6:$G$101,MOD(1+$C25+(1),$B$3)+1)*J25+INDEX(Symboles!$G$6:$G$101,MOD(1+$C25+(2),$B$3)+1)*K25+INDEX(Symboles!$G$6:$G$101,MOD(1+$C25+(3),$B$3)+1)*L25+INDEX(Symboles!$G$6:$G$101,MOD(1+$C25+(4),$B$3)+1)*M25+IF($B$6=0,0,$B$6*NORMSINV(0.000001+0.999998*RAND())))</f>
        <v/>
      </c>
      <c r="R25" s="30">
        <f>IF(3&gt;$B$3,99,INDEX(Symboles!$G$6:$G$101,MOD(2+$C25+(-4),$B$3)+1)*E25+INDEX(Symboles!$G$6:$G$101,MOD(2+$C25+(-3),$B$3)+1)*F25+INDEX(Symboles!$G$6:$G$101,MOD(2+$C25+(-2),$B$3)+1)*G25+INDEX(Symboles!$G$6:$G$101,MOD(2+$C25+(-1),$B$3)+1)*H25+INDEX(Symboles!$G$6:$G$101,MOD(2+$C25+(0),$B$3)+1)*I25+INDEX(Symboles!$G$6:$G$101,MOD(2+$C25+(1),$B$3)+1)*J25+INDEX(Symboles!$G$6:$G$101,MOD(2+$C25+(2),$B$3)+1)*K25+INDEX(Symboles!$G$6:$G$101,MOD(2+$C25+(3),$B$3)+1)*L25+INDEX(Symboles!$G$6:$G$101,MOD(2+$C25+(4),$B$3)+1)*M25+IF($B$6=0,0,$B$6*NORMSINV(0.000001+0.999998*RAND())))</f>
        <v/>
      </c>
      <c r="S25" s="30">
        <f>IF(4&gt;$B$3,99,INDEX(Symboles!$G$6:$G$101,MOD(3+$C25+(-4),$B$3)+1)*E25+INDEX(Symboles!$G$6:$G$101,MOD(3+$C25+(-3),$B$3)+1)*F25+INDEX(Symboles!$G$6:$G$101,MOD(3+$C25+(-2),$B$3)+1)*G25+INDEX(Symboles!$G$6:$G$101,MOD(3+$C25+(-1),$B$3)+1)*H25+INDEX(Symboles!$G$6:$G$101,MOD(3+$C25+(0),$B$3)+1)*I25+INDEX(Symboles!$G$6:$G$101,MOD(3+$C25+(1),$B$3)+1)*J25+INDEX(Symboles!$G$6:$G$101,MOD(3+$C25+(2),$B$3)+1)*K25+INDEX(Symboles!$G$6:$G$101,MOD(3+$C25+(3),$B$3)+1)*L25+INDEX(Symboles!$G$6:$G$101,MOD(3+$C25+(4),$B$3)+1)*M25+IF($B$6=0,0,$B$6*NORMSINV(0.000001+0.999998*RAND())))</f>
        <v/>
      </c>
      <c r="T25" s="30">
        <f>IF(5&gt;$B$3,99,INDEX(Symboles!$G$6:$G$101,MOD(4+$C25+(-4),$B$3)+1)*E25+INDEX(Symboles!$G$6:$G$101,MOD(4+$C25+(-3),$B$3)+1)*F25+INDEX(Symboles!$G$6:$G$101,MOD(4+$C25+(-2),$B$3)+1)*G25+INDEX(Symboles!$G$6:$G$101,MOD(4+$C25+(-1),$B$3)+1)*H25+INDEX(Symboles!$G$6:$G$101,MOD(4+$C25+(0),$B$3)+1)*I25+INDEX(Symboles!$G$6:$G$101,MOD(4+$C25+(1),$B$3)+1)*J25+INDEX(Symboles!$G$6:$G$101,MOD(4+$C25+(2),$B$3)+1)*K25+INDEX(Symboles!$G$6:$G$101,MOD(4+$C25+(3),$B$3)+1)*L25+INDEX(Symboles!$G$6:$G$101,MOD(4+$C25+(4),$B$3)+1)*M25+IF($B$6=0,0,$B$6*NORMSINV(0.000001+0.999998*RAND())))</f>
        <v/>
      </c>
      <c r="U25" s="30">
        <f>IF(6&gt;$B$3,99,INDEX(Symboles!$G$6:$G$101,MOD(5+$C25+(-4),$B$3)+1)*E25+INDEX(Symboles!$G$6:$G$101,MOD(5+$C25+(-3),$B$3)+1)*F25+INDEX(Symboles!$G$6:$G$101,MOD(5+$C25+(-2),$B$3)+1)*G25+INDEX(Symboles!$G$6:$G$101,MOD(5+$C25+(-1),$B$3)+1)*H25+INDEX(Symboles!$G$6:$G$101,MOD(5+$C25+(0),$B$3)+1)*I25+INDEX(Symboles!$G$6:$G$101,MOD(5+$C25+(1),$B$3)+1)*J25+INDEX(Symboles!$G$6:$G$101,MOD(5+$C25+(2),$B$3)+1)*K25+INDEX(Symboles!$G$6:$G$101,MOD(5+$C25+(3),$B$3)+1)*L25+INDEX(Symboles!$G$6:$G$101,MOD(5+$C25+(4),$B$3)+1)*M25+IF($B$6=0,0,$B$6*NORMSINV(0.000001+0.999998*RAND())))</f>
        <v/>
      </c>
      <c r="V25" s="30">
        <f>IF(7&gt;$B$3,99,INDEX(Symboles!$G$6:$G$101,MOD(6+$C25+(-4),$B$3)+1)*E25+INDEX(Symboles!$G$6:$G$101,MOD(6+$C25+(-3),$B$3)+1)*F25+INDEX(Symboles!$G$6:$G$101,MOD(6+$C25+(-2),$B$3)+1)*G25+INDEX(Symboles!$G$6:$G$101,MOD(6+$C25+(-1),$B$3)+1)*H25+INDEX(Symboles!$G$6:$G$101,MOD(6+$C25+(0),$B$3)+1)*I25+INDEX(Symboles!$G$6:$G$101,MOD(6+$C25+(1),$B$3)+1)*J25+INDEX(Symboles!$G$6:$G$101,MOD(6+$C25+(2),$B$3)+1)*K25+INDEX(Symboles!$G$6:$G$101,MOD(6+$C25+(3),$B$3)+1)*L25+INDEX(Symboles!$G$6:$G$101,MOD(6+$C25+(4),$B$3)+1)*M25+IF($B$6=0,0,$B$6*NORMSINV(0.000001+0.999998*RAND())))</f>
        <v/>
      </c>
      <c r="W25" s="30">
        <f>IF(8&gt;$B$3,99,INDEX(Symboles!$G$6:$G$101,MOD(7+$C25+(-4),$B$3)+1)*E25+INDEX(Symboles!$G$6:$G$101,MOD(7+$C25+(-3),$B$3)+1)*F25+INDEX(Symboles!$G$6:$G$101,MOD(7+$C25+(-2),$B$3)+1)*G25+INDEX(Symboles!$G$6:$G$101,MOD(7+$C25+(-1),$B$3)+1)*H25+INDEX(Symboles!$G$6:$G$101,MOD(7+$C25+(0),$B$3)+1)*I25+INDEX(Symboles!$G$6:$G$101,MOD(7+$C25+(1),$B$3)+1)*J25+INDEX(Symboles!$G$6:$G$101,MOD(7+$C25+(2),$B$3)+1)*K25+INDEX(Symboles!$G$6:$G$101,MOD(7+$C25+(3),$B$3)+1)*L25+INDEX(Symboles!$G$6:$G$101,MOD(7+$C25+(4),$B$3)+1)*M25+IF($B$6=0,0,$B$6*NORMSINV(0.000001+0.999998*RAND())))</f>
        <v/>
      </c>
      <c r="X25" s="30">
        <f>IF(9&gt;$B$3,99,INDEX(Symboles!$G$6:$G$101,MOD(8+$C25+(-4),$B$3)+1)*E25+INDEX(Symboles!$G$6:$G$101,MOD(8+$C25+(-3),$B$3)+1)*F25+INDEX(Symboles!$G$6:$G$101,MOD(8+$C25+(-2),$B$3)+1)*G25+INDEX(Symboles!$G$6:$G$101,MOD(8+$C25+(-1),$B$3)+1)*H25+INDEX(Symboles!$G$6:$G$101,MOD(8+$C25+(0),$B$3)+1)*I25+INDEX(Symboles!$G$6:$G$101,MOD(8+$C25+(1),$B$3)+1)*J25+INDEX(Symboles!$G$6:$G$101,MOD(8+$C25+(2),$B$3)+1)*K25+INDEX(Symboles!$G$6:$G$101,MOD(8+$C25+(3),$B$3)+1)*L25+INDEX(Symboles!$G$6:$G$101,MOD(8+$C25+(4),$B$3)+1)*M25+IF($B$6=0,0,$B$6*NORMSINV(0.000001+0.999998*RAND())))</f>
        <v/>
      </c>
      <c r="Y25" s="30">
        <f>IF(10&gt;$B$3,99,INDEX(Symboles!$G$6:$G$101,MOD(9+$C25+(-4),$B$3)+1)*E25+INDEX(Symboles!$G$6:$G$101,MOD(9+$C25+(-3),$B$3)+1)*F25+INDEX(Symboles!$G$6:$G$101,MOD(9+$C25+(-2),$B$3)+1)*G25+INDEX(Symboles!$G$6:$G$101,MOD(9+$C25+(-1),$B$3)+1)*H25+INDEX(Symboles!$G$6:$G$101,MOD(9+$C25+(0),$B$3)+1)*I25+INDEX(Symboles!$G$6:$G$101,MOD(9+$C25+(1),$B$3)+1)*J25+INDEX(Symboles!$G$6:$G$101,MOD(9+$C25+(2),$B$3)+1)*K25+INDEX(Symboles!$G$6:$G$101,MOD(9+$C25+(3),$B$3)+1)*L25+INDEX(Symboles!$G$6:$G$101,MOD(9+$C25+(4),$B$3)+1)*M25+IF($B$6=0,0,$B$6*NORMSINV(0.000001+0.999998*RAND())))</f>
        <v/>
      </c>
      <c r="Z25" s="30">
        <f>IF(11&gt;$B$3,99,INDEX(Symboles!$G$6:$G$101,MOD(10+$C25+(-4),$B$3)+1)*E25+INDEX(Symboles!$G$6:$G$101,MOD(10+$C25+(-3),$B$3)+1)*F25+INDEX(Symboles!$G$6:$G$101,MOD(10+$C25+(-2),$B$3)+1)*G25+INDEX(Symboles!$G$6:$G$101,MOD(10+$C25+(-1),$B$3)+1)*H25+INDEX(Symboles!$G$6:$G$101,MOD(10+$C25+(0),$B$3)+1)*I25+INDEX(Symboles!$G$6:$G$101,MOD(10+$C25+(1),$B$3)+1)*J25+INDEX(Symboles!$G$6:$G$101,MOD(10+$C25+(2),$B$3)+1)*K25+INDEX(Symboles!$G$6:$G$101,MOD(10+$C25+(3),$B$3)+1)*L25+INDEX(Symboles!$G$6:$G$101,MOD(10+$C25+(4),$B$3)+1)*M25+IF($B$6=0,0,$B$6*NORMSINV(0.000001+0.999998*RAND())))</f>
        <v/>
      </c>
      <c r="AA25" s="30">
        <f>IF(12&gt;$B$3,99,INDEX(Symboles!$G$6:$G$101,MOD(11+$C25+(-4),$B$3)+1)*E25+INDEX(Symboles!$G$6:$G$101,MOD(11+$C25+(-3),$B$3)+1)*F25+INDEX(Symboles!$G$6:$G$101,MOD(11+$C25+(-2),$B$3)+1)*G25+INDEX(Symboles!$G$6:$G$101,MOD(11+$C25+(-1),$B$3)+1)*H25+INDEX(Symboles!$G$6:$G$101,MOD(11+$C25+(0),$B$3)+1)*I25+INDEX(Symboles!$G$6:$G$101,MOD(11+$C25+(1),$B$3)+1)*J25+INDEX(Symboles!$G$6:$G$101,MOD(11+$C25+(2),$B$3)+1)*K25+INDEX(Symboles!$G$6:$G$101,MOD(11+$C25+(3),$B$3)+1)*L25+INDEX(Symboles!$G$6:$G$101,MOD(11+$C25+(4),$B$3)+1)*M25+IF($B$6=0,0,$B$6*NORMSINV(0.000001+0.999998*RAND())))</f>
        <v/>
      </c>
      <c r="AB25" s="30">
        <f>IF(13&gt;$B$3,99,INDEX(Symboles!$G$6:$G$101,MOD(12+$C25+(-4),$B$3)+1)*E25+INDEX(Symboles!$G$6:$G$101,MOD(12+$C25+(-3),$B$3)+1)*F25+INDEX(Symboles!$G$6:$G$101,MOD(12+$C25+(-2),$B$3)+1)*G25+INDEX(Symboles!$G$6:$G$101,MOD(12+$C25+(-1),$B$3)+1)*H25+INDEX(Symboles!$G$6:$G$101,MOD(12+$C25+(0),$B$3)+1)*I25+INDEX(Symboles!$G$6:$G$101,MOD(12+$C25+(1),$B$3)+1)*J25+INDEX(Symboles!$G$6:$G$101,MOD(12+$C25+(2),$B$3)+1)*K25+INDEX(Symboles!$G$6:$G$101,MOD(12+$C25+(3),$B$3)+1)*L25+INDEX(Symboles!$G$6:$G$101,MOD(12+$C25+(4),$B$3)+1)*M25+IF($B$6=0,0,$B$6*NORMSINV(0.000001+0.999998*RAND())))</f>
        <v/>
      </c>
      <c r="AC25" s="30">
        <f>IF(14&gt;$B$3,99,INDEX(Symboles!$G$6:$G$101,MOD(13+$C25+(-4),$B$3)+1)*E25+INDEX(Symboles!$G$6:$G$101,MOD(13+$C25+(-3),$B$3)+1)*F25+INDEX(Symboles!$G$6:$G$101,MOD(13+$C25+(-2),$B$3)+1)*G25+INDEX(Symboles!$G$6:$G$101,MOD(13+$C25+(-1),$B$3)+1)*H25+INDEX(Symboles!$G$6:$G$101,MOD(13+$C25+(0),$B$3)+1)*I25+INDEX(Symboles!$G$6:$G$101,MOD(13+$C25+(1),$B$3)+1)*J25+INDEX(Symboles!$G$6:$G$101,MOD(13+$C25+(2),$B$3)+1)*K25+INDEX(Symboles!$G$6:$G$101,MOD(13+$C25+(3),$B$3)+1)*L25+INDEX(Symboles!$G$6:$G$101,MOD(13+$C25+(4),$B$3)+1)*M25+IF($B$6=0,0,$B$6*NORMSINV(0.000001+0.999998*RAND())))</f>
        <v/>
      </c>
      <c r="AD25" s="30">
        <f>IF(15&gt;$B$3,99,INDEX(Symboles!$G$6:$G$101,MOD(14+$C25+(-4),$B$3)+1)*E25+INDEX(Symboles!$G$6:$G$101,MOD(14+$C25+(-3),$B$3)+1)*F25+INDEX(Symboles!$G$6:$G$101,MOD(14+$C25+(-2),$B$3)+1)*G25+INDEX(Symboles!$G$6:$G$101,MOD(14+$C25+(-1),$B$3)+1)*H25+INDEX(Symboles!$G$6:$G$101,MOD(14+$C25+(0),$B$3)+1)*I25+INDEX(Symboles!$G$6:$G$101,MOD(14+$C25+(1),$B$3)+1)*J25+INDEX(Symboles!$G$6:$G$101,MOD(14+$C25+(2),$B$3)+1)*K25+INDEX(Symboles!$G$6:$G$101,MOD(14+$C25+(3),$B$3)+1)*L25+INDEX(Symboles!$G$6:$G$101,MOD(14+$C25+(4),$B$3)+1)*M25+IF($B$6=0,0,$B$6*NORMSINV(0.000001+0.999998*RAND())))</f>
        <v/>
      </c>
      <c r="AE25" s="30">
        <f>IF(16&gt;$B$3,99,INDEX(Symboles!$G$6:$G$101,MOD(15+$C25+(-4),$B$3)+1)*E25+INDEX(Symboles!$G$6:$G$101,MOD(15+$C25+(-3),$B$3)+1)*F25+INDEX(Symboles!$G$6:$G$101,MOD(15+$C25+(-2),$B$3)+1)*G25+INDEX(Symboles!$G$6:$G$101,MOD(15+$C25+(-1),$B$3)+1)*H25+INDEX(Symboles!$G$6:$G$101,MOD(15+$C25+(0),$B$3)+1)*I25+INDEX(Symboles!$G$6:$G$101,MOD(15+$C25+(1),$B$3)+1)*J25+INDEX(Symboles!$G$6:$G$101,MOD(15+$C25+(2),$B$3)+1)*K25+INDEX(Symboles!$G$6:$G$101,MOD(15+$C25+(3),$B$3)+1)*L25+INDEX(Symboles!$G$6:$G$101,MOD(15+$C25+(4),$B$3)+1)*M25+IF($B$6=0,0,$B$6*NORMSINV(0.000001+0.999998*RAND())))</f>
        <v/>
      </c>
      <c r="AF25" s="30">
        <f>IF(17&gt;$B$3,99,INDEX(Symboles!$G$6:$G$101,MOD(16+$C25+(-4),$B$3)+1)*E25+INDEX(Symboles!$G$6:$G$101,MOD(16+$C25+(-3),$B$3)+1)*F25+INDEX(Symboles!$G$6:$G$101,MOD(16+$C25+(-2),$B$3)+1)*G25+INDEX(Symboles!$G$6:$G$101,MOD(16+$C25+(-1),$B$3)+1)*H25+INDEX(Symboles!$G$6:$G$101,MOD(16+$C25+(0),$B$3)+1)*I25+INDEX(Symboles!$G$6:$G$101,MOD(16+$C25+(1),$B$3)+1)*J25+INDEX(Symboles!$G$6:$G$101,MOD(16+$C25+(2),$B$3)+1)*K25+INDEX(Symboles!$G$6:$G$101,MOD(16+$C25+(3),$B$3)+1)*L25+INDEX(Symboles!$G$6:$G$101,MOD(16+$C25+(4),$B$3)+1)*M25+IF($B$6=0,0,$B$6*NORMSINV(0.000001+0.999998*RAND())))</f>
        <v/>
      </c>
      <c r="AG25" s="30">
        <f>IF(18&gt;$B$3,99,INDEX(Symboles!$G$6:$G$101,MOD(17+$C25+(-4),$B$3)+1)*E25+INDEX(Symboles!$G$6:$G$101,MOD(17+$C25+(-3),$B$3)+1)*F25+INDEX(Symboles!$G$6:$G$101,MOD(17+$C25+(-2),$B$3)+1)*G25+INDEX(Symboles!$G$6:$G$101,MOD(17+$C25+(-1),$B$3)+1)*H25+INDEX(Symboles!$G$6:$G$101,MOD(17+$C25+(0),$B$3)+1)*I25+INDEX(Symboles!$G$6:$G$101,MOD(17+$C25+(1),$B$3)+1)*J25+INDEX(Symboles!$G$6:$G$101,MOD(17+$C25+(2),$B$3)+1)*K25+INDEX(Symboles!$G$6:$G$101,MOD(17+$C25+(3),$B$3)+1)*L25+INDEX(Symboles!$G$6:$G$101,MOD(17+$C25+(4),$B$3)+1)*M25+IF($B$6=0,0,$B$6*NORMSINV(0.000001+0.999998*RAND())))</f>
        <v/>
      </c>
      <c r="AH25" s="30">
        <f>IF(19&gt;$B$3,99,INDEX(Symboles!$G$6:$G$101,MOD(18+$C25+(-4),$B$3)+1)*E25+INDEX(Symboles!$G$6:$G$101,MOD(18+$C25+(-3),$B$3)+1)*F25+INDEX(Symboles!$G$6:$G$101,MOD(18+$C25+(-2),$B$3)+1)*G25+INDEX(Symboles!$G$6:$G$101,MOD(18+$C25+(-1),$B$3)+1)*H25+INDEX(Symboles!$G$6:$G$101,MOD(18+$C25+(0),$B$3)+1)*I25+INDEX(Symboles!$G$6:$G$101,MOD(18+$C25+(1),$B$3)+1)*J25+INDEX(Symboles!$G$6:$G$101,MOD(18+$C25+(2),$B$3)+1)*K25+INDEX(Symboles!$G$6:$G$101,MOD(18+$C25+(3),$B$3)+1)*L25+INDEX(Symboles!$G$6:$G$101,MOD(18+$C25+(4),$B$3)+1)*M25+IF($B$6=0,0,$B$6*NORMSINV(0.000001+0.999998*RAND())))</f>
        <v/>
      </c>
      <c r="AI25" s="30">
        <f>IF(20&gt;$B$3,99,INDEX(Symboles!$G$6:$G$101,MOD(19+$C25+(-4),$B$3)+1)*E25+INDEX(Symboles!$G$6:$G$101,MOD(19+$C25+(-3),$B$3)+1)*F25+INDEX(Symboles!$G$6:$G$101,MOD(19+$C25+(-2),$B$3)+1)*G25+INDEX(Symboles!$G$6:$G$101,MOD(19+$C25+(-1),$B$3)+1)*H25+INDEX(Symboles!$G$6:$G$101,MOD(19+$C25+(0),$B$3)+1)*I25+INDEX(Symboles!$G$6:$G$101,MOD(19+$C25+(1),$B$3)+1)*J25+INDEX(Symboles!$G$6:$G$101,MOD(19+$C25+(2),$B$3)+1)*K25+INDEX(Symboles!$G$6:$G$101,MOD(19+$C25+(3),$B$3)+1)*L25+INDEX(Symboles!$G$6:$G$101,MOD(19+$C25+(4),$B$3)+1)*M25+IF($B$6=0,0,$B$6*NORMSINV(0.000001+0.999998*RAND())))</f>
        <v/>
      </c>
      <c r="AJ25" s="30">
        <f>IF(21&gt;$B$3,99,INDEX(Symboles!$G$6:$G$101,MOD(20+$C25+(-4),$B$3)+1)*E25+INDEX(Symboles!$G$6:$G$101,MOD(20+$C25+(-3),$B$3)+1)*F25+INDEX(Symboles!$G$6:$G$101,MOD(20+$C25+(-2),$B$3)+1)*G25+INDEX(Symboles!$G$6:$G$101,MOD(20+$C25+(-1),$B$3)+1)*H25+INDEX(Symboles!$G$6:$G$101,MOD(20+$C25+(0),$B$3)+1)*I25+INDEX(Symboles!$G$6:$G$101,MOD(20+$C25+(1),$B$3)+1)*J25+INDEX(Symboles!$G$6:$G$101,MOD(20+$C25+(2),$B$3)+1)*K25+INDEX(Symboles!$G$6:$G$101,MOD(20+$C25+(3),$B$3)+1)*L25+INDEX(Symboles!$G$6:$G$101,MOD(20+$C25+(4),$B$3)+1)*M25+IF($B$6=0,0,$B$6*NORMSINV(0.000001+0.999998*RAND())))</f>
        <v/>
      </c>
      <c r="AK25" s="30">
        <f>IF(22&gt;$B$3,99,INDEX(Symboles!$G$6:$G$101,MOD(21+$C25+(-4),$B$3)+1)*E25+INDEX(Symboles!$G$6:$G$101,MOD(21+$C25+(-3),$B$3)+1)*F25+INDEX(Symboles!$G$6:$G$101,MOD(21+$C25+(-2),$B$3)+1)*G25+INDEX(Symboles!$G$6:$G$101,MOD(21+$C25+(-1),$B$3)+1)*H25+INDEX(Symboles!$G$6:$G$101,MOD(21+$C25+(0),$B$3)+1)*I25+INDEX(Symboles!$G$6:$G$101,MOD(21+$C25+(1),$B$3)+1)*J25+INDEX(Symboles!$G$6:$G$101,MOD(21+$C25+(2),$B$3)+1)*K25+INDEX(Symboles!$G$6:$G$101,MOD(21+$C25+(3),$B$3)+1)*L25+INDEX(Symboles!$G$6:$G$101,MOD(21+$C25+(4),$B$3)+1)*M25+IF($B$6=0,0,$B$6*NORMSINV(0.000001+0.999998*RAND())))</f>
        <v/>
      </c>
      <c r="AL25" s="30">
        <f>IF(23&gt;$B$3,99,INDEX(Symboles!$G$6:$G$101,MOD(22+$C25+(-4),$B$3)+1)*E25+INDEX(Symboles!$G$6:$G$101,MOD(22+$C25+(-3),$B$3)+1)*F25+INDEX(Symboles!$G$6:$G$101,MOD(22+$C25+(-2),$B$3)+1)*G25+INDEX(Symboles!$G$6:$G$101,MOD(22+$C25+(-1),$B$3)+1)*H25+INDEX(Symboles!$G$6:$G$101,MOD(22+$C25+(0),$B$3)+1)*I25+INDEX(Symboles!$G$6:$G$101,MOD(22+$C25+(1),$B$3)+1)*J25+INDEX(Symboles!$G$6:$G$101,MOD(22+$C25+(2),$B$3)+1)*K25+INDEX(Symboles!$G$6:$G$101,MOD(22+$C25+(3),$B$3)+1)*L25+INDEX(Symboles!$G$6:$G$101,MOD(22+$C25+(4),$B$3)+1)*M25+IF($B$6=0,0,$B$6*NORMSINV(0.000001+0.999998*RAND())))</f>
        <v/>
      </c>
      <c r="AM25" s="30">
        <f>IF(24&gt;$B$3,99,INDEX(Symboles!$G$6:$G$101,MOD(23+$C25+(-4),$B$3)+1)*E25+INDEX(Symboles!$G$6:$G$101,MOD(23+$C25+(-3),$B$3)+1)*F25+INDEX(Symboles!$G$6:$G$101,MOD(23+$C25+(-2),$B$3)+1)*G25+INDEX(Symboles!$G$6:$G$101,MOD(23+$C25+(-1),$B$3)+1)*H25+INDEX(Symboles!$G$6:$G$101,MOD(23+$C25+(0),$B$3)+1)*I25+INDEX(Symboles!$G$6:$G$101,MOD(23+$C25+(1),$B$3)+1)*J25+INDEX(Symboles!$G$6:$G$101,MOD(23+$C25+(2),$B$3)+1)*K25+INDEX(Symboles!$G$6:$G$101,MOD(23+$C25+(3),$B$3)+1)*L25+INDEX(Symboles!$G$6:$G$101,MOD(23+$C25+(4),$B$3)+1)*M25+IF($B$6=0,0,$B$6*NORMSINV(0.000001+0.999998*RAND())))</f>
        <v/>
      </c>
      <c r="AN25" s="30">
        <f>IF(25&gt;$B$3,99,INDEX(Symboles!$G$6:$G$101,MOD(24+$C25+(-4),$B$3)+1)*E25+INDEX(Symboles!$G$6:$G$101,MOD(24+$C25+(-3),$B$3)+1)*F25+INDEX(Symboles!$G$6:$G$101,MOD(24+$C25+(-2),$B$3)+1)*G25+INDEX(Symboles!$G$6:$G$101,MOD(24+$C25+(-1),$B$3)+1)*H25+INDEX(Symboles!$G$6:$G$101,MOD(24+$C25+(0),$B$3)+1)*I25+INDEX(Symboles!$G$6:$G$101,MOD(24+$C25+(1),$B$3)+1)*J25+INDEX(Symboles!$G$6:$G$101,MOD(24+$C25+(2),$B$3)+1)*K25+INDEX(Symboles!$G$6:$G$101,MOD(24+$C25+(3),$B$3)+1)*L25+INDEX(Symboles!$G$6:$G$101,MOD(24+$C25+(4),$B$3)+1)*M25+IF($B$6=0,0,$B$6*NORMSINV(0.000001+0.999998*RAND())))</f>
        <v/>
      </c>
      <c r="AO25" s="30">
        <f>IF(26&gt;$B$3,99,INDEX(Symboles!$G$6:$G$101,MOD(25+$C25+(-4),$B$3)+1)*E25+INDEX(Symboles!$G$6:$G$101,MOD(25+$C25+(-3),$B$3)+1)*F25+INDEX(Symboles!$G$6:$G$101,MOD(25+$C25+(-2),$B$3)+1)*G25+INDEX(Symboles!$G$6:$G$101,MOD(25+$C25+(-1),$B$3)+1)*H25+INDEX(Symboles!$G$6:$G$101,MOD(25+$C25+(0),$B$3)+1)*I25+INDEX(Symboles!$G$6:$G$101,MOD(25+$C25+(1),$B$3)+1)*J25+INDEX(Symboles!$G$6:$G$101,MOD(25+$C25+(2),$B$3)+1)*K25+INDEX(Symboles!$G$6:$G$101,MOD(25+$C25+(3),$B$3)+1)*L25+INDEX(Symboles!$G$6:$G$101,MOD(25+$C25+(4),$B$3)+1)*M25+IF($B$6=0,0,$B$6*NORMSINV(0.000001+0.999998*RAND())))</f>
        <v/>
      </c>
      <c r="AP25" s="30">
        <f>IF(27&gt;$B$3,99,INDEX(Symboles!$G$6:$G$101,MOD(26+$C25+(-4),$B$3)+1)*E25+INDEX(Symboles!$G$6:$G$101,MOD(26+$C25+(-3),$B$3)+1)*F25+INDEX(Symboles!$G$6:$G$101,MOD(26+$C25+(-2),$B$3)+1)*G25+INDEX(Symboles!$G$6:$G$101,MOD(26+$C25+(-1),$B$3)+1)*H25+INDEX(Symboles!$G$6:$G$101,MOD(26+$C25+(0),$B$3)+1)*I25+INDEX(Symboles!$G$6:$G$101,MOD(26+$C25+(1),$B$3)+1)*J25+INDEX(Symboles!$G$6:$G$101,MOD(26+$C25+(2),$B$3)+1)*K25+INDEX(Symboles!$G$6:$G$101,MOD(26+$C25+(3),$B$3)+1)*L25+INDEX(Symboles!$G$6:$G$101,MOD(26+$C25+(4),$B$3)+1)*M25+IF($B$6=0,0,$B$6*NORMSINV(0.000001+0.999998*RAND())))</f>
        <v/>
      </c>
      <c r="AQ25" s="30">
        <f>IF(28&gt;$B$3,99,INDEX(Symboles!$G$6:$G$101,MOD(27+$C25+(-4),$B$3)+1)*E25+INDEX(Symboles!$G$6:$G$101,MOD(27+$C25+(-3),$B$3)+1)*F25+INDEX(Symboles!$G$6:$G$101,MOD(27+$C25+(-2),$B$3)+1)*G25+INDEX(Symboles!$G$6:$G$101,MOD(27+$C25+(-1),$B$3)+1)*H25+INDEX(Symboles!$G$6:$G$101,MOD(27+$C25+(0),$B$3)+1)*I25+INDEX(Symboles!$G$6:$G$101,MOD(27+$C25+(1),$B$3)+1)*J25+INDEX(Symboles!$G$6:$G$101,MOD(27+$C25+(2),$B$3)+1)*K25+INDEX(Symboles!$G$6:$G$101,MOD(27+$C25+(3),$B$3)+1)*L25+INDEX(Symboles!$G$6:$G$101,MOD(27+$C25+(4),$B$3)+1)*M25+IF($B$6=0,0,$B$6*NORMSINV(0.000001+0.999998*RAND())))</f>
        <v/>
      </c>
      <c r="AR25" s="30">
        <f>IF(29&gt;$B$3,99,INDEX(Symboles!$G$6:$G$101,MOD(28+$C25+(-4),$B$3)+1)*E25+INDEX(Symboles!$G$6:$G$101,MOD(28+$C25+(-3),$B$3)+1)*F25+INDEX(Symboles!$G$6:$G$101,MOD(28+$C25+(-2),$B$3)+1)*G25+INDEX(Symboles!$G$6:$G$101,MOD(28+$C25+(-1),$B$3)+1)*H25+INDEX(Symboles!$G$6:$G$101,MOD(28+$C25+(0),$B$3)+1)*I25+INDEX(Symboles!$G$6:$G$101,MOD(28+$C25+(1),$B$3)+1)*J25+INDEX(Symboles!$G$6:$G$101,MOD(28+$C25+(2),$B$3)+1)*K25+INDEX(Symboles!$G$6:$G$101,MOD(28+$C25+(3),$B$3)+1)*L25+INDEX(Symboles!$G$6:$G$101,MOD(28+$C25+(4),$B$3)+1)*M25+IF($B$6=0,0,$B$6*NORMSINV(0.000001+0.999998*RAND())))</f>
        <v/>
      </c>
      <c r="AS25" s="30">
        <f>IF(30&gt;$B$3,99,INDEX(Symboles!$G$6:$G$101,MOD(29+$C25+(-4),$B$3)+1)*E25+INDEX(Symboles!$G$6:$G$101,MOD(29+$C25+(-3),$B$3)+1)*F25+INDEX(Symboles!$G$6:$G$101,MOD(29+$C25+(-2),$B$3)+1)*G25+INDEX(Symboles!$G$6:$G$101,MOD(29+$C25+(-1),$B$3)+1)*H25+INDEX(Symboles!$G$6:$G$101,MOD(29+$C25+(0),$B$3)+1)*I25+INDEX(Symboles!$G$6:$G$101,MOD(29+$C25+(1),$B$3)+1)*J25+INDEX(Symboles!$G$6:$G$101,MOD(29+$C25+(2),$B$3)+1)*K25+INDEX(Symboles!$G$6:$G$101,MOD(29+$C25+(3),$B$3)+1)*L25+INDEX(Symboles!$G$6:$G$101,MOD(29+$C25+(4),$B$3)+1)*M25+IF($B$6=0,0,$B$6*NORMSINV(0.000001+0.999998*RAND())))</f>
        <v/>
      </c>
      <c r="AT25" s="30">
        <f>IF(31&gt;$B$3,99,INDEX(Symboles!$G$6:$G$101,MOD(30+$C25+(-4),$B$3)+1)*E25+INDEX(Symboles!$G$6:$G$101,MOD(30+$C25+(-3),$B$3)+1)*F25+INDEX(Symboles!$G$6:$G$101,MOD(30+$C25+(-2),$B$3)+1)*G25+INDEX(Symboles!$G$6:$G$101,MOD(30+$C25+(-1),$B$3)+1)*H25+INDEX(Symboles!$G$6:$G$101,MOD(30+$C25+(0),$B$3)+1)*I25+INDEX(Symboles!$G$6:$G$101,MOD(30+$C25+(1),$B$3)+1)*J25+INDEX(Symboles!$G$6:$G$101,MOD(30+$C25+(2),$B$3)+1)*K25+INDEX(Symboles!$G$6:$G$101,MOD(30+$C25+(3),$B$3)+1)*L25+INDEX(Symboles!$G$6:$G$101,MOD(30+$C25+(4),$B$3)+1)*M25+IF($B$6=0,0,$B$6*NORMSINV(0.000001+0.999998*RAND())))</f>
        <v/>
      </c>
      <c r="AU25" s="30">
        <f>IF(32&gt;$B$3,99,INDEX(Symboles!$G$6:$G$101,MOD(31+$C25+(-4),$B$3)+1)*E25+INDEX(Symboles!$G$6:$G$101,MOD(31+$C25+(-3),$B$3)+1)*F25+INDEX(Symboles!$G$6:$G$101,MOD(31+$C25+(-2),$B$3)+1)*G25+INDEX(Symboles!$G$6:$G$101,MOD(31+$C25+(-1),$B$3)+1)*H25+INDEX(Symboles!$G$6:$G$101,MOD(31+$C25+(0),$B$3)+1)*I25+INDEX(Symboles!$G$6:$G$101,MOD(31+$C25+(1),$B$3)+1)*J25+INDEX(Symboles!$G$6:$G$101,MOD(31+$C25+(2),$B$3)+1)*K25+INDEX(Symboles!$G$6:$G$101,MOD(31+$C25+(3),$B$3)+1)*L25+INDEX(Symboles!$G$6:$G$101,MOD(31+$C25+(4),$B$3)+1)*M25+IF($B$6=0,0,$B$6*NORMSINV(0.000001+0.999998*RAND())))</f>
        <v/>
      </c>
      <c r="AV25" s="30">
        <f>IF(33&gt;$B$3,99,INDEX(Symboles!$G$6:$G$101,MOD(32+$C25+(-4),$B$3)+1)*E25+INDEX(Symboles!$G$6:$G$101,MOD(32+$C25+(-3),$B$3)+1)*F25+INDEX(Symboles!$G$6:$G$101,MOD(32+$C25+(-2),$B$3)+1)*G25+INDEX(Symboles!$G$6:$G$101,MOD(32+$C25+(-1),$B$3)+1)*H25+INDEX(Symboles!$G$6:$G$101,MOD(32+$C25+(0),$B$3)+1)*I25+INDEX(Symboles!$G$6:$G$101,MOD(32+$C25+(1),$B$3)+1)*J25+INDEX(Symboles!$G$6:$G$101,MOD(32+$C25+(2),$B$3)+1)*K25+INDEX(Symboles!$G$6:$G$101,MOD(32+$C25+(3),$B$3)+1)*L25+INDEX(Symboles!$G$6:$G$101,MOD(32+$C25+(4),$B$3)+1)*M25+IF($B$6=0,0,$B$6*NORMSINV(0.000001+0.999998*RAND())))</f>
        <v/>
      </c>
      <c r="AW25" s="30">
        <f>IF(34&gt;$B$3,99,INDEX(Symboles!$G$6:$G$101,MOD(33+$C25+(-4),$B$3)+1)*E25+INDEX(Symboles!$G$6:$G$101,MOD(33+$C25+(-3),$B$3)+1)*F25+INDEX(Symboles!$G$6:$G$101,MOD(33+$C25+(-2),$B$3)+1)*G25+INDEX(Symboles!$G$6:$G$101,MOD(33+$C25+(-1),$B$3)+1)*H25+INDEX(Symboles!$G$6:$G$101,MOD(33+$C25+(0),$B$3)+1)*I25+INDEX(Symboles!$G$6:$G$101,MOD(33+$C25+(1),$B$3)+1)*J25+INDEX(Symboles!$G$6:$G$101,MOD(33+$C25+(2),$B$3)+1)*K25+INDEX(Symboles!$G$6:$G$101,MOD(33+$C25+(3),$B$3)+1)*L25+INDEX(Symboles!$G$6:$G$101,MOD(33+$C25+(4),$B$3)+1)*M25+IF($B$6=0,0,$B$6*NORMSINV(0.000001+0.999998*RAND())))</f>
        <v/>
      </c>
      <c r="AX25" s="30">
        <f>IF(35&gt;$B$3,99,INDEX(Symboles!$G$6:$G$101,MOD(34+$C25+(-4),$B$3)+1)*E25+INDEX(Symboles!$G$6:$G$101,MOD(34+$C25+(-3),$B$3)+1)*F25+INDEX(Symboles!$G$6:$G$101,MOD(34+$C25+(-2),$B$3)+1)*G25+INDEX(Symboles!$G$6:$G$101,MOD(34+$C25+(-1),$B$3)+1)*H25+INDEX(Symboles!$G$6:$G$101,MOD(34+$C25+(0),$B$3)+1)*I25+INDEX(Symboles!$G$6:$G$101,MOD(34+$C25+(1),$B$3)+1)*J25+INDEX(Symboles!$G$6:$G$101,MOD(34+$C25+(2),$B$3)+1)*K25+INDEX(Symboles!$G$6:$G$101,MOD(34+$C25+(3),$B$3)+1)*L25+INDEX(Symboles!$G$6:$G$101,MOD(34+$C25+(4),$B$3)+1)*M25+IF($B$6=0,0,$B$6*NORMSINV(0.000001+0.999998*RAND())))</f>
        <v/>
      </c>
      <c r="AY25" s="30">
        <f>IF(36&gt;$B$3,99,INDEX(Symboles!$G$6:$G$101,MOD(35+$C25+(-4),$B$3)+1)*E25+INDEX(Symboles!$G$6:$G$101,MOD(35+$C25+(-3),$B$3)+1)*F25+INDEX(Symboles!$G$6:$G$101,MOD(35+$C25+(-2),$B$3)+1)*G25+INDEX(Symboles!$G$6:$G$101,MOD(35+$C25+(-1),$B$3)+1)*H25+INDEX(Symboles!$G$6:$G$101,MOD(35+$C25+(0),$B$3)+1)*I25+INDEX(Symboles!$G$6:$G$101,MOD(35+$C25+(1),$B$3)+1)*J25+INDEX(Symboles!$G$6:$G$101,MOD(35+$C25+(2),$B$3)+1)*K25+INDEX(Symboles!$G$6:$G$101,MOD(35+$C25+(3),$B$3)+1)*L25+INDEX(Symboles!$G$6:$G$101,MOD(35+$C25+(4),$B$3)+1)*M25+IF($B$6=0,0,$B$6*NORMSINV(0.000001+0.999998*RAND())))</f>
        <v/>
      </c>
      <c r="AZ25" s="30">
        <f>IF(37&gt;$B$3,99,INDEX(Symboles!$G$6:$G$101,MOD(36+$C25+(-4),$B$3)+1)*E25+INDEX(Symboles!$G$6:$G$101,MOD(36+$C25+(-3),$B$3)+1)*F25+INDEX(Symboles!$G$6:$G$101,MOD(36+$C25+(-2),$B$3)+1)*G25+INDEX(Symboles!$G$6:$G$101,MOD(36+$C25+(-1),$B$3)+1)*H25+INDEX(Symboles!$G$6:$G$101,MOD(36+$C25+(0),$B$3)+1)*I25+INDEX(Symboles!$G$6:$G$101,MOD(36+$C25+(1),$B$3)+1)*J25+INDEX(Symboles!$G$6:$G$101,MOD(36+$C25+(2),$B$3)+1)*K25+INDEX(Symboles!$G$6:$G$101,MOD(36+$C25+(3),$B$3)+1)*L25+INDEX(Symboles!$G$6:$G$101,MOD(36+$C25+(4),$B$3)+1)*M25+IF($B$6=0,0,$B$6*NORMSINV(0.000001+0.999998*RAND())))</f>
        <v/>
      </c>
      <c r="BA25" s="30">
        <f>IF(38&gt;$B$3,99,INDEX(Symboles!$G$6:$G$101,MOD(37+$C25+(-4),$B$3)+1)*E25+INDEX(Symboles!$G$6:$G$101,MOD(37+$C25+(-3),$B$3)+1)*F25+INDEX(Symboles!$G$6:$G$101,MOD(37+$C25+(-2),$B$3)+1)*G25+INDEX(Symboles!$G$6:$G$101,MOD(37+$C25+(-1),$B$3)+1)*H25+INDEX(Symboles!$G$6:$G$101,MOD(37+$C25+(0),$B$3)+1)*I25+INDEX(Symboles!$G$6:$G$101,MOD(37+$C25+(1),$B$3)+1)*J25+INDEX(Symboles!$G$6:$G$101,MOD(37+$C25+(2),$B$3)+1)*K25+INDEX(Symboles!$G$6:$G$101,MOD(37+$C25+(3),$B$3)+1)*L25+INDEX(Symboles!$G$6:$G$101,MOD(37+$C25+(4),$B$3)+1)*M25+IF($B$6=0,0,$B$6*NORMSINV(0.000001+0.999998*RAND())))</f>
        <v/>
      </c>
      <c r="BB25" s="30">
        <f>IF(39&gt;$B$3,99,INDEX(Symboles!$G$6:$G$101,MOD(38+$C25+(-4),$B$3)+1)*E25+INDEX(Symboles!$G$6:$G$101,MOD(38+$C25+(-3),$B$3)+1)*F25+INDEX(Symboles!$G$6:$G$101,MOD(38+$C25+(-2),$B$3)+1)*G25+INDEX(Symboles!$G$6:$G$101,MOD(38+$C25+(-1),$B$3)+1)*H25+INDEX(Symboles!$G$6:$G$101,MOD(38+$C25+(0),$B$3)+1)*I25+INDEX(Symboles!$G$6:$G$101,MOD(38+$C25+(1),$B$3)+1)*J25+INDEX(Symboles!$G$6:$G$101,MOD(38+$C25+(2),$B$3)+1)*K25+INDEX(Symboles!$G$6:$G$101,MOD(38+$C25+(3),$B$3)+1)*L25+INDEX(Symboles!$G$6:$G$101,MOD(38+$C25+(4),$B$3)+1)*M25+IF($B$6=0,0,$B$6*NORMSINV(0.000001+0.999998*RAND())))</f>
        <v/>
      </c>
      <c r="BC25" s="30">
        <f>IF(40&gt;$B$3,99,INDEX(Symboles!$G$6:$G$101,MOD(39+$C25+(-4),$B$3)+1)*E25+INDEX(Symboles!$G$6:$G$101,MOD(39+$C25+(-3),$B$3)+1)*F25+INDEX(Symboles!$G$6:$G$101,MOD(39+$C25+(-2),$B$3)+1)*G25+INDEX(Symboles!$G$6:$G$101,MOD(39+$C25+(-1),$B$3)+1)*H25+INDEX(Symboles!$G$6:$G$101,MOD(39+$C25+(0),$B$3)+1)*I25+INDEX(Symboles!$G$6:$G$101,MOD(39+$C25+(1),$B$3)+1)*J25+INDEX(Symboles!$G$6:$G$101,MOD(39+$C25+(2),$B$3)+1)*K25+INDEX(Symboles!$G$6:$G$101,MOD(39+$C25+(3),$B$3)+1)*L25+INDEX(Symboles!$G$6:$G$101,MOD(39+$C25+(4),$B$3)+1)*M25+IF($B$6=0,0,$B$6*NORMSINV(0.000001+0.999998*RAND())))</f>
        <v/>
      </c>
      <c r="BD25" s="30">
        <f>IF(41&gt;$B$3,99,INDEX(Symboles!$G$6:$G$101,MOD(40+$C25+(-4),$B$3)+1)*E25+INDEX(Symboles!$G$6:$G$101,MOD(40+$C25+(-3),$B$3)+1)*F25+INDEX(Symboles!$G$6:$G$101,MOD(40+$C25+(-2),$B$3)+1)*G25+INDEX(Symboles!$G$6:$G$101,MOD(40+$C25+(-1),$B$3)+1)*H25+INDEX(Symboles!$G$6:$G$101,MOD(40+$C25+(0),$B$3)+1)*I25+INDEX(Symboles!$G$6:$G$101,MOD(40+$C25+(1),$B$3)+1)*J25+INDEX(Symboles!$G$6:$G$101,MOD(40+$C25+(2),$B$3)+1)*K25+INDEX(Symboles!$G$6:$G$101,MOD(40+$C25+(3),$B$3)+1)*L25+INDEX(Symboles!$G$6:$G$101,MOD(40+$C25+(4),$B$3)+1)*M25+IF($B$6=0,0,$B$6*NORMSINV(0.000001+0.999998*RAND())))</f>
        <v/>
      </c>
      <c r="BE25" s="30">
        <f>IF(42&gt;$B$3,99,INDEX(Symboles!$G$6:$G$101,MOD(41+$C25+(-4),$B$3)+1)*E25+INDEX(Symboles!$G$6:$G$101,MOD(41+$C25+(-3),$B$3)+1)*F25+INDEX(Symboles!$G$6:$G$101,MOD(41+$C25+(-2),$B$3)+1)*G25+INDEX(Symboles!$G$6:$G$101,MOD(41+$C25+(-1),$B$3)+1)*H25+INDEX(Symboles!$G$6:$G$101,MOD(41+$C25+(0),$B$3)+1)*I25+INDEX(Symboles!$G$6:$G$101,MOD(41+$C25+(1),$B$3)+1)*J25+INDEX(Symboles!$G$6:$G$101,MOD(41+$C25+(2),$B$3)+1)*K25+INDEX(Symboles!$G$6:$G$101,MOD(41+$C25+(3),$B$3)+1)*L25+INDEX(Symboles!$G$6:$G$101,MOD(41+$C25+(4),$B$3)+1)*M25+IF($B$6=0,0,$B$6*NORMSINV(0.000001+0.999998*RAND())))</f>
        <v/>
      </c>
      <c r="BF25" s="30">
        <f>IF(43&gt;$B$3,99,INDEX(Symboles!$G$6:$G$101,MOD(42+$C25+(-4),$B$3)+1)*E25+INDEX(Symboles!$G$6:$G$101,MOD(42+$C25+(-3),$B$3)+1)*F25+INDEX(Symboles!$G$6:$G$101,MOD(42+$C25+(-2),$B$3)+1)*G25+INDEX(Symboles!$G$6:$G$101,MOD(42+$C25+(-1),$B$3)+1)*H25+INDEX(Symboles!$G$6:$G$101,MOD(42+$C25+(0),$B$3)+1)*I25+INDEX(Symboles!$G$6:$G$101,MOD(42+$C25+(1),$B$3)+1)*J25+INDEX(Symboles!$G$6:$G$101,MOD(42+$C25+(2),$B$3)+1)*K25+INDEX(Symboles!$G$6:$G$101,MOD(42+$C25+(3),$B$3)+1)*L25+INDEX(Symboles!$G$6:$G$101,MOD(42+$C25+(4),$B$3)+1)*M25+IF($B$6=0,0,$B$6*NORMSINV(0.000001+0.999998*RAND())))</f>
        <v/>
      </c>
      <c r="BG25" s="30">
        <f>IF(44&gt;$B$3,99,INDEX(Symboles!$G$6:$G$101,MOD(43+$C25+(-4),$B$3)+1)*E25+INDEX(Symboles!$G$6:$G$101,MOD(43+$C25+(-3),$B$3)+1)*F25+INDEX(Symboles!$G$6:$G$101,MOD(43+$C25+(-2),$B$3)+1)*G25+INDEX(Symboles!$G$6:$G$101,MOD(43+$C25+(-1),$B$3)+1)*H25+INDEX(Symboles!$G$6:$G$101,MOD(43+$C25+(0),$B$3)+1)*I25+INDEX(Symboles!$G$6:$G$101,MOD(43+$C25+(1),$B$3)+1)*J25+INDEX(Symboles!$G$6:$G$101,MOD(43+$C25+(2),$B$3)+1)*K25+INDEX(Symboles!$G$6:$G$101,MOD(43+$C25+(3),$B$3)+1)*L25+INDEX(Symboles!$G$6:$G$101,MOD(43+$C25+(4),$B$3)+1)*M25+IF($B$6=0,0,$B$6*NORMSINV(0.000001+0.999998*RAND())))</f>
        <v/>
      </c>
      <c r="BH25" s="30">
        <f>IF(45&gt;$B$3,99,INDEX(Symboles!$G$6:$G$101,MOD(44+$C25+(-4),$B$3)+1)*E25+INDEX(Symboles!$G$6:$G$101,MOD(44+$C25+(-3),$B$3)+1)*F25+INDEX(Symboles!$G$6:$G$101,MOD(44+$C25+(-2),$B$3)+1)*G25+INDEX(Symboles!$G$6:$G$101,MOD(44+$C25+(-1),$B$3)+1)*H25+INDEX(Symboles!$G$6:$G$101,MOD(44+$C25+(0),$B$3)+1)*I25+INDEX(Symboles!$G$6:$G$101,MOD(44+$C25+(1),$B$3)+1)*J25+INDEX(Symboles!$G$6:$G$101,MOD(44+$C25+(2),$B$3)+1)*K25+INDEX(Symboles!$G$6:$G$101,MOD(44+$C25+(3),$B$3)+1)*L25+INDEX(Symboles!$G$6:$G$101,MOD(44+$C25+(4),$B$3)+1)*M25+IF($B$6=0,0,$B$6*NORMSINV(0.000001+0.999998*RAND())))</f>
        <v/>
      </c>
      <c r="BI25" s="30">
        <f>IF(46&gt;$B$3,99,INDEX(Symboles!$G$6:$G$101,MOD(45+$C25+(-4),$B$3)+1)*E25+INDEX(Symboles!$G$6:$G$101,MOD(45+$C25+(-3),$B$3)+1)*F25+INDEX(Symboles!$G$6:$G$101,MOD(45+$C25+(-2),$B$3)+1)*G25+INDEX(Symboles!$G$6:$G$101,MOD(45+$C25+(-1),$B$3)+1)*H25+INDEX(Symboles!$G$6:$G$101,MOD(45+$C25+(0),$B$3)+1)*I25+INDEX(Symboles!$G$6:$G$101,MOD(45+$C25+(1),$B$3)+1)*J25+INDEX(Symboles!$G$6:$G$101,MOD(45+$C25+(2),$B$3)+1)*K25+INDEX(Symboles!$G$6:$G$101,MOD(45+$C25+(3),$B$3)+1)*L25+INDEX(Symboles!$G$6:$G$101,MOD(45+$C25+(4),$B$3)+1)*M25+IF($B$6=0,0,$B$6*NORMSINV(0.000001+0.999998*RAND())))</f>
        <v/>
      </c>
      <c r="BJ25" s="30">
        <f>IF(47&gt;$B$3,99,INDEX(Symboles!$G$6:$G$101,MOD(46+$C25+(-4),$B$3)+1)*E25+INDEX(Symboles!$G$6:$G$101,MOD(46+$C25+(-3),$B$3)+1)*F25+INDEX(Symboles!$G$6:$G$101,MOD(46+$C25+(-2),$B$3)+1)*G25+INDEX(Symboles!$G$6:$G$101,MOD(46+$C25+(-1),$B$3)+1)*H25+INDEX(Symboles!$G$6:$G$101,MOD(46+$C25+(0),$B$3)+1)*I25+INDEX(Symboles!$G$6:$G$101,MOD(46+$C25+(1),$B$3)+1)*J25+INDEX(Symboles!$G$6:$G$101,MOD(46+$C25+(2),$B$3)+1)*K25+INDEX(Symboles!$G$6:$G$101,MOD(46+$C25+(3),$B$3)+1)*L25+INDEX(Symboles!$G$6:$G$101,MOD(46+$C25+(4),$B$3)+1)*M25+IF($B$6=0,0,$B$6*NORMSINV(0.000001+0.999998*RAND())))</f>
        <v/>
      </c>
      <c r="BK25" s="30">
        <f>IF(48&gt;$B$3,99,INDEX(Symboles!$G$6:$G$101,MOD(47+$C25+(-4),$B$3)+1)*E25+INDEX(Symboles!$G$6:$G$101,MOD(47+$C25+(-3),$B$3)+1)*F25+INDEX(Symboles!$G$6:$G$101,MOD(47+$C25+(-2),$B$3)+1)*G25+INDEX(Symboles!$G$6:$G$101,MOD(47+$C25+(-1),$B$3)+1)*H25+INDEX(Symboles!$G$6:$G$101,MOD(47+$C25+(0),$B$3)+1)*I25+INDEX(Symboles!$G$6:$G$101,MOD(47+$C25+(1),$B$3)+1)*J25+INDEX(Symboles!$G$6:$G$101,MOD(47+$C25+(2),$B$3)+1)*K25+INDEX(Symboles!$G$6:$G$101,MOD(47+$C25+(3),$B$3)+1)*L25+INDEX(Symboles!$G$6:$G$101,MOD(47+$C25+(4),$B$3)+1)*M25+IF($B$6=0,0,$B$6*NORMSINV(0.000001+0.999998*RAND())))</f>
        <v/>
      </c>
      <c r="BL25" s="30">
        <f>IF(49&gt;$B$3,99,INDEX(Symboles!$G$6:$G$101,MOD(48+$C25+(-4),$B$3)+1)*E25+INDEX(Symboles!$G$6:$G$101,MOD(48+$C25+(-3),$B$3)+1)*F25+INDEX(Symboles!$G$6:$G$101,MOD(48+$C25+(-2),$B$3)+1)*G25+INDEX(Symboles!$G$6:$G$101,MOD(48+$C25+(-1),$B$3)+1)*H25+INDEX(Symboles!$G$6:$G$101,MOD(48+$C25+(0),$B$3)+1)*I25+INDEX(Symboles!$G$6:$G$101,MOD(48+$C25+(1),$B$3)+1)*J25+INDEX(Symboles!$G$6:$G$101,MOD(48+$C25+(2),$B$3)+1)*K25+INDEX(Symboles!$G$6:$G$101,MOD(48+$C25+(3),$B$3)+1)*L25+INDEX(Symboles!$G$6:$G$101,MOD(48+$C25+(4),$B$3)+1)*M25+IF($B$6=0,0,$B$6*NORMSINV(0.000001+0.999998*RAND())))</f>
        <v/>
      </c>
      <c r="BM25" s="30">
        <f>IF(50&gt;$B$3,99,INDEX(Symboles!$G$6:$G$101,MOD(49+$C25+(-4),$B$3)+1)*E25+INDEX(Symboles!$G$6:$G$101,MOD(49+$C25+(-3),$B$3)+1)*F25+INDEX(Symboles!$G$6:$G$101,MOD(49+$C25+(-2),$B$3)+1)*G25+INDEX(Symboles!$G$6:$G$101,MOD(49+$C25+(-1),$B$3)+1)*H25+INDEX(Symboles!$G$6:$G$101,MOD(49+$C25+(0),$B$3)+1)*I25+INDEX(Symboles!$G$6:$G$101,MOD(49+$C25+(1),$B$3)+1)*J25+INDEX(Symboles!$G$6:$G$101,MOD(49+$C25+(2),$B$3)+1)*K25+INDEX(Symboles!$G$6:$G$101,MOD(49+$C25+(3),$B$3)+1)*L25+INDEX(Symboles!$G$6:$G$101,MOD(49+$C25+(4),$B$3)+1)*M25+IF($B$6=0,0,$B$6*NORMSINV(0.000001+0.999998*RAND())))</f>
        <v/>
      </c>
      <c r="BN25" s="30">
        <f>IF(51&gt;$B$3,99,INDEX(Symboles!$G$6:$G$101,MOD(50+$C25+(-4),$B$3)+1)*E25+INDEX(Symboles!$G$6:$G$101,MOD(50+$C25+(-3),$B$3)+1)*F25+INDEX(Symboles!$G$6:$G$101,MOD(50+$C25+(-2),$B$3)+1)*G25+INDEX(Symboles!$G$6:$G$101,MOD(50+$C25+(-1),$B$3)+1)*H25+INDEX(Symboles!$G$6:$G$101,MOD(50+$C25+(0),$B$3)+1)*I25+INDEX(Symboles!$G$6:$G$101,MOD(50+$C25+(1),$B$3)+1)*J25+INDEX(Symboles!$G$6:$G$101,MOD(50+$C25+(2),$B$3)+1)*K25+INDEX(Symboles!$G$6:$G$101,MOD(50+$C25+(3),$B$3)+1)*L25+INDEX(Symboles!$G$6:$G$101,MOD(50+$C25+(4),$B$3)+1)*M25+IF($B$6=0,0,$B$6*NORMSINV(0.000001+0.999998*RAND())))</f>
        <v/>
      </c>
      <c r="BO25" s="30">
        <f>IF(52&gt;$B$3,99,INDEX(Symboles!$G$6:$G$101,MOD(51+$C25+(-4),$B$3)+1)*E25+INDEX(Symboles!$G$6:$G$101,MOD(51+$C25+(-3),$B$3)+1)*F25+INDEX(Symboles!$G$6:$G$101,MOD(51+$C25+(-2),$B$3)+1)*G25+INDEX(Symboles!$G$6:$G$101,MOD(51+$C25+(-1),$B$3)+1)*H25+INDEX(Symboles!$G$6:$G$101,MOD(51+$C25+(0),$B$3)+1)*I25+INDEX(Symboles!$G$6:$G$101,MOD(51+$C25+(1),$B$3)+1)*J25+INDEX(Symboles!$G$6:$G$101,MOD(51+$C25+(2),$B$3)+1)*K25+INDEX(Symboles!$G$6:$G$101,MOD(51+$C25+(3),$B$3)+1)*L25+INDEX(Symboles!$G$6:$G$101,MOD(51+$C25+(4),$B$3)+1)*M25+IF($B$6=0,0,$B$6*NORMSINV(0.000001+0.999998*RAND())))</f>
        <v/>
      </c>
      <c r="BP25" s="30">
        <f>IF(53&gt;$B$3,99,INDEX(Symboles!$G$6:$G$101,MOD(52+$C25+(-4),$B$3)+1)*E25+INDEX(Symboles!$G$6:$G$101,MOD(52+$C25+(-3),$B$3)+1)*F25+INDEX(Symboles!$G$6:$G$101,MOD(52+$C25+(-2),$B$3)+1)*G25+INDEX(Symboles!$G$6:$G$101,MOD(52+$C25+(-1),$B$3)+1)*H25+INDEX(Symboles!$G$6:$G$101,MOD(52+$C25+(0),$B$3)+1)*I25+INDEX(Symboles!$G$6:$G$101,MOD(52+$C25+(1),$B$3)+1)*J25+INDEX(Symboles!$G$6:$G$101,MOD(52+$C25+(2),$B$3)+1)*K25+INDEX(Symboles!$G$6:$G$101,MOD(52+$C25+(3),$B$3)+1)*L25+INDEX(Symboles!$G$6:$G$101,MOD(52+$C25+(4),$B$3)+1)*M25+IF($B$6=0,0,$B$6*NORMSINV(0.000001+0.999998*RAND())))</f>
        <v/>
      </c>
      <c r="BQ25" s="30">
        <f>IF(54&gt;$B$3,99,INDEX(Symboles!$G$6:$G$101,MOD(53+$C25+(-4),$B$3)+1)*E25+INDEX(Symboles!$G$6:$G$101,MOD(53+$C25+(-3),$B$3)+1)*F25+INDEX(Symboles!$G$6:$G$101,MOD(53+$C25+(-2),$B$3)+1)*G25+INDEX(Symboles!$G$6:$G$101,MOD(53+$C25+(-1),$B$3)+1)*H25+INDEX(Symboles!$G$6:$G$101,MOD(53+$C25+(0),$B$3)+1)*I25+INDEX(Symboles!$G$6:$G$101,MOD(53+$C25+(1),$B$3)+1)*J25+INDEX(Symboles!$G$6:$G$101,MOD(53+$C25+(2),$B$3)+1)*K25+INDEX(Symboles!$G$6:$G$101,MOD(53+$C25+(3),$B$3)+1)*L25+INDEX(Symboles!$G$6:$G$101,MOD(53+$C25+(4),$B$3)+1)*M25+IF($B$6=0,0,$B$6*NORMSINV(0.000001+0.999998*RAND())))</f>
        <v/>
      </c>
      <c r="BR25" s="30">
        <f>IF(55&gt;$B$3,99,INDEX(Symboles!$G$6:$G$101,MOD(54+$C25+(-4),$B$3)+1)*E25+INDEX(Symboles!$G$6:$G$101,MOD(54+$C25+(-3),$B$3)+1)*F25+INDEX(Symboles!$G$6:$G$101,MOD(54+$C25+(-2),$B$3)+1)*G25+INDEX(Symboles!$G$6:$G$101,MOD(54+$C25+(-1),$B$3)+1)*H25+INDEX(Symboles!$G$6:$G$101,MOD(54+$C25+(0),$B$3)+1)*I25+INDEX(Symboles!$G$6:$G$101,MOD(54+$C25+(1),$B$3)+1)*J25+INDEX(Symboles!$G$6:$G$101,MOD(54+$C25+(2),$B$3)+1)*K25+INDEX(Symboles!$G$6:$G$101,MOD(54+$C25+(3),$B$3)+1)*L25+INDEX(Symboles!$G$6:$G$101,MOD(54+$C25+(4),$B$3)+1)*M25+IF($B$6=0,0,$B$6*NORMSINV(0.000001+0.999998*RAND())))</f>
        <v/>
      </c>
      <c r="BS25" s="30">
        <f>IF(56&gt;$B$3,99,INDEX(Symboles!$G$6:$G$101,MOD(55+$C25+(-4),$B$3)+1)*E25+INDEX(Symboles!$G$6:$G$101,MOD(55+$C25+(-3),$B$3)+1)*F25+INDEX(Symboles!$G$6:$G$101,MOD(55+$C25+(-2),$B$3)+1)*G25+INDEX(Symboles!$G$6:$G$101,MOD(55+$C25+(-1),$B$3)+1)*H25+INDEX(Symboles!$G$6:$G$101,MOD(55+$C25+(0),$B$3)+1)*I25+INDEX(Symboles!$G$6:$G$101,MOD(55+$C25+(1),$B$3)+1)*J25+INDEX(Symboles!$G$6:$G$101,MOD(55+$C25+(2),$B$3)+1)*K25+INDEX(Symboles!$G$6:$G$101,MOD(55+$C25+(3),$B$3)+1)*L25+INDEX(Symboles!$G$6:$G$101,MOD(55+$C25+(4),$B$3)+1)*M25+IF($B$6=0,0,$B$6*NORMSINV(0.000001+0.999998*RAND())))</f>
        <v/>
      </c>
      <c r="BT25" s="30">
        <f>IF(57&gt;$B$3,99,INDEX(Symboles!$G$6:$G$101,MOD(56+$C25+(-4),$B$3)+1)*E25+INDEX(Symboles!$G$6:$G$101,MOD(56+$C25+(-3),$B$3)+1)*F25+INDEX(Symboles!$G$6:$G$101,MOD(56+$C25+(-2),$B$3)+1)*G25+INDEX(Symboles!$G$6:$G$101,MOD(56+$C25+(-1),$B$3)+1)*H25+INDEX(Symboles!$G$6:$G$101,MOD(56+$C25+(0),$B$3)+1)*I25+INDEX(Symboles!$G$6:$G$101,MOD(56+$C25+(1),$B$3)+1)*J25+INDEX(Symboles!$G$6:$G$101,MOD(56+$C25+(2),$B$3)+1)*K25+INDEX(Symboles!$G$6:$G$101,MOD(56+$C25+(3),$B$3)+1)*L25+INDEX(Symboles!$G$6:$G$101,MOD(56+$C25+(4),$B$3)+1)*M25+IF($B$6=0,0,$B$6*NORMSINV(0.000001+0.999998*RAND())))</f>
        <v/>
      </c>
      <c r="BU25" s="30">
        <f>IF(58&gt;$B$3,99,INDEX(Symboles!$G$6:$G$101,MOD(57+$C25+(-4),$B$3)+1)*E25+INDEX(Symboles!$G$6:$G$101,MOD(57+$C25+(-3),$B$3)+1)*F25+INDEX(Symboles!$G$6:$G$101,MOD(57+$C25+(-2),$B$3)+1)*G25+INDEX(Symboles!$G$6:$G$101,MOD(57+$C25+(-1),$B$3)+1)*H25+INDEX(Symboles!$G$6:$G$101,MOD(57+$C25+(0),$B$3)+1)*I25+INDEX(Symboles!$G$6:$G$101,MOD(57+$C25+(1),$B$3)+1)*J25+INDEX(Symboles!$G$6:$G$101,MOD(57+$C25+(2),$B$3)+1)*K25+INDEX(Symboles!$G$6:$G$101,MOD(57+$C25+(3),$B$3)+1)*L25+INDEX(Symboles!$G$6:$G$101,MOD(57+$C25+(4),$B$3)+1)*M25+IF($B$6=0,0,$B$6*NORMSINV(0.000001+0.999998*RAND())))</f>
        <v/>
      </c>
      <c r="BV25" s="30">
        <f>IF(59&gt;$B$3,99,INDEX(Symboles!$G$6:$G$101,MOD(58+$C25+(-4),$B$3)+1)*E25+INDEX(Symboles!$G$6:$G$101,MOD(58+$C25+(-3),$B$3)+1)*F25+INDEX(Symboles!$G$6:$G$101,MOD(58+$C25+(-2),$B$3)+1)*G25+INDEX(Symboles!$G$6:$G$101,MOD(58+$C25+(-1),$B$3)+1)*H25+INDEX(Symboles!$G$6:$G$101,MOD(58+$C25+(0),$B$3)+1)*I25+INDEX(Symboles!$G$6:$G$101,MOD(58+$C25+(1),$B$3)+1)*J25+INDEX(Symboles!$G$6:$G$101,MOD(58+$C25+(2),$B$3)+1)*K25+INDEX(Symboles!$G$6:$G$101,MOD(58+$C25+(3),$B$3)+1)*L25+INDEX(Symboles!$G$6:$G$101,MOD(58+$C25+(4),$B$3)+1)*M25+IF($B$6=0,0,$B$6*NORMSINV(0.000001+0.999998*RAND())))</f>
        <v/>
      </c>
      <c r="BW25" s="30">
        <f>IF(60&gt;$B$3,99,INDEX(Symboles!$G$6:$G$101,MOD(59+$C25+(-4),$B$3)+1)*E25+INDEX(Symboles!$G$6:$G$101,MOD(59+$C25+(-3),$B$3)+1)*F25+INDEX(Symboles!$G$6:$G$101,MOD(59+$C25+(-2),$B$3)+1)*G25+INDEX(Symboles!$G$6:$G$101,MOD(59+$C25+(-1),$B$3)+1)*H25+INDEX(Symboles!$G$6:$G$101,MOD(59+$C25+(0),$B$3)+1)*I25+INDEX(Symboles!$G$6:$G$101,MOD(59+$C25+(1),$B$3)+1)*J25+INDEX(Symboles!$G$6:$G$101,MOD(59+$C25+(2),$B$3)+1)*K25+INDEX(Symboles!$G$6:$G$101,MOD(59+$C25+(3),$B$3)+1)*L25+INDEX(Symboles!$G$6:$G$101,MOD(59+$C25+(4),$B$3)+1)*M25+IF($B$6=0,0,$B$6*NORMSINV(0.000001+0.999998*RAND())))</f>
        <v/>
      </c>
      <c r="BX25" s="30">
        <f>IF(61&gt;$B$3,99,INDEX(Symboles!$G$6:$G$101,MOD(60+$C25+(-4),$B$3)+1)*E25+INDEX(Symboles!$G$6:$G$101,MOD(60+$C25+(-3),$B$3)+1)*F25+INDEX(Symboles!$G$6:$G$101,MOD(60+$C25+(-2),$B$3)+1)*G25+INDEX(Symboles!$G$6:$G$101,MOD(60+$C25+(-1),$B$3)+1)*H25+INDEX(Symboles!$G$6:$G$101,MOD(60+$C25+(0),$B$3)+1)*I25+INDEX(Symboles!$G$6:$G$101,MOD(60+$C25+(1),$B$3)+1)*J25+INDEX(Symboles!$G$6:$G$101,MOD(60+$C25+(2),$B$3)+1)*K25+INDEX(Symboles!$G$6:$G$101,MOD(60+$C25+(3),$B$3)+1)*L25+INDEX(Symboles!$G$6:$G$101,MOD(60+$C25+(4),$B$3)+1)*M25+IF($B$6=0,0,$B$6*NORMSINV(0.000001+0.999998*RAND())))</f>
        <v/>
      </c>
      <c r="BY25" s="30">
        <f>IF(62&gt;$B$3,99,INDEX(Symboles!$G$6:$G$101,MOD(61+$C25+(-4),$B$3)+1)*E25+INDEX(Symboles!$G$6:$G$101,MOD(61+$C25+(-3),$B$3)+1)*F25+INDEX(Symboles!$G$6:$G$101,MOD(61+$C25+(-2),$B$3)+1)*G25+INDEX(Symboles!$G$6:$G$101,MOD(61+$C25+(-1),$B$3)+1)*H25+INDEX(Symboles!$G$6:$G$101,MOD(61+$C25+(0),$B$3)+1)*I25+INDEX(Symboles!$G$6:$G$101,MOD(61+$C25+(1),$B$3)+1)*J25+INDEX(Symboles!$G$6:$G$101,MOD(61+$C25+(2),$B$3)+1)*K25+INDEX(Symboles!$G$6:$G$101,MOD(61+$C25+(3),$B$3)+1)*L25+INDEX(Symboles!$G$6:$G$101,MOD(61+$C25+(4),$B$3)+1)*M25+IF($B$6=0,0,$B$6*NORMSINV(0.000001+0.999998*RAND())))</f>
        <v/>
      </c>
      <c r="BZ25" s="30">
        <f>IF(63&gt;$B$3,99,INDEX(Symboles!$G$6:$G$101,MOD(62+$C25+(-4),$B$3)+1)*E25+INDEX(Symboles!$G$6:$G$101,MOD(62+$C25+(-3),$B$3)+1)*F25+INDEX(Symboles!$G$6:$G$101,MOD(62+$C25+(-2),$B$3)+1)*G25+INDEX(Symboles!$G$6:$G$101,MOD(62+$C25+(-1),$B$3)+1)*H25+INDEX(Symboles!$G$6:$G$101,MOD(62+$C25+(0),$B$3)+1)*I25+INDEX(Symboles!$G$6:$G$101,MOD(62+$C25+(1),$B$3)+1)*J25+INDEX(Symboles!$G$6:$G$101,MOD(62+$C25+(2),$B$3)+1)*K25+INDEX(Symboles!$G$6:$G$101,MOD(62+$C25+(3),$B$3)+1)*L25+INDEX(Symboles!$G$6:$G$101,MOD(62+$C25+(4),$B$3)+1)*M25+IF($B$6=0,0,$B$6*NORMSINV(0.000001+0.999998*RAND())))</f>
        <v/>
      </c>
      <c r="CA25" s="30">
        <f>IF(64&gt;$B$3,99,INDEX(Symboles!$G$6:$G$101,MOD(63+$C25+(-4),$B$3)+1)*E25+INDEX(Symboles!$G$6:$G$101,MOD(63+$C25+(-3),$B$3)+1)*F25+INDEX(Symboles!$G$6:$G$101,MOD(63+$C25+(-2),$B$3)+1)*G25+INDEX(Symboles!$G$6:$G$101,MOD(63+$C25+(-1),$B$3)+1)*H25+INDEX(Symboles!$G$6:$G$101,MOD(63+$C25+(0),$B$3)+1)*I25+INDEX(Symboles!$G$6:$G$101,MOD(63+$C25+(1),$B$3)+1)*J25+INDEX(Symboles!$G$6:$G$101,MOD(63+$C25+(2),$B$3)+1)*K25+INDEX(Symboles!$G$6:$G$101,MOD(63+$C25+(3),$B$3)+1)*L25+INDEX(Symboles!$G$6:$G$101,MOD(63+$C25+(4),$B$3)+1)*M25+IF($B$6=0,0,$B$6*NORMSINV(0.000001+0.999998*RAND())))</f>
        <v/>
      </c>
      <c r="CB25" s="30">
        <f>IF(65&gt;$B$3,99,INDEX(Symboles!$G$6:$G$101,MOD(64+$C25+(-4),$B$3)+1)*E25+INDEX(Symboles!$G$6:$G$101,MOD(64+$C25+(-3),$B$3)+1)*F25+INDEX(Symboles!$G$6:$G$101,MOD(64+$C25+(-2),$B$3)+1)*G25+INDEX(Symboles!$G$6:$G$101,MOD(64+$C25+(-1),$B$3)+1)*H25+INDEX(Symboles!$G$6:$G$101,MOD(64+$C25+(0),$B$3)+1)*I25+INDEX(Symboles!$G$6:$G$101,MOD(64+$C25+(1),$B$3)+1)*J25+INDEX(Symboles!$G$6:$G$101,MOD(64+$C25+(2),$B$3)+1)*K25+INDEX(Symboles!$G$6:$G$101,MOD(64+$C25+(3),$B$3)+1)*L25+INDEX(Symboles!$G$6:$G$101,MOD(64+$C25+(4),$B$3)+1)*M25+IF($B$6=0,0,$B$6*NORMSINV(0.000001+0.999998*RAND())))</f>
        <v/>
      </c>
      <c r="CC25" s="30">
        <f>IF(66&gt;$B$3,99,INDEX(Symboles!$G$6:$G$101,MOD(65+$C25+(-4),$B$3)+1)*E25+INDEX(Symboles!$G$6:$G$101,MOD(65+$C25+(-3),$B$3)+1)*F25+INDEX(Symboles!$G$6:$G$101,MOD(65+$C25+(-2),$B$3)+1)*G25+INDEX(Symboles!$G$6:$G$101,MOD(65+$C25+(-1),$B$3)+1)*H25+INDEX(Symboles!$G$6:$G$101,MOD(65+$C25+(0),$B$3)+1)*I25+INDEX(Symboles!$G$6:$G$101,MOD(65+$C25+(1),$B$3)+1)*J25+INDEX(Symboles!$G$6:$G$101,MOD(65+$C25+(2),$B$3)+1)*K25+INDEX(Symboles!$G$6:$G$101,MOD(65+$C25+(3),$B$3)+1)*L25+INDEX(Symboles!$G$6:$G$101,MOD(65+$C25+(4),$B$3)+1)*M25+IF($B$6=0,0,$B$6*NORMSINV(0.000001+0.999998*RAND())))</f>
        <v/>
      </c>
      <c r="CD25" s="30">
        <f>IF(67&gt;$B$3,99,INDEX(Symboles!$G$6:$G$101,MOD(66+$C25+(-4),$B$3)+1)*E25+INDEX(Symboles!$G$6:$G$101,MOD(66+$C25+(-3),$B$3)+1)*F25+INDEX(Symboles!$G$6:$G$101,MOD(66+$C25+(-2),$B$3)+1)*G25+INDEX(Symboles!$G$6:$G$101,MOD(66+$C25+(-1),$B$3)+1)*H25+INDEX(Symboles!$G$6:$G$101,MOD(66+$C25+(0),$B$3)+1)*I25+INDEX(Symboles!$G$6:$G$101,MOD(66+$C25+(1),$B$3)+1)*J25+INDEX(Symboles!$G$6:$G$101,MOD(66+$C25+(2),$B$3)+1)*K25+INDEX(Symboles!$G$6:$G$101,MOD(66+$C25+(3),$B$3)+1)*L25+INDEX(Symboles!$G$6:$G$101,MOD(66+$C25+(4),$B$3)+1)*M25+IF($B$6=0,0,$B$6*NORMSINV(0.000001+0.999998*RAND())))</f>
        <v/>
      </c>
      <c r="CE25" s="30">
        <f>IF(68&gt;$B$3,99,INDEX(Symboles!$G$6:$G$101,MOD(67+$C25+(-4),$B$3)+1)*E25+INDEX(Symboles!$G$6:$G$101,MOD(67+$C25+(-3),$B$3)+1)*F25+INDEX(Symboles!$G$6:$G$101,MOD(67+$C25+(-2),$B$3)+1)*G25+INDEX(Symboles!$G$6:$G$101,MOD(67+$C25+(-1),$B$3)+1)*H25+INDEX(Symboles!$G$6:$G$101,MOD(67+$C25+(0),$B$3)+1)*I25+INDEX(Symboles!$G$6:$G$101,MOD(67+$C25+(1),$B$3)+1)*J25+INDEX(Symboles!$G$6:$G$101,MOD(67+$C25+(2),$B$3)+1)*K25+INDEX(Symboles!$G$6:$G$101,MOD(67+$C25+(3),$B$3)+1)*L25+INDEX(Symboles!$G$6:$G$101,MOD(67+$C25+(4),$B$3)+1)*M25+IF($B$6=0,0,$B$6*NORMSINV(0.000001+0.999998*RAND())))</f>
        <v/>
      </c>
      <c r="CF25" s="30">
        <f>IF(69&gt;$B$3,99,INDEX(Symboles!$G$6:$G$101,MOD(68+$C25+(-4),$B$3)+1)*E25+INDEX(Symboles!$G$6:$G$101,MOD(68+$C25+(-3),$B$3)+1)*F25+INDEX(Symboles!$G$6:$G$101,MOD(68+$C25+(-2),$B$3)+1)*G25+INDEX(Symboles!$G$6:$G$101,MOD(68+$C25+(-1),$B$3)+1)*H25+INDEX(Symboles!$G$6:$G$101,MOD(68+$C25+(0),$B$3)+1)*I25+INDEX(Symboles!$G$6:$G$101,MOD(68+$C25+(1),$B$3)+1)*J25+INDEX(Symboles!$G$6:$G$101,MOD(68+$C25+(2),$B$3)+1)*K25+INDEX(Symboles!$G$6:$G$101,MOD(68+$C25+(3),$B$3)+1)*L25+INDEX(Symboles!$G$6:$G$101,MOD(68+$C25+(4),$B$3)+1)*M25+IF($B$6=0,0,$B$6*NORMSINV(0.000001+0.999998*RAND())))</f>
        <v/>
      </c>
      <c r="CG25" s="30">
        <f>IF(70&gt;$B$3,99,INDEX(Symboles!$G$6:$G$101,MOD(69+$C25+(-4),$B$3)+1)*E25+INDEX(Symboles!$G$6:$G$101,MOD(69+$C25+(-3),$B$3)+1)*F25+INDEX(Symboles!$G$6:$G$101,MOD(69+$C25+(-2),$B$3)+1)*G25+INDEX(Symboles!$G$6:$G$101,MOD(69+$C25+(-1),$B$3)+1)*H25+INDEX(Symboles!$G$6:$G$101,MOD(69+$C25+(0),$B$3)+1)*I25+INDEX(Symboles!$G$6:$G$101,MOD(69+$C25+(1),$B$3)+1)*J25+INDEX(Symboles!$G$6:$G$101,MOD(69+$C25+(2),$B$3)+1)*K25+INDEX(Symboles!$G$6:$G$101,MOD(69+$C25+(3),$B$3)+1)*L25+INDEX(Symboles!$G$6:$G$101,MOD(69+$C25+(4),$B$3)+1)*M25+IF($B$6=0,0,$B$6*NORMSINV(0.000001+0.999998*RAND())))</f>
        <v/>
      </c>
      <c r="CH25" s="30">
        <f>IF(71&gt;$B$3,99,INDEX(Symboles!$G$6:$G$101,MOD(70+$C25+(-4),$B$3)+1)*E25+INDEX(Symboles!$G$6:$G$101,MOD(70+$C25+(-3),$B$3)+1)*F25+INDEX(Symboles!$G$6:$G$101,MOD(70+$C25+(-2),$B$3)+1)*G25+INDEX(Symboles!$G$6:$G$101,MOD(70+$C25+(-1),$B$3)+1)*H25+INDEX(Symboles!$G$6:$G$101,MOD(70+$C25+(0),$B$3)+1)*I25+INDEX(Symboles!$G$6:$G$101,MOD(70+$C25+(1),$B$3)+1)*J25+INDEX(Symboles!$G$6:$G$101,MOD(70+$C25+(2),$B$3)+1)*K25+INDEX(Symboles!$G$6:$G$101,MOD(70+$C25+(3),$B$3)+1)*L25+INDEX(Symboles!$G$6:$G$101,MOD(70+$C25+(4),$B$3)+1)*M25+IF($B$6=0,0,$B$6*NORMSINV(0.000001+0.999998*RAND())))</f>
        <v/>
      </c>
      <c r="CI25" s="30">
        <f>IF(72&gt;$B$3,99,INDEX(Symboles!$G$6:$G$101,MOD(71+$C25+(-4),$B$3)+1)*E25+INDEX(Symboles!$G$6:$G$101,MOD(71+$C25+(-3),$B$3)+1)*F25+INDEX(Symboles!$G$6:$G$101,MOD(71+$C25+(-2),$B$3)+1)*G25+INDEX(Symboles!$G$6:$G$101,MOD(71+$C25+(-1),$B$3)+1)*H25+INDEX(Symboles!$G$6:$G$101,MOD(71+$C25+(0),$B$3)+1)*I25+INDEX(Symboles!$G$6:$G$101,MOD(71+$C25+(1),$B$3)+1)*J25+INDEX(Symboles!$G$6:$G$101,MOD(71+$C25+(2),$B$3)+1)*K25+INDEX(Symboles!$G$6:$G$101,MOD(71+$C25+(3),$B$3)+1)*L25+INDEX(Symboles!$G$6:$G$101,MOD(71+$C25+(4),$B$3)+1)*M25+IF($B$6=0,0,$B$6*NORMSINV(0.000001+0.999998*RAND())))</f>
        <v/>
      </c>
      <c r="CJ25" s="30">
        <f>IF(73&gt;$B$3,99,INDEX(Symboles!$G$6:$G$101,MOD(72+$C25+(-4),$B$3)+1)*E25+INDEX(Symboles!$G$6:$G$101,MOD(72+$C25+(-3),$B$3)+1)*F25+INDEX(Symboles!$G$6:$G$101,MOD(72+$C25+(-2),$B$3)+1)*G25+INDEX(Symboles!$G$6:$G$101,MOD(72+$C25+(-1),$B$3)+1)*H25+INDEX(Symboles!$G$6:$G$101,MOD(72+$C25+(0),$B$3)+1)*I25+INDEX(Symboles!$G$6:$G$101,MOD(72+$C25+(1),$B$3)+1)*J25+INDEX(Symboles!$G$6:$G$101,MOD(72+$C25+(2),$B$3)+1)*K25+INDEX(Symboles!$G$6:$G$101,MOD(72+$C25+(3),$B$3)+1)*L25+INDEX(Symboles!$G$6:$G$101,MOD(72+$C25+(4),$B$3)+1)*M25+IF($B$6=0,0,$B$6*NORMSINV(0.000001+0.999998*RAND())))</f>
        <v/>
      </c>
      <c r="CK25" s="30">
        <f>IF(74&gt;$B$3,99,INDEX(Symboles!$G$6:$G$101,MOD(73+$C25+(-4),$B$3)+1)*E25+INDEX(Symboles!$G$6:$G$101,MOD(73+$C25+(-3),$B$3)+1)*F25+INDEX(Symboles!$G$6:$G$101,MOD(73+$C25+(-2),$B$3)+1)*G25+INDEX(Symboles!$G$6:$G$101,MOD(73+$C25+(-1),$B$3)+1)*H25+INDEX(Symboles!$G$6:$G$101,MOD(73+$C25+(0),$B$3)+1)*I25+INDEX(Symboles!$G$6:$G$101,MOD(73+$C25+(1),$B$3)+1)*J25+INDEX(Symboles!$G$6:$G$101,MOD(73+$C25+(2),$B$3)+1)*K25+INDEX(Symboles!$G$6:$G$101,MOD(73+$C25+(3),$B$3)+1)*L25+INDEX(Symboles!$G$6:$G$101,MOD(73+$C25+(4),$B$3)+1)*M25+IF($B$6=0,0,$B$6*NORMSINV(0.000001+0.999998*RAND())))</f>
        <v/>
      </c>
      <c r="CL25" s="30">
        <f>IF(75&gt;$B$3,99,INDEX(Symboles!$G$6:$G$101,MOD(74+$C25+(-4),$B$3)+1)*E25+INDEX(Symboles!$G$6:$G$101,MOD(74+$C25+(-3),$B$3)+1)*F25+INDEX(Symboles!$G$6:$G$101,MOD(74+$C25+(-2),$B$3)+1)*G25+INDEX(Symboles!$G$6:$G$101,MOD(74+$C25+(-1),$B$3)+1)*H25+INDEX(Symboles!$G$6:$G$101,MOD(74+$C25+(0),$B$3)+1)*I25+INDEX(Symboles!$G$6:$G$101,MOD(74+$C25+(1),$B$3)+1)*J25+INDEX(Symboles!$G$6:$G$101,MOD(74+$C25+(2),$B$3)+1)*K25+INDEX(Symboles!$G$6:$G$101,MOD(74+$C25+(3),$B$3)+1)*L25+INDEX(Symboles!$G$6:$G$101,MOD(74+$C25+(4),$B$3)+1)*M25+IF($B$6=0,0,$B$6*NORMSINV(0.000001+0.999998*RAND())))</f>
        <v/>
      </c>
      <c r="CM25" s="30">
        <f>IF(76&gt;$B$3,99,INDEX(Symboles!$G$6:$G$101,MOD(75+$C25+(-4),$B$3)+1)*E25+INDEX(Symboles!$G$6:$G$101,MOD(75+$C25+(-3),$B$3)+1)*F25+INDEX(Symboles!$G$6:$G$101,MOD(75+$C25+(-2),$B$3)+1)*G25+INDEX(Symboles!$G$6:$G$101,MOD(75+$C25+(-1),$B$3)+1)*H25+INDEX(Symboles!$G$6:$G$101,MOD(75+$C25+(0),$B$3)+1)*I25+INDEX(Symboles!$G$6:$G$101,MOD(75+$C25+(1),$B$3)+1)*J25+INDEX(Symboles!$G$6:$G$101,MOD(75+$C25+(2),$B$3)+1)*K25+INDEX(Symboles!$G$6:$G$101,MOD(75+$C25+(3),$B$3)+1)*L25+INDEX(Symboles!$G$6:$G$101,MOD(75+$C25+(4),$B$3)+1)*M25+IF($B$6=0,0,$B$6*NORMSINV(0.000001+0.999998*RAND())))</f>
        <v/>
      </c>
      <c r="CN25" s="30">
        <f>IF(77&gt;$B$3,99,INDEX(Symboles!$G$6:$G$101,MOD(76+$C25+(-4),$B$3)+1)*E25+INDEX(Symboles!$G$6:$G$101,MOD(76+$C25+(-3),$B$3)+1)*F25+INDEX(Symboles!$G$6:$G$101,MOD(76+$C25+(-2),$B$3)+1)*G25+INDEX(Symboles!$G$6:$G$101,MOD(76+$C25+(-1),$B$3)+1)*H25+INDEX(Symboles!$G$6:$G$101,MOD(76+$C25+(0),$B$3)+1)*I25+INDEX(Symboles!$G$6:$G$101,MOD(76+$C25+(1),$B$3)+1)*J25+INDEX(Symboles!$G$6:$G$101,MOD(76+$C25+(2),$B$3)+1)*K25+INDEX(Symboles!$G$6:$G$101,MOD(76+$C25+(3),$B$3)+1)*L25+INDEX(Symboles!$G$6:$G$101,MOD(76+$C25+(4),$B$3)+1)*M25+IF($B$6=0,0,$B$6*NORMSINV(0.000001+0.999998*RAND())))</f>
        <v/>
      </c>
      <c r="CO25" s="30">
        <f>IF(78&gt;$B$3,99,INDEX(Symboles!$G$6:$G$101,MOD(77+$C25+(-4),$B$3)+1)*E25+INDEX(Symboles!$G$6:$G$101,MOD(77+$C25+(-3),$B$3)+1)*F25+INDEX(Symboles!$G$6:$G$101,MOD(77+$C25+(-2),$B$3)+1)*G25+INDEX(Symboles!$G$6:$G$101,MOD(77+$C25+(-1),$B$3)+1)*H25+INDEX(Symboles!$G$6:$G$101,MOD(77+$C25+(0),$B$3)+1)*I25+INDEX(Symboles!$G$6:$G$101,MOD(77+$C25+(1),$B$3)+1)*J25+INDEX(Symboles!$G$6:$G$101,MOD(77+$C25+(2),$B$3)+1)*K25+INDEX(Symboles!$G$6:$G$101,MOD(77+$C25+(3),$B$3)+1)*L25+INDEX(Symboles!$G$6:$G$101,MOD(77+$C25+(4),$B$3)+1)*M25+IF($B$6=0,0,$B$6*NORMSINV(0.000001+0.999998*RAND())))</f>
        <v/>
      </c>
      <c r="CP25" s="30">
        <f>IF(79&gt;$B$3,99,INDEX(Symboles!$G$6:$G$101,MOD(78+$C25+(-4),$B$3)+1)*E25+INDEX(Symboles!$G$6:$G$101,MOD(78+$C25+(-3),$B$3)+1)*F25+INDEX(Symboles!$G$6:$G$101,MOD(78+$C25+(-2),$B$3)+1)*G25+INDEX(Symboles!$G$6:$G$101,MOD(78+$C25+(-1),$B$3)+1)*H25+INDEX(Symboles!$G$6:$G$101,MOD(78+$C25+(0),$B$3)+1)*I25+INDEX(Symboles!$G$6:$G$101,MOD(78+$C25+(1),$B$3)+1)*J25+INDEX(Symboles!$G$6:$G$101,MOD(78+$C25+(2),$B$3)+1)*K25+INDEX(Symboles!$G$6:$G$101,MOD(78+$C25+(3),$B$3)+1)*L25+INDEX(Symboles!$G$6:$G$101,MOD(78+$C25+(4),$B$3)+1)*M25+IF($B$6=0,0,$B$6*NORMSINV(0.000001+0.999998*RAND())))</f>
        <v/>
      </c>
      <c r="CQ25" s="30">
        <f>IF(80&gt;$B$3,99,INDEX(Symboles!$G$6:$G$101,MOD(79+$C25+(-4),$B$3)+1)*E25+INDEX(Symboles!$G$6:$G$101,MOD(79+$C25+(-3),$B$3)+1)*F25+INDEX(Symboles!$G$6:$G$101,MOD(79+$C25+(-2),$B$3)+1)*G25+INDEX(Symboles!$G$6:$G$101,MOD(79+$C25+(-1),$B$3)+1)*H25+INDEX(Symboles!$G$6:$G$101,MOD(79+$C25+(0),$B$3)+1)*I25+INDEX(Symboles!$G$6:$G$101,MOD(79+$C25+(1),$B$3)+1)*J25+INDEX(Symboles!$G$6:$G$101,MOD(79+$C25+(2),$B$3)+1)*K25+INDEX(Symboles!$G$6:$G$101,MOD(79+$C25+(3),$B$3)+1)*L25+INDEX(Symboles!$G$6:$G$101,MOD(79+$C25+(4),$B$3)+1)*M25+IF($B$6=0,0,$B$6*NORMSINV(0.000001+0.999998*RAND())))</f>
        <v/>
      </c>
      <c r="CR25" s="30">
        <f>IF(81&gt;$B$3,99,INDEX(Symboles!$G$6:$G$101,MOD(80+$C25+(-4),$B$3)+1)*E25+INDEX(Symboles!$G$6:$G$101,MOD(80+$C25+(-3),$B$3)+1)*F25+INDEX(Symboles!$G$6:$G$101,MOD(80+$C25+(-2),$B$3)+1)*G25+INDEX(Symboles!$G$6:$G$101,MOD(80+$C25+(-1),$B$3)+1)*H25+INDEX(Symboles!$G$6:$G$101,MOD(80+$C25+(0),$B$3)+1)*I25+INDEX(Symboles!$G$6:$G$101,MOD(80+$C25+(1),$B$3)+1)*J25+INDEX(Symboles!$G$6:$G$101,MOD(80+$C25+(2),$B$3)+1)*K25+INDEX(Symboles!$G$6:$G$101,MOD(80+$C25+(3),$B$3)+1)*L25+INDEX(Symboles!$G$6:$G$101,MOD(80+$C25+(4),$B$3)+1)*M25+IF($B$6=0,0,$B$6*NORMSINV(0.000001+0.999998*RAND())))</f>
        <v/>
      </c>
      <c r="CS25" s="30">
        <f>IF(82&gt;$B$3,99,INDEX(Symboles!$G$6:$G$101,MOD(81+$C25+(-4),$B$3)+1)*E25+INDEX(Symboles!$G$6:$G$101,MOD(81+$C25+(-3),$B$3)+1)*F25+INDEX(Symboles!$G$6:$G$101,MOD(81+$C25+(-2),$B$3)+1)*G25+INDEX(Symboles!$G$6:$G$101,MOD(81+$C25+(-1),$B$3)+1)*H25+INDEX(Symboles!$G$6:$G$101,MOD(81+$C25+(0),$B$3)+1)*I25+INDEX(Symboles!$G$6:$G$101,MOD(81+$C25+(1),$B$3)+1)*J25+INDEX(Symboles!$G$6:$G$101,MOD(81+$C25+(2),$B$3)+1)*K25+INDEX(Symboles!$G$6:$G$101,MOD(81+$C25+(3),$B$3)+1)*L25+INDEX(Symboles!$G$6:$G$101,MOD(81+$C25+(4),$B$3)+1)*M25+IF($B$6=0,0,$B$6*NORMSINV(0.000001+0.999998*RAND())))</f>
        <v/>
      </c>
      <c r="CT25" s="30">
        <f>IF(83&gt;$B$3,99,INDEX(Symboles!$G$6:$G$101,MOD(82+$C25+(-4),$B$3)+1)*E25+INDEX(Symboles!$G$6:$G$101,MOD(82+$C25+(-3),$B$3)+1)*F25+INDEX(Symboles!$G$6:$G$101,MOD(82+$C25+(-2),$B$3)+1)*G25+INDEX(Symboles!$G$6:$G$101,MOD(82+$C25+(-1),$B$3)+1)*H25+INDEX(Symboles!$G$6:$G$101,MOD(82+$C25+(0),$B$3)+1)*I25+INDEX(Symboles!$G$6:$G$101,MOD(82+$C25+(1),$B$3)+1)*J25+INDEX(Symboles!$G$6:$G$101,MOD(82+$C25+(2),$B$3)+1)*K25+INDEX(Symboles!$G$6:$G$101,MOD(82+$C25+(3),$B$3)+1)*L25+INDEX(Symboles!$G$6:$G$101,MOD(82+$C25+(4),$B$3)+1)*M25+IF($B$6=0,0,$B$6*NORMSINV(0.000001+0.999998*RAND())))</f>
        <v/>
      </c>
      <c r="CU25" s="30">
        <f>IF(84&gt;$B$3,99,INDEX(Symboles!$G$6:$G$101,MOD(83+$C25+(-4),$B$3)+1)*E25+INDEX(Symboles!$G$6:$G$101,MOD(83+$C25+(-3),$B$3)+1)*F25+INDEX(Symboles!$G$6:$G$101,MOD(83+$C25+(-2),$B$3)+1)*G25+INDEX(Symboles!$G$6:$G$101,MOD(83+$C25+(-1),$B$3)+1)*H25+INDEX(Symboles!$G$6:$G$101,MOD(83+$C25+(0),$B$3)+1)*I25+INDEX(Symboles!$G$6:$G$101,MOD(83+$C25+(1),$B$3)+1)*J25+INDEX(Symboles!$G$6:$G$101,MOD(83+$C25+(2),$B$3)+1)*K25+INDEX(Symboles!$G$6:$G$101,MOD(83+$C25+(3),$B$3)+1)*L25+INDEX(Symboles!$G$6:$G$101,MOD(83+$C25+(4),$B$3)+1)*M25+IF($B$6=0,0,$B$6*NORMSINV(0.000001+0.999998*RAND())))</f>
        <v/>
      </c>
      <c r="CV25" s="30">
        <f>IF(85&gt;$B$3,99,INDEX(Symboles!$G$6:$G$101,MOD(84+$C25+(-4),$B$3)+1)*E25+INDEX(Symboles!$G$6:$G$101,MOD(84+$C25+(-3),$B$3)+1)*F25+INDEX(Symboles!$G$6:$G$101,MOD(84+$C25+(-2),$B$3)+1)*G25+INDEX(Symboles!$G$6:$G$101,MOD(84+$C25+(-1),$B$3)+1)*H25+INDEX(Symboles!$G$6:$G$101,MOD(84+$C25+(0),$B$3)+1)*I25+INDEX(Symboles!$G$6:$G$101,MOD(84+$C25+(1),$B$3)+1)*J25+INDEX(Symboles!$G$6:$G$101,MOD(84+$C25+(2),$B$3)+1)*K25+INDEX(Symboles!$G$6:$G$101,MOD(84+$C25+(3),$B$3)+1)*L25+INDEX(Symboles!$G$6:$G$101,MOD(84+$C25+(4),$B$3)+1)*M25+IF($B$6=0,0,$B$6*NORMSINV(0.000001+0.999998*RAND())))</f>
        <v/>
      </c>
      <c r="CW25" s="30">
        <f>IF(86&gt;$B$3,99,INDEX(Symboles!$G$6:$G$101,MOD(85+$C25+(-4),$B$3)+1)*E25+INDEX(Symboles!$G$6:$G$101,MOD(85+$C25+(-3),$B$3)+1)*F25+INDEX(Symboles!$G$6:$G$101,MOD(85+$C25+(-2),$B$3)+1)*G25+INDEX(Symboles!$G$6:$G$101,MOD(85+$C25+(-1),$B$3)+1)*H25+INDEX(Symboles!$G$6:$G$101,MOD(85+$C25+(0),$B$3)+1)*I25+INDEX(Symboles!$G$6:$G$101,MOD(85+$C25+(1),$B$3)+1)*J25+INDEX(Symboles!$G$6:$G$101,MOD(85+$C25+(2),$B$3)+1)*K25+INDEX(Symboles!$G$6:$G$101,MOD(85+$C25+(3),$B$3)+1)*L25+INDEX(Symboles!$G$6:$G$101,MOD(85+$C25+(4),$B$3)+1)*M25+IF($B$6=0,0,$B$6*NORMSINV(0.000001+0.999998*RAND())))</f>
        <v/>
      </c>
      <c r="CX25" s="30">
        <f>IF(87&gt;$B$3,99,INDEX(Symboles!$G$6:$G$101,MOD(86+$C25+(-4),$B$3)+1)*E25+INDEX(Symboles!$G$6:$G$101,MOD(86+$C25+(-3),$B$3)+1)*F25+INDEX(Symboles!$G$6:$G$101,MOD(86+$C25+(-2),$B$3)+1)*G25+INDEX(Symboles!$G$6:$G$101,MOD(86+$C25+(-1),$B$3)+1)*H25+INDEX(Symboles!$G$6:$G$101,MOD(86+$C25+(0),$B$3)+1)*I25+INDEX(Symboles!$G$6:$G$101,MOD(86+$C25+(1),$B$3)+1)*J25+INDEX(Symboles!$G$6:$G$101,MOD(86+$C25+(2),$B$3)+1)*K25+INDEX(Symboles!$G$6:$G$101,MOD(86+$C25+(3),$B$3)+1)*L25+INDEX(Symboles!$G$6:$G$101,MOD(86+$C25+(4),$B$3)+1)*M25+IF($B$6=0,0,$B$6*NORMSINV(0.000001+0.999998*RAND())))</f>
        <v/>
      </c>
      <c r="CY25" s="30">
        <f>IF(88&gt;$B$3,99,INDEX(Symboles!$G$6:$G$101,MOD(87+$C25+(-4),$B$3)+1)*E25+INDEX(Symboles!$G$6:$G$101,MOD(87+$C25+(-3),$B$3)+1)*F25+INDEX(Symboles!$G$6:$G$101,MOD(87+$C25+(-2),$B$3)+1)*G25+INDEX(Symboles!$G$6:$G$101,MOD(87+$C25+(-1),$B$3)+1)*H25+INDEX(Symboles!$G$6:$G$101,MOD(87+$C25+(0),$B$3)+1)*I25+INDEX(Symboles!$G$6:$G$101,MOD(87+$C25+(1),$B$3)+1)*J25+INDEX(Symboles!$G$6:$G$101,MOD(87+$C25+(2),$B$3)+1)*K25+INDEX(Symboles!$G$6:$G$101,MOD(87+$C25+(3),$B$3)+1)*L25+INDEX(Symboles!$G$6:$G$101,MOD(87+$C25+(4),$B$3)+1)*M25+IF($B$6=0,0,$B$6*NORMSINV(0.000001+0.999998*RAND())))</f>
        <v/>
      </c>
      <c r="CZ25" s="30">
        <f>IF(89&gt;$B$3,99,INDEX(Symboles!$G$6:$G$101,MOD(88+$C25+(-4),$B$3)+1)*E25+INDEX(Symboles!$G$6:$G$101,MOD(88+$C25+(-3),$B$3)+1)*F25+INDEX(Symboles!$G$6:$G$101,MOD(88+$C25+(-2),$B$3)+1)*G25+INDEX(Symboles!$G$6:$G$101,MOD(88+$C25+(-1),$B$3)+1)*H25+INDEX(Symboles!$G$6:$G$101,MOD(88+$C25+(0),$B$3)+1)*I25+INDEX(Symboles!$G$6:$G$101,MOD(88+$C25+(1),$B$3)+1)*J25+INDEX(Symboles!$G$6:$G$101,MOD(88+$C25+(2),$B$3)+1)*K25+INDEX(Symboles!$G$6:$G$101,MOD(88+$C25+(3),$B$3)+1)*L25+INDEX(Symboles!$G$6:$G$101,MOD(88+$C25+(4),$B$3)+1)*M25+IF($B$6=0,0,$B$6*NORMSINV(0.000001+0.999998*RAND())))</f>
        <v/>
      </c>
      <c r="DA25" s="30">
        <f>IF(90&gt;$B$3,99,INDEX(Symboles!$G$6:$G$101,MOD(89+$C25+(-4),$B$3)+1)*E25+INDEX(Symboles!$G$6:$G$101,MOD(89+$C25+(-3),$B$3)+1)*F25+INDEX(Symboles!$G$6:$G$101,MOD(89+$C25+(-2),$B$3)+1)*G25+INDEX(Symboles!$G$6:$G$101,MOD(89+$C25+(-1),$B$3)+1)*H25+INDEX(Symboles!$G$6:$G$101,MOD(89+$C25+(0),$B$3)+1)*I25+INDEX(Symboles!$G$6:$G$101,MOD(89+$C25+(1),$B$3)+1)*J25+INDEX(Symboles!$G$6:$G$101,MOD(89+$C25+(2),$B$3)+1)*K25+INDEX(Symboles!$G$6:$G$101,MOD(89+$C25+(3),$B$3)+1)*L25+INDEX(Symboles!$G$6:$G$101,MOD(89+$C25+(4),$B$3)+1)*M25+IF($B$6=0,0,$B$6*NORMSINV(0.000001+0.999998*RAND())))</f>
        <v/>
      </c>
      <c r="DB25" s="30">
        <f>IF(91&gt;$B$3,99,INDEX(Symboles!$G$6:$G$101,MOD(90+$C25+(-4),$B$3)+1)*E25+INDEX(Symboles!$G$6:$G$101,MOD(90+$C25+(-3),$B$3)+1)*F25+INDEX(Symboles!$G$6:$G$101,MOD(90+$C25+(-2),$B$3)+1)*G25+INDEX(Symboles!$G$6:$G$101,MOD(90+$C25+(-1),$B$3)+1)*H25+INDEX(Symboles!$G$6:$G$101,MOD(90+$C25+(0),$B$3)+1)*I25+INDEX(Symboles!$G$6:$G$101,MOD(90+$C25+(1),$B$3)+1)*J25+INDEX(Symboles!$G$6:$G$101,MOD(90+$C25+(2),$B$3)+1)*K25+INDEX(Symboles!$G$6:$G$101,MOD(90+$C25+(3),$B$3)+1)*L25+INDEX(Symboles!$G$6:$G$101,MOD(90+$C25+(4),$B$3)+1)*M25+IF($B$6=0,0,$B$6*NORMSINV(0.000001+0.999998*RAND())))</f>
        <v/>
      </c>
      <c r="DC25" s="30">
        <f>IF(92&gt;$B$3,99,INDEX(Symboles!$G$6:$G$101,MOD(91+$C25+(-4),$B$3)+1)*E25+INDEX(Symboles!$G$6:$G$101,MOD(91+$C25+(-3),$B$3)+1)*F25+INDEX(Symboles!$G$6:$G$101,MOD(91+$C25+(-2),$B$3)+1)*G25+INDEX(Symboles!$G$6:$G$101,MOD(91+$C25+(-1),$B$3)+1)*H25+INDEX(Symboles!$G$6:$G$101,MOD(91+$C25+(0),$B$3)+1)*I25+INDEX(Symboles!$G$6:$G$101,MOD(91+$C25+(1),$B$3)+1)*J25+INDEX(Symboles!$G$6:$G$101,MOD(91+$C25+(2),$B$3)+1)*K25+INDEX(Symboles!$G$6:$G$101,MOD(91+$C25+(3),$B$3)+1)*L25+INDEX(Symboles!$G$6:$G$101,MOD(91+$C25+(4),$B$3)+1)*M25+IF($B$6=0,0,$B$6*NORMSINV(0.000001+0.999998*RAND())))</f>
        <v/>
      </c>
      <c r="DD25" s="30">
        <f>IF(93&gt;$B$3,99,INDEX(Symboles!$G$6:$G$101,MOD(92+$C25+(-4),$B$3)+1)*E25+INDEX(Symboles!$G$6:$G$101,MOD(92+$C25+(-3),$B$3)+1)*F25+INDEX(Symboles!$G$6:$G$101,MOD(92+$C25+(-2),$B$3)+1)*G25+INDEX(Symboles!$G$6:$G$101,MOD(92+$C25+(-1),$B$3)+1)*H25+INDEX(Symboles!$G$6:$G$101,MOD(92+$C25+(0),$B$3)+1)*I25+INDEX(Symboles!$G$6:$G$101,MOD(92+$C25+(1),$B$3)+1)*J25+INDEX(Symboles!$G$6:$G$101,MOD(92+$C25+(2),$B$3)+1)*K25+INDEX(Symboles!$G$6:$G$101,MOD(92+$C25+(3),$B$3)+1)*L25+INDEX(Symboles!$G$6:$G$101,MOD(92+$C25+(4),$B$3)+1)*M25+IF($B$6=0,0,$B$6*NORMSINV(0.000001+0.999998*RAND())))</f>
        <v/>
      </c>
      <c r="DE25" s="30">
        <f>IF(94&gt;$B$3,99,INDEX(Symboles!$G$6:$G$101,MOD(93+$C25+(-4),$B$3)+1)*E25+INDEX(Symboles!$G$6:$G$101,MOD(93+$C25+(-3),$B$3)+1)*F25+INDEX(Symboles!$G$6:$G$101,MOD(93+$C25+(-2),$B$3)+1)*G25+INDEX(Symboles!$G$6:$G$101,MOD(93+$C25+(-1),$B$3)+1)*H25+INDEX(Symboles!$G$6:$G$101,MOD(93+$C25+(0),$B$3)+1)*I25+INDEX(Symboles!$G$6:$G$101,MOD(93+$C25+(1),$B$3)+1)*J25+INDEX(Symboles!$G$6:$G$101,MOD(93+$C25+(2),$B$3)+1)*K25+INDEX(Symboles!$G$6:$G$101,MOD(93+$C25+(3),$B$3)+1)*L25+INDEX(Symboles!$G$6:$G$101,MOD(93+$C25+(4),$B$3)+1)*M25+IF($B$6=0,0,$B$6*NORMSINV(0.000001+0.999998*RAND())))</f>
        <v/>
      </c>
      <c r="DF25" s="30">
        <f>IF(95&gt;$B$3,99,INDEX(Symboles!$G$6:$G$101,MOD(94+$C25+(-4),$B$3)+1)*E25+INDEX(Symboles!$G$6:$G$101,MOD(94+$C25+(-3),$B$3)+1)*F25+INDEX(Symboles!$G$6:$G$101,MOD(94+$C25+(-2),$B$3)+1)*G25+INDEX(Symboles!$G$6:$G$101,MOD(94+$C25+(-1),$B$3)+1)*H25+INDEX(Symboles!$G$6:$G$101,MOD(94+$C25+(0),$B$3)+1)*I25+INDEX(Symboles!$G$6:$G$101,MOD(94+$C25+(1),$B$3)+1)*J25+INDEX(Symboles!$G$6:$G$101,MOD(94+$C25+(2),$B$3)+1)*K25+INDEX(Symboles!$G$6:$G$101,MOD(94+$C25+(3),$B$3)+1)*L25+INDEX(Symboles!$G$6:$G$101,MOD(94+$C25+(4),$B$3)+1)*M25+IF($B$6=0,0,$B$6*NORMSINV(0.000001+0.999998*RAND())))</f>
        <v/>
      </c>
      <c r="DG25" s="30">
        <f>IF(96&gt;$B$3,99,INDEX(Symboles!$G$6:$G$101,MOD(95+$C25+(-4),$B$3)+1)*E25+INDEX(Symboles!$G$6:$G$101,MOD(95+$C25+(-3),$B$3)+1)*F25+INDEX(Symboles!$G$6:$G$101,MOD(95+$C25+(-2),$B$3)+1)*G25+INDEX(Symboles!$G$6:$G$101,MOD(95+$C25+(-1),$B$3)+1)*H25+INDEX(Symboles!$G$6:$G$101,MOD(95+$C25+(0),$B$3)+1)*I25+INDEX(Symboles!$G$6:$G$101,MOD(95+$C25+(1),$B$3)+1)*J25+INDEX(Symboles!$G$6:$G$101,MOD(95+$C25+(2),$B$3)+1)*K25+INDEX(Symboles!$G$6:$G$101,MOD(95+$C25+(3),$B$3)+1)*L25+INDEX(Symboles!$G$6:$G$101,MOD(95+$C25+(4),$B$3)+1)*M25+IF($B$6=0,0,$B$6*NORMSINV(0.000001+0.999998*RAND())))</f>
        <v/>
      </c>
      <c r="DI25" s="30">
        <f>IF(1&gt;$B$3,99,INDEX(Symboles!$H$6:$H$101,MOD(0+$C25+(-4),$B$3)+1)*E25+INDEX(Symboles!$H$6:$H$101,MOD(0+$C25+(-3),$B$3)+1)*F25+INDEX(Symboles!$H$6:$H$101,MOD(0+$C25+(-2),$B$3)+1)*G25+INDEX(Symboles!$H$6:$H$101,MOD(0+$C25+(-1),$B$3)+1)*H25+INDEX(Symboles!$H$6:$H$101,MOD(0+$C25+(0),$B$3)+1)*I25+INDEX(Symboles!$H$6:$H$101,MOD(0+$C25+(1),$B$3)+1)*J25+INDEX(Symboles!$H$6:$H$101,MOD(0+$C25+(2),$B$3)+1)*K25+INDEX(Symboles!$H$6:$H$101,MOD(0+$C25+(3),$B$3)+1)*L25+INDEX(Symboles!$H$6:$H$101,MOD(0+$C25+(4),$B$3)+1)*M25+IF($B$6=0,0,$B$6*NORMSINV(0.000001+0.999998*RAND())))</f>
        <v/>
      </c>
      <c r="DJ25" s="30">
        <f>IF(2&gt;$B$3,99,INDEX(Symboles!$H$6:$H$101,MOD(1+$C25+(-4),$B$3)+1)*E25+INDEX(Symboles!$H$6:$H$101,MOD(1+$C25+(-3),$B$3)+1)*F25+INDEX(Symboles!$H$6:$H$101,MOD(1+$C25+(-2),$B$3)+1)*G25+INDEX(Symboles!$H$6:$H$101,MOD(1+$C25+(-1),$B$3)+1)*H25+INDEX(Symboles!$H$6:$H$101,MOD(1+$C25+(0),$B$3)+1)*I25+INDEX(Symboles!$H$6:$H$101,MOD(1+$C25+(1),$B$3)+1)*J25+INDEX(Symboles!$H$6:$H$101,MOD(1+$C25+(2),$B$3)+1)*K25+INDEX(Symboles!$H$6:$H$101,MOD(1+$C25+(3),$B$3)+1)*L25+INDEX(Symboles!$H$6:$H$101,MOD(1+$C25+(4),$B$3)+1)*M25+IF($B$6=0,0,$B$6*NORMSINV(0.000001+0.999998*RAND())))</f>
        <v/>
      </c>
      <c r="DK25" s="30">
        <f>IF(3&gt;$B$3,99,INDEX(Symboles!$H$6:$H$101,MOD(2+$C25+(-4),$B$3)+1)*E25+INDEX(Symboles!$H$6:$H$101,MOD(2+$C25+(-3),$B$3)+1)*F25+INDEX(Symboles!$H$6:$H$101,MOD(2+$C25+(-2),$B$3)+1)*G25+INDEX(Symboles!$H$6:$H$101,MOD(2+$C25+(-1),$B$3)+1)*H25+INDEX(Symboles!$H$6:$H$101,MOD(2+$C25+(0),$B$3)+1)*I25+INDEX(Symboles!$H$6:$H$101,MOD(2+$C25+(1),$B$3)+1)*J25+INDEX(Symboles!$H$6:$H$101,MOD(2+$C25+(2),$B$3)+1)*K25+INDEX(Symboles!$H$6:$H$101,MOD(2+$C25+(3),$B$3)+1)*L25+INDEX(Symboles!$H$6:$H$101,MOD(2+$C25+(4),$B$3)+1)*M25+IF($B$6=0,0,$B$6*NORMSINV(0.000001+0.999998*RAND())))</f>
        <v/>
      </c>
      <c r="DL25" s="30">
        <f>IF(4&gt;$B$3,99,INDEX(Symboles!$H$6:$H$101,MOD(3+$C25+(-4),$B$3)+1)*E25+INDEX(Symboles!$H$6:$H$101,MOD(3+$C25+(-3),$B$3)+1)*F25+INDEX(Symboles!$H$6:$H$101,MOD(3+$C25+(-2),$B$3)+1)*G25+INDEX(Symboles!$H$6:$H$101,MOD(3+$C25+(-1),$B$3)+1)*H25+INDEX(Symboles!$H$6:$H$101,MOD(3+$C25+(0),$B$3)+1)*I25+INDEX(Symboles!$H$6:$H$101,MOD(3+$C25+(1),$B$3)+1)*J25+INDEX(Symboles!$H$6:$H$101,MOD(3+$C25+(2),$B$3)+1)*K25+INDEX(Symboles!$H$6:$H$101,MOD(3+$C25+(3),$B$3)+1)*L25+INDEX(Symboles!$H$6:$H$101,MOD(3+$C25+(4),$B$3)+1)*M25+IF($B$6=0,0,$B$6*NORMSINV(0.000001+0.999998*RAND())))</f>
        <v/>
      </c>
      <c r="DM25" s="30">
        <f>IF(5&gt;$B$3,99,INDEX(Symboles!$H$6:$H$101,MOD(4+$C25+(-4),$B$3)+1)*E25+INDEX(Symboles!$H$6:$H$101,MOD(4+$C25+(-3),$B$3)+1)*F25+INDEX(Symboles!$H$6:$H$101,MOD(4+$C25+(-2),$B$3)+1)*G25+INDEX(Symboles!$H$6:$H$101,MOD(4+$C25+(-1),$B$3)+1)*H25+INDEX(Symboles!$H$6:$H$101,MOD(4+$C25+(0),$B$3)+1)*I25+INDEX(Symboles!$H$6:$H$101,MOD(4+$C25+(1),$B$3)+1)*J25+INDEX(Symboles!$H$6:$H$101,MOD(4+$C25+(2),$B$3)+1)*K25+INDEX(Symboles!$H$6:$H$101,MOD(4+$C25+(3),$B$3)+1)*L25+INDEX(Symboles!$H$6:$H$101,MOD(4+$C25+(4),$B$3)+1)*M25+IF($B$6=0,0,$B$6*NORMSINV(0.000001+0.999998*RAND())))</f>
        <v/>
      </c>
      <c r="DN25" s="30">
        <f>IF(6&gt;$B$3,99,INDEX(Symboles!$H$6:$H$101,MOD(5+$C25+(-4),$B$3)+1)*E25+INDEX(Symboles!$H$6:$H$101,MOD(5+$C25+(-3),$B$3)+1)*F25+INDEX(Symboles!$H$6:$H$101,MOD(5+$C25+(-2),$B$3)+1)*G25+INDEX(Symboles!$H$6:$H$101,MOD(5+$C25+(-1),$B$3)+1)*H25+INDEX(Symboles!$H$6:$H$101,MOD(5+$C25+(0),$B$3)+1)*I25+INDEX(Symboles!$H$6:$H$101,MOD(5+$C25+(1),$B$3)+1)*J25+INDEX(Symboles!$H$6:$H$101,MOD(5+$C25+(2),$B$3)+1)*K25+INDEX(Symboles!$H$6:$H$101,MOD(5+$C25+(3),$B$3)+1)*L25+INDEX(Symboles!$H$6:$H$101,MOD(5+$C25+(4),$B$3)+1)*M25+IF($B$6=0,0,$B$6*NORMSINV(0.000001+0.999998*RAND())))</f>
        <v/>
      </c>
      <c r="DO25" s="30">
        <f>IF(7&gt;$B$3,99,INDEX(Symboles!$H$6:$H$101,MOD(6+$C25+(-4),$B$3)+1)*E25+INDEX(Symboles!$H$6:$H$101,MOD(6+$C25+(-3),$B$3)+1)*F25+INDEX(Symboles!$H$6:$H$101,MOD(6+$C25+(-2),$B$3)+1)*G25+INDEX(Symboles!$H$6:$H$101,MOD(6+$C25+(-1),$B$3)+1)*H25+INDEX(Symboles!$H$6:$H$101,MOD(6+$C25+(0),$B$3)+1)*I25+INDEX(Symboles!$H$6:$H$101,MOD(6+$C25+(1),$B$3)+1)*J25+INDEX(Symboles!$H$6:$H$101,MOD(6+$C25+(2),$B$3)+1)*K25+INDEX(Symboles!$H$6:$H$101,MOD(6+$C25+(3),$B$3)+1)*L25+INDEX(Symboles!$H$6:$H$101,MOD(6+$C25+(4),$B$3)+1)*M25+IF($B$6=0,0,$B$6*NORMSINV(0.000001+0.999998*RAND())))</f>
        <v/>
      </c>
      <c r="DP25" s="30">
        <f>IF(8&gt;$B$3,99,INDEX(Symboles!$H$6:$H$101,MOD(7+$C25+(-4),$B$3)+1)*E25+INDEX(Symboles!$H$6:$H$101,MOD(7+$C25+(-3),$B$3)+1)*F25+INDEX(Symboles!$H$6:$H$101,MOD(7+$C25+(-2),$B$3)+1)*G25+INDEX(Symboles!$H$6:$H$101,MOD(7+$C25+(-1),$B$3)+1)*H25+INDEX(Symboles!$H$6:$H$101,MOD(7+$C25+(0),$B$3)+1)*I25+INDEX(Symboles!$H$6:$H$101,MOD(7+$C25+(1),$B$3)+1)*J25+INDEX(Symboles!$H$6:$H$101,MOD(7+$C25+(2),$B$3)+1)*K25+INDEX(Symboles!$H$6:$H$101,MOD(7+$C25+(3),$B$3)+1)*L25+INDEX(Symboles!$H$6:$H$101,MOD(7+$C25+(4),$B$3)+1)*M25+IF($B$6=0,0,$B$6*NORMSINV(0.000001+0.999998*RAND())))</f>
        <v/>
      </c>
      <c r="DQ25" s="30">
        <f>IF(9&gt;$B$3,99,INDEX(Symboles!$H$6:$H$101,MOD(8+$C25+(-4),$B$3)+1)*E25+INDEX(Symboles!$H$6:$H$101,MOD(8+$C25+(-3),$B$3)+1)*F25+INDEX(Symboles!$H$6:$H$101,MOD(8+$C25+(-2),$B$3)+1)*G25+INDEX(Symboles!$H$6:$H$101,MOD(8+$C25+(-1),$B$3)+1)*H25+INDEX(Symboles!$H$6:$H$101,MOD(8+$C25+(0),$B$3)+1)*I25+INDEX(Symboles!$H$6:$H$101,MOD(8+$C25+(1),$B$3)+1)*J25+INDEX(Symboles!$H$6:$H$101,MOD(8+$C25+(2),$B$3)+1)*K25+INDEX(Symboles!$H$6:$H$101,MOD(8+$C25+(3),$B$3)+1)*L25+INDEX(Symboles!$H$6:$H$101,MOD(8+$C25+(4),$B$3)+1)*M25+IF($B$6=0,0,$B$6*NORMSINV(0.000001+0.999998*RAND())))</f>
        <v/>
      </c>
      <c r="DR25" s="30">
        <f>IF(10&gt;$B$3,99,INDEX(Symboles!$H$6:$H$101,MOD(9+$C25+(-4),$B$3)+1)*E25+INDEX(Symboles!$H$6:$H$101,MOD(9+$C25+(-3),$B$3)+1)*F25+INDEX(Symboles!$H$6:$H$101,MOD(9+$C25+(-2),$B$3)+1)*G25+INDEX(Symboles!$H$6:$H$101,MOD(9+$C25+(-1),$B$3)+1)*H25+INDEX(Symboles!$H$6:$H$101,MOD(9+$C25+(0),$B$3)+1)*I25+INDEX(Symboles!$H$6:$H$101,MOD(9+$C25+(1),$B$3)+1)*J25+INDEX(Symboles!$H$6:$H$101,MOD(9+$C25+(2),$B$3)+1)*K25+INDEX(Symboles!$H$6:$H$101,MOD(9+$C25+(3),$B$3)+1)*L25+INDEX(Symboles!$H$6:$H$101,MOD(9+$C25+(4),$B$3)+1)*M25+IF($B$6=0,0,$B$6*NORMSINV(0.000001+0.999998*RAND())))</f>
        <v/>
      </c>
      <c r="DS25" s="30">
        <f>IF(11&gt;$B$3,99,INDEX(Symboles!$H$6:$H$101,MOD(10+$C25+(-4),$B$3)+1)*E25+INDEX(Symboles!$H$6:$H$101,MOD(10+$C25+(-3),$B$3)+1)*F25+INDEX(Symboles!$H$6:$H$101,MOD(10+$C25+(-2),$B$3)+1)*G25+INDEX(Symboles!$H$6:$H$101,MOD(10+$C25+(-1),$B$3)+1)*H25+INDEX(Symboles!$H$6:$H$101,MOD(10+$C25+(0),$B$3)+1)*I25+INDEX(Symboles!$H$6:$H$101,MOD(10+$C25+(1),$B$3)+1)*J25+INDEX(Symboles!$H$6:$H$101,MOD(10+$C25+(2),$B$3)+1)*K25+INDEX(Symboles!$H$6:$H$101,MOD(10+$C25+(3),$B$3)+1)*L25+INDEX(Symboles!$H$6:$H$101,MOD(10+$C25+(4),$B$3)+1)*M25+IF($B$6=0,0,$B$6*NORMSINV(0.000001+0.999998*RAND())))</f>
        <v/>
      </c>
      <c r="DT25" s="30">
        <f>IF(12&gt;$B$3,99,INDEX(Symboles!$H$6:$H$101,MOD(11+$C25+(-4),$B$3)+1)*E25+INDEX(Symboles!$H$6:$H$101,MOD(11+$C25+(-3),$B$3)+1)*F25+INDEX(Symboles!$H$6:$H$101,MOD(11+$C25+(-2),$B$3)+1)*G25+INDEX(Symboles!$H$6:$H$101,MOD(11+$C25+(-1),$B$3)+1)*H25+INDEX(Symboles!$H$6:$H$101,MOD(11+$C25+(0),$B$3)+1)*I25+INDEX(Symboles!$H$6:$H$101,MOD(11+$C25+(1),$B$3)+1)*J25+INDEX(Symboles!$H$6:$H$101,MOD(11+$C25+(2),$B$3)+1)*K25+INDEX(Symboles!$H$6:$H$101,MOD(11+$C25+(3),$B$3)+1)*L25+INDEX(Symboles!$H$6:$H$101,MOD(11+$C25+(4),$B$3)+1)*M25+IF($B$6=0,0,$B$6*NORMSINV(0.000001+0.999998*RAND())))</f>
        <v/>
      </c>
      <c r="DU25" s="30">
        <f>IF(13&gt;$B$3,99,INDEX(Symboles!$H$6:$H$101,MOD(12+$C25+(-4),$B$3)+1)*E25+INDEX(Symboles!$H$6:$H$101,MOD(12+$C25+(-3),$B$3)+1)*F25+INDEX(Symboles!$H$6:$H$101,MOD(12+$C25+(-2),$B$3)+1)*G25+INDEX(Symboles!$H$6:$H$101,MOD(12+$C25+(-1),$B$3)+1)*H25+INDEX(Symboles!$H$6:$H$101,MOD(12+$C25+(0),$B$3)+1)*I25+INDEX(Symboles!$H$6:$H$101,MOD(12+$C25+(1),$B$3)+1)*J25+INDEX(Symboles!$H$6:$H$101,MOD(12+$C25+(2),$B$3)+1)*K25+INDEX(Symboles!$H$6:$H$101,MOD(12+$C25+(3),$B$3)+1)*L25+INDEX(Symboles!$H$6:$H$101,MOD(12+$C25+(4),$B$3)+1)*M25+IF($B$6=0,0,$B$6*NORMSINV(0.000001+0.999998*RAND())))</f>
        <v/>
      </c>
      <c r="DV25" s="30">
        <f>IF(14&gt;$B$3,99,INDEX(Symboles!$H$6:$H$101,MOD(13+$C25+(-4),$B$3)+1)*E25+INDEX(Symboles!$H$6:$H$101,MOD(13+$C25+(-3),$B$3)+1)*F25+INDEX(Symboles!$H$6:$H$101,MOD(13+$C25+(-2),$B$3)+1)*G25+INDEX(Symboles!$H$6:$H$101,MOD(13+$C25+(-1),$B$3)+1)*H25+INDEX(Symboles!$H$6:$H$101,MOD(13+$C25+(0),$B$3)+1)*I25+INDEX(Symboles!$H$6:$H$101,MOD(13+$C25+(1),$B$3)+1)*J25+INDEX(Symboles!$H$6:$H$101,MOD(13+$C25+(2),$B$3)+1)*K25+INDEX(Symboles!$H$6:$H$101,MOD(13+$C25+(3),$B$3)+1)*L25+INDEX(Symboles!$H$6:$H$101,MOD(13+$C25+(4),$B$3)+1)*M25+IF($B$6=0,0,$B$6*NORMSINV(0.000001+0.999998*RAND())))</f>
        <v/>
      </c>
      <c r="DW25" s="30">
        <f>IF(15&gt;$B$3,99,INDEX(Symboles!$H$6:$H$101,MOD(14+$C25+(-4),$B$3)+1)*E25+INDEX(Symboles!$H$6:$H$101,MOD(14+$C25+(-3),$B$3)+1)*F25+INDEX(Symboles!$H$6:$H$101,MOD(14+$C25+(-2),$B$3)+1)*G25+INDEX(Symboles!$H$6:$H$101,MOD(14+$C25+(-1),$B$3)+1)*H25+INDEX(Symboles!$H$6:$H$101,MOD(14+$C25+(0),$B$3)+1)*I25+INDEX(Symboles!$H$6:$H$101,MOD(14+$C25+(1),$B$3)+1)*J25+INDEX(Symboles!$H$6:$H$101,MOD(14+$C25+(2),$B$3)+1)*K25+INDEX(Symboles!$H$6:$H$101,MOD(14+$C25+(3),$B$3)+1)*L25+INDEX(Symboles!$H$6:$H$101,MOD(14+$C25+(4),$B$3)+1)*M25+IF($B$6=0,0,$B$6*NORMSINV(0.000001+0.999998*RAND())))</f>
        <v/>
      </c>
      <c r="DX25" s="30">
        <f>IF(16&gt;$B$3,99,INDEX(Symboles!$H$6:$H$101,MOD(15+$C25+(-4),$B$3)+1)*E25+INDEX(Symboles!$H$6:$H$101,MOD(15+$C25+(-3),$B$3)+1)*F25+INDEX(Symboles!$H$6:$H$101,MOD(15+$C25+(-2),$B$3)+1)*G25+INDEX(Symboles!$H$6:$H$101,MOD(15+$C25+(-1),$B$3)+1)*H25+INDEX(Symboles!$H$6:$H$101,MOD(15+$C25+(0),$B$3)+1)*I25+INDEX(Symboles!$H$6:$H$101,MOD(15+$C25+(1),$B$3)+1)*J25+INDEX(Symboles!$H$6:$H$101,MOD(15+$C25+(2),$B$3)+1)*K25+INDEX(Symboles!$H$6:$H$101,MOD(15+$C25+(3),$B$3)+1)*L25+INDEX(Symboles!$H$6:$H$101,MOD(15+$C25+(4),$B$3)+1)*M25+IF($B$6=0,0,$B$6*NORMSINV(0.000001+0.999998*RAND())))</f>
        <v/>
      </c>
      <c r="DY25" s="30">
        <f>IF(17&gt;$B$3,99,INDEX(Symboles!$H$6:$H$101,MOD(16+$C25+(-4),$B$3)+1)*E25+INDEX(Symboles!$H$6:$H$101,MOD(16+$C25+(-3),$B$3)+1)*F25+INDEX(Symboles!$H$6:$H$101,MOD(16+$C25+(-2),$B$3)+1)*G25+INDEX(Symboles!$H$6:$H$101,MOD(16+$C25+(-1),$B$3)+1)*H25+INDEX(Symboles!$H$6:$H$101,MOD(16+$C25+(0),$B$3)+1)*I25+INDEX(Symboles!$H$6:$H$101,MOD(16+$C25+(1),$B$3)+1)*J25+INDEX(Symboles!$H$6:$H$101,MOD(16+$C25+(2),$B$3)+1)*K25+INDEX(Symboles!$H$6:$H$101,MOD(16+$C25+(3),$B$3)+1)*L25+INDEX(Symboles!$H$6:$H$101,MOD(16+$C25+(4),$B$3)+1)*M25+IF($B$6=0,0,$B$6*NORMSINV(0.000001+0.999998*RAND())))</f>
        <v/>
      </c>
      <c r="DZ25" s="30">
        <f>IF(18&gt;$B$3,99,INDEX(Symboles!$H$6:$H$101,MOD(17+$C25+(-4),$B$3)+1)*E25+INDEX(Symboles!$H$6:$H$101,MOD(17+$C25+(-3),$B$3)+1)*F25+INDEX(Symboles!$H$6:$H$101,MOD(17+$C25+(-2),$B$3)+1)*G25+INDEX(Symboles!$H$6:$H$101,MOD(17+$C25+(-1),$B$3)+1)*H25+INDEX(Symboles!$H$6:$H$101,MOD(17+$C25+(0),$B$3)+1)*I25+INDEX(Symboles!$H$6:$H$101,MOD(17+$C25+(1),$B$3)+1)*J25+INDEX(Symboles!$H$6:$H$101,MOD(17+$C25+(2),$B$3)+1)*K25+INDEX(Symboles!$H$6:$H$101,MOD(17+$C25+(3),$B$3)+1)*L25+INDEX(Symboles!$H$6:$H$101,MOD(17+$C25+(4),$B$3)+1)*M25+IF($B$6=0,0,$B$6*NORMSINV(0.000001+0.999998*RAND())))</f>
        <v/>
      </c>
      <c r="EA25" s="30">
        <f>IF(19&gt;$B$3,99,INDEX(Symboles!$H$6:$H$101,MOD(18+$C25+(-4),$B$3)+1)*E25+INDEX(Symboles!$H$6:$H$101,MOD(18+$C25+(-3),$B$3)+1)*F25+INDEX(Symboles!$H$6:$H$101,MOD(18+$C25+(-2),$B$3)+1)*G25+INDEX(Symboles!$H$6:$H$101,MOD(18+$C25+(-1),$B$3)+1)*H25+INDEX(Symboles!$H$6:$H$101,MOD(18+$C25+(0),$B$3)+1)*I25+INDEX(Symboles!$H$6:$H$101,MOD(18+$C25+(1),$B$3)+1)*J25+INDEX(Symboles!$H$6:$H$101,MOD(18+$C25+(2),$B$3)+1)*K25+INDEX(Symboles!$H$6:$H$101,MOD(18+$C25+(3),$B$3)+1)*L25+INDEX(Symboles!$H$6:$H$101,MOD(18+$C25+(4),$B$3)+1)*M25+IF($B$6=0,0,$B$6*NORMSINV(0.000001+0.999998*RAND())))</f>
        <v/>
      </c>
      <c r="EB25" s="30">
        <f>IF(20&gt;$B$3,99,INDEX(Symboles!$H$6:$H$101,MOD(19+$C25+(-4),$B$3)+1)*E25+INDEX(Symboles!$H$6:$H$101,MOD(19+$C25+(-3),$B$3)+1)*F25+INDEX(Symboles!$H$6:$H$101,MOD(19+$C25+(-2),$B$3)+1)*G25+INDEX(Symboles!$H$6:$H$101,MOD(19+$C25+(-1),$B$3)+1)*H25+INDEX(Symboles!$H$6:$H$101,MOD(19+$C25+(0),$B$3)+1)*I25+INDEX(Symboles!$H$6:$H$101,MOD(19+$C25+(1),$B$3)+1)*J25+INDEX(Symboles!$H$6:$H$101,MOD(19+$C25+(2),$B$3)+1)*K25+INDEX(Symboles!$H$6:$H$101,MOD(19+$C25+(3),$B$3)+1)*L25+INDEX(Symboles!$H$6:$H$101,MOD(19+$C25+(4),$B$3)+1)*M25+IF($B$6=0,0,$B$6*NORMSINV(0.000001+0.999998*RAND())))</f>
        <v/>
      </c>
      <c r="EC25" s="30">
        <f>IF(21&gt;$B$3,99,INDEX(Symboles!$H$6:$H$101,MOD(20+$C25+(-4),$B$3)+1)*E25+INDEX(Symboles!$H$6:$H$101,MOD(20+$C25+(-3),$B$3)+1)*F25+INDEX(Symboles!$H$6:$H$101,MOD(20+$C25+(-2),$B$3)+1)*G25+INDEX(Symboles!$H$6:$H$101,MOD(20+$C25+(-1),$B$3)+1)*H25+INDEX(Symboles!$H$6:$H$101,MOD(20+$C25+(0),$B$3)+1)*I25+INDEX(Symboles!$H$6:$H$101,MOD(20+$C25+(1),$B$3)+1)*J25+INDEX(Symboles!$H$6:$H$101,MOD(20+$C25+(2),$B$3)+1)*K25+INDEX(Symboles!$H$6:$H$101,MOD(20+$C25+(3),$B$3)+1)*L25+INDEX(Symboles!$H$6:$H$101,MOD(20+$C25+(4),$B$3)+1)*M25+IF($B$6=0,0,$B$6*NORMSINV(0.000001+0.999998*RAND())))</f>
        <v/>
      </c>
      <c r="ED25" s="30">
        <f>IF(22&gt;$B$3,99,INDEX(Symboles!$H$6:$H$101,MOD(21+$C25+(-4),$B$3)+1)*E25+INDEX(Symboles!$H$6:$H$101,MOD(21+$C25+(-3),$B$3)+1)*F25+INDEX(Symboles!$H$6:$H$101,MOD(21+$C25+(-2),$B$3)+1)*G25+INDEX(Symboles!$H$6:$H$101,MOD(21+$C25+(-1),$B$3)+1)*H25+INDEX(Symboles!$H$6:$H$101,MOD(21+$C25+(0),$B$3)+1)*I25+INDEX(Symboles!$H$6:$H$101,MOD(21+$C25+(1),$B$3)+1)*J25+INDEX(Symboles!$H$6:$H$101,MOD(21+$C25+(2),$B$3)+1)*K25+INDEX(Symboles!$H$6:$H$101,MOD(21+$C25+(3),$B$3)+1)*L25+INDEX(Symboles!$H$6:$H$101,MOD(21+$C25+(4),$B$3)+1)*M25+IF($B$6=0,0,$B$6*NORMSINV(0.000001+0.999998*RAND())))</f>
        <v/>
      </c>
      <c r="EE25" s="30">
        <f>IF(23&gt;$B$3,99,INDEX(Symboles!$H$6:$H$101,MOD(22+$C25+(-4),$B$3)+1)*E25+INDEX(Symboles!$H$6:$H$101,MOD(22+$C25+(-3),$B$3)+1)*F25+INDEX(Symboles!$H$6:$H$101,MOD(22+$C25+(-2),$B$3)+1)*G25+INDEX(Symboles!$H$6:$H$101,MOD(22+$C25+(-1),$B$3)+1)*H25+INDEX(Symboles!$H$6:$H$101,MOD(22+$C25+(0),$B$3)+1)*I25+INDEX(Symboles!$H$6:$H$101,MOD(22+$C25+(1),$B$3)+1)*J25+INDEX(Symboles!$H$6:$H$101,MOD(22+$C25+(2),$B$3)+1)*K25+INDEX(Symboles!$H$6:$H$101,MOD(22+$C25+(3),$B$3)+1)*L25+INDEX(Symboles!$H$6:$H$101,MOD(22+$C25+(4),$B$3)+1)*M25+IF($B$6=0,0,$B$6*NORMSINV(0.000001+0.999998*RAND())))</f>
        <v/>
      </c>
      <c r="EF25" s="30">
        <f>IF(24&gt;$B$3,99,INDEX(Symboles!$H$6:$H$101,MOD(23+$C25+(-4),$B$3)+1)*E25+INDEX(Symboles!$H$6:$H$101,MOD(23+$C25+(-3),$B$3)+1)*F25+INDEX(Symboles!$H$6:$H$101,MOD(23+$C25+(-2),$B$3)+1)*G25+INDEX(Symboles!$H$6:$H$101,MOD(23+$C25+(-1),$B$3)+1)*H25+INDEX(Symboles!$H$6:$H$101,MOD(23+$C25+(0),$B$3)+1)*I25+INDEX(Symboles!$H$6:$H$101,MOD(23+$C25+(1),$B$3)+1)*J25+INDEX(Symboles!$H$6:$H$101,MOD(23+$C25+(2),$B$3)+1)*K25+INDEX(Symboles!$H$6:$H$101,MOD(23+$C25+(3),$B$3)+1)*L25+INDEX(Symboles!$H$6:$H$101,MOD(23+$C25+(4),$B$3)+1)*M25+IF($B$6=0,0,$B$6*NORMSINV(0.000001+0.999998*RAND())))</f>
        <v/>
      </c>
      <c r="EG25" s="30">
        <f>IF(25&gt;$B$3,99,INDEX(Symboles!$H$6:$H$101,MOD(24+$C25+(-4),$B$3)+1)*E25+INDEX(Symboles!$H$6:$H$101,MOD(24+$C25+(-3),$B$3)+1)*F25+INDEX(Symboles!$H$6:$H$101,MOD(24+$C25+(-2),$B$3)+1)*G25+INDEX(Symboles!$H$6:$H$101,MOD(24+$C25+(-1),$B$3)+1)*H25+INDEX(Symboles!$H$6:$H$101,MOD(24+$C25+(0),$B$3)+1)*I25+INDEX(Symboles!$H$6:$H$101,MOD(24+$C25+(1),$B$3)+1)*J25+INDEX(Symboles!$H$6:$H$101,MOD(24+$C25+(2),$B$3)+1)*K25+INDEX(Symboles!$H$6:$H$101,MOD(24+$C25+(3),$B$3)+1)*L25+INDEX(Symboles!$H$6:$H$101,MOD(24+$C25+(4),$B$3)+1)*M25+IF($B$6=0,0,$B$6*NORMSINV(0.000001+0.999998*RAND())))</f>
        <v/>
      </c>
      <c r="EH25" s="30">
        <f>IF(26&gt;$B$3,99,INDEX(Symboles!$H$6:$H$101,MOD(25+$C25+(-4),$B$3)+1)*E25+INDEX(Symboles!$H$6:$H$101,MOD(25+$C25+(-3),$B$3)+1)*F25+INDEX(Symboles!$H$6:$H$101,MOD(25+$C25+(-2),$B$3)+1)*G25+INDEX(Symboles!$H$6:$H$101,MOD(25+$C25+(-1),$B$3)+1)*H25+INDEX(Symboles!$H$6:$H$101,MOD(25+$C25+(0),$B$3)+1)*I25+INDEX(Symboles!$H$6:$H$101,MOD(25+$C25+(1),$B$3)+1)*J25+INDEX(Symboles!$H$6:$H$101,MOD(25+$C25+(2),$B$3)+1)*K25+INDEX(Symboles!$H$6:$H$101,MOD(25+$C25+(3),$B$3)+1)*L25+INDEX(Symboles!$H$6:$H$101,MOD(25+$C25+(4),$B$3)+1)*M25+IF($B$6=0,0,$B$6*NORMSINV(0.000001+0.999998*RAND())))</f>
        <v/>
      </c>
      <c r="EI25" s="30">
        <f>IF(27&gt;$B$3,99,INDEX(Symboles!$H$6:$H$101,MOD(26+$C25+(-4),$B$3)+1)*E25+INDEX(Symboles!$H$6:$H$101,MOD(26+$C25+(-3),$B$3)+1)*F25+INDEX(Symboles!$H$6:$H$101,MOD(26+$C25+(-2),$B$3)+1)*G25+INDEX(Symboles!$H$6:$H$101,MOD(26+$C25+(-1),$B$3)+1)*H25+INDEX(Symboles!$H$6:$H$101,MOD(26+$C25+(0),$B$3)+1)*I25+INDEX(Symboles!$H$6:$H$101,MOD(26+$C25+(1),$B$3)+1)*J25+INDEX(Symboles!$H$6:$H$101,MOD(26+$C25+(2),$B$3)+1)*K25+INDEX(Symboles!$H$6:$H$101,MOD(26+$C25+(3),$B$3)+1)*L25+INDEX(Symboles!$H$6:$H$101,MOD(26+$C25+(4),$B$3)+1)*M25+IF($B$6=0,0,$B$6*NORMSINV(0.000001+0.999998*RAND())))</f>
        <v/>
      </c>
      <c r="EJ25" s="30">
        <f>IF(28&gt;$B$3,99,INDEX(Symboles!$H$6:$H$101,MOD(27+$C25+(-4),$B$3)+1)*E25+INDEX(Symboles!$H$6:$H$101,MOD(27+$C25+(-3),$B$3)+1)*F25+INDEX(Symboles!$H$6:$H$101,MOD(27+$C25+(-2),$B$3)+1)*G25+INDEX(Symboles!$H$6:$H$101,MOD(27+$C25+(-1),$B$3)+1)*H25+INDEX(Symboles!$H$6:$H$101,MOD(27+$C25+(0),$B$3)+1)*I25+INDEX(Symboles!$H$6:$H$101,MOD(27+$C25+(1),$B$3)+1)*J25+INDEX(Symboles!$H$6:$H$101,MOD(27+$C25+(2),$B$3)+1)*K25+INDEX(Symboles!$H$6:$H$101,MOD(27+$C25+(3),$B$3)+1)*L25+INDEX(Symboles!$H$6:$H$101,MOD(27+$C25+(4),$B$3)+1)*M25+IF($B$6=0,0,$B$6*NORMSINV(0.000001+0.999998*RAND())))</f>
        <v/>
      </c>
      <c r="EK25" s="30">
        <f>IF(29&gt;$B$3,99,INDEX(Symboles!$H$6:$H$101,MOD(28+$C25+(-4),$B$3)+1)*E25+INDEX(Symboles!$H$6:$H$101,MOD(28+$C25+(-3),$B$3)+1)*F25+INDEX(Symboles!$H$6:$H$101,MOD(28+$C25+(-2),$B$3)+1)*G25+INDEX(Symboles!$H$6:$H$101,MOD(28+$C25+(-1),$B$3)+1)*H25+INDEX(Symboles!$H$6:$H$101,MOD(28+$C25+(0),$B$3)+1)*I25+INDEX(Symboles!$H$6:$H$101,MOD(28+$C25+(1),$B$3)+1)*J25+INDEX(Symboles!$H$6:$H$101,MOD(28+$C25+(2),$B$3)+1)*K25+INDEX(Symboles!$H$6:$H$101,MOD(28+$C25+(3),$B$3)+1)*L25+INDEX(Symboles!$H$6:$H$101,MOD(28+$C25+(4),$B$3)+1)*M25+IF($B$6=0,0,$B$6*NORMSINV(0.000001+0.999998*RAND())))</f>
        <v/>
      </c>
      <c r="EL25" s="30">
        <f>IF(30&gt;$B$3,99,INDEX(Symboles!$H$6:$H$101,MOD(29+$C25+(-4),$B$3)+1)*E25+INDEX(Symboles!$H$6:$H$101,MOD(29+$C25+(-3),$B$3)+1)*F25+INDEX(Symboles!$H$6:$H$101,MOD(29+$C25+(-2),$B$3)+1)*G25+INDEX(Symboles!$H$6:$H$101,MOD(29+$C25+(-1),$B$3)+1)*H25+INDEX(Symboles!$H$6:$H$101,MOD(29+$C25+(0),$B$3)+1)*I25+INDEX(Symboles!$H$6:$H$101,MOD(29+$C25+(1),$B$3)+1)*J25+INDEX(Symboles!$H$6:$H$101,MOD(29+$C25+(2),$B$3)+1)*K25+INDEX(Symboles!$H$6:$H$101,MOD(29+$C25+(3),$B$3)+1)*L25+INDEX(Symboles!$H$6:$H$101,MOD(29+$C25+(4),$B$3)+1)*M25+IF($B$6=0,0,$B$6*NORMSINV(0.000001+0.999998*RAND())))</f>
        <v/>
      </c>
      <c r="EM25" s="30">
        <f>IF(31&gt;$B$3,99,INDEX(Symboles!$H$6:$H$101,MOD(30+$C25+(-4),$B$3)+1)*E25+INDEX(Symboles!$H$6:$H$101,MOD(30+$C25+(-3),$B$3)+1)*F25+INDEX(Symboles!$H$6:$H$101,MOD(30+$C25+(-2),$B$3)+1)*G25+INDEX(Symboles!$H$6:$H$101,MOD(30+$C25+(-1),$B$3)+1)*H25+INDEX(Symboles!$H$6:$H$101,MOD(30+$C25+(0),$B$3)+1)*I25+INDEX(Symboles!$H$6:$H$101,MOD(30+$C25+(1),$B$3)+1)*J25+INDEX(Symboles!$H$6:$H$101,MOD(30+$C25+(2),$B$3)+1)*K25+INDEX(Symboles!$H$6:$H$101,MOD(30+$C25+(3),$B$3)+1)*L25+INDEX(Symboles!$H$6:$H$101,MOD(30+$C25+(4),$B$3)+1)*M25+IF($B$6=0,0,$B$6*NORMSINV(0.000001+0.999998*RAND())))</f>
        <v/>
      </c>
      <c r="EN25" s="30">
        <f>IF(32&gt;$B$3,99,INDEX(Symboles!$H$6:$H$101,MOD(31+$C25+(-4),$B$3)+1)*E25+INDEX(Symboles!$H$6:$H$101,MOD(31+$C25+(-3),$B$3)+1)*F25+INDEX(Symboles!$H$6:$H$101,MOD(31+$C25+(-2),$B$3)+1)*G25+INDEX(Symboles!$H$6:$H$101,MOD(31+$C25+(-1),$B$3)+1)*H25+INDEX(Symboles!$H$6:$H$101,MOD(31+$C25+(0),$B$3)+1)*I25+INDEX(Symboles!$H$6:$H$101,MOD(31+$C25+(1),$B$3)+1)*J25+INDEX(Symboles!$H$6:$H$101,MOD(31+$C25+(2),$B$3)+1)*K25+INDEX(Symboles!$H$6:$H$101,MOD(31+$C25+(3),$B$3)+1)*L25+INDEX(Symboles!$H$6:$H$101,MOD(31+$C25+(4),$B$3)+1)*M25+IF($B$6=0,0,$B$6*NORMSINV(0.000001+0.999998*RAND())))</f>
        <v/>
      </c>
      <c r="EO25" s="30">
        <f>IF(33&gt;$B$3,99,INDEX(Symboles!$H$6:$H$101,MOD(32+$C25+(-4),$B$3)+1)*E25+INDEX(Symboles!$H$6:$H$101,MOD(32+$C25+(-3),$B$3)+1)*F25+INDEX(Symboles!$H$6:$H$101,MOD(32+$C25+(-2),$B$3)+1)*G25+INDEX(Symboles!$H$6:$H$101,MOD(32+$C25+(-1),$B$3)+1)*H25+INDEX(Symboles!$H$6:$H$101,MOD(32+$C25+(0),$B$3)+1)*I25+INDEX(Symboles!$H$6:$H$101,MOD(32+$C25+(1),$B$3)+1)*J25+INDEX(Symboles!$H$6:$H$101,MOD(32+$C25+(2),$B$3)+1)*K25+INDEX(Symboles!$H$6:$H$101,MOD(32+$C25+(3),$B$3)+1)*L25+INDEX(Symboles!$H$6:$H$101,MOD(32+$C25+(4),$B$3)+1)*M25+IF($B$6=0,0,$B$6*NORMSINV(0.000001+0.999998*RAND())))</f>
        <v/>
      </c>
      <c r="EP25" s="30">
        <f>IF(34&gt;$B$3,99,INDEX(Symboles!$H$6:$H$101,MOD(33+$C25+(-4),$B$3)+1)*E25+INDEX(Symboles!$H$6:$H$101,MOD(33+$C25+(-3),$B$3)+1)*F25+INDEX(Symboles!$H$6:$H$101,MOD(33+$C25+(-2),$B$3)+1)*G25+INDEX(Symboles!$H$6:$H$101,MOD(33+$C25+(-1),$B$3)+1)*H25+INDEX(Symboles!$H$6:$H$101,MOD(33+$C25+(0),$B$3)+1)*I25+INDEX(Symboles!$H$6:$H$101,MOD(33+$C25+(1),$B$3)+1)*J25+INDEX(Symboles!$H$6:$H$101,MOD(33+$C25+(2),$B$3)+1)*K25+INDEX(Symboles!$H$6:$H$101,MOD(33+$C25+(3),$B$3)+1)*L25+INDEX(Symboles!$H$6:$H$101,MOD(33+$C25+(4),$B$3)+1)*M25+IF($B$6=0,0,$B$6*NORMSINV(0.000001+0.999998*RAND())))</f>
        <v/>
      </c>
      <c r="EQ25" s="30">
        <f>IF(35&gt;$B$3,99,INDEX(Symboles!$H$6:$H$101,MOD(34+$C25+(-4),$B$3)+1)*E25+INDEX(Symboles!$H$6:$H$101,MOD(34+$C25+(-3),$B$3)+1)*F25+INDEX(Symboles!$H$6:$H$101,MOD(34+$C25+(-2),$B$3)+1)*G25+INDEX(Symboles!$H$6:$H$101,MOD(34+$C25+(-1),$B$3)+1)*H25+INDEX(Symboles!$H$6:$H$101,MOD(34+$C25+(0),$B$3)+1)*I25+INDEX(Symboles!$H$6:$H$101,MOD(34+$C25+(1),$B$3)+1)*J25+INDEX(Symboles!$H$6:$H$101,MOD(34+$C25+(2),$B$3)+1)*K25+INDEX(Symboles!$H$6:$H$101,MOD(34+$C25+(3),$B$3)+1)*L25+INDEX(Symboles!$H$6:$H$101,MOD(34+$C25+(4),$B$3)+1)*M25+IF($B$6=0,0,$B$6*NORMSINV(0.000001+0.999998*RAND())))</f>
        <v/>
      </c>
      <c r="ER25" s="30">
        <f>IF(36&gt;$B$3,99,INDEX(Symboles!$H$6:$H$101,MOD(35+$C25+(-4),$B$3)+1)*E25+INDEX(Symboles!$H$6:$H$101,MOD(35+$C25+(-3),$B$3)+1)*F25+INDEX(Symboles!$H$6:$H$101,MOD(35+$C25+(-2),$B$3)+1)*G25+INDEX(Symboles!$H$6:$H$101,MOD(35+$C25+(-1),$B$3)+1)*H25+INDEX(Symboles!$H$6:$H$101,MOD(35+$C25+(0),$B$3)+1)*I25+INDEX(Symboles!$H$6:$H$101,MOD(35+$C25+(1),$B$3)+1)*J25+INDEX(Symboles!$H$6:$H$101,MOD(35+$C25+(2),$B$3)+1)*K25+INDEX(Symboles!$H$6:$H$101,MOD(35+$C25+(3),$B$3)+1)*L25+INDEX(Symboles!$H$6:$H$101,MOD(35+$C25+(4),$B$3)+1)*M25+IF($B$6=0,0,$B$6*NORMSINV(0.000001+0.999998*RAND())))</f>
        <v/>
      </c>
      <c r="ES25" s="30">
        <f>IF(37&gt;$B$3,99,INDEX(Symboles!$H$6:$H$101,MOD(36+$C25+(-4),$B$3)+1)*E25+INDEX(Symboles!$H$6:$H$101,MOD(36+$C25+(-3),$B$3)+1)*F25+INDEX(Symboles!$H$6:$H$101,MOD(36+$C25+(-2),$B$3)+1)*G25+INDEX(Symboles!$H$6:$H$101,MOD(36+$C25+(-1),$B$3)+1)*H25+INDEX(Symboles!$H$6:$H$101,MOD(36+$C25+(0),$B$3)+1)*I25+INDEX(Symboles!$H$6:$H$101,MOD(36+$C25+(1),$B$3)+1)*J25+INDEX(Symboles!$H$6:$H$101,MOD(36+$C25+(2),$B$3)+1)*K25+INDEX(Symboles!$H$6:$H$101,MOD(36+$C25+(3),$B$3)+1)*L25+INDEX(Symboles!$H$6:$H$101,MOD(36+$C25+(4),$B$3)+1)*M25+IF($B$6=0,0,$B$6*NORMSINV(0.000001+0.999998*RAND())))</f>
        <v/>
      </c>
      <c r="ET25" s="30">
        <f>IF(38&gt;$B$3,99,INDEX(Symboles!$H$6:$H$101,MOD(37+$C25+(-4),$B$3)+1)*E25+INDEX(Symboles!$H$6:$H$101,MOD(37+$C25+(-3),$B$3)+1)*F25+INDEX(Symboles!$H$6:$H$101,MOD(37+$C25+(-2),$B$3)+1)*G25+INDEX(Symboles!$H$6:$H$101,MOD(37+$C25+(-1),$B$3)+1)*H25+INDEX(Symboles!$H$6:$H$101,MOD(37+$C25+(0),$B$3)+1)*I25+INDEX(Symboles!$H$6:$H$101,MOD(37+$C25+(1),$B$3)+1)*J25+INDEX(Symboles!$H$6:$H$101,MOD(37+$C25+(2),$B$3)+1)*K25+INDEX(Symboles!$H$6:$H$101,MOD(37+$C25+(3),$B$3)+1)*L25+INDEX(Symboles!$H$6:$H$101,MOD(37+$C25+(4),$B$3)+1)*M25+IF($B$6=0,0,$B$6*NORMSINV(0.000001+0.999998*RAND())))</f>
        <v/>
      </c>
      <c r="EU25" s="30">
        <f>IF(39&gt;$B$3,99,INDEX(Symboles!$H$6:$H$101,MOD(38+$C25+(-4),$B$3)+1)*E25+INDEX(Symboles!$H$6:$H$101,MOD(38+$C25+(-3),$B$3)+1)*F25+INDEX(Symboles!$H$6:$H$101,MOD(38+$C25+(-2),$B$3)+1)*G25+INDEX(Symboles!$H$6:$H$101,MOD(38+$C25+(-1),$B$3)+1)*H25+INDEX(Symboles!$H$6:$H$101,MOD(38+$C25+(0),$B$3)+1)*I25+INDEX(Symboles!$H$6:$H$101,MOD(38+$C25+(1),$B$3)+1)*J25+INDEX(Symboles!$H$6:$H$101,MOD(38+$C25+(2),$B$3)+1)*K25+INDEX(Symboles!$H$6:$H$101,MOD(38+$C25+(3),$B$3)+1)*L25+INDEX(Symboles!$H$6:$H$101,MOD(38+$C25+(4),$B$3)+1)*M25+IF($B$6=0,0,$B$6*NORMSINV(0.000001+0.999998*RAND())))</f>
        <v/>
      </c>
      <c r="EV25" s="30">
        <f>IF(40&gt;$B$3,99,INDEX(Symboles!$H$6:$H$101,MOD(39+$C25+(-4),$B$3)+1)*E25+INDEX(Symboles!$H$6:$H$101,MOD(39+$C25+(-3),$B$3)+1)*F25+INDEX(Symboles!$H$6:$H$101,MOD(39+$C25+(-2),$B$3)+1)*G25+INDEX(Symboles!$H$6:$H$101,MOD(39+$C25+(-1),$B$3)+1)*H25+INDEX(Symboles!$H$6:$H$101,MOD(39+$C25+(0),$B$3)+1)*I25+INDEX(Symboles!$H$6:$H$101,MOD(39+$C25+(1),$B$3)+1)*J25+INDEX(Symboles!$H$6:$H$101,MOD(39+$C25+(2),$B$3)+1)*K25+INDEX(Symboles!$H$6:$H$101,MOD(39+$C25+(3),$B$3)+1)*L25+INDEX(Symboles!$H$6:$H$101,MOD(39+$C25+(4),$B$3)+1)*M25+IF($B$6=0,0,$B$6*NORMSINV(0.000001+0.999998*RAND())))</f>
        <v/>
      </c>
      <c r="EW25" s="30">
        <f>IF(41&gt;$B$3,99,INDEX(Symboles!$H$6:$H$101,MOD(40+$C25+(-4),$B$3)+1)*E25+INDEX(Symboles!$H$6:$H$101,MOD(40+$C25+(-3),$B$3)+1)*F25+INDEX(Symboles!$H$6:$H$101,MOD(40+$C25+(-2),$B$3)+1)*G25+INDEX(Symboles!$H$6:$H$101,MOD(40+$C25+(-1),$B$3)+1)*H25+INDEX(Symboles!$H$6:$H$101,MOD(40+$C25+(0),$B$3)+1)*I25+INDEX(Symboles!$H$6:$H$101,MOD(40+$C25+(1),$B$3)+1)*J25+INDEX(Symboles!$H$6:$H$101,MOD(40+$C25+(2),$B$3)+1)*K25+INDEX(Symboles!$H$6:$H$101,MOD(40+$C25+(3),$B$3)+1)*L25+INDEX(Symboles!$H$6:$H$101,MOD(40+$C25+(4),$B$3)+1)*M25+IF($B$6=0,0,$B$6*NORMSINV(0.000001+0.999998*RAND())))</f>
        <v/>
      </c>
      <c r="EX25" s="30">
        <f>IF(42&gt;$B$3,99,INDEX(Symboles!$H$6:$H$101,MOD(41+$C25+(-4),$B$3)+1)*E25+INDEX(Symboles!$H$6:$H$101,MOD(41+$C25+(-3),$B$3)+1)*F25+INDEX(Symboles!$H$6:$H$101,MOD(41+$C25+(-2),$B$3)+1)*G25+INDEX(Symboles!$H$6:$H$101,MOD(41+$C25+(-1),$B$3)+1)*H25+INDEX(Symboles!$H$6:$H$101,MOD(41+$C25+(0),$B$3)+1)*I25+INDEX(Symboles!$H$6:$H$101,MOD(41+$C25+(1),$B$3)+1)*J25+INDEX(Symboles!$H$6:$H$101,MOD(41+$C25+(2),$B$3)+1)*K25+INDEX(Symboles!$H$6:$H$101,MOD(41+$C25+(3),$B$3)+1)*L25+INDEX(Symboles!$H$6:$H$101,MOD(41+$C25+(4),$B$3)+1)*M25+IF($B$6=0,0,$B$6*NORMSINV(0.000001+0.999998*RAND())))</f>
        <v/>
      </c>
      <c r="EY25" s="30">
        <f>IF(43&gt;$B$3,99,INDEX(Symboles!$H$6:$H$101,MOD(42+$C25+(-4),$B$3)+1)*E25+INDEX(Symboles!$H$6:$H$101,MOD(42+$C25+(-3),$B$3)+1)*F25+INDEX(Symboles!$H$6:$H$101,MOD(42+$C25+(-2),$B$3)+1)*G25+INDEX(Symboles!$H$6:$H$101,MOD(42+$C25+(-1),$B$3)+1)*H25+INDEX(Symboles!$H$6:$H$101,MOD(42+$C25+(0),$B$3)+1)*I25+INDEX(Symboles!$H$6:$H$101,MOD(42+$C25+(1),$B$3)+1)*J25+INDEX(Symboles!$H$6:$H$101,MOD(42+$C25+(2),$B$3)+1)*K25+INDEX(Symboles!$H$6:$H$101,MOD(42+$C25+(3),$B$3)+1)*L25+INDEX(Symboles!$H$6:$H$101,MOD(42+$C25+(4),$B$3)+1)*M25+IF($B$6=0,0,$B$6*NORMSINV(0.000001+0.999998*RAND())))</f>
        <v/>
      </c>
      <c r="EZ25" s="30">
        <f>IF(44&gt;$B$3,99,INDEX(Symboles!$H$6:$H$101,MOD(43+$C25+(-4),$B$3)+1)*E25+INDEX(Symboles!$H$6:$H$101,MOD(43+$C25+(-3),$B$3)+1)*F25+INDEX(Symboles!$H$6:$H$101,MOD(43+$C25+(-2),$B$3)+1)*G25+INDEX(Symboles!$H$6:$H$101,MOD(43+$C25+(-1),$B$3)+1)*H25+INDEX(Symboles!$H$6:$H$101,MOD(43+$C25+(0),$B$3)+1)*I25+INDEX(Symboles!$H$6:$H$101,MOD(43+$C25+(1),$B$3)+1)*J25+INDEX(Symboles!$H$6:$H$101,MOD(43+$C25+(2),$B$3)+1)*K25+INDEX(Symboles!$H$6:$H$101,MOD(43+$C25+(3),$B$3)+1)*L25+INDEX(Symboles!$H$6:$H$101,MOD(43+$C25+(4),$B$3)+1)*M25+IF($B$6=0,0,$B$6*NORMSINV(0.000001+0.999998*RAND())))</f>
        <v/>
      </c>
      <c r="FA25" s="30">
        <f>IF(45&gt;$B$3,99,INDEX(Symboles!$H$6:$H$101,MOD(44+$C25+(-4),$B$3)+1)*E25+INDEX(Symboles!$H$6:$H$101,MOD(44+$C25+(-3),$B$3)+1)*F25+INDEX(Symboles!$H$6:$H$101,MOD(44+$C25+(-2),$B$3)+1)*G25+INDEX(Symboles!$H$6:$H$101,MOD(44+$C25+(-1),$B$3)+1)*H25+INDEX(Symboles!$H$6:$H$101,MOD(44+$C25+(0),$B$3)+1)*I25+INDEX(Symboles!$H$6:$H$101,MOD(44+$C25+(1),$B$3)+1)*J25+INDEX(Symboles!$H$6:$H$101,MOD(44+$C25+(2),$B$3)+1)*K25+INDEX(Symboles!$H$6:$H$101,MOD(44+$C25+(3),$B$3)+1)*L25+INDEX(Symboles!$H$6:$H$101,MOD(44+$C25+(4),$B$3)+1)*M25+IF($B$6=0,0,$B$6*NORMSINV(0.000001+0.999998*RAND())))</f>
        <v/>
      </c>
      <c r="FB25" s="30">
        <f>IF(46&gt;$B$3,99,INDEX(Symboles!$H$6:$H$101,MOD(45+$C25+(-4),$B$3)+1)*E25+INDEX(Symboles!$H$6:$H$101,MOD(45+$C25+(-3),$B$3)+1)*F25+INDEX(Symboles!$H$6:$H$101,MOD(45+$C25+(-2),$B$3)+1)*G25+INDEX(Symboles!$H$6:$H$101,MOD(45+$C25+(-1),$B$3)+1)*H25+INDEX(Symboles!$H$6:$H$101,MOD(45+$C25+(0),$B$3)+1)*I25+INDEX(Symboles!$H$6:$H$101,MOD(45+$C25+(1),$B$3)+1)*J25+INDEX(Symboles!$H$6:$H$101,MOD(45+$C25+(2),$B$3)+1)*K25+INDEX(Symboles!$H$6:$H$101,MOD(45+$C25+(3),$B$3)+1)*L25+INDEX(Symboles!$H$6:$H$101,MOD(45+$C25+(4),$B$3)+1)*M25+IF($B$6=0,0,$B$6*NORMSINV(0.000001+0.999998*RAND())))</f>
        <v/>
      </c>
      <c r="FC25" s="30">
        <f>IF(47&gt;$B$3,99,INDEX(Symboles!$H$6:$H$101,MOD(46+$C25+(-4),$B$3)+1)*E25+INDEX(Symboles!$H$6:$H$101,MOD(46+$C25+(-3),$B$3)+1)*F25+INDEX(Symboles!$H$6:$H$101,MOD(46+$C25+(-2),$B$3)+1)*G25+INDEX(Symboles!$H$6:$H$101,MOD(46+$C25+(-1),$B$3)+1)*H25+INDEX(Symboles!$H$6:$H$101,MOD(46+$C25+(0),$B$3)+1)*I25+INDEX(Symboles!$H$6:$H$101,MOD(46+$C25+(1),$B$3)+1)*J25+INDEX(Symboles!$H$6:$H$101,MOD(46+$C25+(2),$B$3)+1)*K25+INDEX(Symboles!$H$6:$H$101,MOD(46+$C25+(3),$B$3)+1)*L25+INDEX(Symboles!$H$6:$H$101,MOD(46+$C25+(4),$B$3)+1)*M25+IF($B$6=0,0,$B$6*NORMSINV(0.000001+0.999998*RAND())))</f>
        <v/>
      </c>
      <c r="FD25" s="30">
        <f>IF(48&gt;$B$3,99,INDEX(Symboles!$H$6:$H$101,MOD(47+$C25+(-4),$B$3)+1)*E25+INDEX(Symboles!$H$6:$H$101,MOD(47+$C25+(-3),$B$3)+1)*F25+INDEX(Symboles!$H$6:$H$101,MOD(47+$C25+(-2),$B$3)+1)*G25+INDEX(Symboles!$H$6:$H$101,MOD(47+$C25+(-1),$B$3)+1)*H25+INDEX(Symboles!$H$6:$H$101,MOD(47+$C25+(0),$B$3)+1)*I25+INDEX(Symboles!$H$6:$H$101,MOD(47+$C25+(1),$B$3)+1)*J25+INDEX(Symboles!$H$6:$H$101,MOD(47+$C25+(2),$B$3)+1)*K25+INDEX(Symboles!$H$6:$H$101,MOD(47+$C25+(3),$B$3)+1)*L25+INDEX(Symboles!$H$6:$H$101,MOD(47+$C25+(4),$B$3)+1)*M25+IF($B$6=0,0,$B$6*NORMSINV(0.000001+0.999998*RAND())))</f>
        <v/>
      </c>
      <c r="FE25" s="30">
        <f>IF(49&gt;$B$3,99,INDEX(Symboles!$H$6:$H$101,MOD(48+$C25+(-4),$B$3)+1)*E25+INDEX(Symboles!$H$6:$H$101,MOD(48+$C25+(-3),$B$3)+1)*F25+INDEX(Symboles!$H$6:$H$101,MOD(48+$C25+(-2),$B$3)+1)*G25+INDEX(Symboles!$H$6:$H$101,MOD(48+$C25+(-1),$B$3)+1)*H25+INDEX(Symboles!$H$6:$H$101,MOD(48+$C25+(0),$B$3)+1)*I25+INDEX(Symboles!$H$6:$H$101,MOD(48+$C25+(1),$B$3)+1)*J25+INDEX(Symboles!$H$6:$H$101,MOD(48+$C25+(2),$B$3)+1)*K25+INDEX(Symboles!$H$6:$H$101,MOD(48+$C25+(3),$B$3)+1)*L25+INDEX(Symboles!$H$6:$H$101,MOD(48+$C25+(4),$B$3)+1)*M25+IF($B$6=0,0,$B$6*NORMSINV(0.000001+0.999998*RAND())))</f>
        <v/>
      </c>
      <c r="FF25" s="30">
        <f>IF(50&gt;$B$3,99,INDEX(Symboles!$H$6:$H$101,MOD(49+$C25+(-4),$B$3)+1)*E25+INDEX(Symboles!$H$6:$H$101,MOD(49+$C25+(-3),$B$3)+1)*F25+INDEX(Symboles!$H$6:$H$101,MOD(49+$C25+(-2),$B$3)+1)*G25+INDEX(Symboles!$H$6:$H$101,MOD(49+$C25+(-1),$B$3)+1)*H25+INDEX(Symboles!$H$6:$H$101,MOD(49+$C25+(0),$B$3)+1)*I25+INDEX(Symboles!$H$6:$H$101,MOD(49+$C25+(1),$B$3)+1)*J25+INDEX(Symboles!$H$6:$H$101,MOD(49+$C25+(2),$B$3)+1)*K25+INDEX(Symboles!$H$6:$H$101,MOD(49+$C25+(3),$B$3)+1)*L25+INDEX(Symboles!$H$6:$H$101,MOD(49+$C25+(4),$B$3)+1)*M25+IF($B$6=0,0,$B$6*NORMSINV(0.000001+0.999998*RAND())))</f>
        <v/>
      </c>
      <c r="FG25" s="30">
        <f>IF(51&gt;$B$3,99,INDEX(Symboles!$H$6:$H$101,MOD(50+$C25+(-4),$B$3)+1)*E25+INDEX(Symboles!$H$6:$H$101,MOD(50+$C25+(-3),$B$3)+1)*F25+INDEX(Symboles!$H$6:$H$101,MOD(50+$C25+(-2),$B$3)+1)*G25+INDEX(Symboles!$H$6:$H$101,MOD(50+$C25+(-1),$B$3)+1)*H25+INDEX(Symboles!$H$6:$H$101,MOD(50+$C25+(0),$B$3)+1)*I25+INDEX(Symboles!$H$6:$H$101,MOD(50+$C25+(1),$B$3)+1)*J25+INDEX(Symboles!$H$6:$H$101,MOD(50+$C25+(2),$B$3)+1)*K25+INDEX(Symboles!$H$6:$H$101,MOD(50+$C25+(3),$B$3)+1)*L25+INDEX(Symboles!$H$6:$H$101,MOD(50+$C25+(4),$B$3)+1)*M25+IF($B$6=0,0,$B$6*NORMSINV(0.000001+0.999998*RAND())))</f>
        <v/>
      </c>
      <c r="FH25" s="30">
        <f>IF(52&gt;$B$3,99,INDEX(Symboles!$H$6:$H$101,MOD(51+$C25+(-4),$B$3)+1)*E25+INDEX(Symboles!$H$6:$H$101,MOD(51+$C25+(-3),$B$3)+1)*F25+INDEX(Symboles!$H$6:$H$101,MOD(51+$C25+(-2),$B$3)+1)*G25+INDEX(Symboles!$H$6:$H$101,MOD(51+$C25+(-1),$B$3)+1)*H25+INDEX(Symboles!$H$6:$H$101,MOD(51+$C25+(0),$B$3)+1)*I25+INDEX(Symboles!$H$6:$H$101,MOD(51+$C25+(1),$B$3)+1)*J25+INDEX(Symboles!$H$6:$H$101,MOD(51+$C25+(2),$B$3)+1)*K25+INDEX(Symboles!$H$6:$H$101,MOD(51+$C25+(3),$B$3)+1)*L25+INDEX(Symboles!$H$6:$H$101,MOD(51+$C25+(4),$B$3)+1)*M25+IF($B$6=0,0,$B$6*NORMSINV(0.000001+0.999998*RAND())))</f>
        <v/>
      </c>
      <c r="FI25" s="30">
        <f>IF(53&gt;$B$3,99,INDEX(Symboles!$H$6:$H$101,MOD(52+$C25+(-4),$B$3)+1)*E25+INDEX(Symboles!$H$6:$H$101,MOD(52+$C25+(-3),$B$3)+1)*F25+INDEX(Symboles!$H$6:$H$101,MOD(52+$C25+(-2),$B$3)+1)*G25+INDEX(Symboles!$H$6:$H$101,MOD(52+$C25+(-1),$B$3)+1)*H25+INDEX(Symboles!$H$6:$H$101,MOD(52+$C25+(0),$B$3)+1)*I25+INDEX(Symboles!$H$6:$H$101,MOD(52+$C25+(1),$B$3)+1)*J25+INDEX(Symboles!$H$6:$H$101,MOD(52+$C25+(2),$B$3)+1)*K25+INDEX(Symboles!$H$6:$H$101,MOD(52+$C25+(3),$B$3)+1)*L25+INDEX(Symboles!$H$6:$H$101,MOD(52+$C25+(4),$B$3)+1)*M25+IF($B$6=0,0,$B$6*NORMSINV(0.000001+0.999998*RAND())))</f>
        <v/>
      </c>
      <c r="FJ25" s="30">
        <f>IF(54&gt;$B$3,99,INDEX(Symboles!$H$6:$H$101,MOD(53+$C25+(-4),$B$3)+1)*E25+INDEX(Symboles!$H$6:$H$101,MOD(53+$C25+(-3),$B$3)+1)*F25+INDEX(Symboles!$H$6:$H$101,MOD(53+$C25+(-2),$B$3)+1)*G25+INDEX(Symboles!$H$6:$H$101,MOD(53+$C25+(-1),$B$3)+1)*H25+INDEX(Symboles!$H$6:$H$101,MOD(53+$C25+(0),$B$3)+1)*I25+INDEX(Symboles!$H$6:$H$101,MOD(53+$C25+(1),$B$3)+1)*J25+INDEX(Symboles!$H$6:$H$101,MOD(53+$C25+(2),$B$3)+1)*K25+INDEX(Symboles!$H$6:$H$101,MOD(53+$C25+(3),$B$3)+1)*L25+INDEX(Symboles!$H$6:$H$101,MOD(53+$C25+(4),$B$3)+1)*M25+IF($B$6=0,0,$B$6*NORMSINV(0.000001+0.999998*RAND())))</f>
        <v/>
      </c>
      <c r="FK25" s="30">
        <f>IF(55&gt;$B$3,99,INDEX(Symboles!$H$6:$H$101,MOD(54+$C25+(-4),$B$3)+1)*E25+INDEX(Symboles!$H$6:$H$101,MOD(54+$C25+(-3),$B$3)+1)*F25+INDEX(Symboles!$H$6:$H$101,MOD(54+$C25+(-2),$B$3)+1)*G25+INDEX(Symboles!$H$6:$H$101,MOD(54+$C25+(-1),$B$3)+1)*H25+INDEX(Symboles!$H$6:$H$101,MOD(54+$C25+(0),$B$3)+1)*I25+INDEX(Symboles!$H$6:$H$101,MOD(54+$C25+(1),$B$3)+1)*J25+INDEX(Symboles!$H$6:$H$101,MOD(54+$C25+(2),$B$3)+1)*K25+INDEX(Symboles!$H$6:$H$101,MOD(54+$C25+(3),$B$3)+1)*L25+INDEX(Symboles!$H$6:$H$101,MOD(54+$C25+(4),$B$3)+1)*M25+IF($B$6=0,0,$B$6*NORMSINV(0.000001+0.999998*RAND())))</f>
        <v/>
      </c>
      <c r="FL25" s="30">
        <f>IF(56&gt;$B$3,99,INDEX(Symboles!$H$6:$H$101,MOD(55+$C25+(-4),$B$3)+1)*E25+INDEX(Symboles!$H$6:$H$101,MOD(55+$C25+(-3),$B$3)+1)*F25+INDEX(Symboles!$H$6:$H$101,MOD(55+$C25+(-2),$B$3)+1)*G25+INDEX(Symboles!$H$6:$H$101,MOD(55+$C25+(-1),$B$3)+1)*H25+INDEX(Symboles!$H$6:$H$101,MOD(55+$C25+(0),$B$3)+1)*I25+INDEX(Symboles!$H$6:$H$101,MOD(55+$C25+(1),$B$3)+1)*J25+INDEX(Symboles!$H$6:$H$101,MOD(55+$C25+(2),$B$3)+1)*K25+INDEX(Symboles!$H$6:$H$101,MOD(55+$C25+(3),$B$3)+1)*L25+INDEX(Symboles!$H$6:$H$101,MOD(55+$C25+(4),$B$3)+1)*M25+IF($B$6=0,0,$B$6*NORMSINV(0.000001+0.999998*RAND())))</f>
        <v/>
      </c>
      <c r="FM25" s="30">
        <f>IF(57&gt;$B$3,99,INDEX(Symboles!$H$6:$H$101,MOD(56+$C25+(-4),$B$3)+1)*E25+INDEX(Symboles!$H$6:$H$101,MOD(56+$C25+(-3),$B$3)+1)*F25+INDEX(Symboles!$H$6:$H$101,MOD(56+$C25+(-2),$B$3)+1)*G25+INDEX(Symboles!$H$6:$H$101,MOD(56+$C25+(-1),$B$3)+1)*H25+INDEX(Symboles!$H$6:$H$101,MOD(56+$C25+(0),$B$3)+1)*I25+INDEX(Symboles!$H$6:$H$101,MOD(56+$C25+(1),$B$3)+1)*J25+INDEX(Symboles!$H$6:$H$101,MOD(56+$C25+(2),$B$3)+1)*K25+INDEX(Symboles!$H$6:$H$101,MOD(56+$C25+(3),$B$3)+1)*L25+INDEX(Symboles!$H$6:$H$101,MOD(56+$C25+(4),$B$3)+1)*M25+IF($B$6=0,0,$B$6*NORMSINV(0.000001+0.999998*RAND())))</f>
        <v/>
      </c>
      <c r="FN25" s="30">
        <f>IF(58&gt;$B$3,99,INDEX(Symboles!$H$6:$H$101,MOD(57+$C25+(-4),$B$3)+1)*E25+INDEX(Symboles!$H$6:$H$101,MOD(57+$C25+(-3),$B$3)+1)*F25+INDEX(Symboles!$H$6:$H$101,MOD(57+$C25+(-2),$B$3)+1)*G25+INDEX(Symboles!$H$6:$H$101,MOD(57+$C25+(-1),$B$3)+1)*H25+INDEX(Symboles!$H$6:$H$101,MOD(57+$C25+(0),$B$3)+1)*I25+INDEX(Symboles!$H$6:$H$101,MOD(57+$C25+(1),$B$3)+1)*J25+INDEX(Symboles!$H$6:$H$101,MOD(57+$C25+(2),$B$3)+1)*K25+INDEX(Symboles!$H$6:$H$101,MOD(57+$C25+(3),$B$3)+1)*L25+INDEX(Symboles!$H$6:$H$101,MOD(57+$C25+(4),$B$3)+1)*M25+IF($B$6=0,0,$B$6*NORMSINV(0.000001+0.999998*RAND())))</f>
        <v/>
      </c>
      <c r="FO25" s="30">
        <f>IF(59&gt;$B$3,99,INDEX(Symboles!$H$6:$H$101,MOD(58+$C25+(-4),$B$3)+1)*E25+INDEX(Symboles!$H$6:$H$101,MOD(58+$C25+(-3),$B$3)+1)*F25+INDEX(Symboles!$H$6:$H$101,MOD(58+$C25+(-2),$B$3)+1)*G25+INDEX(Symboles!$H$6:$H$101,MOD(58+$C25+(-1),$B$3)+1)*H25+INDEX(Symboles!$H$6:$H$101,MOD(58+$C25+(0),$B$3)+1)*I25+INDEX(Symboles!$H$6:$H$101,MOD(58+$C25+(1),$B$3)+1)*J25+INDEX(Symboles!$H$6:$H$101,MOD(58+$C25+(2),$B$3)+1)*K25+INDEX(Symboles!$H$6:$H$101,MOD(58+$C25+(3),$B$3)+1)*L25+INDEX(Symboles!$H$6:$H$101,MOD(58+$C25+(4),$B$3)+1)*M25+IF($B$6=0,0,$B$6*NORMSINV(0.000001+0.999998*RAND())))</f>
        <v/>
      </c>
      <c r="FP25" s="30">
        <f>IF(60&gt;$B$3,99,INDEX(Symboles!$H$6:$H$101,MOD(59+$C25+(-4),$B$3)+1)*E25+INDEX(Symboles!$H$6:$H$101,MOD(59+$C25+(-3),$B$3)+1)*F25+INDEX(Symboles!$H$6:$H$101,MOD(59+$C25+(-2),$B$3)+1)*G25+INDEX(Symboles!$H$6:$H$101,MOD(59+$C25+(-1),$B$3)+1)*H25+INDEX(Symboles!$H$6:$H$101,MOD(59+$C25+(0),$B$3)+1)*I25+INDEX(Symboles!$H$6:$H$101,MOD(59+$C25+(1),$B$3)+1)*J25+INDEX(Symboles!$H$6:$H$101,MOD(59+$C25+(2),$B$3)+1)*K25+INDEX(Symboles!$H$6:$H$101,MOD(59+$C25+(3),$B$3)+1)*L25+INDEX(Symboles!$H$6:$H$101,MOD(59+$C25+(4),$B$3)+1)*M25+IF($B$6=0,0,$B$6*NORMSINV(0.000001+0.999998*RAND())))</f>
        <v/>
      </c>
      <c r="FQ25" s="30">
        <f>IF(61&gt;$B$3,99,INDEX(Symboles!$H$6:$H$101,MOD(60+$C25+(-4),$B$3)+1)*E25+INDEX(Symboles!$H$6:$H$101,MOD(60+$C25+(-3),$B$3)+1)*F25+INDEX(Symboles!$H$6:$H$101,MOD(60+$C25+(-2),$B$3)+1)*G25+INDEX(Symboles!$H$6:$H$101,MOD(60+$C25+(-1),$B$3)+1)*H25+INDEX(Symboles!$H$6:$H$101,MOD(60+$C25+(0),$B$3)+1)*I25+INDEX(Symboles!$H$6:$H$101,MOD(60+$C25+(1),$B$3)+1)*J25+INDEX(Symboles!$H$6:$H$101,MOD(60+$C25+(2),$B$3)+1)*K25+INDEX(Symboles!$H$6:$H$101,MOD(60+$C25+(3),$B$3)+1)*L25+INDEX(Symboles!$H$6:$H$101,MOD(60+$C25+(4),$B$3)+1)*M25+IF($B$6=0,0,$B$6*NORMSINV(0.000001+0.999998*RAND())))</f>
        <v/>
      </c>
      <c r="FR25" s="30">
        <f>IF(62&gt;$B$3,99,INDEX(Symboles!$H$6:$H$101,MOD(61+$C25+(-4),$B$3)+1)*E25+INDEX(Symboles!$H$6:$H$101,MOD(61+$C25+(-3),$B$3)+1)*F25+INDEX(Symboles!$H$6:$H$101,MOD(61+$C25+(-2),$B$3)+1)*G25+INDEX(Symboles!$H$6:$H$101,MOD(61+$C25+(-1),$B$3)+1)*H25+INDEX(Symboles!$H$6:$H$101,MOD(61+$C25+(0),$B$3)+1)*I25+INDEX(Symboles!$H$6:$H$101,MOD(61+$C25+(1),$B$3)+1)*J25+INDEX(Symboles!$H$6:$H$101,MOD(61+$C25+(2),$B$3)+1)*K25+INDEX(Symboles!$H$6:$H$101,MOD(61+$C25+(3),$B$3)+1)*L25+INDEX(Symboles!$H$6:$H$101,MOD(61+$C25+(4),$B$3)+1)*M25+IF($B$6=0,0,$B$6*NORMSINV(0.000001+0.999998*RAND())))</f>
        <v/>
      </c>
      <c r="FS25" s="30">
        <f>IF(63&gt;$B$3,99,INDEX(Symboles!$H$6:$H$101,MOD(62+$C25+(-4),$B$3)+1)*E25+INDEX(Symboles!$H$6:$H$101,MOD(62+$C25+(-3),$B$3)+1)*F25+INDEX(Symboles!$H$6:$H$101,MOD(62+$C25+(-2),$B$3)+1)*G25+INDEX(Symboles!$H$6:$H$101,MOD(62+$C25+(-1),$B$3)+1)*H25+INDEX(Symboles!$H$6:$H$101,MOD(62+$C25+(0),$B$3)+1)*I25+INDEX(Symboles!$H$6:$H$101,MOD(62+$C25+(1),$B$3)+1)*J25+INDEX(Symboles!$H$6:$H$101,MOD(62+$C25+(2),$B$3)+1)*K25+INDEX(Symboles!$H$6:$H$101,MOD(62+$C25+(3),$B$3)+1)*L25+INDEX(Symboles!$H$6:$H$101,MOD(62+$C25+(4),$B$3)+1)*M25+IF($B$6=0,0,$B$6*NORMSINV(0.000001+0.999998*RAND())))</f>
        <v/>
      </c>
      <c r="FT25" s="30">
        <f>IF(64&gt;$B$3,99,INDEX(Symboles!$H$6:$H$101,MOD(63+$C25+(-4),$B$3)+1)*E25+INDEX(Symboles!$H$6:$H$101,MOD(63+$C25+(-3),$B$3)+1)*F25+INDEX(Symboles!$H$6:$H$101,MOD(63+$C25+(-2),$B$3)+1)*G25+INDEX(Symboles!$H$6:$H$101,MOD(63+$C25+(-1),$B$3)+1)*H25+INDEX(Symboles!$H$6:$H$101,MOD(63+$C25+(0),$B$3)+1)*I25+INDEX(Symboles!$H$6:$H$101,MOD(63+$C25+(1),$B$3)+1)*J25+INDEX(Symboles!$H$6:$H$101,MOD(63+$C25+(2),$B$3)+1)*K25+INDEX(Symboles!$H$6:$H$101,MOD(63+$C25+(3),$B$3)+1)*L25+INDEX(Symboles!$H$6:$H$101,MOD(63+$C25+(4),$B$3)+1)*M25+IF($B$6=0,0,$B$6*NORMSINV(0.000001+0.999998*RAND())))</f>
        <v/>
      </c>
      <c r="FU25" s="30">
        <f>IF(65&gt;$B$3,99,INDEX(Symboles!$H$6:$H$101,MOD(64+$C25+(-4),$B$3)+1)*E25+INDEX(Symboles!$H$6:$H$101,MOD(64+$C25+(-3),$B$3)+1)*F25+INDEX(Symboles!$H$6:$H$101,MOD(64+$C25+(-2),$B$3)+1)*G25+INDEX(Symboles!$H$6:$H$101,MOD(64+$C25+(-1),$B$3)+1)*H25+INDEX(Symboles!$H$6:$H$101,MOD(64+$C25+(0),$B$3)+1)*I25+INDEX(Symboles!$H$6:$H$101,MOD(64+$C25+(1),$B$3)+1)*J25+INDEX(Symboles!$H$6:$H$101,MOD(64+$C25+(2),$B$3)+1)*K25+INDEX(Symboles!$H$6:$H$101,MOD(64+$C25+(3),$B$3)+1)*L25+INDEX(Symboles!$H$6:$H$101,MOD(64+$C25+(4),$B$3)+1)*M25+IF($B$6=0,0,$B$6*NORMSINV(0.000001+0.999998*RAND())))</f>
        <v/>
      </c>
      <c r="FV25" s="30">
        <f>IF(66&gt;$B$3,99,INDEX(Symboles!$H$6:$H$101,MOD(65+$C25+(-4),$B$3)+1)*E25+INDEX(Symboles!$H$6:$H$101,MOD(65+$C25+(-3),$B$3)+1)*F25+INDEX(Symboles!$H$6:$H$101,MOD(65+$C25+(-2),$B$3)+1)*G25+INDEX(Symboles!$H$6:$H$101,MOD(65+$C25+(-1),$B$3)+1)*H25+INDEX(Symboles!$H$6:$H$101,MOD(65+$C25+(0),$B$3)+1)*I25+INDEX(Symboles!$H$6:$H$101,MOD(65+$C25+(1),$B$3)+1)*J25+INDEX(Symboles!$H$6:$H$101,MOD(65+$C25+(2),$B$3)+1)*K25+INDEX(Symboles!$H$6:$H$101,MOD(65+$C25+(3),$B$3)+1)*L25+INDEX(Symboles!$H$6:$H$101,MOD(65+$C25+(4),$B$3)+1)*M25+IF($B$6=0,0,$B$6*NORMSINV(0.000001+0.999998*RAND())))</f>
        <v/>
      </c>
      <c r="FW25" s="30">
        <f>IF(67&gt;$B$3,99,INDEX(Symboles!$H$6:$H$101,MOD(66+$C25+(-4),$B$3)+1)*E25+INDEX(Symboles!$H$6:$H$101,MOD(66+$C25+(-3),$B$3)+1)*F25+INDEX(Symboles!$H$6:$H$101,MOD(66+$C25+(-2),$B$3)+1)*G25+INDEX(Symboles!$H$6:$H$101,MOD(66+$C25+(-1),$B$3)+1)*H25+INDEX(Symboles!$H$6:$H$101,MOD(66+$C25+(0),$B$3)+1)*I25+INDEX(Symboles!$H$6:$H$101,MOD(66+$C25+(1),$B$3)+1)*J25+INDEX(Symboles!$H$6:$H$101,MOD(66+$C25+(2),$B$3)+1)*K25+INDEX(Symboles!$H$6:$H$101,MOD(66+$C25+(3),$B$3)+1)*L25+INDEX(Symboles!$H$6:$H$101,MOD(66+$C25+(4),$B$3)+1)*M25+IF($B$6=0,0,$B$6*NORMSINV(0.000001+0.999998*RAND())))</f>
        <v/>
      </c>
      <c r="FX25" s="30">
        <f>IF(68&gt;$B$3,99,INDEX(Symboles!$H$6:$H$101,MOD(67+$C25+(-4),$B$3)+1)*E25+INDEX(Symboles!$H$6:$H$101,MOD(67+$C25+(-3),$B$3)+1)*F25+INDEX(Symboles!$H$6:$H$101,MOD(67+$C25+(-2),$B$3)+1)*G25+INDEX(Symboles!$H$6:$H$101,MOD(67+$C25+(-1),$B$3)+1)*H25+INDEX(Symboles!$H$6:$H$101,MOD(67+$C25+(0),$B$3)+1)*I25+INDEX(Symboles!$H$6:$H$101,MOD(67+$C25+(1),$B$3)+1)*J25+INDEX(Symboles!$H$6:$H$101,MOD(67+$C25+(2),$B$3)+1)*K25+INDEX(Symboles!$H$6:$H$101,MOD(67+$C25+(3),$B$3)+1)*L25+INDEX(Symboles!$H$6:$H$101,MOD(67+$C25+(4),$B$3)+1)*M25+IF($B$6=0,0,$B$6*NORMSINV(0.000001+0.999998*RAND())))</f>
        <v/>
      </c>
      <c r="FY25" s="30">
        <f>IF(69&gt;$B$3,99,INDEX(Symboles!$H$6:$H$101,MOD(68+$C25+(-4),$B$3)+1)*E25+INDEX(Symboles!$H$6:$H$101,MOD(68+$C25+(-3),$B$3)+1)*F25+INDEX(Symboles!$H$6:$H$101,MOD(68+$C25+(-2),$B$3)+1)*G25+INDEX(Symboles!$H$6:$H$101,MOD(68+$C25+(-1),$B$3)+1)*H25+INDEX(Symboles!$H$6:$H$101,MOD(68+$C25+(0),$B$3)+1)*I25+INDEX(Symboles!$H$6:$H$101,MOD(68+$C25+(1),$B$3)+1)*J25+INDEX(Symboles!$H$6:$H$101,MOD(68+$C25+(2),$B$3)+1)*K25+INDEX(Symboles!$H$6:$H$101,MOD(68+$C25+(3),$B$3)+1)*L25+INDEX(Symboles!$H$6:$H$101,MOD(68+$C25+(4),$B$3)+1)*M25+IF($B$6=0,0,$B$6*NORMSINV(0.000001+0.999998*RAND())))</f>
        <v/>
      </c>
      <c r="FZ25" s="30">
        <f>IF(70&gt;$B$3,99,INDEX(Symboles!$H$6:$H$101,MOD(69+$C25+(-4),$B$3)+1)*E25+INDEX(Symboles!$H$6:$H$101,MOD(69+$C25+(-3),$B$3)+1)*F25+INDEX(Symboles!$H$6:$H$101,MOD(69+$C25+(-2),$B$3)+1)*G25+INDEX(Symboles!$H$6:$H$101,MOD(69+$C25+(-1),$B$3)+1)*H25+INDEX(Symboles!$H$6:$H$101,MOD(69+$C25+(0),$B$3)+1)*I25+INDEX(Symboles!$H$6:$H$101,MOD(69+$C25+(1),$B$3)+1)*J25+INDEX(Symboles!$H$6:$H$101,MOD(69+$C25+(2),$B$3)+1)*K25+INDEX(Symboles!$H$6:$H$101,MOD(69+$C25+(3),$B$3)+1)*L25+INDEX(Symboles!$H$6:$H$101,MOD(69+$C25+(4),$B$3)+1)*M25+IF($B$6=0,0,$B$6*NORMSINV(0.000001+0.999998*RAND())))</f>
        <v/>
      </c>
      <c r="GA25" s="30">
        <f>IF(71&gt;$B$3,99,INDEX(Symboles!$H$6:$H$101,MOD(70+$C25+(-4),$B$3)+1)*E25+INDEX(Symboles!$H$6:$H$101,MOD(70+$C25+(-3),$B$3)+1)*F25+INDEX(Symboles!$H$6:$H$101,MOD(70+$C25+(-2),$B$3)+1)*G25+INDEX(Symboles!$H$6:$H$101,MOD(70+$C25+(-1),$B$3)+1)*H25+INDEX(Symboles!$H$6:$H$101,MOD(70+$C25+(0),$B$3)+1)*I25+INDEX(Symboles!$H$6:$H$101,MOD(70+$C25+(1),$B$3)+1)*J25+INDEX(Symboles!$H$6:$H$101,MOD(70+$C25+(2),$B$3)+1)*K25+INDEX(Symboles!$H$6:$H$101,MOD(70+$C25+(3),$B$3)+1)*L25+INDEX(Symboles!$H$6:$H$101,MOD(70+$C25+(4),$B$3)+1)*M25+IF($B$6=0,0,$B$6*NORMSINV(0.000001+0.999998*RAND())))</f>
        <v/>
      </c>
      <c r="GB25" s="30">
        <f>IF(72&gt;$B$3,99,INDEX(Symboles!$H$6:$H$101,MOD(71+$C25+(-4),$B$3)+1)*E25+INDEX(Symboles!$H$6:$H$101,MOD(71+$C25+(-3),$B$3)+1)*F25+INDEX(Symboles!$H$6:$H$101,MOD(71+$C25+(-2),$B$3)+1)*G25+INDEX(Symboles!$H$6:$H$101,MOD(71+$C25+(-1),$B$3)+1)*H25+INDEX(Symboles!$H$6:$H$101,MOD(71+$C25+(0),$B$3)+1)*I25+INDEX(Symboles!$H$6:$H$101,MOD(71+$C25+(1),$B$3)+1)*J25+INDEX(Symboles!$H$6:$H$101,MOD(71+$C25+(2),$B$3)+1)*K25+INDEX(Symboles!$H$6:$H$101,MOD(71+$C25+(3),$B$3)+1)*L25+INDEX(Symboles!$H$6:$H$101,MOD(71+$C25+(4),$B$3)+1)*M25+IF($B$6=0,0,$B$6*NORMSINV(0.000001+0.999998*RAND())))</f>
        <v/>
      </c>
      <c r="GC25" s="30">
        <f>IF(73&gt;$B$3,99,INDEX(Symboles!$H$6:$H$101,MOD(72+$C25+(-4),$B$3)+1)*E25+INDEX(Symboles!$H$6:$H$101,MOD(72+$C25+(-3),$B$3)+1)*F25+INDEX(Symboles!$H$6:$H$101,MOD(72+$C25+(-2),$B$3)+1)*G25+INDEX(Symboles!$H$6:$H$101,MOD(72+$C25+(-1),$B$3)+1)*H25+INDEX(Symboles!$H$6:$H$101,MOD(72+$C25+(0),$B$3)+1)*I25+INDEX(Symboles!$H$6:$H$101,MOD(72+$C25+(1),$B$3)+1)*J25+INDEX(Symboles!$H$6:$H$101,MOD(72+$C25+(2),$B$3)+1)*K25+INDEX(Symboles!$H$6:$H$101,MOD(72+$C25+(3),$B$3)+1)*L25+INDEX(Symboles!$H$6:$H$101,MOD(72+$C25+(4),$B$3)+1)*M25+IF($B$6=0,0,$B$6*NORMSINV(0.000001+0.999998*RAND())))</f>
        <v/>
      </c>
      <c r="GD25" s="30">
        <f>IF(74&gt;$B$3,99,INDEX(Symboles!$H$6:$H$101,MOD(73+$C25+(-4),$B$3)+1)*E25+INDEX(Symboles!$H$6:$H$101,MOD(73+$C25+(-3),$B$3)+1)*F25+INDEX(Symboles!$H$6:$H$101,MOD(73+$C25+(-2),$B$3)+1)*G25+INDEX(Symboles!$H$6:$H$101,MOD(73+$C25+(-1),$B$3)+1)*H25+INDEX(Symboles!$H$6:$H$101,MOD(73+$C25+(0),$B$3)+1)*I25+INDEX(Symboles!$H$6:$H$101,MOD(73+$C25+(1),$B$3)+1)*J25+INDEX(Symboles!$H$6:$H$101,MOD(73+$C25+(2),$B$3)+1)*K25+INDEX(Symboles!$H$6:$H$101,MOD(73+$C25+(3),$B$3)+1)*L25+INDEX(Symboles!$H$6:$H$101,MOD(73+$C25+(4),$B$3)+1)*M25+IF($B$6=0,0,$B$6*NORMSINV(0.000001+0.999998*RAND())))</f>
        <v/>
      </c>
      <c r="GE25" s="30">
        <f>IF(75&gt;$B$3,99,INDEX(Symboles!$H$6:$H$101,MOD(74+$C25+(-4),$B$3)+1)*E25+INDEX(Symboles!$H$6:$H$101,MOD(74+$C25+(-3),$B$3)+1)*F25+INDEX(Symboles!$H$6:$H$101,MOD(74+$C25+(-2),$B$3)+1)*G25+INDEX(Symboles!$H$6:$H$101,MOD(74+$C25+(-1),$B$3)+1)*H25+INDEX(Symboles!$H$6:$H$101,MOD(74+$C25+(0),$B$3)+1)*I25+INDEX(Symboles!$H$6:$H$101,MOD(74+$C25+(1),$B$3)+1)*J25+INDEX(Symboles!$H$6:$H$101,MOD(74+$C25+(2),$B$3)+1)*K25+INDEX(Symboles!$H$6:$H$101,MOD(74+$C25+(3),$B$3)+1)*L25+INDEX(Symboles!$H$6:$H$101,MOD(74+$C25+(4),$B$3)+1)*M25+IF($B$6=0,0,$B$6*NORMSINV(0.000001+0.999998*RAND())))</f>
        <v/>
      </c>
      <c r="GF25" s="30">
        <f>IF(76&gt;$B$3,99,INDEX(Symboles!$H$6:$H$101,MOD(75+$C25+(-4),$B$3)+1)*E25+INDEX(Symboles!$H$6:$H$101,MOD(75+$C25+(-3),$B$3)+1)*F25+INDEX(Symboles!$H$6:$H$101,MOD(75+$C25+(-2),$B$3)+1)*G25+INDEX(Symboles!$H$6:$H$101,MOD(75+$C25+(-1),$B$3)+1)*H25+INDEX(Symboles!$H$6:$H$101,MOD(75+$C25+(0),$B$3)+1)*I25+INDEX(Symboles!$H$6:$H$101,MOD(75+$C25+(1),$B$3)+1)*J25+INDEX(Symboles!$H$6:$H$101,MOD(75+$C25+(2),$B$3)+1)*K25+INDEX(Symboles!$H$6:$H$101,MOD(75+$C25+(3),$B$3)+1)*L25+INDEX(Symboles!$H$6:$H$101,MOD(75+$C25+(4),$B$3)+1)*M25+IF($B$6=0,0,$B$6*NORMSINV(0.000001+0.999998*RAND())))</f>
        <v/>
      </c>
      <c r="GG25" s="30">
        <f>IF(77&gt;$B$3,99,INDEX(Symboles!$H$6:$H$101,MOD(76+$C25+(-4),$B$3)+1)*E25+INDEX(Symboles!$H$6:$H$101,MOD(76+$C25+(-3),$B$3)+1)*F25+INDEX(Symboles!$H$6:$H$101,MOD(76+$C25+(-2),$B$3)+1)*G25+INDEX(Symboles!$H$6:$H$101,MOD(76+$C25+(-1),$B$3)+1)*H25+INDEX(Symboles!$H$6:$H$101,MOD(76+$C25+(0),$B$3)+1)*I25+INDEX(Symboles!$H$6:$H$101,MOD(76+$C25+(1),$B$3)+1)*J25+INDEX(Symboles!$H$6:$H$101,MOD(76+$C25+(2),$B$3)+1)*K25+INDEX(Symboles!$H$6:$H$101,MOD(76+$C25+(3),$B$3)+1)*L25+INDEX(Symboles!$H$6:$H$101,MOD(76+$C25+(4),$B$3)+1)*M25+IF($B$6=0,0,$B$6*NORMSINV(0.000001+0.999998*RAND())))</f>
        <v/>
      </c>
      <c r="GH25" s="30">
        <f>IF(78&gt;$B$3,99,INDEX(Symboles!$H$6:$H$101,MOD(77+$C25+(-4),$B$3)+1)*E25+INDEX(Symboles!$H$6:$H$101,MOD(77+$C25+(-3),$B$3)+1)*F25+INDEX(Symboles!$H$6:$H$101,MOD(77+$C25+(-2),$B$3)+1)*G25+INDEX(Symboles!$H$6:$H$101,MOD(77+$C25+(-1),$B$3)+1)*H25+INDEX(Symboles!$H$6:$H$101,MOD(77+$C25+(0),$B$3)+1)*I25+INDEX(Symboles!$H$6:$H$101,MOD(77+$C25+(1),$B$3)+1)*J25+INDEX(Symboles!$H$6:$H$101,MOD(77+$C25+(2),$B$3)+1)*K25+INDEX(Symboles!$H$6:$H$101,MOD(77+$C25+(3),$B$3)+1)*L25+INDEX(Symboles!$H$6:$H$101,MOD(77+$C25+(4),$B$3)+1)*M25+IF($B$6=0,0,$B$6*NORMSINV(0.000001+0.999998*RAND())))</f>
        <v/>
      </c>
      <c r="GI25" s="30">
        <f>IF(79&gt;$B$3,99,INDEX(Symboles!$H$6:$H$101,MOD(78+$C25+(-4),$B$3)+1)*E25+INDEX(Symboles!$H$6:$H$101,MOD(78+$C25+(-3),$B$3)+1)*F25+INDEX(Symboles!$H$6:$H$101,MOD(78+$C25+(-2),$B$3)+1)*G25+INDEX(Symboles!$H$6:$H$101,MOD(78+$C25+(-1),$B$3)+1)*H25+INDEX(Symboles!$H$6:$H$101,MOD(78+$C25+(0),$B$3)+1)*I25+INDEX(Symboles!$H$6:$H$101,MOD(78+$C25+(1),$B$3)+1)*J25+INDEX(Symboles!$H$6:$H$101,MOD(78+$C25+(2),$B$3)+1)*K25+INDEX(Symboles!$H$6:$H$101,MOD(78+$C25+(3),$B$3)+1)*L25+INDEX(Symboles!$H$6:$H$101,MOD(78+$C25+(4),$B$3)+1)*M25+IF($B$6=0,0,$B$6*NORMSINV(0.000001+0.999998*RAND())))</f>
        <v/>
      </c>
      <c r="GJ25" s="30">
        <f>IF(80&gt;$B$3,99,INDEX(Symboles!$H$6:$H$101,MOD(79+$C25+(-4),$B$3)+1)*E25+INDEX(Symboles!$H$6:$H$101,MOD(79+$C25+(-3),$B$3)+1)*F25+INDEX(Symboles!$H$6:$H$101,MOD(79+$C25+(-2),$B$3)+1)*G25+INDEX(Symboles!$H$6:$H$101,MOD(79+$C25+(-1),$B$3)+1)*H25+INDEX(Symboles!$H$6:$H$101,MOD(79+$C25+(0),$B$3)+1)*I25+INDEX(Symboles!$H$6:$H$101,MOD(79+$C25+(1),$B$3)+1)*J25+INDEX(Symboles!$H$6:$H$101,MOD(79+$C25+(2),$B$3)+1)*K25+INDEX(Symboles!$H$6:$H$101,MOD(79+$C25+(3),$B$3)+1)*L25+INDEX(Symboles!$H$6:$H$101,MOD(79+$C25+(4),$B$3)+1)*M25+IF($B$6=0,0,$B$6*NORMSINV(0.000001+0.999998*RAND())))</f>
        <v/>
      </c>
      <c r="GK25" s="30">
        <f>IF(81&gt;$B$3,99,INDEX(Symboles!$H$6:$H$101,MOD(80+$C25+(-4),$B$3)+1)*E25+INDEX(Symboles!$H$6:$H$101,MOD(80+$C25+(-3),$B$3)+1)*F25+INDEX(Symboles!$H$6:$H$101,MOD(80+$C25+(-2),$B$3)+1)*G25+INDEX(Symboles!$H$6:$H$101,MOD(80+$C25+(-1),$B$3)+1)*H25+INDEX(Symboles!$H$6:$H$101,MOD(80+$C25+(0),$B$3)+1)*I25+INDEX(Symboles!$H$6:$H$101,MOD(80+$C25+(1),$B$3)+1)*J25+INDEX(Symboles!$H$6:$H$101,MOD(80+$C25+(2),$B$3)+1)*K25+INDEX(Symboles!$H$6:$H$101,MOD(80+$C25+(3),$B$3)+1)*L25+INDEX(Symboles!$H$6:$H$101,MOD(80+$C25+(4),$B$3)+1)*M25+IF($B$6=0,0,$B$6*NORMSINV(0.000001+0.999998*RAND())))</f>
        <v/>
      </c>
      <c r="GL25" s="30">
        <f>IF(82&gt;$B$3,99,INDEX(Symboles!$H$6:$H$101,MOD(81+$C25+(-4),$B$3)+1)*E25+INDEX(Symboles!$H$6:$H$101,MOD(81+$C25+(-3),$B$3)+1)*F25+INDEX(Symboles!$H$6:$H$101,MOD(81+$C25+(-2),$B$3)+1)*G25+INDEX(Symboles!$H$6:$H$101,MOD(81+$C25+(-1),$B$3)+1)*H25+INDEX(Symboles!$H$6:$H$101,MOD(81+$C25+(0),$B$3)+1)*I25+INDEX(Symboles!$H$6:$H$101,MOD(81+$C25+(1),$B$3)+1)*J25+INDEX(Symboles!$H$6:$H$101,MOD(81+$C25+(2),$B$3)+1)*K25+INDEX(Symboles!$H$6:$H$101,MOD(81+$C25+(3),$B$3)+1)*L25+INDEX(Symboles!$H$6:$H$101,MOD(81+$C25+(4),$B$3)+1)*M25+IF($B$6=0,0,$B$6*NORMSINV(0.000001+0.999998*RAND())))</f>
        <v/>
      </c>
      <c r="GM25" s="30">
        <f>IF(83&gt;$B$3,99,INDEX(Symboles!$H$6:$H$101,MOD(82+$C25+(-4),$B$3)+1)*E25+INDEX(Symboles!$H$6:$H$101,MOD(82+$C25+(-3),$B$3)+1)*F25+INDEX(Symboles!$H$6:$H$101,MOD(82+$C25+(-2),$B$3)+1)*G25+INDEX(Symboles!$H$6:$H$101,MOD(82+$C25+(-1),$B$3)+1)*H25+INDEX(Symboles!$H$6:$H$101,MOD(82+$C25+(0),$B$3)+1)*I25+INDEX(Symboles!$H$6:$H$101,MOD(82+$C25+(1),$B$3)+1)*J25+INDEX(Symboles!$H$6:$H$101,MOD(82+$C25+(2),$B$3)+1)*K25+INDEX(Symboles!$H$6:$H$101,MOD(82+$C25+(3),$B$3)+1)*L25+INDEX(Symboles!$H$6:$H$101,MOD(82+$C25+(4),$B$3)+1)*M25+IF($B$6=0,0,$B$6*NORMSINV(0.000001+0.999998*RAND())))</f>
        <v/>
      </c>
      <c r="GN25" s="30">
        <f>IF(84&gt;$B$3,99,INDEX(Symboles!$H$6:$H$101,MOD(83+$C25+(-4),$B$3)+1)*E25+INDEX(Symboles!$H$6:$H$101,MOD(83+$C25+(-3),$B$3)+1)*F25+INDEX(Symboles!$H$6:$H$101,MOD(83+$C25+(-2),$B$3)+1)*G25+INDEX(Symboles!$H$6:$H$101,MOD(83+$C25+(-1),$B$3)+1)*H25+INDEX(Symboles!$H$6:$H$101,MOD(83+$C25+(0),$B$3)+1)*I25+INDEX(Symboles!$H$6:$H$101,MOD(83+$C25+(1),$B$3)+1)*J25+INDEX(Symboles!$H$6:$H$101,MOD(83+$C25+(2),$B$3)+1)*K25+INDEX(Symboles!$H$6:$H$101,MOD(83+$C25+(3),$B$3)+1)*L25+INDEX(Symboles!$H$6:$H$101,MOD(83+$C25+(4),$B$3)+1)*M25+IF($B$6=0,0,$B$6*NORMSINV(0.000001+0.999998*RAND())))</f>
        <v/>
      </c>
      <c r="GO25" s="30">
        <f>IF(85&gt;$B$3,99,INDEX(Symboles!$H$6:$H$101,MOD(84+$C25+(-4),$B$3)+1)*E25+INDEX(Symboles!$H$6:$H$101,MOD(84+$C25+(-3),$B$3)+1)*F25+INDEX(Symboles!$H$6:$H$101,MOD(84+$C25+(-2),$B$3)+1)*G25+INDEX(Symboles!$H$6:$H$101,MOD(84+$C25+(-1),$B$3)+1)*H25+INDEX(Symboles!$H$6:$H$101,MOD(84+$C25+(0),$B$3)+1)*I25+INDEX(Symboles!$H$6:$H$101,MOD(84+$C25+(1),$B$3)+1)*J25+INDEX(Symboles!$H$6:$H$101,MOD(84+$C25+(2),$B$3)+1)*K25+INDEX(Symboles!$H$6:$H$101,MOD(84+$C25+(3),$B$3)+1)*L25+INDEX(Symboles!$H$6:$H$101,MOD(84+$C25+(4),$B$3)+1)*M25+IF($B$6=0,0,$B$6*NORMSINV(0.000001+0.999998*RAND())))</f>
        <v/>
      </c>
      <c r="GP25" s="30">
        <f>IF(86&gt;$B$3,99,INDEX(Symboles!$H$6:$H$101,MOD(85+$C25+(-4),$B$3)+1)*E25+INDEX(Symboles!$H$6:$H$101,MOD(85+$C25+(-3),$B$3)+1)*F25+INDEX(Symboles!$H$6:$H$101,MOD(85+$C25+(-2),$B$3)+1)*G25+INDEX(Symboles!$H$6:$H$101,MOD(85+$C25+(-1),$B$3)+1)*H25+INDEX(Symboles!$H$6:$H$101,MOD(85+$C25+(0),$B$3)+1)*I25+INDEX(Symboles!$H$6:$H$101,MOD(85+$C25+(1),$B$3)+1)*J25+INDEX(Symboles!$H$6:$H$101,MOD(85+$C25+(2),$B$3)+1)*K25+INDEX(Symboles!$H$6:$H$101,MOD(85+$C25+(3),$B$3)+1)*L25+INDEX(Symboles!$H$6:$H$101,MOD(85+$C25+(4),$B$3)+1)*M25+IF($B$6=0,0,$B$6*NORMSINV(0.000001+0.999998*RAND())))</f>
        <v/>
      </c>
      <c r="GQ25" s="30">
        <f>IF(87&gt;$B$3,99,INDEX(Symboles!$H$6:$H$101,MOD(86+$C25+(-4),$B$3)+1)*E25+INDEX(Symboles!$H$6:$H$101,MOD(86+$C25+(-3),$B$3)+1)*F25+INDEX(Symboles!$H$6:$H$101,MOD(86+$C25+(-2),$B$3)+1)*G25+INDEX(Symboles!$H$6:$H$101,MOD(86+$C25+(-1),$B$3)+1)*H25+INDEX(Symboles!$H$6:$H$101,MOD(86+$C25+(0),$B$3)+1)*I25+INDEX(Symboles!$H$6:$H$101,MOD(86+$C25+(1),$B$3)+1)*J25+INDEX(Symboles!$H$6:$H$101,MOD(86+$C25+(2),$B$3)+1)*K25+INDEX(Symboles!$H$6:$H$101,MOD(86+$C25+(3),$B$3)+1)*L25+INDEX(Symboles!$H$6:$H$101,MOD(86+$C25+(4),$B$3)+1)*M25+IF($B$6=0,0,$B$6*NORMSINV(0.000001+0.999998*RAND())))</f>
        <v/>
      </c>
      <c r="GR25" s="30">
        <f>IF(88&gt;$B$3,99,INDEX(Symboles!$H$6:$H$101,MOD(87+$C25+(-4),$B$3)+1)*E25+INDEX(Symboles!$H$6:$H$101,MOD(87+$C25+(-3),$B$3)+1)*F25+INDEX(Symboles!$H$6:$H$101,MOD(87+$C25+(-2),$B$3)+1)*G25+INDEX(Symboles!$H$6:$H$101,MOD(87+$C25+(-1),$B$3)+1)*H25+INDEX(Symboles!$H$6:$H$101,MOD(87+$C25+(0),$B$3)+1)*I25+INDEX(Symboles!$H$6:$H$101,MOD(87+$C25+(1),$B$3)+1)*J25+INDEX(Symboles!$H$6:$H$101,MOD(87+$C25+(2),$B$3)+1)*K25+INDEX(Symboles!$H$6:$H$101,MOD(87+$C25+(3),$B$3)+1)*L25+INDEX(Symboles!$H$6:$H$101,MOD(87+$C25+(4),$B$3)+1)*M25+IF($B$6=0,0,$B$6*NORMSINV(0.000001+0.999998*RAND())))</f>
        <v/>
      </c>
      <c r="GS25" s="30">
        <f>IF(89&gt;$B$3,99,INDEX(Symboles!$H$6:$H$101,MOD(88+$C25+(-4),$B$3)+1)*E25+INDEX(Symboles!$H$6:$H$101,MOD(88+$C25+(-3),$B$3)+1)*F25+INDEX(Symboles!$H$6:$H$101,MOD(88+$C25+(-2),$B$3)+1)*G25+INDEX(Symboles!$H$6:$H$101,MOD(88+$C25+(-1),$B$3)+1)*H25+INDEX(Symboles!$H$6:$H$101,MOD(88+$C25+(0),$B$3)+1)*I25+INDEX(Symboles!$H$6:$H$101,MOD(88+$C25+(1),$B$3)+1)*J25+INDEX(Symboles!$H$6:$H$101,MOD(88+$C25+(2),$B$3)+1)*K25+INDEX(Symboles!$H$6:$H$101,MOD(88+$C25+(3),$B$3)+1)*L25+INDEX(Symboles!$H$6:$H$101,MOD(88+$C25+(4),$B$3)+1)*M25+IF($B$6=0,0,$B$6*NORMSINV(0.000001+0.999998*RAND())))</f>
        <v/>
      </c>
      <c r="GT25" s="30">
        <f>IF(90&gt;$B$3,99,INDEX(Symboles!$H$6:$H$101,MOD(89+$C25+(-4),$B$3)+1)*E25+INDEX(Symboles!$H$6:$H$101,MOD(89+$C25+(-3),$B$3)+1)*F25+INDEX(Symboles!$H$6:$H$101,MOD(89+$C25+(-2),$B$3)+1)*G25+INDEX(Symboles!$H$6:$H$101,MOD(89+$C25+(-1),$B$3)+1)*H25+INDEX(Symboles!$H$6:$H$101,MOD(89+$C25+(0),$B$3)+1)*I25+INDEX(Symboles!$H$6:$H$101,MOD(89+$C25+(1),$B$3)+1)*J25+INDEX(Symboles!$H$6:$H$101,MOD(89+$C25+(2),$B$3)+1)*K25+INDEX(Symboles!$H$6:$H$101,MOD(89+$C25+(3),$B$3)+1)*L25+INDEX(Symboles!$H$6:$H$101,MOD(89+$C25+(4),$B$3)+1)*M25+IF($B$6=0,0,$B$6*NORMSINV(0.000001+0.999998*RAND())))</f>
        <v/>
      </c>
      <c r="GU25" s="30">
        <f>IF(91&gt;$B$3,99,INDEX(Symboles!$H$6:$H$101,MOD(90+$C25+(-4),$B$3)+1)*E25+INDEX(Symboles!$H$6:$H$101,MOD(90+$C25+(-3),$B$3)+1)*F25+INDEX(Symboles!$H$6:$H$101,MOD(90+$C25+(-2),$B$3)+1)*G25+INDEX(Symboles!$H$6:$H$101,MOD(90+$C25+(-1),$B$3)+1)*H25+INDEX(Symboles!$H$6:$H$101,MOD(90+$C25+(0),$B$3)+1)*I25+INDEX(Symboles!$H$6:$H$101,MOD(90+$C25+(1),$B$3)+1)*J25+INDEX(Symboles!$H$6:$H$101,MOD(90+$C25+(2),$B$3)+1)*K25+INDEX(Symboles!$H$6:$H$101,MOD(90+$C25+(3),$B$3)+1)*L25+INDEX(Symboles!$H$6:$H$101,MOD(90+$C25+(4),$B$3)+1)*M25+IF($B$6=0,0,$B$6*NORMSINV(0.000001+0.999998*RAND())))</f>
        <v/>
      </c>
      <c r="GV25" s="30">
        <f>IF(92&gt;$B$3,99,INDEX(Symboles!$H$6:$H$101,MOD(91+$C25+(-4),$B$3)+1)*E25+INDEX(Symboles!$H$6:$H$101,MOD(91+$C25+(-3),$B$3)+1)*F25+INDEX(Symboles!$H$6:$H$101,MOD(91+$C25+(-2),$B$3)+1)*G25+INDEX(Symboles!$H$6:$H$101,MOD(91+$C25+(-1),$B$3)+1)*H25+INDEX(Symboles!$H$6:$H$101,MOD(91+$C25+(0),$B$3)+1)*I25+INDEX(Symboles!$H$6:$H$101,MOD(91+$C25+(1),$B$3)+1)*J25+INDEX(Symboles!$H$6:$H$101,MOD(91+$C25+(2),$B$3)+1)*K25+INDEX(Symboles!$H$6:$H$101,MOD(91+$C25+(3),$B$3)+1)*L25+INDEX(Symboles!$H$6:$H$101,MOD(91+$C25+(4),$B$3)+1)*M25+IF($B$6=0,0,$B$6*NORMSINV(0.000001+0.999998*RAND())))</f>
        <v/>
      </c>
      <c r="GW25" s="30">
        <f>IF(93&gt;$B$3,99,INDEX(Symboles!$H$6:$H$101,MOD(92+$C25+(-4),$B$3)+1)*E25+INDEX(Symboles!$H$6:$H$101,MOD(92+$C25+(-3),$B$3)+1)*F25+INDEX(Symboles!$H$6:$H$101,MOD(92+$C25+(-2),$B$3)+1)*G25+INDEX(Symboles!$H$6:$H$101,MOD(92+$C25+(-1),$B$3)+1)*H25+INDEX(Symboles!$H$6:$H$101,MOD(92+$C25+(0),$B$3)+1)*I25+INDEX(Symboles!$H$6:$H$101,MOD(92+$C25+(1),$B$3)+1)*J25+INDEX(Symboles!$H$6:$H$101,MOD(92+$C25+(2),$B$3)+1)*K25+INDEX(Symboles!$H$6:$H$101,MOD(92+$C25+(3),$B$3)+1)*L25+INDEX(Symboles!$H$6:$H$101,MOD(92+$C25+(4),$B$3)+1)*M25+IF($B$6=0,0,$B$6*NORMSINV(0.000001+0.999998*RAND())))</f>
        <v/>
      </c>
      <c r="GX25" s="30">
        <f>IF(94&gt;$B$3,99,INDEX(Symboles!$H$6:$H$101,MOD(93+$C25+(-4),$B$3)+1)*E25+INDEX(Symboles!$H$6:$H$101,MOD(93+$C25+(-3),$B$3)+1)*F25+INDEX(Symboles!$H$6:$H$101,MOD(93+$C25+(-2),$B$3)+1)*G25+INDEX(Symboles!$H$6:$H$101,MOD(93+$C25+(-1),$B$3)+1)*H25+INDEX(Symboles!$H$6:$H$101,MOD(93+$C25+(0),$B$3)+1)*I25+INDEX(Symboles!$H$6:$H$101,MOD(93+$C25+(1),$B$3)+1)*J25+INDEX(Symboles!$H$6:$H$101,MOD(93+$C25+(2),$B$3)+1)*K25+INDEX(Symboles!$H$6:$H$101,MOD(93+$C25+(3),$B$3)+1)*L25+INDEX(Symboles!$H$6:$H$101,MOD(93+$C25+(4),$B$3)+1)*M25+IF($B$6=0,0,$B$6*NORMSINV(0.000001+0.999998*RAND())))</f>
        <v/>
      </c>
      <c r="GY25" s="30">
        <f>IF(95&gt;$B$3,99,INDEX(Symboles!$H$6:$H$101,MOD(94+$C25+(-4),$B$3)+1)*E25+INDEX(Symboles!$H$6:$H$101,MOD(94+$C25+(-3),$B$3)+1)*F25+INDEX(Symboles!$H$6:$H$101,MOD(94+$C25+(-2),$B$3)+1)*G25+INDEX(Symboles!$H$6:$H$101,MOD(94+$C25+(-1),$B$3)+1)*H25+INDEX(Symboles!$H$6:$H$101,MOD(94+$C25+(0),$B$3)+1)*I25+INDEX(Symboles!$H$6:$H$101,MOD(94+$C25+(1),$B$3)+1)*J25+INDEX(Symboles!$H$6:$H$101,MOD(94+$C25+(2),$B$3)+1)*K25+INDEX(Symboles!$H$6:$H$101,MOD(94+$C25+(3),$B$3)+1)*L25+INDEX(Symboles!$H$6:$H$101,MOD(94+$C25+(4),$B$3)+1)*M25+IF($B$6=0,0,$B$6*NORMSINV(0.000001+0.999998*RAND())))</f>
        <v/>
      </c>
      <c r="GZ25" s="30">
        <f>IF(96&gt;$B$3,99,INDEX(Symboles!$H$6:$H$101,MOD(95+$C25+(-4),$B$3)+1)*E25+INDEX(Symboles!$H$6:$H$101,MOD(95+$C25+(-3),$B$3)+1)*F25+INDEX(Symboles!$H$6:$H$101,MOD(95+$C25+(-2),$B$3)+1)*G25+INDEX(Symboles!$H$6:$H$101,MOD(95+$C25+(-1),$B$3)+1)*H25+INDEX(Symboles!$H$6:$H$101,MOD(95+$C25+(0),$B$3)+1)*I25+INDEX(Symboles!$H$6:$H$101,MOD(95+$C25+(1),$B$3)+1)*J25+INDEX(Symboles!$H$6:$H$101,MOD(95+$C25+(2),$B$3)+1)*K25+INDEX(Symboles!$H$6:$H$101,MOD(95+$C25+(3),$B$3)+1)*L25+INDEX(Symboles!$H$6:$H$101,MOD(95+$C25+(4),$B$3)+1)*M25+IF($B$6=0,0,$B$6*NORMSINV(0.000001+0.999998*RAND())))</f>
        <v/>
      </c>
    </row>
    <row r="26">
      <c r="A26" s="28" t="n">
        <v>16</v>
      </c>
      <c r="B26" s="28" t="n">
        <v>0</v>
      </c>
      <c r="C26" s="28" t="n">
        <v>0</v>
      </c>
      <c r="D26" s="28" t="n">
        <v>8</v>
      </c>
      <c r="E26" s="29">
        <f>IF($B$4=1,0,IF(ABS(1-(2*$B$5*4.0)^2)&lt;0.000001,PI()/4*SIN(PI()/(2*$B$5))/(PI()/(2*$B$5)),SIN(PI()*4.0)/(PI()*4.0)*COS(PI()*$B$5*4.0)/(1-(2*$B$5*4.0)^2)))</f>
        <v/>
      </c>
      <c r="F26" s="29">
        <f>IF($B$4=1,0,IF(ABS(1-(2*$B$5*3.0)^2)&lt;0.000001,PI()/4*SIN(PI()/(2*$B$5))/(PI()/(2*$B$5)),SIN(PI()*3.0)/(PI()*3.0)*COS(PI()*$B$5*3.0)/(1-(2*$B$5*3.0)^2)))</f>
        <v/>
      </c>
      <c r="G26" s="29">
        <f>IF($B$4=1,0,IF(ABS(1-(2*$B$5*2.0)^2)&lt;0.000001,PI()/4*SIN(PI()/(2*$B$5))/(PI()/(2*$B$5)),SIN(PI()*2.0)/(PI()*2.0)*COS(PI()*$B$5*2.0)/(1-(2*$B$5*2.0)^2)))</f>
        <v/>
      </c>
      <c r="H26" s="29">
        <f>IF($B$4=1,0,IF(ABS(1-(2*$B$5*1.0)^2)&lt;0.000001,PI()/4*SIN(PI()/(2*$B$5))/(PI()/(2*$B$5)),SIN(PI()*1.0)/(PI()*1.0)*COS(PI()*$B$5*1.0)/(1-(2*$B$5*1.0)^2)))</f>
        <v/>
      </c>
      <c r="I26" s="29">
        <f>IF($B$4=1,1,1)</f>
        <v/>
      </c>
      <c r="J26" s="29">
        <f>IF($B$4=1,0,IF(ABS(1-(2*$B$5*-1.0)^2)&lt;0.000001,PI()/4*SIN(PI()/(2*$B$5))/(PI()/(2*$B$5)),SIN(PI()*-1.0)/(PI()*-1.0)*COS(PI()*$B$5*-1.0)/(1-(2*$B$5*-1.0)^2)))</f>
        <v/>
      </c>
      <c r="K26" s="29">
        <f>IF($B$4=1,0,IF(ABS(1-(2*$B$5*-2.0)^2)&lt;0.000001,PI()/4*SIN(PI()/(2*$B$5))/(PI()/(2*$B$5)),SIN(PI()*-2.0)/(PI()*-2.0)*COS(PI()*$B$5*-2.0)/(1-(2*$B$5*-2.0)^2)))</f>
        <v/>
      </c>
      <c r="L26" s="29">
        <f>IF($B$4=1,0,IF(ABS(1-(2*$B$5*-3.0)^2)&lt;0.000001,PI()/4*SIN(PI()/(2*$B$5))/(PI()/(2*$B$5)),SIN(PI()*-3.0)/(PI()*-3.0)*COS(PI()*$B$5*-3.0)/(1-(2*$B$5*-3.0)^2)))</f>
        <v/>
      </c>
      <c r="M26" s="29">
        <f>IF($B$4=1,0,IF(ABS(1-(2*$B$5*-4.0)^2)&lt;0.000001,PI()/4*SIN(PI()/(2*$B$5))/(PI()/(2*$B$5)),SIN(PI()*-4.0)/(PI()*-4.0)*COS(PI()*$B$5*-4.0)/(1-(2*$B$5*-4.0)^2)))</f>
        <v/>
      </c>
      <c r="P26" s="30">
        <f>IF(1&gt;$B$3,99,INDEX(Symboles!$G$6:$G$101,MOD(0+$C26+(-4),$B$3)+1)*E26+INDEX(Symboles!$G$6:$G$101,MOD(0+$C26+(-3),$B$3)+1)*F26+INDEX(Symboles!$G$6:$G$101,MOD(0+$C26+(-2),$B$3)+1)*G26+INDEX(Symboles!$G$6:$G$101,MOD(0+$C26+(-1),$B$3)+1)*H26+INDEX(Symboles!$G$6:$G$101,MOD(0+$C26+(0),$B$3)+1)*I26+INDEX(Symboles!$G$6:$G$101,MOD(0+$C26+(1),$B$3)+1)*J26+INDEX(Symboles!$G$6:$G$101,MOD(0+$C26+(2),$B$3)+1)*K26+INDEX(Symboles!$G$6:$G$101,MOD(0+$C26+(3),$B$3)+1)*L26+INDEX(Symboles!$G$6:$G$101,MOD(0+$C26+(4),$B$3)+1)*M26+IF($B$6=0,0,$B$6*NORMSINV(0.000001+0.999998*RAND())))</f>
        <v/>
      </c>
      <c r="Q26" s="30">
        <f>IF(2&gt;$B$3,99,INDEX(Symboles!$G$6:$G$101,MOD(1+$C26+(-4),$B$3)+1)*E26+INDEX(Symboles!$G$6:$G$101,MOD(1+$C26+(-3),$B$3)+1)*F26+INDEX(Symboles!$G$6:$G$101,MOD(1+$C26+(-2),$B$3)+1)*G26+INDEX(Symboles!$G$6:$G$101,MOD(1+$C26+(-1),$B$3)+1)*H26+INDEX(Symboles!$G$6:$G$101,MOD(1+$C26+(0),$B$3)+1)*I26+INDEX(Symboles!$G$6:$G$101,MOD(1+$C26+(1),$B$3)+1)*J26+INDEX(Symboles!$G$6:$G$101,MOD(1+$C26+(2),$B$3)+1)*K26+INDEX(Symboles!$G$6:$G$101,MOD(1+$C26+(3),$B$3)+1)*L26+INDEX(Symboles!$G$6:$G$101,MOD(1+$C26+(4),$B$3)+1)*M26+IF($B$6=0,0,$B$6*NORMSINV(0.000001+0.999998*RAND())))</f>
        <v/>
      </c>
      <c r="R26" s="30">
        <f>IF(3&gt;$B$3,99,INDEX(Symboles!$G$6:$G$101,MOD(2+$C26+(-4),$B$3)+1)*E26+INDEX(Symboles!$G$6:$G$101,MOD(2+$C26+(-3),$B$3)+1)*F26+INDEX(Symboles!$G$6:$G$101,MOD(2+$C26+(-2),$B$3)+1)*G26+INDEX(Symboles!$G$6:$G$101,MOD(2+$C26+(-1),$B$3)+1)*H26+INDEX(Symboles!$G$6:$G$101,MOD(2+$C26+(0),$B$3)+1)*I26+INDEX(Symboles!$G$6:$G$101,MOD(2+$C26+(1),$B$3)+1)*J26+INDEX(Symboles!$G$6:$G$101,MOD(2+$C26+(2),$B$3)+1)*K26+INDEX(Symboles!$G$6:$G$101,MOD(2+$C26+(3),$B$3)+1)*L26+INDEX(Symboles!$G$6:$G$101,MOD(2+$C26+(4),$B$3)+1)*M26+IF($B$6=0,0,$B$6*NORMSINV(0.000001+0.999998*RAND())))</f>
        <v/>
      </c>
      <c r="S26" s="30">
        <f>IF(4&gt;$B$3,99,INDEX(Symboles!$G$6:$G$101,MOD(3+$C26+(-4),$B$3)+1)*E26+INDEX(Symboles!$G$6:$G$101,MOD(3+$C26+(-3),$B$3)+1)*F26+INDEX(Symboles!$G$6:$G$101,MOD(3+$C26+(-2),$B$3)+1)*G26+INDEX(Symboles!$G$6:$G$101,MOD(3+$C26+(-1),$B$3)+1)*H26+INDEX(Symboles!$G$6:$G$101,MOD(3+$C26+(0),$B$3)+1)*I26+INDEX(Symboles!$G$6:$G$101,MOD(3+$C26+(1),$B$3)+1)*J26+INDEX(Symboles!$G$6:$G$101,MOD(3+$C26+(2),$B$3)+1)*K26+INDEX(Symboles!$G$6:$G$101,MOD(3+$C26+(3),$B$3)+1)*L26+INDEX(Symboles!$G$6:$G$101,MOD(3+$C26+(4),$B$3)+1)*M26+IF($B$6=0,0,$B$6*NORMSINV(0.000001+0.999998*RAND())))</f>
        <v/>
      </c>
      <c r="T26" s="30">
        <f>IF(5&gt;$B$3,99,INDEX(Symboles!$G$6:$G$101,MOD(4+$C26+(-4),$B$3)+1)*E26+INDEX(Symboles!$G$6:$G$101,MOD(4+$C26+(-3),$B$3)+1)*F26+INDEX(Symboles!$G$6:$G$101,MOD(4+$C26+(-2),$B$3)+1)*G26+INDEX(Symboles!$G$6:$G$101,MOD(4+$C26+(-1),$B$3)+1)*H26+INDEX(Symboles!$G$6:$G$101,MOD(4+$C26+(0),$B$3)+1)*I26+INDEX(Symboles!$G$6:$G$101,MOD(4+$C26+(1),$B$3)+1)*J26+INDEX(Symboles!$G$6:$G$101,MOD(4+$C26+(2),$B$3)+1)*K26+INDEX(Symboles!$G$6:$G$101,MOD(4+$C26+(3),$B$3)+1)*L26+INDEX(Symboles!$G$6:$G$101,MOD(4+$C26+(4),$B$3)+1)*M26+IF($B$6=0,0,$B$6*NORMSINV(0.000001+0.999998*RAND())))</f>
        <v/>
      </c>
      <c r="U26" s="30">
        <f>IF(6&gt;$B$3,99,INDEX(Symboles!$G$6:$G$101,MOD(5+$C26+(-4),$B$3)+1)*E26+INDEX(Symboles!$G$6:$G$101,MOD(5+$C26+(-3),$B$3)+1)*F26+INDEX(Symboles!$G$6:$G$101,MOD(5+$C26+(-2),$B$3)+1)*G26+INDEX(Symboles!$G$6:$G$101,MOD(5+$C26+(-1),$B$3)+1)*H26+INDEX(Symboles!$G$6:$G$101,MOD(5+$C26+(0),$B$3)+1)*I26+INDEX(Symboles!$G$6:$G$101,MOD(5+$C26+(1),$B$3)+1)*J26+INDEX(Symboles!$G$6:$G$101,MOD(5+$C26+(2),$B$3)+1)*K26+INDEX(Symboles!$G$6:$G$101,MOD(5+$C26+(3),$B$3)+1)*L26+INDEX(Symboles!$G$6:$G$101,MOD(5+$C26+(4),$B$3)+1)*M26+IF($B$6=0,0,$B$6*NORMSINV(0.000001+0.999998*RAND())))</f>
        <v/>
      </c>
      <c r="V26" s="30">
        <f>IF(7&gt;$B$3,99,INDEX(Symboles!$G$6:$G$101,MOD(6+$C26+(-4),$B$3)+1)*E26+INDEX(Symboles!$G$6:$G$101,MOD(6+$C26+(-3),$B$3)+1)*F26+INDEX(Symboles!$G$6:$G$101,MOD(6+$C26+(-2),$B$3)+1)*G26+INDEX(Symboles!$G$6:$G$101,MOD(6+$C26+(-1),$B$3)+1)*H26+INDEX(Symboles!$G$6:$G$101,MOD(6+$C26+(0),$B$3)+1)*I26+INDEX(Symboles!$G$6:$G$101,MOD(6+$C26+(1),$B$3)+1)*J26+INDEX(Symboles!$G$6:$G$101,MOD(6+$C26+(2),$B$3)+1)*K26+INDEX(Symboles!$G$6:$G$101,MOD(6+$C26+(3),$B$3)+1)*L26+INDEX(Symboles!$G$6:$G$101,MOD(6+$C26+(4),$B$3)+1)*M26+IF($B$6=0,0,$B$6*NORMSINV(0.000001+0.999998*RAND())))</f>
        <v/>
      </c>
      <c r="W26" s="30">
        <f>IF(8&gt;$B$3,99,INDEX(Symboles!$G$6:$G$101,MOD(7+$C26+(-4),$B$3)+1)*E26+INDEX(Symboles!$G$6:$G$101,MOD(7+$C26+(-3),$B$3)+1)*F26+INDEX(Symboles!$G$6:$G$101,MOD(7+$C26+(-2),$B$3)+1)*G26+INDEX(Symboles!$G$6:$G$101,MOD(7+$C26+(-1),$B$3)+1)*H26+INDEX(Symboles!$G$6:$G$101,MOD(7+$C26+(0),$B$3)+1)*I26+INDEX(Symboles!$G$6:$G$101,MOD(7+$C26+(1),$B$3)+1)*J26+INDEX(Symboles!$G$6:$G$101,MOD(7+$C26+(2),$B$3)+1)*K26+INDEX(Symboles!$G$6:$G$101,MOD(7+$C26+(3),$B$3)+1)*L26+INDEX(Symboles!$G$6:$G$101,MOD(7+$C26+(4),$B$3)+1)*M26+IF($B$6=0,0,$B$6*NORMSINV(0.000001+0.999998*RAND())))</f>
        <v/>
      </c>
      <c r="X26" s="30">
        <f>IF(9&gt;$B$3,99,INDEX(Symboles!$G$6:$G$101,MOD(8+$C26+(-4),$B$3)+1)*E26+INDEX(Symboles!$G$6:$G$101,MOD(8+$C26+(-3),$B$3)+1)*F26+INDEX(Symboles!$G$6:$G$101,MOD(8+$C26+(-2),$B$3)+1)*G26+INDEX(Symboles!$G$6:$G$101,MOD(8+$C26+(-1),$B$3)+1)*H26+INDEX(Symboles!$G$6:$G$101,MOD(8+$C26+(0),$B$3)+1)*I26+INDEX(Symboles!$G$6:$G$101,MOD(8+$C26+(1),$B$3)+1)*J26+INDEX(Symboles!$G$6:$G$101,MOD(8+$C26+(2),$B$3)+1)*K26+INDEX(Symboles!$G$6:$G$101,MOD(8+$C26+(3),$B$3)+1)*L26+INDEX(Symboles!$G$6:$G$101,MOD(8+$C26+(4),$B$3)+1)*M26+IF($B$6=0,0,$B$6*NORMSINV(0.000001+0.999998*RAND())))</f>
        <v/>
      </c>
      <c r="Y26" s="30">
        <f>IF(10&gt;$B$3,99,INDEX(Symboles!$G$6:$G$101,MOD(9+$C26+(-4),$B$3)+1)*E26+INDEX(Symboles!$G$6:$G$101,MOD(9+$C26+(-3),$B$3)+1)*F26+INDEX(Symboles!$G$6:$G$101,MOD(9+$C26+(-2),$B$3)+1)*G26+INDEX(Symboles!$G$6:$G$101,MOD(9+$C26+(-1),$B$3)+1)*H26+INDEX(Symboles!$G$6:$G$101,MOD(9+$C26+(0),$B$3)+1)*I26+INDEX(Symboles!$G$6:$G$101,MOD(9+$C26+(1),$B$3)+1)*J26+INDEX(Symboles!$G$6:$G$101,MOD(9+$C26+(2),$B$3)+1)*K26+INDEX(Symboles!$G$6:$G$101,MOD(9+$C26+(3),$B$3)+1)*L26+INDEX(Symboles!$G$6:$G$101,MOD(9+$C26+(4),$B$3)+1)*M26+IF($B$6=0,0,$B$6*NORMSINV(0.000001+0.999998*RAND())))</f>
        <v/>
      </c>
      <c r="Z26" s="30">
        <f>IF(11&gt;$B$3,99,INDEX(Symboles!$G$6:$G$101,MOD(10+$C26+(-4),$B$3)+1)*E26+INDEX(Symboles!$G$6:$G$101,MOD(10+$C26+(-3),$B$3)+1)*F26+INDEX(Symboles!$G$6:$G$101,MOD(10+$C26+(-2),$B$3)+1)*G26+INDEX(Symboles!$G$6:$G$101,MOD(10+$C26+(-1),$B$3)+1)*H26+INDEX(Symboles!$G$6:$G$101,MOD(10+$C26+(0),$B$3)+1)*I26+INDEX(Symboles!$G$6:$G$101,MOD(10+$C26+(1),$B$3)+1)*J26+INDEX(Symboles!$G$6:$G$101,MOD(10+$C26+(2),$B$3)+1)*K26+INDEX(Symboles!$G$6:$G$101,MOD(10+$C26+(3),$B$3)+1)*L26+INDEX(Symboles!$G$6:$G$101,MOD(10+$C26+(4),$B$3)+1)*M26+IF($B$6=0,0,$B$6*NORMSINV(0.000001+0.999998*RAND())))</f>
        <v/>
      </c>
      <c r="AA26" s="30">
        <f>IF(12&gt;$B$3,99,INDEX(Symboles!$G$6:$G$101,MOD(11+$C26+(-4),$B$3)+1)*E26+INDEX(Symboles!$G$6:$G$101,MOD(11+$C26+(-3),$B$3)+1)*F26+INDEX(Symboles!$G$6:$G$101,MOD(11+$C26+(-2),$B$3)+1)*G26+INDEX(Symboles!$G$6:$G$101,MOD(11+$C26+(-1),$B$3)+1)*H26+INDEX(Symboles!$G$6:$G$101,MOD(11+$C26+(0),$B$3)+1)*I26+INDEX(Symboles!$G$6:$G$101,MOD(11+$C26+(1),$B$3)+1)*J26+INDEX(Symboles!$G$6:$G$101,MOD(11+$C26+(2),$B$3)+1)*K26+INDEX(Symboles!$G$6:$G$101,MOD(11+$C26+(3),$B$3)+1)*L26+INDEX(Symboles!$G$6:$G$101,MOD(11+$C26+(4),$B$3)+1)*M26+IF($B$6=0,0,$B$6*NORMSINV(0.000001+0.999998*RAND())))</f>
        <v/>
      </c>
      <c r="AB26" s="30">
        <f>IF(13&gt;$B$3,99,INDEX(Symboles!$G$6:$G$101,MOD(12+$C26+(-4),$B$3)+1)*E26+INDEX(Symboles!$G$6:$G$101,MOD(12+$C26+(-3),$B$3)+1)*F26+INDEX(Symboles!$G$6:$G$101,MOD(12+$C26+(-2),$B$3)+1)*G26+INDEX(Symboles!$G$6:$G$101,MOD(12+$C26+(-1),$B$3)+1)*H26+INDEX(Symboles!$G$6:$G$101,MOD(12+$C26+(0),$B$3)+1)*I26+INDEX(Symboles!$G$6:$G$101,MOD(12+$C26+(1),$B$3)+1)*J26+INDEX(Symboles!$G$6:$G$101,MOD(12+$C26+(2),$B$3)+1)*K26+INDEX(Symboles!$G$6:$G$101,MOD(12+$C26+(3),$B$3)+1)*L26+INDEX(Symboles!$G$6:$G$101,MOD(12+$C26+(4),$B$3)+1)*M26+IF($B$6=0,0,$B$6*NORMSINV(0.000001+0.999998*RAND())))</f>
        <v/>
      </c>
      <c r="AC26" s="30">
        <f>IF(14&gt;$B$3,99,INDEX(Symboles!$G$6:$G$101,MOD(13+$C26+(-4),$B$3)+1)*E26+INDEX(Symboles!$G$6:$G$101,MOD(13+$C26+(-3),$B$3)+1)*F26+INDEX(Symboles!$G$6:$G$101,MOD(13+$C26+(-2),$B$3)+1)*G26+INDEX(Symboles!$G$6:$G$101,MOD(13+$C26+(-1),$B$3)+1)*H26+INDEX(Symboles!$G$6:$G$101,MOD(13+$C26+(0),$B$3)+1)*I26+INDEX(Symboles!$G$6:$G$101,MOD(13+$C26+(1),$B$3)+1)*J26+INDEX(Symboles!$G$6:$G$101,MOD(13+$C26+(2),$B$3)+1)*K26+INDEX(Symboles!$G$6:$G$101,MOD(13+$C26+(3),$B$3)+1)*L26+INDEX(Symboles!$G$6:$G$101,MOD(13+$C26+(4),$B$3)+1)*M26+IF($B$6=0,0,$B$6*NORMSINV(0.000001+0.999998*RAND())))</f>
        <v/>
      </c>
      <c r="AD26" s="30">
        <f>IF(15&gt;$B$3,99,INDEX(Symboles!$G$6:$G$101,MOD(14+$C26+(-4),$B$3)+1)*E26+INDEX(Symboles!$G$6:$G$101,MOD(14+$C26+(-3),$B$3)+1)*F26+INDEX(Symboles!$G$6:$G$101,MOD(14+$C26+(-2),$B$3)+1)*G26+INDEX(Symboles!$G$6:$G$101,MOD(14+$C26+(-1),$B$3)+1)*H26+INDEX(Symboles!$G$6:$G$101,MOD(14+$C26+(0),$B$3)+1)*I26+INDEX(Symboles!$G$6:$G$101,MOD(14+$C26+(1),$B$3)+1)*J26+INDEX(Symboles!$G$6:$G$101,MOD(14+$C26+(2),$B$3)+1)*K26+INDEX(Symboles!$G$6:$G$101,MOD(14+$C26+(3),$B$3)+1)*L26+INDEX(Symboles!$G$6:$G$101,MOD(14+$C26+(4),$B$3)+1)*M26+IF($B$6=0,0,$B$6*NORMSINV(0.000001+0.999998*RAND())))</f>
        <v/>
      </c>
      <c r="AE26" s="30">
        <f>IF(16&gt;$B$3,99,INDEX(Symboles!$G$6:$G$101,MOD(15+$C26+(-4),$B$3)+1)*E26+INDEX(Symboles!$G$6:$G$101,MOD(15+$C26+(-3),$B$3)+1)*F26+INDEX(Symboles!$G$6:$G$101,MOD(15+$C26+(-2),$B$3)+1)*G26+INDEX(Symboles!$G$6:$G$101,MOD(15+$C26+(-1),$B$3)+1)*H26+INDEX(Symboles!$G$6:$G$101,MOD(15+$C26+(0),$B$3)+1)*I26+INDEX(Symboles!$G$6:$G$101,MOD(15+$C26+(1),$B$3)+1)*J26+INDEX(Symboles!$G$6:$G$101,MOD(15+$C26+(2),$B$3)+1)*K26+INDEX(Symboles!$G$6:$G$101,MOD(15+$C26+(3),$B$3)+1)*L26+INDEX(Symboles!$G$6:$G$101,MOD(15+$C26+(4),$B$3)+1)*M26+IF($B$6=0,0,$B$6*NORMSINV(0.000001+0.999998*RAND())))</f>
        <v/>
      </c>
      <c r="AF26" s="30">
        <f>IF(17&gt;$B$3,99,INDEX(Symboles!$G$6:$G$101,MOD(16+$C26+(-4),$B$3)+1)*E26+INDEX(Symboles!$G$6:$G$101,MOD(16+$C26+(-3),$B$3)+1)*F26+INDEX(Symboles!$G$6:$G$101,MOD(16+$C26+(-2),$B$3)+1)*G26+INDEX(Symboles!$G$6:$G$101,MOD(16+$C26+(-1),$B$3)+1)*H26+INDEX(Symboles!$G$6:$G$101,MOD(16+$C26+(0),$B$3)+1)*I26+INDEX(Symboles!$G$6:$G$101,MOD(16+$C26+(1),$B$3)+1)*J26+INDEX(Symboles!$G$6:$G$101,MOD(16+$C26+(2),$B$3)+1)*K26+INDEX(Symboles!$G$6:$G$101,MOD(16+$C26+(3),$B$3)+1)*L26+INDEX(Symboles!$G$6:$G$101,MOD(16+$C26+(4),$B$3)+1)*M26+IF($B$6=0,0,$B$6*NORMSINV(0.000001+0.999998*RAND())))</f>
        <v/>
      </c>
      <c r="AG26" s="30">
        <f>IF(18&gt;$B$3,99,INDEX(Symboles!$G$6:$G$101,MOD(17+$C26+(-4),$B$3)+1)*E26+INDEX(Symboles!$G$6:$G$101,MOD(17+$C26+(-3),$B$3)+1)*F26+INDEX(Symboles!$G$6:$G$101,MOD(17+$C26+(-2),$B$3)+1)*G26+INDEX(Symboles!$G$6:$G$101,MOD(17+$C26+(-1),$B$3)+1)*H26+INDEX(Symboles!$G$6:$G$101,MOD(17+$C26+(0),$B$3)+1)*I26+INDEX(Symboles!$G$6:$G$101,MOD(17+$C26+(1),$B$3)+1)*J26+INDEX(Symboles!$G$6:$G$101,MOD(17+$C26+(2),$B$3)+1)*K26+INDEX(Symboles!$G$6:$G$101,MOD(17+$C26+(3),$B$3)+1)*L26+INDEX(Symboles!$G$6:$G$101,MOD(17+$C26+(4),$B$3)+1)*M26+IF($B$6=0,0,$B$6*NORMSINV(0.000001+0.999998*RAND())))</f>
        <v/>
      </c>
      <c r="AH26" s="30">
        <f>IF(19&gt;$B$3,99,INDEX(Symboles!$G$6:$G$101,MOD(18+$C26+(-4),$B$3)+1)*E26+INDEX(Symboles!$G$6:$G$101,MOD(18+$C26+(-3),$B$3)+1)*F26+INDEX(Symboles!$G$6:$G$101,MOD(18+$C26+(-2),$B$3)+1)*G26+INDEX(Symboles!$G$6:$G$101,MOD(18+$C26+(-1),$B$3)+1)*H26+INDEX(Symboles!$G$6:$G$101,MOD(18+$C26+(0),$B$3)+1)*I26+INDEX(Symboles!$G$6:$G$101,MOD(18+$C26+(1),$B$3)+1)*J26+INDEX(Symboles!$G$6:$G$101,MOD(18+$C26+(2),$B$3)+1)*K26+INDEX(Symboles!$G$6:$G$101,MOD(18+$C26+(3),$B$3)+1)*L26+INDEX(Symboles!$G$6:$G$101,MOD(18+$C26+(4),$B$3)+1)*M26+IF($B$6=0,0,$B$6*NORMSINV(0.000001+0.999998*RAND())))</f>
        <v/>
      </c>
      <c r="AI26" s="30">
        <f>IF(20&gt;$B$3,99,INDEX(Symboles!$G$6:$G$101,MOD(19+$C26+(-4),$B$3)+1)*E26+INDEX(Symboles!$G$6:$G$101,MOD(19+$C26+(-3),$B$3)+1)*F26+INDEX(Symboles!$G$6:$G$101,MOD(19+$C26+(-2),$B$3)+1)*G26+INDEX(Symboles!$G$6:$G$101,MOD(19+$C26+(-1),$B$3)+1)*H26+INDEX(Symboles!$G$6:$G$101,MOD(19+$C26+(0),$B$3)+1)*I26+INDEX(Symboles!$G$6:$G$101,MOD(19+$C26+(1),$B$3)+1)*J26+INDEX(Symboles!$G$6:$G$101,MOD(19+$C26+(2),$B$3)+1)*K26+INDEX(Symboles!$G$6:$G$101,MOD(19+$C26+(3),$B$3)+1)*L26+INDEX(Symboles!$G$6:$G$101,MOD(19+$C26+(4),$B$3)+1)*M26+IF($B$6=0,0,$B$6*NORMSINV(0.000001+0.999998*RAND())))</f>
        <v/>
      </c>
      <c r="AJ26" s="30">
        <f>IF(21&gt;$B$3,99,INDEX(Symboles!$G$6:$G$101,MOD(20+$C26+(-4),$B$3)+1)*E26+INDEX(Symboles!$G$6:$G$101,MOD(20+$C26+(-3),$B$3)+1)*F26+INDEX(Symboles!$G$6:$G$101,MOD(20+$C26+(-2),$B$3)+1)*G26+INDEX(Symboles!$G$6:$G$101,MOD(20+$C26+(-1),$B$3)+1)*H26+INDEX(Symboles!$G$6:$G$101,MOD(20+$C26+(0),$B$3)+1)*I26+INDEX(Symboles!$G$6:$G$101,MOD(20+$C26+(1),$B$3)+1)*J26+INDEX(Symboles!$G$6:$G$101,MOD(20+$C26+(2),$B$3)+1)*K26+INDEX(Symboles!$G$6:$G$101,MOD(20+$C26+(3),$B$3)+1)*L26+INDEX(Symboles!$G$6:$G$101,MOD(20+$C26+(4),$B$3)+1)*M26+IF($B$6=0,0,$B$6*NORMSINV(0.000001+0.999998*RAND())))</f>
        <v/>
      </c>
      <c r="AK26" s="30">
        <f>IF(22&gt;$B$3,99,INDEX(Symboles!$G$6:$G$101,MOD(21+$C26+(-4),$B$3)+1)*E26+INDEX(Symboles!$G$6:$G$101,MOD(21+$C26+(-3),$B$3)+1)*F26+INDEX(Symboles!$G$6:$G$101,MOD(21+$C26+(-2),$B$3)+1)*G26+INDEX(Symboles!$G$6:$G$101,MOD(21+$C26+(-1),$B$3)+1)*H26+INDEX(Symboles!$G$6:$G$101,MOD(21+$C26+(0),$B$3)+1)*I26+INDEX(Symboles!$G$6:$G$101,MOD(21+$C26+(1),$B$3)+1)*J26+INDEX(Symboles!$G$6:$G$101,MOD(21+$C26+(2),$B$3)+1)*K26+INDEX(Symboles!$G$6:$G$101,MOD(21+$C26+(3),$B$3)+1)*L26+INDEX(Symboles!$G$6:$G$101,MOD(21+$C26+(4),$B$3)+1)*M26+IF($B$6=0,0,$B$6*NORMSINV(0.000001+0.999998*RAND())))</f>
        <v/>
      </c>
      <c r="AL26" s="30">
        <f>IF(23&gt;$B$3,99,INDEX(Symboles!$G$6:$G$101,MOD(22+$C26+(-4),$B$3)+1)*E26+INDEX(Symboles!$G$6:$G$101,MOD(22+$C26+(-3),$B$3)+1)*F26+INDEX(Symboles!$G$6:$G$101,MOD(22+$C26+(-2),$B$3)+1)*G26+INDEX(Symboles!$G$6:$G$101,MOD(22+$C26+(-1),$B$3)+1)*H26+INDEX(Symboles!$G$6:$G$101,MOD(22+$C26+(0),$B$3)+1)*I26+INDEX(Symboles!$G$6:$G$101,MOD(22+$C26+(1),$B$3)+1)*J26+INDEX(Symboles!$G$6:$G$101,MOD(22+$C26+(2),$B$3)+1)*K26+INDEX(Symboles!$G$6:$G$101,MOD(22+$C26+(3),$B$3)+1)*L26+INDEX(Symboles!$G$6:$G$101,MOD(22+$C26+(4),$B$3)+1)*M26+IF($B$6=0,0,$B$6*NORMSINV(0.000001+0.999998*RAND())))</f>
        <v/>
      </c>
      <c r="AM26" s="30">
        <f>IF(24&gt;$B$3,99,INDEX(Symboles!$G$6:$G$101,MOD(23+$C26+(-4),$B$3)+1)*E26+INDEX(Symboles!$G$6:$G$101,MOD(23+$C26+(-3),$B$3)+1)*F26+INDEX(Symboles!$G$6:$G$101,MOD(23+$C26+(-2),$B$3)+1)*G26+INDEX(Symboles!$G$6:$G$101,MOD(23+$C26+(-1),$B$3)+1)*H26+INDEX(Symboles!$G$6:$G$101,MOD(23+$C26+(0),$B$3)+1)*I26+INDEX(Symboles!$G$6:$G$101,MOD(23+$C26+(1),$B$3)+1)*J26+INDEX(Symboles!$G$6:$G$101,MOD(23+$C26+(2),$B$3)+1)*K26+INDEX(Symboles!$G$6:$G$101,MOD(23+$C26+(3),$B$3)+1)*L26+INDEX(Symboles!$G$6:$G$101,MOD(23+$C26+(4),$B$3)+1)*M26+IF($B$6=0,0,$B$6*NORMSINV(0.000001+0.999998*RAND())))</f>
        <v/>
      </c>
      <c r="AN26" s="30">
        <f>IF(25&gt;$B$3,99,INDEX(Symboles!$G$6:$G$101,MOD(24+$C26+(-4),$B$3)+1)*E26+INDEX(Symboles!$G$6:$G$101,MOD(24+$C26+(-3),$B$3)+1)*F26+INDEX(Symboles!$G$6:$G$101,MOD(24+$C26+(-2),$B$3)+1)*G26+INDEX(Symboles!$G$6:$G$101,MOD(24+$C26+(-1),$B$3)+1)*H26+INDEX(Symboles!$G$6:$G$101,MOD(24+$C26+(0),$B$3)+1)*I26+INDEX(Symboles!$G$6:$G$101,MOD(24+$C26+(1),$B$3)+1)*J26+INDEX(Symboles!$G$6:$G$101,MOD(24+$C26+(2),$B$3)+1)*K26+INDEX(Symboles!$G$6:$G$101,MOD(24+$C26+(3),$B$3)+1)*L26+INDEX(Symboles!$G$6:$G$101,MOD(24+$C26+(4),$B$3)+1)*M26+IF($B$6=0,0,$B$6*NORMSINV(0.000001+0.999998*RAND())))</f>
        <v/>
      </c>
      <c r="AO26" s="30">
        <f>IF(26&gt;$B$3,99,INDEX(Symboles!$G$6:$G$101,MOD(25+$C26+(-4),$B$3)+1)*E26+INDEX(Symboles!$G$6:$G$101,MOD(25+$C26+(-3),$B$3)+1)*F26+INDEX(Symboles!$G$6:$G$101,MOD(25+$C26+(-2),$B$3)+1)*G26+INDEX(Symboles!$G$6:$G$101,MOD(25+$C26+(-1),$B$3)+1)*H26+INDEX(Symboles!$G$6:$G$101,MOD(25+$C26+(0),$B$3)+1)*I26+INDEX(Symboles!$G$6:$G$101,MOD(25+$C26+(1),$B$3)+1)*J26+INDEX(Symboles!$G$6:$G$101,MOD(25+$C26+(2),$B$3)+1)*K26+INDEX(Symboles!$G$6:$G$101,MOD(25+$C26+(3),$B$3)+1)*L26+INDEX(Symboles!$G$6:$G$101,MOD(25+$C26+(4),$B$3)+1)*M26+IF($B$6=0,0,$B$6*NORMSINV(0.000001+0.999998*RAND())))</f>
        <v/>
      </c>
      <c r="AP26" s="30">
        <f>IF(27&gt;$B$3,99,INDEX(Symboles!$G$6:$G$101,MOD(26+$C26+(-4),$B$3)+1)*E26+INDEX(Symboles!$G$6:$G$101,MOD(26+$C26+(-3),$B$3)+1)*F26+INDEX(Symboles!$G$6:$G$101,MOD(26+$C26+(-2),$B$3)+1)*G26+INDEX(Symboles!$G$6:$G$101,MOD(26+$C26+(-1),$B$3)+1)*H26+INDEX(Symboles!$G$6:$G$101,MOD(26+$C26+(0),$B$3)+1)*I26+INDEX(Symboles!$G$6:$G$101,MOD(26+$C26+(1),$B$3)+1)*J26+INDEX(Symboles!$G$6:$G$101,MOD(26+$C26+(2),$B$3)+1)*K26+INDEX(Symboles!$G$6:$G$101,MOD(26+$C26+(3),$B$3)+1)*L26+INDEX(Symboles!$G$6:$G$101,MOD(26+$C26+(4),$B$3)+1)*M26+IF($B$6=0,0,$B$6*NORMSINV(0.000001+0.999998*RAND())))</f>
        <v/>
      </c>
      <c r="AQ26" s="30">
        <f>IF(28&gt;$B$3,99,INDEX(Symboles!$G$6:$G$101,MOD(27+$C26+(-4),$B$3)+1)*E26+INDEX(Symboles!$G$6:$G$101,MOD(27+$C26+(-3),$B$3)+1)*F26+INDEX(Symboles!$G$6:$G$101,MOD(27+$C26+(-2),$B$3)+1)*G26+INDEX(Symboles!$G$6:$G$101,MOD(27+$C26+(-1),$B$3)+1)*H26+INDEX(Symboles!$G$6:$G$101,MOD(27+$C26+(0),$B$3)+1)*I26+INDEX(Symboles!$G$6:$G$101,MOD(27+$C26+(1),$B$3)+1)*J26+INDEX(Symboles!$G$6:$G$101,MOD(27+$C26+(2),$B$3)+1)*K26+INDEX(Symboles!$G$6:$G$101,MOD(27+$C26+(3),$B$3)+1)*L26+INDEX(Symboles!$G$6:$G$101,MOD(27+$C26+(4),$B$3)+1)*M26+IF($B$6=0,0,$B$6*NORMSINV(0.000001+0.999998*RAND())))</f>
        <v/>
      </c>
      <c r="AR26" s="30">
        <f>IF(29&gt;$B$3,99,INDEX(Symboles!$G$6:$G$101,MOD(28+$C26+(-4),$B$3)+1)*E26+INDEX(Symboles!$G$6:$G$101,MOD(28+$C26+(-3),$B$3)+1)*F26+INDEX(Symboles!$G$6:$G$101,MOD(28+$C26+(-2),$B$3)+1)*G26+INDEX(Symboles!$G$6:$G$101,MOD(28+$C26+(-1),$B$3)+1)*H26+INDEX(Symboles!$G$6:$G$101,MOD(28+$C26+(0),$B$3)+1)*I26+INDEX(Symboles!$G$6:$G$101,MOD(28+$C26+(1),$B$3)+1)*J26+INDEX(Symboles!$G$6:$G$101,MOD(28+$C26+(2),$B$3)+1)*K26+INDEX(Symboles!$G$6:$G$101,MOD(28+$C26+(3),$B$3)+1)*L26+INDEX(Symboles!$G$6:$G$101,MOD(28+$C26+(4),$B$3)+1)*M26+IF($B$6=0,0,$B$6*NORMSINV(0.000001+0.999998*RAND())))</f>
        <v/>
      </c>
      <c r="AS26" s="30">
        <f>IF(30&gt;$B$3,99,INDEX(Symboles!$G$6:$G$101,MOD(29+$C26+(-4),$B$3)+1)*E26+INDEX(Symboles!$G$6:$G$101,MOD(29+$C26+(-3),$B$3)+1)*F26+INDEX(Symboles!$G$6:$G$101,MOD(29+$C26+(-2),$B$3)+1)*G26+INDEX(Symboles!$G$6:$G$101,MOD(29+$C26+(-1),$B$3)+1)*H26+INDEX(Symboles!$G$6:$G$101,MOD(29+$C26+(0),$B$3)+1)*I26+INDEX(Symboles!$G$6:$G$101,MOD(29+$C26+(1),$B$3)+1)*J26+INDEX(Symboles!$G$6:$G$101,MOD(29+$C26+(2),$B$3)+1)*K26+INDEX(Symboles!$G$6:$G$101,MOD(29+$C26+(3),$B$3)+1)*L26+INDEX(Symboles!$G$6:$G$101,MOD(29+$C26+(4),$B$3)+1)*M26+IF($B$6=0,0,$B$6*NORMSINV(0.000001+0.999998*RAND())))</f>
        <v/>
      </c>
      <c r="AT26" s="30">
        <f>IF(31&gt;$B$3,99,INDEX(Symboles!$G$6:$G$101,MOD(30+$C26+(-4),$B$3)+1)*E26+INDEX(Symboles!$G$6:$G$101,MOD(30+$C26+(-3),$B$3)+1)*F26+INDEX(Symboles!$G$6:$G$101,MOD(30+$C26+(-2),$B$3)+1)*G26+INDEX(Symboles!$G$6:$G$101,MOD(30+$C26+(-1),$B$3)+1)*H26+INDEX(Symboles!$G$6:$G$101,MOD(30+$C26+(0),$B$3)+1)*I26+INDEX(Symboles!$G$6:$G$101,MOD(30+$C26+(1),$B$3)+1)*J26+INDEX(Symboles!$G$6:$G$101,MOD(30+$C26+(2),$B$3)+1)*K26+INDEX(Symboles!$G$6:$G$101,MOD(30+$C26+(3),$B$3)+1)*L26+INDEX(Symboles!$G$6:$G$101,MOD(30+$C26+(4),$B$3)+1)*M26+IF($B$6=0,0,$B$6*NORMSINV(0.000001+0.999998*RAND())))</f>
        <v/>
      </c>
      <c r="AU26" s="30">
        <f>IF(32&gt;$B$3,99,INDEX(Symboles!$G$6:$G$101,MOD(31+$C26+(-4),$B$3)+1)*E26+INDEX(Symboles!$G$6:$G$101,MOD(31+$C26+(-3),$B$3)+1)*F26+INDEX(Symboles!$G$6:$G$101,MOD(31+$C26+(-2),$B$3)+1)*G26+INDEX(Symboles!$G$6:$G$101,MOD(31+$C26+(-1),$B$3)+1)*H26+INDEX(Symboles!$G$6:$G$101,MOD(31+$C26+(0),$B$3)+1)*I26+INDEX(Symboles!$G$6:$G$101,MOD(31+$C26+(1),$B$3)+1)*J26+INDEX(Symboles!$G$6:$G$101,MOD(31+$C26+(2),$B$3)+1)*K26+INDEX(Symboles!$G$6:$G$101,MOD(31+$C26+(3),$B$3)+1)*L26+INDEX(Symboles!$G$6:$G$101,MOD(31+$C26+(4),$B$3)+1)*M26+IF($B$6=0,0,$B$6*NORMSINV(0.000001+0.999998*RAND())))</f>
        <v/>
      </c>
      <c r="AV26" s="30">
        <f>IF(33&gt;$B$3,99,INDEX(Symboles!$G$6:$G$101,MOD(32+$C26+(-4),$B$3)+1)*E26+INDEX(Symboles!$G$6:$G$101,MOD(32+$C26+(-3),$B$3)+1)*F26+INDEX(Symboles!$G$6:$G$101,MOD(32+$C26+(-2),$B$3)+1)*G26+INDEX(Symboles!$G$6:$G$101,MOD(32+$C26+(-1),$B$3)+1)*H26+INDEX(Symboles!$G$6:$G$101,MOD(32+$C26+(0),$B$3)+1)*I26+INDEX(Symboles!$G$6:$G$101,MOD(32+$C26+(1),$B$3)+1)*J26+INDEX(Symboles!$G$6:$G$101,MOD(32+$C26+(2),$B$3)+1)*K26+INDEX(Symboles!$G$6:$G$101,MOD(32+$C26+(3),$B$3)+1)*L26+INDEX(Symboles!$G$6:$G$101,MOD(32+$C26+(4),$B$3)+1)*M26+IF($B$6=0,0,$B$6*NORMSINV(0.000001+0.999998*RAND())))</f>
        <v/>
      </c>
      <c r="AW26" s="30">
        <f>IF(34&gt;$B$3,99,INDEX(Symboles!$G$6:$G$101,MOD(33+$C26+(-4),$B$3)+1)*E26+INDEX(Symboles!$G$6:$G$101,MOD(33+$C26+(-3),$B$3)+1)*F26+INDEX(Symboles!$G$6:$G$101,MOD(33+$C26+(-2),$B$3)+1)*G26+INDEX(Symboles!$G$6:$G$101,MOD(33+$C26+(-1),$B$3)+1)*H26+INDEX(Symboles!$G$6:$G$101,MOD(33+$C26+(0),$B$3)+1)*I26+INDEX(Symboles!$G$6:$G$101,MOD(33+$C26+(1),$B$3)+1)*J26+INDEX(Symboles!$G$6:$G$101,MOD(33+$C26+(2),$B$3)+1)*K26+INDEX(Symboles!$G$6:$G$101,MOD(33+$C26+(3),$B$3)+1)*L26+INDEX(Symboles!$G$6:$G$101,MOD(33+$C26+(4),$B$3)+1)*M26+IF($B$6=0,0,$B$6*NORMSINV(0.000001+0.999998*RAND())))</f>
        <v/>
      </c>
      <c r="AX26" s="30">
        <f>IF(35&gt;$B$3,99,INDEX(Symboles!$G$6:$G$101,MOD(34+$C26+(-4),$B$3)+1)*E26+INDEX(Symboles!$G$6:$G$101,MOD(34+$C26+(-3),$B$3)+1)*F26+INDEX(Symboles!$G$6:$G$101,MOD(34+$C26+(-2),$B$3)+1)*G26+INDEX(Symboles!$G$6:$G$101,MOD(34+$C26+(-1),$B$3)+1)*H26+INDEX(Symboles!$G$6:$G$101,MOD(34+$C26+(0),$B$3)+1)*I26+INDEX(Symboles!$G$6:$G$101,MOD(34+$C26+(1),$B$3)+1)*J26+INDEX(Symboles!$G$6:$G$101,MOD(34+$C26+(2),$B$3)+1)*K26+INDEX(Symboles!$G$6:$G$101,MOD(34+$C26+(3),$B$3)+1)*L26+INDEX(Symboles!$G$6:$G$101,MOD(34+$C26+(4),$B$3)+1)*M26+IF($B$6=0,0,$B$6*NORMSINV(0.000001+0.999998*RAND())))</f>
        <v/>
      </c>
      <c r="AY26" s="30">
        <f>IF(36&gt;$B$3,99,INDEX(Symboles!$G$6:$G$101,MOD(35+$C26+(-4),$B$3)+1)*E26+INDEX(Symboles!$G$6:$G$101,MOD(35+$C26+(-3),$B$3)+1)*F26+INDEX(Symboles!$G$6:$G$101,MOD(35+$C26+(-2),$B$3)+1)*G26+INDEX(Symboles!$G$6:$G$101,MOD(35+$C26+(-1),$B$3)+1)*H26+INDEX(Symboles!$G$6:$G$101,MOD(35+$C26+(0),$B$3)+1)*I26+INDEX(Symboles!$G$6:$G$101,MOD(35+$C26+(1),$B$3)+1)*J26+INDEX(Symboles!$G$6:$G$101,MOD(35+$C26+(2),$B$3)+1)*K26+INDEX(Symboles!$G$6:$G$101,MOD(35+$C26+(3),$B$3)+1)*L26+INDEX(Symboles!$G$6:$G$101,MOD(35+$C26+(4),$B$3)+1)*M26+IF($B$6=0,0,$B$6*NORMSINV(0.000001+0.999998*RAND())))</f>
        <v/>
      </c>
      <c r="AZ26" s="30">
        <f>IF(37&gt;$B$3,99,INDEX(Symboles!$G$6:$G$101,MOD(36+$C26+(-4),$B$3)+1)*E26+INDEX(Symboles!$G$6:$G$101,MOD(36+$C26+(-3),$B$3)+1)*F26+INDEX(Symboles!$G$6:$G$101,MOD(36+$C26+(-2),$B$3)+1)*G26+INDEX(Symboles!$G$6:$G$101,MOD(36+$C26+(-1),$B$3)+1)*H26+INDEX(Symboles!$G$6:$G$101,MOD(36+$C26+(0),$B$3)+1)*I26+INDEX(Symboles!$G$6:$G$101,MOD(36+$C26+(1),$B$3)+1)*J26+INDEX(Symboles!$G$6:$G$101,MOD(36+$C26+(2),$B$3)+1)*K26+INDEX(Symboles!$G$6:$G$101,MOD(36+$C26+(3),$B$3)+1)*L26+INDEX(Symboles!$G$6:$G$101,MOD(36+$C26+(4),$B$3)+1)*M26+IF($B$6=0,0,$B$6*NORMSINV(0.000001+0.999998*RAND())))</f>
        <v/>
      </c>
      <c r="BA26" s="30">
        <f>IF(38&gt;$B$3,99,INDEX(Symboles!$G$6:$G$101,MOD(37+$C26+(-4),$B$3)+1)*E26+INDEX(Symboles!$G$6:$G$101,MOD(37+$C26+(-3),$B$3)+1)*F26+INDEX(Symboles!$G$6:$G$101,MOD(37+$C26+(-2),$B$3)+1)*G26+INDEX(Symboles!$G$6:$G$101,MOD(37+$C26+(-1),$B$3)+1)*H26+INDEX(Symboles!$G$6:$G$101,MOD(37+$C26+(0),$B$3)+1)*I26+INDEX(Symboles!$G$6:$G$101,MOD(37+$C26+(1),$B$3)+1)*J26+INDEX(Symboles!$G$6:$G$101,MOD(37+$C26+(2),$B$3)+1)*K26+INDEX(Symboles!$G$6:$G$101,MOD(37+$C26+(3),$B$3)+1)*L26+INDEX(Symboles!$G$6:$G$101,MOD(37+$C26+(4),$B$3)+1)*M26+IF($B$6=0,0,$B$6*NORMSINV(0.000001+0.999998*RAND())))</f>
        <v/>
      </c>
      <c r="BB26" s="30">
        <f>IF(39&gt;$B$3,99,INDEX(Symboles!$G$6:$G$101,MOD(38+$C26+(-4),$B$3)+1)*E26+INDEX(Symboles!$G$6:$G$101,MOD(38+$C26+(-3),$B$3)+1)*F26+INDEX(Symboles!$G$6:$G$101,MOD(38+$C26+(-2),$B$3)+1)*G26+INDEX(Symboles!$G$6:$G$101,MOD(38+$C26+(-1),$B$3)+1)*H26+INDEX(Symboles!$G$6:$G$101,MOD(38+$C26+(0),$B$3)+1)*I26+INDEX(Symboles!$G$6:$G$101,MOD(38+$C26+(1),$B$3)+1)*J26+INDEX(Symboles!$G$6:$G$101,MOD(38+$C26+(2),$B$3)+1)*K26+INDEX(Symboles!$G$6:$G$101,MOD(38+$C26+(3),$B$3)+1)*L26+INDEX(Symboles!$G$6:$G$101,MOD(38+$C26+(4),$B$3)+1)*M26+IF($B$6=0,0,$B$6*NORMSINV(0.000001+0.999998*RAND())))</f>
        <v/>
      </c>
      <c r="BC26" s="30">
        <f>IF(40&gt;$B$3,99,INDEX(Symboles!$G$6:$G$101,MOD(39+$C26+(-4),$B$3)+1)*E26+INDEX(Symboles!$G$6:$G$101,MOD(39+$C26+(-3),$B$3)+1)*F26+INDEX(Symboles!$G$6:$G$101,MOD(39+$C26+(-2),$B$3)+1)*G26+INDEX(Symboles!$G$6:$G$101,MOD(39+$C26+(-1),$B$3)+1)*H26+INDEX(Symboles!$G$6:$G$101,MOD(39+$C26+(0),$B$3)+1)*I26+INDEX(Symboles!$G$6:$G$101,MOD(39+$C26+(1),$B$3)+1)*J26+INDEX(Symboles!$G$6:$G$101,MOD(39+$C26+(2),$B$3)+1)*K26+INDEX(Symboles!$G$6:$G$101,MOD(39+$C26+(3),$B$3)+1)*L26+INDEX(Symboles!$G$6:$G$101,MOD(39+$C26+(4),$B$3)+1)*M26+IF($B$6=0,0,$B$6*NORMSINV(0.000001+0.999998*RAND())))</f>
        <v/>
      </c>
      <c r="BD26" s="30">
        <f>IF(41&gt;$B$3,99,INDEX(Symboles!$G$6:$G$101,MOD(40+$C26+(-4),$B$3)+1)*E26+INDEX(Symboles!$G$6:$G$101,MOD(40+$C26+(-3),$B$3)+1)*F26+INDEX(Symboles!$G$6:$G$101,MOD(40+$C26+(-2),$B$3)+1)*G26+INDEX(Symboles!$G$6:$G$101,MOD(40+$C26+(-1),$B$3)+1)*H26+INDEX(Symboles!$G$6:$G$101,MOD(40+$C26+(0),$B$3)+1)*I26+INDEX(Symboles!$G$6:$G$101,MOD(40+$C26+(1),$B$3)+1)*J26+INDEX(Symboles!$G$6:$G$101,MOD(40+$C26+(2),$B$3)+1)*K26+INDEX(Symboles!$G$6:$G$101,MOD(40+$C26+(3),$B$3)+1)*L26+INDEX(Symboles!$G$6:$G$101,MOD(40+$C26+(4),$B$3)+1)*M26+IF($B$6=0,0,$B$6*NORMSINV(0.000001+0.999998*RAND())))</f>
        <v/>
      </c>
      <c r="BE26" s="30">
        <f>IF(42&gt;$B$3,99,INDEX(Symboles!$G$6:$G$101,MOD(41+$C26+(-4),$B$3)+1)*E26+INDEX(Symboles!$G$6:$G$101,MOD(41+$C26+(-3),$B$3)+1)*F26+INDEX(Symboles!$G$6:$G$101,MOD(41+$C26+(-2),$B$3)+1)*G26+INDEX(Symboles!$G$6:$G$101,MOD(41+$C26+(-1),$B$3)+1)*H26+INDEX(Symboles!$G$6:$G$101,MOD(41+$C26+(0),$B$3)+1)*I26+INDEX(Symboles!$G$6:$G$101,MOD(41+$C26+(1),$B$3)+1)*J26+INDEX(Symboles!$G$6:$G$101,MOD(41+$C26+(2),$B$3)+1)*K26+INDEX(Symboles!$G$6:$G$101,MOD(41+$C26+(3),$B$3)+1)*L26+INDEX(Symboles!$G$6:$G$101,MOD(41+$C26+(4),$B$3)+1)*M26+IF($B$6=0,0,$B$6*NORMSINV(0.000001+0.999998*RAND())))</f>
        <v/>
      </c>
      <c r="BF26" s="30">
        <f>IF(43&gt;$B$3,99,INDEX(Symboles!$G$6:$G$101,MOD(42+$C26+(-4),$B$3)+1)*E26+INDEX(Symboles!$G$6:$G$101,MOD(42+$C26+(-3),$B$3)+1)*F26+INDEX(Symboles!$G$6:$G$101,MOD(42+$C26+(-2),$B$3)+1)*G26+INDEX(Symboles!$G$6:$G$101,MOD(42+$C26+(-1),$B$3)+1)*H26+INDEX(Symboles!$G$6:$G$101,MOD(42+$C26+(0),$B$3)+1)*I26+INDEX(Symboles!$G$6:$G$101,MOD(42+$C26+(1),$B$3)+1)*J26+INDEX(Symboles!$G$6:$G$101,MOD(42+$C26+(2),$B$3)+1)*K26+INDEX(Symboles!$G$6:$G$101,MOD(42+$C26+(3),$B$3)+1)*L26+INDEX(Symboles!$G$6:$G$101,MOD(42+$C26+(4),$B$3)+1)*M26+IF($B$6=0,0,$B$6*NORMSINV(0.000001+0.999998*RAND())))</f>
        <v/>
      </c>
      <c r="BG26" s="30">
        <f>IF(44&gt;$B$3,99,INDEX(Symboles!$G$6:$G$101,MOD(43+$C26+(-4),$B$3)+1)*E26+INDEX(Symboles!$G$6:$G$101,MOD(43+$C26+(-3),$B$3)+1)*F26+INDEX(Symboles!$G$6:$G$101,MOD(43+$C26+(-2),$B$3)+1)*G26+INDEX(Symboles!$G$6:$G$101,MOD(43+$C26+(-1),$B$3)+1)*H26+INDEX(Symboles!$G$6:$G$101,MOD(43+$C26+(0),$B$3)+1)*I26+INDEX(Symboles!$G$6:$G$101,MOD(43+$C26+(1),$B$3)+1)*J26+INDEX(Symboles!$G$6:$G$101,MOD(43+$C26+(2),$B$3)+1)*K26+INDEX(Symboles!$G$6:$G$101,MOD(43+$C26+(3),$B$3)+1)*L26+INDEX(Symboles!$G$6:$G$101,MOD(43+$C26+(4),$B$3)+1)*M26+IF($B$6=0,0,$B$6*NORMSINV(0.000001+0.999998*RAND())))</f>
        <v/>
      </c>
      <c r="BH26" s="30">
        <f>IF(45&gt;$B$3,99,INDEX(Symboles!$G$6:$G$101,MOD(44+$C26+(-4),$B$3)+1)*E26+INDEX(Symboles!$G$6:$G$101,MOD(44+$C26+(-3),$B$3)+1)*F26+INDEX(Symboles!$G$6:$G$101,MOD(44+$C26+(-2),$B$3)+1)*G26+INDEX(Symboles!$G$6:$G$101,MOD(44+$C26+(-1),$B$3)+1)*H26+INDEX(Symboles!$G$6:$G$101,MOD(44+$C26+(0),$B$3)+1)*I26+INDEX(Symboles!$G$6:$G$101,MOD(44+$C26+(1),$B$3)+1)*J26+INDEX(Symboles!$G$6:$G$101,MOD(44+$C26+(2),$B$3)+1)*K26+INDEX(Symboles!$G$6:$G$101,MOD(44+$C26+(3),$B$3)+1)*L26+INDEX(Symboles!$G$6:$G$101,MOD(44+$C26+(4),$B$3)+1)*M26+IF($B$6=0,0,$B$6*NORMSINV(0.000001+0.999998*RAND())))</f>
        <v/>
      </c>
      <c r="BI26" s="30">
        <f>IF(46&gt;$B$3,99,INDEX(Symboles!$G$6:$G$101,MOD(45+$C26+(-4),$B$3)+1)*E26+INDEX(Symboles!$G$6:$G$101,MOD(45+$C26+(-3),$B$3)+1)*F26+INDEX(Symboles!$G$6:$G$101,MOD(45+$C26+(-2),$B$3)+1)*G26+INDEX(Symboles!$G$6:$G$101,MOD(45+$C26+(-1),$B$3)+1)*H26+INDEX(Symboles!$G$6:$G$101,MOD(45+$C26+(0),$B$3)+1)*I26+INDEX(Symboles!$G$6:$G$101,MOD(45+$C26+(1),$B$3)+1)*J26+INDEX(Symboles!$G$6:$G$101,MOD(45+$C26+(2),$B$3)+1)*K26+INDEX(Symboles!$G$6:$G$101,MOD(45+$C26+(3),$B$3)+1)*L26+INDEX(Symboles!$G$6:$G$101,MOD(45+$C26+(4),$B$3)+1)*M26+IF($B$6=0,0,$B$6*NORMSINV(0.000001+0.999998*RAND())))</f>
        <v/>
      </c>
      <c r="BJ26" s="30">
        <f>IF(47&gt;$B$3,99,INDEX(Symboles!$G$6:$G$101,MOD(46+$C26+(-4),$B$3)+1)*E26+INDEX(Symboles!$G$6:$G$101,MOD(46+$C26+(-3),$B$3)+1)*F26+INDEX(Symboles!$G$6:$G$101,MOD(46+$C26+(-2),$B$3)+1)*G26+INDEX(Symboles!$G$6:$G$101,MOD(46+$C26+(-1),$B$3)+1)*H26+INDEX(Symboles!$G$6:$G$101,MOD(46+$C26+(0),$B$3)+1)*I26+INDEX(Symboles!$G$6:$G$101,MOD(46+$C26+(1),$B$3)+1)*J26+INDEX(Symboles!$G$6:$G$101,MOD(46+$C26+(2),$B$3)+1)*K26+INDEX(Symboles!$G$6:$G$101,MOD(46+$C26+(3),$B$3)+1)*L26+INDEX(Symboles!$G$6:$G$101,MOD(46+$C26+(4),$B$3)+1)*M26+IF($B$6=0,0,$B$6*NORMSINV(0.000001+0.999998*RAND())))</f>
        <v/>
      </c>
      <c r="BK26" s="30">
        <f>IF(48&gt;$B$3,99,INDEX(Symboles!$G$6:$G$101,MOD(47+$C26+(-4),$B$3)+1)*E26+INDEX(Symboles!$G$6:$G$101,MOD(47+$C26+(-3),$B$3)+1)*F26+INDEX(Symboles!$G$6:$G$101,MOD(47+$C26+(-2),$B$3)+1)*G26+INDEX(Symboles!$G$6:$G$101,MOD(47+$C26+(-1),$B$3)+1)*H26+INDEX(Symboles!$G$6:$G$101,MOD(47+$C26+(0),$B$3)+1)*I26+INDEX(Symboles!$G$6:$G$101,MOD(47+$C26+(1),$B$3)+1)*J26+INDEX(Symboles!$G$6:$G$101,MOD(47+$C26+(2),$B$3)+1)*K26+INDEX(Symboles!$G$6:$G$101,MOD(47+$C26+(3),$B$3)+1)*L26+INDEX(Symboles!$G$6:$G$101,MOD(47+$C26+(4),$B$3)+1)*M26+IF($B$6=0,0,$B$6*NORMSINV(0.000001+0.999998*RAND())))</f>
        <v/>
      </c>
      <c r="BL26" s="30">
        <f>IF(49&gt;$B$3,99,INDEX(Symboles!$G$6:$G$101,MOD(48+$C26+(-4),$B$3)+1)*E26+INDEX(Symboles!$G$6:$G$101,MOD(48+$C26+(-3),$B$3)+1)*F26+INDEX(Symboles!$G$6:$G$101,MOD(48+$C26+(-2),$B$3)+1)*G26+INDEX(Symboles!$G$6:$G$101,MOD(48+$C26+(-1),$B$3)+1)*H26+INDEX(Symboles!$G$6:$G$101,MOD(48+$C26+(0),$B$3)+1)*I26+INDEX(Symboles!$G$6:$G$101,MOD(48+$C26+(1),$B$3)+1)*J26+INDEX(Symboles!$G$6:$G$101,MOD(48+$C26+(2),$B$3)+1)*K26+INDEX(Symboles!$G$6:$G$101,MOD(48+$C26+(3),$B$3)+1)*L26+INDEX(Symboles!$G$6:$G$101,MOD(48+$C26+(4),$B$3)+1)*M26+IF($B$6=0,0,$B$6*NORMSINV(0.000001+0.999998*RAND())))</f>
        <v/>
      </c>
      <c r="BM26" s="30">
        <f>IF(50&gt;$B$3,99,INDEX(Symboles!$G$6:$G$101,MOD(49+$C26+(-4),$B$3)+1)*E26+INDEX(Symboles!$G$6:$G$101,MOD(49+$C26+(-3),$B$3)+1)*F26+INDEX(Symboles!$G$6:$G$101,MOD(49+$C26+(-2),$B$3)+1)*G26+INDEX(Symboles!$G$6:$G$101,MOD(49+$C26+(-1),$B$3)+1)*H26+INDEX(Symboles!$G$6:$G$101,MOD(49+$C26+(0),$B$3)+1)*I26+INDEX(Symboles!$G$6:$G$101,MOD(49+$C26+(1),$B$3)+1)*J26+INDEX(Symboles!$G$6:$G$101,MOD(49+$C26+(2),$B$3)+1)*K26+INDEX(Symboles!$G$6:$G$101,MOD(49+$C26+(3),$B$3)+1)*L26+INDEX(Symboles!$G$6:$G$101,MOD(49+$C26+(4),$B$3)+1)*M26+IF($B$6=0,0,$B$6*NORMSINV(0.000001+0.999998*RAND())))</f>
        <v/>
      </c>
      <c r="BN26" s="30">
        <f>IF(51&gt;$B$3,99,INDEX(Symboles!$G$6:$G$101,MOD(50+$C26+(-4),$B$3)+1)*E26+INDEX(Symboles!$G$6:$G$101,MOD(50+$C26+(-3),$B$3)+1)*F26+INDEX(Symboles!$G$6:$G$101,MOD(50+$C26+(-2),$B$3)+1)*G26+INDEX(Symboles!$G$6:$G$101,MOD(50+$C26+(-1),$B$3)+1)*H26+INDEX(Symboles!$G$6:$G$101,MOD(50+$C26+(0),$B$3)+1)*I26+INDEX(Symboles!$G$6:$G$101,MOD(50+$C26+(1),$B$3)+1)*J26+INDEX(Symboles!$G$6:$G$101,MOD(50+$C26+(2),$B$3)+1)*K26+INDEX(Symboles!$G$6:$G$101,MOD(50+$C26+(3),$B$3)+1)*L26+INDEX(Symboles!$G$6:$G$101,MOD(50+$C26+(4),$B$3)+1)*M26+IF($B$6=0,0,$B$6*NORMSINV(0.000001+0.999998*RAND())))</f>
        <v/>
      </c>
      <c r="BO26" s="30">
        <f>IF(52&gt;$B$3,99,INDEX(Symboles!$G$6:$G$101,MOD(51+$C26+(-4),$B$3)+1)*E26+INDEX(Symboles!$G$6:$G$101,MOD(51+$C26+(-3),$B$3)+1)*F26+INDEX(Symboles!$G$6:$G$101,MOD(51+$C26+(-2),$B$3)+1)*G26+INDEX(Symboles!$G$6:$G$101,MOD(51+$C26+(-1),$B$3)+1)*H26+INDEX(Symboles!$G$6:$G$101,MOD(51+$C26+(0),$B$3)+1)*I26+INDEX(Symboles!$G$6:$G$101,MOD(51+$C26+(1),$B$3)+1)*J26+INDEX(Symboles!$G$6:$G$101,MOD(51+$C26+(2),$B$3)+1)*K26+INDEX(Symboles!$G$6:$G$101,MOD(51+$C26+(3),$B$3)+1)*L26+INDEX(Symboles!$G$6:$G$101,MOD(51+$C26+(4),$B$3)+1)*M26+IF($B$6=0,0,$B$6*NORMSINV(0.000001+0.999998*RAND())))</f>
        <v/>
      </c>
      <c r="BP26" s="30">
        <f>IF(53&gt;$B$3,99,INDEX(Symboles!$G$6:$G$101,MOD(52+$C26+(-4),$B$3)+1)*E26+INDEX(Symboles!$G$6:$G$101,MOD(52+$C26+(-3),$B$3)+1)*F26+INDEX(Symboles!$G$6:$G$101,MOD(52+$C26+(-2),$B$3)+1)*G26+INDEX(Symboles!$G$6:$G$101,MOD(52+$C26+(-1),$B$3)+1)*H26+INDEX(Symboles!$G$6:$G$101,MOD(52+$C26+(0),$B$3)+1)*I26+INDEX(Symboles!$G$6:$G$101,MOD(52+$C26+(1),$B$3)+1)*J26+INDEX(Symboles!$G$6:$G$101,MOD(52+$C26+(2),$B$3)+1)*K26+INDEX(Symboles!$G$6:$G$101,MOD(52+$C26+(3),$B$3)+1)*L26+INDEX(Symboles!$G$6:$G$101,MOD(52+$C26+(4),$B$3)+1)*M26+IF($B$6=0,0,$B$6*NORMSINV(0.000001+0.999998*RAND())))</f>
        <v/>
      </c>
      <c r="BQ26" s="30">
        <f>IF(54&gt;$B$3,99,INDEX(Symboles!$G$6:$G$101,MOD(53+$C26+(-4),$B$3)+1)*E26+INDEX(Symboles!$G$6:$G$101,MOD(53+$C26+(-3),$B$3)+1)*F26+INDEX(Symboles!$G$6:$G$101,MOD(53+$C26+(-2),$B$3)+1)*G26+INDEX(Symboles!$G$6:$G$101,MOD(53+$C26+(-1),$B$3)+1)*H26+INDEX(Symboles!$G$6:$G$101,MOD(53+$C26+(0),$B$3)+1)*I26+INDEX(Symboles!$G$6:$G$101,MOD(53+$C26+(1),$B$3)+1)*J26+INDEX(Symboles!$G$6:$G$101,MOD(53+$C26+(2),$B$3)+1)*K26+INDEX(Symboles!$G$6:$G$101,MOD(53+$C26+(3),$B$3)+1)*L26+INDEX(Symboles!$G$6:$G$101,MOD(53+$C26+(4),$B$3)+1)*M26+IF($B$6=0,0,$B$6*NORMSINV(0.000001+0.999998*RAND())))</f>
        <v/>
      </c>
      <c r="BR26" s="30">
        <f>IF(55&gt;$B$3,99,INDEX(Symboles!$G$6:$G$101,MOD(54+$C26+(-4),$B$3)+1)*E26+INDEX(Symboles!$G$6:$G$101,MOD(54+$C26+(-3),$B$3)+1)*F26+INDEX(Symboles!$G$6:$G$101,MOD(54+$C26+(-2),$B$3)+1)*G26+INDEX(Symboles!$G$6:$G$101,MOD(54+$C26+(-1),$B$3)+1)*H26+INDEX(Symboles!$G$6:$G$101,MOD(54+$C26+(0),$B$3)+1)*I26+INDEX(Symboles!$G$6:$G$101,MOD(54+$C26+(1),$B$3)+1)*J26+INDEX(Symboles!$G$6:$G$101,MOD(54+$C26+(2),$B$3)+1)*K26+INDEX(Symboles!$G$6:$G$101,MOD(54+$C26+(3),$B$3)+1)*L26+INDEX(Symboles!$G$6:$G$101,MOD(54+$C26+(4),$B$3)+1)*M26+IF($B$6=0,0,$B$6*NORMSINV(0.000001+0.999998*RAND())))</f>
        <v/>
      </c>
      <c r="BS26" s="30">
        <f>IF(56&gt;$B$3,99,INDEX(Symboles!$G$6:$G$101,MOD(55+$C26+(-4),$B$3)+1)*E26+INDEX(Symboles!$G$6:$G$101,MOD(55+$C26+(-3),$B$3)+1)*F26+INDEX(Symboles!$G$6:$G$101,MOD(55+$C26+(-2),$B$3)+1)*G26+INDEX(Symboles!$G$6:$G$101,MOD(55+$C26+(-1),$B$3)+1)*H26+INDEX(Symboles!$G$6:$G$101,MOD(55+$C26+(0),$B$3)+1)*I26+INDEX(Symboles!$G$6:$G$101,MOD(55+$C26+(1),$B$3)+1)*J26+INDEX(Symboles!$G$6:$G$101,MOD(55+$C26+(2),$B$3)+1)*K26+INDEX(Symboles!$G$6:$G$101,MOD(55+$C26+(3),$B$3)+1)*L26+INDEX(Symboles!$G$6:$G$101,MOD(55+$C26+(4),$B$3)+1)*M26+IF($B$6=0,0,$B$6*NORMSINV(0.000001+0.999998*RAND())))</f>
        <v/>
      </c>
      <c r="BT26" s="30">
        <f>IF(57&gt;$B$3,99,INDEX(Symboles!$G$6:$G$101,MOD(56+$C26+(-4),$B$3)+1)*E26+INDEX(Symboles!$G$6:$G$101,MOD(56+$C26+(-3),$B$3)+1)*F26+INDEX(Symboles!$G$6:$G$101,MOD(56+$C26+(-2),$B$3)+1)*G26+INDEX(Symboles!$G$6:$G$101,MOD(56+$C26+(-1),$B$3)+1)*H26+INDEX(Symboles!$G$6:$G$101,MOD(56+$C26+(0),$B$3)+1)*I26+INDEX(Symboles!$G$6:$G$101,MOD(56+$C26+(1),$B$3)+1)*J26+INDEX(Symboles!$G$6:$G$101,MOD(56+$C26+(2),$B$3)+1)*K26+INDEX(Symboles!$G$6:$G$101,MOD(56+$C26+(3),$B$3)+1)*L26+INDEX(Symboles!$G$6:$G$101,MOD(56+$C26+(4),$B$3)+1)*M26+IF($B$6=0,0,$B$6*NORMSINV(0.000001+0.999998*RAND())))</f>
        <v/>
      </c>
      <c r="BU26" s="30">
        <f>IF(58&gt;$B$3,99,INDEX(Symboles!$G$6:$G$101,MOD(57+$C26+(-4),$B$3)+1)*E26+INDEX(Symboles!$G$6:$G$101,MOD(57+$C26+(-3),$B$3)+1)*F26+INDEX(Symboles!$G$6:$G$101,MOD(57+$C26+(-2),$B$3)+1)*G26+INDEX(Symboles!$G$6:$G$101,MOD(57+$C26+(-1),$B$3)+1)*H26+INDEX(Symboles!$G$6:$G$101,MOD(57+$C26+(0),$B$3)+1)*I26+INDEX(Symboles!$G$6:$G$101,MOD(57+$C26+(1),$B$3)+1)*J26+INDEX(Symboles!$G$6:$G$101,MOD(57+$C26+(2),$B$3)+1)*K26+INDEX(Symboles!$G$6:$G$101,MOD(57+$C26+(3),$B$3)+1)*L26+INDEX(Symboles!$G$6:$G$101,MOD(57+$C26+(4),$B$3)+1)*M26+IF($B$6=0,0,$B$6*NORMSINV(0.000001+0.999998*RAND())))</f>
        <v/>
      </c>
      <c r="BV26" s="30">
        <f>IF(59&gt;$B$3,99,INDEX(Symboles!$G$6:$G$101,MOD(58+$C26+(-4),$B$3)+1)*E26+INDEX(Symboles!$G$6:$G$101,MOD(58+$C26+(-3),$B$3)+1)*F26+INDEX(Symboles!$G$6:$G$101,MOD(58+$C26+(-2),$B$3)+1)*G26+INDEX(Symboles!$G$6:$G$101,MOD(58+$C26+(-1),$B$3)+1)*H26+INDEX(Symboles!$G$6:$G$101,MOD(58+$C26+(0),$B$3)+1)*I26+INDEX(Symboles!$G$6:$G$101,MOD(58+$C26+(1),$B$3)+1)*J26+INDEX(Symboles!$G$6:$G$101,MOD(58+$C26+(2),$B$3)+1)*K26+INDEX(Symboles!$G$6:$G$101,MOD(58+$C26+(3),$B$3)+1)*L26+INDEX(Symboles!$G$6:$G$101,MOD(58+$C26+(4),$B$3)+1)*M26+IF($B$6=0,0,$B$6*NORMSINV(0.000001+0.999998*RAND())))</f>
        <v/>
      </c>
      <c r="BW26" s="30">
        <f>IF(60&gt;$B$3,99,INDEX(Symboles!$G$6:$G$101,MOD(59+$C26+(-4),$B$3)+1)*E26+INDEX(Symboles!$G$6:$G$101,MOD(59+$C26+(-3),$B$3)+1)*F26+INDEX(Symboles!$G$6:$G$101,MOD(59+$C26+(-2),$B$3)+1)*G26+INDEX(Symboles!$G$6:$G$101,MOD(59+$C26+(-1),$B$3)+1)*H26+INDEX(Symboles!$G$6:$G$101,MOD(59+$C26+(0),$B$3)+1)*I26+INDEX(Symboles!$G$6:$G$101,MOD(59+$C26+(1),$B$3)+1)*J26+INDEX(Symboles!$G$6:$G$101,MOD(59+$C26+(2),$B$3)+1)*K26+INDEX(Symboles!$G$6:$G$101,MOD(59+$C26+(3),$B$3)+1)*L26+INDEX(Symboles!$G$6:$G$101,MOD(59+$C26+(4),$B$3)+1)*M26+IF($B$6=0,0,$B$6*NORMSINV(0.000001+0.999998*RAND())))</f>
        <v/>
      </c>
      <c r="BX26" s="30">
        <f>IF(61&gt;$B$3,99,INDEX(Symboles!$G$6:$G$101,MOD(60+$C26+(-4),$B$3)+1)*E26+INDEX(Symboles!$G$6:$G$101,MOD(60+$C26+(-3),$B$3)+1)*F26+INDEX(Symboles!$G$6:$G$101,MOD(60+$C26+(-2),$B$3)+1)*G26+INDEX(Symboles!$G$6:$G$101,MOD(60+$C26+(-1),$B$3)+1)*H26+INDEX(Symboles!$G$6:$G$101,MOD(60+$C26+(0),$B$3)+1)*I26+INDEX(Symboles!$G$6:$G$101,MOD(60+$C26+(1),$B$3)+1)*J26+INDEX(Symboles!$G$6:$G$101,MOD(60+$C26+(2),$B$3)+1)*K26+INDEX(Symboles!$G$6:$G$101,MOD(60+$C26+(3),$B$3)+1)*L26+INDEX(Symboles!$G$6:$G$101,MOD(60+$C26+(4),$B$3)+1)*M26+IF($B$6=0,0,$B$6*NORMSINV(0.000001+0.999998*RAND())))</f>
        <v/>
      </c>
      <c r="BY26" s="30">
        <f>IF(62&gt;$B$3,99,INDEX(Symboles!$G$6:$G$101,MOD(61+$C26+(-4),$B$3)+1)*E26+INDEX(Symboles!$G$6:$G$101,MOD(61+$C26+(-3),$B$3)+1)*F26+INDEX(Symboles!$G$6:$G$101,MOD(61+$C26+(-2),$B$3)+1)*G26+INDEX(Symboles!$G$6:$G$101,MOD(61+$C26+(-1),$B$3)+1)*H26+INDEX(Symboles!$G$6:$G$101,MOD(61+$C26+(0),$B$3)+1)*I26+INDEX(Symboles!$G$6:$G$101,MOD(61+$C26+(1),$B$3)+1)*J26+INDEX(Symboles!$G$6:$G$101,MOD(61+$C26+(2),$B$3)+1)*K26+INDEX(Symboles!$G$6:$G$101,MOD(61+$C26+(3),$B$3)+1)*L26+INDEX(Symboles!$G$6:$G$101,MOD(61+$C26+(4),$B$3)+1)*M26+IF($B$6=0,0,$B$6*NORMSINV(0.000001+0.999998*RAND())))</f>
        <v/>
      </c>
      <c r="BZ26" s="30">
        <f>IF(63&gt;$B$3,99,INDEX(Symboles!$G$6:$G$101,MOD(62+$C26+(-4),$B$3)+1)*E26+INDEX(Symboles!$G$6:$G$101,MOD(62+$C26+(-3),$B$3)+1)*F26+INDEX(Symboles!$G$6:$G$101,MOD(62+$C26+(-2),$B$3)+1)*G26+INDEX(Symboles!$G$6:$G$101,MOD(62+$C26+(-1),$B$3)+1)*H26+INDEX(Symboles!$G$6:$G$101,MOD(62+$C26+(0),$B$3)+1)*I26+INDEX(Symboles!$G$6:$G$101,MOD(62+$C26+(1),$B$3)+1)*J26+INDEX(Symboles!$G$6:$G$101,MOD(62+$C26+(2),$B$3)+1)*K26+INDEX(Symboles!$G$6:$G$101,MOD(62+$C26+(3),$B$3)+1)*L26+INDEX(Symboles!$G$6:$G$101,MOD(62+$C26+(4),$B$3)+1)*M26+IF($B$6=0,0,$B$6*NORMSINV(0.000001+0.999998*RAND())))</f>
        <v/>
      </c>
      <c r="CA26" s="30">
        <f>IF(64&gt;$B$3,99,INDEX(Symboles!$G$6:$G$101,MOD(63+$C26+(-4),$B$3)+1)*E26+INDEX(Symboles!$G$6:$G$101,MOD(63+$C26+(-3),$B$3)+1)*F26+INDEX(Symboles!$G$6:$G$101,MOD(63+$C26+(-2),$B$3)+1)*G26+INDEX(Symboles!$G$6:$G$101,MOD(63+$C26+(-1),$B$3)+1)*H26+INDEX(Symboles!$G$6:$G$101,MOD(63+$C26+(0),$B$3)+1)*I26+INDEX(Symboles!$G$6:$G$101,MOD(63+$C26+(1),$B$3)+1)*J26+INDEX(Symboles!$G$6:$G$101,MOD(63+$C26+(2),$B$3)+1)*K26+INDEX(Symboles!$G$6:$G$101,MOD(63+$C26+(3),$B$3)+1)*L26+INDEX(Symboles!$G$6:$G$101,MOD(63+$C26+(4),$B$3)+1)*M26+IF($B$6=0,0,$B$6*NORMSINV(0.000001+0.999998*RAND())))</f>
        <v/>
      </c>
      <c r="CB26" s="30">
        <f>IF(65&gt;$B$3,99,INDEX(Symboles!$G$6:$G$101,MOD(64+$C26+(-4),$B$3)+1)*E26+INDEX(Symboles!$G$6:$G$101,MOD(64+$C26+(-3),$B$3)+1)*F26+INDEX(Symboles!$G$6:$G$101,MOD(64+$C26+(-2),$B$3)+1)*G26+INDEX(Symboles!$G$6:$G$101,MOD(64+$C26+(-1),$B$3)+1)*H26+INDEX(Symboles!$G$6:$G$101,MOD(64+$C26+(0),$B$3)+1)*I26+INDEX(Symboles!$G$6:$G$101,MOD(64+$C26+(1),$B$3)+1)*J26+INDEX(Symboles!$G$6:$G$101,MOD(64+$C26+(2),$B$3)+1)*K26+INDEX(Symboles!$G$6:$G$101,MOD(64+$C26+(3),$B$3)+1)*L26+INDEX(Symboles!$G$6:$G$101,MOD(64+$C26+(4),$B$3)+1)*M26+IF($B$6=0,0,$B$6*NORMSINV(0.000001+0.999998*RAND())))</f>
        <v/>
      </c>
      <c r="CC26" s="30">
        <f>IF(66&gt;$B$3,99,INDEX(Symboles!$G$6:$G$101,MOD(65+$C26+(-4),$B$3)+1)*E26+INDEX(Symboles!$G$6:$G$101,MOD(65+$C26+(-3),$B$3)+1)*F26+INDEX(Symboles!$G$6:$G$101,MOD(65+$C26+(-2),$B$3)+1)*G26+INDEX(Symboles!$G$6:$G$101,MOD(65+$C26+(-1),$B$3)+1)*H26+INDEX(Symboles!$G$6:$G$101,MOD(65+$C26+(0),$B$3)+1)*I26+INDEX(Symboles!$G$6:$G$101,MOD(65+$C26+(1),$B$3)+1)*J26+INDEX(Symboles!$G$6:$G$101,MOD(65+$C26+(2),$B$3)+1)*K26+INDEX(Symboles!$G$6:$G$101,MOD(65+$C26+(3),$B$3)+1)*L26+INDEX(Symboles!$G$6:$G$101,MOD(65+$C26+(4),$B$3)+1)*M26+IF($B$6=0,0,$B$6*NORMSINV(0.000001+0.999998*RAND())))</f>
        <v/>
      </c>
      <c r="CD26" s="30">
        <f>IF(67&gt;$B$3,99,INDEX(Symboles!$G$6:$G$101,MOD(66+$C26+(-4),$B$3)+1)*E26+INDEX(Symboles!$G$6:$G$101,MOD(66+$C26+(-3),$B$3)+1)*F26+INDEX(Symboles!$G$6:$G$101,MOD(66+$C26+(-2),$B$3)+1)*G26+INDEX(Symboles!$G$6:$G$101,MOD(66+$C26+(-1),$B$3)+1)*H26+INDEX(Symboles!$G$6:$G$101,MOD(66+$C26+(0),$B$3)+1)*I26+INDEX(Symboles!$G$6:$G$101,MOD(66+$C26+(1),$B$3)+1)*J26+INDEX(Symboles!$G$6:$G$101,MOD(66+$C26+(2),$B$3)+1)*K26+INDEX(Symboles!$G$6:$G$101,MOD(66+$C26+(3),$B$3)+1)*L26+INDEX(Symboles!$G$6:$G$101,MOD(66+$C26+(4),$B$3)+1)*M26+IF($B$6=0,0,$B$6*NORMSINV(0.000001+0.999998*RAND())))</f>
        <v/>
      </c>
      <c r="CE26" s="30">
        <f>IF(68&gt;$B$3,99,INDEX(Symboles!$G$6:$G$101,MOD(67+$C26+(-4),$B$3)+1)*E26+INDEX(Symboles!$G$6:$G$101,MOD(67+$C26+(-3),$B$3)+1)*F26+INDEX(Symboles!$G$6:$G$101,MOD(67+$C26+(-2),$B$3)+1)*G26+INDEX(Symboles!$G$6:$G$101,MOD(67+$C26+(-1),$B$3)+1)*H26+INDEX(Symboles!$G$6:$G$101,MOD(67+$C26+(0),$B$3)+1)*I26+INDEX(Symboles!$G$6:$G$101,MOD(67+$C26+(1),$B$3)+1)*J26+INDEX(Symboles!$G$6:$G$101,MOD(67+$C26+(2),$B$3)+1)*K26+INDEX(Symboles!$G$6:$G$101,MOD(67+$C26+(3),$B$3)+1)*L26+INDEX(Symboles!$G$6:$G$101,MOD(67+$C26+(4),$B$3)+1)*M26+IF($B$6=0,0,$B$6*NORMSINV(0.000001+0.999998*RAND())))</f>
        <v/>
      </c>
      <c r="CF26" s="30">
        <f>IF(69&gt;$B$3,99,INDEX(Symboles!$G$6:$G$101,MOD(68+$C26+(-4),$B$3)+1)*E26+INDEX(Symboles!$G$6:$G$101,MOD(68+$C26+(-3),$B$3)+1)*F26+INDEX(Symboles!$G$6:$G$101,MOD(68+$C26+(-2),$B$3)+1)*G26+INDEX(Symboles!$G$6:$G$101,MOD(68+$C26+(-1),$B$3)+1)*H26+INDEX(Symboles!$G$6:$G$101,MOD(68+$C26+(0),$B$3)+1)*I26+INDEX(Symboles!$G$6:$G$101,MOD(68+$C26+(1),$B$3)+1)*J26+INDEX(Symboles!$G$6:$G$101,MOD(68+$C26+(2),$B$3)+1)*K26+INDEX(Symboles!$G$6:$G$101,MOD(68+$C26+(3),$B$3)+1)*L26+INDEX(Symboles!$G$6:$G$101,MOD(68+$C26+(4),$B$3)+1)*M26+IF($B$6=0,0,$B$6*NORMSINV(0.000001+0.999998*RAND())))</f>
        <v/>
      </c>
      <c r="CG26" s="30">
        <f>IF(70&gt;$B$3,99,INDEX(Symboles!$G$6:$G$101,MOD(69+$C26+(-4),$B$3)+1)*E26+INDEX(Symboles!$G$6:$G$101,MOD(69+$C26+(-3),$B$3)+1)*F26+INDEX(Symboles!$G$6:$G$101,MOD(69+$C26+(-2),$B$3)+1)*G26+INDEX(Symboles!$G$6:$G$101,MOD(69+$C26+(-1),$B$3)+1)*H26+INDEX(Symboles!$G$6:$G$101,MOD(69+$C26+(0),$B$3)+1)*I26+INDEX(Symboles!$G$6:$G$101,MOD(69+$C26+(1),$B$3)+1)*J26+INDEX(Symboles!$G$6:$G$101,MOD(69+$C26+(2),$B$3)+1)*K26+INDEX(Symboles!$G$6:$G$101,MOD(69+$C26+(3),$B$3)+1)*L26+INDEX(Symboles!$G$6:$G$101,MOD(69+$C26+(4),$B$3)+1)*M26+IF($B$6=0,0,$B$6*NORMSINV(0.000001+0.999998*RAND())))</f>
        <v/>
      </c>
      <c r="CH26" s="30">
        <f>IF(71&gt;$B$3,99,INDEX(Symboles!$G$6:$G$101,MOD(70+$C26+(-4),$B$3)+1)*E26+INDEX(Symboles!$G$6:$G$101,MOD(70+$C26+(-3),$B$3)+1)*F26+INDEX(Symboles!$G$6:$G$101,MOD(70+$C26+(-2),$B$3)+1)*G26+INDEX(Symboles!$G$6:$G$101,MOD(70+$C26+(-1),$B$3)+1)*H26+INDEX(Symboles!$G$6:$G$101,MOD(70+$C26+(0),$B$3)+1)*I26+INDEX(Symboles!$G$6:$G$101,MOD(70+$C26+(1),$B$3)+1)*J26+INDEX(Symboles!$G$6:$G$101,MOD(70+$C26+(2),$B$3)+1)*K26+INDEX(Symboles!$G$6:$G$101,MOD(70+$C26+(3),$B$3)+1)*L26+INDEX(Symboles!$G$6:$G$101,MOD(70+$C26+(4),$B$3)+1)*M26+IF($B$6=0,0,$B$6*NORMSINV(0.000001+0.999998*RAND())))</f>
        <v/>
      </c>
      <c r="CI26" s="30">
        <f>IF(72&gt;$B$3,99,INDEX(Symboles!$G$6:$G$101,MOD(71+$C26+(-4),$B$3)+1)*E26+INDEX(Symboles!$G$6:$G$101,MOD(71+$C26+(-3),$B$3)+1)*F26+INDEX(Symboles!$G$6:$G$101,MOD(71+$C26+(-2),$B$3)+1)*G26+INDEX(Symboles!$G$6:$G$101,MOD(71+$C26+(-1),$B$3)+1)*H26+INDEX(Symboles!$G$6:$G$101,MOD(71+$C26+(0),$B$3)+1)*I26+INDEX(Symboles!$G$6:$G$101,MOD(71+$C26+(1),$B$3)+1)*J26+INDEX(Symboles!$G$6:$G$101,MOD(71+$C26+(2),$B$3)+1)*K26+INDEX(Symboles!$G$6:$G$101,MOD(71+$C26+(3),$B$3)+1)*L26+INDEX(Symboles!$G$6:$G$101,MOD(71+$C26+(4),$B$3)+1)*M26+IF($B$6=0,0,$B$6*NORMSINV(0.000001+0.999998*RAND())))</f>
        <v/>
      </c>
      <c r="CJ26" s="30">
        <f>IF(73&gt;$B$3,99,INDEX(Symboles!$G$6:$G$101,MOD(72+$C26+(-4),$B$3)+1)*E26+INDEX(Symboles!$G$6:$G$101,MOD(72+$C26+(-3),$B$3)+1)*F26+INDEX(Symboles!$G$6:$G$101,MOD(72+$C26+(-2),$B$3)+1)*G26+INDEX(Symboles!$G$6:$G$101,MOD(72+$C26+(-1),$B$3)+1)*H26+INDEX(Symboles!$G$6:$G$101,MOD(72+$C26+(0),$B$3)+1)*I26+INDEX(Symboles!$G$6:$G$101,MOD(72+$C26+(1),$B$3)+1)*J26+INDEX(Symboles!$G$6:$G$101,MOD(72+$C26+(2),$B$3)+1)*K26+INDEX(Symboles!$G$6:$G$101,MOD(72+$C26+(3),$B$3)+1)*L26+INDEX(Symboles!$G$6:$G$101,MOD(72+$C26+(4),$B$3)+1)*M26+IF($B$6=0,0,$B$6*NORMSINV(0.000001+0.999998*RAND())))</f>
        <v/>
      </c>
      <c r="CK26" s="30">
        <f>IF(74&gt;$B$3,99,INDEX(Symboles!$G$6:$G$101,MOD(73+$C26+(-4),$B$3)+1)*E26+INDEX(Symboles!$G$6:$G$101,MOD(73+$C26+(-3),$B$3)+1)*F26+INDEX(Symboles!$G$6:$G$101,MOD(73+$C26+(-2),$B$3)+1)*G26+INDEX(Symboles!$G$6:$G$101,MOD(73+$C26+(-1),$B$3)+1)*H26+INDEX(Symboles!$G$6:$G$101,MOD(73+$C26+(0),$B$3)+1)*I26+INDEX(Symboles!$G$6:$G$101,MOD(73+$C26+(1),$B$3)+1)*J26+INDEX(Symboles!$G$6:$G$101,MOD(73+$C26+(2),$B$3)+1)*K26+INDEX(Symboles!$G$6:$G$101,MOD(73+$C26+(3),$B$3)+1)*L26+INDEX(Symboles!$G$6:$G$101,MOD(73+$C26+(4),$B$3)+1)*M26+IF($B$6=0,0,$B$6*NORMSINV(0.000001+0.999998*RAND())))</f>
        <v/>
      </c>
      <c r="CL26" s="30">
        <f>IF(75&gt;$B$3,99,INDEX(Symboles!$G$6:$G$101,MOD(74+$C26+(-4),$B$3)+1)*E26+INDEX(Symboles!$G$6:$G$101,MOD(74+$C26+(-3),$B$3)+1)*F26+INDEX(Symboles!$G$6:$G$101,MOD(74+$C26+(-2),$B$3)+1)*G26+INDEX(Symboles!$G$6:$G$101,MOD(74+$C26+(-1),$B$3)+1)*H26+INDEX(Symboles!$G$6:$G$101,MOD(74+$C26+(0),$B$3)+1)*I26+INDEX(Symboles!$G$6:$G$101,MOD(74+$C26+(1),$B$3)+1)*J26+INDEX(Symboles!$G$6:$G$101,MOD(74+$C26+(2),$B$3)+1)*K26+INDEX(Symboles!$G$6:$G$101,MOD(74+$C26+(3),$B$3)+1)*L26+INDEX(Symboles!$G$6:$G$101,MOD(74+$C26+(4),$B$3)+1)*M26+IF($B$6=0,0,$B$6*NORMSINV(0.000001+0.999998*RAND())))</f>
        <v/>
      </c>
      <c r="CM26" s="30">
        <f>IF(76&gt;$B$3,99,INDEX(Symboles!$G$6:$G$101,MOD(75+$C26+(-4),$B$3)+1)*E26+INDEX(Symboles!$G$6:$G$101,MOD(75+$C26+(-3),$B$3)+1)*F26+INDEX(Symboles!$G$6:$G$101,MOD(75+$C26+(-2),$B$3)+1)*G26+INDEX(Symboles!$G$6:$G$101,MOD(75+$C26+(-1),$B$3)+1)*H26+INDEX(Symboles!$G$6:$G$101,MOD(75+$C26+(0),$B$3)+1)*I26+INDEX(Symboles!$G$6:$G$101,MOD(75+$C26+(1),$B$3)+1)*J26+INDEX(Symboles!$G$6:$G$101,MOD(75+$C26+(2),$B$3)+1)*K26+INDEX(Symboles!$G$6:$G$101,MOD(75+$C26+(3),$B$3)+1)*L26+INDEX(Symboles!$G$6:$G$101,MOD(75+$C26+(4),$B$3)+1)*M26+IF($B$6=0,0,$B$6*NORMSINV(0.000001+0.999998*RAND())))</f>
        <v/>
      </c>
      <c r="CN26" s="30">
        <f>IF(77&gt;$B$3,99,INDEX(Symboles!$G$6:$G$101,MOD(76+$C26+(-4),$B$3)+1)*E26+INDEX(Symboles!$G$6:$G$101,MOD(76+$C26+(-3),$B$3)+1)*F26+INDEX(Symboles!$G$6:$G$101,MOD(76+$C26+(-2),$B$3)+1)*G26+INDEX(Symboles!$G$6:$G$101,MOD(76+$C26+(-1),$B$3)+1)*H26+INDEX(Symboles!$G$6:$G$101,MOD(76+$C26+(0),$B$3)+1)*I26+INDEX(Symboles!$G$6:$G$101,MOD(76+$C26+(1),$B$3)+1)*J26+INDEX(Symboles!$G$6:$G$101,MOD(76+$C26+(2),$B$3)+1)*K26+INDEX(Symboles!$G$6:$G$101,MOD(76+$C26+(3),$B$3)+1)*L26+INDEX(Symboles!$G$6:$G$101,MOD(76+$C26+(4),$B$3)+1)*M26+IF($B$6=0,0,$B$6*NORMSINV(0.000001+0.999998*RAND())))</f>
        <v/>
      </c>
      <c r="CO26" s="30">
        <f>IF(78&gt;$B$3,99,INDEX(Symboles!$G$6:$G$101,MOD(77+$C26+(-4),$B$3)+1)*E26+INDEX(Symboles!$G$6:$G$101,MOD(77+$C26+(-3),$B$3)+1)*F26+INDEX(Symboles!$G$6:$G$101,MOD(77+$C26+(-2),$B$3)+1)*G26+INDEX(Symboles!$G$6:$G$101,MOD(77+$C26+(-1),$B$3)+1)*H26+INDEX(Symboles!$G$6:$G$101,MOD(77+$C26+(0),$B$3)+1)*I26+INDEX(Symboles!$G$6:$G$101,MOD(77+$C26+(1),$B$3)+1)*J26+INDEX(Symboles!$G$6:$G$101,MOD(77+$C26+(2),$B$3)+1)*K26+INDEX(Symboles!$G$6:$G$101,MOD(77+$C26+(3),$B$3)+1)*L26+INDEX(Symboles!$G$6:$G$101,MOD(77+$C26+(4),$B$3)+1)*M26+IF($B$6=0,0,$B$6*NORMSINV(0.000001+0.999998*RAND())))</f>
        <v/>
      </c>
      <c r="CP26" s="30">
        <f>IF(79&gt;$B$3,99,INDEX(Symboles!$G$6:$G$101,MOD(78+$C26+(-4),$B$3)+1)*E26+INDEX(Symboles!$G$6:$G$101,MOD(78+$C26+(-3),$B$3)+1)*F26+INDEX(Symboles!$G$6:$G$101,MOD(78+$C26+(-2),$B$3)+1)*G26+INDEX(Symboles!$G$6:$G$101,MOD(78+$C26+(-1),$B$3)+1)*H26+INDEX(Symboles!$G$6:$G$101,MOD(78+$C26+(0),$B$3)+1)*I26+INDEX(Symboles!$G$6:$G$101,MOD(78+$C26+(1),$B$3)+1)*J26+INDEX(Symboles!$G$6:$G$101,MOD(78+$C26+(2),$B$3)+1)*K26+INDEX(Symboles!$G$6:$G$101,MOD(78+$C26+(3),$B$3)+1)*L26+INDEX(Symboles!$G$6:$G$101,MOD(78+$C26+(4),$B$3)+1)*M26+IF($B$6=0,0,$B$6*NORMSINV(0.000001+0.999998*RAND())))</f>
        <v/>
      </c>
      <c r="CQ26" s="30">
        <f>IF(80&gt;$B$3,99,INDEX(Symboles!$G$6:$G$101,MOD(79+$C26+(-4),$B$3)+1)*E26+INDEX(Symboles!$G$6:$G$101,MOD(79+$C26+(-3),$B$3)+1)*F26+INDEX(Symboles!$G$6:$G$101,MOD(79+$C26+(-2),$B$3)+1)*G26+INDEX(Symboles!$G$6:$G$101,MOD(79+$C26+(-1),$B$3)+1)*H26+INDEX(Symboles!$G$6:$G$101,MOD(79+$C26+(0),$B$3)+1)*I26+INDEX(Symboles!$G$6:$G$101,MOD(79+$C26+(1),$B$3)+1)*J26+INDEX(Symboles!$G$6:$G$101,MOD(79+$C26+(2),$B$3)+1)*K26+INDEX(Symboles!$G$6:$G$101,MOD(79+$C26+(3),$B$3)+1)*L26+INDEX(Symboles!$G$6:$G$101,MOD(79+$C26+(4),$B$3)+1)*M26+IF($B$6=0,0,$B$6*NORMSINV(0.000001+0.999998*RAND())))</f>
        <v/>
      </c>
      <c r="CR26" s="30">
        <f>IF(81&gt;$B$3,99,INDEX(Symboles!$G$6:$G$101,MOD(80+$C26+(-4),$B$3)+1)*E26+INDEX(Symboles!$G$6:$G$101,MOD(80+$C26+(-3),$B$3)+1)*F26+INDEX(Symboles!$G$6:$G$101,MOD(80+$C26+(-2),$B$3)+1)*G26+INDEX(Symboles!$G$6:$G$101,MOD(80+$C26+(-1),$B$3)+1)*H26+INDEX(Symboles!$G$6:$G$101,MOD(80+$C26+(0),$B$3)+1)*I26+INDEX(Symboles!$G$6:$G$101,MOD(80+$C26+(1),$B$3)+1)*J26+INDEX(Symboles!$G$6:$G$101,MOD(80+$C26+(2),$B$3)+1)*K26+INDEX(Symboles!$G$6:$G$101,MOD(80+$C26+(3),$B$3)+1)*L26+INDEX(Symboles!$G$6:$G$101,MOD(80+$C26+(4),$B$3)+1)*M26+IF($B$6=0,0,$B$6*NORMSINV(0.000001+0.999998*RAND())))</f>
        <v/>
      </c>
      <c r="CS26" s="30">
        <f>IF(82&gt;$B$3,99,INDEX(Symboles!$G$6:$G$101,MOD(81+$C26+(-4),$B$3)+1)*E26+INDEX(Symboles!$G$6:$G$101,MOD(81+$C26+(-3),$B$3)+1)*F26+INDEX(Symboles!$G$6:$G$101,MOD(81+$C26+(-2),$B$3)+1)*G26+INDEX(Symboles!$G$6:$G$101,MOD(81+$C26+(-1),$B$3)+1)*H26+INDEX(Symboles!$G$6:$G$101,MOD(81+$C26+(0),$B$3)+1)*I26+INDEX(Symboles!$G$6:$G$101,MOD(81+$C26+(1),$B$3)+1)*J26+INDEX(Symboles!$G$6:$G$101,MOD(81+$C26+(2),$B$3)+1)*K26+INDEX(Symboles!$G$6:$G$101,MOD(81+$C26+(3),$B$3)+1)*L26+INDEX(Symboles!$G$6:$G$101,MOD(81+$C26+(4),$B$3)+1)*M26+IF($B$6=0,0,$B$6*NORMSINV(0.000001+0.999998*RAND())))</f>
        <v/>
      </c>
      <c r="CT26" s="30">
        <f>IF(83&gt;$B$3,99,INDEX(Symboles!$G$6:$G$101,MOD(82+$C26+(-4),$B$3)+1)*E26+INDEX(Symboles!$G$6:$G$101,MOD(82+$C26+(-3),$B$3)+1)*F26+INDEX(Symboles!$G$6:$G$101,MOD(82+$C26+(-2),$B$3)+1)*G26+INDEX(Symboles!$G$6:$G$101,MOD(82+$C26+(-1),$B$3)+1)*H26+INDEX(Symboles!$G$6:$G$101,MOD(82+$C26+(0),$B$3)+1)*I26+INDEX(Symboles!$G$6:$G$101,MOD(82+$C26+(1),$B$3)+1)*J26+INDEX(Symboles!$G$6:$G$101,MOD(82+$C26+(2),$B$3)+1)*K26+INDEX(Symboles!$G$6:$G$101,MOD(82+$C26+(3),$B$3)+1)*L26+INDEX(Symboles!$G$6:$G$101,MOD(82+$C26+(4),$B$3)+1)*M26+IF($B$6=0,0,$B$6*NORMSINV(0.000001+0.999998*RAND())))</f>
        <v/>
      </c>
      <c r="CU26" s="30">
        <f>IF(84&gt;$B$3,99,INDEX(Symboles!$G$6:$G$101,MOD(83+$C26+(-4),$B$3)+1)*E26+INDEX(Symboles!$G$6:$G$101,MOD(83+$C26+(-3),$B$3)+1)*F26+INDEX(Symboles!$G$6:$G$101,MOD(83+$C26+(-2),$B$3)+1)*G26+INDEX(Symboles!$G$6:$G$101,MOD(83+$C26+(-1),$B$3)+1)*H26+INDEX(Symboles!$G$6:$G$101,MOD(83+$C26+(0),$B$3)+1)*I26+INDEX(Symboles!$G$6:$G$101,MOD(83+$C26+(1),$B$3)+1)*J26+INDEX(Symboles!$G$6:$G$101,MOD(83+$C26+(2),$B$3)+1)*K26+INDEX(Symboles!$G$6:$G$101,MOD(83+$C26+(3),$B$3)+1)*L26+INDEX(Symboles!$G$6:$G$101,MOD(83+$C26+(4),$B$3)+1)*M26+IF($B$6=0,0,$B$6*NORMSINV(0.000001+0.999998*RAND())))</f>
        <v/>
      </c>
      <c r="CV26" s="30">
        <f>IF(85&gt;$B$3,99,INDEX(Symboles!$G$6:$G$101,MOD(84+$C26+(-4),$B$3)+1)*E26+INDEX(Symboles!$G$6:$G$101,MOD(84+$C26+(-3),$B$3)+1)*F26+INDEX(Symboles!$G$6:$G$101,MOD(84+$C26+(-2),$B$3)+1)*G26+INDEX(Symboles!$G$6:$G$101,MOD(84+$C26+(-1),$B$3)+1)*H26+INDEX(Symboles!$G$6:$G$101,MOD(84+$C26+(0),$B$3)+1)*I26+INDEX(Symboles!$G$6:$G$101,MOD(84+$C26+(1),$B$3)+1)*J26+INDEX(Symboles!$G$6:$G$101,MOD(84+$C26+(2),$B$3)+1)*K26+INDEX(Symboles!$G$6:$G$101,MOD(84+$C26+(3),$B$3)+1)*L26+INDEX(Symboles!$G$6:$G$101,MOD(84+$C26+(4),$B$3)+1)*M26+IF($B$6=0,0,$B$6*NORMSINV(0.000001+0.999998*RAND())))</f>
        <v/>
      </c>
      <c r="CW26" s="30">
        <f>IF(86&gt;$B$3,99,INDEX(Symboles!$G$6:$G$101,MOD(85+$C26+(-4),$B$3)+1)*E26+INDEX(Symboles!$G$6:$G$101,MOD(85+$C26+(-3),$B$3)+1)*F26+INDEX(Symboles!$G$6:$G$101,MOD(85+$C26+(-2),$B$3)+1)*G26+INDEX(Symboles!$G$6:$G$101,MOD(85+$C26+(-1),$B$3)+1)*H26+INDEX(Symboles!$G$6:$G$101,MOD(85+$C26+(0),$B$3)+1)*I26+INDEX(Symboles!$G$6:$G$101,MOD(85+$C26+(1),$B$3)+1)*J26+INDEX(Symboles!$G$6:$G$101,MOD(85+$C26+(2),$B$3)+1)*K26+INDEX(Symboles!$G$6:$G$101,MOD(85+$C26+(3),$B$3)+1)*L26+INDEX(Symboles!$G$6:$G$101,MOD(85+$C26+(4),$B$3)+1)*M26+IF($B$6=0,0,$B$6*NORMSINV(0.000001+0.999998*RAND())))</f>
        <v/>
      </c>
      <c r="CX26" s="30">
        <f>IF(87&gt;$B$3,99,INDEX(Symboles!$G$6:$G$101,MOD(86+$C26+(-4),$B$3)+1)*E26+INDEX(Symboles!$G$6:$G$101,MOD(86+$C26+(-3),$B$3)+1)*F26+INDEX(Symboles!$G$6:$G$101,MOD(86+$C26+(-2),$B$3)+1)*G26+INDEX(Symboles!$G$6:$G$101,MOD(86+$C26+(-1),$B$3)+1)*H26+INDEX(Symboles!$G$6:$G$101,MOD(86+$C26+(0),$B$3)+1)*I26+INDEX(Symboles!$G$6:$G$101,MOD(86+$C26+(1),$B$3)+1)*J26+INDEX(Symboles!$G$6:$G$101,MOD(86+$C26+(2),$B$3)+1)*K26+INDEX(Symboles!$G$6:$G$101,MOD(86+$C26+(3),$B$3)+1)*L26+INDEX(Symboles!$G$6:$G$101,MOD(86+$C26+(4),$B$3)+1)*M26+IF($B$6=0,0,$B$6*NORMSINV(0.000001+0.999998*RAND())))</f>
        <v/>
      </c>
      <c r="CY26" s="30">
        <f>IF(88&gt;$B$3,99,INDEX(Symboles!$G$6:$G$101,MOD(87+$C26+(-4),$B$3)+1)*E26+INDEX(Symboles!$G$6:$G$101,MOD(87+$C26+(-3),$B$3)+1)*F26+INDEX(Symboles!$G$6:$G$101,MOD(87+$C26+(-2),$B$3)+1)*G26+INDEX(Symboles!$G$6:$G$101,MOD(87+$C26+(-1),$B$3)+1)*H26+INDEX(Symboles!$G$6:$G$101,MOD(87+$C26+(0),$B$3)+1)*I26+INDEX(Symboles!$G$6:$G$101,MOD(87+$C26+(1),$B$3)+1)*J26+INDEX(Symboles!$G$6:$G$101,MOD(87+$C26+(2),$B$3)+1)*K26+INDEX(Symboles!$G$6:$G$101,MOD(87+$C26+(3),$B$3)+1)*L26+INDEX(Symboles!$G$6:$G$101,MOD(87+$C26+(4),$B$3)+1)*M26+IF($B$6=0,0,$B$6*NORMSINV(0.000001+0.999998*RAND())))</f>
        <v/>
      </c>
      <c r="CZ26" s="30">
        <f>IF(89&gt;$B$3,99,INDEX(Symboles!$G$6:$G$101,MOD(88+$C26+(-4),$B$3)+1)*E26+INDEX(Symboles!$G$6:$G$101,MOD(88+$C26+(-3),$B$3)+1)*F26+INDEX(Symboles!$G$6:$G$101,MOD(88+$C26+(-2),$B$3)+1)*G26+INDEX(Symboles!$G$6:$G$101,MOD(88+$C26+(-1),$B$3)+1)*H26+INDEX(Symboles!$G$6:$G$101,MOD(88+$C26+(0),$B$3)+1)*I26+INDEX(Symboles!$G$6:$G$101,MOD(88+$C26+(1),$B$3)+1)*J26+INDEX(Symboles!$G$6:$G$101,MOD(88+$C26+(2),$B$3)+1)*K26+INDEX(Symboles!$G$6:$G$101,MOD(88+$C26+(3),$B$3)+1)*L26+INDEX(Symboles!$G$6:$G$101,MOD(88+$C26+(4),$B$3)+1)*M26+IF($B$6=0,0,$B$6*NORMSINV(0.000001+0.999998*RAND())))</f>
        <v/>
      </c>
      <c r="DA26" s="30">
        <f>IF(90&gt;$B$3,99,INDEX(Symboles!$G$6:$G$101,MOD(89+$C26+(-4),$B$3)+1)*E26+INDEX(Symboles!$G$6:$G$101,MOD(89+$C26+(-3),$B$3)+1)*F26+INDEX(Symboles!$G$6:$G$101,MOD(89+$C26+(-2),$B$3)+1)*G26+INDEX(Symboles!$G$6:$G$101,MOD(89+$C26+(-1),$B$3)+1)*H26+INDEX(Symboles!$G$6:$G$101,MOD(89+$C26+(0),$B$3)+1)*I26+INDEX(Symboles!$G$6:$G$101,MOD(89+$C26+(1),$B$3)+1)*J26+INDEX(Symboles!$G$6:$G$101,MOD(89+$C26+(2),$B$3)+1)*K26+INDEX(Symboles!$G$6:$G$101,MOD(89+$C26+(3),$B$3)+1)*L26+INDEX(Symboles!$G$6:$G$101,MOD(89+$C26+(4),$B$3)+1)*M26+IF($B$6=0,0,$B$6*NORMSINV(0.000001+0.999998*RAND())))</f>
        <v/>
      </c>
      <c r="DB26" s="30">
        <f>IF(91&gt;$B$3,99,INDEX(Symboles!$G$6:$G$101,MOD(90+$C26+(-4),$B$3)+1)*E26+INDEX(Symboles!$G$6:$G$101,MOD(90+$C26+(-3),$B$3)+1)*F26+INDEX(Symboles!$G$6:$G$101,MOD(90+$C26+(-2),$B$3)+1)*G26+INDEX(Symboles!$G$6:$G$101,MOD(90+$C26+(-1),$B$3)+1)*H26+INDEX(Symboles!$G$6:$G$101,MOD(90+$C26+(0),$B$3)+1)*I26+INDEX(Symboles!$G$6:$G$101,MOD(90+$C26+(1),$B$3)+1)*J26+INDEX(Symboles!$G$6:$G$101,MOD(90+$C26+(2),$B$3)+1)*K26+INDEX(Symboles!$G$6:$G$101,MOD(90+$C26+(3),$B$3)+1)*L26+INDEX(Symboles!$G$6:$G$101,MOD(90+$C26+(4),$B$3)+1)*M26+IF($B$6=0,0,$B$6*NORMSINV(0.000001+0.999998*RAND())))</f>
        <v/>
      </c>
      <c r="DC26" s="30">
        <f>IF(92&gt;$B$3,99,INDEX(Symboles!$G$6:$G$101,MOD(91+$C26+(-4),$B$3)+1)*E26+INDEX(Symboles!$G$6:$G$101,MOD(91+$C26+(-3),$B$3)+1)*F26+INDEX(Symboles!$G$6:$G$101,MOD(91+$C26+(-2),$B$3)+1)*G26+INDEX(Symboles!$G$6:$G$101,MOD(91+$C26+(-1),$B$3)+1)*H26+INDEX(Symboles!$G$6:$G$101,MOD(91+$C26+(0),$B$3)+1)*I26+INDEX(Symboles!$G$6:$G$101,MOD(91+$C26+(1),$B$3)+1)*J26+INDEX(Symboles!$G$6:$G$101,MOD(91+$C26+(2),$B$3)+1)*K26+INDEX(Symboles!$G$6:$G$101,MOD(91+$C26+(3),$B$3)+1)*L26+INDEX(Symboles!$G$6:$G$101,MOD(91+$C26+(4),$B$3)+1)*M26+IF($B$6=0,0,$B$6*NORMSINV(0.000001+0.999998*RAND())))</f>
        <v/>
      </c>
      <c r="DD26" s="30">
        <f>IF(93&gt;$B$3,99,INDEX(Symboles!$G$6:$G$101,MOD(92+$C26+(-4),$B$3)+1)*E26+INDEX(Symboles!$G$6:$G$101,MOD(92+$C26+(-3),$B$3)+1)*F26+INDEX(Symboles!$G$6:$G$101,MOD(92+$C26+(-2),$B$3)+1)*G26+INDEX(Symboles!$G$6:$G$101,MOD(92+$C26+(-1),$B$3)+1)*H26+INDEX(Symboles!$G$6:$G$101,MOD(92+$C26+(0),$B$3)+1)*I26+INDEX(Symboles!$G$6:$G$101,MOD(92+$C26+(1),$B$3)+1)*J26+INDEX(Symboles!$G$6:$G$101,MOD(92+$C26+(2),$B$3)+1)*K26+INDEX(Symboles!$G$6:$G$101,MOD(92+$C26+(3),$B$3)+1)*L26+INDEX(Symboles!$G$6:$G$101,MOD(92+$C26+(4),$B$3)+1)*M26+IF($B$6=0,0,$B$6*NORMSINV(0.000001+0.999998*RAND())))</f>
        <v/>
      </c>
      <c r="DE26" s="30">
        <f>IF(94&gt;$B$3,99,INDEX(Symboles!$G$6:$G$101,MOD(93+$C26+(-4),$B$3)+1)*E26+INDEX(Symboles!$G$6:$G$101,MOD(93+$C26+(-3),$B$3)+1)*F26+INDEX(Symboles!$G$6:$G$101,MOD(93+$C26+(-2),$B$3)+1)*G26+INDEX(Symboles!$G$6:$G$101,MOD(93+$C26+(-1),$B$3)+1)*H26+INDEX(Symboles!$G$6:$G$101,MOD(93+$C26+(0),$B$3)+1)*I26+INDEX(Symboles!$G$6:$G$101,MOD(93+$C26+(1),$B$3)+1)*J26+INDEX(Symboles!$G$6:$G$101,MOD(93+$C26+(2),$B$3)+1)*K26+INDEX(Symboles!$G$6:$G$101,MOD(93+$C26+(3),$B$3)+1)*L26+INDEX(Symboles!$G$6:$G$101,MOD(93+$C26+(4),$B$3)+1)*M26+IF($B$6=0,0,$B$6*NORMSINV(0.000001+0.999998*RAND())))</f>
        <v/>
      </c>
      <c r="DF26" s="30">
        <f>IF(95&gt;$B$3,99,INDEX(Symboles!$G$6:$G$101,MOD(94+$C26+(-4),$B$3)+1)*E26+INDEX(Symboles!$G$6:$G$101,MOD(94+$C26+(-3),$B$3)+1)*F26+INDEX(Symboles!$G$6:$G$101,MOD(94+$C26+(-2),$B$3)+1)*G26+INDEX(Symboles!$G$6:$G$101,MOD(94+$C26+(-1),$B$3)+1)*H26+INDEX(Symboles!$G$6:$G$101,MOD(94+$C26+(0),$B$3)+1)*I26+INDEX(Symboles!$G$6:$G$101,MOD(94+$C26+(1),$B$3)+1)*J26+INDEX(Symboles!$G$6:$G$101,MOD(94+$C26+(2),$B$3)+1)*K26+INDEX(Symboles!$G$6:$G$101,MOD(94+$C26+(3),$B$3)+1)*L26+INDEX(Symboles!$G$6:$G$101,MOD(94+$C26+(4),$B$3)+1)*M26+IF($B$6=0,0,$B$6*NORMSINV(0.000001+0.999998*RAND())))</f>
        <v/>
      </c>
      <c r="DG26" s="30">
        <f>IF(96&gt;$B$3,99,INDEX(Symboles!$G$6:$G$101,MOD(95+$C26+(-4),$B$3)+1)*E26+INDEX(Symboles!$G$6:$G$101,MOD(95+$C26+(-3),$B$3)+1)*F26+INDEX(Symboles!$G$6:$G$101,MOD(95+$C26+(-2),$B$3)+1)*G26+INDEX(Symboles!$G$6:$G$101,MOD(95+$C26+(-1),$B$3)+1)*H26+INDEX(Symboles!$G$6:$G$101,MOD(95+$C26+(0),$B$3)+1)*I26+INDEX(Symboles!$G$6:$G$101,MOD(95+$C26+(1),$B$3)+1)*J26+INDEX(Symboles!$G$6:$G$101,MOD(95+$C26+(2),$B$3)+1)*K26+INDEX(Symboles!$G$6:$G$101,MOD(95+$C26+(3),$B$3)+1)*L26+INDEX(Symboles!$G$6:$G$101,MOD(95+$C26+(4),$B$3)+1)*M26+IF($B$6=0,0,$B$6*NORMSINV(0.000001+0.999998*RAND())))</f>
        <v/>
      </c>
      <c r="DI26" s="30">
        <f>IF(1&gt;$B$3,99,INDEX(Symboles!$H$6:$H$101,MOD(0+$C26+(-4),$B$3)+1)*E26+INDEX(Symboles!$H$6:$H$101,MOD(0+$C26+(-3),$B$3)+1)*F26+INDEX(Symboles!$H$6:$H$101,MOD(0+$C26+(-2),$B$3)+1)*G26+INDEX(Symboles!$H$6:$H$101,MOD(0+$C26+(-1),$B$3)+1)*H26+INDEX(Symboles!$H$6:$H$101,MOD(0+$C26+(0),$B$3)+1)*I26+INDEX(Symboles!$H$6:$H$101,MOD(0+$C26+(1),$B$3)+1)*J26+INDEX(Symboles!$H$6:$H$101,MOD(0+$C26+(2),$B$3)+1)*K26+INDEX(Symboles!$H$6:$H$101,MOD(0+$C26+(3),$B$3)+1)*L26+INDEX(Symboles!$H$6:$H$101,MOD(0+$C26+(4),$B$3)+1)*M26+IF($B$6=0,0,$B$6*NORMSINV(0.000001+0.999998*RAND())))</f>
        <v/>
      </c>
      <c r="DJ26" s="30">
        <f>IF(2&gt;$B$3,99,INDEX(Symboles!$H$6:$H$101,MOD(1+$C26+(-4),$B$3)+1)*E26+INDEX(Symboles!$H$6:$H$101,MOD(1+$C26+(-3),$B$3)+1)*F26+INDEX(Symboles!$H$6:$H$101,MOD(1+$C26+(-2),$B$3)+1)*G26+INDEX(Symboles!$H$6:$H$101,MOD(1+$C26+(-1),$B$3)+1)*H26+INDEX(Symboles!$H$6:$H$101,MOD(1+$C26+(0),$B$3)+1)*I26+INDEX(Symboles!$H$6:$H$101,MOD(1+$C26+(1),$B$3)+1)*J26+INDEX(Symboles!$H$6:$H$101,MOD(1+$C26+(2),$B$3)+1)*K26+INDEX(Symboles!$H$6:$H$101,MOD(1+$C26+(3),$B$3)+1)*L26+INDEX(Symboles!$H$6:$H$101,MOD(1+$C26+(4),$B$3)+1)*M26+IF($B$6=0,0,$B$6*NORMSINV(0.000001+0.999998*RAND())))</f>
        <v/>
      </c>
      <c r="DK26" s="30">
        <f>IF(3&gt;$B$3,99,INDEX(Symboles!$H$6:$H$101,MOD(2+$C26+(-4),$B$3)+1)*E26+INDEX(Symboles!$H$6:$H$101,MOD(2+$C26+(-3),$B$3)+1)*F26+INDEX(Symboles!$H$6:$H$101,MOD(2+$C26+(-2),$B$3)+1)*G26+INDEX(Symboles!$H$6:$H$101,MOD(2+$C26+(-1),$B$3)+1)*H26+INDEX(Symboles!$H$6:$H$101,MOD(2+$C26+(0),$B$3)+1)*I26+INDEX(Symboles!$H$6:$H$101,MOD(2+$C26+(1),$B$3)+1)*J26+INDEX(Symboles!$H$6:$H$101,MOD(2+$C26+(2),$B$3)+1)*K26+INDEX(Symboles!$H$6:$H$101,MOD(2+$C26+(3),$B$3)+1)*L26+INDEX(Symboles!$H$6:$H$101,MOD(2+$C26+(4),$B$3)+1)*M26+IF($B$6=0,0,$B$6*NORMSINV(0.000001+0.999998*RAND())))</f>
        <v/>
      </c>
      <c r="DL26" s="30">
        <f>IF(4&gt;$B$3,99,INDEX(Symboles!$H$6:$H$101,MOD(3+$C26+(-4),$B$3)+1)*E26+INDEX(Symboles!$H$6:$H$101,MOD(3+$C26+(-3),$B$3)+1)*F26+INDEX(Symboles!$H$6:$H$101,MOD(3+$C26+(-2),$B$3)+1)*G26+INDEX(Symboles!$H$6:$H$101,MOD(3+$C26+(-1),$B$3)+1)*H26+INDEX(Symboles!$H$6:$H$101,MOD(3+$C26+(0),$B$3)+1)*I26+INDEX(Symboles!$H$6:$H$101,MOD(3+$C26+(1),$B$3)+1)*J26+INDEX(Symboles!$H$6:$H$101,MOD(3+$C26+(2),$B$3)+1)*K26+INDEX(Symboles!$H$6:$H$101,MOD(3+$C26+(3),$B$3)+1)*L26+INDEX(Symboles!$H$6:$H$101,MOD(3+$C26+(4),$B$3)+1)*M26+IF($B$6=0,0,$B$6*NORMSINV(0.000001+0.999998*RAND())))</f>
        <v/>
      </c>
      <c r="DM26" s="30">
        <f>IF(5&gt;$B$3,99,INDEX(Symboles!$H$6:$H$101,MOD(4+$C26+(-4),$B$3)+1)*E26+INDEX(Symboles!$H$6:$H$101,MOD(4+$C26+(-3),$B$3)+1)*F26+INDEX(Symboles!$H$6:$H$101,MOD(4+$C26+(-2),$B$3)+1)*G26+INDEX(Symboles!$H$6:$H$101,MOD(4+$C26+(-1),$B$3)+1)*H26+INDEX(Symboles!$H$6:$H$101,MOD(4+$C26+(0),$B$3)+1)*I26+INDEX(Symboles!$H$6:$H$101,MOD(4+$C26+(1),$B$3)+1)*J26+INDEX(Symboles!$H$6:$H$101,MOD(4+$C26+(2),$B$3)+1)*K26+INDEX(Symboles!$H$6:$H$101,MOD(4+$C26+(3),$B$3)+1)*L26+INDEX(Symboles!$H$6:$H$101,MOD(4+$C26+(4),$B$3)+1)*M26+IF($B$6=0,0,$B$6*NORMSINV(0.000001+0.999998*RAND())))</f>
        <v/>
      </c>
      <c r="DN26" s="30">
        <f>IF(6&gt;$B$3,99,INDEX(Symboles!$H$6:$H$101,MOD(5+$C26+(-4),$B$3)+1)*E26+INDEX(Symboles!$H$6:$H$101,MOD(5+$C26+(-3),$B$3)+1)*F26+INDEX(Symboles!$H$6:$H$101,MOD(5+$C26+(-2),$B$3)+1)*G26+INDEX(Symboles!$H$6:$H$101,MOD(5+$C26+(-1),$B$3)+1)*H26+INDEX(Symboles!$H$6:$H$101,MOD(5+$C26+(0),$B$3)+1)*I26+INDEX(Symboles!$H$6:$H$101,MOD(5+$C26+(1),$B$3)+1)*J26+INDEX(Symboles!$H$6:$H$101,MOD(5+$C26+(2),$B$3)+1)*K26+INDEX(Symboles!$H$6:$H$101,MOD(5+$C26+(3),$B$3)+1)*L26+INDEX(Symboles!$H$6:$H$101,MOD(5+$C26+(4),$B$3)+1)*M26+IF($B$6=0,0,$B$6*NORMSINV(0.000001+0.999998*RAND())))</f>
        <v/>
      </c>
      <c r="DO26" s="30">
        <f>IF(7&gt;$B$3,99,INDEX(Symboles!$H$6:$H$101,MOD(6+$C26+(-4),$B$3)+1)*E26+INDEX(Symboles!$H$6:$H$101,MOD(6+$C26+(-3),$B$3)+1)*F26+INDEX(Symboles!$H$6:$H$101,MOD(6+$C26+(-2),$B$3)+1)*G26+INDEX(Symboles!$H$6:$H$101,MOD(6+$C26+(-1),$B$3)+1)*H26+INDEX(Symboles!$H$6:$H$101,MOD(6+$C26+(0),$B$3)+1)*I26+INDEX(Symboles!$H$6:$H$101,MOD(6+$C26+(1),$B$3)+1)*J26+INDEX(Symboles!$H$6:$H$101,MOD(6+$C26+(2),$B$3)+1)*K26+INDEX(Symboles!$H$6:$H$101,MOD(6+$C26+(3),$B$3)+1)*L26+INDEX(Symboles!$H$6:$H$101,MOD(6+$C26+(4),$B$3)+1)*M26+IF($B$6=0,0,$B$6*NORMSINV(0.000001+0.999998*RAND())))</f>
        <v/>
      </c>
      <c r="DP26" s="30">
        <f>IF(8&gt;$B$3,99,INDEX(Symboles!$H$6:$H$101,MOD(7+$C26+(-4),$B$3)+1)*E26+INDEX(Symboles!$H$6:$H$101,MOD(7+$C26+(-3),$B$3)+1)*F26+INDEX(Symboles!$H$6:$H$101,MOD(7+$C26+(-2),$B$3)+1)*G26+INDEX(Symboles!$H$6:$H$101,MOD(7+$C26+(-1),$B$3)+1)*H26+INDEX(Symboles!$H$6:$H$101,MOD(7+$C26+(0),$B$3)+1)*I26+INDEX(Symboles!$H$6:$H$101,MOD(7+$C26+(1),$B$3)+1)*J26+INDEX(Symboles!$H$6:$H$101,MOD(7+$C26+(2),$B$3)+1)*K26+INDEX(Symboles!$H$6:$H$101,MOD(7+$C26+(3),$B$3)+1)*L26+INDEX(Symboles!$H$6:$H$101,MOD(7+$C26+(4),$B$3)+1)*M26+IF($B$6=0,0,$B$6*NORMSINV(0.000001+0.999998*RAND())))</f>
        <v/>
      </c>
      <c r="DQ26" s="30">
        <f>IF(9&gt;$B$3,99,INDEX(Symboles!$H$6:$H$101,MOD(8+$C26+(-4),$B$3)+1)*E26+INDEX(Symboles!$H$6:$H$101,MOD(8+$C26+(-3),$B$3)+1)*F26+INDEX(Symboles!$H$6:$H$101,MOD(8+$C26+(-2),$B$3)+1)*G26+INDEX(Symboles!$H$6:$H$101,MOD(8+$C26+(-1),$B$3)+1)*H26+INDEX(Symboles!$H$6:$H$101,MOD(8+$C26+(0),$B$3)+1)*I26+INDEX(Symboles!$H$6:$H$101,MOD(8+$C26+(1),$B$3)+1)*J26+INDEX(Symboles!$H$6:$H$101,MOD(8+$C26+(2),$B$3)+1)*K26+INDEX(Symboles!$H$6:$H$101,MOD(8+$C26+(3),$B$3)+1)*L26+INDEX(Symboles!$H$6:$H$101,MOD(8+$C26+(4),$B$3)+1)*M26+IF($B$6=0,0,$B$6*NORMSINV(0.000001+0.999998*RAND())))</f>
        <v/>
      </c>
      <c r="DR26" s="30">
        <f>IF(10&gt;$B$3,99,INDEX(Symboles!$H$6:$H$101,MOD(9+$C26+(-4),$B$3)+1)*E26+INDEX(Symboles!$H$6:$H$101,MOD(9+$C26+(-3),$B$3)+1)*F26+INDEX(Symboles!$H$6:$H$101,MOD(9+$C26+(-2),$B$3)+1)*G26+INDEX(Symboles!$H$6:$H$101,MOD(9+$C26+(-1),$B$3)+1)*H26+INDEX(Symboles!$H$6:$H$101,MOD(9+$C26+(0),$B$3)+1)*I26+INDEX(Symboles!$H$6:$H$101,MOD(9+$C26+(1),$B$3)+1)*J26+INDEX(Symboles!$H$6:$H$101,MOD(9+$C26+(2),$B$3)+1)*K26+INDEX(Symboles!$H$6:$H$101,MOD(9+$C26+(3),$B$3)+1)*L26+INDEX(Symboles!$H$6:$H$101,MOD(9+$C26+(4),$B$3)+1)*M26+IF($B$6=0,0,$B$6*NORMSINV(0.000001+0.999998*RAND())))</f>
        <v/>
      </c>
      <c r="DS26" s="30">
        <f>IF(11&gt;$B$3,99,INDEX(Symboles!$H$6:$H$101,MOD(10+$C26+(-4),$B$3)+1)*E26+INDEX(Symboles!$H$6:$H$101,MOD(10+$C26+(-3),$B$3)+1)*F26+INDEX(Symboles!$H$6:$H$101,MOD(10+$C26+(-2),$B$3)+1)*G26+INDEX(Symboles!$H$6:$H$101,MOD(10+$C26+(-1),$B$3)+1)*H26+INDEX(Symboles!$H$6:$H$101,MOD(10+$C26+(0),$B$3)+1)*I26+INDEX(Symboles!$H$6:$H$101,MOD(10+$C26+(1),$B$3)+1)*J26+INDEX(Symboles!$H$6:$H$101,MOD(10+$C26+(2),$B$3)+1)*K26+INDEX(Symboles!$H$6:$H$101,MOD(10+$C26+(3),$B$3)+1)*L26+INDEX(Symboles!$H$6:$H$101,MOD(10+$C26+(4),$B$3)+1)*M26+IF($B$6=0,0,$B$6*NORMSINV(0.000001+0.999998*RAND())))</f>
        <v/>
      </c>
      <c r="DT26" s="30">
        <f>IF(12&gt;$B$3,99,INDEX(Symboles!$H$6:$H$101,MOD(11+$C26+(-4),$B$3)+1)*E26+INDEX(Symboles!$H$6:$H$101,MOD(11+$C26+(-3),$B$3)+1)*F26+INDEX(Symboles!$H$6:$H$101,MOD(11+$C26+(-2),$B$3)+1)*G26+INDEX(Symboles!$H$6:$H$101,MOD(11+$C26+(-1),$B$3)+1)*H26+INDEX(Symboles!$H$6:$H$101,MOD(11+$C26+(0),$B$3)+1)*I26+INDEX(Symboles!$H$6:$H$101,MOD(11+$C26+(1),$B$3)+1)*J26+INDEX(Symboles!$H$6:$H$101,MOD(11+$C26+(2),$B$3)+1)*K26+INDEX(Symboles!$H$6:$H$101,MOD(11+$C26+(3),$B$3)+1)*L26+INDEX(Symboles!$H$6:$H$101,MOD(11+$C26+(4),$B$3)+1)*M26+IF($B$6=0,0,$B$6*NORMSINV(0.000001+0.999998*RAND())))</f>
        <v/>
      </c>
      <c r="DU26" s="30">
        <f>IF(13&gt;$B$3,99,INDEX(Symboles!$H$6:$H$101,MOD(12+$C26+(-4),$B$3)+1)*E26+INDEX(Symboles!$H$6:$H$101,MOD(12+$C26+(-3),$B$3)+1)*F26+INDEX(Symboles!$H$6:$H$101,MOD(12+$C26+(-2),$B$3)+1)*G26+INDEX(Symboles!$H$6:$H$101,MOD(12+$C26+(-1),$B$3)+1)*H26+INDEX(Symboles!$H$6:$H$101,MOD(12+$C26+(0),$B$3)+1)*I26+INDEX(Symboles!$H$6:$H$101,MOD(12+$C26+(1),$B$3)+1)*J26+INDEX(Symboles!$H$6:$H$101,MOD(12+$C26+(2),$B$3)+1)*K26+INDEX(Symboles!$H$6:$H$101,MOD(12+$C26+(3),$B$3)+1)*L26+INDEX(Symboles!$H$6:$H$101,MOD(12+$C26+(4),$B$3)+1)*M26+IF($B$6=0,0,$B$6*NORMSINV(0.000001+0.999998*RAND())))</f>
        <v/>
      </c>
      <c r="DV26" s="30">
        <f>IF(14&gt;$B$3,99,INDEX(Symboles!$H$6:$H$101,MOD(13+$C26+(-4),$B$3)+1)*E26+INDEX(Symboles!$H$6:$H$101,MOD(13+$C26+(-3),$B$3)+1)*F26+INDEX(Symboles!$H$6:$H$101,MOD(13+$C26+(-2),$B$3)+1)*G26+INDEX(Symboles!$H$6:$H$101,MOD(13+$C26+(-1),$B$3)+1)*H26+INDEX(Symboles!$H$6:$H$101,MOD(13+$C26+(0),$B$3)+1)*I26+INDEX(Symboles!$H$6:$H$101,MOD(13+$C26+(1),$B$3)+1)*J26+INDEX(Symboles!$H$6:$H$101,MOD(13+$C26+(2),$B$3)+1)*K26+INDEX(Symboles!$H$6:$H$101,MOD(13+$C26+(3),$B$3)+1)*L26+INDEX(Symboles!$H$6:$H$101,MOD(13+$C26+(4),$B$3)+1)*M26+IF($B$6=0,0,$B$6*NORMSINV(0.000001+0.999998*RAND())))</f>
        <v/>
      </c>
      <c r="DW26" s="30">
        <f>IF(15&gt;$B$3,99,INDEX(Symboles!$H$6:$H$101,MOD(14+$C26+(-4),$B$3)+1)*E26+INDEX(Symboles!$H$6:$H$101,MOD(14+$C26+(-3),$B$3)+1)*F26+INDEX(Symboles!$H$6:$H$101,MOD(14+$C26+(-2),$B$3)+1)*G26+INDEX(Symboles!$H$6:$H$101,MOD(14+$C26+(-1),$B$3)+1)*H26+INDEX(Symboles!$H$6:$H$101,MOD(14+$C26+(0),$B$3)+1)*I26+INDEX(Symboles!$H$6:$H$101,MOD(14+$C26+(1),$B$3)+1)*J26+INDEX(Symboles!$H$6:$H$101,MOD(14+$C26+(2),$B$3)+1)*K26+INDEX(Symboles!$H$6:$H$101,MOD(14+$C26+(3),$B$3)+1)*L26+INDEX(Symboles!$H$6:$H$101,MOD(14+$C26+(4),$B$3)+1)*M26+IF($B$6=0,0,$B$6*NORMSINV(0.000001+0.999998*RAND())))</f>
        <v/>
      </c>
      <c r="DX26" s="30">
        <f>IF(16&gt;$B$3,99,INDEX(Symboles!$H$6:$H$101,MOD(15+$C26+(-4),$B$3)+1)*E26+INDEX(Symboles!$H$6:$H$101,MOD(15+$C26+(-3),$B$3)+1)*F26+INDEX(Symboles!$H$6:$H$101,MOD(15+$C26+(-2),$B$3)+1)*G26+INDEX(Symboles!$H$6:$H$101,MOD(15+$C26+(-1),$B$3)+1)*H26+INDEX(Symboles!$H$6:$H$101,MOD(15+$C26+(0),$B$3)+1)*I26+INDEX(Symboles!$H$6:$H$101,MOD(15+$C26+(1),$B$3)+1)*J26+INDEX(Symboles!$H$6:$H$101,MOD(15+$C26+(2),$B$3)+1)*K26+INDEX(Symboles!$H$6:$H$101,MOD(15+$C26+(3),$B$3)+1)*L26+INDEX(Symboles!$H$6:$H$101,MOD(15+$C26+(4),$B$3)+1)*M26+IF($B$6=0,0,$B$6*NORMSINV(0.000001+0.999998*RAND())))</f>
        <v/>
      </c>
      <c r="DY26" s="30">
        <f>IF(17&gt;$B$3,99,INDEX(Symboles!$H$6:$H$101,MOD(16+$C26+(-4),$B$3)+1)*E26+INDEX(Symboles!$H$6:$H$101,MOD(16+$C26+(-3),$B$3)+1)*F26+INDEX(Symboles!$H$6:$H$101,MOD(16+$C26+(-2),$B$3)+1)*G26+INDEX(Symboles!$H$6:$H$101,MOD(16+$C26+(-1),$B$3)+1)*H26+INDEX(Symboles!$H$6:$H$101,MOD(16+$C26+(0),$B$3)+1)*I26+INDEX(Symboles!$H$6:$H$101,MOD(16+$C26+(1),$B$3)+1)*J26+INDEX(Symboles!$H$6:$H$101,MOD(16+$C26+(2),$B$3)+1)*K26+INDEX(Symboles!$H$6:$H$101,MOD(16+$C26+(3),$B$3)+1)*L26+INDEX(Symboles!$H$6:$H$101,MOD(16+$C26+(4),$B$3)+1)*M26+IF($B$6=0,0,$B$6*NORMSINV(0.000001+0.999998*RAND())))</f>
        <v/>
      </c>
      <c r="DZ26" s="30">
        <f>IF(18&gt;$B$3,99,INDEX(Symboles!$H$6:$H$101,MOD(17+$C26+(-4),$B$3)+1)*E26+INDEX(Symboles!$H$6:$H$101,MOD(17+$C26+(-3),$B$3)+1)*F26+INDEX(Symboles!$H$6:$H$101,MOD(17+$C26+(-2),$B$3)+1)*G26+INDEX(Symboles!$H$6:$H$101,MOD(17+$C26+(-1),$B$3)+1)*H26+INDEX(Symboles!$H$6:$H$101,MOD(17+$C26+(0),$B$3)+1)*I26+INDEX(Symboles!$H$6:$H$101,MOD(17+$C26+(1),$B$3)+1)*J26+INDEX(Symboles!$H$6:$H$101,MOD(17+$C26+(2),$B$3)+1)*K26+INDEX(Symboles!$H$6:$H$101,MOD(17+$C26+(3),$B$3)+1)*L26+INDEX(Symboles!$H$6:$H$101,MOD(17+$C26+(4),$B$3)+1)*M26+IF($B$6=0,0,$B$6*NORMSINV(0.000001+0.999998*RAND())))</f>
        <v/>
      </c>
      <c r="EA26" s="30">
        <f>IF(19&gt;$B$3,99,INDEX(Symboles!$H$6:$H$101,MOD(18+$C26+(-4),$B$3)+1)*E26+INDEX(Symboles!$H$6:$H$101,MOD(18+$C26+(-3),$B$3)+1)*F26+INDEX(Symboles!$H$6:$H$101,MOD(18+$C26+(-2),$B$3)+1)*G26+INDEX(Symboles!$H$6:$H$101,MOD(18+$C26+(-1),$B$3)+1)*H26+INDEX(Symboles!$H$6:$H$101,MOD(18+$C26+(0),$B$3)+1)*I26+INDEX(Symboles!$H$6:$H$101,MOD(18+$C26+(1),$B$3)+1)*J26+INDEX(Symboles!$H$6:$H$101,MOD(18+$C26+(2),$B$3)+1)*K26+INDEX(Symboles!$H$6:$H$101,MOD(18+$C26+(3),$B$3)+1)*L26+INDEX(Symboles!$H$6:$H$101,MOD(18+$C26+(4),$B$3)+1)*M26+IF($B$6=0,0,$B$6*NORMSINV(0.000001+0.999998*RAND())))</f>
        <v/>
      </c>
      <c r="EB26" s="30">
        <f>IF(20&gt;$B$3,99,INDEX(Symboles!$H$6:$H$101,MOD(19+$C26+(-4),$B$3)+1)*E26+INDEX(Symboles!$H$6:$H$101,MOD(19+$C26+(-3),$B$3)+1)*F26+INDEX(Symboles!$H$6:$H$101,MOD(19+$C26+(-2),$B$3)+1)*G26+INDEX(Symboles!$H$6:$H$101,MOD(19+$C26+(-1),$B$3)+1)*H26+INDEX(Symboles!$H$6:$H$101,MOD(19+$C26+(0),$B$3)+1)*I26+INDEX(Symboles!$H$6:$H$101,MOD(19+$C26+(1),$B$3)+1)*J26+INDEX(Symboles!$H$6:$H$101,MOD(19+$C26+(2),$B$3)+1)*K26+INDEX(Symboles!$H$6:$H$101,MOD(19+$C26+(3),$B$3)+1)*L26+INDEX(Symboles!$H$6:$H$101,MOD(19+$C26+(4),$B$3)+1)*M26+IF($B$6=0,0,$B$6*NORMSINV(0.000001+0.999998*RAND())))</f>
        <v/>
      </c>
      <c r="EC26" s="30">
        <f>IF(21&gt;$B$3,99,INDEX(Symboles!$H$6:$H$101,MOD(20+$C26+(-4),$B$3)+1)*E26+INDEX(Symboles!$H$6:$H$101,MOD(20+$C26+(-3),$B$3)+1)*F26+INDEX(Symboles!$H$6:$H$101,MOD(20+$C26+(-2),$B$3)+1)*G26+INDEX(Symboles!$H$6:$H$101,MOD(20+$C26+(-1),$B$3)+1)*H26+INDEX(Symboles!$H$6:$H$101,MOD(20+$C26+(0),$B$3)+1)*I26+INDEX(Symboles!$H$6:$H$101,MOD(20+$C26+(1),$B$3)+1)*J26+INDEX(Symboles!$H$6:$H$101,MOD(20+$C26+(2),$B$3)+1)*K26+INDEX(Symboles!$H$6:$H$101,MOD(20+$C26+(3),$B$3)+1)*L26+INDEX(Symboles!$H$6:$H$101,MOD(20+$C26+(4),$B$3)+1)*M26+IF($B$6=0,0,$B$6*NORMSINV(0.000001+0.999998*RAND())))</f>
        <v/>
      </c>
      <c r="ED26" s="30">
        <f>IF(22&gt;$B$3,99,INDEX(Symboles!$H$6:$H$101,MOD(21+$C26+(-4),$B$3)+1)*E26+INDEX(Symboles!$H$6:$H$101,MOD(21+$C26+(-3),$B$3)+1)*F26+INDEX(Symboles!$H$6:$H$101,MOD(21+$C26+(-2),$B$3)+1)*G26+INDEX(Symboles!$H$6:$H$101,MOD(21+$C26+(-1),$B$3)+1)*H26+INDEX(Symboles!$H$6:$H$101,MOD(21+$C26+(0),$B$3)+1)*I26+INDEX(Symboles!$H$6:$H$101,MOD(21+$C26+(1),$B$3)+1)*J26+INDEX(Symboles!$H$6:$H$101,MOD(21+$C26+(2),$B$3)+1)*K26+INDEX(Symboles!$H$6:$H$101,MOD(21+$C26+(3),$B$3)+1)*L26+INDEX(Symboles!$H$6:$H$101,MOD(21+$C26+(4),$B$3)+1)*M26+IF($B$6=0,0,$B$6*NORMSINV(0.000001+0.999998*RAND())))</f>
        <v/>
      </c>
      <c r="EE26" s="30">
        <f>IF(23&gt;$B$3,99,INDEX(Symboles!$H$6:$H$101,MOD(22+$C26+(-4),$B$3)+1)*E26+INDEX(Symboles!$H$6:$H$101,MOD(22+$C26+(-3),$B$3)+1)*F26+INDEX(Symboles!$H$6:$H$101,MOD(22+$C26+(-2),$B$3)+1)*G26+INDEX(Symboles!$H$6:$H$101,MOD(22+$C26+(-1),$B$3)+1)*H26+INDEX(Symboles!$H$6:$H$101,MOD(22+$C26+(0),$B$3)+1)*I26+INDEX(Symboles!$H$6:$H$101,MOD(22+$C26+(1),$B$3)+1)*J26+INDEX(Symboles!$H$6:$H$101,MOD(22+$C26+(2),$B$3)+1)*K26+INDEX(Symboles!$H$6:$H$101,MOD(22+$C26+(3),$B$3)+1)*L26+INDEX(Symboles!$H$6:$H$101,MOD(22+$C26+(4),$B$3)+1)*M26+IF($B$6=0,0,$B$6*NORMSINV(0.000001+0.999998*RAND())))</f>
        <v/>
      </c>
      <c r="EF26" s="30">
        <f>IF(24&gt;$B$3,99,INDEX(Symboles!$H$6:$H$101,MOD(23+$C26+(-4),$B$3)+1)*E26+INDEX(Symboles!$H$6:$H$101,MOD(23+$C26+(-3),$B$3)+1)*F26+INDEX(Symboles!$H$6:$H$101,MOD(23+$C26+(-2),$B$3)+1)*G26+INDEX(Symboles!$H$6:$H$101,MOD(23+$C26+(-1),$B$3)+1)*H26+INDEX(Symboles!$H$6:$H$101,MOD(23+$C26+(0),$B$3)+1)*I26+INDEX(Symboles!$H$6:$H$101,MOD(23+$C26+(1),$B$3)+1)*J26+INDEX(Symboles!$H$6:$H$101,MOD(23+$C26+(2),$B$3)+1)*K26+INDEX(Symboles!$H$6:$H$101,MOD(23+$C26+(3),$B$3)+1)*L26+INDEX(Symboles!$H$6:$H$101,MOD(23+$C26+(4),$B$3)+1)*M26+IF($B$6=0,0,$B$6*NORMSINV(0.000001+0.999998*RAND())))</f>
        <v/>
      </c>
      <c r="EG26" s="30">
        <f>IF(25&gt;$B$3,99,INDEX(Symboles!$H$6:$H$101,MOD(24+$C26+(-4),$B$3)+1)*E26+INDEX(Symboles!$H$6:$H$101,MOD(24+$C26+(-3),$B$3)+1)*F26+INDEX(Symboles!$H$6:$H$101,MOD(24+$C26+(-2),$B$3)+1)*G26+INDEX(Symboles!$H$6:$H$101,MOD(24+$C26+(-1),$B$3)+1)*H26+INDEX(Symboles!$H$6:$H$101,MOD(24+$C26+(0),$B$3)+1)*I26+INDEX(Symboles!$H$6:$H$101,MOD(24+$C26+(1),$B$3)+1)*J26+INDEX(Symboles!$H$6:$H$101,MOD(24+$C26+(2),$B$3)+1)*K26+INDEX(Symboles!$H$6:$H$101,MOD(24+$C26+(3),$B$3)+1)*L26+INDEX(Symboles!$H$6:$H$101,MOD(24+$C26+(4),$B$3)+1)*M26+IF($B$6=0,0,$B$6*NORMSINV(0.000001+0.999998*RAND())))</f>
        <v/>
      </c>
      <c r="EH26" s="30">
        <f>IF(26&gt;$B$3,99,INDEX(Symboles!$H$6:$H$101,MOD(25+$C26+(-4),$B$3)+1)*E26+INDEX(Symboles!$H$6:$H$101,MOD(25+$C26+(-3),$B$3)+1)*F26+INDEX(Symboles!$H$6:$H$101,MOD(25+$C26+(-2),$B$3)+1)*G26+INDEX(Symboles!$H$6:$H$101,MOD(25+$C26+(-1),$B$3)+1)*H26+INDEX(Symboles!$H$6:$H$101,MOD(25+$C26+(0),$B$3)+1)*I26+INDEX(Symboles!$H$6:$H$101,MOD(25+$C26+(1),$B$3)+1)*J26+INDEX(Symboles!$H$6:$H$101,MOD(25+$C26+(2),$B$3)+1)*K26+INDEX(Symboles!$H$6:$H$101,MOD(25+$C26+(3),$B$3)+1)*L26+INDEX(Symboles!$H$6:$H$101,MOD(25+$C26+(4),$B$3)+1)*M26+IF($B$6=0,0,$B$6*NORMSINV(0.000001+0.999998*RAND())))</f>
        <v/>
      </c>
      <c r="EI26" s="30">
        <f>IF(27&gt;$B$3,99,INDEX(Symboles!$H$6:$H$101,MOD(26+$C26+(-4),$B$3)+1)*E26+INDEX(Symboles!$H$6:$H$101,MOD(26+$C26+(-3),$B$3)+1)*F26+INDEX(Symboles!$H$6:$H$101,MOD(26+$C26+(-2),$B$3)+1)*G26+INDEX(Symboles!$H$6:$H$101,MOD(26+$C26+(-1),$B$3)+1)*H26+INDEX(Symboles!$H$6:$H$101,MOD(26+$C26+(0),$B$3)+1)*I26+INDEX(Symboles!$H$6:$H$101,MOD(26+$C26+(1),$B$3)+1)*J26+INDEX(Symboles!$H$6:$H$101,MOD(26+$C26+(2),$B$3)+1)*K26+INDEX(Symboles!$H$6:$H$101,MOD(26+$C26+(3),$B$3)+1)*L26+INDEX(Symboles!$H$6:$H$101,MOD(26+$C26+(4),$B$3)+1)*M26+IF($B$6=0,0,$B$6*NORMSINV(0.000001+0.999998*RAND())))</f>
        <v/>
      </c>
      <c r="EJ26" s="30">
        <f>IF(28&gt;$B$3,99,INDEX(Symboles!$H$6:$H$101,MOD(27+$C26+(-4),$B$3)+1)*E26+INDEX(Symboles!$H$6:$H$101,MOD(27+$C26+(-3),$B$3)+1)*F26+INDEX(Symboles!$H$6:$H$101,MOD(27+$C26+(-2),$B$3)+1)*G26+INDEX(Symboles!$H$6:$H$101,MOD(27+$C26+(-1),$B$3)+1)*H26+INDEX(Symboles!$H$6:$H$101,MOD(27+$C26+(0),$B$3)+1)*I26+INDEX(Symboles!$H$6:$H$101,MOD(27+$C26+(1),$B$3)+1)*J26+INDEX(Symboles!$H$6:$H$101,MOD(27+$C26+(2),$B$3)+1)*K26+INDEX(Symboles!$H$6:$H$101,MOD(27+$C26+(3),$B$3)+1)*L26+INDEX(Symboles!$H$6:$H$101,MOD(27+$C26+(4),$B$3)+1)*M26+IF($B$6=0,0,$B$6*NORMSINV(0.000001+0.999998*RAND())))</f>
        <v/>
      </c>
      <c r="EK26" s="30">
        <f>IF(29&gt;$B$3,99,INDEX(Symboles!$H$6:$H$101,MOD(28+$C26+(-4),$B$3)+1)*E26+INDEX(Symboles!$H$6:$H$101,MOD(28+$C26+(-3),$B$3)+1)*F26+INDEX(Symboles!$H$6:$H$101,MOD(28+$C26+(-2),$B$3)+1)*G26+INDEX(Symboles!$H$6:$H$101,MOD(28+$C26+(-1),$B$3)+1)*H26+INDEX(Symboles!$H$6:$H$101,MOD(28+$C26+(0),$B$3)+1)*I26+INDEX(Symboles!$H$6:$H$101,MOD(28+$C26+(1),$B$3)+1)*J26+INDEX(Symboles!$H$6:$H$101,MOD(28+$C26+(2),$B$3)+1)*K26+INDEX(Symboles!$H$6:$H$101,MOD(28+$C26+(3),$B$3)+1)*L26+INDEX(Symboles!$H$6:$H$101,MOD(28+$C26+(4),$B$3)+1)*M26+IF($B$6=0,0,$B$6*NORMSINV(0.000001+0.999998*RAND())))</f>
        <v/>
      </c>
      <c r="EL26" s="30">
        <f>IF(30&gt;$B$3,99,INDEX(Symboles!$H$6:$H$101,MOD(29+$C26+(-4),$B$3)+1)*E26+INDEX(Symboles!$H$6:$H$101,MOD(29+$C26+(-3),$B$3)+1)*F26+INDEX(Symboles!$H$6:$H$101,MOD(29+$C26+(-2),$B$3)+1)*G26+INDEX(Symboles!$H$6:$H$101,MOD(29+$C26+(-1),$B$3)+1)*H26+INDEX(Symboles!$H$6:$H$101,MOD(29+$C26+(0),$B$3)+1)*I26+INDEX(Symboles!$H$6:$H$101,MOD(29+$C26+(1),$B$3)+1)*J26+INDEX(Symboles!$H$6:$H$101,MOD(29+$C26+(2),$B$3)+1)*K26+INDEX(Symboles!$H$6:$H$101,MOD(29+$C26+(3),$B$3)+1)*L26+INDEX(Symboles!$H$6:$H$101,MOD(29+$C26+(4),$B$3)+1)*M26+IF($B$6=0,0,$B$6*NORMSINV(0.000001+0.999998*RAND())))</f>
        <v/>
      </c>
      <c r="EM26" s="30">
        <f>IF(31&gt;$B$3,99,INDEX(Symboles!$H$6:$H$101,MOD(30+$C26+(-4),$B$3)+1)*E26+INDEX(Symboles!$H$6:$H$101,MOD(30+$C26+(-3),$B$3)+1)*F26+INDEX(Symboles!$H$6:$H$101,MOD(30+$C26+(-2),$B$3)+1)*G26+INDEX(Symboles!$H$6:$H$101,MOD(30+$C26+(-1),$B$3)+1)*H26+INDEX(Symboles!$H$6:$H$101,MOD(30+$C26+(0),$B$3)+1)*I26+INDEX(Symboles!$H$6:$H$101,MOD(30+$C26+(1),$B$3)+1)*J26+INDEX(Symboles!$H$6:$H$101,MOD(30+$C26+(2),$B$3)+1)*K26+INDEX(Symboles!$H$6:$H$101,MOD(30+$C26+(3),$B$3)+1)*L26+INDEX(Symboles!$H$6:$H$101,MOD(30+$C26+(4),$B$3)+1)*M26+IF($B$6=0,0,$B$6*NORMSINV(0.000001+0.999998*RAND())))</f>
        <v/>
      </c>
      <c r="EN26" s="30">
        <f>IF(32&gt;$B$3,99,INDEX(Symboles!$H$6:$H$101,MOD(31+$C26+(-4),$B$3)+1)*E26+INDEX(Symboles!$H$6:$H$101,MOD(31+$C26+(-3),$B$3)+1)*F26+INDEX(Symboles!$H$6:$H$101,MOD(31+$C26+(-2),$B$3)+1)*G26+INDEX(Symboles!$H$6:$H$101,MOD(31+$C26+(-1),$B$3)+1)*H26+INDEX(Symboles!$H$6:$H$101,MOD(31+$C26+(0),$B$3)+1)*I26+INDEX(Symboles!$H$6:$H$101,MOD(31+$C26+(1),$B$3)+1)*J26+INDEX(Symboles!$H$6:$H$101,MOD(31+$C26+(2),$B$3)+1)*K26+INDEX(Symboles!$H$6:$H$101,MOD(31+$C26+(3),$B$3)+1)*L26+INDEX(Symboles!$H$6:$H$101,MOD(31+$C26+(4),$B$3)+1)*M26+IF($B$6=0,0,$B$6*NORMSINV(0.000001+0.999998*RAND())))</f>
        <v/>
      </c>
      <c r="EO26" s="30">
        <f>IF(33&gt;$B$3,99,INDEX(Symboles!$H$6:$H$101,MOD(32+$C26+(-4),$B$3)+1)*E26+INDEX(Symboles!$H$6:$H$101,MOD(32+$C26+(-3),$B$3)+1)*F26+INDEX(Symboles!$H$6:$H$101,MOD(32+$C26+(-2),$B$3)+1)*G26+INDEX(Symboles!$H$6:$H$101,MOD(32+$C26+(-1),$B$3)+1)*H26+INDEX(Symboles!$H$6:$H$101,MOD(32+$C26+(0),$B$3)+1)*I26+INDEX(Symboles!$H$6:$H$101,MOD(32+$C26+(1),$B$3)+1)*J26+INDEX(Symboles!$H$6:$H$101,MOD(32+$C26+(2),$B$3)+1)*K26+INDEX(Symboles!$H$6:$H$101,MOD(32+$C26+(3),$B$3)+1)*L26+INDEX(Symboles!$H$6:$H$101,MOD(32+$C26+(4),$B$3)+1)*M26+IF($B$6=0,0,$B$6*NORMSINV(0.000001+0.999998*RAND())))</f>
        <v/>
      </c>
      <c r="EP26" s="30">
        <f>IF(34&gt;$B$3,99,INDEX(Symboles!$H$6:$H$101,MOD(33+$C26+(-4),$B$3)+1)*E26+INDEX(Symboles!$H$6:$H$101,MOD(33+$C26+(-3),$B$3)+1)*F26+INDEX(Symboles!$H$6:$H$101,MOD(33+$C26+(-2),$B$3)+1)*G26+INDEX(Symboles!$H$6:$H$101,MOD(33+$C26+(-1),$B$3)+1)*H26+INDEX(Symboles!$H$6:$H$101,MOD(33+$C26+(0),$B$3)+1)*I26+INDEX(Symboles!$H$6:$H$101,MOD(33+$C26+(1),$B$3)+1)*J26+INDEX(Symboles!$H$6:$H$101,MOD(33+$C26+(2),$B$3)+1)*K26+INDEX(Symboles!$H$6:$H$101,MOD(33+$C26+(3),$B$3)+1)*L26+INDEX(Symboles!$H$6:$H$101,MOD(33+$C26+(4),$B$3)+1)*M26+IF($B$6=0,0,$B$6*NORMSINV(0.000001+0.999998*RAND())))</f>
        <v/>
      </c>
      <c r="EQ26" s="30">
        <f>IF(35&gt;$B$3,99,INDEX(Symboles!$H$6:$H$101,MOD(34+$C26+(-4),$B$3)+1)*E26+INDEX(Symboles!$H$6:$H$101,MOD(34+$C26+(-3),$B$3)+1)*F26+INDEX(Symboles!$H$6:$H$101,MOD(34+$C26+(-2),$B$3)+1)*G26+INDEX(Symboles!$H$6:$H$101,MOD(34+$C26+(-1),$B$3)+1)*H26+INDEX(Symboles!$H$6:$H$101,MOD(34+$C26+(0),$B$3)+1)*I26+INDEX(Symboles!$H$6:$H$101,MOD(34+$C26+(1),$B$3)+1)*J26+INDEX(Symboles!$H$6:$H$101,MOD(34+$C26+(2),$B$3)+1)*K26+INDEX(Symboles!$H$6:$H$101,MOD(34+$C26+(3),$B$3)+1)*L26+INDEX(Symboles!$H$6:$H$101,MOD(34+$C26+(4),$B$3)+1)*M26+IF($B$6=0,0,$B$6*NORMSINV(0.000001+0.999998*RAND())))</f>
        <v/>
      </c>
      <c r="ER26" s="30">
        <f>IF(36&gt;$B$3,99,INDEX(Symboles!$H$6:$H$101,MOD(35+$C26+(-4),$B$3)+1)*E26+INDEX(Symboles!$H$6:$H$101,MOD(35+$C26+(-3),$B$3)+1)*F26+INDEX(Symboles!$H$6:$H$101,MOD(35+$C26+(-2),$B$3)+1)*G26+INDEX(Symboles!$H$6:$H$101,MOD(35+$C26+(-1),$B$3)+1)*H26+INDEX(Symboles!$H$6:$H$101,MOD(35+$C26+(0),$B$3)+1)*I26+INDEX(Symboles!$H$6:$H$101,MOD(35+$C26+(1),$B$3)+1)*J26+INDEX(Symboles!$H$6:$H$101,MOD(35+$C26+(2),$B$3)+1)*K26+INDEX(Symboles!$H$6:$H$101,MOD(35+$C26+(3),$B$3)+1)*L26+INDEX(Symboles!$H$6:$H$101,MOD(35+$C26+(4),$B$3)+1)*M26+IF($B$6=0,0,$B$6*NORMSINV(0.000001+0.999998*RAND())))</f>
        <v/>
      </c>
      <c r="ES26" s="30">
        <f>IF(37&gt;$B$3,99,INDEX(Symboles!$H$6:$H$101,MOD(36+$C26+(-4),$B$3)+1)*E26+INDEX(Symboles!$H$6:$H$101,MOD(36+$C26+(-3),$B$3)+1)*F26+INDEX(Symboles!$H$6:$H$101,MOD(36+$C26+(-2),$B$3)+1)*G26+INDEX(Symboles!$H$6:$H$101,MOD(36+$C26+(-1),$B$3)+1)*H26+INDEX(Symboles!$H$6:$H$101,MOD(36+$C26+(0),$B$3)+1)*I26+INDEX(Symboles!$H$6:$H$101,MOD(36+$C26+(1),$B$3)+1)*J26+INDEX(Symboles!$H$6:$H$101,MOD(36+$C26+(2),$B$3)+1)*K26+INDEX(Symboles!$H$6:$H$101,MOD(36+$C26+(3),$B$3)+1)*L26+INDEX(Symboles!$H$6:$H$101,MOD(36+$C26+(4),$B$3)+1)*M26+IF($B$6=0,0,$B$6*NORMSINV(0.000001+0.999998*RAND())))</f>
        <v/>
      </c>
      <c r="ET26" s="30">
        <f>IF(38&gt;$B$3,99,INDEX(Symboles!$H$6:$H$101,MOD(37+$C26+(-4),$B$3)+1)*E26+INDEX(Symboles!$H$6:$H$101,MOD(37+$C26+(-3),$B$3)+1)*F26+INDEX(Symboles!$H$6:$H$101,MOD(37+$C26+(-2),$B$3)+1)*G26+INDEX(Symboles!$H$6:$H$101,MOD(37+$C26+(-1),$B$3)+1)*H26+INDEX(Symboles!$H$6:$H$101,MOD(37+$C26+(0),$B$3)+1)*I26+INDEX(Symboles!$H$6:$H$101,MOD(37+$C26+(1),$B$3)+1)*J26+INDEX(Symboles!$H$6:$H$101,MOD(37+$C26+(2),$B$3)+1)*K26+INDEX(Symboles!$H$6:$H$101,MOD(37+$C26+(3),$B$3)+1)*L26+INDEX(Symboles!$H$6:$H$101,MOD(37+$C26+(4),$B$3)+1)*M26+IF($B$6=0,0,$B$6*NORMSINV(0.000001+0.999998*RAND())))</f>
        <v/>
      </c>
      <c r="EU26" s="30">
        <f>IF(39&gt;$B$3,99,INDEX(Symboles!$H$6:$H$101,MOD(38+$C26+(-4),$B$3)+1)*E26+INDEX(Symboles!$H$6:$H$101,MOD(38+$C26+(-3),$B$3)+1)*F26+INDEX(Symboles!$H$6:$H$101,MOD(38+$C26+(-2),$B$3)+1)*G26+INDEX(Symboles!$H$6:$H$101,MOD(38+$C26+(-1),$B$3)+1)*H26+INDEX(Symboles!$H$6:$H$101,MOD(38+$C26+(0),$B$3)+1)*I26+INDEX(Symboles!$H$6:$H$101,MOD(38+$C26+(1),$B$3)+1)*J26+INDEX(Symboles!$H$6:$H$101,MOD(38+$C26+(2),$B$3)+1)*K26+INDEX(Symboles!$H$6:$H$101,MOD(38+$C26+(3),$B$3)+1)*L26+INDEX(Symboles!$H$6:$H$101,MOD(38+$C26+(4),$B$3)+1)*M26+IF($B$6=0,0,$B$6*NORMSINV(0.000001+0.999998*RAND())))</f>
        <v/>
      </c>
      <c r="EV26" s="30">
        <f>IF(40&gt;$B$3,99,INDEX(Symboles!$H$6:$H$101,MOD(39+$C26+(-4),$B$3)+1)*E26+INDEX(Symboles!$H$6:$H$101,MOD(39+$C26+(-3),$B$3)+1)*F26+INDEX(Symboles!$H$6:$H$101,MOD(39+$C26+(-2),$B$3)+1)*G26+INDEX(Symboles!$H$6:$H$101,MOD(39+$C26+(-1),$B$3)+1)*H26+INDEX(Symboles!$H$6:$H$101,MOD(39+$C26+(0),$B$3)+1)*I26+INDEX(Symboles!$H$6:$H$101,MOD(39+$C26+(1),$B$3)+1)*J26+INDEX(Symboles!$H$6:$H$101,MOD(39+$C26+(2),$B$3)+1)*K26+INDEX(Symboles!$H$6:$H$101,MOD(39+$C26+(3),$B$3)+1)*L26+INDEX(Symboles!$H$6:$H$101,MOD(39+$C26+(4),$B$3)+1)*M26+IF($B$6=0,0,$B$6*NORMSINV(0.000001+0.999998*RAND())))</f>
        <v/>
      </c>
      <c r="EW26" s="30">
        <f>IF(41&gt;$B$3,99,INDEX(Symboles!$H$6:$H$101,MOD(40+$C26+(-4),$B$3)+1)*E26+INDEX(Symboles!$H$6:$H$101,MOD(40+$C26+(-3),$B$3)+1)*F26+INDEX(Symboles!$H$6:$H$101,MOD(40+$C26+(-2),$B$3)+1)*G26+INDEX(Symboles!$H$6:$H$101,MOD(40+$C26+(-1),$B$3)+1)*H26+INDEX(Symboles!$H$6:$H$101,MOD(40+$C26+(0),$B$3)+1)*I26+INDEX(Symboles!$H$6:$H$101,MOD(40+$C26+(1),$B$3)+1)*J26+INDEX(Symboles!$H$6:$H$101,MOD(40+$C26+(2),$B$3)+1)*K26+INDEX(Symboles!$H$6:$H$101,MOD(40+$C26+(3),$B$3)+1)*L26+INDEX(Symboles!$H$6:$H$101,MOD(40+$C26+(4),$B$3)+1)*M26+IF($B$6=0,0,$B$6*NORMSINV(0.000001+0.999998*RAND())))</f>
        <v/>
      </c>
      <c r="EX26" s="30">
        <f>IF(42&gt;$B$3,99,INDEX(Symboles!$H$6:$H$101,MOD(41+$C26+(-4),$B$3)+1)*E26+INDEX(Symboles!$H$6:$H$101,MOD(41+$C26+(-3),$B$3)+1)*F26+INDEX(Symboles!$H$6:$H$101,MOD(41+$C26+(-2),$B$3)+1)*G26+INDEX(Symboles!$H$6:$H$101,MOD(41+$C26+(-1),$B$3)+1)*H26+INDEX(Symboles!$H$6:$H$101,MOD(41+$C26+(0),$B$3)+1)*I26+INDEX(Symboles!$H$6:$H$101,MOD(41+$C26+(1),$B$3)+1)*J26+INDEX(Symboles!$H$6:$H$101,MOD(41+$C26+(2),$B$3)+1)*K26+INDEX(Symboles!$H$6:$H$101,MOD(41+$C26+(3),$B$3)+1)*L26+INDEX(Symboles!$H$6:$H$101,MOD(41+$C26+(4),$B$3)+1)*M26+IF($B$6=0,0,$B$6*NORMSINV(0.000001+0.999998*RAND())))</f>
        <v/>
      </c>
      <c r="EY26" s="30">
        <f>IF(43&gt;$B$3,99,INDEX(Symboles!$H$6:$H$101,MOD(42+$C26+(-4),$B$3)+1)*E26+INDEX(Symboles!$H$6:$H$101,MOD(42+$C26+(-3),$B$3)+1)*F26+INDEX(Symboles!$H$6:$H$101,MOD(42+$C26+(-2),$B$3)+1)*G26+INDEX(Symboles!$H$6:$H$101,MOD(42+$C26+(-1),$B$3)+1)*H26+INDEX(Symboles!$H$6:$H$101,MOD(42+$C26+(0),$B$3)+1)*I26+INDEX(Symboles!$H$6:$H$101,MOD(42+$C26+(1),$B$3)+1)*J26+INDEX(Symboles!$H$6:$H$101,MOD(42+$C26+(2),$B$3)+1)*K26+INDEX(Symboles!$H$6:$H$101,MOD(42+$C26+(3),$B$3)+1)*L26+INDEX(Symboles!$H$6:$H$101,MOD(42+$C26+(4),$B$3)+1)*M26+IF($B$6=0,0,$B$6*NORMSINV(0.000001+0.999998*RAND())))</f>
        <v/>
      </c>
      <c r="EZ26" s="30">
        <f>IF(44&gt;$B$3,99,INDEX(Symboles!$H$6:$H$101,MOD(43+$C26+(-4),$B$3)+1)*E26+INDEX(Symboles!$H$6:$H$101,MOD(43+$C26+(-3),$B$3)+1)*F26+INDEX(Symboles!$H$6:$H$101,MOD(43+$C26+(-2),$B$3)+1)*G26+INDEX(Symboles!$H$6:$H$101,MOD(43+$C26+(-1),$B$3)+1)*H26+INDEX(Symboles!$H$6:$H$101,MOD(43+$C26+(0),$B$3)+1)*I26+INDEX(Symboles!$H$6:$H$101,MOD(43+$C26+(1),$B$3)+1)*J26+INDEX(Symboles!$H$6:$H$101,MOD(43+$C26+(2),$B$3)+1)*K26+INDEX(Symboles!$H$6:$H$101,MOD(43+$C26+(3),$B$3)+1)*L26+INDEX(Symboles!$H$6:$H$101,MOD(43+$C26+(4),$B$3)+1)*M26+IF($B$6=0,0,$B$6*NORMSINV(0.000001+0.999998*RAND())))</f>
        <v/>
      </c>
      <c r="FA26" s="30">
        <f>IF(45&gt;$B$3,99,INDEX(Symboles!$H$6:$H$101,MOD(44+$C26+(-4),$B$3)+1)*E26+INDEX(Symboles!$H$6:$H$101,MOD(44+$C26+(-3),$B$3)+1)*F26+INDEX(Symboles!$H$6:$H$101,MOD(44+$C26+(-2),$B$3)+1)*G26+INDEX(Symboles!$H$6:$H$101,MOD(44+$C26+(-1),$B$3)+1)*H26+INDEX(Symboles!$H$6:$H$101,MOD(44+$C26+(0),$B$3)+1)*I26+INDEX(Symboles!$H$6:$H$101,MOD(44+$C26+(1),$B$3)+1)*J26+INDEX(Symboles!$H$6:$H$101,MOD(44+$C26+(2),$B$3)+1)*K26+INDEX(Symboles!$H$6:$H$101,MOD(44+$C26+(3),$B$3)+1)*L26+INDEX(Symboles!$H$6:$H$101,MOD(44+$C26+(4),$B$3)+1)*M26+IF($B$6=0,0,$B$6*NORMSINV(0.000001+0.999998*RAND())))</f>
        <v/>
      </c>
      <c r="FB26" s="30">
        <f>IF(46&gt;$B$3,99,INDEX(Symboles!$H$6:$H$101,MOD(45+$C26+(-4),$B$3)+1)*E26+INDEX(Symboles!$H$6:$H$101,MOD(45+$C26+(-3),$B$3)+1)*F26+INDEX(Symboles!$H$6:$H$101,MOD(45+$C26+(-2),$B$3)+1)*G26+INDEX(Symboles!$H$6:$H$101,MOD(45+$C26+(-1),$B$3)+1)*H26+INDEX(Symboles!$H$6:$H$101,MOD(45+$C26+(0),$B$3)+1)*I26+INDEX(Symboles!$H$6:$H$101,MOD(45+$C26+(1),$B$3)+1)*J26+INDEX(Symboles!$H$6:$H$101,MOD(45+$C26+(2),$B$3)+1)*K26+INDEX(Symboles!$H$6:$H$101,MOD(45+$C26+(3),$B$3)+1)*L26+INDEX(Symboles!$H$6:$H$101,MOD(45+$C26+(4),$B$3)+1)*M26+IF($B$6=0,0,$B$6*NORMSINV(0.000001+0.999998*RAND())))</f>
        <v/>
      </c>
      <c r="FC26" s="30">
        <f>IF(47&gt;$B$3,99,INDEX(Symboles!$H$6:$H$101,MOD(46+$C26+(-4),$B$3)+1)*E26+INDEX(Symboles!$H$6:$H$101,MOD(46+$C26+(-3),$B$3)+1)*F26+INDEX(Symboles!$H$6:$H$101,MOD(46+$C26+(-2),$B$3)+1)*G26+INDEX(Symboles!$H$6:$H$101,MOD(46+$C26+(-1),$B$3)+1)*H26+INDEX(Symboles!$H$6:$H$101,MOD(46+$C26+(0),$B$3)+1)*I26+INDEX(Symboles!$H$6:$H$101,MOD(46+$C26+(1),$B$3)+1)*J26+INDEX(Symboles!$H$6:$H$101,MOD(46+$C26+(2),$B$3)+1)*K26+INDEX(Symboles!$H$6:$H$101,MOD(46+$C26+(3),$B$3)+1)*L26+INDEX(Symboles!$H$6:$H$101,MOD(46+$C26+(4),$B$3)+1)*M26+IF($B$6=0,0,$B$6*NORMSINV(0.000001+0.999998*RAND())))</f>
        <v/>
      </c>
      <c r="FD26" s="30">
        <f>IF(48&gt;$B$3,99,INDEX(Symboles!$H$6:$H$101,MOD(47+$C26+(-4),$B$3)+1)*E26+INDEX(Symboles!$H$6:$H$101,MOD(47+$C26+(-3),$B$3)+1)*F26+INDEX(Symboles!$H$6:$H$101,MOD(47+$C26+(-2),$B$3)+1)*G26+INDEX(Symboles!$H$6:$H$101,MOD(47+$C26+(-1),$B$3)+1)*H26+INDEX(Symboles!$H$6:$H$101,MOD(47+$C26+(0),$B$3)+1)*I26+INDEX(Symboles!$H$6:$H$101,MOD(47+$C26+(1),$B$3)+1)*J26+INDEX(Symboles!$H$6:$H$101,MOD(47+$C26+(2),$B$3)+1)*K26+INDEX(Symboles!$H$6:$H$101,MOD(47+$C26+(3),$B$3)+1)*L26+INDEX(Symboles!$H$6:$H$101,MOD(47+$C26+(4),$B$3)+1)*M26+IF($B$6=0,0,$B$6*NORMSINV(0.000001+0.999998*RAND())))</f>
        <v/>
      </c>
      <c r="FE26" s="30">
        <f>IF(49&gt;$B$3,99,INDEX(Symboles!$H$6:$H$101,MOD(48+$C26+(-4),$B$3)+1)*E26+INDEX(Symboles!$H$6:$H$101,MOD(48+$C26+(-3),$B$3)+1)*F26+INDEX(Symboles!$H$6:$H$101,MOD(48+$C26+(-2),$B$3)+1)*G26+INDEX(Symboles!$H$6:$H$101,MOD(48+$C26+(-1),$B$3)+1)*H26+INDEX(Symboles!$H$6:$H$101,MOD(48+$C26+(0),$B$3)+1)*I26+INDEX(Symboles!$H$6:$H$101,MOD(48+$C26+(1),$B$3)+1)*J26+INDEX(Symboles!$H$6:$H$101,MOD(48+$C26+(2),$B$3)+1)*K26+INDEX(Symboles!$H$6:$H$101,MOD(48+$C26+(3),$B$3)+1)*L26+INDEX(Symboles!$H$6:$H$101,MOD(48+$C26+(4),$B$3)+1)*M26+IF($B$6=0,0,$B$6*NORMSINV(0.000001+0.999998*RAND())))</f>
        <v/>
      </c>
      <c r="FF26" s="30">
        <f>IF(50&gt;$B$3,99,INDEX(Symboles!$H$6:$H$101,MOD(49+$C26+(-4),$B$3)+1)*E26+INDEX(Symboles!$H$6:$H$101,MOD(49+$C26+(-3),$B$3)+1)*F26+INDEX(Symboles!$H$6:$H$101,MOD(49+$C26+(-2),$B$3)+1)*G26+INDEX(Symboles!$H$6:$H$101,MOD(49+$C26+(-1),$B$3)+1)*H26+INDEX(Symboles!$H$6:$H$101,MOD(49+$C26+(0),$B$3)+1)*I26+INDEX(Symboles!$H$6:$H$101,MOD(49+$C26+(1),$B$3)+1)*J26+INDEX(Symboles!$H$6:$H$101,MOD(49+$C26+(2),$B$3)+1)*K26+INDEX(Symboles!$H$6:$H$101,MOD(49+$C26+(3),$B$3)+1)*L26+INDEX(Symboles!$H$6:$H$101,MOD(49+$C26+(4),$B$3)+1)*M26+IF($B$6=0,0,$B$6*NORMSINV(0.000001+0.999998*RAND())))</f>
        <v/>
      </c>
      <c r="FG26" s="30">
        <f>IF(51&gt;$B$3,99,INDEX(Symboles!$H$6:$H$101,MOD(50+$C26+(-4),$B$3)+1)*E26+INDEX(Symboles!$H$6:$H$101,MOD(50+$C26+(-3),$B$3)+1)*F26+INDEX(Symboles!$H$6:$H$101,MOD(50+$C26+(-2),$B$3)+1)*G26+INDEX(Symboles!$H$6:$H$101,MOD(50+$C26+(-1),$B$3)+1)*H26+INDEX(Symboles!$H$6:$H$101,MOD(50+$C26+(0),$B$3)+1)*I26+INDEX(Symboles!$H$6:$H$101,MOD(50+$C26+(1),$B$3)+1)*J26+INDEX(Symboles!$H$6:$H$101,MOD(50+$C26+(2),$B$3)+1)*K26+INDEX(Symboles!$H$6:$H$101,MOD(50+$C26+(3),$B$3)+1)*L26+INDEX(Symboles!$H$6:$H$101,MOD(50+$C26+(4),$B$3)+1)*M26+IF($B$6=0,0,$B$6*NORMSINV(0.000001+0.999998*RAND())))</f>
        <v/>
      </c>
      <c r="FH26" s="30">
        <f>IF(52&gt;$B$3,99,INDEX(Symboles!$H$6:$H$101,MOD(51+$C26+(-4),$B$3)+1)*E26+INDEX(Symboles!$H$6:$H$101,MOD(51+$C26+(-3),$B$3)+1)*F26+INDEX(Symboles!$H$6:$H$101,MOD(51+$C26+(-2),$B$3)+1)*G26+INDEX(Symboles!$H$6:$H$101,MOD(51+$C26+(-1),$B$3)+1)*H26+INDEX(Symboles!$H$6:$H$101,MOD(51+$C26+(0),$B$3)+1)*I26+INDEX(Symboles!$H$6:$H$101,MOD(51+$C26+(1),$B$3)+1)*J26+INDEX(Symboles!$H$6:$H$101,MOD(51+$C26+(2),$B$3)+1)*K26+INDEX(Symboles!$H$6:$H$101,MOD(51+$C26+(3),$B$3)+1)*L26+INDEX(Symboles!$H$6:$H$101,MOD(51+$C26+(4),$B$3)+1)*M26+IF($B$6=0,0,$B$6*NORMSINV(0.000001+0.999998*RAND())))</f>
        <v/>
      </c>
      <c r="FI26" s="30">
        <f>IF(53&gt;$B$3,99,INDEX(Symboles!$H$6:$H$101,MOD(52+$C26+(-4),$B$3)+1)*E26+INDEX(Symboles!$H$6:$H$101,MOD(52+$C26+(-3),$B$3)+1)*F26+INDEX(Symboles!$H$6:$H$101,MOD(52+$C26+(-2),$B$3)+1)*G26+INDEX(Symboles!$H$6:$H$101,MOD(52+$C26+(-1),$B$3)+1)*H26+INDEX(Symboles!$H$6:$H$101,MOD(52+$C26+(0),$B$3)+1)*I26+INDEX(Symboles!$H$6:$H$101,MOD(52+$C26+(1),$B$3)+1)*J26+INDEX(Symboles!$H$6:$H$101,MOD(52+$C26+(2),$B$3)+1)*K26+INDEX(Symboles!$H$6:$H$101,MOD(52+$C26+(3),$B$3)+1)*L26+INDEX(Symboles!$H$6:$H$101,MOD(52+$C26+(4),$B$3)+1)*M26+IF($B$6=0,0,$B$6*NORMSINV(0.000001+0.999998*RAND())))</f>
        <v/>
      </c>
      <c r="FJ26" s="30">
        <f>IF(54&gt;$B$3,99,INDEX(Symboles!$H$6:$H$101,MOD(53+$C26+(-4),$B$3)+1)*E26+INDEX(Symboles!$H$6:$H$101,MOD(53+$C26+(-3),$B$3)+1)*F26+INDEX(Symboles!$H$6:$H$101,MOD(53+$C26+(-2),$B$3)+1)*G26+INDEX(Symboles!$H$6:$H$101,MOD(53+$C26+(-1),$B$3)+1)*H26+INDEX(Symboles!$H$6:$H$101,MOD(53+$C26+(0),$B$3)+1)*I26+INDEX(Symboles!$H$6:$H$101,MOD(53+$C26+(1),$B$3)+1)*J26+INDEX(Symboles!$H$6:$H$101,MOD(53+$C26+(2),$B$3)+1)*K26+INDEX(Symboles!$H$6:$H$101,MOD(53+$C26+(3),$B$3)+1)*L26+INDEX(Symboles!$H$6:$H$101,MOD(53+$C26+(4),$B$3)+1)*M26+IF($B$6=0,0,$B$6*NORMSINV(0.000001+0.999998*RAND())))</f>
        <v/>
      </c>
      <c r="FK26" s="30">
        <f>IF(55&gt;$B$3,99,INDEX(Symboles!$H$6:$H$101,MOD(54+$C26+(-4),$B$3)+1)*E26+INDEX(Symboles!$H$6:$H$101,MOD(54+$C26+(-3),$B$3)+1)*F26+INDEX(Symboles!$H$6:$H$101,MOD(54+$C26+(-2),$B$3)+1)*G26+INDEX(Symboles!$H$6:$H$101,MOD(54+$C26+(-1),$B$3)+1)*H26+INDEX(Symboles!$H$6:$H$101,MOD(54+$C26+(0),$B$3)+1)*I26+INDEX(Symboles!$H$6:$H$101,MOD(54+$C26+(1),$B$3)+1)*J26+INDEX(Symboles!$H$6:$H$101,MOD(54+$C26+(2),$B$3)+1)*K26+INDEX(Symboles!$H$6:$H$101,MOD(54+$C26+(3),$B$3)+1)*L26+INDEX(Symboles!$H$6:$H$101,MOD(54+$C26+(4),$B$3)+1)*M26+IF($B$6=0,0,$B$6*NORMSINV(0.000001+0.999998*RAND())))</f>
        <v/>
      </c>
      <c r="FL26" s="30">
        <f>IF(56&gt;$B$3,99,INDEX(Symboles!$H$6:$H$101,MOD(55+$C26+(-4),$B$3)+1)*E26+INDEX(Symboles!$H$6:$H$101,MOD(55+$C26+(-3),$B$3)+1)*F26+INDEX(Symboles!$H$6:$H$101,MOD(55+$C26+(-2),$B$3)+1)*G26+INDEX(Symboles!$H$6:$H$101,MOD(55+$C26+(-1),$B$3)+1)*H26+INDEX(Symboles!$H$6:$H$101,MOD(55+$C26+(0),$B$3)+1)*I26+INDEX(Symboles!$H$6:$H$101,MOD(55+$C26+(1),$B$3)+1)*J26+INDEX(Symboles!$H$6:$H$101,MOD(55+$C26+(2),$B$3)+1)*K26+INDEX(Symboles!$H$6:$H$101,MOD(55+$C26+(3),$B$3)+1)*L26+INDEX(Symboles!$H$6:$H$101,MOD(55+$C26+(4),$B$3)+1)*M26+IF($B$6=0,0,$B$6*NORMSINV(0.000001+0.999998*RAND())))</f>
        <v/>
      </c>
      <c r="FM26" s="30">
        <f>IF(57&gt;$B$3,99,INDEX(Symboles!$H$6:$H$101,MOD(56+$C26+(-4),$B$3)+1)*E26+INDEX(Symboles!$H$6:$H$101,MOD(56+$C26+(-3),$B$3)+1)*F26+INDEX(Symboles!$H$6:$H$101,MOD(56+$C26+(-2),$B$3)+1)*G26+INDEX(Symboles!$H$6:$H$101,MOD(56+$C26+(-1),$B$3)+1)*H26+INDEX(Symboles!$H$6:$H$101,MOD(56+$C26+(0),$B$3)+1)*I26+INDEX(Symboles!$H$6:$H$101,MOD(56+$C26+(1),$B$3)+1)*J26+INDEX(Symboles!$H$6:$H$101,MOD(56+$C26+(2),$B$3)+1)*K26+INDEX(Symboles!$H$6:$H$101,MOD(56+$C26+(3),$B$3)+1)*L26+INDEX(Symboles!$H$6:$H$101,MOD(56+$C26+(4),$B$3)+1)*M26+IF($B$6=0,0,$B$6*NORMSINV(0.000001+0.999998*RAND())))</f>
        <v/>
      </c>
      <c r="FN26" s="30">
        <f>IF(58&gt;$B$3,99,INDEX(Symboles!$H$6:$H$101,MOD(57+$C26+(-4),$B$3)+1)*E26+INDEX(Symboles!$H$6:$H$101,MOD(57+$C26+(-3),$B$3)+1)*F26+INDEX(Symboles!$H$6:$H$101,MOD(57+$C26+(-2),$B$3)+1)*G26+INDEX(Symboles!$H$6:$H$101,MOD(57+$C26+(-1),$B$3)+1)*H26+INDEX(Symboles!$H$6:$H$101,MOD(57+$C26+(0),$B$3)+1)*I26+INDEX(Symboles!$H$6:$H$101,MOD(57+$C26+(1),$B$3)+1)*J26+INDEX(Symboles!$H$6:$H$101,MOD(57+$C26+(2),$B$3)+1)*K26+INDEX(Symboles!$H$6:$H$101,MOD(57+$C26+(3),$B$3)+1)*L26+INDEX(Symboles!$H$6:$H$101,MOD(57+$C26+(4),$B$3)+1)*M26+IF($B$6=0,0,$B$6*NORMSINV(0.000001+0.999998*RAND())))</f>
        <v/>
      </c>
      <c r="FO26" s="30">
        <f>IF(59&gt;$B$3,99,INDEX(Symboles!$H$6:$H$101,MOD(58+$C26+(-4),$B$3)+1)*E26+INDEX(Symboles!$H$6:$H$101,MOD(58+$C26+(-3),$B$3)+1)*F26+INDEX(Symboles!$H$6:$H$101,MOD(58+$C26+(-2),$B$3)+1)*G26+INDEX(Symboles!$H$6:$H$101,MOD(58+$C26+(-1),$B$3)+1)*H26+INDEX(Symboles!$H$6:$H$101,MOD(58+$C26+(0),$B$3)+1)*I26+INDEX(Symboles!$H$6:$H$101,MOD(58+$C26+(1),$B$3)+1)*J26+INDEX(Symboles!$H$6:$H$101,MOD(58+$C26+(2),$B$3)+1)*K26+INDEX(Symboles!$H$6:$H$101,MOD(58+$C26+(3),$B$3)+1)*L26+INDEX(Symboles!$H$6:$H$101,MOD(58+$C26+(4),$B$3)+1)*M26+IF($B$6=0,0,$B$6*NORMSINV(0.000001+0.999998*RAND())))</f>
        <v/>
      </c>
      <c r="FP26" s="30">
        <f>IF(60&gt;$B$3,99,INDEX(Symboles!$H$6:$H$101,MOD(59+$C26+(-4),$B$3)+1)*E26+INDEX(Symboles!$H$6:$H$101,MOD(59+$C26+(-3),$B$3)+1)*F26+INDEX(Symboles!$H$6:$H$101,MOD(59+$C26+(-2),$B$3)+1)*G26+INDEX(Symboles!$H$6:$H$101,MOD(59+$C26+(-1),$B$3)+1)*H26+INDEX(Symboles!$H$6:$H$101,MOD(59+$C26+(0),$B$3)+1)*I26+INDEX(Symboles!$H$6:$H$101,MOD(59+$C26+(1),$B$3)+1)*J26+INDEX(Symboles!$H$6:$H$101,MOD(59+$C26+(2),$B$3)+1)*K26+INDEX(Symboles!$H$6:$H$101,MOD(59+$C26+(3),$B$3)+1)*L26+INDEX(Symboles!$H$6:$H$101,MOD(59+$C26+(4),$B$3)+1)*M26+IF($B$6=0,0,$B$6*NORMSINV(0.000001+0.999998*RAND())))</f>
        <v/>
      </c>
      <c r="FQ26" s="30">
        <f>IF(61&gt;$B$3,99,INDEX(Symboles!$H$6:$H$101,MOD(60+$C26+(-4),$B$3)+1)*E26+INDEX(Symboles!$H$6:$H$101,MOD(60+$C26+(-3),$B$3)+1)*F26+INDEX(Symboles!$H$6:$H$101,MOD(60+$C26+(-2),$B$3)+1)*G26+INDEX(Symboles!$H$6:$H$101,MOD(60+$C26+(-1),$B$3)+1)*H26+INDEX(Symboles!$H$6:$H$101,MOD(60+$C26+(0),$B$3)+1)*I26+INDEX(Symboles!$H$6:$H$101,MOD(60+$C26+(1),$B$3)+1)*J26+INDEX(Symboles!$H$6:$H$101,MOD(60+$C26+(2),$B$3)+1)*K26+INDEX(Symboles!$H$6:$H$101,MOD(60+$C26+(3),$B$3)+1)*L26+INDEX(Symboles!$H$6:$H$101,MOD(60+$C26+(4),$B$3)+1)*M26+IF($B$6=0,0,$B$6*NORMSINV(0.000001+0.999998*RAND())))</f>
        <v/>
      </c>
      <c r="FR26" s="30">
        <f>IF(62&gt;$B$3,99,INDEX(Symboles!$H$6:$H$101,MOD(61+$C26+(-4),$B$3)+1)*E26+INDEX(Symboles!$H$6:$H$101,MOD(61+$C26+(-3),$B$3)+1)*F26+INDEX(Symboles!$H$6:$H$101,MOD(61+$C26+(-2),$B$3)+1)*G26+INDEX(Symboles!$H$6:$H$101,MOD(61+$C26+(-1),$B$3)+1)*H26+INDEX(Symboles!$H$6:$H$101,MOD(61+$C26+(0),$B$3)+1)*I26+INDEX(Symboles!$H$6:$H$101,MOD(61+$C26+(1),$B$3)+1)*J26+INDEX(Symboles!$H$6:$H$101,MOD(61+$C26+(2),$B$3)+1)*K26+INDEX(Symboles!$H$6:$H$101,MOD(61+$C26+(3),$B$3)+1)*L26+INDEX(Symboles!$H$6:$H$101,MOD(61+$C26+(4),$B$3)+1)*M26+IF($B$6=0,0,$B$6*NORMSINV(0.000001+0.999998*RAND())))</f>
        <v/>
      </c>
      <c r="FS26" s="30">
        <f>IF(63&gt;$B$3,99,INDEX(Symboles!$H$6:$H$101,MOD(62+$C26+(-4),$B$3)+1)*E26+INDEX(Symboles!$H$6:$H$101,MOD(62+$C26+(-3),$B$3)+1)*F26+INDEX(Symboles!$H$6:$H$101,MOD(62+$C26+(-2),$B$3)+1)*G26+INDEX(Symboles!$H$6:$H$101,MOD(62+$C26+(-1),$B$3)+1)*H26+INDEX(Symboles!$H$6:$H$101,MOD(62+$C26+(0),$B$3)+1)*I26+INDEX(Symboles!$H$6:$H$101,MOD(62+$C26+(1),$B$3)+1)*J26+INDEX(Symboles!$H$6:$H$101,MOD(62+$C26+(2),$B$3)+1)*K26+INDEX(Symboles!$H$6:$H$101,MOD(62+$C26+(3),$B$3)+1)*L26+INDEX(Symboles!$H$6:$H$101,MOD(62+$C26+(4),$B$3)+1)*M26+IF($B$6=0,0,$B$6*NORMSINV(0.000001+0.999998*RAND())))</f>
        <v/>
      </c>
      <c r="FT26" s="30">
        <f>IF(64&gt;$B$3,99,INDEX(Symboles!$H$6:$H$101,MOD(63+$C26+(-4),$B$3)+1)*E26+INDEX(Symboles!$H$6:$H$101,MOD(63+$C26+(-3),$B$3)+1)*F26+INDEX(Symboles!$H$6:$H$101,MOD(63+$C26+(-2),$B$3)+1)*G26+INDEX(Symboles!$H$6:$H$101,MOD(63+$C26+(-1),$B$3)+1)*H26+INDEX(Symboles!$H$6:$H$101,MOD(63+$C26+(0),$B$3)+1)*I26+INDEX(Symboles!$H$6:$H$101,MOD(63+$C26+(1),$B$3)+1)*J26+INDEX(Symboles!$H$6:$H$101,MOD(63+$C26+(2),$B$3)+1)*K26+INDEX(Symboles!$H$6:$H$101,MOD(63+$C26+(3),$B$3)+1)*L26+INDEX(Symboles!$H$6:$H$101,MOD(63+$C26+(4),$B$3)+1)*M26+IF($B$6=0,0,$B$6*NORMSINV(0.000001+0.999998*RAND())))</f>
        <v/>
      </c>
      <c r="FU26" s="30">
        <f>IF(65&gt;$B$3,99,INDEX(Symboles!$H$6:$H$101,MOD(64+$C26+(-4),$B$3)+1)*E26+INDEX(Symboles!$H$6:$H$101,MOD(64+$C26+(-3),$B$3)+1)*F26+INDEX(Symboles!$H$6:$H$101,MOD(64+$C26+(-2),$B$3)+1)*G26+INDEX(Symboles!$H$6:$H$101,MOD(64+$C26+(-1),$B$3)+1)*H26+INDEX(Symboles!$H$6:$H$101,MOD(64+$C26+(0),$B$3)+1)*I26+INDEX(Symboles!$H$6:$H$101,MOD(64+$C26+(1),$B$3)+1)*J26+INDEX(Symboles!$H$6:$H$101,MOD(64+$C26+(2),$B$3)+1)*K26+INDEX(Symboles!$H$6:$H$101,MOD(64+$C26+(3),$B$3)+1)*L26+INDEX(Symboles!$H$6:$H$101,MOD(64+$C26+(4),$B$3)+1)*M26+IF($B$6=0,0,$B$6*NORMSINV(0.000001+0.999998*RAND())))</f>
        <v/>
      </c>
      <c r="FV26" s="30">
        <f>IF(66&gt;$B$3,99,INDEX(Symboles!$H$6:$H$101,MOD(65+$C26+(-4),$B$3)+1)*E26+INDEX(Symboles!$H$6:$H$101,MOD(65+$C26+(-3),$B$3)+1)*F26+INDEX(Symboles!$H$6:$H$101,MOD(65+$C26+(-2),$B$3)+1)*G26+INDEX(Symboles!$H$6:$H$101,MOD(65+$C26+(-1),$B$3)+1)*H26+INDEX(Symboles!$H$6:$H$101,MOD(65+$C26+(0),$B$3)+1)*I26+INDEX(Symboles!$H$6:$H$101,MOD(65+$C26+(1),$B$3)+1)*J26+INDEX(Symboles!$H$6:$H$101,MOD(65+$C26+(2),$B$3)+1)*K26+INDEX(Symboles!$H$6:$H$101,MOD(65+$C26+(3),$B$3)+1)*L26+INDEX(Symboles!$H$6:$H$101,MOD(65+$C26+(4),$B$3)+1)*M26+IF($B$6=0,0,$B$6*NORMSINV(0.000001+0.999998*RAND())))</f>
        <v/>
      </c>
      <c r="FW26" s="30">
        <f>IF(67&gt;$B$3,99,INDEX(Symboles!$H$6:$H$101,MOD(66+$C26+(-4),$B$3)+1)*E26+INDEX(Symboles!$H$6:$H$101,MOD(66+$C26+(-3),$B$3)+1)*F26+INDEX(Symboles!$H$6:$H$101,MOD(66+$C26+(-2),$B$3)+1)*G26+INDEX(Symboles!$H$6:$H$101,MOD(66+$C26+(-1),$B$3)+1)*H26+INDEX(Symboles!$H$6:$H$101,MOD(66+$C26+(0),$B$3)+1)*I26+INDEX(Symboles!$H$6:$H$101,MOD(66+$C26+(1),$B$3)+1)*J26+INDEX(Symboles!$H$6:$H$101,MOD(66+$C26+(2),$B$3)+1)*K26+INDEX(Symboles!$H$6:$H$101,MOD(66+$C26+(3),$B$3)+1)*L26+INDEX(Symboles!$H$6:$H$101,MOD(66+$C26+(4),$B$3)+1)*M26+IF($B$6=0,0,$B$6*NORMSINV(0.000001+0.999998*RAND())))</f>
        <v/>
      </c>
      <c r="FX26" s="30">
        <f>IF(68&gt;$B$3,99,INDEX(Symboles!$H$6:$H$101,MOD(67+$C26+(-4),$B$3)+1)*E26+INDEX(Symboles!$H$6:$H$101,MOD(67+$C26+(-3),$B$3)+1)*F26+INDEX(Symboles!$H$6:$H$101,MOD(67+$C26+(-2),$B$3)+1)*G26+INDEX(Symboles!$H$6:$H$101,MOD(67+$C26+(-1),$B$3)+1)*H26+INDEX(Symboles!$H$6:$H$101,MOD(67+$C26+(0),$B$3)+1)*I26+INDEX(Symboles!$H$6:$H$101,MOD(67+$C26+(1),$B$3)+1)*J26+INDEX(Symboles!$H$6:$H$101,MOD(67+$C26+(2),$B$3)+1)*K26+INDEX(Symboles!$H$6:$H$101,MOD(67+$C26+(3),$B$3)+1)*L26+INDEX(Symboles!$H$6:$H$101,MOD(67+$C26+(4),$B$3)+1)*M26+IF($B$6=0,0,$B$6*NORMSINV(0.000001+0.999998*RAND())))</f>
        <v/>
      </c>
      <c r="FY26" s="30">
        <f>IF(69&gt;$B$3,99,INDEX(Symboles!$H$6:$H$101,MOD(68+$C26+(-4),$B$3)+1)*E26+INDEX(Symboles!$H$6:$H$101,MOD(68+$C26+(-3),$B$3)+1)*F26+INDEX(Symboles!$H$6:$H$101,MOD(68+$C26+(-2),$B$3)+1)*G26+INDEX(Symboles!$H$6:$H$101,MOD(68+$C26+(-1),$B$3)+1)*H26+INDEX(Symboles!$H$6:$H$101,MOD(68+$C26+(0),$B$3)+1)*I26+INDEX(Symboles!$H$6:$H$101,MOD(68+$C26+(1),$B$3)+1)*J26+INDEX(Symboles!$H$6:$H$101,MOD(68+$C26+(2),$B$3)+1)*K26+INDEX(Symboles!$H$6:$H$101,MOD(68+$C26+(3),$B$3)+1)*L26+INDEX(Symboles!$H$6:$H$101,MOD(68+$C26+(4),$B$3)+1)*M26+IF($B$6=0,0,$B$6*NORMSINV(0.000001+0.999998*RAND())))</f>
        <v/>
      </c>
      <c r="FZ26" s="30">
        <f>IF(70&gt;$B$3,99,INDEX(Symboles!$H$6:$H$101,MOD(69+$C26+(-4),$B$3)+1)*E26+INDEX(Symboles!$H$6:$H$101,MOD(69+$C26+(-3),$B$3)+1)*F26+INDEX(Symboles!$H$6:$H$101,MOD(69+$C26+(-2),$B$3)+1)*G26+INDEX(Symboles!$H$6:$H$101,MOD(69+$C26+(-1),$B$3)+1)*H26+INDEX(Symboles!$H$6:$H$101,MOD(69+$C26+(0),$B$3)+1)*I26+INDEX(Symboles!$H$6:$H$101,MOD(69+$C26+(1),$B$3)+1)*J26+INDEX(Symboles!$H$6:$H$101,MOD(69+$C26+(2),$B$3)+1)*K26+INDEX(Symboles!$H$6:$H$101,MOD(69+$C26+(3),$B$3)+1)*L26+INDEX(Symboles!$H$6:$H$101,MOD(69+$C26+(4),$B$3)+1)*M26+IF($B$6=0,0,$B$6*NORMSINV(0.000001+0.999998*RAND())))</f>
        <v/>
      </c>
      <c r="GA26" s="30">
        <f>IF(71&gt;$B$3,99,INDEX(Symboles!$H$6:$H$101,MOD(70+$C26+(-4),$B$3)+1)*E26+INDEX(Symboles!$H$6:$H$101,MOD(70+$C26+(-3),$B$3)+1)*F26+INDEX(Symboles!$H$6:$H$101,MOD(70+$C26+(-2),$B$3)+1)*G26+INDEX(Symboles!$H$6:$H$101,MOD(70+$C26+(-1),$B$3)+1)*H26+INDEX(Symboles!$H$6:$H$101,MOD(70+$C26+(0),$B$3)+1)*I26+INDEX(Symboles!$H$6:$H$101,MOD(70+$C26+(1),$B$3)+1)*J26+INDEX(Symboles!$H$6:$H$101,MOD(70+$C26+(2),$B$3)+1)*K26+INDEX(Symboles!$H$6:$H$101,MOD(70+$C26+(3),$B$3)+1)*L26+INDEX(Symboles!$H$6:$H$101,MOD(70+$C26+(4),$B$3)+1)*M26+IF($B$6=0,0,$B$6*NORMSINV(0.000001+0.999998*RAND())))</f>
        <v/>
      </c>
      <c r="GB26" s="30">
        <f>IF(72&gt;$B$3,99,INDEX(Symboles!$H$6:$H$101,MOD(71+$C26+(-4),$B$3)+1)*E26+INDEX(Symboles!$H$6:$H$101,MOD(71+$C26+(-3),$B$3)+1)*F26+INDEX(Symboles!$H$6:$H$101,MOD(71+$C26+(-2),$B$3)+1)*G26+INDEX(Symboles!$H$6:$H$101,MOD(71+$C26+(-1),$B$3)+1)*H26+INDEX(Symboles!$H$6:$H$101,MOD(71+$C26+(0),$B$3)+1)*I26+INDEX(Symboles!$H$6:$H$101,MOD(71+$C26+(1),$B$3)+1)*J26+INDEX(Symboles!$H$6:$H$101,MOD(71+$C26+(2),$B$3)+1)*K26+INDEX(Symboles!$H$6:$H$101,MOD(71+$C26+(3),$B$3)+1)*L26+INDEX(Symboles!$H$6:$H$101,MOD(71+$C26+(4),$B$3)+1)*M26+IF($B$6=0,0,$B$6*NORMSINV(0.000001+0.999998*RAND())))</f>
        <v/>
      </c>
      <c r="GC26" s="30">
        <f>IF(73&gt;$B$3,99,INDEX(Symboles!$H$6:$H$101,MOD(72+$C26+(-4),$B$3)+1)*E26+INDEX(Symboles!$H$6:$H$101,MOD(72+$C26+(-3),$B$3)+1)*F26+INDEX(Symboles!$H$6:$H$101,MOD(72+$C26+(-2),$B$3)+1)*G26+INDEX(Symboles!$H$6:$H$101,MOD(72+$C26+(-1),$B$3)+1)*H26+INDEX(Symboles!$H$6:$H$101,MOD(72+$C26+(0),$B$3)+1)*I26+INDEX(Symboles!$H$6:$H$101,MOD(72+$C26+(1),$B$3)+1)*J26+INDEX(Symboles!$H$6:$H$101,MOD(72+$C26+(2),$B$3)+1)*K26+INDEX(Symboles!$H$6:$H$101,MOD(72+$C26+(3),$B$3)+1)*L26+INDEX(Symboles!$H$6:$H$101,MOD(72+$C26+(4),$B$3)+1)*M26+IF($B$6=0,0,$B$6*NORMSINV(0.000001+0.999998*RAND())))</f>
        <v/>
      </c>
      <c r="GD26" s="30">
        <f>IF(74&gt;$B$3,99,INDEX(Symboles!$H$6:$H$101,MOD(73+$C26+(-4),$B$3)+1)*E26+INDEX(Symboles!$H$6:$H$101,MOD(73+$C26+(-3),$B$3)+1)*F26+INDEX(Symboles!$H$6:$H$101,MOD(73+$C26+(-2),$B$3)+1)*G26+INDEX(Symboles!$H$6:$H$101,MOD(73+$C26+(-1),$B$3)+1)*H26+INDEX(Symboles!$H$6:$H$101,MOD(73+$C26+(0),$B$3)+1)*I26+INDEX(Symboles!$H$6:$H$101,MOD(73+$C26+(1),$B$3)+1)*J26+INDEX(Symboles!$H$6:$H$101,MOD(73+$C26+(2),$B$3)+1)*K26+INDEX(Symboles!$H$6:$H$101,MOD(73+$C26+(3),$B$3)+1)*L26+INDEX(Symboles!$H$6:$H$101,MOD(73+$C26+(4),$B$3)+1)*M26+IF($B$6=0,0,$B$6*NORMSINV(0.000001+0.999998*RAND())))</f>
        <v/>
      </c>
      <c r="GE26" s="30">
        <f>IF(75&gt;$B$3,99,INDEX(Symboles!$H$6:$H$101,MOD(74+$C26+(-4),$B$3)+1)*E26+INDEX(Symboles!$H$6:$H$101,MOD(74+$C26+(-3),$B$3)+1)*F26+INDEX(Symboles!$H$6:$H$101,MOD(74+$C26+(-2),$B$3)+1)*G26+INDEX(Symboles!$H$6:$H$101,MOD(74+$C26+(-1),$B$3)+1)*H26+INDEX(Symboles!$H$6:$H$101,MOD(74+$C26+(0),$B$3)+1)*I26+INDEX(Symboles!$H$6:$H$101,MOD(74+$C26+(1),$B$3)+1)*J26+INDEX(Symboles!$H$6:$H$101,MOD(74+$C26+(2),$B$3)+1)*K26+INDEX(Symboles!$H$6:$H$101,MOD(74+$C26+(3),$B$3)+1)*L26+INDEX(Symboles!$H$6:$H$101,MOD(74+$C26+(4),$B$3)+1)*M26+IF($B$6=0,0,$B$6*NORMSINV(0.000001+0.999998*RAND())))</f>
        <v/>
      </c>
      <c r="GF26" s="30">
        <f>IF(76&gt;$B$3,99,INDEX(Symboles!$H$6:$H$101,MOD(75+$C26+(-4),$B$3)+1)*E26+INDEX(Symboles!$H$6:$H$101,MOD(75+$C26+(-3),$B$3)+1)*F26+INDEX(Symboles!$H$6:$H$101,MOD(75+$C26+(-2),$B$3)+1)*G26+INDEX(Symboles!$H$6:$H$101,MOD(75+$C26+(-1),$B$3)+1)*H26+INDEX(Symboles!$H$6:$H$101,MOD(75+$C26+(0),$B$3)+1)*I26+INDEX(Symboles!$H$6:$H$101,MOD(75+$C26+(1),$B$3)+1)*J26+INDEX(Symboles!$H$6:$H$101,MOD(75+$C26+(2),$B$3)+1)*K26+INDEX(Symboles!$H$6:$H$101,MOD(75+$C26+(3),$B$3)+1)*L26+INDEX(Symboles!$H$6:$H$101,MOD(75+$C26+(4),$B$3)+1)*M26+IF($B$6=0,0,$B$6*NORMSINV(0.000001+0.999998*RAND())))</f>
        <v/>
      </c>
      <c r="GG26" s="30">
        <f>IF(77&gt;$B$3,99,INDEX(Symboles!$H$6:$H$101,MOD(76+$C26+(-4),$B$3)+1)*E26+INDEX(Symboles!$H$6:$H$101,MOD(76+$C26+(-3),$B$3)+1)*F26+INDEX(Symboles!$H$6:$H$101,MOD(76+$C26+(-2),$B$3)+1)*G26+INDEX(Symboles!$H$6:$H$101,MOD(76+$C26+(-1),$B$3)+1)*H26+INDEX(Symboles!$H$6:$H$101,MOD(76+$C26+(0),$B$3)+1)*I26+INDEX(Symboles!$H$6:$H$101,MOD(76+$C26+(1),$B$3)+1)*J26+INDEX(Symboles!$H$6:$H$101,MOD(76+$C26+(2),$B$3)+1)*K26+INDEX(Symboles!$H$6:$H$101,MOD(76+$C26+(3),$B$3)+1)*L26+INDEX(Symboles!$H$6:$H$101,MOD(76+$C26+(4),$B$3)+1)*M26+IF($B$6=0,0,$B$6*NORMSINV(0.000001+0.999998*RAND())))</f>
        <v/>
      </c>
      <c r="GH26" s="30">
        <f>IF(78&gt;$B$3,99,INDEX(Symboles!$H$6:$H$101,MOD(77+$C26+(-4),$B$3)+1)*E26+INDEX(Symboles!$H$6:$H$101,MOD(77+$C26+(-3),$B$3)+1)*F26+INDEX(Symboles!$H$6:$H$101,MOD(77+$C26+(-2),$B$3)+1)*G26+INDEX(Symboles!$H$6:$H$101,MOD(77+$C26+(-1),$B$3)+1)*H26+INDEX(Symboles!$H$6:$H$101,MOD(77+$C26+(0),$B$3)+1)*I26+INDEX(Symboles!$H$6:$H$101,MOD(77+$C26+(1),$B$3)+1)*J26+INDEX(Symboles!$H$6:$H$101,MOD(77+$C26+(2),$B$3)+1)*K26+INDEX(Symboles!$H$6:$H$101,MOD(77+$C26+(3),$B$3)+1)*L26+INDEX(Symboles!$H$6:$H$101,MOD(77+$C26+(4),$B$3)+1)*M26+IF($B$6=0,0,$B$6*NORMSINV(0.000001+0.999998*RAND())))</f>
        <v/>
      </c>
      <c r="GI26" s="30">
        <f>IF(79&gt;$B$3,99,INDEX(Symboles!$H$6:$H$101,MOD(78+$C26+(-4),$B$3)+1)*E26+INDEX(Symboles!$H$6:$H$101,MOD(78+$C26+(-3),$B$3)+1)*F26+INDEX(Symboles!$H$6:$H$101,MOD(78+$C26+(-2),$B$3)+1)*G26+INDEX(Symboles!$H$6:$H$101,MOD(78+$C26+(-1),$B$3)+1)*H26+INDEX(Symboles!$H$6:$H$101,MOD(78+$C26+(0),$B$3)+1)*I26+INDEX(Symboles!$H$6:$H$101,MOD(78+$C26+(1),$B$3)+1)*J26+INDEX(Symboles!$H$6:$H$101,MOD(78+$C26+(2),$B$3)+1)*K26+INDEX(Symboles!$H$6:$H$101,MOD(78+$C26+(3),$B$3)+1)*L26+INDEX(Symboles!$H$6:$H$101,MOD(78+$C26+(4),$B$3)+1)*M26+IF($B$6=0,0,$B$6*NORMSINV(0.000001+0.999998*RAND())))</f>
        <v/>
      </c>
      <c r="GJ26" s="30">
        <f>IF(80&gt;$B$3,99,INDEX(Symboles!$H$6:$H$101,MOD(79+$C26+(-4),$B$3)+1)*E26+INDEX(Symboles!$H$6:$H$101,MOD(79+$C26+(-3),$B$3)+1)*F26+INDEX(Symboles!$H$6:$H$101,MOD(79+$C26+(-2),$B$3)+1)*G26+INDEX(Symboles!$H$6:$H$101,MOD(79+$C26+(-1),$B$3)+1)*H26+INDEX(Symboles!$H$6:$H$101,MOD(79+$C26+(0),$B$3)+1)*I26+INDEX(Symboles!$H$6:$H$101,MOD(79+$C26+(1),$B$3)+1)*J26+INDEX(Symboles!$H$6:$H$101,MOD(79+$C26+(2),$B$3)+1)*K26+INDEX(Symboles!$H$6:$H$101,MOD(79+$C26+(3),$B$3)+1)*L26+INDEX(Symboles!$H$6:$H$101,MOD(79+$C26+(4),$B$3)+1)*M26+IF($B$6=0,0,$B$6*NORMSINV(0.000001+0.999998*RAND())))</f>
        <v/>
      </c>
      <c r="GK26" s="30">
        <f>IF(81&gt;$B$3,99,INDEX(Symboles!$H$6:$H$101,MOD(80+$C26+(-4),$B$3)+1)*E26+INDEX(Symboles!$H$6:$H$101,MOD(80+$C26+(-3),$B$3)+1)*F26+INDEX(Symboles!$H$6:$H$101,MOD(80+$C26+(-2),$B$3)+1)*G26+INDEX(Symboles!$H$6:$H$101,MOD(80+$C26+(-1),$B$3)+1)*H26+INDEX(Symboles!$H$6:$H$101,MOD(80+$C26+(0),$B$3)+1)*I26+INDEX(Symboles!$H$6:$H$101,MOD(80+$C26+(1),$B$3)+1)*J26+INDEX(Symboles!$H$6:$H$101,MOD(80+$C26+(2),$B$3)+1)*K26+INDEX(Symboles!$H$6:$H$101,MOD(80+$C26+(3),$B$3)+1)*L26+INDEX(Symboles!$H$6:$H$101,MOD(80+$C26+(4),$B$3)+1)*M26+IF($B$6=0,0,$B$6*NORMSINV(0.000001+0.999998*RAND())))</f>
        <v/>
      </c>
      <c r="GL26" s="30">
        <f>IF(82&gt;$B$3,99,INDEX(Symboles!$H$6:$H$101,MOD(81+$C26+(-4),$B$3)+1)*E26+INDEX(Symboles!$H$6:$H$101,MOD(81+$C26+(-3),$B$3)+1)*F26+INDEX(Symboles!$H$6:$H$101,MOD(81+$C26+(-2),$B$3)+1)*G26+INDEX(Symboles!$H$6:$H$101,MOD(81+$C26+(-1),$B$3)+1)*H26+INDEX(Symboles!$H$6:$H$101,MOD(81+$C26+(0),$B$3)+1)*I26+INDEX(Symboles!$H$6:$H$101,MOD(81+$C26+(1),$B$3)+1)*J26+INDEX(Symboles!$H$6:$H$101,MOD(81+$C26+(2),$B$3)+1)*K26+INDEX(Symboles!$H$6:$H$101,MOD(81+$C26+(3),$B$3)+1)*L26+INDEX(Symboles!$H$6:$H$101,MOD(81+$C26+(4),$B$3)+1)*M26+IF($B$6=0,0,$B$6*NORMSINV(0.000001+0.999998*RAND())))</f>
        <v/>
      </c>
      <c r="GM26" s="30">
        <f>IF(83&gt;$B$3,99,INDEX(Symboles!$H$6:$H$101,MOD(82+$C26+(-4),$B$3)+1)*E26+INDEX(Symboles!$H$6:$H$101,MOD(82+$C26+(-3),$B$3)+1)*F26+INDEX(Symboles!$H$6:$H$101,MOD(82+$C26+(-2),$B$3)+1)*G26+INDEX(Symboles!$H$6:$H$101,MOD(82+$C26+(-1),$B$3)+1)*H26+INDEX(Symboles!$H$6:$H$101,MOD(82+$C26+(0),$B$3)+1)*I26+INDEX(Symboles!$H$6:$H$101,MOD(82+$C26+(1),$B$3)+1)*J26+INDEX(Symboles!$H$6:$H$101,MOD(82+$C26+(2),$B$3)+1)*K26+INDEX(Symboles!$H$6:$H$101,MOD(82+$C26+(3),$B$3)+1)*L26+INDEX(Symboles!$H$6:$H$101,MOD(82+$C26+(4),$B$3)+1)*M26+IF($B$6=0,0,$B$6*NORMSINV(0.000001+0.999998*RAND())))</f>
        <v/>
      </c>
      <c r="GN26" s="30">
        <f>IF(84&gt;$B$3,99,INDEX(Symboles!$H$6:$H$101,MOD(83+$C26+(-4),$B$3)+1)*E26+INDEX(Symboles!$H$6:$H$101,MOD(83+$C26+(-3),$B$3)+1)*F26+INDEX(Symboles!$H$6:$H$101,MOD(83+$C26+(-2),$B$3)+1)*G26+INDEX(Symboles!$H$6:$H$101,MOD(83+$C26+(-1),$B$3)+1)*H26+INDEX(Symboles!$H$6:$H$101,MOD(83+$C26+(0),$B$3)+1)*I26+INDEX(Symboles!$H$6:$H$101,MOD(83+$C26+(1),$B$3)+1)*J26+INDEX(Symboles!$H$6:$H$101,MOD(83+$C26+(2),$B$3)+1)*K26+INDEX(Symboles!$H$6:$H$101,MOD(83+$C26+(3),$B$3)+1)*L26+INDEX(Symboles!$H$6:$H$101,MOD(83+$C26+(4),$B$3)+1)*M26+IF($B$6=0,0,$B$6*NORMSINV(0.000001+0.999998*RAND())))</f>
        <v/>
      </c>
      <c r="GO26" s="30">
        <f>IF(85&gt;$B$3,99,INDEX(Symboles!$H$6:$H$101,MOD(84+$C26+(-4),$B$3)+1)*E26+INDEX(Symboles!$H$6:$H$101,MOD(84+$C26+(-3),$B$3)+1)*F26+INDEX(Symboles!$H$6:$H$101,MOD(84+$C26+(-2),$B$3)+1)*G26+INDEX(Symboles!$H$6:$H$101,MOD(84+$C26+(-1),$B$3)+1)*H26+INDEX(Symboles!$H$6:$H$101,MOD(84+$C26+(0),$B$3)+1)*I26+INDEX(Symboles!$H$6:$H$101,MOD(84+$C26+(1),$B$3)+1)*J26+INDEX(Symboles!$H$6:$H$101,MOD(84+$C26+(2),$B$3)+1)*K26+INDEX(Symboles!$H$6:$H$101,MOD(84+$C26+(3),$B$3)+1)*L26+INDEX(Symboles!$H$6:$H$101,MOD(84+$C26+(4),$B$3)+1)*M26+IF($B$6=0,0,$B$6*NORMSINV(0.000001+0.999998*RAND())))</f>
        <v/>
      </c>
      <c r="GP26" s="30">
        <f>IF(86&gt;$B$3,99,INDEX(Symboles!$H$6:$H$101,MOD(85+$C26+(-4),$B$3)+1)*E26+INDEX(Symboles!$H$6:$H$101,MOD(85+$C26+(-3),$B$3)+1)*F26+INDEX(Symboles!$H$6:$H$101,MOD(85+$C26+(-2),$B$3)+1)*G26+INDEX(Symboles!$H$6:$H$101,MOD(85+$C26+(-1),$B$3)+1)*H26+INDEX(Symboles!$H$6:$H$101,MOD(85+$C26+(0),$B$3)+1)*I26+INDEX(Symboles!$H$6:$H$101,MOD(85+$C26+(1),$B$3)+1)*J26+INDEX(Symboles!$H$6:$H$101,MOD(85+$C26+(2),$B$3)+1)*K26+INDEX(Symboles!$H$6:$H$101,MOD(85+$C26+(3),$B$3)+1)*L26+INDEX(Symboles!$H$6:$H$101,MOD(85+$C26+(4),$B$3)+1)*M26+IF($B$6=0,0,$B$6*NORMSINV(0.000001+0.999998*RAND())))</f>
        <v/>
      </c>
      <c r="GQ26" s="30">
        <f>IF(87&gt;$B$3,99,INDEX(Symboles!$H$6:$H$101,MOD(86+$C26+(-4),$B$3)+1)*E26+INDEX(Symboles!$H$6:$H$101,MOD(86+$C26+(-3),$B$3)+1)*F26+INDEX(Symboles!$H$6:$H$101,MOD(86+$C26+(-2),$B$3)+1)*G26+INDEX(Symboles!$H$6:$H$101,MOD(86+$C26+(-1),$B$3)+1)*H26+INDEX(Symboles!$H$6:$H$101,MOD(86+$C26+(0),$B$3)+1)*I26+INDEX(Symboles!$H$6:$H$101,MOD(86+$C26+(1),$B$3)+1)*J26+INDEX(Symboles!$H$6:$H$101,MOD(86+$C26+(2),$B$3)+1)*K26+INDEX(Symboles!$H$6:$H$101,MOD(86+$C26+(3),$B$3)+1)*L26+INDEX(Symboles!$H$6:$H$101,MOD(86+$C26+(4),$B$3)+1)*M26+IF($B$6=0,0,$B$6*NORMSINV(0.000001+0.999998*RAND())))</f>
        <v/>
      </c>
      <c r="GR26" s="30">
        <f>IF(88&gt;$B$3,99,INDEX(Symboles!$H$6:$H$101,MOD(87+$C26+(-4),$B$3)+1)*E26+INDEX(Symboles!$H$6:$H$101,MOD(87+$C26+(-3),$B$3)+1)*F26+INDEX(Symboles!$H$6:$H$101,MOD(87+$C26+(-2),$B$3)+1)*G26+INDEX(Symboles!$H$6:$H$101,MOD(87+$C26+(-1),$B$3)+1)*H26+INDEX(Symboles!$H$6:$H$101,MOD(87+$C26+(0),$B$3)+1)*I26+INDEX(Symboles!$H$6:$H$101,MOD(87+$C26+(1),$B$3)+1)*J26+INDEX(Symboles!$H$6:$H$101,MOD(87+$C26+(2),$B$3)+1)*K26+INDEX(Symboles!$H$6:$H$101,MOD(87+$C26+(3),$B$3)+1)*L26+INDEX(Symboles!$H$6:$H$101,MOD(87+$C26+(4),$B$3)+1)*M26+IF($B$6=0,0,$B$6*NORMSINV(0.000001+0.999998*RAND())))</f>
        <v/>
      </c>
      <c r="GS26" s="30">
        <f>IF(89&gt;$B$3,99,INDEX(Symboles!$H$6:$H$101,MOD(88+$C26+(-4),$B$3)+1)*E26+INDEX(Symboles!$H$6:$H$101,MOD(88+$C26+(-3),$B$3)+1)*F26+INDEX(Symboles!$H$6:$H$101,MOD(88+$C26+(-2),$B$3)+1)*G26+INDEX(Symboles!$H$6:$H$101,MOD(88+$C26+(-1),$B$3)+1)*H26+INDEX(Symboles!$H$6:$H$101,MOD(88+$C26+(0),$B$3)+1)*I26+INDEX(Symboles!$H$6:$H$101,MOD(88+$C26+(1),$B$3)+1)*J26+INDEX(Symboles!$H$6:$H$101,MOD(88+$C26+(2),$B$3)+1)*K26+INDEX(Symboles!$H$6:$H$101,MOD(88+$C26+(3),$B$3)+1)*L26+INDEX(Symboles!$H$6:$H$101,MOD(88+$C26+(4),$B$3)+1)*M26+IF($B$6=0,0,$B$6*NORMSINV(0.000001+0.999998*RAND())))</f>
        <v/>
      </c>
      <c r="GT26" s="30">
        <f>IF(90&gt;$B$3,99,INDEX(Symboles!$H$6:$H$101,MOD(89+$C26+(-4),$B$3)+1)*E26+INDEX(Symboles!$H$6:$H$101,MOD(89+$C26+(-3),$B$3)+1)*F26+INDEX(Symboles!$H$6:$H$101,MOD(89+$C26+(-2),$B$3)+1)*G26+INDEX(Symboles!$H$6:$H$101,MOD(89+$C26+(-1),$B$3)+1)*H26+INDEX(Symboles!$H$6:$H$101,MOD(89+$C26+(0),$B$3)+1)*I26+INDEX(Symboles!$H$6:$H$101,MOD(89+$C26+(1),$B$3)+1)*J26+INDEX(Symboles!$H$6:$H$101,MOD(89+$C26+(2),$B$3)+1)*K26+INDEX(Symboles!$H$6:$H$101,MOD(89+$C26+(3),$B$3)+1)*L26+INDEX(Symboles!$H$6:$H$101,MOD(89+$C26+(4),$B$3)+1)*M26+IF($B$6=0,0,$B$6*NORMSINV(0.000001+0.999998*RAND())))</f>
        <v/>
      </c>
      <c r="GU26" s="30">
        <f>IF(91&gt;$B$3,99,INDEX(Symboles!$H$6:$H$101,MOD(90+$C26+(-4),$B$3)+1)*E26+INDEX(Symboles!$H$6:$H$101,MOD(90+$C26+(-3),$B$3)+1)*F26+INDEX(Symboles!$H$6:$H$101,MOD(90+$C26+(-2),$B$3)+1)*G26+INDEX(Symboles!$H$6:$H$101,MOD(90+$C26+(-1),$B$3)+1)*H26+INDEX(Symboles!$H$6:$H$101,MOD(90+$C26+(0),$B$3)+1)*I26+INDEX(Symboles!$H$6:$H$101,MOD(90+$C26+(1),$B$3)+1)*J26+INDEX(Symboles!$H$6:$H$101,MOD(90+$C26+(2),$B$3)+1)*K26+INDEX(Symboles!$H$6:$H$101,MOD(90+$C26+(3),$B$3)+1)*L26+INDEX(Symboles!$H$6:$H$101,MOD(90+$C26+(4),$B$3)+1)*M26+IF($B$6=0,0,$B$6*NORMSINV(0.000001+0.999998*RAND())))</f>
        <v/>
      </c>
      <c r="GV26" s="30">
        <f>IF(92&gt;$B$3,99,INDEX(Symboles!$H$6:$H$101,MOD(91+$C26+(-4),$B$3)+1)*E26+INDEX(Symboles!$H$6:$H$101,MOD(91+$C26+(-3),$B$3)+1)*F26+INDEX(Symboles!$H$6:$H$101,MOD(91+$C26+(-2),$B$3)+1)*G26+INDEX(Symboles!$H$6:$H$101,MOD(91+$C26+(-1),$B$3)+1)*H26+INDEX(Symboles!$H$6:$H$101,MOD(91+$C26+(0),$B$3)+1)*I26+INDEX(Symboles!$H$6:$H$101,MOD(91+$C26+(1),$B$3)+1)*J26+INDEX(Symboles!$H$6:$H$101,MOD(91+$C26+(2),$B$3)+1)*K26+INDEX(Symboles!$H$6:$H$101,MOD(91+$C26+(3),$B$3)+1)*L26+INDEX(Symboles!$H$6:$H$101,MOD(91+$C26+(4),$B$3)+1)*M26+IF($B$6=0,0,$B$6*NORMSINV(0.000001+0.999998*RAND())))</f>
        <v/>
      </c>
      <c r="GW26" s="30">
        <f>IF(93&gt;$B$3,99,INDEX(Symboles!$H$6:$H$101,MOD(92+$C26+(-4),$B$3)+1)*E26+INDEX(Symboles!$H$6:$H$101,MOD(92+$C26+(-3),$B$3)+1)*F26+INDEX(Symboles!$H$6:$H$101,MOD(92+$C26+(-2),$B$3)+1)*G26+INDEX(Symboles!$H$6:$H$101,MOD(92+$C26+(-1),$B$3)+1)*H26+INDEX(Symboles!$H$6:$H$101,MOD(92+$C26+(0),$B$3)+1)*I26+INDEX(Symboles!$H$6:$H$101,MOD(92+$C26+(1),$B$3)+1)*J26+INDEX(Symboles!$H$6:$H$101,MOD(92+$C26+(2),$B$3)+1)*K26+INDEX(Symboles!$H$6:$H$101,MOD(92+$C26+(3),$B$3)+1)*L26+INDEX(Symboles!$H$6:$H$101,MOD(92+$C26+(4),$B$3)+1)*M26+IF($B$6=0,0,$B$6*NORMSINV(0.000001+0.999998*RAND())))</f>
        <v/>
      </c>
      <c r="GX26" s="30">
        <f>IF(94&gt;$B$3,99,INDEX(Symboles!$H$6:$H$101,MOD(93+$C26+(-4),$B$3)+1)*E26+INDEX(Symboles!$H$6:$H$101,MOD(93+$C26+(-3),$B$3)+1)*F26+INDEX(Symboles!$H$6:$H$101,MOD(93+$C26+(-2),$B$3)+1)*G26+INDEX(Symboles!$H$6:$H$101,MOD(93+$C26+(-1),$B$3)+1)*H26+INDEX(Symboles!$H$6:$H$101,MOD(93+$C26+(0),$B$3)+1)*I26+INDEX(Symboles!$H$6:$H$101,MOD(93+$C26+(1),$B$3)+1)*J26+INDEX(Symboles!$H$6:$H$101,MOD(93+$C26+(2),$B$3)+1)*K26+INDEX(Symboles!$H$6:$H$101,MOD(93+$C26+(3),$B$3)+1)*L26+INDEX(Symboles!$H$6:$H$101,MOD(93+$C26+(4),$B$3)+1)*M26+IF($B$6=0,0,$B$6*NORMSINV(0.000001+0.999998*RAND())))</f>
        <v/>
      </c>
      <c r="GY26" s="30">
        <f>IF(95&gt;$B$3,99,INDEX(Symboles!$H$6:$H$101,MOD(94+$C26+(-4),$B$3)+1)*E26+INDEX(Symboles!$H$6:$H$101,MOD(94+$C26+(-3),$B$3)+1)*F26+INDEX(Symboles!$H$6:$H$101,MOD(94+$C26+(-2),$B$3)+1)*G26+INDEX(Symboles!$H$6:$H$101,MOD(94+$C26+(-1),$B$3)+1)*H26+INDEX(Symboles!$H$6:$H$101,MOD(94+$C26+(0),$B$3)+1)*I26+INDEX(Symboles!$H$6:$H$101,MOD(94+$C26+(1),$B$3)+1)*J26+INDEX(Symboles!$H$6:$H$101,MOD(94+$C26+(2),$B$3)+1)*K26+INDEX(Symboles!$H$6:$H$101,MOD(94+$C26+(3),$B$3)+1)*L26+INDEX(Symboles!$H$6:$H$101,MOD(94+$C26+(4),$B$3)+1)*M26+IF($B$6=0,0,$B$6*NORMSINV(0.000001+0.999998*RAND())))</f>
        <v/>
      </c>
      <c r="GZ26" s="30">
        <f>IF(96&gt;$B$3,99,INDEX(Symboles!$H$6:$H$101,MOD(95+$C26+(-4),$B$3)+1)*E26+INDEX(Symboles!$H$6:$H$101,MOD(95+$C26+(-3),$B$3)+1)*F26+INDEX(Symboles!$H$6:$H$101,MOD(95+$C26+(-2),$B$3)+1)*G26+INDEX(Symboles!$H$6:$H$101,MOD(95+$C26+(-1),$B$3)+1)*H26+INDEX(Symboles!$H$6:$H$101,MOD(95+$C26+(0),$B$3)+1)*I26+INDEX(Symboles!$H$6:$H$101,MOD(95+$C26+(1),$B$3)+1)*J26+INDEX(Symboles!$H$6:$H$101,MOD(95+$C26+(2),$B$3)+1)*K26+INDEX(Symboles!$H$6:$H$101,MOD(95+$C26+(3),$B$3)+1)*L26+INDEX(Symboles!$H$6:$H$101,MOD(95+$C26+(4),$B$3)+1)*M26+IF($B$6=0,0,$B$6*NORMSINV(0.000001+0.999998*RAND())))</f>
        <v/>
      </c>
    </row>
    <row r="27">
      <c r="A27" s="28" t="n">
        <v>17</v>
      </c>
      <c r="B27" s="28" t="n">
        <v>0.0625</v>
      </c>
      <c r="C27" s="28" t="n">
        <v>0</v>
      </c>
      <c r="D27" s="28" t="n">
        <v>9</v>
      </c>
      <c r="E27" s="29">
        <f>IF($B$4=1,0,IF(ABS(1-(2*$B$5*4.0625)^2)&lt;0.000001,PI()/4*SIN(PI()/(2*$B$5))/(PI()/(2*$B$5)),SIN(PI()*4.0625)/(PI()*4.0625)*COS(PI()*$B$5*4.0625)/(1-(2*$B$5*4.0625)^2)))</f>
        <v/>
      </c>
      <c r="F27" s="29">
        <f>IF($B$4=1,0,IF(ABS(1-(2*$B$5*3.0625)^2)&lt;0.000001,PI()/4*SIN(PI()/(2*$B$5))/(PI()/(2*$B$5)),SIN(PI()*3.0625)/(PI()*3.0625)*COS(PI()*$B$5*3.0625)/(1-(2*$B$5*3.0625)^2)))</f>
        <v/>
      </c>
      <c r="G27" s="29">
        <f>IF($B$4=1,0,IF(ABS(1-(2*$B$5*2.0625)^2)&lt;0.000001,PI()/4*SIN(PI()/(2*$B$5))/(PI()/(2*$B$5)),SIN(PI()*2.0625)/(PI()*2.0625)*COS(PI()*$B$5*2.0625)/(1-(2*$B$5*2.0625)^2)))</f>
        <v/>
      </c>
      <c r="H27" s="29">
        <f>IF($B$4=1,0,IF(ABS(1-(2*$B$5*1.0625)^2)&lt;0.000001,PI()/4*SIN(PI()/(2*$B$5))/(PI()/(2*$B$5)),SIN(PI()*1.0625)/(PI()*1.0625)*COS(PI()*$B$5*1.0625)/(1-(2*$B$5*1.0625)^2)))</f>
        <v/>
      </c>
      <c r="I27" s="29">
        <f>IF($B$4=1,1,IF(ABS(1-(2*$B$5*0.0625)^2)&lt;0.000001,PI()/4*SIN(PI()/(2*$B$5))/(PI()/(2*$B$5)),SIN(PI()*0.0625)/(PI()*0.0625)*COS(PI()*$B$5*0.0625)/(1-(2*$B$5*0.0625)^2)))</f>
        <v/>
      </c>
      <c r="J27" s="29">
        <f>IF($B$4=1,0,IF(ABS(1-(2*$B$5*-0.9375)^2)&lt;0.000001,PI()/4*SIN(PI()/(2*$B$5))/(PI()/(2*$B$5)),SIN(PI()*-0.9375)/(PI()*-0.9375)*COS(PI()*$B$5*-0.9375)/(1-(2*$B$5*-0.9375)^2)))</f>
        <v/>
      </c>
      <c r="K27" s="29">
        <f>IF($B$4=1,0,IF(ABS(1-(2*$B$5*-1.9375)^2)&lt;0.000001,PI()/4*SIN(PI()/(2*$B$5))/(PI()/(2*$B$5)),SIN(PI()*-1.9375)/(PI()*-1.9375)*COS(PI()*$B$5*-1.9375)/(1-(2*$B$5*-1.9375)^2)))</f>
        <v/>
      </c>
      <c r="L27" s="29">
        <f>IF($B$4=1,0,IF(ABS(1-(2*$B$5*-2.9375)^2)&lt;0.000001,PI()/4*SIN(PI()/(2*$B$5))/(PI()/(2*$B$5)),SIN(PI()*-2.9375)/(PI()*-2.9375)*COS(PI()*$B$5*-2.9375)/(1-(2*$B$5*-2.9375)^2)))</f>
        <v/>
      </c>
      <c r="M27" s="29">
        <f>IF($B$4=1,0,IF(ABS(1-(2*$B$5*-3.9375)^2)&lt;0.000001,PI()/4*SIN(PI()/(2*$B$5))/(PI()/(2*$B$5)),SIN(PI()*-3.9375)/(PI()*-3.9375)*COS(PI()*$B$5*-3.9375)/(1-(2*$B$5*-3.9375)^2)))</f>
        <v/>
      </c>
      <c r="P27" s="30">
        <f>IF(1&gt;$B$3,99,INDEX(Symboles!$G$6:$G$101,MOD(0+$C27+(-4),$B$3)+1)*E27+INDEX(Symboles!$G$6:$G$101,MOD(0+$C27+(-3),$B$3)+1)*F27+INDEX(Symboles!$G$6:$G$101,MOD(0+$C27+(-2),$B$3)+1)*G27+INDEX(Symboles!$G$6:$G$101,MOD(0+$C27+(-1),$B$3)+1)*H27+INDEX(Symboles!$G$6:$G$101,MOD(0+$C27+(0),$B$3)+1)*I27+INDEX(Symboles!$G$6:$G$101,MOD(0+$C27+(1),$B$3)+1)*J27+INDEX(Symboles!$G$6:$G$101,MOD(0+$C27+(2),$B$3)+1)*K27+INDEX(Symboles!$G$6:$G$101,MOD(0+$C27+(3),$B$3)+1)*L27+INDEX(Symboles!$G$6:$G$101,MOD(0+$C27+(4),$B$3)+1)*M27+IF($B$6=0,0,$B$6*NORMSINV(0.000001+0.999998*RAND())))</f>
        <v/>
      </c>
      <c r="Q27" s="30">
        <f>IF(2&gt;$B$3,99,INDEX(Symboles!$G$6:$G$101,MOD(1+$C27+(-4),$B$3)+1)*E27+INDEX(Symboles!$G$6:$G$101,MOD(1+$C27+(-3),$B$3)+1)*F27+INDEX(Symboles!$G$6:$G$101,MOD(1+$C27+(-2),$B$3)+1)*G27+INDEX(Symboles!$G$6:$G$101,MOD(1+$C27+(-1),$B$3)+1)*H27+INDEX(Symboles!$G$6:$G$101,MOD(1+$C27+(0),$B$3)+1)*I27+INDEX(Symboles!$G$6:$G$101,MOD(1+$C27+(1),$B$3)+1)*J27+INDEX(Symboles!$G$6:$G$101,MOD(1+$C27+(2),$B$3)+1)*K27+INDEX(Symboles!$G$6:$G$101,MOD(1+$C27+(3),$B$3)+1)*L27+INDEX(Symboles!$G$6:$G$101,MOD(1+$C27+(4),$B$3)+1)*M27+IF($B$6=0,0,$B$6*NORMSINV(0.000001+0.999998*RAND())))</f>
        <v/>
      </c>
      <c r="R27" s="30">
        <f>IF(3&gt;$B$3,99,INDEX(Symboles!$G$6:$G$101,MOD(2+$C27+(-4),$B$3)+1)*E27+INDEX(Symboles!$G$6:$G$101,MOD(2+$C27+(-3),$B$3)+1)*F27+INDEX(Symboles!$G$6:$G$101,MOD(2+$C27+(-2),$B$3)+1)*G27+INDEX(Symboles!$G$6:$G$101,MOD(2+$C27+(-1),$B$3)+1)*H27+INDEX(Symboles!$G$6:$G$101,MOD(2+$C27+(0),$B$3)+1)*I27+INDEX(Symboles!$G$6:$G$101,MOD(2+$C27+(1),$B$3)+1)*J27+INDEX(Symboles!$G$6:$G$101,MOD(2+$C27+(2),$B$3)+1)*K27+INDEX(Symboles!$G$6:$G$101,MOD(2+$C27+(3),$B$3)+1)*L27+INDEX(Symboles!$G$6:$G$101,MOD(2+$C27+(4),$B$3)+1)*M27+IF($B$6=0,0,$B$6*NORMSINV(0.000001+0.999998*RAND())))</f>
        <v/>
      </c>
      <c r="S27" s="30">
        <f>IF(4&gt;$B$3,99,INDEX(Symboles!$G$6:$G$101,MOD(3+$C27+(-4),$B$3)+1)*E27+INDEX(Symboles!$G$6:$G$101,MOD(3+$C27+(-3),$B$3)+1)*F27+INDEX(Symboles!$G$6:$G$101,MOD(3+$C27+(-2),$B$3)+1)*G27+INDEX(Symboles!$G$6:$G$101,MOD(3+$C27+(-1),$B$3)+1)*H27+INDEX(Symboles!$G$6:$G$101,MOD(3+$C27+(0),$B$3)+1)*I27+INDEX(Symboles!$G$6:$G$101,MOD(3+$C27+(1),$B$3)+1)*J27+INDEX(Symboles!$G$6:$G$101,MOD(3+$C27+(2),$B$3)+1)*K27+INDEX(Symboles!$G$6:$G$101,MOD(3+$C27+(3),$B$3)+1)*L27+INDEX(Symboles!$G$6:$G$101,MOD(3+$C27+(4),$B$3)+1)*M27+IF($B$6=0,0,$B$6*NORMSINV(0.000001+0.999998*RAND())))</f>
        <v/>
      </c>
      <c r="T27" s="30">
        <f>IF(5&gt;$B$3,99,INDEX(Symboles!$G$6:$G$101,MOD(4+$C27+(-4),$B$3)+1)*E27+INDEX(Symboles!$G$6:$G$101,MOD(4+$C27+(-3),$B$3)+1)*F27+INDEX(Symboles!$G$6:$G$101,MOD(4+$C27+(-2),$B$3)+1)*G27+INDEX(Symboles!$G$6:$G$101,MOD(4+$C27+(-1),$B$3)+1)*H27+INDEX(Symboles!$G$6:$G$101,MOD(4+$C27+(0),$B$3)+1)*I27+INDEX(Symboles!$G$6:$G$101,MOD(4+$C27+(1),$B$3)+1)*J27+INDEX(Symboles!$G$6:$G$101,MOD(4+$C27+(2),$B$3)+1)*K27+INDEX(Symboles!$G$6:$G$101,MOD(4+$C27+(3),$B$3)+1)*L27+INDEX(Symboles!$G$6:$G$101,MOD(4+$C27+(4),$B$3)+1)*M27+IF($B$6=0,0,$B$6*NORMSINV(0.000001+0.999998*RAND())))</f>
        <v/>
      </c>
      <c r="U27" s="30">
        <f>IF(6&gt;$B$3,99,INDEX(Symboles!$G$6:$G$101,MOD(5+$C27+(-4),$B$3)+1)*E27+INDEX(Symboles!$G$6:$G$101,MOD(5+$C27+(-3),$B$3)+1)*F27+INDEX(Symboles!$G$6:$G$101,MOD(5+$C27+(-2),$B$3)+1)*G27+INDEX(Symboles!$G$6:$G$101,MOD(5+$C27+(-1),$B$3)+1)*H27+INDEX(Symboles!$G$6:$G$101,MOD(5+$C27+(0),$B$3)+1)*I27+INDEX(Symboles!$G$6:$G$101,MOD(5+$C27+(1),$B$3)+1)*J27+INDEX(Symboles!$G$6:$G$101,MOD(5+$C27+(2),$B$3)+1)*K27+INDEX(Symboles!$G$6:$G$101,MOD(5+$C27+(3),$B$3)+1)*L27+INDEX(Symboles!$G$6:$G$101,MOD(5+$C27+(4),$B$3)+1)*M27+IF($B$6=0,0,$B$6*NORMSINV(0.000001+0.999998*RAND())))</f>
        <v/>
      </c>
      <c r="V27" s="30">
        <f>IF(7&gt;$B$3,99,INDEX(Symboles!$G$6:$G$101,MOD(6+$C27+(-4),$B$3)+1)*E27+INDEX(Symboles!$G$6:$G$101,MOD(6+$C27+(-3),$B$3)+1)*F27+INDEX(Symboles!$G$6:$G$101,MOD(6+$C27+(-2),$B$3)+1)*G27+INDEX(Symboles!$G$6:$G$101,MOD(6+$C27+(-1),$B$3)+1)*H27+INDEX(Symboles!$G$6:$G$101,MOD(6+$C27+(0),$B$3)+1)*I27+INDEX(Symboles!$G$6:$G$101,MOD(6+$C27+(1),$B$3)+1)*J27+INDEX(Symboles!$G$6:$G$101,MOD(6+$C27+(2),$B$3)+1)*K27+INDEX(Symboles!$G$6:$G$101,MOD(6+$C27+(3),$B$3)+1)*L27+INDEX(Symboles!$G$6:$G$101,MOD(6+$C27+(4),$B$3)+1)*M27+IF($B$6=0,0,$B$6*NORMSINV(0.000001+0.999998*RAND())))</f>
        <v/>
      </c>
      <c r="W27" s="30">
        <f>IF(8&gt;$B$3,99,INDEX(Symboles!$G$6:$G$101,MOD(7+$C27+(-4),$B$3)+1)*E27+INDEX(Symboles!$G$6:$G$101,MOD(7+$C27+(-3),$B$3)+1)*F27+INDEX(Symboles!$G$6:$G$101,MOD(7+$C27+(-2),$B$3)+1)*G27+INDEX(Symboles!$G$6:$G$101,MOD(7+$C27+(-1),$B$3)+1)*H27+INDEX(Symboles!$G$6:$G$101,MOD(7+$C27+(0),$B$3)+1)*I27+INDEX(Symboles!$G$6:$G$101,MOD(7+$C27+(1),$B$3)+1)*J27+INDEX(Symboles!$G$6:$G$101,MOD(7+$C27+(2),$B$3)+1)*K27+INDEX(Symboles!$G$6:$G$101,MOD(7+$C27+(3),$B$3)+1)*L27+INDEX(Symboles!$G$6:$G$101,MOD(7+$C27+(4),$B$3)+1)*M27+IF($B$6=0,0,$B$6*NORMSINV(0.000001+0.999998*RAND())))</f>
        <v/>
      </c>
      <c r="X27" s="30">
        <f>IF(9&gt;$B$3,99,INDEX(Symboles!$G$6:$G$101,MOD(8+$C27+(-4),$B$3)+1)*E27+INDEX(Symboles!$G$6:$G$101,MOD(8+$C27+(-3),$B$3)+1)*F27+INDEX(Symboles!$G$6:$G$101,MOD(8+$C27+(-2),$B$3)+1)*G27+INDEX(Symboles!$G$6:$G$101,MOD(8+$C27+(-1),$B$3)+1)*H27+INDEX(Symboles!$G$6:$G$101,MOD(8+$C27+(0),$B$3)+1)*I27+INDEX(Symboles!$G$6:$G$101,MOD(8+$C27+(1),$B$3)+1)*J27+INDEX(Symboles!$G$6:$G$101,MOD(8+$C27+(2),$B$3)+1)*K27+INDEX(Symboles!$G$6:$G$101,MOD(8+$C27+(3),$B$3)+1)*L27+INDEX(Symboles!$G$6:$G$101,MOD(8+$C27+(4),$B$3)+1)*M27+IF($B$6=0,0,$B$6*NORMSINV(0.000001+0.999998*RAND())))</f>
        <v/>
      </c>
      <c r="Y27" s="30">
        <f>IF(10&gt;$B$3,99,INDEX(Symboles!$G$6:$G$101,MOD(9+$C27+(-4),$B$3)+1)*E27+INDEX(Symboles!$G$6:$G$101,MOD(9+$C27+(-3),$B$3)+1)*F27+INDEX(Symboles!$G$6:$G$101,MOD(9+$C27+(-2),$B$3)+1)*G27+INDEX(Symboles!$G$6:$G$101,MOD(9+$C27+(-1),$B$3)+1)*H27+INDEX(Symboles!$G$6:$G$101,MOD(9+$C27+(0),$B$3)+1)*I27+INDEX(Symboles!$G$6:$G$101,MOD(9+$C27+(1),$B$3)+1)*J27+INDEX(Symboles!$G$6:$G$101,MOD(9+$C27+(2),$B$3)+1)*K27+INDEX(Symboles!$G$6:$G$101,MOD(9+$C27+(3),$B$3)+1)*L27+INDEX(Symboles!$G$6:$G$101,MOD(9+$C27+(4),$B$3)+1)*M27+IF($B$6=0,0,$B$6*NORMSINV(0.000001+0.999998*RAND())))</f>
        <v/>
      </c>
      <c r="Z27" s="30">
        <f>IF(11&gt;$B$3,99,INDEX(Symboles!$G$6:$G$101,MOD(10+$C27+(-4),$B$3)+1)*E27+INDEX(Symboles!$G$6:$G$101,MOD(10+$C27+(-3),$B$3)+1)*F27+INDEX(Symboles!$G$6:$G$101,MOD(10+$C27+(-2),$B$3)+1)*G27+INDEX(Symboles!$G$6:$G$101,MOD(10+$C27+(-1),$B$3)+1)*H27+INDEX(Symboles!$G$6:$G$101,MOD(10+$C27+(0),$B$3)+1)*I27+INDEX(Symboles!$G$6:$G$101,MOD(10+$C27+(1),$B$3)+1)*J27+INDEX(Symboles!$G$6:$G$101,MOD(10+$C27+(2),$B$3)+1)*K27+INDEX(Symboles!$G$6:$G$101,MOD(10+$C27+(3),$B$3)+1)*L27+INDEX(Symboles!$G$6:$G$101,MOD(10+$C27+(4),$B$3)+1)*M27+IF($B$6=0,0,$B$6*NORMSINV(0.000001+0.999998*RAND())))</f>
        <v/>
      </c>
      <c r="AA27" s="30">
        <f>IF(12&gt;$B$3,99,INDEX(Symboles!$G$6:$G$101,MOD(11+$C27+(-4),$B$3)+1)*E27+INDEX(Symboles!$G$6:$G$101,MOD(11+$C27+(-3),$B$3)+1)*F27+INDEX(Symboles!$G$6:$G$101,MOD(11+$C27+(-2),$B$3)+1)*G27+INDEX(Symboles!$G$6:$G$101,MOD(11+$C27+(-1),$B$3)+1)*H27+INDEX(Symboles!$G$6:$G$101,MOD(11+$C27+(0),$B$3)+1)*I27+INDEX(Symboles!$G$6:$G$101,MOD(11+$C27+(1),$B$3)+1)*J27+INDEX(Symboles!$G$6:$G$101,MOD(11+$C27+(2),$B$3)+1)*K27+INDEX(Symboles!$G$6:$G$101,MOD(11+$C27+(3),$B$3)+1)*L27+INDEX(Symboles!$G$6:$G$101,MOD(11+$C27+(4),$B$3)+1)*M27+IF($B$6=0,0,$B$6*NORMSINV(0.000001+0.999998*RAND())))</f>
        <v/>
      </c>
      <c r="AB27" s="30">
        <f>IF(13&gt;$B$3,99,INDEX(Symboles!$G$6:$G$101,MOD(12+$C27+(-4),$B$3)+1)*E27+INDEX(Symboles!$G$6:$G$101,MOD(12+$C27+(-3),$B$3)+1)*F27+INDEX(Symboles!$G$6:$G$101,MOD(12+$C27+(-2),$B$3)+1)*G27+INDEX(Symboles!$G$6:$G$101,MOD(12+$C27+(-1),$B$3)+1)*H27+INDEX(Symboles!$G$6:$G$101,MOD(12+$C27+(0),$B$3)+1)*I27+INDEX(Symboles!$G$6:$G$101,MOD(12+$C27+(1),$B$3)+1)*J27+INDEX(Symboles!$G$6:$G$101,MOD(12+$C27+(2),$B$3)+1)*K27+INDEX(Symboles!$G$6:$G$101,MOD(12+$C27+(3),$B$3)+1)*L27+INDEX(Symboles!$G$6:$G$101,MOD(12+$C27+(4),$B$3)+1)*M27+IF($B$6=0,0,$B$6*NORMSINV(0.000001+0.999998*RAND())))</f>
        <v/>
      </c>
      <c r="AC27" s="30">
        <f>IF(14&gt;$B$3,99,INDEX(Symboles!$G$6:$G$101,MOD(13+$C27+(-4),$B$3)+1)*E27+INDEX(Symboles!$G$6:$G$101,MOD(13+$C27+(-3),$B$3)+1)*F27+INDEX(Symboles!$G$6:$G$101,MOD(13+$C27+(-2),$B$3)+1)*G27+INDEX(Symboles!$G$6:$G$101,MOD(13+$C27+(-1),$B$3)+1)*H27+INDEX(Symboles!$G$6:$G$101,MOD(13+$C27+(0),$B$3)+1)*I27+INDEX(Symboles!$G$6:$G$101,MOD(13+$C27+(1),$B$3)+1)*J27+INDEX(Symboles!$G$6:$G$101,MOD(13+$C27+(2),$B$3)+1)*K27+INDEX(Symboles!$G$6:$G$101,MOD(13+$C27+(3),$B$3)+1)*L27+INDEX(Symboles!$G$6:$G$101,MOD(13+$C27+(4),$B$3)+1)*M27+IF($B$6=0,0,$B$6*NORMSINV(0.000001+0.999998*RAND())))</f>
        <v/>
      </c>
      <c r="AD27" s="30">
        <f>IF(15&gt;$B$3,99,INDEX(Symboles!$G$6:$G$101,MOD(14+$C27+(-4),$B$3)+1)*E27+INDEX(Symboles!$G$6:$G$101,MOD(14+$C27+(-3),$B$3)+1)*F27+INDEX(Symboles!$G$6:$G$101,MOD(14+$C27+(-2),$B$3)+1)*G27+INDEX(Symboles!$G$6:$G$101,MOD(14+$C27+(-1),$B$3)+1)*H27+INDEX(Symboles!$G$6:$G$101,MOD(14+$C27+(0),$B$3)+1)*I27+INDEX(Symboles!$G$6:$G$101,MOD(14+$C27+(1),$B$3)+1)*J27+INDEX(Symboles!$G$6:$G$101,MOD(14+$C27+(2),$B$3)+1)*K27+INDEX(Symboles!$G$6:$G$101,MOD(14+$C27+(3),$B$3)+1)*L27+INDEX(Symboles!$G$6:$G$101,MOD(14+$C27+(4),$B$3)+1)*M27+IF($B$6=0,0,$B$6*NORMSINV(0.000001+0.999998*RAND())))</f>
        <v/>
      </c>
      <c r="AE27" s="30">
        <f>IF(16&gt;$B$3,99,INDEX(Symboles!$G$6:$G$101,MOD(15+$C27+(-4),$B$3)+1)*E27+INDEX(Symboles!$G$6:$G$101,MOD(15+$C27+(-3),$B$3)+1)*F27+INDEX(Symboles!$G$6:$G$101,MOD(15+$C27+(-2),$B$3)+1)*G27+INDEX(Symboles!$G$6:$G$101,MOD(15+$C27+(-1),$B$3)+1)*H27+INDEX(Symboles!$G$6:$G$101,MOD(15+$C27+(0),$B$3)+1)*I27+INDEX(Symboles!$G$6:$G$101,MOD(15+$C27+(1),$B$3)+1)*J27+INDEX(Symboles!$G$6:$G$101,MOD(15+$C27+(2),$B$3)+1)*K27+INDEX(Symboles!$G$6:$G$101,MOD(15+$C27+(3),$B$3)+1)*L27+INDEX(Symboles!$G$6:$G$101,MOD(15+$C27+(4),$B$3)+1)*M27+IF($B$6=0,0,$B$6*NORMSINV(0.000001+0.999998*RAND())))</f>
        <v/>
      </c>
      <c r="AF27" s="30">
        <f>IF(17&gt;$B$3,99,INDEX(Symboles!$G$6:$G$101,MOD(16+$C27+(-4),$B$3)+1)*E27+INDEX(Symboles!$G$6:$G$101,MOD(16+$C27+(-3),$B$3)+1)*F27+INDEX(Symboles!$G$6:$G$101,MOD(16+$C27+(-2),$B$3)+1)*G27+INDEX(Symboles!$G$6:$G$101,MOD(16+$C27+(-1),$B$3)+1)*H27+INDEX(Symboles!$G$6:$G$101,MOD(16+$C27+(0),$B$3)+1)*I27+INDEX(Symboles!$G$6:$G$101,MOD(16+$C27+(1),$B$3)+1)*J27+INDEX(Symboles!$G$6:$G$101,MOD(16+$C27+(2),$B$3)+1)*K27+INDEX(Symboles!$G$6:$G$101,MOD(16+$C27+(3),$B$3)+1)*L27+INDEX(Symboles!$G$6:$G$101,MOD(16+$C27+(4),$B$3)+1)*M27+IF($B$6=0,0,$B$6*NORMSINV(0.000001+0.999998*RAND())))</f>
        <v/>
      </c>
      <c r="AG27" s="30">
        <f>IF(18&gt;$B$3,99,INDEX(Symboles!$G$6:$G$101,MOD(17+$C27+(-4),$B$3)+1)*E27+INDEX(Symboles!$G$6:$G$101,MOD(17+$C27+(-3),$B$3)+1)*F27+INDEX(Symboles!$G$6:$G$101,MOD(17+$C27+(-2),$B$3)+1)*G27+INDEX(Symboles!$G$6:$G$101,MOD(17+$C27+(-1),$B$3)+1)*H27+INDEX(Symboles!$G$6:$G$101,MOD(17+$C27+(0),$B$3)+1)*I27+INDEX(Symboles!$G$6:$G$101,MOD(17+$C27+(1),$B$3)+1)*J27+INDEX(Symboles!$G$6:$G$101,MOD(17+$C27+(2),$B$3)+1)*K27+INDEX(Symboles!$G$6:$G$101,MOD(17+$C27+(3),$B$3)+1)*L27+INDEX(Symboles!$G$6:$G$101,MOD(17+$C27+(4),$B$3)+1)*M27+IF($B$6=0,0,$B$6*NORMSINV(0.000001+0.999998*RAND())))</f>
        <v/>
      </c>
      <c r="AH27" s="30">
        <f>IF(19&gt;$B$3,99,INDEX(Symboles!$G$6:$G$101,MOD(18+$C27+(-4),$B$3)+1)*E27+INDEX(Symboles!$G$6:$G$101,MOD(18+$C27+(-3),$B$3)+1)*F27+INDEX(Symboles!$G$6:$G$101,MOD(18+$C27+(-2),$B$3)+1)*G27+INDEX(Symboles!$G$6:$G$101,MOD(18+$C27+(-1),$B$3)+1)*H27+INDEX(Symboles!$G$6:$G$101,MOD(18+$C27+(0),$B$3)+1)*I27+INDEX(Symboles!$G$6:$G$101,MOD(18+$C27+(1),$B$3)+1)*J27+INDEX(Symboles!$G$6:$G$101,MOD(18+$C27+(2),$B$3)+1)*K27+INDEX(Symboles!$G$6:$G$101,MOD(18+$C27+(3),$B$3)+1)*L27+INDEX(Symboles!$G$6:$G$101,MOD(18+$C27+(4),$B$3)+1)*M27+IF($B$6=0,0,$B$6*NORMSINV(0.000001+0.999998*RAND())))</f>
        <v/>
      </c>
      <c r="AI27" s="30">
        <f>IF(20&gt;$B$3,99,INDEX(Symboles!$G$6:$G$101,MOD(19+$C27+(-4),$B$3)+1)*E27+INDEX(Symboles!$G$6:$G$101,MOD(19+$C27+(-3),$B$3)+1)*F27+INDEX(Symboles!$G$6:$G$101,MOD(19+$C27+(-2),$B$3)+1)*G27+INDEX(Symboles!$G$6:$G$101,MOD(19+$C27+(-1),$B$3)+1)*H27+INDEX(Symboles!$G$6:$G$101,MOD(19+$C27+(0),$B$3)+1)*I27+INDEX(Symboles!$G$6:$G$101,MOD(19+$C27+(1),$B$3)+1)*J27+INDEX(Symboles!$G$6:$G$101,MOD(19+$C27+(2),$B$3)+1)*K27+INDEX(Symboles!$G$6:$G$101,MOD(19+$C27+(3),$B$3)+1)*L27+INDEX(Symboles!$G$6:$G$101,MOD(19+$C27+(4),$B$3)+1)*M27+IF($B$6=0,0,$B$6*NORMSINV(0.000001+0.999998*RAND())))</f>
        <v/>
      </c>
      <c r="AJ27" s="30">
        <f>IF(21&gt;$B$3,99,INDEX(Symboles!$G$6:$G$101,MOD(20+$C27+(-4),$B$3)+1)*E27+INDEX(Symboles!$G$6:$G$101,MOD(20+$C27+(-3),$B$3)+1)*F27+INDEX(Symboles!$G$6:$G$101,MOD(20+$C27+(-2),$B$3)+1)*G27+INDEX(Symboles!$G$6:$G$101,MOD(20+$C27+(-1),$B$3)+1)*H27+INDEX(Symboles!$G$6:$G$101,MOD(20+$C27+(0),$B$3)+1)*I27+INDEX(Symboles!$G$6:$G$101,MOD(20+$C27+(1),$B$3)+1)*J27+INDEX(Symboles!$G$6:$G$101,MOD(20+$C27+(2),$B$3)+1)*K27+INDEX(Symboles!$G$6:$G$101,MOD(20+$C27+(3),$B$3)+1)*L27+INDEX(Symboles!$G$6:$G$101,MOD(20+$C27+(4),$B$3)+1)*M27+IF($B$6=0,0,$B$6*NORMSINV(0.000001+0.999998*RAND())))</f>
        <v/>
      </c>
      <c r="AK27" s="30">
        <f>IF(22&gt;$B$3,99,INDEX(Symboles!$G$6:$G$101,MOD(21+$C27+(-4),$B$3)+1)*E27+INDEX(Symboles!$G$6:$G$101,MOD(21+$C27+(-3),$B$3)+1)*F27+INDEX(Symboles!$G$6:$G$101,MOD(21+$C27+(-2),$B$3)+1)*G27+INDEX(Symboles!$G$6:$G$101,MOD(21+$C27+(-1),$B$3)+1)*H27+INDEX(Symboles!$G$6:$G$101,MOD(21+$C27+(0),$B$3)+1)*I27+INDEX(Symboles!$G$6:$G$101,MOD(21+$C27+(1),$B$3)+1)*J27+INDEX(Symboles!$G$6:$G$101,MOD(21+$C27+(2),$B$3)+1)*K27+INDEX(Symboles!$G$6:$G$101,MOD(21+$C27+(3),$B$3)+1)*L27+INDEX(Symboles!$G$6:$G$101,MOD(21+$C27+(4),$B$3)+1)*M27+IF($B$6=0,0,$B$6*NORMSINV(0.000001+0.999998*RAND())))</f>
        <v/>
      </c>
      <c r="AL27" s="30">
        <f>IF(23&gt;$B$3,99,INDEX(Symboles!$G$6:$G$101,MOD(22+$C27+(-4),$B$3)+1)*E27+INDEX(Symboles!$G$6:$G$101,MOD(22+$C27+(-3),$B$3)+1)*F27+INDEX(Symboles!$G$6:$G$101,MOD(22+$C27+(-2),$B$3)+1)*G27+INDEX(Symboles!$G$6:$G$101,MOD(22+$C27+(-1),$B$3)+1)*H27+INDEX(Symboles!$G$6:$G$101,MOD(22+$C27+(0),$B$3)+1)*I27+INDEX(Symboles!$G$6:$G$101,MOD(22+$C27+(1),$B$3)+1)*J27+INDEX(Symboles!$G$6:$G$101,MOD(22+$C27+(2),$B$3)+1)*K27+INDEX(Symboles!$G$6:$G$101,MOD(22+$C27+(3),$B$3)+1)*L27+INDEX(Symboles!$G$6:$G$101,MOD(22+$C27+(4),$B$3)+1)*M27+IF($B$6=0,0,$B$6*NORMSINV(0.000001+0.999998*RAND())))</f>
        <v/>
      </c>
      <c r="AM27" s="30">
        <f>IF(24&gt;$B$3,99,INDEX(Symboles!$G$6:$G$101,MOD(23+$C27+(-4),$B$3)+1)*E27+INDEX(Symboles!$G$6:$G$101,MOD(23+$C27+(-3),$B$3)+1)*F27+INDEX(Symboles!$G$6:$G$101,MOD(23+$C27+(-2),$B$3)+1)*G27+INDEX(Symboles!$G$6:$G$101,MOD(23+$C27+(-1),$B$3)+1)*H27+INDEX(Symboles!$G$6:$G$101,MOD(23+$C27+(0),$B$3)+1)*I27+INDEX(Symboles!$G$6:$G$101,MOD(23+$C27+(1),$B$3)+1)*J27+INDEX(Symboles!$G$6:$G$101,MOD(23+$C27+(2),$B$3)+1)*K27+INDEX(Symboles!$G$6:$G$101,MOD(23+$C27+(3),$B$3)+1)*L27+INDEX(Symboles!$G$6:$G$101,MOD(23+$C27+(4),$B$3)+1)*M27+IF($B$6=0,0,$B$6*NORMSINV(0.000001+0.999998*RAND())))</f>
        <v/>
      </c>
      <c r="AN27" s="30">
        <f>IF(25&gt;$B$3,99,INDEX(Symboles!$G$6:$G$101,MOD(24+$C27+(-4),$B$3)+1)*E27+INDEX(Symboles!$G$6:$G$101,MOD(24+$C27+(-3),$B$3)+1)*F27+INDEX(Symboles!$G$6:$G$101,MOD(24+$C27+(-2),$B$3)+1)*G27+INDEX(Symboles!$G$6:$G$101,MOD(24+$C27+(-1),$B$3)+1)*H27+INDEX(Symboles!$G$6:$G$101,MOD(24+$C27+(0),$B$3)+1)*I27+INDEX(Symboles!$G$6:$G$101,MOD(24+$C27+(1),$B$3)+1)*J27+INDEX(Symboles!$G$6:$G$101,MOD(24+$C27+(2),$B$3)+1)*K27+INDEX(Symboles!$G$6:$G$101,MOD(24+$C27+(3),$B$3)+1)*L27+INDEX(Symboles!$G$6:$G$101,MOD(24+$C27+(4),$B$3)+1)*M27+IF($B$6=0,0,$B$6*NORMSINV(0.000001+0.999998*RAND())))</f>
        <v/>
      </c>
      <c r="AO27" s="30">
        <f>IF(26&gt;$B$3,99,INDEX(Symboles!$G$6:$G$101,MOD(25+$C27+(-4),$B$3)+1)*E27+INDEX(Symboles!$G$6:$G$101,MOD(25+$C27+(-3),$B$3)+1)*F27+INDEX(Symboles!$G$6:$G$101,MOD(25+$C27+(-2),$B$3)+1)*G27+INDEX(Symboles!$G$6:$G$101,MOD(25+$C27+(-1),$B$3)+1)*H27+INDEX(Symboles!$G$6:$G$101,MOD(25+$C27+(0),$B$3)+1)*I27+INDEX(Symboles!$G$6:$G$101,MOD(25+$C27+(1),$B$3)+1)*J27+INDEX(Symboles!$G$6:$G$101,MOD(25+$C27+(2),$B$3)+1)*K27+INDEX(Symboles!$G$6:$G$101,MOD(25+$C27+(3),$B$3)+1)*L27+INDEX(Symboles!$G$6:$G$101,MOD(25+$C27+(4),$B$3)+1)*M27+IF($B$6=0,0,$B$6*NORMSINV(0.000001+0.999998*RAND())))</f>
        <v/>
      </c>
      <c r="AP27" s="30">
        <f>IF(27&gt;$B$3,99,INDEX(Symboles!$G$6:$G$101,MOD(26+$C27+(-4),$B$3)+1)*E27+INDEX(Symboles!$G$6:$G$101,MOD(26+$C27+(-3),$B$3)+1)*F27+INDEX(Symboles!$G$6:$G$101,MOD(26+$C27+(-2),$B$3)+1)*G27+INDEX(Symboles!$G$6:$G$101,MOD(26+$C27+(-1),$B$3)+1)*H27+INDEX(Symboles!$G$6:$G$101,MOD(26+$C27+(0),$B$3)+1)*I27+INDEX(Symboles!$G$6:$G$101,MOD(26+$C27+(1),$B$3)+1)*J27+INDEX(Symboles!$G$6:$G$101,MOD(26+$C27+(2),$B$3)+1)*K27+INDEX(Symboles!$G$6:$G$101,MOD(26+$C27+(3),$B$3)+1)*L27+INDEX(Symboles!$G$6:$G$101,MOD(26+$C27+(4),$B$3)+1)*M27+IF($B$6=0,0,$B$6*NORMSINV(0.000001+0.999998*RAND())))</f>
        <v/>
      </c>
      <c r="AQ27" s="30">
        <f>IF(28&gt;$B$3,99,INDEX(Symboles!$G$6:$G$101,MOD(27+$C27+(-4),$B$3)+1)*E27+INDEX(Symboles!$G$6:$G$101,MOD(27+$C27+(-3),$B$3)+1)*F27+INDEX(Symboles!$G$6:$G$101,MOD(27+$C27+(-2),$B$3)+1)*G27+INDEX(Symboles!$G$6:$G$101,MOD(27+$C27+(-1),$B$3)+1)*H27+INDEX(Symboles!$G$6:$G$101,MOD(27+$C27+(0),$B$3)+1)*I27+INDEX(Symboles!$G$6:$G$101,MOD(27+$C27+(1),$B$3)+1)*J27+INDEX(Symboles!$G$6:$G$101,MOD(27+$C27+(2),$B$3)+1)*K27+INDEX(Symboles!$G$6:$G$101,MOD(27+$C27+(3),$B$3)+1)*L27+INDEX(Symboles!$G$6:$G$101,MOD(27+$C27+(4),$B$3)+1)*M27+IF($B$6=0,0,$B$6*NORMSINV(0.000001+0.999998*RAND())))</f>
        <v/>
      </c>
      <c r="AR27" s="30">
        <f>IF(29&gt;$B$3,99,INDEX(Symboles!$G$6:$G$101,MOD(28+$C27+(-4),$B$3)+1)*E27+INDEX(Symboles!$G$6:$G$101,MOD(28+$C27+(-3),$B$3)+1)*F27+INDEX(Symboles!$G$6:$G$101,MOD(28+$C27+(-2),$B$3)+1)*G27+INDEX(Symboles!$G$6:$G$101,MOD(28+$C27+(-1),$B$3)+1)*H27+INDEX(Symboles!$G$6:$G$101,MOD(28+$C27+(0),$B$3)+1)*I27+INDEX(Symboles!$G$6:$G$101,MOD(28+$C27+(1),$B$3)+1)*J27+INDEX(Symboles!$G$6:$G$101,MOD(28+$C27+(2),$B$3)+1)*K27+INDEX(Symboles!$G$6:$G$101,MOD(28+$C27+(3),$B$3)+1)*L27+INDEX(Symboles!$G$6:$G$101,MOD(28+$C27+(4),$B$3)+1)*M27+IF($B$6=0,0,$B$6*NORMSINV(0.000001+0.999998*RAND())))</f>
        <v/>
      </c>
      <c r="AS27" s="30">
        <f>IF(30&gt;$B$3,99,INDEX(Symboles!$G$6:$G$101,MOD(29+$C27+(-4),$B$3)+1)*E27+INDEX(Symboles!$G$6:$G$101,MOD(29+$C27+(-3),$B$3)+1)*F27+INDEX(Symboles!$G$6:$G$101,MOD(29+$C27+(-2),$B$3)+1)*G27+INDEX(Symboles!$G$6:$G$101,MOD(29+$C27+(-1),$B$3)+1)*H27+INDEX(Symboles!$G$6:$G$101,MOD(29+$C27+(0),$B$3)+1)*I27+INDEX(Symboles!$G$6:$G$101,MOD(29+$C27+(1),$B$3)+1)*J27+INDEX(Symboles!$G$6:$G$101,MOD(29+$C27+(2),$B$3)+1)*K27+INDEX(Symboles!$G$6:$G$101,MOD(29+$C27+(3),$B$3)+1)*L27+INDEX(Symboles!$G$6:$G$101,MOD(29+$C27+(4),$B$3)+1)*M27+IF($B$6=0,0,$B$6*NORMSINV(0.000001+0.999998*RAND())))</f>
        <v/>
      </c>
      <c r="AT27" s="30">
        <f>IF(31&gt;$B$3,99,INDEX(Symboles!$G$6:$G$101,MOD(30+$C27+(-4),$B$3)+1)*E27+INDEX(Symboles!$G$6:$G$101,MOD(30+$C27+(-3),$B$3)+1)*F27+INDEX(Symboles!$G$6:$G$101,MOD(30+$C27+(-2),$B$3)+1)*G27+INDEX(Symboles!$G$6:$G$101,MOD(30+$C27+(-1),$B$3)+1)*H27+INDEX(Symboles!$G$6:$G$101,MOD(30+$C27+(0),$B$3)+1)*I27+INDEX(Symboles!$G$6:$G$101,MOD(30+$C27+(1),$B$3)+1)*J27+INDEX(Symboles!$G$6:$G$101,MOD(30+$C27+(2),$B$3)+1)*K27+INDEX(Symboles!$G$6:$G$101,MOD(30+$C27+(3),$B$3)+1)*L27+INDEX(Symboles!$G$6:$G$101,MOD(30+$C27+(4),$B$3)+1)*M27+IF($B$6=0,0,$B$6*NORMSINV(0.000001+0.999998*RAND())))</f>
        <v/>
      </c>
      <c r="AU27" s="30">
        <f>IF(32&gt;$B$3,99,INDEX(Symboles!$G$6:$G$101,MOD(31+$C27+(-4),$B$3)+1)*E27+INDEX(Symboles!$G$6:$G$101,MOD(31+$C27+(-3),$B$3)+1)*F27+INDEX(Symboles!$G$6:$G$101,MOD(31+$C27+(-2),$B$3)+1)*G27+INDEX(Symboles!$G$6:$G$101,MOD(31+$C27+(-1),$B$3)+1)*H27+INDEX(Symboles!$G$6:$G$101,MOD(31+$C27+(0),$B$3)+1)*I27+INDEX(Symboles!$G$6:$G$101,MOD(31+$C27+(1),$B$3)+1)*J27+INDEX(Symboles!$G$6:$G$101,MOD(31+$C27+(2),$B$3)+1)*K27+INDEX(Symboles!$G$6:$G$101,MOD(31+$C27+(3),$B$3)+1)*L27+INDEX(Symboles!$G$6:$G$101,MOD(31+$C27+(4),$B$3)+1)*M27+IF($B$6=0,0,$B$6*NORMSINV(0.000001+0.999998*RAND())))</f>
        <v/>
      </c>
      <c r="AV27" s="30">
        <f>IF(33&gt;$B$3,99,INDEX(Symboles!$G$6:$G$101,MOD(32+$C27+(-4),$B$3)+1)*E27+INDEX(Symboles!$G$6:$G$101,MOD(32+$C27+(-3),$B$3)+1)*F27+INDEX(Symboles!$G$6:$G$101,MOD(32+$C27+(-2),$B$3)+1)*G27+INDEX(Symboles!$G$6:$G$101,MOD(32+$C27+(-1),$B$3)+1)*H27+INDEX(Symboles!$G$6:$G$101,MOD(32+$C27+(0),$B$3)+1)*I27+INDEX(Symboles!$G$6:$G$101,MOD(32+$C27+(1),$B$3)+1)*J27+INDEX(Symboles!$G$6:$G$101,MOD(32+$C27+(2),$B$3)+1)*K27+INDEX(Symboles!$G$6:$G$101,MOD(32+$C27+(3),$B$3)+1)*L27+INDEX(Symboles!$G$6:$G$101,MOD(32+$C27+(4),$B$3)+1)*M27+IF($B$6=0,0,$B$6*NORMSINV(0.000001+0.999998*RAND())))</f>
        <v/>
      </c>
      <c r="AW27" s="30">
        <f>IF(34&gt;$B$3,99,INDEX(Symboles!$G$6:$G$101,MOD(33+$C27+(-4),$B$3)+1)*E27+INDEX(Symboles!$G$6:$G$101,MOD(33+$C27+(-3),$B$3)+1)*F27+INDEX(Symboles!$G$6:$G$101,MOD(33+$C27+(-2),$B$3)+1)*G27+INDEX(Symboles!$G$6:$G$101,MOD(33+$C27+(-1),$B$3)+1)*H27+INDEX(Symboles!$G$6:$G$101,MOD(33+$C27+(0),$B$3)+1)*I27+INDEX(Symboles!$G$6:$G$101,MOD(33+$C27+(1),$B$3)+1)*J27+INDEX(Symboles!$G$6:$G$101,MOD(33+$C27+(2),$B$3)+1)*K27+INDEX(Symboles!$G$6:$G$101,MOD(33+$C27+(3),$B$3)+1)*L27+INDEX(Symboles!$G$6:$G$101,MOD(33+$C27+(4),$B$3)+1)*M27+IF($B$6=0,0,$B$6*NORMSINV(0.000001+0.999998*RAND())))</f>
        <v/>
      </c>
      <c r="AX27" s="30">
        <f>IF(35&gt;$B$3,99,INDEX(Symboles!$G$6:$G$101,MOD(34+$C27+(-4),$B$3)+1)*E27+INDEX(Symboles!$G$6:$G$101,MOD(34+$C27+(-3),$B$3)+1)*F27+INDEX(Symboles!$G$6:$G$101,MOD(34+$C27+(-2),$B$3)+1)*G27+INDEX(Symboles!$G$6:$G$101,MOD(34+$C27+(-1),$B$3)+1)*H27+INDEX(Symboles!$G$6:$G$101,MOD(34+$C27+(0),$B$3)+1)*I27+INDEX(Symboles!$G$6:$G$101,MOD(34+$C27+(1),$B$3)+1)*J27+INDEX(Symboles!$G$6:$G$101,MOD(34+$C27+(2),$B$3)+1)*K27+INDEX(Symboles!$G$6:$G$101,MOD(34+$C27+(3),$B$3)+1)*L27+INDEX(Symboles!$G$6:$G$101,MOD(34+$C27+(4),$B$3)+1)*M27+IF($B$6=0,0,$B$6*NORMSINV(0.000001+0.999998*RAND())))</f>
        <v/>
      </c>
      <c r="AY27" s="30">
        <f>IF(36&gt;$B$3,99,INDEX(Symboles!$G$6:$G$101,MOD(35+$C27+(-4),$B$3)+1)*E27+INDEX(Symboles!$G$6:$G$101,MOD(35+$C27+(-3),$B$3)+1)*F27+INDEX(Symboles!$G$6:$G$101,MOD(35+$C27+(-2),$B$3)+1)*G27+INDEX(Symboles!$G$6:$G$101,MOD(35+$C27+(-1),$B$3)+1)*H27+INDEX(Symboles!$G$6:$G$101,MOD(35+$C27+(0),$B$3)+1)*I27+INDEX(Symboles!$G$6:$G$101,MOD(35+$C27+(1),$B$3)+1)*J27+INDEX(Symboles!$G$6:$G$101,MOD(35+$C27+(2),$B$3)+1)*K27+INDEX(Symboles!$G$6:$G$101,MOD(35+$C27+(3),$B$3)+1)*L27+INDEX(Symboles!$G$6:$G$101,MOD(35+$C27+(4),$B$3)+1)*M27+IF($B$6=0,0,$B$6*NORMSINV(0.000001+0.999998*RAND())))</f>
        <v/>
      </c>
      <c r="AZ27" s="30">
        <f>IF(37&gt;$B$3,99,INDEX(Symboles!$G$6:$G$101,MOD(36+$C27+(-4),$B$3)+1)*E27+INDEX(Symboles!$G$6:$G$101,MOD(36+$C27+(-3),$B$3)+1)*F27+INDEX(Symboles!$G$6:$G$101,MOD(36+$C27+(-2),$B$3)+1)*G27+INDEX(Symboles!$G$6:$G$101,MOD(36+$C27+(-1),$B$3)+1)*H27+INDEX(Symboles!$G$6:$G$101,MOD(36+$C27+(0),$B$3)+1)*I27+INDEX(Symboles!$G$6:$G$101,MOD(36+$C27+(1),$B$3)+1)*J27+INDEX(Symboles!$G$6:$G$101,MOD(36+$C27+(2),$B$3)+1)*K27+INDEX(Symboles!$G$6:$G$101,MOD(36+$C27+(3),$B$3)+1)*L27+INDEX(Symboles!$G$6:$G$101,MOD(36+$C27+(4),$B$3)+1)*M27+IF($B$6=0,0,$B$6*NORMSINV(0.000001+0.999998*RAND())))</f>
        <v/>
      </c>
      <c r="BA27" s="30">
        <f>IF(38&gt;$B$3,99,INDEX(Symboles!$G$6:$G$101,MOD(37+$C27+(-4),$B$3)+1)*E27+INDEX(Symboles!$G$6:$G$101,MOD(37+$C27+(-3),$B$3)+1)*F27+INDEX(Symboles!$G$6:$G$101,MOD(37+$C27+(-2),$B$3)+1)*G27+INDEX(Symboles!$G$6:$G$101,MOD(37+$C27+(-1),$B$3)+1)*H27+INDEX(Symboles!$G$6:$G$101,MOD(37+$C27+(0),$B$3)+1)*I27+INDEX(Symboles!$G$6:$G$101,MOD(37+$C27+(1),$B$3)+1)*J27+INDEX(Symboles!$G$6:$G$101,MOD(37+$C27+(2),$B$3)+1)*K27+INDEX(Symboles!$G$6:$G$101,MOD(37+$C27+(3),$B$3)+1)*L27+INDEX(Symboles!$G$6:$G$101,MOD(37+$C27+(4),$B$3)+1)*M27+IF($B$6=0,0,$B$6*NORMSINV(0.000001+0.999998*RAND())))</f>
        <v/>
      </c>
      <c r="BB27" s="30">
        <f>IF(39&gt;$B$3,99,INDEX(Symboles!$G$6:$G$101,MOD(38+$C27+(-4),$B$3)+1)*E27+INDEX(Symboles!$G$6:$G$101,MOD(38+$C27+(-3),$B$3)+1)*F27+INDEX(Symboles!$G$6:$G$101,MOD(38+$C27+(-2),$B$3)+1)*G27+INDEX(Symboles!$G$6:$G$101,MOD(38+$C27+(-1),$B$3)+1)*H27+INDEX(Symboles!$G$6:$G$101,MOD(38+$C27+(0),$B$3)+1)*I27+INDEX(Symboles!$G$6:$G$101,MOD(38+$C27+(1),$B$3)+1)*J27+INDEX(Symboles!$G$6:$G$101,MOD(38+$C27+(2),$B$3)+1)*K27+INDEX(Symboles!$G$6:$G$101,MOD(38+$C27+(3),$B$3)+1)*L27+INDEX(Symboles!$G$6:$G$101,MOD(38+$C27+(4),$B$3)+1)*M27+IF($B$6=0,0,$B$6*NORMSINV(0.000001+0.999998*RAND())))</f>
        <v/>
      </c>
      <c r="BC27" s="30">
        <f>IF(40&gt;$B$3,99,INDEX(Symboles!$G$6:$G$101,MOD(39+$C27+(-4),$B$3)+1)*E27+INDEX(Symboles!$G$6:$G$101,MOD(39+$C27+(-3),$B$3)+1)*F27+INDEX(Symboles!$G$6:$G$101,MOD(39+$C27+(-2),$B$3)+1)*G27+INDEX(Symboles!$G$6:$G$101,MOD(39+$C27+(-1),$B$3)+1)*H27+INDEX(Symboles!$G$6:$G$101,MOD(39+$C27+(0),$B$3)+1)*I27+INDEX(Symboles!$G$6:$G$101,MOD(39+$C27+(1),$B$3)+1)*J27+INDEX(Symboles!$G$6:$G$101,MOD(39+$C27+(2),$B$3)+1)*K27+INDEX(Symboles!$G$6:$G$101,MOD(39+$C27+(3),$B$3)+1)*L27+INDEX(Symboles!$G$6:$G$101,MOD(39+$C27+(4),$B$3)+1)*M27+IF($B$6=0,0,$B$6*NORMSINV(0.000001+0.999998*RAND())))</f>
        <v/>
      </c>
      <c r="BD27" s="30">
        <f>IF(41&gt;$B$3,99,INDEX(Symboles!$G$6:$G$101,MOD(40+$C27+(-4),$B$3)+1)*E27+INDEX(Symboles!$G$6:$G$101,MOD(40+$C27+(-3),$B$3)+1)*F27+INDEX(Symboles!$G$6:$G$101,MOD(40+$C27+(-2),$B$3)+1)*G27+INDEX(Symboles!$G$6:$G$101,MOD(40+$C27+(-1),$B$3)+1)*H27+INDEX(Symboles!$G$6:$G$101,MOD(40+$C27+(0),$B$3)+1)*I27+INDEX(Symboles!$G$6:$G$101,MOD(40+$C27+(1),$B$3)+1)*J27+INDEX(Symboles!$G$6:$G$101,MOD(40+$C27+(2),$B$3)+1)*K27+INDEX(Symboles!$G$6:$G$101,MOD(40+$C27+(3),$B$3)+1)*L27+INDEX(Symboles!$G$6:$G$101,MOD(40+$C27+(4),$B$3)+1)*M27+IF($B$6=0,0,$B$6*NORMSINV(0.000001+0.999998*RAND())))</f>
        <v/>
      </c>
      <c r="BE27" s="30">
        <f>IF(42&gt;$B$3,99,INDEX(Symboles!$G$6:$G$101,MOD(41+$C27+(-4),$B$3)+1)*E27+INDEX(Symboles!$G$6:$G$101,MOD(41+$C27+(-3),$B$3)+1)*F27+INDEX(Symboles!$G$6:$G$101,MOD(41+$C27+(-2),$B$3)+1)*G27+INDEX(Symboles!$G$6:$G$101,MOD(41+$C27+(-1),$B$3)+1)*H27+INDEX(Symboles!$G$6:$G$101,MOD(41+$C27+(0),$B$3)+1)*I27+INDEX(Symboles!$G$6:$G$101,MOD(41+$C27+(1),$B$3)+1)*J27+INDEX(Symboles!$G$6:$G$101,MOD(41+$C27+(2),$B$3)+1)*K27+INDEX(Symboles!$G$6:$G$101,MOD(41+$C27+(3),$B$3)+1)*L27+INDEX(Symboles!$G$6:$G$101,MOD(41+$C27+(4),$B$3)+1)*M27+IF($B$6=0,0,$B$6*NORMSINV(0.000001+0.999998*RAND())))</f>
        <v/>
      </c>
      <c r="BF27" s="30">
        <f>IF(43&gt;$B$3,99,INDEX(Symboles!$G$6:$G$101,MOD(42+$C27+(-4),$B$3)+1)*E27+INDEX(Symboles!$G$6:$G$101,MOD(42+$C27+(-3),$B$3)+1)*F27+INDEX(Symboles!$G$6:$G$101,MOD(42+$C27+(-2),$B$3)+1)*G27+INDEX(Symboles!$G$6:$G$101,MOD(42+$C27+(-1),$B$3)+1)*H27+INDEX(Symboles!$G$6:$G$101,MOD(42+$C27+(0),$B$3)+1)*I27+INDEX(Symboles!$G$6:$G$101,MOD(42+$C27+(1),$B$3)+1)*J27+INDEX(Symboles!$G$6:$G$101,MOD(42+$C27+(2),$B$3)+1)*K27+INDEX(Symboles!$G$6:$G$101,MOD(42+$C27+(3),$B$3)+1)*L27+INDEX(Symboles!$G$6:$G$101,MOD(42+$C27+(4),$B$3)+1)*M27+IF($B$6=0,0,$B$6*NORMSINV(0.000001+0.999998*RAND())))</f>
        <v/>
      </c>
      <c r="BG27" s="30">
        <f>IF(44&gt;$B$3,99,INDEX(Symboles!$G$6:$G$101,MOD(43+$C27+(-4),$B$3)+1)*E27+INDEX(Symboles!$G$6:$G$101,MOD(43+$C27+(-3),$B$3)+1)*F27+INDEX(Symboles!$G$6:$G$101,MOD(43+$C27+(-2),$B$3)+1)*G27+INDEX(Symboles!$G$6:$G$101,MOD(43+$C27+(-1),$B$3)+1)*H27+INDEX(Symboles!$G$6:$G$101,MOD(43+$C27+(0),$B$3)+1)*I27+INDEX(Symboles!$G$6:$G$101,MOD(43+$C27+(1),$B$3)+1)*J27+INDEX(Symboles!$G$6:$G$101,MOD(43+$C27+(2),$B$3)+1)*K27+INDEX(Symboles!$G$6:$G$101,MOD(43+$C27+(3),$B$3)+1)*L27+INDEX(Symboles!$G$6:$G$101,MOD(43+$C27+(4),$B$3)+1)*M27+IF($B$6=0,0,$B$6*NORMSINV(0.000001+0.999998*RAND())))</f>
        <v/>
      </c>
      <c r="BH27" s="30">
        <f>IF(45&gt;$B$3,99,INDEX(Symboles!$G$6:$G$101,MOD(44+$C27+(-4),$B$3)+1)*E27+INDEX(Symboles!$G$6:$G$101,MOD(44+$C27+(-3),$B$3)+1)*F27+INDEX(Symboles!$G$6:$G$101,MOD(44+$C27+(-2),$B$3)+1)*G27+INDEX(Symboles!$G$6:$G$101,MOD(44+$C27+(-1),$B$3)+1)*H27+INDEX(Symboles!$G$6:$G$101,MOD(44+$C27+(0),$B$3)+1)*I27+INDEX(Symboles!$G$6:$G$101,MOD(44+$C27+(1),$B$3)+1)*J27+INDEX(Symboles!$G$6:$G$101,MOD(44+$C27+(2),$B$3)+1)*K27+INDEX(Symboles!$G$6:$G$101,MOD(44+$C27+(3),$B$3)+1)*L27+INDEX(Symboles!$G$6:$G$101,MOD(44+$C27+(4),$B$3)+1)*M27+IF($B$6=0,0,$B$6*NORMSINV(0.000001+0.999998*RAND())))</f>
        <v/>
      </c>
      <c r="BI27" s="30">
        <f>IF(46&gt;$B$3,99,INDEX(Symboles!$G$6:$G$101,MOD(45+$C27+(-4),$B$3)+1)*E27+INDEX(Symboles!$G$6:$G$101,MOD(45+$C27+(-3),$B$3)+1)*F27+INDEX(Symboles!$G$6:$G$101,MOD(45+$C27+(-2),$B$3)+1)*G27+INDEX(Symboles!$G$6:$G$101,MOD(45+$C27+(-1),$B$3)+1)*H27+INDEX(Symboles!$G$6:$G$101,MOD(45+$C27+(0),$B$3)+1)*I27+INDEX(Symboles!$G$6:$G$101,MOD(45+$C27+(1),$B$3)+1)*J27+INDEX(Symboles!$G$6:$G$101,MOD(45+$C27+(2),$B$3)+1)*K27+INDEX(Symboles!$G$6:$G$101,MOD(45+$C27+(3),$B$3)+1)*L27+INDEX(Symboles!$G$6:$G$101,MOD(45+$C27+(4),$B$3)+1)*M27+IF($B$6=0,0,$B$6*NORMSINV(0.000001+0.999998*RAND())))</f>
        <v/>
      </c>
      <c r="BJ27" s="30">
        <f>IF(47&gt;$B$3,99,INDEX(Symboles!$G$6:$G$101,MOD(46+$C27+(-4),$B$3)+1)*E27+INDEX(Symboles!$G$6:$G$101,MOD(46+$C27+(-3),$B$3)+1)*F27+INDEX(Symboles!$G$6:$G$101,MOD(46+$C27+(-2),$B$3)+1)*G27+INDEX(Symboles!$G$6:$G$101,MOD(46+$C27+(-1),$B$3)+1)*H27+INDEX(Symboles!$G$6:$G$101,MOD(46+$C27+(0),$B$3)+1)*I27+INDEX(Symboles!$G$6:$G$101,MOD(46+$C27+(1),$B$3)+1)*J27+INDEX(Symboles!$G$6:$G$101,MOD(46+$C27+(2),$B$3)+1)*K27+INDEX(Symboles!$G$6:$G$101,MOD(46+$C27+(3),$B$3)+1)*L27+INDEX(Symboles!$G$6:$G$101,MOD(46+$C27+(4),$B$3)+1)*M27+IF($B$6=0,0,$B$6*NORMSINV(0.000001+0.999998*RAND())))</f>
        <v/>
      </c>
      <c r="BK27" s="30">
        <f>IF(48&gt;$B$3,99,INDEX(Symboles!$G$6:$G$101,MOD(47+$C27+(-4),$B$3)+1)*E27+INDEX(Symboles!$G$6:$G$101,MOD(47+$C27+(-3),$B$3)+1)*F27+INDEX(Symboles!$G$6:$G$101,MOD(47+$C27+(-2),$B$3)+1)*G27+INDEX(Symboles!$G$6:$G$101,MOD(47+$C27+(-1),$B$3)+1)*H27+INDEX(Symboles!$G$6:$G$101,MOD(47+$C27+(0),$B$3)+1)*I27+INDEX(Symboles!$G$6:$G$101,MOD(47+$C27+(1),$B$3)+1)*J27+INDEX(Symboles!$G$6:$G$101,MOD(47+$C27+(2),$B$3)+1)*K27+INDEX(Symboles!$G$6:$G$101,MOD(47+$C27+(3),$B$3)+1)*L27+INDEX(Symboles!$G$6:$G$101,MOD(47+$C27+(4),$B$3)+1)*M27+IF($B$6=0,0,$B$6*NORMSINV(0.000001+0.999998*RAND())))</f>
        <v/>
      </c>
      <c r="BL27" s="30">
        <f>IF(49&gt;$B$3,99,INDEX(Symboles!$G$6:$G$101,MOD(48+$C27+(-4),$B$3)+1)*E27+INDEX(Symboles!$G$6:$G$101,MOD(48+$C27+(-3),$B$3)+1)*F27+INDEX(Symboles!$G$6:$G$101,MOD(48+$C27+(-2),$B$3)+1)*G27+INDEX(Symboles!$G$6:$G$101,MOD(48+$C27+(-1),$B$3)+1)*H27+INDEX(Symboles!$G$6:$G$101,MOD(48+$C27+(0),$B$3)+1)*I27+INDEX(Symboles!$G$6:$G$101,MOD(48+$C27+(1),$B$3)+1)*J27+INDEX(Symboles!$G$6:$G$101,MOD(48+$C27+(2),$B$3)+1)*K27+INDEX(Symboles!$G$6:$G$101,MOD(48+$C27+(3),$B$3)+1)*L27+INDEX(Symboles!$G$6:$G$101,MOD(48+$C27+(4),$B$3)+1)*M27+IF($B$6=0,0,$B$6*NORMSINV(0.000001+0.999998*RAND())))</f>
        <v/>
      </c>
      <c r="BM27" s="30">
        <f>IF(50&gt;$B$3,99,INDEX(Symboles!$G$6:$G$101,MOD(49+$C27+(-4),$B$3)+1)*E27+INDEX(Symboles!$G$6:$G$101,MOD(49+$C27+(-3),$B$3)+1)*F27+INDEX(Symboles!$G$6:$G$101,MOD(49+$C27+(-2),$B$3)+1)*G27+INDEX(Symboles!$G$6:$G$101,MOD(49+$C27+(-1),$B$3)+1)*H27+INDEX(Symboles!$G$6:$G$101,MOD(49+$C27+(0),$B$3)+1)*I27+INDEX(Symboles!$G$6:$G$101,MOD(49+$C27+(1),$B$3)+1)*J27+INDEX(Symboles!$G$6:$G$101,MOD(49+$C27+(2),$B$3)+1)*K27+INDEX(Symboles!$G$6:$G$101,MOD(49+$C27+(3),$B$3)+1)*L27+INDEX(Symboles!$G$6:$G$101,MOD(49+$C27+(4),$B$3)+1)*M27+IF($B$6=0,0,$B$6*NORMSINV(0.000001+0.999998*RAND())))</f>
        <v/>
      </c>
      <c r="BN27" s="30">
        <f>IF(51&gt;$B$3,99,INDEX(Symboles!$G$6:$G$101,MOD(50+$C27+(-4),$B$3)+1)*E27+INDEX(Symboles!$G$6:$G$101,MOD(50+$C27+(-3),$B$3)+1)*F27+INDEX(Symboles!$G$6:$G$101,MOD(50+$C27+(-2),$B$3)+1)*G27+INDEX(Symboles!$G$6:$G$101,MOD(50+$C27+(-1),$B$3)+1)*H27+INDEX(Symboles!$G$6:$G$101,MOD(50+$C27+(0),$B$3)+1)*I27+INDEX(Symboles!$G$6:$G$101,MOD(50+$C27+(1),$B$3)+1)*J27+INDEX(Symboles!$G$6:$G$101,MOD(50+$C27+(2),$B$3)+1)*K27+INDEX(Symboles!$G$6:$G$101,MOD(50+$C27+(3),$B$3)+1)*L27+INDEX(Symboles!$G$6:$G$101,MOD(50+$C27+(4),$B$3)+1)*M27+IF($B$6=0,0,$B$6*NORMSINV(0.000001+0.999998*RAND())))</f>
        <v/>
      </c>
      <c r="BO27" s="30">
        <f>IF(52&gt;$B$3,99,INDEX(Symboles!$G$6:$G$101,MOD(51+$C27+(-4),$B$3)+1)*E27+INDEX(Symboles!$G$6:$G$101,MOD(51+$C27+(-3),$B$3)+1)*F27+INDEX(Symboles!$G$6:$G$101,MOD(51+$C27+(-2),$B$3)+1)*G27+INDEX(Symboles!$G$6:$G$101,MOD(51+$C27+(-1),$B$3)+1)*H27+INDEX(Symboles!$G$6:$G$101,MOD(51+$C27+(0),$B$3)+1)*I27+INDEX(Symboles!$G$6:$G$101,MOD(51+$C27+(1),$B$3)+1)*J27+INDEX(Symboles!$G$6:$G$101,MOD(51+$C27+(2),$B$3)+1)*K27+INDEX(Symboles!$G$6:$G$101,MOD(51+$C27+(3),$B$3)+1)*L27+INDEX(Symboles!$G$6:$G$101,MOD(51+$C27+(4),$B$3)+1)*M27+IF($B$6=0,0,$B$6*NORMSINV(0.000001+0.999998*RAND())))</f>
        <v/>
      </c>
      <c r="BP27" s="30">
        <f>IF(53&gt;$B$3,99,INDEX(Symboles!$G$6:$G$101,MOD(52+$C27+(-4),$B$3)+1)*E27+INDEX(Symboles!$G$6:$G$101,MOD(52+$C27+(-3),$B$3)+1)*F27+INDEX(Symboles!$G$6:$G$101,MOD(52+$C27+(-2),$B$3)+1)*G27+INDEX(Symboles!$G$6:$G$101,MOD(52+$C27+(-1),$B$3)+1)*H27+INDEX(Symboles!$G$6:$G$101,MOD(52+$C27+(0),$B$3)+1)*I27+INDEX(Symboles!$G$6:$G$101,MOD(52+$C27+(1),$B$3)+1)*J27+INDEX(Symboles!$G$6:$G$101,MOD(52+$C27+(2),$B$3)+1)*K27+INDEX(Symboles!$G$6:$G$101,MOD(52+$C27+(3),$B$3)+1)*L27+INDEX(Symboles!$G$6:$G$101,MOD(52+$C27+(4),$B$3)+1)*M27+IF($B$6=0,0,$B$6*NORMSINV(0.000001+0.999998*RAND())))</f>
        <v/>
      </c>
      <c r="BQ27" s="30">
        <f>IF(54&gt;$B$3,99,INDEX(Symboles!$G$6:$G$101,MOD(53+$C27+(-4),$B$3)+1)*E27+INDEX(Symboles!$G$6:$G$101,MOD(53+$C27+(-3),$B$3)+1)*F27+INDEX(Symboles!$G$6:$G$101,MOD(53+$C27+(-2),$B$3)+1)*G27+INDEX(Symboles!$G$6:$G$101,MOD(53+$C27+(-1),$B$3)+1)*H27+INDEX(Symboles!$G$6:$G$101,MOD(53+$C27+(0),$B$3)+1)*I27+INDEX(Symboles!$G$6:$G$101,MOD(53+$C27+(1),$B$3)+1)*J27+INDEX(Symboles!$G$6:$G$101,MOD(53+$C27+(2),$B$3)+1)*K27+INDEX(Symboles!$G$6:$G$101,MOD(53+$C27+(3),$B$3)+1)*L27+INDEX(Symboles!$G$6:$G$101,MOD(53+$C27+(4),$B$3)+1)*M27+IF($B$6=0,0,$B$6*NORMSINV(0.000001+0.999998*RAND())))</f>
        <v/>
      </c>
      <c r="BR27" s="30">
        <f>IF(55&gt;$B$3,99,INDEX(Symboles!$G$6:$G$101,MOD(54+$C27+(-4),$B$3)+1)*E27+INDEX(Symboles!$G$6:$G$101,MOD(54+$C27+(-3),$B$3)+1)*F27+INDEX(Symboles!$G$6:$G$101,MOD(54+$C27+(-2),$B$3)+1)*G27+INDEX(Symboles!$G$6:$G$101,MOD(54+$C27+(-1),$B$3)+1)*H27+INDEX(Symboles!$G$6:$G$101,MOD(54+$C27+(0),$B$3)+1)*I27+INDEX(Symboles!$G$6:$G$101,MOD(54+$C27+(1),$B$3)+1)*J27+INDEX(Symboles!$G$6:$G$101,MOD(54+$C27+(2),$B$3)+1)*K27+INDEX(Symboles!$G$6:$G$101,MOD(54+$C27+(3),$B$3)+1)*L27+INDEX(Symboles!$G$6:$G$101,MOD(54+$C27+(4),$B$3)+1)*M27+IF($B$6=0,0,$B$6*NORMSINV(0.000001+0.999998*RAND())))</f>
        <v/>
      </c>
      <c r="BS27" s="30">
        <f>IF(56&gt;$B$3,99,INDEX(Symboles!$G$6:$G$101,MOD(55+$C27+(-4),$B$3)+1)*E27+INDEX(Symboles!$G$6:$G$101,MOD(55+$C27+(-3),$B$3)+1)*F27+INDEX(Symboles!$G$6:$G$101,MOD(55+$C27+(-2),$B$3)+1)*G27+INDEX(Symboles!$G$6:$G$101,MOD(55+$C27+(-1),$B$3)+1)*H27+INDEX(Symboles!$G$6:$G$101,MOD(55+$C27+(0),$B$3)+1)*I27+INDEX(Symboles!$G$6:$G$101,MOD(55+$C27+(1),$B$3)+1)*J27+INDEX(Symboles!$G$6:$G$101,MOD(55+$C27+(2),$B$3)+1)*K27+INDEX(Symboles!$G$6:$G$101,MOD(55+$C27+(3),$B$3)+1)*L27+INDEX(Symboles!$G$6:$G$101,MOD(55+$C27+(4),$B$3)+1)*M27+IF($B$6=0,0,$B$6*NORMSINV(0.000001+0.999998*RAND())))</f>
        <v/>
      </c>
      <c r="BT27" s="30">
        <f>IF(57&gt;$B$3,99,INDEX(Symboles!$G$6:$G$101,MOD(56+$C27+(-4),$B$3)+1)*E27+INDEX(Symboles!$G$6:$G$101,MOD(56+$C27+(-3),$B$3)+1)*F27+INDEX(Symboles!$G$6:$G$101,MOD(56+$C27+(-2),$B$3)+1)*G27+INDEX(Symboles!$G$6:$G$101,MOD(56+$C27+(-1),$B$3)+1)*H27+INDEX(Symboles!$G$6:$G$101,MOD(56+$C27+(0),$B$3)+1)*I27+INDEX(Symboles!$G$6:$G$101,MOD(56+$C27+(1),$B$3)+1)*J27+INDEX(Symboles!$G$6:$G$101,MOD(56+$C27+(2),$B$3)+1)*K27+INDEX(Symboles!$G$6:$G$101,MOD(56+$C27+(3),$B$3)+1)*L27+INDEX(Symboles!$G$6:$G$101,MOD(56+$C27+(4),$B$3)+1)*M27+IF($B$6=0,0,$B$6*NORMSINV(0.000001+0.999998*RAND())))</f>
        <v/>
      </c>
      <c r="BU27" s="30">
        <f>IF(58&gt;$B$3,99,INDEX(Symboles!$G$6:$G$101,MOD(57+$C27+(-4),$B$3)+1)*E27+INDEX(Symboles!$G$6:$G$101,MOD(57+$C27+(-3),$B$3)+1)*F27+INDEX(Symboles!$G$6:$G$101,MOD(57+$C27+(-2),$B$3)+1)*G27+INDEX(Symboles!$G$6:$G$101,MOD(57+$C27+(-1),$B$3)+1)*H27+INDEX(Symboles!$G$6:$G$101,MOD(57+$C27+(0),$B$3)+1)*I27+INDEX(Symboles!$G$6:$G$101,MOD(57+$C27+(1),$B$3)+1)*J27+INDEX(Symboles!$G$6:$G$101,MOD(57+$C27+(2),$B$3)+1)*K27+INDEX(Symboles!$G$6:$G$101,MOD(57+$C27+(3),$B$3)+1)*L27+INDEX(Symboles!$G$6:$G$101,MOD(57+$C27+(4),$B$3)+1)*M27+IF($B$6=0,0,$B$6*NORMSINV(0.000001+0.999998*RAND())))</f>
        <v/>
      </c>
      <c r="BV27" s="30">
        <f>IF(59&gt;$B$3,99,INDEX(Symboles!$G$6:$G$101,MOD(58+$C27+(-4),$B$3)+1)*E27+INDEX(Symboles!$G$6:$G$101,MOD(58+$C27+(-3),$B$3)+1)*F27+INDEX(Symboles!$G$6:$G$101,MOD(58+$C27+(-2),$B$3)+1)*G27+INDEX(Symboles!$G$6:$G$101,MOD(58+$C27+(-1),$B$3)+1)*H27+INDEX(Symboles!$G$6:$G$101,MOD(58+$C27+(0),$B$3)+1)*I27+INDEX(Symboles!$G$6:$G$101,MOD(58+$C27+(1),$B$3)+1)*J27+INDEX(Symboles!$G$6:$G$101,MOD(58+$C27+(2),$B$3)+1)*K27+INDEX(Symboles!$G$6:$G$101,MOD(58+$C27+(3),$B$3)+1)*L27+INDEX(Symboles!$G$6:$G$101,MOD(58+$C27+(4),$B$3)+1)*M27+IF($B$6=0,0,$B$6*NORMSINV(0.000001+0.999998*RAND())))</f>
        <v/>
      </c>
      <c r="BW27" s="30">
        <f>IF(60&gt;$B$3,99,INDEX(Symboles!$G$6:$G$101,MOD(59+$C27+(-4),$B$3)+1)*E27+INDEX(Symboles!$G$6:$G$101,MOD(59+$C27+(-3),$B$3)+1)*F27+INDEX(Symboles!$G$6:$G$101,MOD(59+$C27+(-2),$B$3)+1)*G27+INDEX(Symboles!$G$6:$G$101,MOD(59+$C27+(-1),$B$3)+1)*H27+INDEX(Symboles!$G$6:$G$101,MOD(59+$C27+(0),$B$3)+1)*I27+INDEX(Symboles!$G$6:$G$101,MOD(59+$C27+(1),$B$3)+1)*J27+INDEX(Symboles!$G$6:$G$101,MOD(59+$C27+(2),$B$3)+1)*K27+INDEX(Symboles!$G$6:$G$101,MOD(59+$C27+(3),$B$3)+1)*L27+INDEX(Symboles!$G$6:$G$101,MOD(59+$C27+(4),$B$3)+1)*M27+IF($B$6=0,0,$B$6*NORMSINV(0.000001+0.999998*RAND())))</f>
        <v/>
      </c>
      <c r="BX27" s="30">
        <f>IF(61&gt;$B$3,99,INDEX(Symboles!$G$6:$G$101,MOD(60+$C27+(-4),$B$3)+1)*E27+INDEX(Symboles!$G$6:$G$101,MOD(60+$C27+(-3),$B$3)+1)*F27+INDEX(Symboles!$G$6:$G$101,MOD(60+$C27+(-2),$B$3)+1)*G27+INDEX(Symboles!$G$6:$G$101,MOD(60+$C27+(-1),$B$3)+1)*H27+INDEX(Symboles!$G$6:$G$101,MOD(60+$C27+(0),$B$3)+1)*I27+INDEX(Symboles!$G$6:$G$101,MOD(60+$C27+(1),$B$3)+1)*J27+INDEX(Symboles!$G$6:$G$101,MOD(60+$C27+(2),$B$3)+1)*K27+INDEX(Symboles!$G$6:$G$101,MOD(60+$C27+(3),$B$3)+1)*L27+INDEX(Symboles!$G$6:$G$101,MOD(60+$C27+(4),$B$3)+1)*M27+IF($B$6=0,0,$B$6*NORMSINV(0.000001+0.999998*RAND())))</f>
        <v/>
      </c>
      <c r="BY27" s="30">
        <f>IF(62&gt;$B$3,99,INDEX(Symboles!$G$6:$G$101,MOD(61+$C27+(-4),$B$3)+1)*E27+INDEX(Symboles!$G$6:$G$101,MOD(61+$C27+(-3),$B$3)+1)*F27+INDEX(Symboles!$G$6:$G$101,MOD(61+$C27+(-2),$B$3)+1)*G27+INDEX(Symboles!$G$6:$G$101,MOD(61+$C27+(-1),$B$3)+1)*H27+INDEX(Symboles!$G$6:$G$101,MOD(61+$C27+(0),$B$3)+1)*I27+INDEX(Symboles!$G$6:$G$101,MOD(61+$C27+(1),$B$3)+1)*J27+INDEX(Symboles!$G$6:$G$101,MOD(61+$C27+(2),$B$3)+1)*K27+INDEX(Symboles!$G$6:$G$101,MOD(61+$C27+(3),$B$3)+1)*L27+INDEX(Symboles!$G$6:$G$101,MOD(61+$C27+(4),$B$3)+1)*M27+IF($B$6=0,0,$B$6*NORMSINV(0.000001+0.999998*RAND())))</f>
        <v/>
      </c>
      <c r="BZ27" s="30">
        <f>IF(63&gt;$B$3,99,INDEX(Symboles!$G$6:$G$101,MOD(62+$C27+(-4),$B$3)+1)*E27+INDEX(Symboles!$G$6:$G$101,MOD(62+$C27+(-3),$B$3)+1)*F27+INDEX(Symboles!$G$6:$G$101,MOD(62+$C27+(-2),$B$3)+1)*G27+INDEX(Symboles!$G$6:$G$101,MOD(62+$C27+(-1),$B$3)+1)*H27+INDEX(Symboles!$G$6:$G$101,MOD(62+$C27+(0),$B$3)+1)*I27+INDEX(Symboles!$G$6:$G$101,MOD(62+$C27+(1),$B$3)+1)*J27+INDEX(Symboles!$G$6:$G$101,MOD(62+$C27+(2),$B$3)+1)*K27+INDEX(Symboles!$G$6:$G$101,MOD(62+$C27+(3),$B$3)+1)*L27+INDEX(Symboles!$G$6:$G$101,MOD(62+$C27+(4),$B$3)+1)*M27+IF($B$6=0,0,$B$6*NORMSINV(0.000001+0.999998*RAND())))</f>
        <v/>
      </c>
      <c r="CA27" s="30">
        <f>IF(64&gt;$B$3,99,INDEX(Symboles!$G$6:$G$101,MOD(63+$C27+(-4),$B$3)+1)*E27+INDEX(Symboles!$G$6:$G$101,MOD(63+$C27+(-3),$B$3)+1)*F27+INDEX(Symboles!$G$6:$G$101,MOD(63+$C27+(-2),$B$3)+1)*G27+INDEX(Symboles!$G$6:$G$101,MOD(63+$C27+(-1),$B$3)+1)*H27+INDEX(Symboles!$G$6:$G$101,MOD(63+$C27+(0),$B$3)+1)*I27+INDEX(Symboles!$G$6:$G$101,MOD(63+$C27+(1),$B$3)+1)*J27+INDEX(Symboles!$G$6:$G$101,MOD(63+$C27+(2),$B$3)+1)*K27+INDEX(Symboles!$G$6:$G$101,MOD(63+$C27+(3),$B$3)+1)*L27+INDEX(Symboles!$G$6:$G$101,MOD(63+$C27+(4),$B$3)+1)*M27+IF($B$6=0,0,$B$6*NORMSINV(0.000001+0.999998*RAND())))</f>
        <v/>
      </c>
      <c r="CB27" s="30">
        <f>IF(65&gt;$B$3,99,INDEX(Symboles!$G$6:$G$101,MOD(64+$C27+(-4),$B$3)+1)*E27+INDEX(Symboles!$G$6:$G$101,MOD(64+$C27+(-3),$B$3)+1)*F27+INDEX(Symboles!$G$6:$G$101,MOD(64+$C27+(-2),$B$3)+1)*G27+INDEX(Symboles!$G$6:$G$101,MOD(64+$C27+(-1),$B$3)+1)*H27+INDEX(Symboles!$G$6:$G$101,MOD(64+$C27+(0),$B$3)+1)*I27+INDEX(Symboles!$G$6:$G$101,MOD(64+$C27+(1),$B$3)+1)*J27+INDEX(Symboles!$G$6:$G$101,MOD(64+$C27+(2),$B$3)+1)*K27+INDEX(Symboles!$G$6:$G$101,MOD(64+$C27+(3),$B$3)+1)*L27+INDEX(Symboles!$G$6:$G$101,MOD(64+$C27+(4),$B$3)+1)*M27+IF($B$6=0,0,$B$6*NORMSINV(0.000001+0.999998*RAND())))</f>
        <v/>
      </c>
      <c r="CC27" s="30">
        <f>IF(66&gt;$B$3,99,INDEX(Symboles!$G$6:$G$101,MOD(65+$C27+(-4),$B$3)+1)*E27+INDEX(Symboles!$G$6:$G$101,MOD(65+$C27+(-3),$B$3)+1)*F27+INDEX(Symboles!$G$6:$G$101,MOD(65+$C27+(-2),$B$3)+1)*G27+INDEX(Symboles!$G$6:$G$101,MOD(65+$C27+(-1),$B$3)+1)*H27+INDEX(Symboles!$G$6:$G$101,MOD(65+$C27+(0),$B$3)+1)*I27+INDEX(Symboles!$G$6:$G$101,MOD(65+$C27+(1),$B$3)+1)*J27+INDEX(Symboles!$G$6:$G$101,MOD(65+$C27+(2),$B$3)+1)*K27+INDEX(Symboles!$G$6:$G$101,MOD(65+$C27+(3),$B$3)+1)*L27+INDEX(Symboles!$G$6:$G$101,MOD(65+$C27+(4),$B$3)+1)*M27+IF($B$6=0,0,$B$6*NORMSINV(0.000001+0.999998*RAND())))</f>
        <v/>
      </c>
      <c r="CD27" s="30">
        <f>IF(67&gt;$B$3,99,INDEX(Symboles!$G$6:$G$101,MOD(66+$C27+(-4),$B$3)+1)*E27+INDEX(Symboles!$G$6:$G$101,MOD(66+$C27+(-3),$B$3)+1)*F27+INDEX(Symboles!$G$6:$G$101,MOD(66+$C27+(-2),$B$3)+1)*G27+INDEX(Symboles!$G$6:$G$101,MOD(66+$C27+(-1),$B$3)+1)*H27+INDEX(Symboles!$G$6:$G$101,MOD(66+$C27+(0),$B$3)+1)*I27+INDEX(Symboles!$G$6:$G$101,MOD(66+$C27+(1),$B$3)+1)*J27+INDEX(Symboles!$G$6:$G$101,MOD(66+$C27+(2),$B$3)+1)*K27+INDEX(Symboles!$G$6:$G$101,MOD(66+$C27+(3),$B$3)+1)*L27+INDEX(Symboles!$G$6:$G$101,MOD(66+$C27+(4),$B$3)+1)*M27+IF($B$6=0,0,$B$6*NORMSINV(0.000001+0.999998*RAND())))</f>
        <v/>
      </c>
      <c r="CE27" s="30">
        <f>IF(68&gt;$B$3,99,INDEX(Symboles!$G$6:$G$101,MOD(67+$C27+(-4),$B$3)+1)*E27+INDEX(Symboles!$G$6:$G$101,MOD(67+$C27+(-3),$B$3)+1)*F27+INDEX(Symboles!$G$6:$G$101,MOD(67+$C27+(-2),$B$3)+1)*G27+INDEX(Symboles!$G$6:$G$101,MOD(67+$C27+(-1),$B$3)+1)*H27+INDEX(Symboles!$G$6:$G$101,MOD(67+$C27+(0),$B$3)+1)*I27+INDEX(Symboles!$G$6:$G$101,MOD(67+$C27+(1),$B$3)+1)*J27+INDEX(Symboles!$G$6:$G$101,MOD(67+$C27+(2),$B$3)+1)*K27+INDEX(Symboles!$G$6:$G$101,MOD(67+$C27+(3),$B$3)+1)*L27+INDEX(Symboles!$G$6:$G$101,MOD(67+$C27+(4),$B$3)+1)*M27+IF($B$6=0,0,$B$6*NORMSINV(0.000001+0.999998*RAND())))</f>
        <v/>
      </c>
      <c r="CF27" s="30">
        <f>IF(69&gt;$B$3,99,INDEX(Symboles!$G$6:$G$101,MOD(68+$C27+(-4),$B$3)+1)*E27+INDEX(Symboles!$G$6:$G$101,MOD(68+$C27+(-3),$B$3)+1)*F27+INDEX(Symboles!$G$6:$G$101,MOD(68+$C27+(-2),$B$3)+1)*G27+INDEX(Symboles!$G$6:$G$101,MOD(68+$C27+(-1),$B$3)+1)*H27+INDEX(Symboles!$G$6:$G$101,MOD(68+$C27+(0),$B$3)+1)*I27+INDEX(Symboles!$G$6:$G$101,MOD(68+$C27+(1),$B$3)+1)*J27+INDEX(Symboles!$G$6:$G$101,MOD(68+$C27+(2),$B$3)+1)*K27+INDEX(Symboles!$G$6:$G$101,MOD(68+$C27+(3),$B$3)+1)*L27+INDEX(Symboles!$G$6:$G$101,MOD(68+$C27+(4),$B$3)+1)*M27+IF($B$6=0,0,$B$6*NORMSINV(0.000001+0.999998*RAND())))</f>
        <v/>
      </c>
      <c r="CG27" s="30">
        <f>IF(70&gt;$B$3,99,INDEX(Symboles!$G$6:$G$101,MOD(69+$C27+(-4),$B$3)+1)*E27+INDEX(Symboles!$G$6:$G$101,MOD(69+$C27+(-3),$B$3)+1)*F27+INDEX(Symboles!$G$6:$G$101,MOD(69+$C27+(-2),$B$3)+1)*G27+INDEX(Symboles!$G$6:$G$101,MOD(69+$C27+(-1),$B$3)+1)*H27+INDEX(Symboles!$G$6:$G$101,MOD(69+$C27+(0),$B$3)+1)*I27+INDEX(Symboles!$G$6:$G$101,MOD(69+$C27+(1),$B$3)+1)*J27+INDEX(Symboles!$G$6:$G$101,MOD(69+$C27+(2),$B$3)+1)*K27+INDEX(Symboles!$G$6:$G$101,MOD(69+$C27+(3),$B$3)+1)*L27+INDEX(Symboles!$G$6:$G$101,MOD(69+$C27+(4),$B$3)+1)*M27+IF($B$6=0,0,$B$6*NORMSINV(0.000001+0.999998*RAND())))</f>
        <v/>
      </c>
      <c r="CH27" s="30">
        <f>IF(71&gt;$B$3,99,INDEX(Symboles!$G$6:$G$101,MOD(70+$C27+(-4),$B$3)+1)*E27+INDEX(Symboles!$G$6:$G$101,MOD(70+$C27+(-3),$B$3)+1)*F27+INDEX(Symboles!$G$6:$G$101,MOD(70+$C27+(-2),$B$3)+1)*G27+INDEX(Symboles!$G$6:$G$101,MOD(70+$C27+(-1),$B$3)+1)*H27+INDEX(Symboles!$G$6:$G$101,MOD(70+$C27+(0),$B$3)+1)*I27+INDEX(Symboles!$G$6:$G$101,MOD(70+$C27+(1),$B$3)+1)*J27+INDEX(Symboles!$G$6:$G$101,MOD(70+$C27+(2),$B$3)+1)*K27+INDEX(Symboles!$G$6:$G$101,MOD(70+$C27+(3),$B$3)+1)*L27+INDEX(Symboles!$G$6:$G$101,MOD(70+$C27+(4),$B$3)+1)*M27+IF($B$6=0,0,$B$6*NORMSINV(0.000001+0.999998*RAND())))</f>
        <v/>
      </c>
      <c r="CI27" s="30">
        <f>IF(72&gt;$B$3,99,INDEX(Symboles!$G$6:$G$101,MOD(71+$C27+(-4),$B$3)+1)*E27+INDEX(Symboles!$G$6:$G$101,MOD(71+$C27+(-3),$B$3)+1)*F27+INDEX(Symboles!$G$6:$G$101,MOD(71+$C27+(-2),$B$3)+1)*G27+INDEX(Symboles!$G$6:$G$101,MOD(71+$C27+(-1),$B$3)+1)*H27+INDEX(Symboles!$G$6:$G$101,MOD(71+$C27+(0),$B$3)+1)*I27+INDEX(Symboles!$G$6:$G$101,MOD(71+$C27+(1),$B$3)+1)*J27+INDEX(Symboles!$G$6:$G$101,MOD(71+$C27+(2),$B$3)+1)*K27+INDEX(Symboles!$G$6:$G$101,MOD(71+$C27+(3),$B$3)+1)*L27+INDEX(Symboles!$G$6:$G$101,MOD(71+$C27+(4),$B$3)+1)*M27+IF($B$6=0,0,$B$6*NORMSINV(0.000001+0.999998*RAND())))</f>
        <v/>
      </c>
      <c r="CJ27" s="30">
        <f>IF(73&gt;$B$3,99,INDEX(Symboles!$G$6:$G$101,MOD(72+$C27+(-4),$B$3)+1)*E27+INDEX(Symboles!$G$6:$G$101,MOD(72+$C27+(-3),$B$3)+1)*F27+INDEX(Symboles!$G$6:$G$101,MOD(72+$C27+(-2),$B$3)+1)*G27+INDEX(Symboles!$G$6:$G$101,MOD(72+$C27+(-1),$B$3)+1)*H27+INDEX(Symboles!$G$6:$G$101,MOD(72+$C27+(0),$B$3)+1)*I27+INDEX(Symboles!$G$6:$G$101,MOD(72+$C27+(1),$B$3)+1)*J27+INDEX(Symboles!$G$6:$G$101,MOD(72+$C27+(2),$B$3)+1)*K27+INDEX(Symboles!$G$6:$G$101,MOD(72+$C27+(3),$B$3)+1)*L27+INDEX(Symboles!$G$6:$G$101,MOD(72+$C27+(4),$B$3)+1)*M27+IF($B$6=0,0,$B$6*NORMSINV(0.000001+0.999998*RAND())))</f>
        <v/>
      </c>
      <c r="CK27" s="30">
        <f>IF(74&gt;$B$3,99,INDEX(Symboles!$G$6:$G$101,MOD(73+$C27+(-4),$B$3)+1)*E27+INDEX(Symboles!$G$6:$G$101,MOD(73+$C27+(-3),$B$3)+1)*F27+INDEX(Symboles!$G$6:$G$101,MOD(73+$C27+(-2),$B$3)+1)*G27+INDEX(Symboles!$G$6:$G$101,MOD(73+$C27+(-1),$B$3)+1)*H27+INDEX(Symboles!$G$6:$G$101,MOD(73+$C27+(0),$B$3)+1)*I27+INDEX(Symboles!$G$6:$G$101,MOD(73+$C27+(1),$B$3)+1)*J27+INDEX(Symboles!$G$6:$G$101,MOD(73+$C27+(2),$B$3)+1)*K27+INDEX(Symboles!$G$6:$G$101,MOD(73+$C27+(3),$B$3)+1)*L27+INDEX(Symboles!$G$6:$G$101,MOD(73+$C27+(4),$B$3)+1)*M27+IF($B$6=0,0,$B$6*NORMSINV(0.000001+0.999998*RAND())))</f>
        <v/>
      </c>
      <c r="CL27" s="30">
        <f>IF(75&gt;$B$3,99,INDEX(Symboles!$G$6:$G$101,MOD(74+$C27+(-4),$B$3)+1)*E27+INDEX(Symboles!$G$6:$G$101,MOD(74+$C27+(-3),$B$3)+1)*F27+INDEX(Symboles!$G$6:$G$101,MOD(74+$C27+(-2),$B$3)+1)*G27+INDEX(Symboles!$G$6:$G$101,MOD(74+$C27+(-1),$B$3)+1)*H27+INDEX(Symboles!$G$6:$G$101,MOD(74+$C27+(0),$B$3)+1)*I27+INDEX(Symboles!$G$6:$G$101,MOD(74+$C27+(1),$B$3)+1)*J27+INDEX(Symboles!$G$6:$G$101,MOD(74+$C27+(2),$B$3)+1)*K27+INDEX(Symboles!$G$6:$G$101,MOD(74+$C27+(3),$B$3)+1)*L27+INDEX(Symboles!$G$6:$G$101,MOD(74+$C27+(4),$B$3)+1)*M27+IF($B$6=0,0,$B$6*NORMSINV(0.000001+0.999998*RAND())))</f>
        <v/>
      </c>
      <c r="CM27" s="30">
        <f>IF(76&gt;$B$3,99,INDEX(Symboles!$G$6:$G$101,MOD(75+$C27+(-4),$B$3)+1)*E27+INDEX(Symboles!$G$6:$G$101,MOD(75+$C27+(-3),$B$3)+1)*F27+INDEX(Symboles!$G$6:$G$101,MOD(75+$C27+(-2),$B$3)+1)*G27+INDEX(Symboles!$G$6:$G$101,MOD(75+$C27+(-1),$B$3)+1)*H27+INDEX(Symboles!$G$6:$G$101,MOD(75+$C27+(0),$B$3)+1)*I27+INDEX(Symboles!$G$6:$G$101,MOD(75+$C27+(1),$B$3)+1)*J27+INDEX(Symboles!$G$6:$G$101,MOD(75+$C27+(2),$B$3)+1)*K27+INDEX(Symboles!$G$6:$G$101,MOD(75+$C27+(3),$B$3)+1)*L27+INDEX(Symboles!$G$6:$G$101,MOD(75+$C27+(4),$B$3)+1)*M27+IF($B$6=0,0,$B$6*NORMSINV(0.000001+0.999998*RAND())))</f>
        <v/>
      </c>
      <c r="CN27" s="30">
        <f>IF(77&gt;$B$3,99,INDEX(Symboles!$G$6:$G$101,MOD(76+$C27+(-4),$B$3)+1)*E27+INDEX(Symboles!$G$6:$G$101,MOD(76+$C27+(-3),$B$3)+1)*F27+INDEX(Symboles!$G$6:$G$101,MOD(76+$C27+(-2),$B$3)+1)*G27+INDEX(Symboles!$G$6:$G$101,MOD(76+$C27+(-1),$B$3)+1)*H27+INDEX(Symboles!$G$6:$G$101,MOD(76+$C27+(0),$B$3)+1)*I27+INDEX(Symboles!$G$6:$G$101,MOD(76+$C27+(1),$B$3)+1)*J27+INDEX(Symboles!$G$6:$G$101,MOD(76+$C27+(2),$B$3)+1)*K27+INDEX(Symboles!$G$6:$G$101,MOD(76+$C27+(3),$B$3)+1)*L27+INDEX(Symboles!$G$6:$G$101,MOD(76+$C27+(4),$B$3)+1)*M27+IF($B$6=0,0,$B$6*NORMSINV(0.000001+0.999998*RAND())))</f>
        <v/>
      </c>
      <c r="CO27" s="30">
        <f>IF(78&gt;$B$3,99,INDEX(Symboles!$G$6:$G$101,MOD(77+$C27+(-4),$B$3)+1)*E27+INDEX(Symboles!$G$6:$G$101,MOD(77+$C27+(-3),$B$3)+1)*F27+INDEX(Symboles!$G$6:$G$101,MOD(77+$C27+(-2),$B$3)+1)*G27+INDEX(Symboles!$G$6:$G$101,MOD(77+$C27+(-1),$B$3)+1)*H27+INDEX(Symboles!$G$6:$G$101,MOD(77+$C27+(0),$B$3)+1)*I27+INDEX(Symboles!$G$6:$G$101,MOD(77+$C27+(1),$B$3)+1)*J27+INDEX(Symboles!$G$6:$G$101,MOD(77+$C27+(2),$B$3)+1)*K27+INDEX(Symboles!$G$6:$G$101,MOD(77+$C27+(3),$B$3)+1)*L27+INDEX(Symboles!$G$6:$G$101,MOD(77+$C27+(4),$B$3)+1)*M27+IF($B$6=0,0,$B$6*NORMSINV(0.000001+0.999998*RAND())))</f>
        <v/>
      </c>
      <c r="CP27" s="30">
        <f>IF(79&gt;$B$3,99,INDEX(Symboles!$G$6:$G$101,MOD(78+$C27+(-4),$B$3)+1)*E27+INDEX(Symboles!$G$6:$G$101,MOD(78+$C27+(-3),$B$3)+1)*F27+INDEX(Symboles!$G$6:$G$101,MOD(78+$C27+(-2),$B$3)+1)*G27+INDEX(Symboles!$G$6:$G$101,MOD(78+$C27+(-1),$B$3)+1)*H27+INDEX(Symboles!$G$6:$G$101,MOD(78+$C27+(0),$B$3)+1)*I27+INDEX(Symboles!$G$6:$G$101,MOD(78+$C27+(1),$B$3)+1)*J27+INDEX(Symboles!$G$6:$G$101,MOD(78+$C27+(2),$B$3)+1)*K27+INDEX(Symboles!$G$6:$G$101,MOD(78+$C27+(3),$B$3)+1)*L27+INDEX(Symboles!$G$6:$G$101,MOD(78+$C27+(4),$B$3)+1)*M27+IF($B$6=0,0,$B$6*NORMSINV(0.000001+0.999998*RAND())))</f>
        <v/>
      </c>
      <c r="CQ27" s="30">
        <f>IF(80&gt;$B$3,99,INDEX(Symboles!$G$6:$G$101,MOD(79+$C27+(-4),$B$3)+1)*E27+INDEX(Symboles!$G$6:$G$101,MOD(79+$C27+(-3),$B$3)+1)*F27+INDEX(Symboles!$G$6:$G$101,MOD(79+$C27+(-2),$B$3)+1)*G27+INDEX(Symboles!$G$6:$G$101,MOD(79+$C27+(-1),$B$3)+1)*H27+INDEX(Symboles!$G$6:$G$101,MOD(79+$C27+(0),$B$3)+1)*I27+INDEX(Symboles!$G$6:$G$101,MOD(79+$C27+(1),$B$3)+1)*J27+INDEX(Symboles!$G$6:$G$101,MOD(79+$C27+(2),$B$3)+1)*K27+INDEX(Symboles!$G$6:$G$101,MOD(79+$C27+(3),$B$3)+1)*L27+INDEX(Symboles!$G$6:$G$101,MOD(79+$C27+(4),$B$3)+1)*M27+IF($B$6=0,0,$B$6*NORMSINV(0.000001+0.999998*RAND())))</f>
        <v/>
      </c>
      <c r="CR27" s="30">
        <f>IF(81&gt;$B$3,99,INDEX(Symboles!$G$6:$G$101,MOD(80+$C27+(-4),$B$3)+1)*E27+INDEX(Symboles!$G$6:$G$101,MOD(80+$C27+(-3),$B$3)+1)*F27+INDEX(Symboles!$G$6:$G$101,MOD(80+$C27+(-2),$B$3)+1)*G27+INDEX(Symboles!$G$6:$G$101,MOD(80+$C27+(-1),$B$3)+1)*H27+INDEX(Symboles!$G$6:$G$101,MOD(80+$C27+(0),$B$3)+1)*I27+INDEX(Symboles!$G$6:$G$101,MOD(80+$C27+(1),$B$3)+1)*J27+INDEX(Symboles!$G$6:$G$101,MOD(80+$C27+(2),$B$3)+1)*K27+INDEX(Symboles!$G$6:$G$101,MOD(80+$C27+(3),$B$3)+1)*L27+INDEX(Symboles!$G$6:$G$101,MOD(80+$C27+(4),$B$3)+1)*M27+IF($B$6=0,0,$B$6*NORMSINV(0.000001+0.999998*RAND())))</f>
        <v/>
      </c>
      <c r="CS27" s="30">
        <f>IF(82&gt;$B$3,99,INDEX(Symboles!$G$6:$G$101,MOD(81+$C27+(-4),$B$3)+1)*E27+INDEX(Symboles!$G$6:$G$101,MOD(81+$C27+(-3),$B$3)+1)*F27+INDEX(Symboles!$G$6:$G$101,MOD(81+$C27+(-2),$B$3)+1)*G27+INDEX(Symboles!$G$6:$G$101,MOD(81+$C27+(-1),$B$3)+1)*H27+INDEX(Symboles!$G$6:$G$101,MOD(81+$C27+(0),$B$3)+1)*I27+INDEX(Symboles!$G$6:$G$101,MOD(81+$C27+(1),$B$3)+1)*J27+INDEX(Symboles!$G$6:$G$101,MOD(81+$C27+(2),$B$3)+1)*K27+INDEX(Symboles!$G$6:$G$101,MOD(81+$C27+(3),$B$3)+1)*L27+INDEX(Symboles!$G$6:$G$101,MOD(81+$C27+(4),$B$3)+1)*M27+IF($B$6=0,0,$B$6*NORMSINV(0.000001+0.999998*RAND())))</f>
        <v/>
      </c>
      <c r="CT27" s="30">
        <f>IF(83&gt;$B$3,99,INDEX(Symboles!$G$6:$G$101,MOD(82+$C27+(-4),$B$3)+1)*E27+INDEX(Symboles!$G$6:$G$101,MOD(82+$C27+(-3),$B$3)+1)*F27+INDEX(Symboles!$G$6:$G$101,MOD(82+$C27+(-2),$B$3)+1)*G27+INDEX(Symboles!$G$6:$G$101,MOD(82+$C27+(-1),$B$3)+1)*H27+INDEX(Symboles!$G$6:$G$101,MOD(82+$C27+(0),$B$3)+1)*I27+INDEX(Symboles!$G$6:$G$101,MOD(82+$C27+(1),$B$3)+1)*J27+INDEX(Symboles!$G$6:$G$101,MOD(82+$C27+(2),$B$3)+1)*K27+INDEX(Symboles!$G$6:$G$101,MOD(82+$C27+(3),$B$3)+1)*L27+INDEX(Symboles!$G$6:$G$101,MOD(82+$C27+(4),$B$3)+1)*M27+IF($B$6=0,0,$B$6*NORMSINV(0.000001+0.999998*RAND())))</f>
        <v/>
      </c>
      <c r="CU27" s="30">
        <f>IF(84&gt;$B$3,99,INDEX(Symboles!$G$6:$G$101,MOD(83+$C27+(-4),$B$3)+1)*E27+INDEX(Symboles!$G$6:$G$101,MOD(83+$C27+(-3),$B$3)+1)*F27+INDEX(Symboles!$G$6:$G$101,MOD(83+$C27+(-2),$B$3)+1)*G27+INDEX(Symboles!$G$6:$G$101,MOD(83+$C27+(-1),$B$3)+1)*H27+INDEX(Symboles!$G$6:$G$101,MOD(83+$C27+(0),$B$3)+1)*I27+INDEX(Symboles!$G$6:$G$101,MOD(83+$C27+(1),$B$3)+1)*J27+INDEX(Symboles!$G$6:$G$101,MOD(83+$C27+(2),$B$3)+1)*K27+INDEX(Symboles!$G$6:$G$101,MOD(83+$C27+(3),$B$3)+1)*L27+INDEX(Symboles!$G$6:$G$101,MOD(83+$C27+(4),$B$3)+1)*M27+IF($B$6=0,0,$B$6*NORMSINV(0.000001+0.999998*RAND())))</f>
        <v/>
      </c>
      <c r="CV27" s="30">
        <f>IF(85&gt;$B$3,99,INDEX(Symboles!$G$6:$G$101,MOD(84+$C27+(-4),$B$3)+1)*E27+INDEX(Symboles!$G$6:$G$101,MOD(84+$C27+(-3),$B$3)+1)*F27+INDEX(Symboles!$G$6:$G$101,MOD(84+$C27+(-2),$B$3)+1)*G27+INDEX(Symboles!$G$6:$G$101,MOD(84+$C27+(-1),$B$3)+1)*H27+INDEX(Symboles!$G$6:$G$101,MOD(84+$C27+(0),$B$3)+1)*I27+INDEX(Symboles!$G$6:$G$101,MOD(84+$C27+(1),$B$3)+1)*J27+INDEX(Symboles!$G$6:$G$101,MOD(84+$C27+(2),$B$3)+1)*K27+INDEX(Symboles!$G$6:$G$101,MOD(84+$C27+(3),$B$3)+1)*L27+INDEX(Symboles!$G$6:$G$101,MOD(84+$C27+(4),$B$3)+1)*M27+IF($B$6=0,0,$B$6*NORMSINV(0.000001+0.999998*RAND())))</f>
        <v/>
      </c>
      <c r="CW27" s="30">
        <f>IF(86&gt;$B$3,99,INDEX(Symboles!$G$6:$G$101,MOD(85+$C27+(-4),$B$3)+1)*E27+INDEX(Symboles!$G$6:$G$101,MOD(85+$C27+(-3),$B$3)+1)*F27+INDEX(Symboles!$G$6:$G$101,MOD(85+$C27+(-2),$B$3)+1)*G27+INDEX(Symboles!$G$6:$G$101,MOD(85+$C27+(-1),$B$3)+1)*H27+INDEX(Symboles!$G$6:$G$101,MOD(85+$C27+(0),$B$3)+1)*I27+INDEX(Symboles!$G$6:$G$101,MOD(85+$C27+(1),$B$3)+1)*J27+INDEX(Symboles!$G$6:$G$101,MOD(85+$C27+(2),$B$3)+1)*K27+INDEX(Symboles!$G$6:$G$101,MOD(85+$C27+(3),$B$3)+1)*L27+INDEX(Symboles!$G$6:$G$101,MOD(85+$C27+(4),$B$3)+1)*M27+IF($B$6=0,0,$B$6*NORMSINV(0.000001+0.999998*RAND())))</f>
        <v/>
      </c>
      <c r="CX27" s="30">
        <f>IF(87&gt;$B$3,99,INDEX(Symboles!$G$6:$G$101,MOD(86+$C27+(-4),$B$3)+1)*E27+INDEX(Symboles!$G$6:$G$101,MOD(86+$C27+(-3),$B$3)+1)*F27+INDEX(Symboles!$G$6:$G$101,MOD(86+$C27+(-2),$B$3)+1)*G27+INDEX(Symboles!$G$6:$G$101,MOD(86+$C27+(-1),$B$3)+1)*H27+INDEX(Symboles!$G$6:$G$101,MOD(86+$C27+(0),$B$3)+1)*I27+INDEX(Symboles!$G$6:$G$101,MOD(86+$C27+(1),$B$3)+1)*J27+INDEX(Symboles!$G$6:$G$101,MOD(86+$C27+(2),$B$3)+1)*K27+INDEX(Symboles!$G$6:$G$101,MOD(86+$C27+(3),$B$3)+1)*L27+INDEX(Symboles!$G$6:$G$101,MOD(86+$C27+(4),$B$3)+1)*M27+IF($B$6=0,0,$B$6*NORMSINV(0.000001+0.999998*RAND())))</f>
        <v/>
      </c>
      <c r="CY27" s="30">
        <f>IF(88&gt;$B$3,99,INDEX(Symboles!$G$6:$G$101,MOD(87+$C27+(-4),$B$3)+1)*E27+INDEX(Symboles!$G$6:$G$101,MOD(87+$C27+(-3),$B$3)+1)*F27+INDEX(Symboles!$G$6:$G$101,MOD(87+$C27+(-2),$B$3)+1)*G27+INDEX(Symboles!$G$6:$G$101,MOD(87+$C27+(-1),$B$3)+1)*H27+INDEX(Symboles!$G$6:$G$101,MOD(87+$C27+(0),$B$3)+1)*I27+INDEX(Symboles!$G$6:$G$101,MOD(87+$C27+(1),$B$3)+1)*J27+INDEX(Symboles!$G$6:$G$101,MOD(87+$C27+(2),$B$3)+1)*K27+INDEX(Symboles!$G$6:$G$101,MOD(87+$C27+(3),$B$3)+1)*L27+INDEX(Symboles!$G$6:$G$101,MOD(87+$C27+(4),$B$3)+1)*M27+IF($B$6=0,0,$B$6*NORMSINV(0.000001+0.999998*RAND())))</f>
        <v/>
      </c>
      <c r="CZ27" s="30">
        <f>IF(89&gt;$B$3,99,INDEX(Symboles!$G$6:$G$101,MOD(88+$C27+(-4),$B$3)+1)*E27+INDEX(Symboles!$G$6:$G$101,MOD(88+$C27+(-3),$B$3)+1)*F27+INDEX(Symboles!$G$6:$G$101,MOD(88+$C27+(-2),$B$3)+1)*G27+INDEX(Symboles!$G$6:$G$101,MOD(88+$C27+(-1),$B$3)+1)*H27+INDEX(Symboles!$G$6:$G$101,MOD(88+$C27+(0),$B$3)+1)*I27+INDEX(Symboles!$G$6:$G$101,MOD(88+$C27+(1),$B$3)+1)*J27+INDEX(Symboles!$G$6:$G$101,MOD(88+$C27+(2),$B$3)+1)*K27+INDEX(Symboles!$G$6:$G$101,MOD(88+$C27+(3),$B$3)+1)*L27+INDEX(Symboles!$G$6:$G$101,MOD(88+$C27+(4),$B$3)+1)*M27+IF($B$6=0,0,$B$6*NORMSINV(0.000001+0.999998*RAND())))</f>
        <v/>
      </c>
      <c r="DA27" s="30">
        <f>IF(90&gt;$B$3,99,INDEX(Symboles!$G$6:$G$101,MOD(89+$C27+(-4),$B$3)+1)*E27+INDEX(Symboles!$G$6:$G$101,MOD(89+$C27+(-3),$B$3)+1)*F27+INDEX(Symboles!$G$6:$G$101,MOD(89+$C27+(-2),$B$3)+1)*G27+INDEX(Symboles!$G$6:$G$101,MOD(89+$C27+(-1),$B$3)+1)*H27+INDEX(Symboles!$G$6:$G$101,MOD(89+$C27+(0),$B$3)+1)*I27+INDEX(Symboles!$G$6:$G$101,MOD(89+$C27+(1),$B$3)+1)*J27+INDEX(Symboles!$G$6:$G$101,MOD(89+$C27+(2),$B$3)+1)*K27+INDEX(Symboles!$G$6:$G$101,MOD(89+$C27+(3),$B$3)+1)*L27+INDEX(Symboles!$G$6:$G$101,MOD(89+$C27+(4),$B$3)+1)*M27+IF($B$6=0,0,$B$6*NORMSINV(0.000001+0.999998*RAND())))</f>
        <v/>
      </c>
      <c r="DB27" s="30">
        <f>IF(91&gt;$B$3,99,INDEX(Symboles!$G$6:$G$101,MOD(90+$C27+(-4),$B$3)+1)*E27+INDEX(Symboles!$G$6:$G$101,MOD(90+$C27+(-3),$B$3)+1)*F27+INDEX(Symboles!$G$6:$G$101,MOD(90+$C27+(-2),$B$3)+1)*G27+INDEX(Symboles!$G$6:$G$101,MOD(90+$C27+(-1),$B$3)+1)*H27+INDEX(Symboles!$G$6:$G$101,MOD(90+$C27+(0),$B$3)+1)*I27+INDEX(Symboles!$G$6:$G$101,MOD(90+$C27+(1),$B$3)+1)*J27+INDEX(Symboles!$G$6:$G$101,MOD(90+$C27+(2),$B$3)+1)*K27+INDEX(Symboles!$G$6:$G$101,MOD(90+$C27+(3),$B$3)+1)*L27+INDEX(Symboles!$G$6:$G$101,MOD(90+$C27+(4),$B$3)+1)*M27+IF($B$6=0,0,$B$6*NORMSINV(0.000001+0.999998*RAND())))</f>
        <v/>
      </c>
      <c r="DC27" s="30">
        <f>IF(92&gt;$B$3,99,INDEX(Symboles!$G$6:$G$101,MOD(91+$C27+(-4),$B$3)+1)*E27+INDEX(Symboles!$G$6:$G$101,MOD(91+$C27+(-3),$B$3)+1)*F27+INDEX(Symboles!$G$6:$G$101,MOD(91+$C27+(-2),$B$3)+1)*G27+INDEX(Symboles!$G$6:$G$101,MOD(91+$C27+(-1),$B$3)+1)*H27+INDEX(Symboles!$G$6:$G$101,MOD(91+$C27+(0),$B$3)+1)*I27+INDEX(Symboles!$G$6:$G$101,MOD(91+$C27+(1),$B$3)+1)*J27+INDEX(Symboles!$G$6:$G$101,MOD(91+$C27+(2),$B$3)+1)*K27+INDEX(Symboles!$G$6:$G$101,MOD(91+$C27+(3),$B$3)+1)*L27+INDEX(Symboles!$G$6:$G$101,MOD(91+$C27+(4),$B$3)+1)*M27+IF($B$6=0,0,$B$6*NORMSINV(0.000001+0.999998*RAND())))</f>
        <v/>
      </c>
      <c r="DD27" s="30">
        <f>IF(93&gt;$B$3,99,INDEX(Symboles!$G$6:$G$101,MOD(92+$C27+(-4),$B$3)+1)*E27+INDEX(Symboles!$G$6:$G$101,MOD(92+$C27+(-3),$B$3)+1)*F27+INDEX(Symboles!$G$6:$G$101,MOD(92+$C27+(-2),$B$3)+1)*G27+INDEX(Symboles!$G$6:$G$101,MOD(92+$C27+(-1),$B$3)+1)*H27+INDEX(Symboles!$G$6:$G$101,MOD(92+$C27+(0),$B$3)+1)*I27+INDEX(Symboles!$G$6:$G$101,MOD(92+$C27+(1),$B$3)+1)*J27+INDEX(Symboles!$G$6:$G$101,MOD(92+$C27+(2),$B$3)+1)*K27+INDEX(Symboles!$G$6:$G$101,MOD(92+$C27+(3),$B$3)+1)*L27+INDEX(Symboles!$G$6:$G$101,MOD(92+$C27+(4),$B$3)+1)*M27+IF($B$6=0,0,$B$6*NORMSINV(0.000001+0.999998*RAND())))</f>
        <v/>
      </c>
      <c r="DE27" s="30">
        <f>IF(94&gt;$B$3,99,INDEX(Symboles!$G$6:$G$101,MOD(93+$C27+(-4),$B$3)+1)*E27+INDEX(Symboles!$G$6:$G$101,MOD(93+$C27+(-3),$B$3)+1)*F27+INDEX(Symboles!$G$6:$G$101,MOD(93+$C27+(-2),$B$3)+1)*G27+INDEX(Symboles!$G$6:$G$101,MOD(93+$C27+(-1),$B$3)+1)*H27+INDEX(Symboles!$G$6:$G$101,MOD(93+$C27+(0),$B$3)+1)*I27+INDEX(Symboles!$G$6:$G$101,MOD(93+$C27+(1),$B$3)+1)*J27+INDEX(Symboles!$G$6:$G$101,MOD(93+$C27+(2),$B$3)+1)*K27+INDEX(Symboles!$G$6:$G$101,MOD(93+$C27+(3),$B$3)+1)*L27+INDEX(Symboles!$G$6:$G$101,MOD(93+$C27+(4),$B$3)+1)*M27+IF($B$6=0,0,$B$6*NORMSINV(0.000001+0.999998*RAND())))</f>
        <v/>
      </c>
      <c r="DF27" s="30">
        <f>IF(95&gt;$B$3,99,INDEX(Symboles!$G$6:$G$101,MOD(94+$C27+(-4),$B$3)+1)*E27+INDEX(Symboles!$G$6:$G$101,MOD(94+$C27+(-3),$B$3)+1)*F27+INDEX(Symboles!$G$6:$G$101,MOD(94+$C27+(-2),$B$3)+1)*G27+INDEX(Symboles!$G$6:$G$101,MOD(94+$C27+(-1),$B$3)+1)*H27+INDEX(Symboles!$G$6:$G$101,MOD(94+$C27+(0),$B$3)+1)*I27+INDEX(Symboles!$G$6:$G$101,MOD(94+$C27+(1),$B$3)+1)*J27+INDEX(Symboles!$G$6:$G$101,MOD(94+$C27+(2),$B$3)+1)*K27+INDEX(Symboles!$G$6:$G$101,MOD(94+$C27+(3),$B$3)+1)*L27+INDEX(Symboles!$G$6:$G$101,MOD(94+$C27+(4),$B$3)+1)*M27+IF($B$6=0,0,$B$6*NORMSINV(0.000001+0.999998*RAND())))</f>
        <v/>
      </c>
      <c r="DG27" s="30">
        <f>IF(96&gt;$B$3,99,INDEX(Symboles!$G$6:$G$101,MOD(95+$C27+(-4),$B$3)+1)*E27+INDEX(Symboles!$G$6:$G$101,MOD(95+$C27+(-3),$B$3)+1)*F27+INDEX(Symboles!$G$6:$G$101,MOD(95+$C27+(-2),$B$3)+1)*G27+INDEX(Symboles!$G$6:$G$101,MOD(95+$C27+(-1),$B$3)+1)*H27+INDEX(Symboles!$G$6:$G$101,MOD(95+$C27+(0),$B$3)+1)*I27+INDEX(Symboles!$G$6:$G$101,MOD(95+$C27+(1),$B$3)+1)*J27+INDEX(Symboles!$G$6:$G$101,MOD(95+$C27+(2),$B$3)+1)*K27+INDEX(Symboles!$G$6:$G$101,MOD(95+$C27+(3),$B$3)+1)*L27+INDEX(Symboles!$G$6:$G$101,MOD(95+$C27+(4),$B$3)+1)*M27+IF($B$6=0,0,$B$6*NORMSINV(0.000001+0.999998*RAND())))</f>
        <v/>
      </c>
      <c r="DI27" s="30">
        <f>IF(1&gt;$B$3,99,INDEX(Symboles!$H$6:$H$101,MOD(0+$C27+(-4),$B$3)+1)*E27+INDEX(Symboles!$H$6:$H$101,MOD(0+$C27+(-3),$B$3)+1)*F27+INDEX(Symboles!$H$6:$H$101,MOD(0+$C27+(-2),$B$3)+1)*G27+INDEX(Symboles!$H$6:$H$101,MOD(0+$C27+(-1),$B$3)+1)*H27+INDEX(Symboles!$H$6:$H$101,MOD(0+$C27+(0),$B$3)+1)*I27+INDEX(Symboles!$H$6:$H$101,MOD(0+$C27+(1),$B$3)+1)*J27+INDEX(Symboles!$H$6:$H$101,MOD(0+$C27+(2),$B$3)+1)*K27+INDEX(Symboles!$H$6:$H$101,MOD(0+$C27+(3),$B$3)+1)*L27+INDEX(Symboles!$H$6:$H$101,MOD(0+$C27+(4),$B$3)+1)*M27+IF($B$6=0,0,$B$6*NORMSINV(0.000001+0.999998*RAND())))</f>
        <v/>
      </c>
      <c r="DJ27" s="30">
        <f>IF(2&gt;$B$3,99,INDEX(Symboles!$H$6:$H$101,MOD(1+$C27+(-4),$B$3)+1)*E27+INDEX(Symboles!$H$6:$H$101,MOD(1+$C27+(-3),$B$3)+1)*F27+INDEX(Symboles!$H$6:$H$101,MOD(1+$C27+(-2),$B$3)+1)*G27+INDEX(Symboles!$H$6:$H$101,MOD(1+$C27+(-1),$B$3)+1)*H27+INDEX(Symboles!$H$6:$H$101,MOD(1+$C27+(0),$B$3)+1)*I27+INDEX(Symboles!$H$6:$H$101,MOD(1+$C27+(1),$B$3)+1)*J27+INDEX(Symboles!$H$6:$H$101,MOD(1+$C27+(2),$B$3)+1)*K27+INDEX(Symboles!$H$6:$H$101,MOD(1+$C27+(3),$B$3)+1)*L27+INDEX(Symboles!$H$6:$H$101,MOD(1+$C27+(4),$B$3)+1)*M27+IF($B$6=0,0,$B$6*NORMSINV(0.000001+0.999998*RAND())))</f>
        <v/>
      </c>
      <c r="DK27" s="30">
        <f>IF(3&gt;$B$3,99,INDEX(Symboles!$H$6:$H$101,MOD(2+$C27+(-4),$B$3)+1)*E27+INDEX(Symboles!$H$6:$H$101,MOD(2+$C27+(-3),$B$3)+1)*F27+INDEX(Symboles!$H$6:$H$101,MOD(2+$C27+(-2),$B$3)+1)*G27+INDEX(Symboles!$H$6:$H$101,MOD(2+$C27+(-1),$B$3)+1)*H27+INDEX(Symboles!$H$6:$H$101,MOD(2+$C27+(0),$B$3)+1)*I27+INDEX(Symboles!$H$6:$H$101,MOD(2+$C27+(1),$B$3)+1)*J27+INDEX(Symboles!$H$6:$H$101,MOD(2+$C27+(2),$B$3)+1)*K27+INDEX(Symboles!$H$6:$H$101,MOD(2+$C27+(3),$B$3)+1)*L27+INDEX(Symboles!$H$6:$H$101,MOD(2+$C27+(4),$B$3)+1)*M27+IF($B$6=0,0,$B$6*NORMSINV(0.000001+0.999998*RAND())))</f>
        <v/>
      </c>
      <c r="DL27" s="30">
        <f>IF(4&gt;$B$3,99,INDEX(Symboles!$H$6:$H$101,MOD(3+$C27+(-4),$B$3)+1)*E27+INDEX(Symboles!$H$6:$H$101,MOD(3+$C27+(-3),$B$3)+1)*F27+INDEX(Symboles!$H$6:$H$101,MOD(3+$C27+(-2),$B$3)+1)*G27+INDEX(Symboles!$H$6:$H$101,MOD(3+$C27+(-1),$B$3)+1)*H27+INDEX(Symboles!$H$6:$H$101,MOD(3+$C27+(0),$B$3)+1)*I27+INDEX(Symboles!$H$6:$H$101,MOD(3+$C27+(1),$B$3)+1)*J27+INDEX(Symboles!$H$6:$H$101,MOD(3+$C27+(2),$B$3)+1)*K27+INDEX(Symboles!$H$6:$H$101,MOD(3+$C27+(3),$B$3)+1)*L27+INDEX(Symboles!$H$6:$H$101,MOD(3+$C27+(4),$B$3)+1)*M27+IF($B$6=0,0,$B$6*NORMSINV(0.000001+0.999998*RAND())))</f>
        <v/>
      </c>
      <c r="DM27" s="30">
        <f>IF(5&gt;$B$3,99,INDEX(Symboles!$H$6:$H$101,MOD(4+$C27+(-4),$B$3)+1)*E27+INDEX(Symboles!$H$6:$H$101,MOD(4+$C27+(-3),$B$3)+1)*F27+INDEX(Symboles!$H$6:$H$101,MOD(4+$C27+(-2),$B$3)+1)*G27+INDEX(Symboles!$H$6:$H$101,MOD(4+$C27+(-1),$B$3)+1)*H27+INDEX(Symboles!$H$6:$H$101,MOD(4+$C27+(0),$B$3)+1)*I27+INDEX(Symboles!$H$6:$H$101,MOD(4+$C27+(1),$B$3)+1)*J27+INDEX(Symboles!$H$6:$H$101,MOD(4+$C27+(2),$B$3)+1)*K27+INDEX(Symboles!$H$6:$H$101,MOD(4+$C27+(3),$B$3)+1)*L27+INDEX(Symboles!$H$6:$H$101,MOD(4+$C27+(4),$B$3)+1)*M27+IF($B$6=0,0,$B$6*NORMSINV(0.000001+0.999998*RAND())))</f>
        <v/>
      </c>
      <c r="DN27" s="30">
        <f>IF(6&gt;$B$3,99,INDEX(Symboles!$H$6:$H$101,MOD(5+$C27+(-4),$B$3)+1)*E27+INDEX(Symboles!$H$6:$H$101,MOD(5+$C27+(-3),$B$3)+1)*F27+INDEX(Symboles!$H$6:$H$101,MOD(5+$C27+(-2),$B$3)+1)*G27+INDEX(Symboles!$H$6:$H$101,MOD(5+$C27+(-1),$B$3)+1)*H27+INDEX(Symboles!$H$6:$H$101,MOD(5+$C27+(0),$B$3)+1)*I27+INDEX(Symboles!$H$6:$H$101,MOD(5+$C27+(1),$B$3)+1)*J27+INDEX(Symboles!$H$6:$H$101,MOD(5+$C27+(2),$B$3)+1)*K27+INDEX(Symboles!$H$6:$H$101,MOD(5+$C27+(3),$B$3)+1)*L27+INDEX(Symboles!$H$6:$H$101,MOD(5+$C27+(4),$B$3)+1)*M27+IF($B$6=0,0,$B$6*NORMSINV(0.000001+0.999998*RAND())))</f>
        <v/>
      </c>
      <c r="DO27" s="30">
        <f>IF(7&gt;$B$3,99,INDEX(Symboles!$H$6:$H$101,MOD(6+$C27+(-4),$B$3)+1)*E27+INDEX(Symboles!$H$6:$H$101,MOD(6+$C27+(-3),$B$3)+1)*F27+INDEX(Symboles!$H$6:$H$101,MOD(6+$C27+(-2),$B$3)+1)*G27+INDEX(Symboles!$H$6:$H$101,MOD(6+$C27+(-1),$B$3)+1)*H27+INDEX(Symboles!$H$6:$H$101,MOD(6+$C27+(0),$B$3)+1)*I27+INDEX(Symboles!$H$6:$H$101,MOD(6+$C27+(1),$B$3)+1)*J27+INDEX(Symboles!$H$6:$H$101,MOD(6+$C27+(2),$B$3)+1)*K27+INDEX(Symboles!$H$6:$H$101,MOD(6+$C27+(3),$B$3)+1)*L27+INDEX(Symboles!$H$6:$H$101,MOD(6+$C27+(4),$B$3)+1)*M27+IF($B$6=0,0,$B$6*NORMSINV(0.000001+0.999998*RAND())))</f>
        <v/>
      </c>
      <c r="DP27" s="30">
        <f>IF(8&gt;$B$3,99,INDEX(Symboles!$H$6:$H$101,MOD(7+$C27+(-4),$B$3)+1)*E27+INDEX(Symboles!$H$6:$H$101,MOD(7+$C27+(-3),$B$3)+1)*F27+INDEX(Symboles!$H$6:$H$101,MOD(7+$C27+(-2),$B$3)+1)*G27+INDEX(Symboles!$H$6:$H$101,MOD(7+$C27+(-1),$B$3)+1)*H27+INDEX(Symboles!$H$6:$H$101,MOD(7+$C27+(0),$B$3)+1)*I27+INDEX(Symboles!$H$6:$H$101,MOD(7+$C27+(1),$B$3)+1)*J27+INDEX(Symboles!$H$6:$H$101,MOD(7+$C27+(2),$B$3)+1)*K27+INDEX(Symboles!$H$6:$H$101,MOD(7+$C27+(3),$B$3)+1)*L27+INDEX(Symboles!$H$6:$H$101,MOD(7+$C27+(4),$B$3)+1)*M27+IF($B$6=0,0,$B$6*NORMSINV(0.000001+0.999998*RAND())))</f>
        <v/>
      </c>
      <c r="DQ27" s="30">
        <f>IF(9&gt;$B$3,99,INDEX(Symboles!$H$6:$H$101,MOD(8+$C27+(-4),$B$3)+1)*E27+INDEX(Symboles!$H$6:$H$101,MOD(8+$C27+(-3),$B$3)+1)*F27+INDEX(Symboles!$H$6:$H$101,MOD(8+$C27+(-2),$B$3)+1)*G27+INDEX(Symboles!$H$6:$H$101,MOD(8+$C27+(-1),$B$3)+1)*H27+INDEX(Symboles!$H$6:$H$101,MOD(8+$C27+(0),$B$3)+1)*I27+INDEX(Symboles!$H$6:$H$101,MOD(8+$C27+(1),$B$3)+1)*J27+INDEX(Symboles!$H$6:$H$101,MOD(8+$C27+(2),$B$3)+1)*K27+INDEX(Symboles!$H$6:$H$101,MOD(8+$C27+(3),$B$3)+1)*L27+INDEX(Symboles!$H$6:$H$101,MOD(8+$C27+(4),$B$3)+1)*M27+IF($B$6=0,0,$B$6*NORMSINV(0.000001+0.999998*RAND())))</f>
        <v/>
      </c>
      <c r="DR27" s="30">
        <f>IF(10&gt;$B$3,99,INDEX(Symboles!$H$6:$H$101,MOD(9+$C27+(-4),$B$3)+1)*E27+INDEX(Symboles!$H$6:$H$101,MOD(9+$C27+(-3),$B$3)+1)*F27+INDEX(Symboles!$H$6:$H$101,MOD(9+$C27+(-2),$B$3)+1)*G27+INDEX(Symboles!$H$6:$H$101,MOD(9+$C27+(-1),$B$3)+1)*H27+INDEX(Symboles!$H$6:$H$101,MOD(9+$C27+(0),$B$3)+1)*I27+INDEX(Symboles!$H$6:$H$101,MOD(9+$C27+(1),$B$3)+1)*J27+INDEX(Symboles!$H$6:$H$101,MOD(9+$C27+(2),$B$3)+1)*K27+INDEX(Symboles!$H$6:$H$101,MOD(9+$C27+(3),$B$3)+1)*L27+INDEX(Symboles!$H$6:$H$101,MOD(9+$C27+(4),$B$3)+1)*M27+IF($B$6=0,0,$B$6*NORMSINV(0.000001+0.999998*RAND())))</f>
        <v/>
      </c>
      <c r="DS27" s="30">
        <f>IF(11&gt;$B$3,99,INDEX(Symboles!$H$6:$H$101,MOD(10+$C27+(-4),$B$3)+1)*E27+INDEX(Symboles!$H$6:$H$101,MOD(10+$C27+(-3),$B$3)+1)*F27+INDEX(Symboles!$H$6:$H$101,MOD(10+$C27+(-2),$B$3)+1)*G27+INDEX(Symboles!$H$6:$H$101,MOD(10+$C27+(-1),$B$3)+1)*H27+INDEX(Symboles!$H$6:$H$101,MOD(10+$C27+(0),$B$3)+1)*I27+INDEX(Symboles!$H$6:$H$101,MOD(10+$C27+(1),$B$3)+1)*J27+INDEX(Symboles!$H$6:$H$101,MOD(10+$C27+(2),$B$3)+1)*K27+INDEX(Symboles!$H$6:$H$101,MOD(10+$C27+(3),$B$3)+1)*L27+INDEX(Symboles!$H$6:$H$101,MOD(10+$C27+(4),$B$3)+1)*M27+IF($B$6=0,0,$B$6*NORMSINV(0.000001+0.999998*RAND())))</f>
        <v/>
      </c>
      <c r="DT27" s="30">
        <f>IF(12&gt;$B$3,99,INDEX(Symboles!$H$6:$H$101,MOD(11+$C27+(-4),$B$3)+1)*E27+INDEX(Symboles!$H$6:$H$101,MOD(11+$C27+(-3),$B$3)+1)*F27+INDEX(Symboles!$H$6:$H$101,MOD(11+$C27+(-2),$B$3)+1)*G27+INDEX(Symboles!$H$6:$H$101,MOD(11+$C27+(-1),$B$3)+1)*H27+INDEX(Symboles!$H$6:$H$101,MOD(11+$C27+(0),$B$3)+1)*I27+INDEX(Symboles!$H$6:$H$101,MOD(11+$C27+(1),$B$3)+1)*J27+INDEX(Symboles!$H$6:$H$101,MOD(11+$C27+(2),$B$3)+1)*K27+INDEX(Symboles!$H$6:$H$101,MOD(11+$C27+(3),$B$3)+1)*L27+INDEX(Symboles!$H$6:$H$101,MOD(11+$C27+(4),$B$3)+1)*M27+IF($B$6=0,0,$B$6*NORMSINV(0.000001+0.999998*RAND())))</f>
        <v/>
      </c>
      <c r="DU27" s="30">
        <f>IF(13&gt;$B$3,99,INDEX(Symboles!$H$6:$H$101,MOD(12+$C27+(-4),$B$3)+1)*E27+INDEX(Symboles!$H$6:$H$101,MOD(12+$C27+(-3),$B$3)+1)*F27+INDEX(Symboles!$H$6:$H$101,MOD(12+$C27+(-2),$B$3)+1)*G27+INDEX(Symboles!$H$6:$H$101,MOD(12+$C27+(-1),$B$3)+1)*H27+INDEX(Symboles!$H$6:$H$101,MOD(12+$C27+(0),$B$3)+1)*I27+INDEX(Symboles!$H$6:$H$101,MOD(12+$C27+(1),$B$3)+1)*J27+INDEX(Symboles!$H$6:$H$101,MOD(12+$C27+(2),$B$3)+1)*K27+INDEX(Symboles!$H$6:$H$101,MOD(12+$C27+(3),$B$3)+1)*L27+INDEX(Symboles!$H$6:$H$101,MOD(12+$C27+(4),$B$3)+1)*M27+IF($B$6=0,0,$B$6*NORMSINV(0.000001+0.999998*RAND())))</f>
        <v/>
      </c>
      <c r="DV27" s="30">
        <f>IF(14&gt;$B$3,99,INDEX(Symboles!$H$6:$H$101,MOD(13+$C27+(-4),$B$3)+1)*E27+INDEX(Symboles!$H$6:$H$101,MOD(13+$C27+(-3),$B$3)+1)*F27+INDEX(Symboles!$H$6:$H$101,MOD(13+$C27+(-2),$B$3)+1)*G27+INDEX(Symboles!$H$6:$H$101,MOD(13+$C27+(-1),$B$3)+1)*H27+INDEX(Symboles!$H$6:$H$101,MOD(13+$C27+(0),$B$3)+1)*I27+INDEX(Symboles!$H$6:$H$101,MOD(13+$C27+(1),$B$3)+1)*J27+INDEX(Symboles!$H$6:$H$101,MOD(13+$C27+(2),$B$3)+1)*K27+INDEX(Symboles!$H$6:$H$101,MOD(13+$C27+(3),$B$3)+1)*L27+INDEX(Symboles!$H$6:$H$101,MOD(13+$C27+(4),$B$3)+1)*M27+IF($B$6=0,0,$B$6*NORMSINV(0.000001+0.999998*RAND())))</f>
        <v/>
      </c>
      <c r="DW27" s="30">
        <f>IF(15&gt;$B$3,99,INDEX(Symboles!$H$6:$H$101,MOD(14+$C27+(-4),$B$3)+1)*E27+INDEX(Symboles!$H$6:$H$101,MOD(14+$C27+(-3),$B$3)+1)*F27+INDEX(Symboles!$H$6:$H$101,MOD(14+$C27+(-2),$B$3)+1)*G27+INDEX(Symboles!$H$6:$H$101,MOD(14+$C27+(-1),$B$3)+1)*H27+INDEX(Symboles!$H$6:$H$101,MOD(14+$C27+(0),$B$3)+1)*I27+INDEX(Symboles!$H$6:$H$101,MOD(14+$C27+(1),$B$3)+1)*J27+INDEX(Symboles!$H$6:$H$101,MOD(14+$C27+(2),$B$3)+1)*K27+INDEX(Symboles!$H$6:$H$101,MOD(14+$C27+(3),$B$3)+1)*L27+INDEX(Symboles!$H$6:$H$101,MOD(14+$C27+(4),$B$3)+1)*M27+IF($B$6=0,0,$B$6*NORMSINV(0.000001+0.999998*RAND())))</f>
        <v/>
      </c>
      <c r="DX27" s="30">
        <f>IF(16&gt;$B$3,99,INDEX(Symboles!$H$6:$H$101,MOD(15+$C27+(-4),$B$3)+1)*E27+INDEX(Symboles!$H$6:$H$101,MOD(15+$C27+(-3),$B$3)+1)*F27+INDEX(Symboles!$H$6:$H$101,MOD(15+$C27+(-2),$B$3)+1)*G27+INDEX(Symboles!$H$6:$H$101,MOD(15+$C27+(-1),$B$3)+1)*H27+INDEX(Symboles!$H$6:$H$101,MOD(15+$C27+(0),$B$3)+1)*I27+INDEX(Symboles!$H$6:$H$101,MOD(15+$C27+(1),$B$3)+1)*J27+INDEX(Symboles!$H$6:$H$101,MOD(15+$C27+(2),$B$3)+1)*K27+INDEX(Symboles!$H$6:$H$101,MOD(15+$C27+(3),$B$3)+1)*L27+INDEX(Symboles!$H$6:$H$101,MOD(15+$C27+(4),$B$3)+1)*M27+IF($B$6=0,0,$B$6*NORMSINV(0.000001+0.999998*RAND())))</f>
        <v/>
      </c>
      <c r="DY27" s="30">
        <f>IF(17&gt;$B$3,99,INDEX(Symboles!$H$6:$H$101,MOD(16+$C27+(-4),$B$3)+1)*E27+INDEX(Symboles!$H$6:$H$101,MOD(16+$C27+(-3),$B$3)+1)*F27+INDEX(Symboles!$H$6:$H$101,MOD(16+$C27+(-2),$B$3)+1)*G27+INDEX(Symboles!$H$6:$H$101,MOD(16+$C27+(-1),$B$3)+1)*H27+INDEX(Symboles!$H$6:$H$101,MOD(16+$C27+(0),$B$3)+1)*I27+INDEX(Symboles!$H$6:$H$101,MOD(16+$C27+(1),$B$3)+1)*J27+INDEX(Symboles!$H$6:$H$101,MOD(16+$C27+(2),$B$3)+1)*K27+INDEX(Symboles!$H$6:$H$101,MOD(16+$C27+(3),$B$3)+1)*L27+INDEX(Symboles!$H$6:$H$101,MOD(16+$C27+(4),$B$3)+1)*M27+IF($B$6=0,0,$B$6*NORMSINV(0.000001+0.999998*RAND())))</f>
        <v/>
      </c>
      <c r="DZ27" s="30">
        <f>IF(18&gt;$B$3,99,INDEX(Symboles!$H$6:$H$101,MOD(17+$C27+(-4),$B$3)+1)*E27+INDEX(Symboles!$H$6:$H$101,MOD(17+$C27+(-3),$B$3)+1)*F27+INDEX(Symboles!$H$6:$H$101,MOD(17+$C27+(-2),$B$3)+1)*G27+INDEX(Symboles!$H$6:$H$101,MOD(17+$C27+(-1),$B$3)+1)*H27+INDEX(Symboles!$H$6:$H$101,MOD(17+$C27+(0),$B$3)+1)*I27+INDEX(Symboles!$H$6:$H$101,MOD(17+$C27+(1),$B$3)+1)*J27+INDEX(Symboles!$H$6:$H$101,MOD(17+$C27+(2),$B$3)+1)*K27+INDEX(Symboles!$H$6:$H$101,MOD(17+$C27+(3),$B$3)+1)*L27+INDEX(Symboles!$H$6:$H$101,MOD(17+$C27+(4),$B$3)+1)*M27+IF($B$6=0,0,$B$6*NORMSINV(0.000001+0.999998*RAND())))</f>
        <v/>
      </c>
      <c r="EA27" s="30">
        <f>IF(19&gt;$B$3,99,INDEX(Symboles!$H$6:$H$101,MOD(18+$C27+(-4),$B$3)+1)*E27+INDEX(Symboles!$H$6:$H$101,MOD(18+$C27+(-3),$B$3)+1)*F27+INDEX(Symboles!$H$6:$H$101,MOD(18+$C27+(-2),$B$3)+1)*G27+INDEX(Symboles!$H$6:$H$101,MOD(18+$C27+(-1),$B$3)+1)*H27+INDEX(Symboles!$H$6:$H$101,MOD(18+$C27+(0),$B$3)+1)*I27+INDEX(Symboles!$H$6:$H$101,MOD(18+$C27+(1),$B$3)+1)*J27+INDEX(Symboles!$H$6:$H$101,MOD(18+$C27+(2),$B$3)+1)*K27+INDEX(Symboles!$H$6:$H$101,MOD(18+$C27+(3),$B$3)+1)*L27+INDEX(Symboles!$H$6:$H$101,MOD(18+$C27+(4),$B$3)+1)*M27+IF($B$6=0,0,$B$6*NORMSINV(0.000001+0.999998*RAND())))</f>
        <v/>
      </c>
      <c r="EB27" s="30">
        <f>IF(20&gt;$B$3,99,INDEX(Symboles!$H$6:$H$101,MOD(19+$C27+(-4),$B$3)+1)*E27+INDEX(Symboles!$H$6:$H$101,MOD(19+$C27+(-3),$B$3)+1)*F27+INDEX(Symboles!$H$6:$H$101,MOD(19+$C27+(-2),$B$3)+1)*G27+INDEX(Symboles!$H$6:$H$101,MOD(19+$C27+(-1),$B$3)+1)*H27+INDEX(Symboles!$H$6:$H$101,MOD(19+$C27+(0),$B$3)+1)*I27+INDEX(Symboles!$H$6:$H$101,MOD(19+$C27+(1),$B$3)+1)*J27+INDEX(Symboles!$H$6:$H$101,MOD(19+$C27+(2),$B$3)+1)*K27+INDEX(Symboles!$H$6:$H$101,MOD(19+$C27+(3),$B$3)+1)*L27+INDEX(Symboles!$H$6:$H$101,MOD(19+$C27+(4),$B$3)+1)*M27+IF($B$6=0,0,$B$6*NORMSINV(0.000001+0.999998*RAND())))</f>
        <v/>
      </c>
      <c r="EC27" s="30">
        <f>IF(21&gt;$B$3,99,INDEX(Symboles!$H$6:$H$101,MOD(20+$C27+(-4),$B$3)+1)*E27+INDEX(Symboles!$H$6:$H$101,MOD(20+$C27+(-3),$B$3)+1)*F27+INDEX(Symboles!$H$6:$H$101,MOD(20+$C27+(-2),$B$3)+1)*G27+INDEX(Symboles!$H$6:$H$101,MOD(20+$C27+(-1),$B$3)+1)*H27+INDEX(Symboles!$H$6:$H$101,MOD(20+$C27+(0),$B$3)+1)*I27+INDEX(Symboles!$H$6:$H$101,MOD(20+$C27+(1),$B$3)+1)*J27+INDEX(Symboles!$H$6:$H$101,MOD(20+$C27+(2),$B$3)+1)*K27+INDEX(Symboles!$H$6:$H$101,MOD(20+$C27+(3),$B$3)+1)*L27+INDEX(Symboles!$H$6:$H$101,MOD(20+$C27+(4),$B$3)+1)*M27+IF($B$6=0,0,$B$6*NORMSINV(0.000001+0.999998*RAND())))</f>
        <v/>
      </c>
      <c r="ED27" s="30">
        <f>IF(22&gt;$B$3,99,INDEX(Symboles!$H$6:$H$101,MOD(21+$C27+(-4),$B$3)+1)*E27+INDEX(Symboles!$H$6:$H$101,MOD(21+$C27+(-3),$B$3)+1)*F27+INDEX(Symboles!$H$6:$H$101,MOD(21+$C27+(-2),$B$3)+1)*G27+INDEX(Symboles!$H$6:$H$101,MOD(21+$C27+(-1),$B$3)+1)*H27+INDEX(Symboles!$H$6:$H$101,MOD(21+$C27+(0),$B$3)+1)*I27+INDEX(Symboles!$H$6:$H$101,MOD(21+$C27+(1),$B$3)+1)*J27+INDEX(Symboles!$H$6:$H$101,MOD(21+$C27+(2),$B$3)+1)*K27+INDEX(Symboles!$H$6:$H$101,MOD(21+$C27+(3),$B$3)+1)*L27+INDEX(Symboles!$H$6:$H$101,MOD(21+$C27+(4),$B$3)+1)*M27+IF($B$6=0,0,$B$6*NORMSINV(0.000001+0.999998*RAND())))</f>
        <v/>
      </c>
      <c r="EE27" s="30">
        <f>IF(23&gt;$B$3,99,INDEX(Symboles!$H$6:$H$101,MOD(22+$C27+(-4),$B$3)+1)*E27+INDEX(Symboles!$H$6:$H$101,MOD(22+$C27+(-3),$B$3)+1)*F27+INDEX(Symboles!$H$6:$H$101,MOD(22+$C27+(-2),$B$3)+1)*G27+INDEX(Symboles!$H$6:$H$101,MOD(22+$C27+(-1),$B$3)+1)*H27+INDEX(Symboles!$H$6:$H$101,MOD(22+$C27+(0),$B$3)+1)*I27+INDEX(Symboles!$H$6:$H$101,MOD(22+$C27+(1),$B$3)+1)*J27+INDEX(Symboles!$H$6:$H$101,MOD(22+$C27+(2),$B$3)+1)*K27+INDEX(Symboles!$H$6:$H$101,MOD(22+$C27+(3),$B$3)+1)*L27+INDEX(Symboles!$H$6:$H$101,MOD(22+$C27+(4),$B$3)+1)*M27+IF($B$6=0,0,$B$6*NORMSINV(0.000001+0.999998*RAND())))</f>
        <v/>
      </c>
      <c r="EF27" s="30">
        <f>IF(24&gt;$B$3,99,INDEX(Symboles!$H$6:$H$101,MOD(23+$C27+(-4),$B$3)+1)*E27+INDEX(Symboles!$H$6:$H$101,MOD(23+$C27+(-3),$B$3)+1)*F27+INDEX(Symboles!$H$6:$H$101,MOD(23+$C27+(-2),$B$3)+1)*G27+INDEX(Symboles!$H$6:$H$101,MOD(23+$C27+(-1),$B$3)+1)*H27+INDEX(Symboles!$H$6:$H$101,MOD(23+$C27+(0),$B$3)+1)*I27+INDEX(Symboles!$H$6:$H$101,MOD(23+$C27+(1),$B$3)+1)*J27+INDEX(Symboles!$H$6:$H$101,MOD(23+$C27+(2),$B$3)+1)*K27+INDEX(Symboles!$H$6:$H$101,MOD(23+$C27+(3),$B$3)+1)*L27+INDEX(Symboles!$H$6:$H$101,MOD(23+$C27+(4),$B$3)+1)*M27+IF($B$6=0,0,$B$6*NORMSINV(0.000001+0.999998*RAND())))</f>
        <v/>
      </c>
      <c r="EG27" s="30">
        <f>IF(25&gt;$B$3,99,INDEX(Symboles!$H$6:$H$101,MOD(24+$C27+(-4),$B$3)+1)*E27+INDEX(Symboles!$H$6:$H$101,MOD(24+$C27+(-3),$B$3)+1)*F27+INDEX(Symboles!$H$6:$H$101,MOD(24+$C27+(-2),$B$3)+1)*G27+INDEX(Symboles!$H$6:$H$101,MOD(24+$C27+(-1),$B$3)+1)*H27+INDEX(Symboles!$H$6:$H$101,MOD(24+$C27+(0),$B$3)+1)*I27+INDEX(Symboles!$H$6:$H$101,MOD(24+$C27+(1),$B$3)+1)*J27+INDEX(Symboles!$H$6:$H$101,MOD(24+$C27+(2),$B$3)+1)*K27+INDEX(Symboles!$H$6:$H$101,MOD(24+$C27+(3),$B$3)+1)*L27+INDEX(Symboles!$H$6:$H$101,MOD(24+$C27+(4),$B$3)+1)*M27+IF($B$6=0,0,$B$6*NORMSINV(0.000001+0.999998*RAND())))</f>
        <v/>
      </c>
      <c r="EH27" s="30">
        <f>IF(26&gt;$B$3,99,INDEX(Symboles!$H$6:$H$101,MOD(25+$C27+(-4),$B$3)+1)*E27+INDEX(Symboles!$H$6:$H$101,MOD(25+$C27+(-3),$B$3)+1)*F27+INDEX(Symboles!$H$6:$H$101,MOD(25+$C27+(-2),$B$3)+1)*G27+INDEX(Symboles!$H$6:$H$101,MOD(25+$C27+(-1),$B$3)+1)*H27+INDEX(Symboles!$H$6:$H$101,MOD(25+$C27+(0),$B$3)+1)*I27+INDEX(Symboles!$H$6:$H$101,MOD(25+$C27+(1),$B$3)+1)*J27+INDEX(Symboles!$H$6:$H$101,MOD(25+$C27+(2),$B$3)+1)*K27+INDEX(Symboles!$H$6:$H$101,MOD(25+$C27+(3),$B$3)+1)*L27+INDEX(Symboles!$H$6:$H$101,MOD(25+$C27+(4),$B$3)+1)*M27+IF($B$6=0,0,$B$6*NORMSINV(0.000001+0.999998*RAND())))</f>
        <v/>
      </c>
      <c r="EI27" s="30">
        <f>IF(27&gt;$B$3,99,INDEX(Symboles!$H$6:$H$101,MOD(26+$C27+(-4),$B$3)+1)*E27+INDEX(Symboles!$H$6:$H$101,MOD(26+$C27+(-3),$B$3)+1)*F27+INDEX(Symboles!$H$6:$H$101,MOD(26+$C27+(-2),$B$3)+1)*G27+INDEX(Symboles!$H$6:$H$101,MOD(26+$C27+(-1),$B$3)+1)*H27+INDEX(Symboles!$H$6:$H$101,MOD(26+$C27+(0),$B$3)+1)*I27+INDEX(Symboles!$H$6:$H$101,MOD(26+$C27+(1),$B$3)+1)*J27+INDEX(Symboles!$H$6:$H$101,MOD(26+$C27+(2),$B$3)+1)*K27+INDEX(Symboles!$H$6:$H$101,MOD(26+$C27+(3),$B$3)+1)*L27+INDEX(Symboles!$H$6:$H$101,MOD(26+$C27+(4),$B$3)+1)*M27+IF($B$6=0,0,$B$6*NORMSINV(0.000001+0.999998*RAND())))</f>
        <v/>
      </c>
      <c r="EJ27" s="30">
        <f>IF(28&gt;$B$3,99,INDEX(Symboles!$H$6:$H$101,MOD(27+$C27+(-4),$B$3)+1)*E27+INDEX(Symboles!$H$6:$H$101,MOD(27+$C27+(-3),$B$3)+1)*F27+INDEX(Symboles!$H$6:$H$101,MOD(27+$C27+(-2),$B$3)+1)*G27+INDEX(Symboles!$H$6:$H$101,MOD(27+$C27+(-1),$B$3)+1)*H27+INDEX(Symboles!$H$6:$H$101,MOD(27+$C27+(0),$B$3)+1)*I27+INDEX(Symboles!$H$6:$H$101,MOD(27+$C27+(1),$B$3)+1)*J27+INDEX(Symboles!$H$6:$H$101,MOD(27+$C27+(2),$B$3)+1)*K27+INDEX(Symboles!$H$6:$H$101,MOD(27+$C27+(3),$B$3)+1)*L27+INDEX(Symboles!$H$6:$H$101,MOD(27+$C27+(4),$B$3)+1)*M27+IF($B$6=0,0,$B$6*NORMSINV(0.000001+0.999998*RAND())))</f>
        <v/>
      </c>
      <c r="EK27" s="30">
        <f>IF(29&gt;$B$3,99,INDEX(Symboles!$H$6:$H$101,MOD(28+$C27+(-4),$B$3)+1)*E27+INDEX(Symboles!$H$6:$H$101,MOD(28+$C27+(-3),$B$3)+1)*F27+INDEX(Symboles!$H$6:$H$101,MOD(28+$C27+(-2),$B$3)+1)*G27+INDEX(Symboles!$H$6:$H$101,MOD(28+$C27+(-1),$B$3)+1)*H27+INDEX(Symboles!$H$6:$H$101,MOD(28+$C27+(0),$B$3)+1)*I27+INDEX(Symboles!$H$6:$H$101,MOD(28+$C27+(1),$B$3)+1)*J27+INDEX(Symboles!$H$6:$H$101,MOD(28+$C27+(2),$B$3)+1)*K27+INDEX(Symboles!$H$6:$H$101,MOD(28+$C27+(3),$B$3)+1)*L27+INDEX(Symboles!$H$6:$H$101,MOD(28+$C27+(4),$B$3)+1)*M27+IF($B$6=0,0,$B$6*NORMSINV(0.000001+0.999998*RAND())))</f>
        <v/>
      </c>
      <c r="EL27" s="30">
        <f>IF(30&gt;$B$3,99,INDEX(Symboles!$H$6:$H$101,MOD(29+$C27+(-4),$B$3)+1)*E27+INDEX(Symboles!$H$6:$H$101,MOD(29+$C27+(-3),$B$3)+1)*F27+INDEX(Symboles!$H$6:$H$101,MOD(29+$C27+(-2),$B$3)+1)*G27+INDEX(Symboles!$H$6:$H$101,MOD(29+$C27+(-1),$B$3)+1)*H27+INDEX(Symboles!$H$6:$H$101,MOD(29+$C27+(0),$B$3)+1)*I27+INDEX(Symboles!$H$6:$H$101,MOD(29+$C27+(1),$B$3)+1)*J27+INDEX(Symboles!$H$6:$H$101,MOD(29+$C27+(2),$B$3)+1)*K27+INDEX(Symboles!$H$6:$H$101,MOD(29+$C27+(3),$B$3)+1)*L27+INDEX(Symboles!$H$6:$H$101,MOD(29+$C27+(4),$B$3)+1)*M27+IF($B$6=0,0,$B$6*NORMSINV(0.000001+0.999998*RAND())))</f>
        <v/>
      </c>
      <c r="EM27" s="30">
        <f>IF(31&gt;$B$3,99,INDEX(Symboles!$H$6:$H$101,MOD(30+$C27+(-4),$B$3)+1)*E27+INDEX(Symboles!$H$6:$H$101,MOD(30+$C27+(-3),$B$3)+1)*F27+INDEX(Symboles!$H$6:$H$101,MOD(30+$C27+(-2),$B$3)+1)*G27+INDEX(Symboles!$H$6:$H$101,MOD(30+$C27+(-1),$B$3)+1)*H27+INDEX(Symboles!$H$6:$H$101,MOD(30+$C27+(0),$B$3)+1)*I27+INDEX(Symboles!$H$6:$H$101,MOD(30+$C27+(1),$B$3)+1)*J27+INDEX(Symboles!$H$6:$H$101,MOD(30+$C27+(2),$B$3)+1)*K27+INDEX(Symboles!$H$6:$H$101,MOD(30+$C27+(3),$B$3)+1)*L27+INDEX(Symboles!$H$6:$H$101,MOD(30+$C27+(4),$B$3)+1)*M27+IF($B$6=0,0,$B$6*NORMSINV(0.000001+0.999998*RAND())))</f>
        <v/>
      </c>
      <c r="EN27" s="30">
        <f>IF(32&gt;$B$3,99,INDEX(Symboles!$H$6:$H$101,MOD(31+$C27+(-4),$B$3)+1)*E27+INDEX(Symboles!$H$6:$H$101,MOD(31+$C27+(-3),$B$3)+1)*F27+INDEX(Symboles!$H$6:$H$101,MOD(31+$C27+(-2),$B$3)+1)*G27+INDEX(Symboles!$H$6:$H$101,MOD(31+$C27+(-1),$B$3)+1)*H27+INDEX(Symboles!$H$6:$H$101,MOD(31+$C27+(0),$B$3)+1)*I27+INDEX(Symboles!$H$6:$H$101,MOD(31+$C27+(1),$B$3)+1)*J27+INDEX(Symboles!$H$6:$H$101,MOD(31+$C27+(2),$B$3)+1)*K27+INDEX(Symboles!$H$6:$H$101,MOD(31+$C27+(3),$B$3)+1)*L27+INDEX(Symboles!$H$6:$H$101,MOD(31+$C27+(4),$B$3)+1)*M27+IF($B$6=0,0,$B$6*NORMSINV(0.000001+0.999998*RAND())))</f>
        <v/>
      </c>
      <c r="EO27" s="30">
        <f>IF(33&gt;$B$3,99,INDEX(Symboles!$H$6:$H$101,MOD(32+$C27+(-4),$B$3)+1)*E27+INDEX(Symboles!$H$6:$H$101,MOD(32+$C27+(-3),$B$3)+1)*F27+INDEX(Symboles!$H$6:$H$101,MOD(32+$C27+(-2),$B$3)+1)*G27+INDEX(Symboles!$H$6:$H$101,MOD(32+$C27+(-1),$B$3)+1)*H27+INDEX(Symboles!$H$6:$H$101,MOD(32+$C27+(0),$B$3)+1)*I27+INDEX(Symboles!$H$6:$H$101,MOD(32+$C27+(1),$B$3)+1)*J27+INDEX(Symboles!$H$6:$H$101,MOD(32+$C27+(2),$B$3)+1)*K27+INDEX(Symboles!$H$6:$H$101,MOD(32+$C27+(3),$B$3)+1)*L27+INDEX(Symboles!$H$6:$H$101,MOD(32+$C27+(4),$B$3)+1)*M27+IF($B$6=0,0,$B$6*NORMSINV(0.000001+0.999998*RAND())))</f>
        <v/>
      </c>
      <c r="EP27" s="30">
        <f>IF(34&gt;$B$3,99,INDEX(Symboles!$H$6:$H$101,MOD(33+$C27+(-4),$B$3)+1)*E27+INDEX(Symboles!$H$6:$H$101,MOD(33+$C27+(-3),$B$3)+1)*F27+INDEX(Symboles!$H$6:$H$101,MOD(33+$C27+(-2),$B$3)+1)*G27+INDEX(Symboles!$H$6:$H$101,MOD(33+$C27+(-1),$B$3)+1)*H27+INDEX(Symboles!$H$6:$H$101,MOD(33+$C27+(0),$B$3)+1)*I27+INDEX(Symboles!$H$6:$H$101,MOD(33+$C27+(1),$B$3)+1)*J27+INDEX(Symboles!$H$6:$H$101,MOD(33+$C27+(2),$B$3)+1)*K27+INDEX(Symboles!$H$6:$H$101,MOD(33+$C27+(3),$B$3)+1)*L27+INDEX(Symboles!$H$6:$H$101,MOD(33+$C27+(4),$B$3)+1)*M27+IF($B$6=0,0,$B$6*NORMSINV(0.000001+0.999998*RAND())))</f>
        <v/>
      </c>
      <c r="EQ27" s="30">
        <f>IF(35&gt;$B$3,99,INDEX(Symboles!$H$6:$H$101,MOD(34+$C27+(-4),$B$3)+1)*E27+INDEX(Symboles!$H$6:$H$101,MOD(34+$C27+(-3),$B$3)+1)*F27+INDEX(Symboles!$H$6:$H$101,MOD(34+$C27+(-2),$B$3)+1)*G27+INDEX(Symboles!$H$6:$H$101,MOD(34+$C27+(-1),$B$3)+1)*H27+INDEX(Symboles!$H$6:$H$101,MOD(34+$C27+(0),$B$3)+1)*I27+INDEX(Symboles!$H$6:$H$101,MOD(34+$C27+(1),$B$3)+1)*J27+INDEX(Symboles!$H$6:$H$101,MOD(34+$C27+(2),$B$3)+1)*K27+INDEX(Symboles!$H$6:$H$101,MOD(34+$C27+(3),$B$3)+1)*L27+INDEX(Symboles!$H$6:$H$101,MOD(34+$C27+(4),$B$3)+1)*M27+IF($B$6=0,0,$B$6*NORMSINV(0.000001+0.999998*RAND())))</f>
        <v/>
      </c>
      <c r="ER27" s="30">
        <f>IF(36&gt;$B$3,99,INDEX(Symboles!$H$6:$H$101,MOD(35+$C27+(-4),$B$3)+1)*E27+INDEX(Symboles!$H$6:$H$101,MOD(35+$C27+(-3),$B$3)+1)*F27+INDEX(Symboles!$H$6:$H$101,MOD(35+$C27+(-2),$B$3)+1)*G27+INDEX(Symboles!$H$6:$H$101,MOD(35+$C27+(-1),$B$3)+1)*H27+INDEX(Symboles!$H$6:$H$101,MOD(35+$C27+(0),$B$3)+1)*I27+INDEX(Symboles!$H$6:$H$101,MOD(35+$C27+(1),$B$3)+1)*J27+INDEX(Symboles!$H$6:$H$101,MOD(35+$C27+(2),$B$3)+1)*K27+INDEX(Symboles!$H$6:$H$101,MOD(35+$C27+(3),$B$3)+1)*L27+INDEX(Symboles!$H$6:$H$101,MOD(35+$C27+(4),$B$3)+1)*M27+IF($B$6=0,0,$B$6*NORMSINV(0.000001+0.999998*RAND())))</f>
        <v/>
      </c>
      <c r="ES27" s="30">
        <f>IF(37&gt;$B$3,99,INDEX(Symboles!$H$6:$H$101,MOD(36+$C27+(-4),$B$3)+1)*E27+INDEX(Symboles!$H$6:$H$101,MOD(36+$C27+(-3),$B$3)+1)*F27+INDEX(Symboles!$H$6:$H$101,MOD(36+$C27+(-2),$B$3)+1)*G27+INDEX(Symboles!$H$6:$H$101,MOD(36+$C27+(-1),$B$3)+1)*H27+INDEX(Symboles!$H$6:$H$101,MOD(36+$C27+(0),$B$3)+1)*I27+INDEX(Symboles!$H$6:$H$101,MOD(36+$C27+(1),$B$3)+1)*J27+INDEX(Symboles!$H$6:$H$101,MOD(36+$C27+(2),$B$3)+1)*K27+INDEX(Symboles!$H$6:$H$101,MOD(36+$C27+(3),$B$3)+1)*L27+INDEX(Symboles!$H$6:$H$101,MOD(36+$C27+(4),$B$3)+1)*M27+IF($B$6=0,0,$B$6*NORMSINV(0.000001+0.999998*RAND())))</f>
        <v/>
      </c>
      <c r="ET27" s="30">
        <f>IF(38&gt;$B$3,99,INDEX(Symboles!$H$6:$H$101,MOD(37+$C27+(-4),$B$3)+1)*E27+INDEX(Symboles!$H$6:$H$101,MOD(37+$C27+(-3),$B$3)+1)*F27+INDEX(Symboles!$H$6:$H$101,MOD(37+$C27+(-2),$B$3)+1)*G27+INDEX(Symboles!$H$6:$H$101,MOD(37+$C27+(-1),$B$3)+1)*H27+INDEX(Symboles!$H$6:$H$101,MOD(37+$C27+(0),$B$3)+1)*I27+INDEX(Symboles!$H$6:$H$101,MOD(37+$C27+(1),$B$3)+1)*J27+INDEX(Symboles!$H$6:$H$101,MOD(37+$C27+(2),$B$3)+1)*K27+INDEX(Symboles!$H$6:$H$101,MOD(37+$C27+(3),$B$3)+1)*L27+INDEX(Symboles!$H$6:$H$101,MOD(37+$C27+(4),$B$3)+1)*M27+IF($B$6=0,0,$B$6*NORMSINV(0.000001+0.999998*RAND())))</f>
        <v/>
      </c>
      <c r="EU27" s="30">
        <f>IF(39&gt;$B$3,99,INDEX(Symboles!$H$6:$H$101,MOD(38+$C27+(-4),$B$3)+1)*E27+INDEX(Symboles!$H$6:$H$101,MOD(38+$C27+(-3),$B$3)+1)*F27+INDEX(Symboles!$H$6:$H$101,MOD(38+$C27+(-2),$B$3)+1)*G27+INDEX(Symboles!$H$6:$H$101,MOD(38+$C27+(-1),$B$3)+1)*H27+INDEX(Symboles!$H$6:$H$101,MOD(38+$C27+(0),$B$3)+1)*I27+INDEX(Symboles!$H$6:$H$101,MOD(38+$C27+(1),$B$3)+1)*J27+INDEX(Symboles!$H$6:$H$101,MOD(38+$C27+(2),$B$3)+1)*K27+INDEX(Symboles!$H$6:$H$101,MOD(38+$C27+(3),$B$3)+1)*L27+INDEX(Symboles!$H$6:$H$101,MOD(38+$C27+(4),$B$3)+1)*M27+IF($B$6=0,0,$B$6*NORMSINV(0.000001+0.999998*RAND())))</f>
        <v/>
      </c>
      <c r="EV27" s="30">
        <f>IF(40&gt;$B$3,99,INDEX(Symboles!$H$6:$H$101,MOD(39+$C27+(-4),$B$3)+1)*E27+INDEX(Symboles!$H$6:$H$101,MOD(39+$C27+(-3),$B$3)+1)*F27+INDEX(Symboles!$H$6:$H$101,MOD(39+$C27+(-2),$B$3)+1)*G27+INDEX(Symboles!$H$6:$H$101,MOD(39+$C27+(-1),$B$3)+1)*H27+INDEX(Symboles!$H$6:$H$101,MOD(39+$C27+(0),$B$3)+1)*I27+INDEX(Symboles!$H$6:$H$101,MOD(39+$C27+(1),$B$3)+1)*J27+INDEX(Symboles!$H$6:$H$101,MOD(39+$C27+(2),$B$3)+1)*K27+INDEX(Symboles!$H$6:$H$101,MOD(39+$C27+(3),$B$3)+1)*L27+INDEX(Symboles!$H$6:$H$101,MOD(39+$C27+(4),$B$3)+1)*M27+IF($B$6=0,0,$B$6*NORMSINV(0.000001+0.999998*RAND())))</f>
        <v/>
      </c>
      <c r="EW27" s="30">
        <f>IF(41&gt;$B$3,99,INDEX(Symboles!$H$6:$H$101,MOD(40+$C27+(-4),$B$3)+1)*E27+INDEX(Symboles!$H$6:$H$101,MOD(40+$C27+(-3),$B$3)+1)*F27+INDEX(Symboles!$H$6:$H$101,MOD(40+$C27+(-2),$B$3)+1)*G27+INDEX(Symboles!$H$6:$H$101,MOD(40+$C27+(-1),$B$3)+1)*H27+INDEX(Symboles!$H$6:$H$101,MOD(40+$C27+(0),$B$3)+1)*I27+INDEX(Symboles!$H$6:$H$101,MOD(40+$C27+(1),$B$3)+1)*J27+INDEX(Symboles!$H$6:$H$101,MOD(40+$C27+(2),$B$3)+1)*K27+INDEX(Symboles!$H$6:$H$101,MOD(40+$C27+(3),$B$3)+1)*L27+INDEX(Symboles!$H$6:$H$101,MOD(40+$C27+(4),$B$3)+1)*M27+IF($B$6=0,0,$B$6*NORMSINV(0.000001+0.999998*RAND())))</f>
        <v/>
      </c>
      <c r="EX27" s="30">
        <f>IF(42&gt;$B$3,99,INDEX(Symboles!$H$6:$H$101,MOD(41+$C27+(-4),$B$3)+1)*E27+INDEX(Symboles!$H$6:$H$101,MOD(41+$C27+(-3),$B$3)+1)*F27+INDEX(Symboles!$H$6:$H$101,MOD(41+$C27+(-2),$B$3)+1)*G27+INDEX(Symboles!$H$6:$H$101,MOD(41+$C27+(-1),$B$3)+1)*H27+INDEX(Symboles!$H$6:$H$101,MOD(41+$C27+(0),$B$3)+1)*I27+INDEX(Symboles!$H$6:$H$101,MOD(41+$C27+(1),$B$3)+1)*J27+INDEX(Symboles!$H$6:$H$101,MOD(41+$C27+(2),$B$3)+1)*K27+INDEX(Symboles!$H$6:$H$101,MOD(41+$C27+(3),$B$3)+1)*L27+INDEX(Symboles!$H$6:$H$101,MOD(41+$C27+(4),$B$3)+1)*M27+IF($B$6=0,0,$B$6*NORMSINV(0.000001+0.999998*RAND())))</f>
        <v/>
      </c>
      <c r="EY27" s="30">
        <f>IF(43&gt;$B$3,99,INDEX(Symboles!$H$6:$H$101,MOD(42+$C27+(-4),$B$3)+1)*E27+INDEX(Symboles!$H$6:$H$101,MOD(42+$C27+(-3),$B$3)+1)*F27+INDEX(Symboles!$H$6:$H$101,MOD(42+$C27+(-2),$B$3)+1)*G27+INDEX(Symboles!$H$6:$H$101,MOD(42+$C27+(-1),$B$3)+1)*H27+INDEX(Symboles!$H$6:$H$101,MOD(42+$C27+(0),$B$3)+1)*I27+INDEX(Symboles!$H$6:$H$101,MOD(42+$C27+(1),$B$3)+1)*J27+INDEX(Symboles!$H$6:$H$101,MOD(42+$C27+(2),$B$3)+1)*K27+INDEX(Symboles!$H$6:$H$101,MOD(42+$C27+(3),$B$3)+1)*L27+INDEX(Symboles!$H$6:$H$101,MOD(42+$C27+(4),$B$3)+1)*M27+IF($B$6=0,0,$B$6*NORMSINV(0.000001+0.999998*RAND())))</f>
        <v/>
      </c>
      <c r="EZ27" s="30">
        <f>IF(44&gt;$B$3,99,INDEX(Symboles!$H$6:$H$101,MOD(43+$C27+(-4),$B$3)+1)*E27+INDEX(Symboles!$H$6:$H$101,MOD(43+$C27+(-3),$B$3)+1)*F27+INDEX(Symboles!$H$6:$H$101,MOD(43+$C27+(-2),$B$3)+1)*G27+INDEX(Symboles!$H$6:$H$101,MOD(43+$C27+(-1),$B$3)+1)*H27+INDEX(Symboles!$H$6:$H$101,MOD(43+$C27+(0),$B$3)+1)*I27+INDEX(Symboles!$H$6:$H$101,MOD(43+$C27+(1),$B$3)+1)*J27+INDEX(Symboles!$H$6:$H$101,MOD(43+$C27+(2),$B$3)+1)*K27+INDEX(Symboles!$H$6:$H$101,MOD(43+$C27+(3),$B$3)+1)*L27+INDEX(Symboles!$H$6:$H$101,MOD(43+$C27+(4),$B$3)+1)*M27+IF($B$6=0,0,$B$6*NORMSINV(0.000001+0.999998*RAND())))</f>
        <v/>
      </c>
      <c r="FA27" s="30">
        <f>IF(45&gt;$B$3,99,INDEX(Symboles!$H$6:$H$101,MOD(44+$C27+(-4),$B$3)+1)*E27+INDEX(Symboles!$H$6:$H$101,MOD(44+$C27+(-3),$B$3)+1)*F27+INDEX(Symboles!$H$6:$H$101,MOD(44+$C27+(-2),$B$3)+1)*G27+INDEX(Symboles!$H$6:$H$101,MOD(44+$C27+(-1),$B$3)+1)*H27+INDEX(Symboles!$H$6:$H$101,MOD(44+$C27+(0),$B$3)+1)*I27+INDEX(Symboles!$H$6:$H$101,MOD(44+$C27+(1),$B$3)+1)*J27+INDEX(Symboles!$H$6:$H$101,MOD(44+$C27+(2),$B$3)+1)*K27+INDEX(Symboles!$H$6:$H$101,MOD(44+$C27+(3),$B$3)+1)*L27+INDEX(Symboles!$H$6:$H$101,MOD(44+$C27+(4),$B$3)+1)*M27+IF($B$6=0,0,$B$6*NORMSINV(0.000001+0.999998*RAND())))</f>
        <v/>
      </c>
      <c r="FB27" s="30">
        <f>IF(46&gt;$B$3,99,INDEX(Symboles!$H$6:$H$101,MOD(45+$C27+(-4),$B$3)+1)*E27+INDEX(Symboles!$H$6:$H$101,MOD(45+$C27+(-3),$B$3)+1)*F27+INDEX(Symboles!$H$6:$H$101,MOD(45+$C27+(-2),$B$3)+1)*G27+INDEX(Symboles!$H$6:$H$101,MOD(45+$C27+(-1),$B$3)+1)*H27+INDEX(Symboles!$H$6:$H$101,MOD(45+$C27+(0),$B$3)+1)*I27+INDEX(Symboles!$H$6:$H$101,MOD(45+$C27+(1),$B$3)+1)*J27+INDEX(Symboles!$H$6:$H$101,MOD(45+$C27+(2),$B$3)+1)*K27+INDEX(Symboles!$H$6:$H$101,MOD(45+$C27+(3),$B$3)+1)*L27+INDEX(Symboles!$H$6:$H$101,MOD(45+$C27+(4),$B$3)+1)*M27+IF($B$6=0,0,$B$6*NORMSINV(0.000001+0.999998*RAND())))</f>
        <v/>
      </c>
      <c r="FC27" s="30">
        <f>IF(47&gt;$B$3,99,INDEX(Symboles!$H$6:$H$101,MOD(46+$C27+(-4),$B$3)+1)*E27+INDEX(Symboles!$H$6:$H$101,MOD(46+$C27+(-3),$B$3)+1)*F27+INDEX(Symboles!$H$6:$H$101,MOD(46+$C27+(-2),$B$3)+1)*G27+INDEX(Symboles!$H$6:$H$101,MOD(46+$C27+(-1),$B$3)+1)*H27+INDEX(Symboles!$H$6:$H$101,MOD(46+$C27+(0),$B$3)+1)*I27+INDEX(Symboles!$H$6:$H$101,MOD(46+$C27+(1),$B$3)+1)*J27+INDEX(Symboles!$H$6:$H$101,MOD(46+$C27+(2),$B$3)+1)*K27+INDEX(Symboles!$H$6:$H$101,MOD(46+$C27+(3),$B$3)+1)*L27+INDEX(Symboles!$H$6:$H$101,MOD(46+$C27+(4),$B$3)+1)*M27+IF($B$6=0,0,$B$6*NORMSINV(0.000001+0.999998*RAND())))</f>
        <v/>
      </c>
      <c r="FD27" s="30">
        <f>IF(48&gt;$B$3,99,INDEX(Symboles!$H$6:$H$101,MOD(47+$C27+(-4),$B$3)+1)*E27+INDEX(Symboles!$H$6:$H$101,MOD(47+$C27+(-3),$B$3)+1)*F27+INDEX(Symboles!$H$6:$H$101,MOD(47+$C27+(-2),$B$3)+1)*G27+INDEX(Symboles!$H$6:$H$101,MOD(47+$C27+(-1),$B$3)+1)*H27+INDEX(Symboles!$H$6:$H$101,MOD(47+$C27+(0),$B$3)+1)*I27+INDEX(Symboles!$H$6:$H$101,MOD(47+$C27+(1),$B$3)+1)*J27+INDEX(Symboles!$H$6:$H$101,MOD(47+$C27+(2),$B$3)+1)*K27+INDEX(Symboles!$H$6:$H$101,MOD(47+$C27+(3),$B$3)+1)*L27+INDEX(Symboles!$H$6:$H$101,MOD(47+$C27+(4),$B$3)+1)*M27+IF($B$6=0,0,$B$6*NORMSINV(0.000001+0.999998*RAND())))</f>
        <v/>
      </c>
      <c r="FE27" s="30">
        <f>IF(49&gt;$B$3,99,INDEX(Symboles!$H$6:$H$101,MOD(48+$C27+(-4),$B$3)+1)*E27+INDEX(Symboles!$H$6:$H$101,MOD(48+$C27+(-3),$B$3)+1)*F27+INDEX(Symboles!$H$6:$H$101,MOD(48+$C27+(-2),$B$3)+1)*G27+INDEX(Symboles!$H$6:$H$101,MOD(48+$C27+(-1),$B$3)+1)*H27+INDEX(Symboles!$H$6:$H$101,MOD(48+$C27+(0),$B$3)+1)*I27+INDEX(Symboles!$H$6:$H$101,MOD(48+$C27+(1),$B$3)+1)*J27+INDEX(Symboles!$H$6:$H$101,MOD(48+$C27+(2),$B$3)+1)*K27+INDEX(Symboles!$H$6:$H$101,MOD(48+$C27+(3),$B$3)+1)*L27+INDEX(Symboles!$H$6:$H$101,MOD(48+$C27+(4),$B$3)+1)*M27+IF($B$6=0,0,$B$6*NORMSINV(0.000001+0.999998*RAND())))</f>
        <v/>
      </c>
      <c r="FF27" s="30">
        <f>IF(50&gt;$B$3,99,INDEX(Symboles!$H$6:$H$101,MOD(49+$C27+(-4),$B$3)+1)*E27+INDEX(Symboles!$H$6:$H$101,MOD(49+$C27+(-3),$B$3)+1)*F27+INDEX(Symboles!$H$6:$H$101,MOD(49+$C27+(-2),$B$3)+1)*G27+INDEX(Symboles!$H$6:$H$101,MOD(49+$C27+(-1),$B$3)+1)*H27+INDEX(Symboles!$H$6:$H$101,MOD(49+$C27+(0),$B$3)+1)*I27+INDEX(Symboles!$H$6:$H$101,MOD(49+$C27+(1),$B$3)+1)*J27+INDEX(Symboles!$H$6:$H$101,MOD(49+$C27+(2),$B$3)+1)*K27+INDEX(Symboles!$H$6:$H$101,MOD(49+$C27+(3),$B$3)+1)*L27+INDEX(Symboles!$H$6:$H$101,MOD(49+$C27+(4),$B$3)+1)*M27+IF($B$6=0,0,$B$6*NORMSINV(0.000001+0.999998*RAND())))</f>
        <v/>
      </c>
      <c r="FG27" s="30">
        <f>IF(51&gt;$B$3,99,INDEX(Symboles!$H$6:$H$101,MOD(50+$C27+(-4),$B$3)+1)*E27+INDEX(Symboles!$H$6:$H$101,MOD(50+$C27+(-3),$B$3)+1)*F27+INDEX(Symboles!$H$6:$H$101,MOD(50+$C27+(-2),$B$3)+1)*G27+INDEX(Symboles!$H$6:$H$101,MOD(50+$C27+(-1),$B$3)+1)*H27+INDEX(Symboles!$H$6:$H$101,MOD(50+$C27+(0),$B$3)+1)*I27+INDEX(Symboles!$H$6:$H$101,MOD(50+$C27+(1),$B$3)+1)*J27+INDEX(Symboles!$H$6:$H$101,MOD(50+$C27+(2),$B$3)+1)*K27+INDEX(Symboles!$H$6:$H$101,MOD(50+$C27+(3),$B$3)+1)*L27+INDEX(Symboles!$H$6:$H$101,MOD(50+$C27+(4),$B$3)+1)*M27+IF($B$6=0,0,$B$6*NORMSINV(0.000001+0.999998*RAND())))</f>
        <v/>
      </c>
      <c r="FH27" s="30">
        <f>IF(52&gt;$B$3,99,INDEX(Symboles!$H$6:$H$101,MOD(51+$C27+(-4),$B$3)+1)*E27+INDEX(Symboles!$H$6:$H$101,MOD(51+$C27+(-3),$B$3)+1)*F27+INDEX(Symboles!$H$6:$H$101,MOD(51+$C27+(-2),$B$3)+1)*G27+INDEX(Symboles!$H$6:$H$101,MOD(51+$C27+(-1),$B$3)+1)*H27+INDEX(Symboles!$H$6:$H$101,MOD(51+$C27+(0),$B$3)+1)*I27+INDEX(Symboles!$H$6:$H$101,MOD(51+$C27+(1),$B$3)+1)*J27+INDEX(Symboles!$H$6:$H$101,MOD(51+$C27+(2),$B$3)+1)*K27+INDEX(Symboles!$H$6:$H$101,MOD(51+$C27+(3),$B$3)+1)*L27+INDEX(Symboles!$H$6:$H$101,MOD(51+$C27+(4),$B$3)+1)*M27+IF($B$6=0,0,$B$6*NORMSINV(0.000001+0.999998*RAND())))</f>
        <v/>
      </c>
      <c r="FI27" s="30">
        <f>IF(53&gt;$B$3,99,INDEX(Symboles!$H$6:$H$101,MOD(52+$C27+(-4),$B$3)+1)*E27+INDEX(Symboles!$H$6:$H$101,MOD(52+$C27+(-3),$B$3)+1)*F27+INDEX(Symboles!$H$6:$H$101,MOD(52+$C27+(-2),$B$3)+1)*G27+INDEX(Symboles!$H$6:$H$101,MOD(52+$C27+(-1),$B$3)+1)*H27+INDEX(Symboles!$H$6:$H$101,MOD(52+$C27+(0),$B$3)+1)*I27+INDEX(Symboles!$H$6:$H$101,MOD(52+$C27+(1),$B$3)+1)*J27+INDEX(Symboles!$H$6:$H$101,MOD(52+$C27+(2),$B$3)+1)*K27+INDEX(Symboles!$H$6:$H$101,MOD(52+$C27+(3),$B$3)+1)*L27+INDEX(Symboles!$H$6:$H$101,MOD(52+$C27+(4),$B$3)+1)*M27+IF($B$6=0,0,$B$6*NORMSINV(0.000001+0.999998*RAND())))</f>
        <v/>
      </c>
      <c r="FJ27" s="30">
        <f>IF(54&gt;$B$3,99,INDEX(Symboles!$H$6:$H$101,MOD(53+$C27+(-4),$B$3)+1)*E27+INDEX(Symboles!$H$6:$H$101,MOD(53+$C27+(-3),$B$3)+1)*F27+INDEX(Symboles!$H$6:$H$101,MOD(53+$C27+(-2),$B$3)+1)*G27+INDEX(Symboles!$H$6:$H$101,MOD(53+$C27+(-1),$B$3)+1)*H27+INDEX(Symboles!$H$6:$H$101,MOD(53+$C27+(0),$B$3)+1)*I27+INDEX(Symboles!$H$6:$H$101,MOD(53+$C27+(1),$B$3)+1)*J27+INDEX(Symboles!$H$6:$H$101,MOD(53+$C27+(2),$B$3)+1)*K27+INDEX(Symboles!$H$6:$H$101,MOD(53+$C27+(3),$B$3)+1)*L27+INDEX(Symboles!$H$6:$H$101,MOD(53+$C27+(4),$B$3)+1)*M27+IF($B$6=0,0,$B$6*NORMSINV(0.000001+0.999998*RAND())))</f>
        <v/>
      </c>
      <c r="FK27" s="30">
        <f>IF(55&gt;$B$3,99,INDEX(Symboles!$H$6:$H$101,MOD(54+$C27+(-4),$B$3)+1)*E27+INDEX(Symboles!$H$6:$H$101,MOD(54+$C27+(-3),$B$3)+1)*F27+INDEX(Symboles!$H$6:$H$101,MOD(54+$C27+(-2),$B$3)+1)*G27+INDEX(Symboles!$H$6:$H$101,MOD(54+$C27+(-1),$B$3)+1)*H27+INDEX(Symboles!$H$6:$H$101,MOD(54+$C27+(0),$B$3)+1)*I27+INDEX(Symboles!$H$6:$H$101,MOD(54+$C27+(1),$B$3)+1)*J27+INDEX(Symboles!$H$6:$H$101,MOD(54+$C27+(2),$B$3)+1)*K27+INDEX(Symboles!$H$6:$H$101,MOD(54+$C27+(3),$B$3)+1)*L27+INDEX(Symboles!$H$6:$H$101,MOD(54+$C27+(4),$B$3)+1)*M27+IF($B$6=0,0,$B$6*NORMSINV(0.000001+0.999998*RAND())))</f>
        <v/>
      </c>
      <c r="FL27" s="30">
        <f>IF(56&gt;$B$3,99,INDEX(Symboles!$H$6:$H$101,MOD(55+$C27+(-4),$B$3)+1)*E27+INDEX(Symboles!$H$6:$H$101,MOD(55+$C27+(-3),$B$3)+1)*F27+INDEX(Symboles!$H$6:$H$101,MOD(55+$C27+(-2),$B$3)+1)*G27+INDEX(Symboles!$H$6:$H$101,MOD(55+$C27+(-1),$B$3)+1)*H27+INDEX(Symboles!$H$6:$H$101,MOD(55+$C27+(0),$B$3)+1)*I27+INDEX(Symboles!$H$6:$H$101,MOD(55+$C27+(1),$B$3)+1)*J27+INDEX(Symboles!$H$6:$H$101,MOD(55+$C27+(2),$B$3)+1)*K27+INDEX(Symboles!$H$6:$H$101,MOD(55+$C27+(3),$B$3)+1)*L27+INDEX(Symboles!$H$6:$H$101,MOD(55+$C27+(4),$B$3)+1)*M27+IF($B$6=0,0,$B$6*NORMSINV(0.000001+0.999998*RAND())))</f>
        <v/>
      </c>
      <c r="FM27" s="30">
        <f>IF(57&gt;$B$3,99,INDEX(Symboles!$H$6:$H$101,MOD(56+$C27+(-4),$B$3)+1)*E27+INDEX(Symboles!$H$6:$H$101,MOD(56+$C27+(-3),$B$3)+1)*F27+INDEX(Symboles!$H$6:$H$101,MOD(56+$C27+(-2),$B$3)+1)*G27+INDEX(Symboles!$H$6:$H$101,MOD(56+$C27+(-1),$B$3)+1)*H27+INDEX(Symboles!$H$6:$H$101,MOD(56+$C27+(0),$B$3)+1)*I27+INDEX(Symboles!$H$6:$H$101,MOD(56+$C27+(1),$B$3)+1)*J27+INDEX(Symboles!$H$6:$H$101,MOD(56+$C27+(2),$B$3)+1)*K27+INDEX(Symboles!$H$6:$H$101,MOD(56+$C27+(3),$B$3)+1)*L27+INDEX(Symboles!$H$6:$H$101,MOD(56+$C27+(4),$B$3)+1)*M27+IF($B$6=0,0,$B$6*NORMSINV(0.000001+0.999998*RAND())))</f>
        <v/>
      </c>
      <c r="FN27" s="30">
        <f>IF(58&gt;$B$3,99,INDEX(Symboles!$H$6:$H$101,MOD(57+$C27+(-4),$B$3)+1)*E27+INDEX(Symboles!$H$6:$H$101,MOD(57+$C27+(-3),$B$3)+1)*F27+INDEX(Symboles!$H$6:$H$101,MOD(57+$C27+(-2),$B$3)+1)*G27+INDEX(Symboles!$H$6:$H$101,MOD(57+$C27+(-1),$B$3)+1)*H27+INDEX(Symboles!$H$6:$H$101,MOD(57+$C27+(0),$B$3)+1)*I27+INDEX(Symboles!$H$6:$H$101,MOD(57+$C27+(1),$B$3)+1)*J27+INDEX(Symboles!$H$6:$H$101,MOD(57+$C27+(2),$B$3)+1)*K27+INDEX(Symboles!$H$6:$H$101,MOD(57+$C27+(3),$B$3)+1)*L27+INDEX(Symboles!$H$6:$H$101,MOD(57+$C27+(4),$B$3)+1)*M27+IF($B$6=0,0,$B$6*NORMSINV(0.000001+0.999998*RAND())))</f>
        <v/>
      </c>
      <c r="FO27" s="30">
        <f>IF(59&gt;$B$3,99,INDEX(Symboles!$H$6:$H$101,MOD(58+$C27+(-4),$B$3)+1)*E27+INDEX(Symboles!$H$6:$H$101,MOD(58+$C27+(-3),$B$3)+1)*F27+INDEX(Symboles!$H$6:$H$101,MOD(58+$C27+(-2),$B$3)+1)*G27+INDEX(Symboles!$H$6:$H$101,MOD(58+$C27+(-1),$B$3)+1)*H27+INDEX(Symboles!$H$6:$H$101,MOD(58+$C27+(0),$B$3)+1)*I27+INDEX(Symboles!$H$6:$H$101,MOD(58+$C27+(1),$B$3)+1)*J27+INDEX(Symboles!$H$6:$H$101,MOD(58+$C27+(2),$B$3)+1)*K27+INDEX(Symboles!$H$6:$H$101,MOD(58+$C27+(3),$B$3)+1)*L27+INDEX(Symboles!$H$6:$H$101,MOD(58+$C27+(4),$B$3)+1)*M27+IF($B$6=0,0,$B$6*NORMSINV(0.000001+0.999998*RAND())))</f>
        <v/>
      </c>
      <c r="FP27" s="30">
        <f>IF(60&gt;$B$3,99,INDEX(Symboles!$H$6:$H$101,MOD(59+$C27+(-4),$B$3)+1)*E27+INDEX(Symboles!$H$6:$H$101,MOD(59+$C27+(-3),$B$3)+1)*F27+INDEX(Symboles!$H$6:$H$101,MOD(59+$C27+(-2),$B$3)+1)*G27+INDEX(Symboles!$H$6:$H$101,MOD(59+$C27+(-1),$B$3)+1)*H27+INDEX(Symboles!$H$6:$H$101,MOD(59+$C27+(0),$B$3)+1)*I27+INDEX(Symboles!$H$6:$H$101,MOD(59+$C27+(1),$B$3)+1)*J27+INDEX(Symboles!$H$6:$H$101,MOD(59+$C27+(2),$B$3)+1)*K27+INDEX(Symboles!$H$6:$H$101,MOD(59+$C27+(3),$B$3)+1)*L27+INDEX(Symboles!$H$6:$H$101,MOD(59+$C27+(4),$B$3)+1)*M27+IF($B$6=0,0,$B$6*NORMSINV(0.000001+0.999998*RAND())))</f>
        <v/>
      </c>
      <c r="FQ27" s="30">
        <f>IF(61&gt;$B$3,99,INDEX(Symboles!$H$6:$H$101,MOD(60+$C27+(-4),$B$3)+1)*E27+INDEX(Symboles!$H$6:$H$101,MOD(60+$C27+(-3),$B$3)+1)*F27+INDEX(Symboles!$H$6:$H$101,MOD(60+$C27+(-2),$B$3)+1)*G27+INDEX(Symboles!$H$6:$H$101,MOD(60+$C27+(-1),$B$3)+1)*H27+INDEX(Symboles!$H$6:$H$101,MOD(60+$C27+(0),$B$3)+1)*I27+INDEX(Symboles!$H$6:$H$101,MOD(60+$C27+(1),$B$3)+1)*J27+INDEX(Symboles!$H$6:$H$101,MOD(60+$C27+(2),$B$3)+1)*K27+INDEX(Symboles!$H$6:$H$101,MOD(60+$C27+(3),$B$3)+1)*L27+INDEX(Symboles!$H$6:$H$101,MOD(60+$C27+(4),$B$3)+1)*M27+IF($B$6=0,0,$B$6*NORMSINV(0.000001+0.999998*RAND())))</f>
        <v/>
      </c>
      <c r="FR27" s="30">
        <f>IF(62&gt;$B$3,99,INDEX(Symboles!$H$6:$H$101,MOD(61+$C27+(-4),$B$3)+1)*E27+INDEX(Symboles!$H$6:$H$101,MOD(61+$C27+(-3),$B$3)+1)*F27+INDEX(Symboles!$H$6:$H$101,MOD(61+$C27+(-2),$B$3)+1)*G27+INDEX(Symboles!$H$6:$H$101,MOD(61+$C27+(-1),$B$3)+1)*H27+INDEX(Symboles!$H$6:$H$101,MOD(61+$C27+(0),$B$3)+1)*I27+INDEX(Symboles!$H$6:$H$101,MOD(61+$C27+(1),$B$3)+1)*J27+INDEX(Symboles!$H$6:$H$101,MOD(61+$C27+(2),$B$3)+1)*K27+INDEX(Symboles!$H$6:$H$101,MOD(61+$C27+(3),$B$3)+1)*L27+INDEX(Symboles!$H$6:$H$101,MOD(61+$C27+(4),$B$3)+1)*M27+IF($B$6=0,0,$B$6*NORMSINV(0.000001+0.999998*RAND())))</f>
        <v/>
      </c>
      <c r="FS27" s="30">
        <f>IF(63&gt;$B$3,99,INDEX(Symboles!$H$6:$H$101,MOD(62+$C27+(-4),$B$3)+1)*E27+INDEX(Symboles!$H$6:$H$101,MOD(62+$C27+(-3),$B$3)+1)*F27+INDEX(Symboles!$H$6:$H$101,MOD(62+$C27+(-2),$B$3)+1)*G27+INDEX(Symboles!$H$6:$H$101,MOD(62+$C27+(-1),$B$3)+1)*H27+INDEX(Symboles!$H$6:$H$101,MOD(62+$C27+(0),$B$3)+1)*I27+INDEX(Symboles!$H$6:$H$101,MOD(62+$C27+(1),$B$3)+1)*J27+INDEX(Symboles!$H$6:$H$101,MOD(62+$C27+(2),$B$3)+1)*K27+INDEX(Symboles!$H$6:$H$101,MOD(62+$C27+(3),$B$3)+1)*L27+INDEX(Symboles!$H$6:$H$101,MOD(62+$C27+(4),$B$3)+1)*M27+IF($B$6=0,0,$B$6*NORMSINV(0.000001+0.999998*RAND())))</f>
        <v/>
      </c>
      <c r="FT27" s="30">
        <f>IF(64&gt;$B$3,99,INDEX(Symboles!$H$6:$H$101,MOD(63+$C27+(-4),$B$3)+1)*E27+INDEX(Symboles!$H$6:$H$101,MOD(63+$C27+(-3),$B$3)+1)*F27+INDEX(Symboles!$H$6:$H$101,MOD(63+$C27+(-2),$B$3)+1)*G27+INDEX(Symboles!$H$6:$H$101,MOD(63+$C27+(-1),$B$3)+1)*H27+INDEX(Symboles!$H$6:$H$101,MOD(63+$C27+(0),$B$3)+1)*I27+INDEX(Symboles!$H$6:$H$101,MOD(63+$C27+(1),$B$3)+1)*J27+INDEX(Symboles!$H$6:$H$101,MOD(63+$C27+(2),$B$3)+1)*K27+INDEX(Symboles!$H$6:$H$101,MOD(63+$C27+(3),$B$3)+1)*L27+INDEX(Symboles!$H$6:$H$101,MOD(63+$C27+(4),$B$3)+1)*M27+IF($B$6=0,0,$B$6*NORMSINV(0.000001+0.999998*RAND())))</f>
        <v/>
      </c>
      <c r="FU27" s="30">
        <f>IF(65&gt;$B$3,99,INDEX(Symboles!$H$6:$H$101,MOD(64+$C27+(-4),$B$3)+1)*E27+INDEX(Symboles!$H$6:$H$101,MOD(64+$C27+(-3),$B$3)+1)*F27+INDEX(Symboles!$H$6:$H$101,MOD(64+$C27+(-2),$B$3)+1)*G27+INDEX(Symboles!$H$6:$H$101,MOD(64+$C27+(-1),$B$3)+1)*H27+INDEX(Symboles!$H$6:$H$101,MOD(64+$C27+(0),$B$3)+1)*I27+INDEX(Symboles!$H$6:$H$101,MOD(64+$C27+(1),$B$3)+1)*J27+INDEX(Symboles!$H$6:$H$101,MOD(64+$C27+(2),$B$3)+1)*K27+INDEX(Symboles!$H$6:$H$101,MOD(64+$C27+(3),$B$3)+1)*L27+INDEX(Symboles!$H$6:$H$101,MOD(64+$C27+(4),$B$3)+1)*M27+IF($B$6=0,0,$B$6*NORMSINV(0.000001+0.999998*RAND())))</f>
        <v/>
      </c>
      <c r="FV27" s="30">
        <f>IF(66&gt;$B$3,99,INDEX(Symboles!$H$6:$H$101,MOD(65+$C27+(-4),$B$3)+1)*E27+INDEX(Symboles!$H$6:$H$101,MOD(65+$C27+(-3),$B$3)+1)*F27+INDEX(Symboles!$H$6:$H$101,MOD(65+$C27+(-2),$B$3)+1)*G27+INDEX(Symboles!$H$6:$H$101,MOD(65+$C27+(-1),$B$3)+1)*H27+INDEX(Symboles!$H$6:$H$101,MOD(65+$C27+(0),$B$3)+1)*I27+INDEX(Symboles!$H$6:$H$101,MOD(65+$C27+(1),$B$3)+1)*J27+INDEX(Symboles!$H$6:$H$101,MOD(65+$C27+(2),$B$3)+1)*K27+INDEX(Symboles!$H$6:$H$101,MOD(65+$C27+(3),$B$3)+1)*L27+INDEX(Symboles!$H$6:$H$101,MOD(65+$C27+(4),$B$3)+1)*M27+IF($B$6=0,0,$B$6*NORMSINV(0.000001+0.999998*RAND())))</f>
        <v/>
      </c>
      <c r="FW27" s="30">
        <f>IF(67&gt;$B$3,99,INDEX(Symboles!$H$6:$H$101,MOD(66+$C27+(-4),$B$3)+1)*E27+INDEX(Symboles!$H$6:$H$101,MOD(66+$C27+(-3),$B$3)+1)*F27+INDEX(Symboles!$H$6:$H$101,MOD(66+$C27+(-2),$B$3)+1)*G27+INDEX(Symboles!$H$6:$H$101,MOD(66+$C27+(-1),$B$3)+1)*H27+INDEX(Symboles!$H$6:$H$101,MOD(66+$C27+(0),$B$3)+1)*I27+INDEX(Symboles!$H$6:$H$101,MOD(66+$C27+(1),$B$3)+1)*J27+INDEX(Symboles!$H$6:$H$101,MOD(66+$C27+(2),$B$3)+1)*K27+INDEX(Symboles!$H$6:$H$101,MOD(66+$C27+(3),$B$3)+1)*L27+INDEX(Symboles!$H$6:$H$101,MOD(66+$C27+(4),$B$3)+1)*M27+IF($B$6=0,0,$B$6*NORMSINV(0.000001+0.999998*RAND())))</f>
        <v/>
      </c>
      <c r="FX27" s="30">
        <f>IF(68&gt;$B$3,99,INDEX(Symboles!$H$6:$H$101,MOD(67+$C27+(-4),$B$3)+1)*E27+INDEX(Symboles!$H$6:$H$101,MOD(67+$C27+(-3),$B$3)+1)*F27+INDEX(Symboles!$H$6:$H$101,MOD(67+$C27+(-2),$B$3)+1)*G27+INDEX(Symboles!$H$6:$H$101,MOD(67+$C27+(-1),$B$3)+1)*H27+INDEX(Symboles!$H$6:$H$101,MOD(67+$C27+(0),$B$3)+1)*I27+INDEX(Symboles!$H$6:$H$101,MOD(67+$C27+(1),$B$3)+1)*J27+INDEX(Symboles!$H$6:$H$101,MOD(67+$C27+(2),$B$3)+1)*K27+INDEX(Symboles!$H$6:$H$101,MOD(67+$C27+(3),$B$3)+1)*L27+INDEX(Symboles!$H$6:$H$101,MOD(67+$C27+(4),$B$3)+1)*M27+IF($B$6=0,0,$B$6*NORMSINV(0.000001+0.999998*RAND())))</f>
        <v/>
      </c>
      <c r="FY27" s="30">
        <f>IF(69&gt;$B$3,99,INDEX(Symboles!$H$6:$H$101,MOD(68+$C27+(-4),$B$3)+1)*E27+INDEX(Symboles!$H$6:$H$101,MOD(68+$C27+(-3),$B$3)+1)*F27+INDEX(Symboles!$H$6:$H$101,MOD(68+$C27+(-2),$B$3)+1)*G27+INDEX(Symboles!$H$6:$H$101,MOD(68+$C27+(-1),$B$3)+1)*H27+INDEX(Symboles!$H$6:$H$101,MOD(68+$C27+(0),$B$3)+1)*I27+INDEX(Symboles!$H$6:$H$101,MOD(68+$C27+(1),$B$3)+1)*J27+INDEX(Symboles!$H$6:$H$101,MOD(68+$C27+(2),$B$3)+1)*K27+INDEX(Symboles!$H$6:$H$101,MOD(68+$C27+(3),$B$3)+1)*L27+INDEX(Symboles!$H$6:$H$101,MOD(68+$C27+(4),$B$3)+1)*M27+IF($B$6=0,0,$B$6*NORMSINV(0.000001+0.999998*RAND())))</f>
        <v/>
      </c>
      <c r="FZ27" s="30">
        <f>IF(70&gt;$B$3,99,INDEX(Symboles!$H$6:$H$101,MOD(69+$C27+(-4),$B$3)+1)*E27+INDEX(Symboles!$H$6:$H$101,MOD(69+$C27+(-3),$B$3)+1)*F27+INDEX(Symboles!$H$6:$H$101,MOD(69+$C27+(-2),$B$3)+1)*G27+INDEX(Symboles!$H$6:$H$101,MOD(69+$C27+(-1),$B$3)+1)*H27+INDEX(Symboles!$H$6:$H$101,MOD(69+$C27+(0),$B$3)+1)*I27+INDEX(Symboles!$H$6:$H$101,MOD(69+$C27+(1),$B$3)+1)*J27+INDEX(Symboles!$H$6:$H$101,MOD(69+$C27+(2),$B$3)+1)*K27+INDEX(Symboles!$H$6:$H$101,MOD(69+$C27+(3),$B$3)+1)*L27+INDEX(Symboles!$H$6:$H$101,MOD(69+$C27+(4),$B$3)+1)*M27+IF($B$6=0,0,$B$6*NORMSINV(0.000001+0.999998*RAND())))</f>
        <v/>
      </c>
      <c r="GA27" s="30">
        <f>IF(71&gt;$B$3,99,INDEX(Symboles!$H$6:$H$101,MOD(70+$C27+(-4),$B$3)+1)*E27+INDEX(Symboles!$H$6:$H$101,MOD(70+$C27+(-3),$B$3)+1)*F27+INDEX(Symboles!$H$6:$H$101,MOD(70+$C27+(-2),$B$3)+1)*G27+INDEX(Symboles!$H$6:$H$101,MOD(70+$C27+(-1),$B$3)+1)*H27+INDEX(Symboles!$H$6:$H$101,MOD(70+$C27+(0),$B$3)+1)*I27+INDEX(Symboles!$H$6:$H$101,MOD(70+$C27+(1),$B$3)+1)*J27+INDEX(Symboles!$H$6:$H$101,MOD(70+$C27+(2),$B$3)+1)*K27+INDEX(Symboles!$H$6:$H$101,MOD(70+$C27+(3),$B$3)+1)*L27+INDEX(Symboles!$H$6:$H$101,MOD(70+$C27+(4),$B$3)+1)*M27+IF($B$6=0,0,$B$6*NORMSINV(0.000001+0.999998*RAND())))</f>
        <v/>
      </c>
      <c r="GB27" s="30">
        <f>IF(72&gt;$B$3,99,INDEX(Symboles!$H$6:$H$101,MOD(71+$C27+(-4),$B$3)+1)*E27+INDEX(Symboles!$H$6:$H$101,MOD(71+$C27+(-3),$B$3)+1)*F27+INDEX(Symboles!$H$6:$H$101,MOD(71+$C27+(-2),$B$3)+1)*G27+INDEX(Symboles!$H$6:$H$101,MOD(71+$C27+(-1),$B$3)+1)*H27+INDEX(Symboles!$H$6:$H$101,MOD(71+$C27+(0),$B$3)+1)*I27+INDEX(Symboles!$H$6:$H$101,MOD(71+$C27+(1),$B$3)+1)*J27+INDEX(Symboles!$H$6:$H$101,MOD(71+$C27+(2),$B$3)+1)*K27+INDEX(Symboles!$H$6:$H$101,MOD(71+$C27+(3),$B$3)+1)*L27+INDEX(Symboles!$H$6:$H$101,MOD(71+$C27+(4),$B$3)+1)*M27+IF($B$6=0,0,$B$6*NORMSINV(0.000001+0.999998*RAND())))</f>
        <v/>
      </c>
      <c r="GC27" s="30">
        <f>IF(73&gt;$B$3,99,INDEX(Symboles!$H$6:$H$101,MOD(72+$C27+(-4),$B$3)+1)*E27+INDEX(Symboles!$H$6:$H$101,MOD(72+$C27+(-3),$B$3)+1)*F27+INDEX(Symboles!$H$6:$H$101,MOD(72+$C27+(-2),$B$3)+1)*G27+INDEX(Symboles!$H$6:$H$101,MOD(72+$C27+(-1),$B$3)+1)*H27+INDEX(Symboles!$H$6:$H$101,MOD(72+$C27+(0),$B$3)+1)*I27+INDEX(Symboles!$H$6:$H$101,MOD(72+$C27+(1),$B$3)+1)*J27+INDEX(Symboles!$H$6:$H$101,MOD(72+$C27+(2),$B$3)+1)*K27+INDEX(Symboles!$H$6:$H$101,MOD(72+$C27+(3),$B$3)+1)*L27+INDEX(Symboles!$H$6:$H$101,MOD(72+$C27+(4),$B$3)+1)*M27+IF($B$6=0,0,$B$6*NORMSINV(0.000001+0.999998*RAND())))</f>
        <v/>
      </c>
      <c r="GD27" s="30">
        <f>IF(74&gt;$B$3,99,INDEX(Symboles!$H$6:$H$101,MOD(73+$C27+(-4),$B$3)+1)*E27+INDEX(Symboles!$H$6:$H$101,MOD(73+$C27+(-3),$B$3)+1)*F27+INDEX(Symboles!$H$6:$H$101,MOD(73+$C27+(-2),$B$3)+1)*G27+INDEX(Symboles!$H$6:$H$101,MOD(73+$C27+(-1),$B$3)+1)*H27+INDEX(Symboles!$H$6:$H$101,MOD(73+$C27+(0),$B$3)+1)*I27+INDEX(Symboles!$H$6:$H$101,MOD(73+$C27+(1),$B$3)+1)*J27+INDEX(Symboles!$H$6:$H$101,MOD(73+$C27+(2),$B$3)+1)*K27+INDEX(Symboles!$H$6:$H$101,MOD(73+$C27+(3),$B$3)+1)*L27+INDEX(Symboles!$H$6:$H$101,MOD(73+$C27+(4),$B$3)+1)*M27+IF($B$6=0,0,$B$6*NORMSINV(0.000001+0.999998*RAND())))</f>
        <v/>
      </c>
      <c r="GE27" s="30">
        <f>IF(75&gt;$B$3,99,INDEX(Symboles!$H$6:$H$101,MOD(74+$C27+(-4),$B$3)+1)*E27+INDEX(Symboles!$H$6:$H$101,MOD(74+$C27+(-3),$B$3)+1)*F27+INDEX(Symboles!$H$6:$H$101,MOD(74+$C27+(-2),$B$3)+1)*G27+INDEX(Symboles!$H$6:$H$101,MOD(74+$C27+(-1),$B$3)+1)*H27+INDEX(Symboles!$H$6:$H$101,MOD(74+$C27+(0),$B$3)+1)*I27+INDEX(Symboles!$H$6:$H$101,MOD(74+$C27+(1),$B$3)+1)*J27+INDEX(Symboles!$H$6:$H$101,MOD(74+$C27+(2),$B$3)+1)*K27+INDEX(Symboles!$H$6:$H$101,MOD(74+$C27+(3),$B$3)+1)*L27+INDEX(Symboles!$H$6:$H$101,MOD(74+$C27+(4),$B$3)+1)*M27+IF($B$6=0,0,$B$6*NORMSINV(0.000001+0.999998*RAND())))</f>
        <v/>
      </c>
      <c r="GF27" s="30">
        <f>IF(76&gt;$B$3,99,INDEX(Symboles!$H$6:$H$101,MOD(75+$C27+(-4),$B$3)+1)*E27+INDEX(Symboles!$H$6:$H$101,MOD(75+$C27+(-3),$B$3)+1)*F27+INDEX(Symboles!$H$6:$H$101,MOD(75+$C27+(-2),$B$3)+1)*G27+INDEX(Symboles!$H$6:$H$101,MOD(75+$C27+(-1),$B$3)+1)*H27+INDEX(Symboles!$H$6:$H$101,MOD(75+$C27+(0),$B$3)+1)*I27+INDEX(Symboles!$H$6:$H$101,MOD(75+$C27+(1),$B$3)+1)*J27+INDEX(Symboles!$H$6:$H$101,MOD(75+$C27+(2),$B$3)+1)*K27+INDEX(Symboles!$H$6:$H$101,MOD(75+$C27+(3),$B$3)+1)*L27+INDEX(Symboles!$H$6:$H$101,MOD(75+$C27+(4),$B$3)+1)*M27+IF($B$6=0,0,$B$6*NORMSINV(0.000001+0.999998*RAND())))</f>
        <v/>
      </c>
      <c r="GG27" s="30">
        <f>IF(77&gt;$B$3,99,INDEX(Symboles!$H$6:$H$101,MOD(76+$C27+(-4),$B$3)+1)*E27+INDEX(Symboles!$H$6:$H$101,MOD(76+$C27+(-3),$B$3)+1)*F27+INDEX(Symboles!$H$6:$H$101,MOD(76+$C27+(-2),$B$3)+1)*G27+INDEX(Symboles!$H$6:$H$101,MOD(76+$C27+(-1),$B$3)+1)*H27+INDEX(Symboles!$H$6:$H$101,MOD(76+$C27+(0),$B$3)+1)*I27+INDEX(Symboles!$H$6:$H$101,MOD(76+$C27+(1),$B$3)+1)*J27+INDEX(Symboles!$H$6:$H$101,MOD(76+$C27+(2),$B$3)+1)*K27+INDEX(Symboles!$H$6:$H$101,MOD(76+$C27+(3),$B$3)+1)*L27+INDEX(Symboles!$H$6:$H$101,MOD(76+$C27+(4),$B$3)+1)*M27+IF($B$6=0,0,$B$6*NORMSINV(0.000001+0.999998*RAND())))</f>
        <v/>
      </c>
      <c r="GH27" s="30">
        <f>IF(78&gt;$B$3,99,INDEX(Symboles!$H$6:$H$101,MOD(77+$C27+(-4),$B$3)+1)*E27+INDEX(Symboles!$H$6:$H$101,MOD(77+$C27+(-3),$B$3)+1)*F27+INDEX(Symboles!$H$6:$H$101,MOD(77+$C27+(-2),$B$3)+1)*G27+INDEX(Symboles!$H$6:$H$101,MOD(77+$C27+(-1),$B$3)+1)*H27+INDEX(Symboles!$H$6:$H$101,MOD(77+$C27+(0),$B$3)+1)*I27+INDEX(Symboles!$H$6:$H$101,MOD(77+$C27+(1),$B$3)+1)*J27+INDEX(Symboles!$H$6:$H$101,MOD(77+$C27+(2),$B$3)+1)*K27+INDEX(Symboles!$H$6:$H$101,MOD(77+$C27+(3),$B$3)+1)*L27+INDEX(Symboles!$H$6:$H$101,MOD(77+$C27+(4),$B$3)+1)*M27+IF($B$6=0,0,$B$6*NORMSINV(0.000001+0.999998*RAND())))</f>
        <v/>
      </c>
      <c r="GI27" s="30">
        <f>IF(79&gt;$B$3,99,INDEX(Symboles!$H$6:$H$101,MOD(78+$C27+(-4),$B$3)+1)*E27+INDEX(Symboles!$H$6:$H$101,MOD(78+$C27+(-3),$B$3)+1)*F27+INDEX(Symboles!$H$6:$H$101,MOD(78+$C27+(-2),$B$3)+1)*G27+INDEX(Symboles!$H$6:$H$101,MOD(78+$C27+(-1),$B$3)+1)*H27+INDEX(Symboles!$H$6:$H$101,MOD(78+$C27+(0),$B$3)+1)*I27+INDEX(Symboles!$H$6:$H$101,MOD(78+$C27+(1),$B$3)+1)*J27+INDEX(Symboles!$H$6:$H$101,MOD(78+$C27+(2),$B$3)+1)*K27+INDEX(Symboles!$H$6:$H$101,MOD(78+$C27+(3),$B$3)+1)*L27+INDEX(Symboles!$H$6:$H$101,MOD(78+$C27+(4),$B$3)+1)*M27+IF($B$6=0,0,$B$6*NORMSINV(0.000001+0.999998*RAND())))</f>
        <v/>
      </c>
      <c r="GJ27" s="30">
        <f>IF(80&gt;$B$3,99,INDEX(Symboles!$H$6:$H$101,MOD(79+$C27+(-4),$B$3)+1)*E27+INDEX(Symboles!$H$6:$H$101,MOD(79+$C27+(-3),$B$3)+1)*F27+INDEX(Symboles!$H$6:$H$101,MOD(79+$C27+(-2),$B$3)+1)*G27+INDEX(Symboles!$H$6:$H$101,MOD(79+$C27+(-1),$B$3)+1)*H27+INDEX(Symboles!$H$6:$H$101,MOD(79+$C27+(0),$B$3)+1)*I27+INDEX(Symboles!$H$6:$H$101,MOD(79+$C27+(1),$B$3)+1)*J27+INDEX(Symboles!$H$6:$H$101,MOD(79+$C27+(2),$B$3)+1)*K27+INDEX(Symboles!$H$6:$H$101,MOD(79+$C27+(3),$B$3)+1)*L27+INDEX(Symboles!$H$6:$H$101,MOD(79+$C27+(4),$B$3)+1)*M27+IF($B$6=0,0,$B$6*NORMSINV(0.000001+0.999998*RAND())))</f>
        <v/>
      </c>
      <c r="GK27" s="30">
        <f>IF(81&gt;$B$3,99,INDEX(Symboles!$H$6:$H$101,MOD(80+$C27+(-4),$B$3)+1)*E27+INDEX(Symboles!$H$6:$H$101,MOD(80+$C27+(-3),$B$3)+1)*F27+INDEX(Symboles!$H$6:$H$101,MOD(80+$C27+(-2),$B$3)+1)*G27+INDEX(Symboles!$H$6:$H$101,MOD(80+$C27+(-1),$B$3)+1)*H27+INDEX(Symboles!$H$6:$H$101,MOD(80+$C27+(0),$B$3)+1)*I27+INDEX(Symboles!$H$6:$H$101,MOD(80+$C27+(1),$B$3)+1)*J27+INDEX(Symboles!$H$6:$H$101,MOD(80+$C27+(2),$B$3)+1)*K27+INDEX(Symboles!$H$6:$H$101,MOD(80+$C27+(3),$B$3)+1)*L27+INDEX(Symboles!$H$6:$H$101,MOD(80+$C27+(4),$B$3)+1)*M27+IF($B$6=0,0,$B$6*NORMSINV(0.000001+0.999998*RAND())))</f>
        <v/>
      </c>
      <c r="GL27" s="30">
        <f>IF(82&gt;$B$3,99,INDEX(Symboles!$H$6:$H$101,MOD(81+$C27+(-4),$B$3)+1)*E27+INDEX(Symboles!$H$6:$H$101,MOD(81+$C27+(-3),$B$3)+1)*F27+INDEX(Symboles!$H$6:$H$101,MOD(81+$C27+(-2),$B$3)+1)*G27+INDEX(Symboles!$H$6:$H$101,MOD(81+$C27+(-1),$B$3)+1)*H27+INDEX(Symboles!$H$6:$H$101,MOD(81+$C27+(0),$B$3)+1)*I27+INDEX(Symboles!$H$6:$H$101,MOD(81+$C27+(1),$B$3)+1)*J27+INDEX(Symboles!$H$6:$H$101,MOD(81+$C27+(2),$B$3)+1)*K27+INDEX(Symboles!$H$6:$H$101,MOD(81+$C27+(3),$B$3)+1)*L27+INDEX(Symboles!$H$6:$H$101,MOD(81+$C27+(4),$B$3)+1)*M27+IF($B$6=0,0,$B$6*NORMSINV(0.000001+0.999998*RAND())))</f>
        <v/>
      </c>
      <c r="GM27" s="30">
        <f>IF(83&gt;$B$3,99,INDEX(Symboles!$H$6:$H$101,MOD(82+$C27+(-4),$B$3)+1)*E27+INDEX(Symboles!$H$6:$H$101,MOD(82+$C27+(-3),$B$3)+1)*F27+INDEX(Symboles!$H$6:$H$101,MOD(82+$C27+(-2),$B$3)+1)*G27+INDEX(Symboles!$H$6:$H$101,MOD(82+$C27+(-1),$B$3)+1)*H27+INDEX(Symboles!$H$6:$H$101,MOD(82+$C27+(0),$B$3)+1)*I27+INDEX(Symboles!$H$6:$H$101,MOD(82+$C27+(1),$B$3)+1)*J27+INDEX(Symboles!$H$6:$H$101,MOD(82+$C27+(2),$B$3)+1)*K27+INDEX(Symboles!$H$6:$H$101,MOD(82+$C27+(3),$B$3)+1)*L27+INDEX(Symboles!$H$6:$H$101,MOD(82+$C27+(4),$B$3)+1)*M27+IF($B$6=0,0,$B$6*NORMSINV(0.000001+0.999998*RAND())))</f>
        <v/>
      </c>
      <c r="GN27" s="30">
        <f>IF(84&gt;$B$3,99,INDEX(Symboles!$H$6:$H$101,MOD(83+$C27+(-4),$B$3)+1)*E27+INDEX(Symboles!$H$6:$H$101,MOD(83+$C27+(-3),$B$3)+1)*F27+INDEX(Symboles!$H$6:$H$101,MOD(83+$C27+(-2),$B$3)+1)*G27+INDEX(Symboles!$H$6:$H$101,MOD(83+$C27+(-1),$B$3)+1)*H27+INDEX(Symboles!$H$6:$H$101,MOD(83+$C27+(0),$B$3)+1)*I27+INDEX(Symboles!$H$6:$H$101,MOD(83+$C27+(1),$B$3)+1)*J27+INDEX(Symboles!$H$6:$H$101,MOD(83+$C27+(2),$B$3)+1)*K27+INDEX(Symboles!$H$6:$H$101,MOD(83+$C27+(3),$B$3)+1)*L27+INDEX(Symboles!$H$6:$H$101,MOD(83+$C27+(4),$B$3)+1)*M27+IF($B$6=0,0,$B$6*NORMSINV(0.000001+0.999998*RAND())))</f>
        <v/>
      </c>
      <c r="GO27" s="30">
        <f>IF(85&gt;$B$3,99,INDEX(Symboles!$H$6:$H$101,MOD(84+$C27+(-4),$B$3)+1)*E27+INDEX(Symboles!$H$6:$H$101,MOD(84+$C27+(-3),$B$3)+1)*F27+INDEX(Symboles!$H$6:$H$101,MOD(84+$C27+(-2),$B$3)+1)*G27+INDEX(Symboles!$H$6:$H$101,MOD(84+$C27+(-1),$B$3)+1)*H27+INDEX(Symboles!$H$6:$H$101,MOD(84+$C27+(0),$B$3)+1)*I27+INDEX(Symboles!$H$6:$H$101,MOD(84+$C27+(1),$B$3)+1)*J27+INDEX(Symboles!$H$6:$H$101,MOD(84+$C27+(2),$B$3)+1)*K27+INDEX(Symboles!$H$6:$H$101,MOD(84+$C27+(3),$B$3)+1)*L27+INDEX(Symboles!$H$6:$H$101,MOD(84+$C27+(4),$B$3)+1)*M27+IF($B$6=0,0,$B$6*NORMSINV(0.000001+0.999998*RAND())))</f>
        <v/>
      </c>
      <c r="GP27" s="30">
        <f>IF(86&gt;$B$3,99,INDEX(Symboles!$H$6:$H$101,MOD(85+$C27+(-4),$B$3)+1)*E27+INDEX(Symboles!$H$6:$H$101,MOD(85+$C27+(-3),$B$3)+1)*F27+INDEX(Symboles!$H$6:$H$101,MOD(85+$C27+(-2),$B$3)+1)*G27+INDEX(Symboles!$H$6:$H$101,MOD(85+$C27+(-1),$B$3)+1)*H27+INDEX(Symboles!$H$6:$H$101,MOD(85+$C27+(0),$B$3)+1)*I27+INDEX(Symboles!$H$6:$H$101,MOD(85+$C27+(1),$B$3)+1)*J27+INDEX(Symboles!$H$6:$H$101,MOD(85+$C27+(2),$B$3)+1)*K27+INDEX(Symboles!$H$6:$H$101,MOD(85+$C27+(3),$B$3)+1)*L27+INDEX(Symboles!$H$6:$H$101,MOD(85+$C27+(4),$B$3)+1)*M27+IF($B$6=0,0,$B$6*NORMSINV(0.000001+0.999998*RAND())))</f>
        <v/>
      </c>
      <c r="GQ27" s="30">
        <f>IF(87&gt;$B$3,99,INDEX(Symboles!$H$6:$H$101,MOD(86+$C27+(-4),$B$3)+1)*E27+INDEX(Symboles!$H$6:$H$101,MOD(86+$C27+(-3),$B$3)+1)*F27+INDEX(Symboles!$H$6:$H$101,MOD(86+$C27+(-2),$B$3)+1)*G27+INDEX(Symboles!$H$6:$H$101,MOD(86+$C27+(-1),$B$3)+1)*H27+INDEX(Symboles!$H$6:$H$101,MOD(86+$C27+(0),$B$3)+1)*I27+INDEX(Symboles!$H$6:$H$101,MOD(86+$C27+(1),$B$3)+1)*J27+INDEX(Symboles!$H$6:$H$101,MOD(86+$C27+(2),$B$3)+1)*K27+INDEX(Symboles!$H$6:$H$101,MOD(86+$C27+(3),$B$3)+1)*L27+INDEX(Symboles!$H$6:$H$101,MOD(86+$C27+(4),$B$3)+1)*M27+IF($B$6=0,0,$B$6*NORMSINV(0.000001+0.999998*RAND())))</f>
        <v/>
      </c>
      <c r="GR27" s="30">
        <f>IF(88&gt;$B$3,99,INDEX(Symboles!$H$6:$H$101,MOD(87+$C27+(-4),$B$3)+1)*E27+INDEX(Symboles!$H$6:$H$101,MOD(87+$C27+(-3),$B$3)+1)*F27+INDEX(Symboles!$H$6:$H$101,MOD(87+$C27+(-2),$B$3)+1)*G27+INDEX(Symboles!$H$6:$H$101,MOD(87+$C27+(-1),$B$3)+1)*H27+INDEX(Symboles!$H$6:$H$101,MOD(87+$C27+(0),$B$3)+1)*I27+INDEX(Symboles!$H$6:$H$101,MOD(87+$C27+(1),$B$3)+1)*J27+INDEX(Symboles!$H$6:$H$101,MOD(87+$C27+(2),$B$3)+1)*K27+INDEX(Symboles!$H$6:$H$101,MOD(87+$C27+(3),$B$3)+1)*L27+INDEX(Symboles!$H$6:$H$101,MOD(87+$C27+(4),$B$3)+1)*M27+IF($B$6=0,0,$B$6*NORMSINV(0.000001+0.999998*RAND())))</f>
        <v/>
      </c>
      <c r="GS27" s="30">
        <f>IF(89&gt;$B$3,99,INDEX(Symboles!$H$6:$H$101,MOD(88+$C27+(-4),$B$3)+1)*E27+INDEX(Symboles!$H$6:$H$101,MOD(88+$C27+(-3),$B$3)+1)*F27+INDEX(Symboles!$H$6:$H$101,MOD(88+$C27+(-2),$B$3)+1)*G27+INDEX(Symboles!$H$6:$H$101,MOD(88+$C27+(-1),$B$3)+1)*H27+INDEX(Symboles!$H$6:$H$101,MOD(88+$C27+(0),$B$3)+1)*I27+INDEX(Symboles!$H$6:$H$101,MOD(88+$C27+(1),$B$3)+1)*J27+INDEX(Symboles!$H$6:$H$101,MOD(88+$C27+(2),$B$3)+1)*K27+INDEX(Symboles!$H$6:$H$101,MOD(88+$C27+(3),$B$3)+1)*L27+INDEX(Symboles!$H$6:$H$101,MOD(88+$C27+(4),$B$3)+1)*M27+IF($B$6=0,0,$B$6*NORMSINV(0.000001+0.999998*RAND())))</f>
        <v/>
      </c>
      <c r="GT27" s="30">
        <f>IF(90&gt;$B$3,99,INDEX(Symboles!$H$6:$H$101,MOD(89+$C27+(-4),$B$3)+1)*E27+INDEX(Symboles!$H$6:$H$101,MOD(89+$C27+(-3),$B$3)+1)*F27+INDEX(Symboles!$H$6:$H$101,MOD(89+$C27+(-2),$B$3)+1)*G27+INDEX(Symboles!$H$6:$H$101,MOD(89+$C27+(-1),$B$3)+1)*H27+INDEX(Symboles!$H$6:$H$101,MOD(89+$C27+(0),$B$3)+1)*I27+INDEX(Symboles!$H$6:$H$101,MOD(89+$C27+(1),$B$3)+1)*J27+INDEX(Symboles!$H$6:$H$101,MOD(89+$C27+(2),$B$3)+1)*K27+INDEX(Symboles!$H$6:$H$101,MOD(89+$C27+(3),$B$3)+1)*L27+INDEX(Symboles!$H$6:$H$101,MOD(89+$C27+(4),$B$3)+1)*M27+IF($B$6=0,0,$B$6*NORMSINV(0.000001+0.999998*RAND())))</f>
        <v/>
      </c>
      <c r="GU27" s="30">
        <f>IF(91&gt;$B$3,99,INDEX(Symboles!$H$6:$H$101,MOD(90+$C27+(-4),$B$3)+1)*E27+INDEX(Symboles!$H$6:$H$101,MOD(90+$C27+(-3),$B$3)+1)*F27+INDEX(Symboles!$H$6:$H$101,MOD(90+$C27+(-2),$B$3)+1)*G27+INDEX(Symboles!$H$6:$H$101,MOD(90+$C27+(-1),$B$3)+1)*H27+INDEX(Symboles!$H$6:$H$101,MOD(90+$C27+(0),$B$3)+1)*I27+INDEX(Symboles!$H$6:$H$101,MOD(90+$C27+(1),$B$3)+1)*J27+INDEX(Symboles!$H$6:$H$101,MOD(90+$C27+(2),$B$3)+1)*K27+INDEX(Symboles!$H$6:$H$101,MOD(90+$C27+(3),$B$3)+1)*L27+INDEX(Symboles!$H$6:$H$101,MOD(90+$C27+(4),$B$3)+1)*M27+IF($B$6=0,0,$B$6*NORMSINV(0.000001+0.999998*RAND())))</f>
        <v/>
      </c>
      <c r="GV27" s="30">
        <f>IF(92&gt;$B$3,99,INDEX(Symboles!$H$6:$H$101,MOD(91+$C27+(-4),$B$3)+1)*E27+INDEX(Symboles!$H$6:$H$101,MOD(91+$C27+(-3),$B$3)+1)*F27+INDEX(Symboles!$H$6:$H$101,MOD(91+$C27+(-2),$B$3)+1)*G27+INDEX(Symboles!$H$6:$H$101,MOD(91+$C27+(-1),$B$3)+1)*H27+INDEX(Symboles!$H$6:$H$101,MOD(91+$C27+(0),$B$3)+1)*I27+INDEX(Symboles!$H$6:$H$101,MOD(91+$C27+(1),$B$3)+1)*J27+INDEX(Symboles!$H$6:$H$101,MOD(91+$C27+(2),$B$3)+1)*K27+INDEX(Symboles!$H$6:$H$101,MOD(91+$C27+(3),$B$3)+1)*L27+INDEX(Symboles!$H$6:$H$101,MOD(91+$C27+(4),$B$3)+1)*M27+IF($B$6=0,0,$B$6*NORMSINV(0.000001+0.999998*RAND())))</f>
        <v/>
      </c>
      <c r="GW27" s="30">
        <f>IF(93&gt;$B$3,99,INDEX(Symboles!$H$6:$H$101,MOD(92+$C27+(-4),$B$3)+1)*E27+INDEX(Symboles!$H$6:$H$101,MOD(92+$C27+(-3),$B$3)+1)*F27+INDEX(Symboles!$H$6:$H$101,MOD(92+$C27+(-2),$B$3)+1)*G27+INDEX(Symboles!$H$6:$H$101,MOD(92+$C27+(-1),$B$3)+1)*H27+INDEX(Symboles!$H$6:$H$101,MOD(92+$C27+(0),$B$3)+1)*I27+INDEX(Symboles!$H$6:$H$101,MOD(92+$C27+(1),$B$3)+1)*J27+INDEX(Symboles!$H$6:$H$101,MOD(92+$C27+(2),$B$3)+1)*K27+INDEX(Symboles!$H$6:$H$101,MOD(92+$C27+(3),$B$3)+1)*L27+INDEX(Symboles!$H$6:$H$101,MOD(92+$C27+(4),$B$3)+1)*M27+IF($B$6=0,0,$B$6*NORMSINV(0.000001+0.999998*RAND())))</f>
        <v/>
      </c>
      <c r="GX27" s="30">
        <f>IF(94&gt;$B$3,99,INDEX(Symboles!$H$6:$H$101,MOD(93+$C27+(-4),$B$3)+1)*E27+INDEX(Symboles!$H$6:$H$101,MOD(93+$C27+(-3),$B$3)+1)*F27+INDEX(Symboles!$H$6:$H$101,MOD(93+$C27+(-2),$B$3)+1)*G27+INDEX(Symboles!$H$6:$H$101,MOD(93+$C27+(-1),$B$3)+1)*H27+INDEX(Symboles!$H$6:$H$101,MOD(93+$C27+(0),$B$3)+1)*I27+INDEX(Symboles!$H$6:$H$101,MOD(93+$C27+(1),$B$3)+1)*J27+INDEX(Symboles!$H$6:$H$101,MOD(93+$C27+(2),$B$3)+1)*K27+INDEX(Symboles!$H$6:$H$101,MOD(93+$C27+(3),$B$3)+1)*L27+INDEX(Symboles!$H$6:$H$101,MOD(93+$C27+(4),$B$3)+1)*M27+IF($B$6=0,0,$B$6*NORMSINV(0.000001+0.999998*RAND())))</f>
        <v/>
      </c>
      <c r="GY27" s="30">
        <f>IF(95&gt;$B$3,99,INDEX(Symboles!$H$6:$H$101,MOD(94+$C27+(-4),$B$3)+1)*E27+INDEX(Symboles!$H$6:$H$101,MOD(94+$C27+(-3),$B$3)+1)*F27+INDEX(Symboles!$H$6:$H$101,MOD(94+$C27+(-2),$B$3)+1)*G27+INDEX(Symboles!$H$6:$H$101,MOD(94+$C27+(-1),$B$3)+1)*H27+INDEX(Symboles!$H$6:$H$101,MOD(94+$C27+(0),$B$3)+1)*I27+INDEX(Symboles!$H$6:$H$101,MOD(94+$C27+(1),$B$3)+1)*J27+INDEX(Symboles!$H$6:$H$101,MOD(94+$C27+(2),$B$3)+1)*K27+INDEX(Symboles!$H$6:$H$101,MOD(94+$C27+(3),$B$3)+1)*L27+INDEX(Symboles!$H$6:$H$101,MOD(94+$C27+(4),$B$3)+1)*M27+IF($B$6=0,0,$B$6*NORMSINV(0.000001+0.999998*RAND())))</f>
        <v/>
      </c>
      <c r="GZ27" s="30">
        <f>IF(96&gt;$B$3,99,INDEX(Symboles!$H$6:$H$101,MOD(95+$C27+(-4),$B$3)+1)*E27+INDEX(Symboles!$H$6:$H$101,MOD(95+$C27+(-3),$B$3)+1)*F27+INDEX(Symboles!$H$6:$H$101,MOD(95+$C27+(-2),$B$3)+1)*G27+INDEX(Symboles!$H$6:$H$101,MOD(95+$C27+(-1),$B$3)+1)*H27+INDEX(Symboles!$H$6:$H$101,MOD(95+$C27+(0),$B$3)+1)*I27+INDEX(Symboles!$H$6:$H$101,MOD(95+$C27+(1),$B$3)+1)*J27+INDEX(Symboles!$H$6:$H$101,MOD(95+$C27+(2),$B$3)+1)*K27+INDEX(Symboles!$H$6:$H$101,MOD(95+$C27+(3),$B$3)+1)*L27+INDEX(Symboles!$H$6:$H$101,MOD(95+$C27+(4),$B$3)+1)*M27+IF($B$6=0,0,$B$6*NORMSINV(0.000001+0.999998*RAND())))</f>
        <v/>
      </c>
    </row>
    <row r="28">
      <c r="A28" s="28" t="n">
        <v>18</v>
      </c>
      <c r="B28" s="28" t="n">
        <v>0.125</v>
      </c>
      <c r="C28" s="28" t="n">
        <v>0</v>
      </c>
      <c r="D28" s="28" t="n">
        <v>10</v>
      </c>
      <c r="E28" s="29">
        <f>IF($B$4=1,0,IF(ABS(1-(2*$B$5*4.125)^2)&lt;0.000001,PI()/4*SIN(PI()/(2*$B$5))/(PI()/(2*$B$5)),SIN(PI()*4.125)/(PI()*4.125)*COS(PI()*$B$5*4.125)/(1-(2*$B$5*4.125)^2)))</f>
        <v/>
      </c>
      <c r="F28" s="29">
        <f>IF($B$4=1,0,IF(ABS(1-(2*$B$5*3.125)^2)&lt;0.000001,PI()/4*SIN(PI()/(2*$B$5))/(PI()/(2*$B$5)),SIN(PI()*3.125)/(PI()*3.125)*COS(PI()*$B$5*3.125)/(1-(2*$B$5*3.125)^2)))</f>
        <v/>
      </c>
      <c r="G28" s="29">
        <f>IF($B$4=1,0,IF(ABS(1-(2*$B$5*2.125)^2)&lt;0.000001,PI()/4*SIN(PI()/(2*$B$5))/(PI()/(2*$B$5)),SIN(PI()*2.125)/(PI()*2.125)*COS(PI()*$B$5*2.125)/(1-(2*$B$5*2.125)^2)))</f>
        <v/>
      </c>
      <c r="H28" s="29">
        <f>IF($B$4=1,0,IF(ABS(1-(2*$B$5*1.125)^2)&lt;0.000001,PI()/4*SIN(PI()/(2*$B$5))/(PI()/(2*$B$5)),SIN(PI()*1.125)/(PI()*1.125)*COS(PI()*$B$5*1.125)/(1-(2*$B$5*1.125)^2)))</f>
        <v/>
      </c>
      <c r="I28" s="29">
        <f>IF($B$4=1,1,IF(ABS(1-(2*$B$5*0.125)^2)&lt;0.000001,PI()/4*SIN(PI()/(2*$B$5))/(PI()/(2*$B$5)),SIN(PI()*0.125)/(PI()*0.125)*COS(PI()*$B$5*0.125)/(1-(2*$B$5*0.125)^2)))</f>
        <v/>
      </c>
      <c r="J28" s="29">
        <f>IF($B$4=1,0,IF(ABS(1-(2*$B$5*-0.875)^2)&lt;0.000001,PI()/4*SIN(PI()/(2*$B$5))/(PI()/(2*$B$5)),SIN(PI()*-0.875)/(PI()*-0.875)*COS(PI()*$B$5*-0.875)/(1-(2*$B$5*-0.875)^2)))</f>
        <v/>
      </c>
      <c r="K28" s="29">
        <f>IF($B$4=1,0,IF(ABS(1-(2*$B$5*-1.875)^2)&lt;0.000001,PI()/4*SIN(PI()/(2*$B$5))/(PI()/(2*$B$5)),SIN(PI()*-1.875)/(PI()*-1.875)*COS(PI()*$B$5*-1.875)/(1-(2*$B$5*-1.875)^2)))</f>
        <v/>
      </c>
      <c r="L28" s="29">
        <f>IF($B$4=1,0,IF(ABS(1-(2*$B$5*-2.875)^2)&lt;0.000001,PI()/4*SIN(PI()/(2*$B$5))/(PI()/(2*$B$5)),SIN(PI()*-2.875)/(PI()*-2.875)*COS(PI()*$B$5*-2.875)/(1-(2*$B$5*-2.875)^2)))</f>
        <v/>
      </c>
      <c r="M28" s="29">
        <f>IF($B$4=1,0,IF(ABS(1-(2*$B$5*-3.875)^2)&lt;0.000001,PI()/4*SIN(PI()/(2*$B$5))/(PI()/(2*$B$5)),SIN(PI()*-3.875)/(PI()*-3.875)*COS(PI()*$B$5*-3.875)/(1-(2*$B$5*-3.875)^2)))</f>
        <v/>
      </c>
      <c r="P28" s="30">
        <f>IF(1&gt;$B$3,99,INDEX(Symboles!$G$6:$G$101,MOD(0+$C28+(-4),$B$3)+1)*E28+INDEX(Symboles!$G$6:$G$101,MOD(0+$C28+(-3),$B$3)+1)*F28+INDEX(Symboles!$G$6:$G$101,MOD(0+$C28+(-2),$B$3)+1)*G28+INDEX(Symboles!$G$6:$G$101,MOD(0+$C28+(-1),$B$3)+1)*H28+INDEX(Symboles!$G$6:$G$101,MOD(0+$C28+(0),$B$3)+1)*I28+INDEX(Symboles!$G$6:$G$101,MOD(0+$C28+(1),$B$3)+1)*J28+INDEX(Symboles!$G$6:$G$101,MOD(0+$C28+(2),$B$3)+1)*K28+INDEX(Symboles!$G$6:$G$101,MOD(0+$C28+(3),$B$3)+1)*L28+INDEX(Symboles!$G$6:$G$101,MOD(0+$C28+(4),$B$3)+1)*M28+IF($B$6=0,0,$B$6*NORMSINV(0.000001+0.999998*RAND())))</f>
        <v/>
      </c>
      <c r="Q28" s="30">
        <f>IF(2&gt;$B$3,99,INDEX(Symboles!$G$6:$G$101,MOD(1+$C28+(-4),$B$3)+1)*E28+INDEX(Symboles!$G$6:$G$101,MOD(1+$C28+(-3),$B$3)+1)*F28+INDEX(Symboles!$G$6:$G$101,MOD(1+$C28+(-2),$B$3)+1)*G28+INDEX(Symboles!$G$6:$G$101,MOD(1+$C28+(-1),$B$3)+1)*H28+INDEX(Symboles!$G$6:$G$101,MOD(1+$C28+(0),$B$3)+1)*I28+INDEX(Symboles!$G$6:$G$101,MOD(1+$C28+(1),$B$3)+1)*J28+INDEX(Symboles!$G$6:$G$101,MOD(1+$C28+(2),$B$3)+1)*K28+INDEX(Symboles!$G$6:$G$101,MOD(1+$C28+(3),$B$3)+1)*L28+INDEX(Symboles!$G$6:$G$101,MOD(1+$C28+(4),$B$3)+1)*M28+IF($B$6=0,0,$B$6*NORMSINV(0.000001+0.999998*RAND())))</f>
        <v/>
      </c>
      <c r="R28" s="30">
        <f>IF(3&gt;$B$3,99,INDEX(Symboles!$G$6:$G$101,MOD(2+$C28+(-4),$B$3)+1)*E28+INDEX(Symboles!$G$6:$G$101,MOD(2+$C28+(-3),$B$3)+1)*F28+INDEX(Symboles!$G$6:$G$101,MOD(2+$C28+(-2),$B$3)+1)*G28+INDEX(Symboles!$G$6:$G$101,MOD(2+$C28+(-1),$B$3)+1)*H28+INDEX(Symboles!$G$6:$G$101,MOD(2+$C28+(0),$B$3)+1)*I28+INDEX(Symboles!$G$6:$G$101,MOD(2+$C28+(1),$B$3)+1)*J28+INDEX(Symboles!$G$6:$G$101,MOD(2+$C28+(2),$B$3)+1)*K28+INDEX(Symboles!$G$6:$G$101,MOD(2+$C28+(3),$B$3)+1)*L28+INDEX(Symboles!$G$6:$G$101,MOD(2+$C28+(4),$B$3)+1)*M28+IF($B$6=0,0,$B$6*NORMSINV(0.000001+0.999998*RAND())))</f>
        <v/>
      </c>
      <c r="S28" s="30">
        <f>IF(4&gt;$B$3,99,INDEX(Symboles!$G$6:$G$101,MOD(3+$C28+(-4),$B$3)+1)*E28+INDEX(Symboles!$G$6:$G$101,MOD(3+$C28+(-3),$B$3)+1)*F28+INDEX(Symboles!$G$6:$G$101,MOD(3+$C28+(-2),$B$3)+1)*G28+INDEX(Symboles!$G$6:$G$101,MOD(3+$C28+(-1),$B$3)+1)*H28+INDEX(Symboles!$G$6:$G$101,MOD(3+$C28+(0),$B$3)+1)*I28+INDEX(Symboles!$G$6:$G$101,MOD(3+$C28+(1),$B$3)+1)*J28+INDEX(Symboles!$G$6:$G$101,MOD(3+$C28+(2),$B$3)+1)*K28+INDEX(Symboles!$G$6:$G$101,MOD(3+$C28+(3),$B$3)+1)*L28+INDEX(Symboles!$G$6:$G$101,MOD(3+$C28+(4),$B$3)+1)*M28+IF($B$6=0,0,$B$6*NORMSINV(0.000001+0.999998*RAND())))</f>
        <v/>
      </c>
      <c r="T28" s="30">
        <f>IF(5&gt;$B$3,99,INDEX(Symboles!$G$6:$G$101,MOD(4+$C28+(-4),$B$3)+1)*E28+INDEX(Symboles!$G$6:$G$101,MOD(4+$C28+(-3),$B$3)+1)*F28+INDEX(Symboles!$G$6:$G$101,MOD(4+$C28+(-2),$B$3)+1)*G28+INDEX(Symboles!$G$6:$G$101,MOD(4+$C28+(-1),$B$3)+1)*H28+INDEX(Symboles!$G$6:$G$101,MOD(4+$C28+(0),$B$3)+1)*I28+INDEX(Symboles!$G$6:$G$101,MOD(4+$C28+(1),$B$3)+1)*J28+INDEX(Symboles!$G$6:$G$101,MOD(4+$C28+(2),$B$3)+1)*K28+INDEX(Symboles!$G$6:$G$101,MOD(4+$C28+(3),$B$3)+1)*L28+INDEX(Symboles!$G$6:$G$101,MOD(4+$C28+(4),$B$3)+1)*M28+IF($B$6=0,0,$B$6*NORMSINV(0.000001+0.999998*RAND())))</f>
        <v/>
      </c>
      <c r="U28" s="30">
        <f>IF(6&gt;$B$3,99,INDEX(Symboles!$G$6:$G$101,MOD(5+$C28+(-4),$B$3)+1)*E28+INDEX(Symboles!$G$6:$G$101,MOD(5+$C28+(-3),$B$3)+1)*F28+INDEX(Symboles!$G$6:$G$101,MOD(5+$C28+(-2),$B$3)+1)*G28+INDEX(Symboles!$G$6:$G$101,MOD(5+$C28+(-1),$B$3)+1)*H28+INDEX(Symboles!$G$6:$G$101,MOD(5+$C28+(0),$B$3)+1)*I28+INDEX(Symboles!$G$6:$G$101,MOD(5+$C28+(1),$B$3)+1)*J28+INDEX(Symboles!$G$6:$G$101,MOD(5+$C28+(2),$B$3)+1)*K28+INDEX(Symboles!$G$6:$G$101,MOD(5+$C28+(3),$B$3)+1)*L28+INDEX(Symboles!$G$6:$G$101,MOD(5+$C28+(4),$B$3)+1)*M28+IF($B$6=0,0,$B$6*NORMSINV(0.000001+0.999998*RAND())))</f>
        <v/>
      </c>
      <c r="V28" s="30">
        <f>IF(7&gt;$B$3,99,INDEX(Symboles!$G$6:$G$101,MOD(6+$C28+(-4),$B$3)+1)*E28+INDEX(Symboles!$G$6:$G$101,MOD(6+$C28+(-3),$B$3)+1)*F28+INDEX(Symboles!$G$6:$G$101,MOD(6+$C28+(-2),$B$3)+1)*G28+INDEX(Symboles!$G$6:$G$101,MOD(6+$C28+(-1),$B$3)+1)*H28+INDEX(Symboles!$G$6:$G$101,MOD(6+$C28+(0),$B$3)+1)*I28+INDEX(Symboles!$G$6:$G$101,MOD(6+$C28+(1),$B$3)+1)*J28+INDEX(Symboles!$G$6:$G$101,MOD(6+$C28+(2),$B$3)+1)*K28+INDEX(Symboles!$G$6:$G$101,MOD(6+$C28+(3),$B$3)+1)*L28+INDEX(Symboles!$G$6:$G$101,MOD(6+$C28+(4),$B$3)+1)*M28+IF($B$6=0,0,$B$6*NORMSINV(0.000001+0.999998*RAND())))</f>
        <v/>
      </c>
      <c r="W28" s="30">
        <f>IF(8&gt;$B$3,99,INDEX(Symboles!$G$6:$G$101,MOD(7+$C28+(-4),$B$3)+1)*E28+INDEX(Symboles!$G$6:$G$101,MOD(7+$C28+(-3),$B$3)+1)*F28+INDEX(Symboles!$G$6:$G$101,MOD(7+$C28+(-2),$B$3)+1)*G28+INDEX(Symboles!$G$6:$G$101,MOD(7+$C28+(-1),$B$3)+1)*H28+INDEX(Symboles!$G$6:$G$101,MOD(7+$C28+(0),$B$3)+1)*I28+INDEX(Symboles!$G$6:$G$101,MOD(7+$C28+(1),$B$3)+1)*J28+INDEX(Symboles!$G$6:$G$101,MOD(7+$C28+(2),$B$3)+1)*K28+INDEX(Symboles!$G$6:$G$101,MOD(7+$C28+(3),$B$3)+1)*L28+INDEX(Symboles!$G$6:$G$101,MOD(7+$C28+(4),$B$3)+1)*M28+IF($B$6=0,0,$B$6*NORMSINV(0.000001+0.999998*RAND())))</f>
        <v/>
      </c>
      <c r="X28" s="30">
        <f>IF(9&gt;$B$3,99,INDEX(Symboles!$G$6:$G$101,MOD(8+$C28+(-4),$B$3)+1)*E28+INDEX(Symboles!$G$6:$G$101,MOD(8+$C28+(-3),$B$3)+1)*F28+INDEX(Symboles!$G$6:$G$101,MOD(8+$C28+(-2),$B$3)+1)*G28+INDEX(Symboles!$G$6:$G$101,MOD(8+$C28+(-1),$B$3)+1)*H28+INDEX(Symboles!$G$6:$G$101,MOD(8+$C28+(0),$B$3)+1)*I28+INDEX(Symboles!$G$6:$G$101,MOD(8+$C28+(1),$B$3)+1)*J28+INDEX(Symboles!$G$6:$G$101,MOD(8+$C28+(2),$B$3)+1)*K28+INDEX(Symboles!$G$6:$G$101,MOD(8+$C28+(3),$B$3)+1)*L28+INDEX(Symboles!$G$6:$G$101,MOD(8+$C28+(4),$B$3)+1)*M28+IF($B$6=0,0,$B$6*NORMSINV(0.000001+0.999998*RAND())))</f>
        <v/>
      </c>
      <c r="Y28" s="30">
        <f>IF(10&gt;$B$3,99,INDEX(Symboles!$G$6:$G$101,MOD(9+$C28+(-4),$B$3)+1)*E28+INDEX(Symboles!$G$6:$G$101,MOD(9+$C28+(-3),$B$3)+1)*F28+INDEX(Symboles!$G$6:$G$101,MOD(9+$C28+(-2),$B$3)+1)*G28+INDEX(Symboles!$G$6:$G$101,MOD(9+$C28+(-1),$B$3)+1)*H28+INDEX(Symboles!$G$6:$G$101,MOD(9+$C28+(0),$B$3)+1)*I28+INDEX(Symboles!$G$6:$G$101,MOD(9+$C28+(1),$B$3)+1)*J28+INDEX(Symboles!$G$6:$G$101,MOD(9+$C28+(2),$B$3)+1)*K28+INDEX(Symboles!$G$6:$G$101,MOD(9+$C28+(3),$B$3)+1)*L28+INDEX(Symboles!$G$6:$G$101,MOD(9+$C28+(4),$B$3)+1)*M28+IF($B$6=0,0,$B$6*NORMSINV(0.000001+0.999998*RAND())))</f>
        <v/>
      </c>
      <c r="Z28" s="30">
        <f>IF(11&gt;$B$3,99,INDEX(Symboles!$G$6:$G$101,MOD(10+$C28+(-4),$B$3)+1)*E28+INDEX(Symboles!$G$6:$G$101,MOD(10+$C28+(-3),$B$3)+1)*F28+INDEX(Symboles!$G$6:$G$101,MOD(10+$C28+(-2),$B$3)+1)*G28+INDEX(Symboles!$G$6:$G$101,MOD(10+$C28+(-1),$B$3)+1)*H28+INDEX(Symboles!$G$6:$G$101,MOD(10+$C28+(0),$B$3)+1)*I28+INDEX(Symboles!$G$6:$G$101,MOD(10+$C28+(1),$B$3)+1)*J28+INDEX(Symboles!$G$6:$G$101,MOD(10+$C28+(2),$B$3)+1)*K28+INDEX(Symboles!$G$6:$G$101,MOD(10+$C28+(3),$B$3)+1)*L28+INDEX(Symboles!$G$6:$G$101,MOD(10+$C28+(4),$B$3)+1)*M28+IF($B$6=0,0,$B$6*NORMSINV(0.000001+0.999998*RAND())))</f>
        <v/>
      </c>
      <c r="AA28" s="30">
        <f>IF(12&gt;$B$3,99,INDEX(Symboles!$G$6:$G$101,MOD(11+$C28+(-4),$B$3)+1)*E28+INDEX(Symboles!$G$6:$G$101,MOD(11+$C28+(-3),$B$3)+1)*F28+INDEX(Symboles!$G$6:$G$101,MOD(11+$C28+(-2),$B$3)+1)*G28+INDEX(Symboles!$G$6:$G$101,MOD(11+$C28+(-1),$B$3)+1)*H28+INDEX(Symboles!$G$6:$G$101,MOD(11+$C28+(0),$B$3)+1)*I28+INDEX(Symboles!$G$6:$G$101,MOD(11+$C28+(1),$B$3)+1)*J28+INDEX(Symboles!$G$6:$G$101,MOD(11+$C28+(2),$B$3)+1)*K28+INDEX(Symboles!$G$6:$G$101,MOD(11+$C28+(3),$B$3)+1)*L28+INDEX(Symboles!$G$6:$G$101,MOD(11+$C28+(4),$B$3)+1)*M28+IF($B$6=0,0,$B$6*NORMSINV(0.000001+0.999998*RAND())))</f>
        <v/>
      </c>
      <c r="AB28" s="30">
        <f>IF(13&gt;$B$3,99,INDEX(Symboles!$G$6:$G$101,MOD(12+$C28+(-4),$B$3)+1)*E28+INDEX(Symboles!$G$6:$G$101,MOD(12+$C28+(-3),$B$3)+1)*F28+INDEX(Symboles!$G$6:$G$101,MOD(12+$C28+(-2),$B$3)+1)*G28+INDEX(Symboles!$G$6:$G$101,MOD(12+$C28+(-1),$B$3)+1)*H28+INDEX(Symboles!$G$6:$G$101,MOD(12+$C28+(0),$B$3)+1)*I28+INDEX(Symboles!$G$6:$G$101,MOD(12+$C28+(1),$B$3)+1)*J28+INDEX(Symboles!$G$6:$G$101,MOD(12+$C28+(2),$B$3)+1)*K28+INDEX(Symboles!$G$6:$G$101,MOD(12+$C28+(3),$B$3)+1)*L28+INDEX(Symboles!$G$6:$G$101,MOD(12+$C28+(4),$B$3)+1)*M28+IF($B$6=0,0,$B$6*NORMSINV(0.000001+0.999998*RAND())))</f>
        <v/>
      </c>
      <c r="AC28" s="30">
        <f>IF(14&gt;$B$3,99,INDEX(Symboles!$G$6:$G$101,MOD(13+$C28+(-4),$B$3)+1)*E28+INDEX(Symboles!$G$6:$G$101,MOD(13+$C28+(-3),$B$3)+1)*F28+INDEX(Symboles!$G$6:$G$101,MOD(13+$C28+(-2),$B$3)+1)*G28+INDEX(Symboles!$G$6:$G$101,MOD(13+$C28+(-1),$B$3)+1)*H28+INDEX(Symboles!$G$6:$G$101,MOD(13+$C28+(0),$B$3)+1)*I28+INDEX(Symboles!$G$6:$G$101,MOD(13+$C28+(1),$B$3)+1)*J28+INDEX(Symboles!$G$6:$G$101,MOD(13+$C28+(2),$B$3)+1)*K28+INDEX(Symboles!$G$6:$G$101,MOD(13+$C28+(3),$B$3)+1)*L28+INDEX(Symboles!$G$6:$G$101,MOD(13+$C28+(4),$B$3)+1)*M28+IF($B$6=0,0,$B$6*NORMSINV(0.000001+0.999998*RAND())))</f>
        <v/>
      </c>
      <c r="AD28" s="30">
        <f>IF(15&gt;$B$3,99,INDEX(Symboles!$G$6:$G$101,MOD(14+$C28+(-4),$B$3)+1)*E28+INDEX(Symboles!$G$6:$G$101,MOD(14+$C28+(-3),$B$3)+1)*F28+INDEX(Symboles!$G$6:$G$101,MOD(14+$C28+(-2),$B$3)+1)*G28+INDEX(Symboles!$G$6:$G$101,MOD(14+$C28+(-1),$B$3)+1)*H28+INDEX(Symboles!$G$6:$G$101,MOD(14+$C28+(0),$B$3)+1)*I28+INDEX(Symboles!$G$6:$G$101,MOD(14+$C28+(1),$B$3)+1)*J28+INDEX(Symboles!$G$6:$G$101,MOD(14+$C28+(2),$B$3)+1)*K28+INDEX(Symboles!$G$6:$G$101,MOD(14+$C28+(3),$B$3)+1)*L28+INDEX(Symboles!$G$6:$G$101,MOD(14+$C28+(4),$B$3)+1)*M28+IF($B$6=0,0,$B$6*NORMSINV(0.000001+0.999998*RAND())))</f>
        <v/>
      </c>
      <c r="AE28" s="30">
        <f>IF(16&gt;$B$3,99,INDEX(Symboles!$G$6:$G$101,MOD(15+$C28+(-4),$B$3)+1)*E28+INDEX(Symboles!$G$6:$G$101,MOD(15+$C28+(-3),$B$3)+1)*F28+INDEX(Symboles!$G$6:$G$101,MOD(15+$C28+(-2),$B$3)+1)*G28+INDEX(Symboles!$G$6:$G$101,MOD(15+$C28+(-1),$B$3)+1)*H28+INDEX(Symboles!$G$6:$G$101,MOD(15+$C28+(0),$B$3)+1)*I28+INDEX(Symboles!$G$6:$G$101,MOD(15+$C28+(1),$B$3)+1)*J28+INDEX(Symboles!$G$6:$G$101,MOD(15+$C28+(2),$B$3)+1)*K28+INDEX(Symboles!$G$6:$G$101,MOD(15+$C28+(3),$B$3)+1)*L28+INDEX(Symboles!$G$6:$G$101,MOD(15+$C28+(4),$B$3)+1)*M28+IF($B$6=0,0,$B$6*NORMSINV(0.000001+0.999998*RAND())))</f>
        <v/>
      </c>
      <c r="AF28" s="30">
        <f>IF(17&gt;$B$3,99,INDEX(Symboles!$G$6:$G$101,MOD(16+$C28+(-4),$B$3)+1)*E28+INDEX(Symboles!$G$6:$G$101,MOD(16+$C28+(-3),$B$3)+1)*F28+INDEX(Symboles!$G$6:$G$101,MOD(16+$C28+(-2),$B$3)+1)*G28+INDEX(Symboles!$G$6:$G$101,MOD(16+$C28+(-1),$B$3)+1)*H28+INDEX(Symboles!$G$6:$G$101,MOD(16+$C28+(0),$B$3)+1)*I28+INDEX(Symboles!$G$6:$G$101,MOD(16+$C28+(1),$B$3)+1)*J28+INDEX(Symboles!$G$6:$G$101,MOD(16+$C28+(2),$B$3)+1)*K28+INDEX(Symboles!$G$6:$G$101,MOD(16+$C28+(3),$B$3)+1)*L28+INDEX(Symboles!$G$6:$G$101,MOD(16+$C28+(4),$B$3)+1)*M28+IF($B$6=0,0,$B$6*NORMSINV(0.000001+0.999998*RAND())))</f>
        <v/>
      </c>
      <c r="AG28" s="30">
        <f>IF(18&gt;$B$3,99,INDEX(Symboles!$G$6:$G$101,MOD(17+$C28+(-4),$B$3)+1)*E28+INDEX(Symboles!$G$6:$G$101,MOD(17+$C28+(-3),$B$3)+1)*F28+INDEX(Symboles!$G$6:$G$101,MOD(17+$C28+(-2),$B$3)+1)*G28+INDEX(Symboles!$G$6:$G$101,MOD(17+$C28+(-1),$B$3)+1)*H28+INDEX(Symboles!$G$6:$G$101,MOD(17+$C28+(0),$B$3)+1)*I28+INDEX(Symboles!$G$6:$G$101,MOD(17+$C28+(1),$B$3)+1)*J28+INDEX(Symboles!$G$6:$G$101,MOD(17+$C28+(2),$B$3)+1)*K28+INDEX(Symboles!$G$6:$G$101,MOD(17+$C28+(3),$B$3)+1)*L28+INDEX(Symboles!$G$6:$G$101,MOD(17+$C28+(4),$B$3)+1)*M28+IF($B$6=0,0,$B$6*NORMSINV(0.000001+0.999998*RAND())))</f>
        <v/>
      </c>
      <c r="AH28" s="30">
        <f>IF(19&gt;$B$3,99,INDEX(Symboles!$G$6:$G$101,MOD(18+$C28+(-4),$B$3)+1)*E28+INDEX(Symboles!$G$6:$G$101,MOD(18+$C28+(-3),$B$3)+1)*F28+INDEX(Symboles!$G$6:$G$101,MOD(18+$C28+(-2),$B$3)+1)*G28+INDEX(Symboles!$G$6:$G$101,MOD(18+$C28+(-1),$B$3)+1)*H28+INDEX(Symboles!$G$6:$G$101,MOD(18+$C28+(0),$B$3)+1)*I28+INDEX(Symboles!$G$6:$G$101,MOD(18+$C28+(1),$B$3)+1)*J28+INDEX(Symboles!$G$6:$G$101,MOD(18+$C28+(2),$B$3)+1)*K28+INDEX(Symboles!$G$6:$G$101,MOD(18+$C28+(3),$B$3)+1)*L28+INDEX(Symboles!$G$6:$G$101,MOD(18+$C28+(4),$B$3)+1)*M28+IF($B$6=0,0,$B$6*NORMSINV(0.000001+0.999998*RAND())))</f>
        <v/>
      </c>
      <c r="AI28" s="30">
        <f>IF(20&gt;$B$3,99,INDEX(Symboles!$G$6:$G$101,MOD(19+$C28+(-4),$B$3)+1)*E28+INDEX(Symboles!$G$6:$G$101,MOD(19+$C28+(-3),$B$3)+1)*F28+INDEX(Symboles!$G$6:$G$101,MOD(19+$C28+(-2),$B$3)+1)*G28+INDEX(Symboles!$G$6:$G$101,MOD(19+$C28+(-1),$B$3)+1)*H28+INDEX(Symboles!$G$6:$G$101,MOD(19+$C28+(0),$B$3)+1)*I28+INDEX(Symboles!$G$6:$G$101,MOD(19+$C28+(1),$B$3)+1)*J28+INDEX(Symboles!$G$6:$G$101,MOD(19+$C28+(2),$B$3)+1)*K28+INDEX(Symboles!$G$6:$G$101,MOD(19+$C28+(3),$B$3)+1)*L28+INDEX(Symboles!$G$6:$G$101,MOD(19+$C28+(4),$B$3)+1)*M28+IF($B$6=0,0,$B$6*NORMSINV(0.000001+0.999998*RAND())))</f>
        <v/>
      </c>
      <c r="AJ28" s="30">
        <f>IF(21&gt;$B$3,99,INDEX(Symboles!$G$6:$G$101,MOD(20+$C28+(-4),$B$3)+1)*E28+INDEX(Symboles!$G$6:$G$101,MOD(20+$C28+(-3),$B$3)+1)*F28+INDEX(Symboles!$G$6:$G$101,MOD(20+$C28+(-2),$B$3)+1)*G28+INDEX(Symboles!$G$6:$G$101,MOD(20+$C28+(-1),$B$3)+1)*H28+INDEX(Symboles!$G$6:$G$101,MOD(20+$C28+(0),$B$3)+1)*I28+INDEX(Symboles!$G$6:$G$101,MOD(20+$C28+(1),$B$3)+1)*J28+INDEX(Symboles!$G$6:$G$101,MOD(20+$C28+(2),$B$3)+1)*K28+INDEX(Symboles!$G$6:$G$101,MOD(20+$C28+(3),$B$3)+1)*L28+INDEX(Symboles!$G$6:$G$101,MOD(20+$C28+(4),$B$3)+1)*M28+IF($B$6=0,0,$B$6*NORMSINV(0.000001+0.999998*RAND())))</f>
        <v/>
      </c>
      <c r="AK28" s="30">
        <f>IF(22&gt;$B$3,99,INDEX(Symboles!$G$6:$G$101,MOD(21+$C28+(-4),$B$3)+1)*E28+INDEX(Symboles!$G$6:$G$101,MOD(21+$C28+(-3),$B$3)+1)*F28+INDEX(Symboles!$G$6:$G$101,MOD(21+$C28+(-2),$B$3)+1)*G28+INDEX(Symboles!$G$6:$G$101,MOD(21+$C28+(-1),$B$3)+1)*H28+INDEX(Symboles!$G$6:$G$101,MOD(21+$C28+(0),$B$3)+1)*I28+INDEX(Symboles!$G$6:$G$101,MOD(21+$C28+(1),$B$3)+1)*J28+INDEX(Symboles!$G$6:$G$101,MOD(21+$C28+(2),$B$3)+1)*K28+INDEX(Symboles!$G$6:$G$101,MOD(21+$C28+(3),$B$3)+1)*L28+INDEX(Symboles!$G$6:$G$101,MOD(21+$C28+(4),$B$3)+1)*M28+IF($B$6=0,0,$B$6*NORMSINV(0.000001+0.999998*RAND())))</f>
        <v/>
      </c>
      <c r="AL28" s="30">
        <f>IF(23&gt;$B$3,99,INDEX(Symboles!$G$6:$G$101,MOD(22+$C28+(-4),$B$3)+1)*E28+INDEX(Symboles!$G$6:$G$101,MOD(22+$C28+(-3),$B$3)+1)*F28+INDEX(Symboles!$G$6:$G$101,MOD(22+$C28+(-2),$B$3)+1)*G28+INDEX(Symboles!$G$6:$G$101,MOD(22+$C28+(-1),$B$3)+1)*H28+INDEX(Symboles!$G$6:$G$101,MOD(22+$C28+(0),$B$3)+1)*I28+INDEX(Symboles!$G$6:$G$101,MOD(22+$C28+(1),$B$3)+1)*J28+INDEX(Symboles!$G$6:$G$101,MOD(22+$C28+(2),$B$3)+1)*K28+INDEX(Symboles!$G$6:$G$101,MOD(22+$C28+(3),$B$3)+1)*L28+INDEX(Symboles!$G$6:$G$101,MOD(22+$C28+(4),$B$3)+1)*M28+IF($B$6=0,0,$B$6*NORMSINV(0.000001+0.999998*RAND())))</f>
        <v/>
      </c>
      <c r="AM28" s="30">
        <f>IF(24&gt;$B$3,99,INDEX(Symboles!$G$6:$G$101,MOD(23+$C28+(-4),$B$3)+1)*E28+INDEX(Symboles!$G$6:$G$101,MOD(23+$C28+(-3),$B$3)+1)*F28+INDEX(Symboles!$G$6:$G$101,MOD(23+$C28+(-2),$B$3)+1)*G28+INDEX(Symboles!$G$6:$G$101,MOD(23+$C28+(-1),$B$3)+1)*H28+INDEX(Symboles!$G$6:$G$101,MOD(23+$C28+(0),$B$3)+1)*I28+INDEX(Symboles!$G$6:$G$101,MOD(23+$C28+(1),$B$3)+1)*J28+INDEX(Symboles!$G$6:$G$101,MOD(23+$C28+(2),$B$3)+1)*K28+INDEX(Symboles!$G$6:$G$101,MOD(23+$C28+(3),$B$3)+1)*L28+INDEX(Symboles!$G$6:$G$101,MOD(23+$C28+(4),$B$3)+1)*M28+IF($B$6=0,0,$B$6*NORMSINV(0.000001+0.999998*RAND())))</f>
        <v/>
      </c>
      <c r="AN28" s="30">
        <f>IF(25&gt;$B$3,99,INDEX(Symboles!$G$6:$G$101,MOD(24+$C28+(-4),$B$3)+1)*E28+INDEX(Symboles!$G$6:$G$101,MOD(24+$C28+(-3),$B$3)+1)*F28+INDEX(Symboles!$G$6:$G$101,MOD(24+$C28+(-2),$B$3)+1)*G28+INDEX(Symboles!$G$6:$G$101,MOD(24+$C28+(-1),$B$3)+1)*H28+INDEX(Symboles!$G$6:$G$101,MOD(24+$C28+(0),$B$3)+1)*I28+INDEX(Symboles!$G$6:$G$101,MOD(24+$C28+(1),$B$3)+1)*J28+INDEX(Symboles!$G$6:$G$101,MOD(24+$C28+(2),$B$3)+1)*K28+INDEX(Symboles!$G$6:$G$101,MOD(24+$C28+(3),$B$3)+1)*L28+INDEX(Symboles!$G$6:$G$101,MOD(24+$C28+(4),$B$3)+1)*M28+IF($B$6=0,0,$B$6*NORMSINV(0.000001+0.999998*RAND())))</f>
        <v/>
      </c>
      <c r="AO28" s="30">
        <f>IF(26&gt;$B$3,99,INDEX(Symboles!$G$6:$G$101,MOD(25+$C28+(-4),$B$3)+1)*E28+INDEX(Symboles!$G$6:$G$101,MOD(25+$C28+(-3),$B$3)+1)*F28+INDEX(Symboles!$G$6:$G$101,MOD(25+$C28+(-2),$B$3)+1)*G28+INDEX(Symboles!$G$6:$G$101,MOD(25+$C28+(-1),$B$3)+1)*H28+INDEX(Symboles!$G$6:$G$101,MOD(25+$C28+(0),$B$3)+1)*I28+INDEX(Symboles!$G$6:$G$101,MOD(25+$C28+(1),$B$3)+1)*J28+INDEX(Symboles!$G$6:$G$101,MOD(25+$C28+(2),$B$3)+1)*K28+INDEX(Symboles!$G$6:$G$101,MOD(25+$C28+(3),$B$3)+1)*L28+INDEX(Symboles!$G$6:$G$101,MOD(25+$C28+(4),$B$3)+1)*M28+IF($B$6=0,0,$B$6*NORMSINV(0.000001+0.999998*RAND())))</f>
        <v/>
      </c>
      <c r="AP28" s="30">
        <f>IF(27&gt;$B$3,99,INDEX(Symboles!$G$6:$G$101,MOD(26+$C28+(-4),$B$3)+1)*E28+INDEX(Symboles!$G$6:$G$101,MOD(26+$C28+(-3),$B$3)+1)*F28+INDEX(Symboles!$G$6:$G$101,MOD(26+$C28+(-2),$B$3)+1)*G28+INDEX(Symboles!$G$6:$G$101,MOD(26+$C28+(-1),$B$3)+1)*H28+INDEX(Symboles!$G$6:$G$101,MOD(26+$C28+(0),$B$3)+1)*I28+INDEX(Symboles!$G$6:$G$101,MOD(26+$C28+(1),$B$3)+1)*J28+INDEX(Symboles!$G$6:$G$101,MOD(26+$C28+(2),$B$3)+1)*K28+INDEX(Symboles!$G$6:$G$101,MOD(26+$C28+(3),$B$3)+1)*L28+INDEX(Symboles!$G$6:$G$101,MOD(26+$C28+(4),$B$3)+1)*M28+IF($B$6=0,0,$B$6*NORMSINV(0.000001+0.999998*RAND())))</f>
        <v/>
      </c>
      <c r="AQ28" s="30">
        <f>IF(28&gt;$B$3,99,INDEX(Symboles!$G$6:$G$101,MOD(27+$C28+(-4),$B$3)+1)*E28+INDEX(Symboles!$G$6:$G$101,MOD(27+$C28+(-3),$B$3)+1)*F28+INDEX(Symboles!$G$6:$G$101,MOD(27+$C28+(-2),$B$3)+1)*G28+INDEX(Symboles!$G$6:$G$101,MOD(27+$C28+(-1),$B$3)+1)*H28+INDEX(Symboles!$G$6:$G$101,MOD(27+$C28+(0),$B$3)+1)*I28+INDEX(Symboles!$G$6:$G$101,MOD(27+$C28+(1),$B$3)+1)*J28+INDEX(Symboles!$G$6:$G$101,MOD(27+$C28+(2),$B$3)+1)*K28+INDEX(Symboles!$G$6:$G$101,MOD(27+$C28+(3),$B$3)+1)*L28+INDEX(Symboles!$G$6:$G$101,MOD(27+$C28+(4),$B$3)+1)*M28+IF($B$6=0,0,$B$6*NORMSINV(0.000001+0.999998*RAND())))</f>
        <v/>
      </c>
      <c r="AR28" s="30">
        <f>IF(29&gt;$B$3,99,INDEX(Symboles!$G$6:$G$101,MOD(28+$C28+(-4),$B$3)+1)*E28+INDEX(Symboles!$G$6:$G$101,MOD(28+$C28+(-3),$B$3)+1)*F28+INDEX(Symboles!$G$6:$G$101,MOD(28+$C28+(-2),$B$3)+1)*G28+INDEX(Symboles!$G$6:$G$101,MOD(28+$C28+(-1),$B$3)+1)*H28+INDEX(Symboles!$G$6:$G$101,MOD(28+$C28+(0),$B$3)+1)*I28+INDEX(Symboles!$G$6:$G$101,MOD(28+$C28+(1),$B$3)+1)*J28+INDEX(Symboles!$G$6:$G$101,MOD(28+$C28+(2),$B$3)+1)*K28+INDEX(Symboles!$G$6:$G$101,MOD(28+$C28+(3),$B$3)+1)*L28+INDEX(Symboles!$G$6:$G$101,MOD(28+$C28+(4),$B$3)+1)*M28+IF($B$6=0,0,$B$6*NORMSINV(0.000001+0.999998*RAND())))</f>
        <v/>
      </c>
      <c r="AS28" s="30">
        <f>IF(30&gt;$B$3,99,INDEX(Symboles!$G$6:$G$101,MOD(29+$C28+(-4),$B$3)+1)*E28+INDEX(Symboles!$G$6:$G$101,MOD(29+$C28+(-3),$B$3)+1)*F28+INDEX(Symboles!$G$6:$G$101,MOD(29+$C28+(-2),$B$3)+1)*G28+INDEX(Symboles!$G$6:$G$101,MOD(29+$C28+(-1),$B$3)+1)*H28+INDEX(Symboles!$G$6:$G$101,MOD(29+$C28+(0),$B$3)+1)*I28+INDEX(Symboles!$G$6:$G$101,MOD(29+$C28+(1),$B$3)+1)*J28+INDEX(Symboles!$G$6:$G$101,MOD(29+$C28+(2),$B$3)+1)*K28+INDEX(Symboles!$G$6:$G$101,MOD(29+$C28+(3),$B$3)+1)*L28+INDEX(Symboles!$G$6:$G$101,MOD(29+$C28+(4),$B$3)+1)*M28+IF($B$6=0,0,$B$6*NORMSINV(0.000001+0.999998*RAND())))</f>
        <v/>
      </c>
      <c r="AT28" s="30">
        <f>IF(31&gt;$B$3,99,INDEX(Symboles!$G$6:$G$101,MOD(30+$C28+(-4),$B$3)+1)*E28+INDEX(Symboles!$G$6:$G$101,MOD(30+$C28+(-3),$B$3)+1)*F28+INDEX(Symboles!$G$6:$G$101,MOD(30+$C28+(-2),$B$3)+1)*G28+INDEX(Symboles!$G$6:$G$101,MOD(30+$C28+(-1),$B$3)+1)*H28+INDEX(Symboles!$G$6:$G$101,MOD(30+$C28+(0),$B$3)+1)*I28+INDEX(Symboles!$G$6:$G$101,MOD(30+$C28+(1),$B$3)+1)*J28+INDEX(Symboles!$G$6:$G$101,MOD(30+$C28+(2),$B$3)+1)*K28+INDEX(Symboles!$G$6:$G$101,MOD(30+$C28+(3),$B$3)+1)*L28+INDEX(Symboles!$G$6:$G$101,MOD(30+$C28+(4),$B$3)+1)*M28+IF($B$6=0,0,$B$6*NORMSINV(0.000001+0.999998*RAND())))</f>
        <v/>
      </c>
      <c r="AU28" s="30">
        <f>IF(32&gt;$B$3,99,INDEX(Symboles!$G$6:$G$101,MOD(31+$C28+(-4),$B$3)+1)*E28+INDEX(Symboles!$G$6:$G$101,MOD(31+$C28+(-3),$B$3)+1)*F28+INDEX(Symboles!$G$6:$G$101,MOD(31+$C28+(-2),$B$3)+1)*G28+INDEX(Symboles!$G$6:$G$101,MOD(31+$C28+(-1),$B$3)+1)*H28+INDEX(Symboles!$G$6:$G$101,MOD(31+$C28+(0),$B$3)+1)*I28+INDEX(Symboles!$G$6:$G$101,MOD(31+$C28+(1),$B$3)+1)*J28+INDEX(Symboles!$G$6:$G$101,MOD(31+$C28+(2),$B$3)+1)*K28+INDEX(Symboles!$G$6:$G$101,MOD(31+$C28+(3),$B$3)+1)*L28+INDEX(Symboles!$G$6:$G$101,MOD(31+$C28+(4),$B$3)+1)*M28+IF($B$6=0,0,$B$6*NORMSINV(0.000001+0.999998*RAND())))</f>
        <v/>
      </c>
      <c r="AV28" s="30">
        <f>IF(33&gt;$B$3,99,INDEX(Symboles!$G$6:$G$101,MOD(32+$C28+(-4),$B$3)+1)*E28+INDEX(Symboles!$G$6:$G$101,MOD(32+$C28+(-3),$B$3)+1)*F28+INDEX(Symboles!$G$6:$G$101,MOD(32+$C28+(-2),$B$3)+1)*G28+INDEX(Symboles!$G$6:$G$101,MOD(32+$C28+(-1),$B$3)+1)*H28+INDEX(Symboles!$G$6:$G$101,MOD(32+$C28+(0),$B$3)+1)*I28+INDEX(Symboles!$G$6:$G$101,MOD(32+$C28+(1),$B$3)+1)*J28+INDEX(Symboles!$G$6:$G$101,MOD(32+$C28+(2),$B$3)+1)*K28+INDEX(Symboles!$G$6:$G$101,MOD(32+$C28+(3),$B$3)+1)*L28+INDEX(Symboles!$G$6:$G$101,MOD(32+$C28+(4),$B$3)+1)*M28+IF($B$6=0,0,$B$6*NORMSINV(0.000001+0.999998*RAND())))</f>
        <v/>
      </c>
      <c r="AW28" s="30">
        <f>IF(34&gt;$B$3,99,INDEX(Symboles!$G$6:$G$101,MOD(33+$C28+(-4),$B$3)+1)*E28+INDEX(Symboles!$G$6:$G$101,MOD(33+$C28+(-3),$B$3)+1)*F28+INDEX(Symboles!$G$6:$G$101,MOD(33+$C28+(-2),$B$3)+1)*G28+INDEX(Symboles!$G$6:$G$101,MOD(33+$C28+(-1),$B$3)+1)*H28+INDEX(Symboles!$G$6:$G$101,MOD(33+$C28+(0),$B$3)+1)*I28+INDEX(Symboles!$G$6:$G$101,MOD(33+$C28+(1),$B$3)+1)*J28+INDEX(Symboles!$G$6:$G$101,MOD(33+$C28+(2),$B$3)+1)*K28+INDEX(Symboles!$G$6:$G$101,MOD(33+$C28+(3),$B$3)+1)*L28+INDEX(Symboles!$G$6:$G$101,MOD(33+$C28+(4),$B$3)+1)*M28+IF($B$6=0,0,$B$6*NORMSINV(0.000001+0.999998*RAND())))</f>
        <v/>
      </c>
      <c r="AX28" s="30">
        <f>IF(35&gt;$B$3,99,INDEX(Symboles!$G$6:$G$101,MOD(34+$C28+(-4),$B$3)+1)*E28+INDEX(Symboles!$G$6:$G$101,MOD(34+$C28+(-3),$B$3)+1)*F28+INDEX(Symboles!$G$6:$G$101,MOD(34+$C28+(-2),$B$3)+1)*G28+INDEX(Symboles!$G$6:$G$101,MOD(34+$C28+(-1),$B$3)+1)*H28+INDEX(Symboles!$G$6:$G$101,MOD(34+$C28+(0),$B$3)+1)*I28+INDEX(Symboles!$G$6:$G$101,MOD(34+$C28+(1),$B$3)+1)*J28+INDEX(Symboles!$G$6:$G$101,MOD(34+$C28+(2),$B$3)+1)*K28+INDEX(Symboles!$G$6:$G$101,MOD(34+$C28+(3),$B$3)+1)*L28+INDEX(Symboles!$G$6:$G$101,MOD(34+$C28+(4),$B$3)+1)*M28+IF($B$6=0,0,$B$6*NORMSINV(0.000001+0.999998*RAND())))</f>
        <v/>
      </c>
      <c r="AY28" s="30">
        <f>IF(36&gt;$B$3,99,INDEX(Symboles!$G$6:$G$101,MOD(35+$C28+(-4),$B$3)+1)*E28+INDEX(Symboles!$G$6:$G$101,MOD(35+$C28+(-3),$B$3)+1)*F28+INDEX(Symboles!$G$6:$G$101,MOD(35+$C28+(-2),$B$3)+1)*G28+INDEX(Symboles!$G$6:$G$101,MOD(35+$C28+(-1),$B$3)+1)*H28+INDEX(Symboles!$G$6:$G$101,MOD(35+$C28+(0),$B$3)+1)*I28+INDEX(Symboles!$G$6:$G$101,MOD(35+$C28+(1),$B$3)+1)*J28+INDEX(Symboles!$G$6:$G$101,MOD(35+$C28+(2),$B$3)+1)*K28+INDEX(Symboles!$G$6:$G$101,MOD(35+$C28+(3),$B$3)+1)*L28+INDEX(Symboles!$G$6:$G$101,MOD(35+$C28+(4),$B$3)+1)*M28+IF($B$6=0,0,$B$6*NORMSINV(0.000001+0.999998*RAND())))</f>
        <v/>
      </c>
      <c r="AZ28" s="30">
        <f>IF(37&gt;$B$3,99,INDEX(Symboles!$G$6:$G$101,MOD(36+$C28+(-4),$B$3)+1)*E28+INDEX(Symboles!$G$6:$G$101,MOD(36+$C28+(-3),$B$3)+1)*F28+INDEX(Symboles!$G$6:$G$101,MOD(36+$C28+(-2),$B$3)+1)*G28+INDEX(Symboles!$G$6:$G$101,MOD(36+$C28+(-1),$B$3)+1)*H28+INDEX(Symboles!$G$6:$G$101,MOD(36+$C28+(0),$B$3)+1)*I28+INDEX(Symboles!$G$6:$G$101,MOD(36+$C28+(1),$B$3)+1)*J28+INDEX(Symboles!$G$6:$G$101,MOD(36+$C28+(2),$B$3)+1)*K28+INDEX(Symboles!$G$6:$G$101,MOD(36+$C28+(3),$B$3)+1)*L28+INDEX(Symboles!$G$6:$G$101,MOD(36+$C28+(4),$B$3)+1)*M28+IF($B$6=0,0,$B$6*NORMSINV(0.000001+0.999998*RAND())))</f>
        <v/>
      </c>
      <c r="BA28" s="30">
        <f>IF(38&gt;$B$3,99,INDEX(Symboles!$G$6:$G$101,MOD(37+$C28+(-4),$B$3)+1)*E28+INDEX(Symboles!$G$6:$G$101,MOD(37+$C28+(-3),$B$3)+1)*F28+INDEX(Symboles!$G$6:$G$101,MOD(37+$C28+(-2),$B$3)+1)*G28+INDEX(Symboles!$G$6:$G$101,MOD(37+$C28+(-1),$B$3)+1)*H28+INDEX(Symboles!$G$6:$G$101,MOD(37+$C28+(0),$B$3)+1)*I28+INDEX(Symboles!$G$6:$G$101,MOD(37+$C28+(1),$B$3)+1)*J28+INDEX(Symboles!$G$6:$G$101,MOD(37+$C28+(2),$B$3)+1)*K28+INDEX(Symboles!$G$6:$G$101,MOD(37+$C28+(3),$B$3)+1)*L28+INDEX(Symboles!$G$6:$G$101,MOD(37+$C28+(4),$B$3)+1)*M28+IF($B$6=0,0,$B$6*NORMSINV(0.000001+0.999998*RAND())))</f>
        <v/>
      </c>
      <c r="BB28" s="30">
        <f>IF(39&gt;$B$3,99,INDEX(Symboles!$G$6:$G$101,MOD(38+$C28+(-4),$B$3)+1)*E28+INDEX(Symboles!$G$6:$G$101,MOD(38+$C28+(-3),$B$3)+1)*F28+INDEX(Symboles!$G$6:$G$101,MOD(38+$C28+(-2),$B$3)+1)*G28+INDEX(Symboles!$G$6:$G$101,MOD(38+$C28+(-1),$B$3)+1)*H28+INDEX(Symboles!$G$6:$G$101,MOD(38+$C28+(0),$B$3)+1)*I28+INDEX(Symboles!$G$6:$G$101,MOD(38+$C28+(1),$B$3)+1)*J28+INDEX(Symboles!$G$6:$G$101,MOD(38+$C28+(2),$B$3)+1)*K28+INDEX(Symboles!$G$6:$G$101,MOD(38+$C28+(3),$B$3)+1)*L28+INDEX(Symboles!$G$6:$G$101,MOD(38+$C28+(4),$B$3)+1)*M28+IF($B$6=0,0,$B$6*NORMSINV(0.000001+0.999998*RAND())))</f>
        <v/>
      </c>
      <c r="BC28" s="30">
        <f>IF(40&gt;$B$3,99,INDEX(Symboles!$G$6:$G$101,MOD(39+$C28+(-4),$B$3)+1)*E28+INDEX(Symboles!$G$6:$G$101,MOD(39+$C28+(-3),$B$3)+1)*F28+INDEX(Symboles!$G$6:$G$101,MOD(39+$C28+(-2),$B$3)+1)*G28+INDEX(Symboles!$G$6:$G$101,MOD(39+$C28+(-1),$B$3)+1)*H28+INDEX(Symboles!$G$6:$G$101,MOD(39+$C28+(0),$B$3)+1)*I28+INDEX(Symboles!$G$6:$G$101,MOD(39+$C28+(1),$B$3)+1)*J28+INDEX(Symboles!$G$6:$G$101,MOD(39+$C28+(2),$B$3)+1)*K28+INDEX(Symboles!$G$6:$G$101,MOD(39+$C28+(3),$B$3)+1)*L28+INDEX(Symboles!$G$6:$G$101,MOD(39+$C28+(4),$B$3)+1)*M28+IF($B$6=0,0,$B$6*NORMSINV(0.000001+0.999998*RAND())))</f>
        <v/>
      </c>
      <c r="BD28" s="30">
        <f>IF(41&gt;$B$3,99,INDEX(Symboles!$G$6:$G$101,MOD(40+$C28+(-4),$B$3)+1)*E28+INDEX(Symboles!$G$6:$G$101,MOD(40+$C28+(-3),$B$3)+1)*F28+INDEX(Symboles!$G$6:$G$101,MOD(40+$C28+(-2),$B$3)+1)*G28+INDEX(Symboles!$G$6:$G$101,MOD(40+$C28+(-1),$B$3)+1)*H28+INDEX(Symboles!$G$6:$G$101,MOD(40+$C28+(0),$B$3)+1)*I28+INDEX(Symboles!$G$6:$G$101,MOD(40+$C28+(1),$B$3)+1)*J28+INDEX(Symboles!$G$6:$G$101,MOD(40+$C28+(2),$B$3)+1)*K28+INDEX(Symboles!$G$6:$G$101,MOD(40+$C28+(3),$B$3)+1)*L28+INDEX(Symboles!$G$6:$G$101,MOD(40+$C28+(4),$B$3)+1)*M28+IF($B$6=0,0,$B$6*NORMSINV(0.000001+0.999998*RAND())))</f>
        <v/>
      </c>
      <c r="BE28" s="30">
        <f>IF(42&gt;$B$3,99,INDEX(Symboles!$G$6:$G$101,MOD(41+$C28+(-4),$B$3)+1)*E28+INDEX(Symboles!$G$6:$G$101,MOD(41+$C28+(-3),$B$3)+1)*F28+INDEX(Symboles!$G$6:$G$101,MOD(41+$C28+(-2),$B$3)+1)*G28+INDEX(Symboles!$G$6:$G$101,MOD(41+$C28+(-1),$B$3)+1)*H28+INDEX(Symboles!$G$6:$G$101,MOD(41+$C28+(0),$B$3)+1)*I28+INDEX(Symboles!$G$6:$G$101,MOD(41+$C28+(1),$B$3)+1)*J28+INDEX(Symboles!$G$6:$G$101,MOD(41+$C28+(2),$B$3)+1)*K28+INDEX(Symboles!$G$6:$G$101,MOD(41+$C28+(3),$B$3)+1)*L28+INDEX(Symboles!$G$6:$G$101,MOD(41+$C28+(4),$B$3)+1)*M28+IF($B$6=0,0,$B$6*NORMSINV(0.000001+0.999998*RAND())))</f>
        <v/>
      </c>
      <c r="BF28" s="30">
        <f>IF(43&gt;$B$3,99,INDEX(Symboles!$G$6:$G$101,MOD(42+$C28+(-4),$B$3)+1)*E28+INDEX(Symboles!$G$6:$G$101,MOD(42+$C28+(-3),$B$3)+1)*F28+INDEX(Symboles!$G$6:$G$101,MOD(42+$C28+(-2),$B$3)+1)*G28+INDEX(Symboles!$G$6:$G$101,MOD(42+$C28+(-1),$B$3)+1)*H28+INDEX(Symboles!$G$6:$G$101,MOD(42+$C28+(0),$B$3)+1)*I28+INDEX(Symboles!$G$6:$G$101,MOD(42+$C28+(1),$B$3)+1)*J28+INDEX(Symboles!$G$6:$G$101,MOD(42+$C28+(2),$B$3)+1)*K28+INDEX(Symboles!$G$6:$G$101,MOD(42+$C28+(3),$B$3)+1)*L28+INDEX(Symboles!$G$6:$G$101,MOD(42+$C28+(4),$B$3)+1)*M28+IF($B$6=0,0,$B$6*NORMSINV(0.000001+0.999998*RAND())))</f>
        <v/>
      </c>
      <c r="BG28" s="30">
        <f>IF(44&gt;$B$3,99,INDEX(Symboles!$G$6:$G$101,MOD(43+$C28+(-4),$B$3)+1)*E28+INDEX(Symboles!$G$6:$G$101,MOD(43+$C28+(-3),$B$3)+1)*F28+INDEX(Symboles!$G$6:$G$101,MOD(43+$C28+(-2),$B$3)+1)*G28+INDEX(Symboles!$G$6:$G$101,MOD(43+$C28+(-1),$B$3)+1)*H28+INDEX(Symboles!$G$6:$G$101,MOD(43+$C28+(0),$B$3)+1)*I28+INDEX(Symboles!$G$6:$G$101,MOD(43+$C28+(1),$B$3)+1)*J28+INDEX(Symboles!$G$6:$G$101,MOD(43+$C28+(2),$B$3)+1)*K28+INDEX(Symboles!$G$6:$G$101,MOD(43+$C28+(3),$B$3)+1)*L28+INDEX(Symboles!$G$6:$G$101,MOD(43+$C28+(4),$B$3)+1)*M28+IF($B$6=0,0,$B$6*NORMSINV(0.000001+0.999998*RAND())))</f>
        <v/>
      </c>
      <c r="BH28" s="30">
        <f>IF(45&gt;$B$3,99,INDEX(Symboles!$G$6:$G$101,MOD(44+$C28+(-4),$B$3)+1)*E28+INDEX(Symboles!$G$6:$G$101,MOD(44+$C28+(-3),$B$3)+1)*F28+INDEX(Symboles!$G$6:$G$101,MOD(44+$C28+(-2),$B$3)+1)*G28+INDEX(Symboles!$G$6:$G$101,MOD(44+$C28+(-1),$B$3)+1)*H28+INDEX(Symboles!$G$6:$G$101,MOD(44+$C28+(0),$B$3)+1)*I28+INDEX(Symboles!$G$6:$G$101,MOD(44+$C28+(1),$B$3)+1)*J28+INDEX(Symboles!$G$6:$G$101,MOD(44+$C28+(2),$B$3)+1)*K28+INDEX(Symboles!$G$6:$G$101,MOD(44+$C28+(3),$B$3)+1)*L28+INDEX(Symboles!$G$6:$G$101,MOD(44+$C28+(4),$B$3)+1)*M28+IF($B$6=0,0,$B$6*NORMSINV(0.000001+0.999998*RAND())))</f>
        <v/>
      </c>
      <c r="BI28" s="30">
        <f>IF(46&gt;$B$3,99,INDEX(Symboles!$G$6:$G$101,MOD(45+$C28+(-4),$B$3)+1)*E28+INDEX(Symboles!$G$6:$G$101,MOD(45+$C28+(-3),$B$3)+1)*F28+INDEX(Symboles!$G$6:$G$101,MOD(45+$C28+(-2),$B$3)+1)*G28+INDEX(Symboles!$G$6:$G$101,MOD(45+$C28+(-1),$B$3)+1)*H28+INDEX(Symboles!$G$6:$G$101,MOD(45+$C28+(0),$B$3)+1)*I28+INDEX(Symboles!$G$6:$G$101,MOD(45+$C28+(1),$B$3)+1)*J28+INDEX(Symboles!$G$6:$G$101,MOD(45+$C28+(2),$B$3)+1)*K28+INDEX(Symboles!$G$6:$G$101,MOD(45+$C28+(3),$B$3)+1)*L28+INDEX(Symboles!$G$6:$G$101,MOD(45+$C28+(4),$B$3)+1)*M28+IF($B$6=0,0,$B$6*NORMSINV(0.000001+0.999998*RAND())))</f>
        <v/>
      </c>
      <c r="BJ28" s="30">
        <f>IF(47&gt;$B$3,99,INDEX(Symboles!$G$6:$G$101,MOD(46+$C28+(-4),$B$3)+1)*E28+INDEX(Symboles!$G$6:$G$101,MOD(46+$C28+(-3),$B$3)+1)*F28+INDEX(Symboles!$G$6:$G$101,MOD(46+$C28+(-2),$B$3)+1)*G28+INDEX(Symboles!$G$6:$G$101,MOD(46+$C28+(-1),$B$3)+1)*H28+INDEX(Symboles!$G$6:$G$101,MOD(46+$C28+(0),$B$3)+1)*I28+INDEX(Symboles!$G$6:$G$101,MOD(46+$C28+(1),$B$3)+1)*J28+INDEX(Symboles!$G$6:$G$101,MOD(46+$C28+(2),$B$3)+1)*K28+INDEX(Symboles!$G$6:$G$101,MOD(46+$C28+(3),$B$3)+1)*L28+INDEX(Symboles!$G$6:$G$101,MOD(46+$C28+(4),$B$3)+1)*M28+IF($B$6=0,0,$B$6*NORMSINV(0.000001+0.999998*RAND())))</f>
        <v/>
      </c>
      <c r="BK28" s="30">
        <f>IF(48&gt;$B$3,99,INDEX(Symboles!$G$6:$G$101,MOD(47+$C28+(-4),$B$3)+1)*E28+INDEX(Symboles!$G$6:$G$101,MOD(47+$C28+(-3),$B$3)+1)*F28+INDEX(Symboles!$G$6:$G$101,MOD(47+$C28+(-2),$B$3)+1)*G28+INDEX(Symboles!$G$6:$G$101,MOD(47+$C28+(-1),$B$3)+1)*H28+INDEX(Symboles!$G$6:$G$101,MOD(47+$C28+(0),$B$3)+1)*I28+INDEX(Symboles!$G$6:$G$101,MOD(47+$C28+(1),$B$3)+1)*J28+INDEX(Symboles!$G$6:$G$101,MOD(47+$C28+(2),$B$3)+1)*K28+INDEX(Symboles!$G$6:$G$101,MOD(47+$C28+(3),$B$3)+1)*L28+INDEX(Symboles!$G$6:$G$101,MOD(47+$C28+(4),$B$3)+1)*M28+IF($B$6=0,0,$B$6*NORMSINV(0.000001+0.999998*RAND())))</f>
        <v/>
      </c>
      <c r="BL28" s="30">
        <f>IF(49&gt;$B$3,99,INDEX(Symboles!$G$6:$G$101,MOD(48+$C28+(-4),$B$3)+1)*E28+INDEX(Symboles!$G$6:$G$101,MOD(48+$C28+(-3),$B$3)+1)*F28+INDEX(Symboles!$G$6:$G$101,MOD(48+$C28+(-2),$B$3)+1)*G28+INDEX(Symboles!$G$6:$G$101,MOD(48+$C28+(-1),$B$3)+1)*H28+INDEX(Symboles!$G$6:$G$101,MOD(48+$C28+(0),$B$3)+1)*I28+INDEX(Symboles!$G$6:$G$101,MOD(48+$C28+(1),$B$3)+1)*J28+INDEX(Symboles!$G$6:$G$101,MOD(48+$C28+(2),$B$3)+1)*K28+INDEX(Symboles!$G$6:$G$101,MOD(48+$C28+(3),$B$3)+1)*L28+INDEX(Symboles!$G$6:$G$101,MOD(48+$C28+(4),$B$3)+1)*M28+IF($B$6=0,0,$B$6*NORMSINV(0.000001+0.999998*RAND())))</f>
        <v/>
      </c>
      <c r="BM28" s="30">
        <f>IF(50&gt;$B$3,99,INDEX(Symboles!$G$6:$G$101,MOD(49+$C28+(-4),$B$3)+1)*E28+INDEX(Symboles!$G$6:$G$101,MOD(49+$C28+(-3),$B$3)+1)*F28+INDEX(Symboles!$G$6:$G$101,MOD(49+$C28+(-2),$B$3)+1)*G28+INDEX(Symboles!$G$6:$G$101,MOD(49+$C28+(-1),$B$3)+1)*H28+INDEX(Symboles!$G$6:$G$101,MOD(49+$C28+(0),$B$3)+1)*I28+INDEX(Symboles!$G$6:$G$101,MOD(49+$C28+(1),$B$3)+1)*J28+INDEX(Symboles!$G$6:$G$101,MOD(49+$C28+(2),$B$3)+1)*K28+INDEX(Symboles!$G$6:$G$101,MOD(49+$C28+(3),$B$3)+1)*L28+INDEX(Symboles!$G$6:$G$101,MOD(49+$C28+(4),$B$3)+1)*M28+IF($B$6=0,0,$B$6*NORMSINV(0.000001+0.999998*RAND())))</f>
        <v/>
      </c>
      <c r="BN28" s="30">
        <f>IF(51&gt;$B$3,99,INDEX(Symboles!$G$6:$G$101,MOD(50+$C28+(-4),$B$3)+1)*E28+INDEX(Symboles!$G$6:$G$101,MOD(50+$C28+(-3),$B$3)+1)*F28+INDEX(Symboles!$G$6:$G$101,MOD(50+$C28+(-2),$B$3)+1)*G28+INDEX(Symboles!$G$6:$G$101,MOD(50+$C28+(-1),$B$3)+1)*H28+INDEX(Symboles!$G$6:$G$101,MOD(50+$C28+(0),$B$3)+1)*I28+INDEX(Symboles!$G$6:$G$101,MOD(50+$C28+(1),$B$3)+1)*J28+INDEX(Symboles!$G$6:$G$101,MOD(50+$C28+(2),$B$3)+1)*K28+INDEX(Symboles!$G$6:$G$101,MOD(50+$C28+(3),$B$3)+1)*L28+INDEX(Symboles!$G$6:$G$101,MOD(50+$C28+(4),$B$3)+1)*M28+IF($B$6=0,0,$B$6*NORMSINV(0.000001+0.999998*RAND())))</f>
        <v/>
      </c>
      <c r="BO28" s="30">
        <f>IF(52&gt;$B$3,99,INDEX(Symboles!$G$6:$G$101,MOD(51+$C28+(-4),$B$3)+1)*E28+INDEX(Symboles!$G$6:$G$101,MOD(51+$C28+(-3),$B$3)+1)*F28+INDEX(Symboles!$G$6:$G$101,MOD(51+$C28+(-2),$B$3)+1)*G28+INDEX(Symboles!$G$6:$G$101,MOD(51+$C28+(-1),$B$3)+1)*H28+INDEX(Symboles!$G$6:$G$101,MOD(51+$C28+(0),$B$3)+1)*I28+INDEX(Symboles!$G$6:$G$101,MOD(51+$C28+(1),$B$3)+1)*J28+INDEX(Symboles!$G$6:$G$101,MOD(51+$C28+(2),$B$3)+1)*K28+INDEX(Symboles!$G$6:$G$101,MOD(51+$C28+(3),$B$3)+1)*L28+INDEX(Symboles!$G$6:$G$101,MOD(51+$C28+(4),$B$3)+1)*M28+IF($B$6=0,0,$B$6*NORMSINV(0.000001+0.999998*RAND())))</f>
        <v/>
      </c>
      <c r="BP28" s="30">
        <f>IF(53&gt;$B$3,99,INDEX(Symboles!$G$6:$G$101,MOD(52+$C28+(-4),$B$3)+1)*E28+INDEX(Symboles!$G$6:$G$101,MOD(52+$C28+(-3),$B$3)+1)*F28+INDEX(Symboles!$G$6:$G$101,MOD(52+$C28+(-2),$B$3)+1)*G28+INDEX(Symboles!$G$6:$G$101,MOD(52+$C28+(-1),$B$3)+1)*H28+INDEX(Symboles!$G$6:$G$101,MOD(52+$C28+(0),$B$3)+1)*I28+INDEX(Symboles!$G$6:$G$101,MOD(52+$C28+(1),$B$3)+1)*J28+INDEX(Symboles!$G$6:$G$101,MOD(52+$C28+(2),$B$3)+1)*K28+INDEX(Symboles!$G$6:$G$101,MOD(52+$C28+(3),$B$3)+1)*L28+INDEX(Symboles!$G$6:$G$101,MOD(52+$C28+(4),$B$3)+1)*M28+IF($B$6=0,0,$B$6*NORMSINV(0.000001+0.999998*RAND())))</f>
        <v/>
      </c>
      <c r="BQ28" s="30">
        <f>IF(54&gt;$B$3,99,INDEX(Symboles!$G$6:$G$101,MOD(53+$C28+(-4),$B$3)+1)*E28+INDEX(Symboles!$G$6:$G$101,MOD(53+$C28+(-3),$B$3)+1)*F28+INDEX(Symboles!$G$6:$G$101,MOD(53+$C28+(-2),$B$3)+1)*G28+INDEX(Symboles!$G$6:$G$101,MOD(53+$C28+(-1),$B$3)+1)*H28+INDEX(Symboles!$G$6:$G$101,MOD(53+$C28+(0),$B$3)+1)*I28+INDEX(Symboles!$G$6:$G$101,MOD(53+$C28+(1),$B$3)+1)*J28+INDEX(Symboles!$G$6:$G$101,MOD(53+$C28+(2),$B$3)+1)*K28+INDEX(Symboles!$G$6:$G$101,MOD(53+$C28+(3),$B$3)+1)*L28+INDEX(Symboles!$G$6:$G$101,MOD(53+$C28+(4),$B$3)+1)*M28+IF($B$6=0,0,$B$6*NORMSINV(0.000001+0.999998*RAND())))</f>
        <v/>
      </c>
      <c r="BR28" s="30">
        <f>IF(55&gt;$B$3,99,INDEX(Symboles!$G$6:$G$101,MOD(54+$C28+(-4),$B$3)+1)*E28+INDEX(Symboles!$G$6:$G$101,MOD(54+$C28+(-3),$B$3)+1)*F28+INDEX(Symboles!$G$6:$G$101,MOD(54+$C28+(-2),$B$3)+1)*G28+INDEX(Symboles!$G$6:$G$101,MOD(54+$C28+(-1),$B$3)+1)*H28+INDEX(Symboles!$G$6:$G$101,MOD(54+$C28+(0),$B$3)+1)*I28+INDEX(Symboles!$G$6:$G$101,MOD(54+$C28+(1),$B$3)+1)*J28+INDEX(Symboles!$G$6:$G$101,MOD(54+$C28+(2),$B$3)+1)*K28+INDEX(Symboles!$G$6:$G$101,MOD(54+$C28+(3),$B$3)+1)*L28+INDEX(Symboles!$G$6:$G$101,MOD(54+$C28+(4),$B$3)+1)*M28+IF($B$6=0,0,$B$6*NORMSINV(0.000001+0.999998*RAND())))</f>
        <v/>
      </c>
      <c r="BS28" s="30">
        <f>IF(56&gt;$B$3,99,INDEX(Symboles!$G$6:$G$101,MOD(55+$C28+(-4),$B$3)+1)*E28+INDEX(Symboles!$G$6:$G$101,MOD(55+$C28+(-3),$B$3)+1)*F28+INDEX(Symboles!$G$6:$G$101,MOD(55+$C28+(-2),$B$3)+1)*G28+INDEX(Symboles!$G$6:$G$101,MOD(55+$C28+(-1),$B$3)+1)*H28+INDEX(Symboles!$G$6:$G$101,MOD(55+$C28+(0),$B$3)+1)*I28+INDEX(Symboles!$G$6:$G$101,MOD(55+$C28+(1),$B$3)+1)*J28+INDEX(Symboles!$G$6:$G$101,MOD(55+$C28+(2),$B$3)+1)*K28+INDEX(Symboles!$G$6:$G$101,MOD(55+$C28+(3),$B$3)+1)*L28+INDEX(Symboles!$G$6:$G$101,MOD(55+$C28+(4),$B$3)+1)*M28+IF($B$6=0,0,$B$6*NORMSINV(0.000001+0.999998*RAND())))</f>
        <v/>
      </c>
      <c r="BT28" s="30">
        <f>IF(57&gt;$B$3,99,INDEX(Symboles!$G$6:$G$101,MOD(56+$C28+(-4),$B$3)+1)*E28+INDEX(Symboles!$G$6:$G$101,MOD(56+$C28+(-3),$B$3)+1)*F28+INDEX(Symboles!$G$6:$G$101,MOD(56+$C28+(-2),$B$3)+1)*G28+INDEX(Symboles!$G$6:$G$101,MOD(56+$C28+(-1),$B$3)+1)*H28+INDEX(Symboles!$G$6:$G$101,MOD(56+$C28+(0),$B$3)+1)*I28+INDEX(Symboles!$G$6:$G$101,MOD(56+$C28+(1),$B$3)+1)*J28+INDEX(Symboles!$G$6:$G$101,MOD(56+$C28+(2),$B$3)+1)*K28+INDEX(Symboles!$G$6:$G$101,MOD(56+$C28+(3),$B$3)+1)*L28+INDEX(Symboles!$G$6:$G$101,MOD(56+$C28+(4),$B$3)+1)*M28+IF($B$6=0,0,$B$6*NORMSINV(0.000001+0.999998*RAND())))</f>
        <v/>
      </c>
      <c r="BU28" s="30">
        <f>IF(58&gt;$B$3,99,INDEX(Symboles!$G$6:$G$101,MOD(57+$C28+(-4),$B$3)+1)*E28+INDEX(Symboles!$G$6:$G$101,MOD(57+$C28+(-3),$B$3)+1)*F28+INDEX(Symboles!$G$6:$G$101,MOD(57+$C28+(-2),$B$3)+1)*G28+INDEX(Symboles!$G$6:$G$101,MOD(57+$C28+(-1),$B$3)+1)*H28+INDEX(Symboles!$G$6:$G$101,MOD(57+$C28+(0),$B$3)+1)*I28+INDEX(Symboles!$G$6:$G$101,MOD(57+$C28+(1),$B$3)+1)*J28+INDEX(Symboles!$G$6:$G$101,MOD(57+$C28+(2),$B$3)+1)*K28+INDEX(Symboles!$G$6:$G$101,MOD(57+$C28+(3),$B$3)+1)*L28+INDEX(Symboles!$G$6:$G$101,MOD(57+$C28+(4),$B$3)+1)*M28+IF($B$6=0,0,$B$6*NORMSINV(0.000001+0.999998*RAND())))</f>
        <v/>
      </c>
      <c r="BV28" s="30">
        <f>IF(59&gt;$B$3,99,INDEX(Symboles!$G$6:$G$101,MOD(58+$C28+(-4),$B$3)+1)*E28+INDEX(Symboles!$G$6:$G$101,MOD(58+$C28+(-3),$B$3)+1)*F28+INDEX(Symboles!$G$6:$G$101,MOD(58+$C28+(-2),$B$3)+1)*G28+INDEX(Symboles!$G$6:$G$101,MOD(58+$C28+(-1),$B$3)+1)*H28+INDEX(Symboles!$G$6:$G$101,MOD(58+$C28+(0),$B$3)+1)*I28+INDEX(Symboles!$G$6:$G$101,MOD(58+$C28+(1),$B$3)+1)*J28+INDEX(Symboles!$G$6:$G$101,MOD(58+$C28+(2),$B$3)+1)*K28+INDEX(Symboles!$G$6:$G$101,MOD(58+$C28+(3),$B$3)+1)*L28+INDEX(Symboles!$G$6:$G$101,MOD(58+$C28+(4),$B$3)+1)*M28+IF($B$6=0,0,$B$6*NORMSINV(0.000001+0.999998*RAND())))</f>
        <v/>
      </c>
      <c r="BW28" s="30">
        <f>IF(60&gt;$B$3,99,INDEX(Symboles!$G$6:$G$101,MOD(59+$C28+(-4),$B$3)+1)*E28+INDEX(Symboles!$G$6:$G$101,MOD(59+$C28+(-3),$B$3)+1)*F28+INDEX(Symboles!$G$6:$G$101,MOD(59+$C28+(-2),$B$3)+1)*G28+INDEX(Symboles!$G$6:$G$101,MOD(59+$C28+(-1),$B$3)+1)*H28+INDEX(Symboles!$G$6:$G$101,MOD(59+$C28+(0),$B$3)+1)*I28+INDEX(Symboles!$G$6:$G$101,MOD(59+$C28+(1),$B$3)+1)*J28+INDEX(Symboles!$G$6:$G$101,MOD(59+$C28+(2),$B$3)+1)*K28+INDEX(Symboles!$G$6:$G$101,MOD(59+$C28+(3),$B$3)+1)*L28+INDEX(Symboles!$G$6:$G$101,MOD(59+$C28+(4),$B$3)+1)*M28+IF($B$6=0,0,$B$6*NORMSINV(0.000001+0.999998*RAND())))</f>
        <v/>
      </c>
      <c r="BX28" s="30">
        <f>IF(61&gt;$B$3,99,INDEX(Symboles!$G$6:$G$101,MOD(60+$C28+(-4),$B$3)+1)*E28+INDEX(Symboles!$G$6:$G$101,MOD(60+$C28+(-3),$B$3)+1)*F28+INDEX(Symboles!$G$6:$G$101,MOD(60+$C28+(-2),$B$3)+1)*G28+INDEX(Symboles!$G$6:$G$101,MOD(60+$C28+(-1),$B$3)+1)*H28+INDEX(Symboles!$G$6:$G$101,MOD(60+$C28+(0),$B$3)+1)*I28+INDEX(Symboles!$G$6:$G$101,MOD(60+$C28+(1),$B$3)+1)*J28+INDEX(Symboles!$G$6:$G$101,MOD(60+$C28+(2),$B$3)+1)*K28+INDEX(Symboles!$G$6:$G$101,MOD(60+$C28+(3),$B$3)+1)*L28+INDEX(Symboles!$G$6:$G$101,MOD(60+$C28+(4),$B$3)+1)*M28+IF($B$6=0,0,$B$6*NORMSINV(0.000001+0.999998*RAND())))</f>
        <v/>
      </c>
      <c r="BY28" s="30">
        <f>IF(62&gt;$B$3,99,INDEX(Symboles!$G$6:$G$101,MOD(61+$C28+(-4),$B$3)+1)*E28+INDEX(Symboles!$G$6:$G$101,MOD(61+$C28+(-3),$B$3)+1)*F28+INDEX(Symboles!$G$6:$G$101,MOD(61+$C28+(-2),$B$3)+1)*G28+INDEX(Symboles!$G$6:$G$101,MOD(61+$C28+(-1),$B$3)+1)*H28+INDEX(Symboles!$G$6:$G$101,MOD(61+$C28+(0),$B$3)+1)*I28+INDEX(Symboles!$G$6:$G$101,MOD(61+$C28+(1),$B$3)+1)*J28+INDEX(Symboles!$G$6:$G$101,MOD(61+$C28+(2),$B$3)+1)*K28+INDEX(Symboles!$G$6:$G$101,MOD(61+$C28+(3),$B$3)+1)*L28+INDEX(Symboles!$G$6:$G$101,MOD(61+$C28+(4),$B$3)+1)*M28+IF($B$6=0,0,$B$6*NORMSINV(0.000001+0.999998*RAND())))</f>
        <v/>
      </c>
      <c r="BZ28" s="30">
        <f>IF(63&gt;$B$3,99,INDEX(Symboles!$G$6:$G$101,MOD(62+$C28+(-4),$B$3)+1)*E28+INDEX(Symboles!$G$6:$G$101,MOD(62+$C28+(-3),$B$3)+1)*F28+INDEX(Symboles!$G$6:$G$101,MOD(62+$C28+(-2),$B$3)+1)*G28+INDEX(Symboles!$G$6:$G$101,MOD(62+$C28+(-1),$B$3)+1)*H28+INDEX(Symboles!$G$6:$G$101,MOD(62+$C28+(0),$B$3)+1)*I28+INDEX(Symboles!$G$6:$G$101,MOD(62+$C28+(1),$B$3)+1)*J28+INDEX(Symboles!$G$6:$G$101,MOD(62+$C28+(2),$B$3)+1)*K28+INDEX(Symboles!$G$6:$G$101,MOD(62+$C28+(3),$B$3)+1)*L28+INDEX(Symboles!$G$6:$G$101,MOD(62+$C28+(4),$B$3)+1)*M28+IF($B$6=0,0,$B$6*NORMSINV(0.000001+0.999998*RAND())))</f>
        <v/>
      </c>
      <c r="CA28" s="30">
        <f>IF(64&gt;$B$3,99,INDEX(Symboles!$G$6:$G$101,MOD(63+$C28+(-4),$B$3)+1)*E28+INDEX(Symboles!$G$6:$G$101,MOD(63+$C28+(-3),$B$3)+1)*F28+INDEX(Symboles!$G$6:$G$101,MOD(63+$C28+(-2),$B$3)+1)*G28+INDEX(Symboles!$G$6:$G$101,MOD(63+$C28+(-1),$B$3)+1)*H28+INDEX(Symboles!$G$6:$G$101,MOD(63+$C28+(0),$B$3)+1)*I28+INDEX(Symboles!$G$6:$G$101,MOD(63+$C28+(1),$B$3)+1)*J28+INDEX(Symboles!$G$6:$G$101,MOD(63+$C28+(2),$B$3)+1)*K28+INDEX(Symboles!$G$6:$G$101,MOD(63+$C28+(3),$B$3)+1)*L28+INDEX(Symboles!$G$6:$G$101,MOD(63+$C28+(4),$B$3)+1)*M28+IF($B$6=0,0,$B$6*NORMSINV(0.000001+0.999998*RAND())))</f>
        <v/>
      </c>
      <c r="CB28" s="30">
        <f>IF(65&gt;$B$3,99,INDEX(Symboles!$G$6:$G$101,MOD(64+$C28+(-4),$B$3)+1)*E28+INDEX(Symboles!$G$6:$G$101,MOD(64+$C28+(-3),$B$3)+1)*F28+INDEX(Symboles!$G$6:$G$101,MOD(64+$C28+(-2),$B$3)+1)*G28+INDEX(Symboles!$G$6:$G$101,MOD(64+$C28+(-1),$B$3)+1)*H28+INDEX(Symboles!$G$6:$G$101,MOD(64+$C28+(0),$B$3)+1)*I28+INDEX(Symboles!$G$6:$G$101,MOD(64+$C28+(1),$B$3)+1)*J28+INDEX(Symboles!$G$6:$G$101,MOD(64+$C28+(2),$B$3)+1)*K28+INDEX(Symboles!$G$6:$G$101,MOD(64+$C28+(3),$B$3)+1)*L28+INDEX(Symboles!$G$6:$G$101,MOD(64+$C28+(4),$B$3)+1)*M28+IF($B$6=0,0,$B$6*NORMSINV(0.000001+0.999998*RAND())))</f>
        <v/>
      </c>
      <c r="CC28" s="30">
        <f>IF(66&gt;$B$3,99,INDEX(Symboles!$G$6:$G$101,MOD(65+$C28+(-4),$B$3)+1)*E28+INDEX(Symboles!$G$6:$G$101,MOD(65+$C28+(-3),$B$3)+1)*F28+INDEX(Symboles!$G$6:$G$101,MOD(65+$C28+(-2),$B$3)+1)*G28+INDEX(Symboles!$G$6:$G$101,MOD(65+$C28+(-1),$B$3)+1)*H28+INDEX(Symboles!$G$6:$G$101,MOD(65+$C28+(0),$B$3)+1)*I28+INDEX(Symboles!$G$6:$G$101,MOD(65+$C28+(1),$B$3)+1)*J28+INDEX(Symboles!$G$6:$G$101,MOD(65+$C28+(2),$B$3)+1)*K28+INDEX(Symboles!$G$6:$G$101,MOD(65+$C28+(3),$B$3)+1)*L28+INDEX(Symboles!$G$6:$G$101,MOD(65+$C28+(4),$B$3)+1)*M28+IF($B$6=0,0,$B$6*NORMSINV(0.000001+0.999998*RAND())))</f>
        <v/>
      </c>
      <c r="CD28" s="30">
        <f>IF(67&gt;$B$3,99,INDEX(Symboles!$G$6:$G$101,MOD(66+$C28+(-4),$B$3)+1)*E28+INDEX(Symboles!$G$6:$G$101,MOD(66+$C28+(-3),$B$3)+1)*F28+INDEX(Symboles!$G$6:$G$101,MOD(66+$C28+(-2),$B$3)+1)*G28+INDEX(Symboles!$G$6:$G$101,MOD(66+$C28+(-1),$B$3)+1)*H28+INDEX(Symboles!$G$6:$G$101,MOD(66+$C28+(0),$B$3)+1)*I28+INDEX(Symboles!$G$6:$G$101,MOD(66+$C28+(1),$B$3)+1)*J28+INDEX(Symboles!$G$6:$G$101,MOD(66+$C28+(2),$B$3)+1)*K28+INDEX(Symboles!$G$6:$G$101,MOD(66+$C28+(3),$B$3)+1)*L28+INDEX(Symboles!$G$6:$G$101,MOD(66+$C28+(4),$B$3)+1)*M28+IF($B$6=0,0,$B$6*NORMSINV(0.000001+0.999998*RAND())))</f>
        <v/>
      </c>
      <c r="CE28" s="30">
        <f>IF(68&gt;$B$3,99,INDEX(Symboles!$G$6:$G$101,MOD(67+$C28+(-4),$B$3)+1)*E28+INDEX(Symboles!$G$6:$G$101,MOD(67+$C28+(-3),$B$3)+1)*F28+INDEX(Symboles!$G$6:$G$101,MOD(67+$C28+(-2),$B$3)+1)*G28+INDEX(Symboles!$G$6:$G$101,MOD(67+$C28+(-1),$B$3)+1)*H28+INDEX(Symboles!$G$6:$G$101,MOD(67+$C28+(0),$B$3)+1)*I28+INDEX(Symboles!$G$6:$G$101,MOD(67+$C28+(1),$B$3)+1)*J28+INDEX(Symboles!$G$6:$G$101,MOD(67+$C28+(2),$B$3)+1)*K28+INDEX(Symboles!$G$6:$G$101,MOD(67+$C28+(3),$B$3)+1)*L28+INDEX(Symboles!$G$6:$G$101,MOD(67+$C28+(4),$B$3)+1)*M28+IF($B$6=0,0,$B$6*NORMSINV(0.000001+0.999998*RAND())))</f>
        <v/>
      </c>
      <c r="CF28" s="30">
        <f>IF(69&gt;$B$3,99,INDEX(Symboles!$G$6:$G$101,MOD(68+$C28+(-4),$B$3)+1)*E28+INDEX(Symboles!$G$6:$G$101,MOD(68+$C28+(-3),$B$3)+1)*F28+INDEX(Symboles!$G$6:$G$101,MOD(68+$C28+(-2),$B$3)+1)*G28+INDEX(Symboles!$G$6:$G$101,MOD(68+$C28+(-1),$B$3)+1)*H28+INDEX(Symboles!$G$6:$G$101,MOD(68+$C28+(0),$B$3)+1)*I28+INDEX(Symboles!$G$6:$G$101,MOD(68+$C28+(1),$B$3)+1)*J28+INDEX(Symboles!$G$6:$G$101,MOD(68+$C28+(2),$B$3)+1)*K28+INDEX(Symboles!$G$6:$G$101,MOD(68+$C28+(3),$B$3)+1)*L28+INDEX(Symboles!$G$6:$G$101,MOD(68+$C28+(4),$B$3)+1)*M28+IF($B$6=0,0,$B$6*NORMSINV(0.000001+0.999998*RAND())))</f>
        <v/>
      </c>
      <c r="CG28" s="30">
        <f>IF(70&gt;$B$3,99,INDEX(Symboles!$G$6:$G$101,MOD(69+$C28+(-4),$B$3)+1)*E28+INDEX(Symboles!$G$6:$G$101,MOD(69+$C28+(-3),$B$3)+1)*F28+INDEX(Symboles!$G$6:$G$101,MOD(69+$C28+(-2),$B$3)+1)*G28+INDEX(Symboles!$G$6:$G$101,MOD(69+$C28+(-1),$B$3)+1)*H28+INDEX(Symboles!$G$6:$G$101,MOD(69+$C28+(0),$B$3)+1)*I28+INDEX(Symboles!$G$6:$G$101,MOD(69+$C28+(1),$B$3)+1)*J28+INDEX(Symboles!$G$6:$G$101,MOD(69+$C28+(2),$B$3)+1)*K28+INDEX(Symboles!$G$6:$G$101,MOD(69+$C28+(3),$B$3)+1)*L28+INDEX(Symboles!$G$6:$G$101,MOD(69+$C28+(4),$B$3)+1)*M28+IF($B$6=0,0,$B$6*NORMSINV(0.000001+0.999998*RAND())))</f>
        <v/>
      </c>
      <c r="CH28" s="30">
        <f>IF(71&gt;$B$3,99,INDEX(Symboles!$G$6:$G$101,MOD(70+$C28+(-4),$B$3)+1)*E28+INDEX(Symboles!$G$6:$G$101,MOD(70+$C28+(-3),$B$3)+1)*F28+INDEX(Symboles!$G$6:$G$101,MOD(70+$C28+(-2),$B$3)+1)*G28+INDEX(Symboles!$G$6:$G$101,MOD(70+$C28+(-1),$B$3)+1)*H28+INDEX(Symboles!$G$6:$G$101,MOD(70+$C28+(0),$B$3)+1)*I28+INDEX(Symboles!$G$6:$G$101,MOD(70+$C28+(1),$B$3)+1)*J28+INDEX(Symboles!$G$6:$G$101,MOD(70+$C28+(2),$B$3)+1)*K28+INDEX(Symboles!$G$6:$G$101,MOD(70+$C28+(3),$B$3)+1)*L28+INDEX(Symboles!$G$6:$G$101,MOD(70+$C28+(4),$B$3)+1)*M28+IF($B$6=0,0,$B$6*NORMSINV(0.000001+0.999998*RAND())))</f>
        <v/>
      </c>
      <c r="CI28" s="30">
        <f>IF(72&gt;$B$3,99,INDEX(Symboles!$G$6:$G$101,MOD(71+$C28+(-4),$B$3)+1)*E28+INDEX(Symboles!$G$6:$G$101,MOD(71+$C28+(-3),$B$3)+1)*F28+INDEX(Symboles!$G$6:$G$101,MOD(71+$C28+(-2),$B$3)+1)*G28+INDEX(Symboles!$G$6:$G$101,MOD(71+$C28+(-1),$B$3)+1)*H28+INDEX(Symboles!$G$6:$G$101,MOD(71+$C28+(0),$B$3)+1)*I28+INDEX(Symboles!$G$6:$G$101,MOD(71+$C28+(1),$B$3)+1)*J28+INDEX(Symboles!$G$6:$G$101,MOD(71+$C28+(2),$B$3)+1)*K28+INDEX(Symboles!$G$6:$G$101,MOD(71+$C28+(3),$B$3)+1)*L28+INDEX(Symboles!$G$6:$G$101,MOD(71+$C28+(4),$B$3)+1)*M28+IF($B$6=0,0,$B$6*NORMSINV(0.000001+0.999998*RAND())))</f>
        <v/>
      </c>
      <c r="CJ28" s="30">
        <f>IF(73&gt;$B$3,99,INDEX(Symboles!$G$6:$G$101,MOD(72+$C28+(-4),$B$3)+1)*E28+INDEX(Symboles!$G$6:$G$101,MOD(72+$C28+(-3),$B$3)+1)*F28+INDEX(Symboles!$G$6:$G$101,MOD(72+$C28+(-2),$B$3)+1)*G28+INDEX(Symboles!$G$6:$G$101,MOD(72+$C28+(-1),$B$3)+1)*H28+INDEX(Symboles!$G$6:$G$101,MOD(72+$C28+(0),$B$3)+1)*I28+INDEX(Symboles!$G$6:$G$101,MOD(72+$C28+(1),$B$3)+1)*J28+INDEX(Symboles!$G$6:$G$101,MOD(72+$C28+(2),$B$3)+1)*K28+INDEX(Symboles!$G$6:$G$101,MOD(72+$C28+(3),$B$3)+1)*L28+INDEX(Symboles!$G$6:$G$101,MOD(72+$C28+(4),$B$3)+1)*M28+IF($B$6=0,0,$B$6*NORMSINV(0.000001+0.999998*RAND())))</f>
        <v/>
      </c>
      <c r="CK28" s="30">
        <f>IF(74&gt;$B$3,99,INDEX(Symboles!$G$6:$G$101,MOD(73+$C28+(-4),$B$3)+1)*E28+INDEX(Symboles!$G$6:$G$101,MOD(73+$C28+(-3),$B$3)+1)*F28+INDEX(Symboles!$G$6:$G$101,MOD(73+$C28+(-2),$B$3)+1)*G28+INDEX(Symboles!$G$6:$G$101,MOD(73+$C28+(-1),$B$3)+1)*H28+INDEX(Symboles!$G$6:$G$101,MOD(73+$C28+(0),$B$3)+1)*I28+INDEX(Symboles!$G$6:$G$101,MOD(73+$C28+(1),$B$3)+1)*J28+INDEX(Symboles!$G$6:$G$101,MOD(73+$C28+(2),$B$3)+1)*K28+INDEX(Symboles!$G$6:$G$101,MOD(73+$C28+(3),$B$3)+1)*L28+INDEX(Symboles!$G$6:$G$101,MOD(73+$C28+(4),$B$3)+1)*M28+IF($B$6=0,0,$B$6*NORMSINV(0.000001+0.999998*RAND())))</f>
        <v/>
      </c>
      <c r="CL28" s="30">
        <f>IF(75&gt;$B$3,99,INDEX(Symboles!$G$6:$G$101,MOD(74+$C28+(-4),$B$3)+1)*E28+INDEX(Symboles!$G$6:$G$101,MOD(74+$C28+(-3),$B$3)+1)*F28+INDEX(Symboles!$G$6:$G$101,MOD(74+$C28+(-2),$B$3)+1)*G28+INDEX(Symboles!$G$6:$G$101,MOD(74+$C28+(-1),$B$3)+1)*H28+INDEX(Symboles!$G$6:$G$101,MOD(74+$C28+(0),$B$3)+1)*I28+INDEX(Symboles!$G$6:$G$101,MOD(74+$C28+(1),$B$3)+1)*J28+INDEX(Symboles!$G$6:$G$101,MOD(74+$C28+(2),$B$3)+1)*K28+INDEX(Symboles!$G$6:$G$101,MOD(74+$C28+(3),$B$3)+1)*L28+INDEX(Symboles!$G$6:$G$101,MOD(74+$C28+(4),$B$3)+1)*M28+IF($B$6=0,0,$B$6*NORMSINV(0.000001+0.999998*RAND())))</f>
        <v/>
      </c>
      <c r="CM28" s="30">
        <f>IF(76&gt;$B$3,99,INDEX(Symboles!$G$6:$G$101,MOD(75+$C28+(-4),$B$3)+1)*E28+INDEX(Symboles!$G$6:$G$101,MOD(75+$C28+(-3),$B$3)+1)*F28+INDEX(Symboles!$G$6:$G$101,MOD(75+$C28+(-2),$B$3)+1)*G28+INDEX(Symboles!$G$6:$G$101,MOD(75+$C28+(-1),$B$3)+1)*H28+INDEX(Symboles!$G$6:$G$101,MOD(75+$C28+(0),$B$3)+1)*I28+INDEX(Symboles!$G$6:$G$101,MOD(75+$C28+(1),$B$3)+1)*J28+INDEX(Symboles!$G$6:$G$101,MOD(75+$C28+(2),$B$3)+1)*K28+INDEX(Symboles!$G$6:$G$101,MOD(75+$C28+(3),$B$3)+1)*L28+INDEX(Symboles!$G$6:$G$101,MOD(75+$C28+(4),$B$3)+1)*M28+IF($B$6=0,0,$B$6*NORMSINV(0.000001+0.999998*RAND())))</f>
        <v/>
      </c>
      <c r="CN28" s="30">
        <f>IF(77&gt;$B$3,99,INDEX(Symboles!$G$6:$G$101,MOD(76+$C28+(-4),$B$3)+1)*E28+INDEX(Symboles!$G$6:$G$101,MOD(76+$C28+(-3),$B$3)+1)*F28+INDEX(Symboles!$G$6:$G$101,MOD(76+$C28+(-2),$B$3)+1)*G28+INDEX(Symboles!$G$6:$G$101,MOD(76+$C28+(-1),$B$3)+1)*H28+INDEX(Symboles!$G$6:$G$101,MOD(76+$C28+(0),$B$3)+1)*I28+INDEX(Symboles!$G$6:$G$101,MOD(76+$C28+(1),$B$3)+1)*J28+INDEX(Symboles!$G$6:$G$101,MOD(76+$C28+(2),$B$3)+1)*K28+INDEX(Symboles!$G$6:$G$101,MOD(76+$C28+(3),$B$3)+1)*L28+INDEX(Symboles!$G$6:$G$101,MOD(76+$C28+(4),$B$3)+1)*M28+IF($B$6=0,0,$B$6*NORMSINV(0.000001+0.999998*RAND())))</f>
        <v/>
      </c>
      <c r="CO28" s="30">
        <f>IF(78&gt;$B$3,99,INDEX(Symboles!$G$6:$G$101,MOD(77+$C28+(-4),$B$3)+1)*E28+INDEX(Symboles!$G$6:$G$101,MOD(77+$C28+(-3),$B$3)+1)*F28+INDEX(Symboles!$G$6:$G$101,MOD(77+$C28+(-2),$B$3)+1)*G28+INDEX(Symboles!$G$6:$G$101,MOD(77+$C28+(-1),$B$3)+1)*H28+INDEX(Symboles!$G$6:$G$101,MOD(77+$C28+(0),$B$3)+1)*I28+INDEX(Symboles!$G$6:$G$101,MOD(77+$C28+(1),$B$3)+1)*J28+INDEX(Symboles!$G$6:$G$101,MOD(77+$C28+(2),$B$3)+1)*K28+INDEX(Symboles!$G$6:$G$101,MOD(77+$C28+(3),$B$3)+1)*L28+INDEX(Symboles!$G$6:$G$101,MOD(77+$C28+(4),$B$3)+1)*M28+IF($B$6=0,0,$B$6*NORMSINV(0.000001+0.999998*RAND())))</f>
        <v/>
      </c>
      <c r="CP28" s="30">
        <f>IF(79&gt;$B$3,99,INDEX(Symboles!$G$6:$G$101,MOD(78+$C28+(-4),$B$3)+1)*E28+INDEX(Symboles!$G$6:$G$101,MOD(78+$C28+(-3),$B$3)+1)*F28+INDEX(Symboles!$G$6:$G$101,MOD(78+$C28+(-2),$B$3)+1)*G28+INDEX(Symboles!$G$6:$G$101,MOD(78+$C28+(-1),$B$3)+1)*H28+INDEX(Symboles!$G$6:$G$101,MOD(78+$C28+(0),$B$3)+1)*I28+INDEX(Symboles!$G$6:$G$101,MOD(78+$C28+(1),$B$3)+1)*J28+INDEX(Symboles!$G$6:$G$101,MOD(78+$C28+(2),$B$3)+1)*K28+INDEX(Symboles!$G$6:$G$101,MOD(78+$C28+(3),$B$3)+1)*L28+INDEX(Symboles!$G$6:$G$101,MOD(78+$C28+(4),$B$3)+1)*M28+IF($B$6=0,0,$B$6*NORMSINV(0.000001+0.999998*RAND())))</f>
        <v/>
      </c>
      <c r="CQ28" s="30">
        <f>IF(80&gt;$B$3,99,INDEX(Symboles!$G$6:$G$101,MOD(79+$C28+(-4),$B$3)+1)*E28+INDEX(Symboles!$G$6:$G$101,MOD(79+$C28+(-3),$B$3)+1)*F28+INDEX(Symboles!$G$6:$G$101,MOD(79+$C28+(-2),$B$3)+1)*G28+INDEX(Symboles!$G$6:$G$101,MOD(79+$C28+(-1),$B$3)+1)*H28+INDEX(Symboles!$G$6:$G$101,MOD(79+$C28+(0),$B$3)+1)*I28+INDEX(Symboles!$G$6:$G$101,MOD(79+$C28+(1),$B$3)+1)*J28+INDEX(Symboles!$G$6:$G$101,MOD(79+$C28+(2),$B$3)+1)*K28+INDEX(Symboles!$G$6:$G$101,MOD(79+$C28+(3),$B$3)+1)*L28+INDEX(Symboles!$G$6:$G$101,MOD(79+$C28+(4),$B$3)+1)*M28+IF($B$6=0,0,$B$6*NORMSINV(0.000001+0.999998*RAND())))</f>
        <v/>
      </c>
      <c r="CR28" s="30">
        <f>IF(81&gt;$B$3,99,INDEX(Symboles!$G$6:$G$101,MOD(80+$C28+(-4),$B$3)+1)*E28+INDEX(Symboles!$G$6:$G$101,MOD(80+$C28+(-3),$B$3)+1)*F28+INDEX(Symboles!$G$6:$G$101,MOD(80+$C28+(-2),$B$3)+1)*G28+INDEX(Symboles!$G$6:$G$101,MOD(80+$C28+(-1),$B$3)+1)*H28+INDEX(Symboles!$G$6:$G$101,MOD(80+$C28+(0),$B$3)+1)*I28+INDEX(Symboles!$G$6:$G$101,MOD(80+$C28+(1),$B$3)+1)*J28+INDEX(Symboles!$G$6:$G$101,MOD(80+$C28+(2),$B$3)+1)*K28+INDEX(Symboles!$G$6:$G$101,MOD(80+$C28+(3),$B$3)+1)*L28+INDEX(Symboles!$G$6:$G$101,MOD(80+$C28+(4),$B$3)+1)*M28+IF($B$6=0,0,$B$6*NORMSINV(0.000001+0.999998*RAND())))</f>
        <v/>
      </c>
      <c r="CS28" s="30">
        <f>IF(82&gt;$B$3,99,INDEX(Symboles!$G$6:$G$101,MOD(81+$C28+(-4),$B$3)+1)*E28+INDEX(Symboles!$G$6:$G$101,MOD(81+$C28+(-3),$B$3)+1)*F28+INDEX(Symboles!$G$6:$G$101,MOD(81+$C28+(-2),$B$3)+1)*G28+INDEX(Symboles!$G$6:$G$101,MOD(81+$C28+(-1),$B$3)+1)*H28+INDEX(Symboles!$G$6:$G$101,MOD(81+$C28+(0),$B$3)+1)*I28+INDEX(Symboles!$G$6:$G$101,MOD(81+$C28+(1),$B$3)+1)*J28+INDEX(Symboles!$G$6:$G$101,MOD(81+$C28+(2),$B$3)+1)*K28+INDEX(Symboles!$G$6:$G$101,MOD(81+$C28+(3),$B$3)+1)*L28+INDEX(Symboles!$G$6:$G$101,MOD(81+$C28+(4),$B$3)+1)*M28+IF($B$6=0,0,$B$6*NORMSINV(0.000001+0.999998*RAND())))</f>
        <v/>
      </c>
      <c r="CT28" s="30">
        <f>IF(83&gt;$B$3,99,INDEX(Symboles!$G$6:$G$101,MOD(82+$C28+(-4),$B$3)+1)*E28+INDEX(Symboles!$G$6:$G$101,MOD(82+$C28+(-3),$B$3)+1)*F28+INDEX(Symboles!$G$6:$G$101,MOD(82+$C28+(-2),$B$3)+1)*G28+INDEX(Symboles!$G$6:$G$101,MOD(82+$C28+(-1),$B$3)+1)*H28+INDEX(Symboles!$G$6:$G$101,MOD(82+$C28+(0),$B$3)+1)*I28+INDEX(Symboles!$G$6:$G$101,MOD(82+$C28+(1),$B$3)+1)*J28+INDEX(Symboles!$G$6:$G$101,MOD(82+$C28+(2),$B$3)+1)*K28+INDEX(Symboles!$G$6:$G$101,MOD(82+$C28+(3),$B$3)+1)*L28+INDEX(Symboles!$G$6:$G$101,MOD(82+$C28+(4),$B$3)+1)*M28+IF($B$6=0,0,$B$6*NORMSINV(0.000001+0.999998*RAND())))</f>
        <v/>
      </c>
      <c r="CU28" s="30">
        <f>IF(84&gt;$B$3,99,INDEX(Symboles!$G$6:$G$101,MOD(83+$C28+(-4),$B$3)+1)*E28+INDEX(Symboles!$G$6:$G$101,MOD(83+$C28+(-3),$B$3)+1)*F28+INDEX(Symboles!$G$6:$G$101,MOD(83+$C28+(-2),$B$3)+1)*G28+INDEX(Symboles!$G$6:$G$101,MOD(83+$C28+(-1),$B$3)+1)*H28+INDEX(Symboles!$G$6:$G$101,MOD(83+$C28+(0),$B$3)+1)*I28+INDEX(Symboles!$G$6:$G$101,MOD(83+$C28+(1),$B$3)+1)*J28+INDEX(Symboles!$G$6:$G$101,MOD(83+$C28+(2),$B$3)+1)*K28+INDEX(Symboles!$G$6:$G$101,MOD(83+$C28+(3),$B$3)+1)*L28+INDEX(Symboles!$G$6:$G$101,MOD(83+$C28+(4),$B$3)+1)*M28+IF($B$6=0,0,$B$6*NORMSINV(0.000001+0.999998*RAND())))</f>
        <v/>
      </c>
      <c r="CV28" s="30">
        <f>IF(85&gt;$B$3,99,INDEX(Symboles!$G$6:$G$101,MOD(84+$C28+(-4),$B$3)+1)*E28+INDEX(Symboles!$G$6:$G$101,MOD(84+$C28+(-3),$B$3)+1)*F28+INDEX(Symboles!$G$6:$G$101,MOD(84+$C28+(-2),$B$3)+1)*G28+INDEX(Symboles!$G$6:$G$101,MOD(84+$C28+(-1),$B$3)+1)*H28+INDEX(Symboles!$G$6:$G$101,MOD(84+$C28+(0),$B$3)+1)*I28+INDEX(Symboles!$G$6:$G$101,MOD(84+$C28+(1),$B$3)+1)*J28+INDEX(Symboles!$G$6:$G$101,MOD(84+$C28+(2),$B$3)+1)*K28+INDEX(Symboles!$G$6:$G$101,MOD(84+$C28+(3),$B$3)+1)*L28+INDEX(Symboles!$G$6:$G$101,MOD(84+$C28+(4),$B$3)+1)*M28+IF($B$6=0,0,$B$6*NORMSINV(0.000001+0.999998*RAND())))</f>
        <v/>
      </c>
      <c r="CW28" s="30">
        <f>IF(86&gt;$B$3,99,INDEX(Symboles!$G$6:$G$101,MOD(85+$C28+(-4),$B$3)+1)*E28+INDEX(Symboles!$G$6:$G$101,MOD(85+$C28+(-3),$B$3)+1)*F28+INDEX(Symboles!$G$6:$G$101,MOD(85+$C28+(-2),$B$3)+1)*G28+INDEX(Symboles!$G$6:$G$101,MOD(85+$C28+(-1),$B$3)+1)*H28+INDEX(Symboles!$G$6:$G$101,MOD(85+$C28+(0),$B$3)+1)*I28+INDEX(Symboles!$G$6:$G$101,MOD(85+$C28+(1),$B$3)+1)*J28+INDEX(Symboles!$G$6:$G$101,MOD(85+$C28+(2),$B$3)+1)*K28+INDEX(Symboles!$G$6:$G$101,MOD(85+$C28+(3),$B$3)+1)*L28+INDEX(Symboles!$G$6:$G$101,MOD(85+$C28+(4),$B$3)+1)*M28+IF($B$6=0,0,$B$6*NORMSINV(0.000001+0.999998*RAND())))</f>
        <v/>
      </c>
      <c r="CX28" s="30">
        <f>IF(87&gt;$B$3,99,INDEX(Symboles!$G$6:$G$101,MOD(86+$C28+(-4),$B$3)+1)*E28+INDEX(Symboles!$G$6:$G$101,MOD(86+$C28+(-3),$B$3)+1)*F28+INDEX(Symboles!$G$6:$G$101,MOD(86+$C28+(-2),$B$3)+1)*G28+INDEX(Symboles!$G$6:$G$101,MOD(86+$C28+(-1),$B$3)+1)*H28+INDEX(Symboles!$G$6:$G$101,MOD(86+$C28+(0),$B$3)+1)*I28+INDEX(Symboles!$G$6:$G$101,MOD(86+$C28+(1),$B$3)+1)*J28+INDEX(Symboles!$G$6:$G$101,MOD(86+$C28+(2),$B$3)+1)*K28+INDEX(Symboles!$G$6:$G$101,MOD(86+$C28+(3),$B$3)+1)*L28+INDEX(Symboles!$G$6:$G$101,MOD(86+$C28+(4),$B$3)+1)*M28+IF($B$6=0,0,$B$6*NORMSINV(0.000001+0.999998*RAND())))</f>
        <v/>
      </c>
      <c r="CY28" s="30">
        <f>IF(88&gt;$B$3,99,INDEX(Symboles!$G$6:$G$101,MOD(87+$C28+(-4),$B$3)+1)*E28+INDEX(Symboles!$G$6:$G$101,MOD(87+$C28+(-3),$B$3)+1)*F28+INDEX(Symboles!$G$6:$G$101,MOD(87+$C28+(-2),$B$3)+1)*G28+INDEX(Symboles!$G$6:$G$101,MOD(87+$C28+(-1),$B$3)+1)*H28+INDEX(Symboles!$G$6:$G$101,MOD(87+$C28+(0),$B$3)+1)*I28+INDEX(Symboles!$G$6:$G$101,MOD(87+$C28+(1),$B$3)+1)*J28+INDEX(Symboles!$G$6:$G$101,MOD(87+$C28+(2),$B$3)+1)*K28+INDEX(Symboles!$G$6:$G$101,MOD(87+$C28+(3),$B$3)+1)*L28+INDEX(Symboles!$G$6:$G$101,MOD(87+$C28+(4),$B$3)+1)*M28+IF($B$6=0,0,$B$6*NORMSINV(0.000001+0.999998*RAND())))</f>
        <v/>
      </c>
      <c r="CZ28" s="30">
        <f>IF(89&gt;$B$3,99,INDEX(Symboles!$G$6:$G$101,MOD(88+$C28+(-4),$B$3)+1)*E28+INDEX(Symboles!$G$6:$G$101,MOD(88+$C28+(-3),$B$3)+1)*F28+INDEX(Symboles!$G$6:$G$101,MOD(88+$C28+(-2),$B$3)+1)*G28+INDEX(Symboles!$G$6:$G$101,MOD(88+$C28+(-1),$B$3)+1)*H28+INDEX(Symboles!$G$6:$G$101,MOD(88+$C28+(0),$B$3)+1)*I28+INDEX(Symboles!$G$6:$G$101,MOD(88+$C28+(1),$B$3)+1)*J28+INDEX(Symboles!$G$6:$G$101,MOD(88+$C28+(2),$B$3)+1)*K28+INDEX(Symboles!$G$6:$G$101,MOD(88+$C28+(3),$B$3)+1)*L28+INDEX(Symboles!$G$6:$G$101,MOD(88+$C28+(4),$B$3)+1)*M28+IF($B$6=0,0,$B$6*NORMSINV(0.000001+0.999998*RAND())))</f>
        <v/>
      </c>
      <c r="DA28" s="30">
        <f>IF(90&gt;$B$3,99,INDEX(Symboles!$G$6:$G$101,MOD(89+$C28+(-4),$B$3)+1)*E28+INDEX(Symboles!$G$6:$G$101,MOD(89+$C28+(-3),$B$3)+1)*F28+INDEX(Symboles!$G$6:$G$101,MOD(89+$C28+(-2),$B$3)+1)*G28+INDEX(Symboles!$G$6:$G$101,MOD(89+$C28+(-1),$B$3)+1)*H28+INDEX(Symboles!$G$6:$G$101,MOD(89+$C28+(0),$B$3)+1)*I28+INDEX(Symboles!$G$6:$G$101,MOD(89+$C28+(1),$B$3)+1)*J28+INDEX(Symboles!$G$6:$G$101,MOD(89+$C28+(2),$B$3)+1)*K28+INDEX(Symboles!$G$6:$G$101,MOD(89+$C28+(3),$B$3)+1)*L28+INDEX(Symboles!$G$6:$G$101,MOD(89+$C28+(4),$B$3)+1)*M28+IF($B$6=0,0,$B$6*NORMSINV(0.000001+0.999998*RAND())))</f>
        <v/>
      </c>
      <c r="DB28" s="30">
        <f>IF(91&gt;$B$3,99,INDEX(Symboles!$G$6:$G$101,MOD(90+$C28+(-4),$B$3)+1)*E28+INDEX(Symboles!$G$6:$G$101,MOD(90+$C28+(-3),$B$3)+1)*F28+INDEX(Symboles!$G$6:$G$101,MOD(90+$C28+(-2),$B$3)+1)*G28+INDEX(Symboles!$G$6:$G$101,MOD(90+$C28+(-1),$B$3)+1)*H28+INDEX(Symboles!$G$6:$G$101,MOD(90+$C28+(0),$B$3)+1)*I28+INDEX(Symboles!$G$6:$G$101,MOD(90+$C28+(1),$B$3)+1)*J28+INDEX(Symboles!$G$6:$G$101,MOD(90+$C28+(2),$B$3)+1)*K28+INDEX(Symboles!$G$6:$G$101,MOD(90+$C28+(3),$B$3)+1)*L28+INDEX(Symboles!$G$6:$G$101,MOD(90+$C28+(4),$B$3)+1)*M28+IF($B$6=0,0,$B$6*NORMSINV(0.000001+0.999998*RAND())))</f>
        <v/>
      </c>
      <c r="DC28" s="30">
        <f>IF(92&gt;$B$3,99,INDEX(Symboles!$G$6:$G$101,MOD(91+$C28+(-4),$B$3)+1)*E28+INDEX(Symboles!$G$6:$G$101,MOD(91+$C28+(-3),$B$3)+1)*F28+INDEX(Symboles!$G$6:$G$101,MOD(91+$C28+(-2),$B$3)+1)*G28+INDEX(Symboles!$G$6:$G$101,MOD(91+$C28+(-1),$B$3)+1)*H28+INDEX(Symboles!$G$6:$G$101,MOD(91+$C28+(0),$B$3)+1)*I28+INDEX(Symboles!$G$6:$G$101,MOD(91+$C28+(1),$B$3)+1)*J28+INDEX(Symboles!$G$6:$G$101,MOD(91+$C28+(2),$B$3)+1)*K28+INDEX(Symboles!$G$6:$G$101,MOD(91+$C28+(3),$B$3)+1)*L28+INDEX(Symboles!$G$6:$G$101,MOD(91+$C28+(4),$B$3)+1)*M28+IF($B$6=0,0,$B$6*NORMSINV(0.000001+0.999998*RAND())))</f>
        <v/>
      </c>
      <c r="DD28" s="30">
        <f>IF(93&gt;$B$3,99,INDEX(Symboles!$G$6:$G$101,MOD(92+$C28+(-4),$B$3)+1)*E28+INDEX(Symboles!$G$6:$G$101,MOD(92+$C28+(-3),$B$3)+1)*F28+INDEX(Symboles!$G$6:$G$101,MOD(92+$C28+(-2),$B$3)+1)*G28+INDEX(Symboles!$G$6:$G$101,MOD(92+$C28+(-1),$B$3)+1)*H28+INDEX(Symboles!$G$6:$G$101,MOD(92+$C28+(0),$B$3)+1)*I28+INDEX(Symboles!$G$6:$G$101,MOD(92+$C28+(1),$B$3)+1)*J28+INDEX(Symboles!$G$6:$G$101,MOD(92+$C28+(2),$B$3)+1)*K28+INDEX(Symboles!$G$6:$G$101,MOD(92+$C28+(3),$B$3)+1)*L28+INDEX(Symboles!$G$6:$G$101,MOD(92+$C28+(4),$B$3)+1)*M28+IF($B$6=0,0,$B$6*NORMSINV(0.000001+0.999998*RAND())))</f>
        <v/>
      </c>
      <c r="DE28" s="30">
        <f>IF(94&gt;$B$3,99,INDEX(Symboles!$G$6:$G$101,MOD(93+$C28+(-4),$B$3)+1)*E28+INDEX(Symboles!$G$6:$G$101,MOD(93+$C28+(-3),$B$3)+1)*F28+INDEX(Symboles!$G$6:$G$101,MOD(93+$C28+(-2),$B$3)+1)*G28+INDEX(Symboles!$G$6:$G$101,MOD(93+$C28+(-1),$B$3)+1)*H28+INDEX(Symboles!$G$6:$G$101,MOD(93+$C28+(0),$B$3)+1)*I28+INDEX(Symboles!$G$6:$G$101,MOD(93+$C28+(1),$B$3)+1)*J28+INDEX(Symboles!$G$6:$G$101,MOD(93+$C28+(2),$B$3)+1)*K28+INDEX(Symboles!$G$6:$G$101,MOD(93+$C28+(3),$B$3)+1)*L28+INDEX(Symboles!$G$6:$G$101,MOD(93+$C28+(4),$B$3)+1)*M28+IF($B$6=0,0,$B$6*NORMSINV(0.000001+0.999998*RAND())))</f>
        <v/>
      </c>
      <c r="DF28" s="30">
        <f>IF(95&gt;$B$3,99,INDEX(Symboles!$G$6:$G$101,MOD(94+$C28+(-4),$B$3)+1)*E28+INDEX(Symboles!$G$6:$G$101,MOD(94+$C28+(-3),$B$3)+1)*F28+INDEX(Symboles!$G$6:$G$101,MOD(94+$C28+(-2),$B$3)+1)*G28+INDEX(Symboles!$G$6:$G$101,MOD(94+$C28+(-1),$B$3)+1)*H28+INDEX(Symboles!$G$6:$G$101,MOD(94+$C28+(0),$B$3)+1)*I28+INDEX(Symboles!$G$6:$G$101,MOD(94+$C28+(1),$B$3)+1)*J28+INDEX(Symboles!$G$6:$G$101,MOD(94+$C28+(2),$B$3)+1)*K28+INDEX(Symboles!$G$6:$G$101,MOD(94+$C28+(3),$B$3)+1)*L28+INDEX(Symboles!$G$6:$G$101,MOD(94+$C28+(4),$B$3)+1)*M28+IF($B$6=0,0,$B$6*NORMSINV(0.000001+0.999998*RAND())))</f>
        <v/>
      </c>
      <c r="DG28" s="30">
        <f>IF(96&gt;$B$3,99,INDEX(Symboles!$G$6:$G$101,MOD(95+$C28+(-4),$B$3)+1)*E28+INDEX(Symboles!$G$6:$G$101,MOD(95+$C28+(-3),$B$3)+1)*F28+INDEX(Symboles!$G$6:$G$101,MOD(95+$C28+(-2),$B$3)+1)*G28+INDEX(Symboles!$G$6:$G$101,MOD(95+$C28+(-1),$B$3)+1)*H28+INDEX(Symboles!$G$6:$G$101,MOD(95+$C28+(0),$B$3)+1)*I28+INDEX(Symboles!$G$6:$G$101,MOD(95+$C28+(1),$B$3)+1)*J28+INDEX(Symboles!$G$6:$G$101,MOD(95+$C28+(2),$B$3)+1)*K28+INDEX(Symboles!$G$6:$G$101,MOD(95+$C28+(3),$B$3)+1)*L28+INDEX(Symboles!$G$6:$G$101,MOD(95+$C28+(4),$B$3)+1)*M28+IF($B$6=0,0,$B$6*NORMSINV(0.000001+0.999998*RAND())))</f>
        <v/>
      </c>
      <c r="DI28" s="30">
        <f>IF(1&gt;$B$3,99,INDEX(Symboles!$H$6:$H$101,MOD(0+$C28+(-4),$B$3)+1)*E28+INDEX(Symboles!$H$6:$H$101,MOD(0+$C28+(-3),$B$3)+1)*F28+INDEX(Symboles!$H$6:$H$101,MOD(0+$C28+(-2),$B$3)+1)*G28+INDEX(Symboles!$H$6:$H$101,MOD(0+$C28+(-1),$B$3)+1)*H28+INDEX(Symboles!$H$6:$H$101,MOD(0+$C28+(0),$B$3)+1)*I28+INDEX(Symboles!$H$6:$H$101,MOD(0+$C28+(1),$B$3)+1)*J28+INDEX(Symboles!$H$6:$H$101,MOD(0+$C28+(2),$B$3)+1)*K28+INDEX(Symboles!$H$6:$H$101,MOD(0+$C28+(3),$B$3)+1)*L28+INDEX(Symboles!$H$6:$H$101,MOD(0+$C28+(4),$B$3)+1)*M28+IF($B$6=0,0,$B$6*NORMSINV(0.000001+0.999998*RAND())))</f>
        <v/>
      </c>
      <c r="DJ28" s="30">
        <f>IF(2&gt;$B$3,99,INDEX(Symboles!$H$6:$H$101,MOD(1+$C28+(-4),$B$3)+1)*E28+INDEX(Symboles!$H$6:$H$101,MOD(1+$C28+(-3),$B$3)+1)*F28+INDEX(Symboles!$H$6:$H$101,MOD(1+$C28+(-2),$B$3)+1)*G28+INDEX(Symboles!$H$6:$H$101,MOD(1+$C28+(-1),$B$3)+1)*H28+INDEX(Symboles!$H$6:$H$101,MOD(1+$C28+(0),$B$3)+1)*I28+INDEX(Symboles!$H$6:$H$101,MOD(1+$C28+(1),$B$3)+1)*J28+INDEX(Symboles!$H$6:$H$101,MOD(1+$C28+(2),$B$3)+1)*K28+INDEX(Symboles!$H$6:$H$101,MOD(1+$C28+(3),$B$3)+1)*L28+INDEX(Symboles!$H$6:$H$101,MOD(1+$C28+(4),$B$3)+1)*M28+IF($B$6=0,0,$B$6*NORMSINV(0.000001+0.999998*RAND())))</f>
        <v/>
      </c>
      <c r="DK28" s="30">
        <f>IF(3&gt;$B$3,99,INDEX(Symboles!$H$6:$H$101,MOD(2+$C28+(-4),$B$3)+1)*E28+INDEX(Symboles!$H$6:$H$101,MOD(2+$C28+(-3),$B$3)+1)*F28+INDEX(Symboles!$H$6:$H$101,MOD(2+$C28+(-2),$B$3)+1)*G28+INDEX(Symboles!$H$6:$H$101,MOD(2+$C28+(-1),$B$3)+1)*H28+INDEX(Symboles!$H$6:$H$101,MOD(2+$C28+(0),$B$3)+1)*I28+INDEX(Symboles!$H$6:$H$101,MOD(2+$C28+(1),$B$3)+1)*J28+INDEX(Symboles!$H$6:$H$101,MOD(2+$C28+(2),$B$3)+1)*K28+INDEX(Symboles!$H$6:$H$101,MOD(2+$C28+(3),$B$3)+1)*L28+INDEX(Symboles!$H$6:$H$101,MOD(2+$C28+(4),$B$3)+1)*M28+IF($B$6=0,0,$B$6*NORMSINV(0.000001+0.999998*RAND())))</f>
        <v/>
      </c>
      <c r="DL28" s="30">
        <f>IF(4&gt;$B$3,99,INDEX(Symboles!$H$6:$H$101,MOD(3+$C28+(-4),$B$3)+1)*E28+INDEX(Symboles!$H$6:$H$101,MOD(3+$C28+(-3),$B$3)+1)*F28+INDEX(Symboles!$H$6:$H$101,MOD(3+$C28+(-2),$B$3)+1)*G28+INDEX(Symboles!$H$6:$H$101,MOD(3+$C28+(-1),$B$3)+1)*H28+INDEX(Symboles!$H$6:$H$101,MOD(3+$C28+(0),$B$3)+1)*I28+INDEX(Symboles!$H$6:$H$101,MOD(3+$C28+(1),$B$3)+1)*J28+INDEX(Symboles!$H$6:$H$101,MOD(3+$C28+(2),$B$3)+1)*K28+INDEX(Symboles!$H$6:$H$101,MOD(3+$C28+(3),$B$3)+1)*L28+INDEX(Symboles!$H$6:$H$101,MOD(3+$C28+(4),$B$3)+1)*M28+IF($B$6=0,0,$B$6*NORMSINV(0.000001+0.999998*RAND())))</f>
        <v/>
      </c>
      <c r="DM28" s="30">
        <f>IF(5&gt;$B$3,99,INDEX(Symboles!$H$6:$H$101,MOD(4+$C28+(-4),$B$3)+1)*E28+INDEX(Symboles!$H$6:$H$101,MOD(4+$C28+(-3),$B$3)+1)*F28+INDEX(Symboles!$H$6:$H$101,MOD(4+$C28+(-2),$B$3)+1)*G28+INDEX(Symboles!$H$6:$H$101,MOD(4+$C28+(-1),$B$3)+1)*H28+INDEX(Symboles!$H$6:$H$101,MOD(4+$C28+(0),$B$3)+1)*I28+INDEX(Symboles!$H$6:$H$101,MOD(4+$C28+(1),$B$3)+1)*J28+INDEX(Symboles!$H$6:$H$101,MOD(4+$C28+(2),$B$3)+1)*K28+INDEX(Symboles!$H$6:$H$101,MOD(4+$C28+(3),$B$3)+1)*L28+INDEX(Symboles!$H$6:$H$101,MOD(4+$C28+(4),$B$3)+1)*M28+IF($B$6=0,0,$B$6*NORMSINV(0.000001+0.999998*RAND())))</f>
        <v/>
      </c>
      <c r="DN28" s="30">
        <f>IF(6&gt;$B$3,99,INDEX(Symboles!$H$6:$H$101,MOD(5+$C28+(-4),$B$3)+1)*E28+INDEX(Symboles!$H$6:$H$101,MOD(5+$C28+(-3),$B$3)+1)*F28+INDEX(Symboles!$H$6:$H$101,MOD(5+$C28+(-2),$B$3)+1)*G28+INDEX(Symboles!$H$6:$H$101,MOD(5+$C28+(-1),$B$3)+1)*H28+INDEX(Symboles!$H$6:$H$101,MOD(5+$C28+(0),$B$3)+1)*I28+INDEX(Symboles!$H$6:$H$101,MOD(5+$C28+(1),$B$3)+1)*J28+INDEX(Symboles!$H$6:$H$101,MOD(5+$C28+(2),$B$3)+1)*K28+INDEX(Symboles!$H$6:$H$101,MOD(5+$C28+(3),$B$3)+1)*L28+INDEX(Symboles!$H$6:$H$101,MOD(5+$C28+(4),$B$3)+1)*M28+IF($B$6=0,0,$B$6*NORMSINV(0.000001+0.999998*RAND())))</f>
        <v/>
      </c>
      <c r="DO28" s="30">
        <f>IF(7&gt;$B$3,99,INDEX(Symboles!$H$6:$H$101,MOD(6+$C28+(-4),$B$3)+1)*E28+INDEX(Symboles!$H$6:$H$101,MOD(6+$C28+(-3),$B$3)+1)*F28+INDEX(Symboles!$H$6:$H$101,MOD(6+$C28+(-2),$B$3)+1)*G28+INDEX(Symboles!$H$6:$H$101,MOD(6+$C28+(-1),$B$3)+1)*H28+INDEX(Symboles!$H$6:$H$101,MOD(6+$C28+(0),$B$3)+1)*I28+INDEX(Symboles!$H$6:$H$101,MOD(6+$C28+(1),$B$3)+1)*J28+INDEX(Symboles!$H$6:$H$101,MOD(6+$C28+(2),$B$3)+1)*K28+INDEX(Symboles!$H$6:$H$101,MOD(6+$C28+(3),$B$3)+1)*L28+INDEX(Symboles!$H$6:$H$101,MOD(6+$C28+(4),$B$3)+1)*M28+IF($B$6=0,0,$B$6*NORMSINV(0.000001+0.999998*RAND())))</f>
        <v/>
      </c>
      <c r="DP28" s="30">
        <f>IF(8&gt;$B$3,99,INDEX(Symboles!$H$6:$H$101,MOD(7+$C28+(-4),$B$3)+1)*E28+INDEX(Symboles!$H$6:$H$101,MOD(7+$C28+(-3),$B$3)+1)*F28+INDEX(Symboles!$H$6:$H$101,MOD(7+$C28+(-2),$B$3)+1)*G28+INDEX(Symboles!$H$6:$H$101,MOD(7+$C28+(-1),$B$3)+1)*H28+INDEX(Symboles!$H$6:$H$101,MOD(7+$C28+(0),$B$3)+1)*I28+INDEX(Symboles!$H$6:$H$101,MOD(7+$C28+(1),$B$3)+1)*J28+INDEX(Symboles!$H$6:$H$101,MOD(7+$C28+(2),$B$3)+1)*K28+INDEX(Symboles!$H$6:$H$101,MOD(7+$C28+(3),$B$3)+1)*L28+INDEX(Symboles!$H$6:$H$101,MOD(7+$C28+(4),$B$3)+1)*M28+IF($B$6=0,0,$B$6*NORMSINV(0.000001+0.999998*RAND())))</f>
        <v/>
      </c>
      <c r="DQ28" s="30">
        <f>IF(9&gt;$B$3,99,INDEX(Symboles!$H$6:$H$101,MOD(8+$C28+(-4),$B$3)+1)*E28+INDEX(Symboles!$H$6:$H$101,MOD(8+$C28+(-3),$B$3)+1)*F28+INDEX(Symboles!$H$6:$H$101,MOD(8+$C28+(-2),$B$3)+1)*G28+INDEX(Symboles!$H$6:$H$101,MOD(8+$C28+(-1),$B$3)+1)*H28+INDEX(Symboles!$H$6:$H$101,MOD(8+$C28+(0),$B$3)+1)*I28+INDEX(Symboles!$H$6:$H$101,MOD(8+$C28+(1),$B$3)+1)*J28+INDEX(Symboles!$H$6:$H$101,MOD(8+$C28+(2),$B$3)+1)*K28+INDEX(Symboles!$H$6:$H$101,MOD(8+$C28+(3),$B$3)+1)*L28+INDEX(Symboles!$H$6:$H$101,MOD(8+$C28+(4),$B$3)+1)*M28+IF($B$6=0,0,$B$6*NORMSINV(0.000001+0.999998*RAND())))</f>
        <v/>
      </c>
      <c r="DR28" s="30">
        <f>IF(10&gt;$B$3,99,INDEX(Symboles!$H$6:$H$101,MOD(9+$C28+(-4),$B$3)+1)*E28+INDEX(Symboles!$H$6:$H$101,MOD(9+$C28+(-3),$B$3)+1)*F28+INDEX(Symboles!$H$6:$H$101,MOD(9+$C28+(-2),$B$3)+1)*G28+INDEX(Symboles!$H$6:$H$101,MOD(9+$C28+(-1),$B$3)+1)*H28+INDEX(Symboles!$H$6:$H$101,MOD(9+$C28+(0),$B$3)+1)*I28+INDEX(Symboles!$H$6:$H$101,MOD(9+$C28+(1),$B$3)+1)*J28+INDEX(Symboles!$H$6:$H$101,MOD(9+$C28+(2),$B$3)+1)*K28+INDEX(Symboles!$H$6:$H$101,MOD(9+$C28+(3),$B$3)+1)*L28+INDEX(Symboles!$H$6:$H$101,MOD(9+$C28+(4),$B$3)+1)*M28+IF($B$6=0,0,$B$6*NORMSINV(0.000001+0.999998*RAND())))</f>
        <v/>
      </c>
      <c r="DS28" s="30">
        <f>IF(11&gt;$B$3,99,INDEX(Symboles!$H$6:$H$101,MOD(10+$C28+(-4),$B$3)+1)*E28+INDEX(Symboles!$H$6:$H$101,MOD(10+$C28+(-3),$B$3)+1)*F28+INDEX(Symboles!$H$6:$H$101,MOD(10+$C28+(-2),$B$3)+1)*G28+INDEX(Symboles!$H$6:$H$101,MOD(10+$C28+(-1),$B$3)+1)*H28+INDEX(Symboles!$H$6:$H$101,MOD(10+$C28+(0),$B$3)+1)*I28+INDEX(Symboles!$H$6:$H$101,MOD(10+$C28+(1),$B$3)+1)*J28+INDEX(Symboles!$H$6:$H$101,MOD(10+$C28+(2),$B$3)+1)*K28+INDEX(Symboles!$H$6:$H$101,MOD(10+$C28+(3),$B$3)+1)*L28+INDEX(Symboles!$H$6:$H$101,MOD(10+$C28+(4),$B$3)+1)*M28+IF($B$6=0,0,$B$6*NORMSINV(0.000001+0.999998*RAND())))</f>
        <v/>
      </c>
      <c r="DT28" s="30">
        <f>IF(12&gt;$B$3,99,INDEX(Symboles!$H$6:$H$101,MOD(11+$C28+(-4),$B$3)+1)*E28+INDEX(Symboles!$H$6:$H$101,MOD(11+$C28+(-3),$B$3)+1)*F28+INDEX(Symboles!$H$6:$H$101,MOD(11+$C28+(-2),$B$3)+1)*G28+INDEX(Symboles!$H$6:$H$101,MOD(11+$C28+(-1),$B$3)+1)*H28+INDEX(Symboles!$H$6:$H$101,MOD(11+$C28+(0),$B$3)+1)*I28+INDEX(Symboles!$H$6:$H$101,MOD(11+$C28+(1),$B$3)+1)*J28+INDEX(Symboles!$H$6:$H$101,MOD(11+$C28+(2),$B$3)+1)*K28+INDEX(Symboles!$H$6:$H$101,MOD(11+$C28+(3),$B$3)+1)*L28+INDEX(Symboles!$H$6:$H$101,MOD(11+$C28+(4),$B$3)+1)*M28+IF($B$6=0,0,$B$6*NORMSINV(0.000001+0.999998*RAND())))</f>
        <v/>
      </c>
      <c r="DU28" s="30">
        <f>IF(13&gt;$B$3,99,INDEX(Symboles!$H$6:$H$101,MOD(12+$C28+(-4),$B$3)+1)*E28+INDEX(Symboles!$H$6:$H$101,MOD(12+$C28+(-3),$B$3)+1)*F28+INDEX(Symboles!$H$6:$H$101,MOD(12+$C28+(-2),$B$3)+1)*G28+INDEX(Symboles!$H$6:$H$101,MOD(12+$C28+(-1),$B$3)+1)*H28+INDEX(Symboles!$H$6:$H$101,MOD(12+$C28+(0),$B$3)+1)*I28+INDEX(Symboles!$H$6:$H$101,MOD(12+$C28+(1),$B$3)+1)*J28+INDEX(Symboles!$H$6:$H$101,MOD(12+$C28+(2),$B$3)+1)*K28+INDEX(Symboles!$H$6:$H$101,MOD(12+$C28+(3),$B$3)+1)*L28+INDEX(Symboles!$H$6:$H$101,MOD(12+$C28+(4),$B$3)+1)*M28+IF($B$6=0,0,$B$6*NORMSINV(0.000001+0.999998*RAND())))</f>
        <v/>
      </c>
      <c r="DV28" s="30">
        <f>IF(14&gt;$B$3,99,INDEX(Symboles!$H$6:$H$101,MOD(13+$C28+(-4),$B$3)+1)*E28+INDEX(Symboles!$H$6:$H$101,MOD(13+$C28+(-3),$B$3)+1)*F28+INDEX(Symboles!$H$6:$H$101,MOD(13+$C28+(-2),$B$3)+1)*G28+INDEX(Symboles!$H$6:$H$101,MOD(13+$C28+(-1),$B$3)+1)*H28+INDEX(Symboles!$H$6:$H$101,MOD(13+$C28+(0),$B$3)+1)*I28+INDEX(Symboles!$H$6:$H$101,MOD(13+$C28+(1),$B$3)+1)*J28+INDEX(Symboles!$H$6:$H$101,MOD(13+$C28+(2),$B$3)+1)*K28+INDEX(Symboles!$H$6:$H$101,MOD(13+$C28+(3),$B$3)+1)*L28+INDEX(Symboles!$H$6:$H$101,MOD(13+$C28+(4),$B$3)+1)*M28+IF($B$6=0,0,$B$6*NORMSINV(0.000001+0.999998*RAND())))</f>
        <v/>
      </c>
      <c r="DW28" s="30">
        <f>IF(15&gt;$B$3,99,INDEX(Symboles!$H$6:$H$101,MOD(14+$C28+(-4),$B$3)+1)*E28+INDEX(Symboles!$H$6:$H$101,MOD(14+$C28+(-3),$B$3)+1)*F28+INDEX(Symboles!$H$6:$H$101,MOD(14+$C28+(-2),$B$3)+1)*G28+INDEX(Symboles!$H$6:$H$101,MOD(14+$C28+(-1),$B$3)+1)*H28+INDEX(Symboles!$H$6:$H$101,MOD(14+$C28+(0),$B$3)+1)*I28+INDEX(Symboles!$H$6:$H$101,MOD(14+$C28+(1),$B$3)+1)*J28+INDEX(Symboles!$H$6:$H$101,MOD(14+$C28+(2),$B$3)+1)*K28+INDEX(Symboles!$H$6:$H$101,MOD(14+$C28+(3),$B$3)+1)*L28+INDEX(Symboles!$H$6:$H$101,MOD(14+$C28+(4),$B$3)+1)*M28+IF($B$6=0,0,$B$6*NORMSINV(0.000001+0.999998*RAND())))</f>
        <v/>
      </c>
      <c r="DX28" s="30">
        <f>IF(16&gt;$B$3,99,INDEX(Symboles!$H$6:$H$101,MOD(15+$C28+(-4),$B$3)+1)*E28+INDEX(Symboles!$H$6:$H$101,MOD(15+$C28+(-3),$B$3)+1)*F28+INDEX(Symboles!$H$6:$H$101,MOD(15+$C28+(-2),$B$3)+1)*G28+INDEX(Symboles!$H$6:$H$101,MOD(15+$C28+(-1),$B$3)+1)*H28+INDEX(Symboles!$H$6:$H$101,MOD(15+$C28+(0),$B$3)+1)*I28+INDEX(Symboles!$H$6:$H$101,MOD(15+$C28+(1),$B$3)+1)*J28+INDEX(Symboles!$H$6:$H$101,MOD(15+$C28+(2),$B$3)+1)*K28+INDEX(Symboles!$H$6:$H$101,MOD(15+$C28+(3),$B$3)+1)*L28+INDEX(Symboles!$H$6:$H$101,MOD(15+$C28+(4),$B$3)+1)*M28+IF($B$6=0,0,$B$6*NORMSINV(0.000001+0.999998*RAND())))</f>
        <v/>
      </c>
      <c r="DY28" s="30">
        <f>IF(17&gt;$B$3,99,INDEX(Symboles!$H$6:$H$101,MOD(16+$C28+(-4),$B$3)+1)*E28+INDEX(Symboles!$H$6:$H$101,MOD(16+$C28+(-3),$B$3)+1)*F28+INDEX(Symboles!$H$6:$H$101,MOD(16+$C28+(-2),$B$3)+1)*G28+INDEX(Symboles!$H$6:$H$101,MOD(16+$C28+(-1),$B$3)+1)*H28+INDEX(Symboles!$H$6:$H$101,MOD(16+$C28+(0),$B$3)+1)*I28+INDEX(Symboles!$H$6:$H$101,MOD(16+$C28+(1),$B$3)+1)*J28+INDEX(Symboles!$H$6:$H$101,MOD(16+$C28+(2),$B$3)+1)*K28+INDEX(Symboles!$H$6:$H$101,MOD(16+$C28+(3),$B$3)+1)*L28+INDEX(Symboles!$H$6:$H$101,MOD(16+$C28+(4),$B$3)+1)*M28+IF($B$6=0,0,$B$6*NORMSINV(0.000001+0.999998*RAND())))</f>
        <v/>
      </c>
      <c r="DZ28" s="30">
        <f>IF(18&gt;$B$3,99,INDEX(Symboles!$H$6:$H$101,MOD(17+$C28+(-4),$B$3)+1)*E28+INDEX(Symboles!$H$6:$H$101,MOD(17+$C28+(-3),$B$3)+1)*F28+INDEX(Symboles!$H$6:$H$101,MOD(17+$C28+(-2),$B$3)+1)*G28+INDEX(Symboles!$H$6:$H$101,MOD(17+$C28+(-1),$B$3)+1)*H28+INDEX(Symboles!$H$6:$H$101,MOD(17+$C28+(0),$B$3)+1)*I28+INDEX(Symboles!$H$6:$H$101,MOD(17+$C28+(1),$B$3)+1)*J28+INDEX(Symboles!$H$6:$H$101,MOD(17+$C28+(2),$B$3)+1)*K28+INDEX(Symboles!$H$6:$H$101,MOD(17+$C28+(3),$B$3)+1)*L28+INDEX(Symboles!$H$6:$H$101,MOD(17+$C28+(4),$B$3)+1)*M28+IF($B$6=0,0,$B$6*NORMSINV(0.000001+0.999998*RAND())))</f>
        <v/>
      </c>
      <c r="EA28" s="30">
        <f>IF(19&gt;$B$3,99,INDEX(Symboles!$H$6:$H$101,MOD(18+$C28+(-4),$B$3)+1)*E28+INDEX(Symboles!$H$6:$H$101,MOD(18+$C28+(-3),$B$3)+1)*F28+INDEX(Symboles!$H$6:$H$101,MOD(18+$C28+(-2),$B$3)+1)*G28+INDEX(Symboles!$H$6:$H$101,MOD(18+$C28+(-1),$B$3)+1)*H28+INDEX(Symboles!$H$6:$H$101,MOD(18+$C28+(0),$B$3)+1)*I28+INDEX(Symboles!$H$6:$H$101,MOD(18+$C28+(1),$B$3)+1)*J28+INDEX(Symboles!$H$6:$H$101,MOD(18+$C28+(2),$B$3)+1)*K28+INDEX(Symboles!$H$6:$H$101,MOD(18+$C28+(3),$B$3)+1)*L28+INDEX(Symboles!$H$6:$H$101,MOD(18+$C28+(4),$B$3)+1)*M28+IF($B$6=0,0,$B$6*NORMSINV(0.000001+0.999998*RAND())))</f>
        <v/>
      </c>
      <c r="EB28" s="30">
        <f>IF(20&gt;$B$3,99,INDEX(Symboles!$H$6:$H$101,MOD(19+$C28+(-4),$B$3)+1)*E28+INDEX(Symboles!$H$6:$H$101,MOD(19+$C28+(-3),$B$3)+1)*F28+INDEX(Symboles!$H$6:$H$101,MOD(19+$C28+(-2),$B$3)+1)*G28+INDEX(Symboles!$H$6:$H$101,MOD(19+$C28+(-1),$B$3)+1)*H28+INDEX(Symboles!$H$6:$H$101,MOD(19+$C28+(0),$B$3)+1)*I28+INDEX(Symboles!$H$6:$H$101,MOD(19+$C28+(1),$B$3)+1)*J28+INDEX(Symboles!$H$6:$H$101,MOD(19+$C28+(2),$B$3)+1)*K28+INDEX(Symboles!$H$6:$H$101,MOD(19+$C28+(3),$B$3)+1)*L28+INDEX(Symboles!$H$6:$H$101,MOD(19+$C28+(4),$B$3)+1)*M28+IF($B$6=0,0,$B$6*NORMSINV(0.000001+0.999998*RAND())))</f>
        <v/>
      </c>
      <c r="EC28" s="30">
        <f>IF(21&gt;$B$3,99,INDEX(Symboles!$H$6:$H$101,MOD(20+$C28+(-4),$B$3)+1)*E28+INDEX(Symboles!$H$6:$H$101,MOD(20+$C28+(-3),$B$3)+1)*F28+INDEX(Symboles!$H$6:$H$101,MOD(20+$C28+(-2),$B$3)+1)*G28+INDEX(Symboles!$H$6:$H$101,MOD(20+$C28+(-1),$B$3)+1)*H28+INDEX(Symboles!$H$6:$H$101,MOD(20+$C28+(0),$B$3)+1)*I28+INDEX(Symboles!$H$6:$H$101,MOD(20+$C28+(1),$B$3)+1)*J28+INDEX(Symboles!$H$6:$H$101,MOD(20+$C28+(2),$B$3)+1)*K28+INDEX(Symboles!$H$6:$H$101,MOD(20+$C28+(3),$B$3)+1)*L28+INDEX(Symboles!$H$6:$H$101,MOD(20+$C28+(4),$B$3)+1)*M28+IF($B$6=0,0,$B$6*NORMSINV(0.000001+0.999998*RAND())))</f>
        <v/>
      </c>
      <c r="ED28" s="30">
        <f>IF(22&gt;$B$3,99,INDEX(Symboles!$H$6:$H$101,MOD(21+$C28+(-4),$B$3)+1)*E28+INDEX(Symboles!$H$6:$H$101,MOD(21+$C28+(-3),$B$3)+1)*F28+INDEX(Symboles!$H$6:$H$101,MOD(21+$C28+(-2),$B$3)+1)*G28+INDEX(Symboles!$H$6:$H$101,MOD(21+$C28+(-1),$B$3)+1)*H28+INDEX(Symboles!$H$6:$H$101,MOD(21+$C28+(0),$B$3)+1)*I28+INDEX(Symboles!$H$6:$H$101,MOD(21+$C28+(1),$B$3)+1)*J28+INDEX(Symboles!$H$6:$H$101,MOD(21+$C28+(2),$B$3)+1)*K28+INDEX(Symboles!$H$6:$H$101,MOD(21+$C28+(3),$B$3)+1)*L28+INDEX(Symboles!$H$6:$H$101,MOD(21+$C28+(4),$B$3)+1)*M28+IF($B$6=0,0,$B$6*NORMSINV(0.000001+0.999998*RAND())))</f>
        <v/>
      </c>
      <c r="EE28" s="30">
        <f>IF(23&gt;$B$3,99,INDEX(Symboles!$H$6:$H$101,MOD(22+$C28+(-4),$B$3)+1)*E28+INDEX(Symboles!$H$6:$H$101,MOD(22+$C28+(-3),$B$3)+1)*F28+INDEX(Symboles!$H$6:$H$101,MOD(22+$C28+(-2),$B$3)+1)*G28+INDEX(Symboles!$H$6:$H$101,MOD(22+$C28+(-1),$B$3)+1)*H28+INDEX(Symboles!$H$6:$H$101,MOD(22+$C28+(0),$B$3)+1)*I28+INDEX(Symboles!$H$6:$H$101,MOD(22+$C28+(1),$B$3)+1)*J28+INDEX(Symboles!$H$6:$H$101,MOD(22+$C28+(2),$B$3)+1)*K28+INDEX(Symboles!$H$6:$H$101,MOD(22+$C28+(3),$B$3)+1)*L28+INDEX(Symboles!$H$6:$H$101,MOD(22+$C28+(4),$B$3)+1)*M28+IF($B$6=0,0,$B$6*NORMSINV(0.000001+0.999998*RAND())))</f>
        <v/>
      </c>
      <c r="EF28" s="30">
        <f>IF(24&gt;$B$3,99,INDEX(Symboles!$H$6:$H$101,MOD(23+$C28+(-4),$B$3)+1)*E28+INDEX(Symboles!$H$6:$H$101,MOD(23+$C28+(-3),$B$3)+1)*F28+INDEX(Symboles!$H$6:$H$101,MOD(23+$C28+(-2),$B$3)+1)*G28+INDEX(Symboles!$H$6:$H$101,MOD(23+$C28+(-1),$B$3)+1)*H28+INDEX(Symboles!$H$6:$H$101,MOD(23+$C28+(0),$B$3)+1)*I28+INDEX(Symboles!$H$6:$H$101,MOD(23+$C28+(1),$B$3)+1)*J28+INDEX(Symboles!$H$6:$H$101,MOD(23+$C28+(2),$B$3)+1)*K28+INDEX(Symboles!$H$6:$H$101,MOD(23+$C28+(3),$B$3)+1)*L28+INDEX(Symboles!$H$6:$H$101,MOD(23+$C28+(4),$B$3)+1)*M28+IF($B$6=0,0,$B$6*NORMSINV(0.000001+0.999998*RAND())))</f>
        <v/>
      </c>
      <c r="EG28" s="30">
        <f>IF(25&gt;$B$3,99,INDEX(Symboles!$H$6:$H$101,MOD(24+$C28+(-4),$B$3)+1)*E28+INDEX(Symboles!$H$6:$H$101,MOD(24+$C28+(-3),$B$3)+1)*F28+INDEX(Symboles!$H$6:$H$101,MOD(24+$C28+(-2),$B$3)+1)*G28+INDEX(Symboles!$H$6:$H$101,MOD(24+$C28+(-1),$B$3)+1)*H28+INDEX(Symboles!$H$6:$H$101,MOD(24+$C28+(0),$B$3)+1)*I28+INDEX(Symboles!$H$6:$H$101,MOD(24+$C28+(1),$B$3)+1)*J28+INDEX(Symboles!$H$6:$H$101,MOD(24+$C28+(2),$B$3)+1)*K28+INDEX(Symboles!$H$6:$H$101,MOD(24+$C28+(3),$B$3)+1)*L28+INDEX(Symboles!$H$6:$H$101,MOD(24+$C28+(4),$B$3)+1)*M28+IF($B$6=0,0,$B$6*NORMSINV(0.000001+0.999998*RAND())))</f>
        <v/>
      </c>
      <c r="EH28" s="30">
        <f>IF(26&gt;$B$3,99,INDEX(Symboles!$H$6:$H$101,MOD(25+$C28+(-4),$B$3)+1)*E28+INDEX(Symboles!$H$6:$H$101,MOD(25+$C28+(-3),$B$3)+1)*F28+INDEX(Symboles!$H$6:$H$101,MOD(25+$C28+(-2),$B$3)+1)*G28+INDEX(Symboles!$H$6:$H$101,MOD(25+$C28+(-1),$B$3)+1)*H28+INDEX(Symboles!$H$6:$H$101,MOD(25+$C28+(0),$B$3)+1)*I28+INDEX(Symboles!$H$6:$H$101,MOD(25+$C28+(1),$B$3)+1)*J28+INDEX(Symboles!$H$6:$H$101,MOD(25+$C28+(2),$B$3)+1)*K28+INDEX(Symboles!$H$6:$H$101,MOD(25+$C28+(3),$B$3)+1)*L28+INDEX(Symboles!$H$6:$H$101,MOD(25+$C28+(4),$B$3)+1)*M28+IF($B$6=0,0,$B$6*NORMSINV(0.000001+0.999998*RAND())))</f>
        <v/>
      </c>
      <c r="EI28" s="30">
        <f>IF(27&gt;$B$3,99,INDEX(Symboles!$H$6:$H$101,MOD(26+$C28+(-4),$B$3)+1)*E28+INDEX(Symboles!$H$6:$H$101,MOD(26+$C28+(-3),$B$3)+1)*F28+INDEX(Symboles!$H$6:$H$101,MOD(26+$C28+(-2),$B$3)+1)*G28+INDEX(Symboles!$H$6:$H$101,MOD(26+$C28+(-1),$B$3)+1)*H28+INDEX(Symboles!$H$6:$H$101,MOD(26+$C28+(0),$B$3)+1)*I28+INDEX(Symboles!$H$6:$H$101,MOD(26+$C28+(1),$B$3)+1)*J28+INDEX(Symboles!$H$6:$H$101,MOD(26+$C28+(2),$B$3)+1)*K28+INDEX(Symboles!$H$6:$H$101,MOD(26+$C28+(3),$B$3)+1)*L28+INDEX(Symboles!$H$6:$H$101,MOD(26+$C28+(4),$B$3)+1)*M28+IF($B$6=0,0,$B$6*NORMSINV(0.000001+0.999998*RAND())))</f>
        <v/>
      </c>
      <c r="EJ28" s="30">
        <f>IF(28&gt;$B$3,99,INDEX(Symboles!$H$6:$H$101,MOD(27+$C28+(-4),$B$3)+1)*E28+INDEX(Symboles!$H$6:$H$101,MOD(27+$C28+(-3),$B$3)+1)*F28+INDEX(Symboles!$H$6:$H$101,MOD(27+$C28+(-2),$B$3)+1)*G28+INDEX(Symboles!$H$6:$H$101,MOD(27+$C28+(-1),$B$3)+1)*H28+INDEX(Symboles!$H$6:$H$101,MOD(27+$C28+(0),$B$3)+1)*I28+INDEX(Symboles!$H$6:$H$101,MOD(27+$C28+(1),$B$3)+1)*J28+INDEX(Symboles!$H$6:$H$101,MOD(27+$C28+(2),$B$3)+1)*K28+INDEX(Symboles!$H$6:$H$101,MOD(27+$C28+(3),$B$3)+1)*L28+INDEX(Symboles!$H$6:$H$101,MOD(27+$C28+(4),$B$3)+1)*M28+IF($B$6=0,0,$B$6*NORMSINV(0.000001+0.999998*RAND())))</f>
        <v/>
      </c>
      <c r="EK28" s="30">
        <f>IF(29&gt;$B$3,99,INDEX(Symboles!$H$6:$H$101,MOD(28+$C28+(-4),$B$3)+1)*E28+INDEX(Symboles!$H$6:$H$101,MOD(28+$C28+(-3),$B$3)+1)*F28+INDEX(Symboles!$H$6:$H$101,MOD(28+$C28+(-2),$B$3)+1)*G28+INDEX(Symboles!$H$6:$H$101,MOD(28+$C28+(-1),$B$3)+1)*H28+INDEX(Symboles!$H$6:$H$101,MOD(28+$C28+(0),$B$3)+1)*I28+INDEX(Symboles!$H$6:$H$101,MOD(28+$C28+(1),$B$3)+1)*J28+INDEX(Symboles!$H$6:$H$101,MOD(28+$C28+(2),$B$3)+1)*K28+INDEX(Symboles!$H$6:$H$101,MOD(28+$C28+(3),$B$3)+1)*L28+INDEX(Symboles!$H$6:$H$101,MOD(28+$C28+(4),$B$3)+1)*M28+IF($B$6=0,0,$B$6*NORMSINV(0.000001+0.999998*RAND())))</f>
        <v/>
      </c>
      <c r="EL28" s="30">
        <f>IF(30&gt;$B$3,99,INDEX(Symboles!$H$6:$H$101,MOD(29+$C28+(-4),$B$3)+1)*E28+INDEX(Symboles!$H$6:$H$101,MOD(29+$C28+(-3),$B$3)+1)*F28+INDEX(Symboles!$H$6:$H$101,MOD(29+$C28+(-2),$B$3)+1)*G28+INDEX(Symboles!$H$6:$H$101,MOD(29+$C28+(-1),$B$3)+1)*H28+INDEX(Symboles!$H$6:$H$101,MOD(29+$C28+(0),$B$3)+1)*I28+INDEX(Symboles!$H$6:$H$101,MOD(29+$C28+(1),$B$3)+1)*J28+INDEX(Symboles!$H$6:$H$101,MOD(29+$C28+(2),$B$3)+1)*K28+INDEX(Symboles!$H$6:$H$101,MOD(29+$C28+(3),$B$3)+1)*L28+INDEX(Symboles!$H$6:$H$101,MOD(29+$C28+(4),$B$3)+1)*M28+IF($B$6=0,0,$B$6*NORMSINV(0.000001+0.999998*RAND())))</f>
        <v/>
      </c>
      <c r="EM28" s="30">
        <f>IF(31&gt;$B$3,99,INDEX(Symboles!$H$6:$H$101,MOD(30+$C28+(-4),$B$3)+1)*E28+INDEX(Symboles!$H$6:$H$101,MOD(30+$C28+(-3),$B$3)+1)*F28+INDEX(Symboles!$H$6:$H$101,MOD(30+$C28+(-2),$B$3)+1)*G28+INDEX(Symboles!$H$6:$H$101,MOD(30+$C28+(-1),$B$3)+1)*H28+INDEX(Symboles!$H$6:$H$101,MOD(30+$C28+(0),$B$3)+1)*I28+INDEX(Symboles!$H$6:$H$101,MOD(30+$C28+(1),$B$3)+1)*J28+INDEX(Symboles!$H$6:$H$101,MOD(30+$C28+(2),$B$3)+1)*K28+INDEX(Symboles!$H$6:$H$101,MOD(30+$C28+(3),$B$3)+1)*L28+INDEX(Symboles!$H$6:$H$101,MOD(30+$C28+(4),$B$3)+1)*M28+IF($B$6=0,0,$B$6*NORMSINV(0.000001+0.999998*RAND())))</f>
        <v/>
      </c>
      <c r="EN28" s="30">
        <f>IF(32&gt;$B$3,99,INDEX(Symboles!$H$6:$H$101,MOD(31+$C28+(-4),$B$3)+1)*E28+INDEX(Symboles!$H$6:$H$101,MOD(31+$C28+(-3),$B$3)+1)*F28+INDEX(Symboles!$H$6:$H$101,MOD(31+$C28+(-2),$B$3)+1)*G28+INDEX(Symboles!$H$6:$H$101,MOD(31+$C28+(-1),$B$3)+1)*H28+INDEX(Symboles!$H$6:$H$101,MOD(31+$C28+(0),$B$3)+1)*I28+INDEX(Symboles!$H$6:$H$101,MOD(31+$C28+(1),$B$3)+1)*J28+INDEX(Symboles!$H$6:$H$101,MOD(31+$C28+(2),$B$3)+1)*K28+INDEX(Symboles!$H$6:$H$101,MOD(31+$C28+(3),$B$3)+1)*L28+INDEX(Symboles!$H$6:$H$101,MOD(31+$C28+(4),$B$3)+1)*M28+IF($B$6=0,0,$B$6*NORMSINV(0.000001+0.999998*RAND())))</f>
        <v/>
      </c>
      <c r="EO28" s="30">
        <f>IF(33&gt;$B$3,99,INDEX(Symboles!$H$6:$H$101,MOD(32+$C28+(-4),$B$3)+1)*E28+INDEX(Symboles!$H$6:$H$101,MOD(32+$C28+(-3),$B$3)+1)*F28+INDEX(Symboles!$H$6:$H$101,MOD(32+$C28+(-2),$B$3)+1)*G28+INDEX(Symboles!$H$6:$H$101,MOD(32+$C28+(-1),$B$3)+1)*H28+INDEX(Symboles!$H$6:$H$101,MOD(32+$C28+(0),$B$3)+1)*I28+INDEX(Symboles!$H$6:$H$101,MOD(32+$C28+(1),$B$3)+1)*J28+INDEX(Symboles!$H$6:$H$101,MOD(32+$C28+(2),$B$3)+1)*K28+INDEX(Symboles!$H$6:$H$101,MOD(32+$C28+(3),$B$3)+1)*L28+INDEX(Symboles!$H$6:$H$101,MOD(32+$C28+(4),$B$3)+1)*M28+IF($B$6=0,0,$B$6*NORMSINV(0.000001+0.999998*RAND())))</f>
        <v/>
      </c>
      <c r="EP28" s="30">
        <f>IF(34&gt;$B$3,99,INDEX(Symboles!$H$6:$H$101,MOD(33+$C28+(-4),$B$3)+1)*E28+INDEX(Symboles!$H$6:$H$101,MOD(33+$C28+(-3),$B$3)+1)*F28+INDEX(Symboles!$H$6:$H$101,MOD(33+$C28+(-2),$B$3)+1)*G28+INDEX(Symboles!$H$6:$H$101,MOD(33+$C28+(-1),$B$3)+1)*H28+INDEX(Symboles!$H$6:$H$101,MOD(33+$C28+(0),$B$3)+1)*I28+INDEX(Symboles!$H$6:$H$101,MOD(33+$C28+(1),$B$3)+1)*J28+INDEX(Symboles!$H$6:$H$101,MOD(33+$C28+(2),$B$3)+1)*K28+INDEX(Symboles!$H$6:$H$101,MOD(33+$C28+(3),$B$3)+1)*L28+INDEX(Symboles!$H$6:$H$101,MOD(33+$C28+(4),$B$3)+1)*M28+IF($B$6=0,0,$B$6*NORMSINV(0.000001+0.999998*RAND())))</f>
        <v/>
      </c>
      <c r="EQ28" s="30">
        <f>IF(35&gt;$B$3,99,INDEX(Symboles!$H$6:$H$101,MOD(34+$C28+(-4),$B$3)+1)*E28+INDEX(Symboles!$H$6:$H$101,MOD(34+$C28+(-3),$B$3)+1)*F28+INDEX(Symboles!$H$6:$H$101,MOD(34+$C28+(-2),$B$3)+1)*G28+INDEX(Symboles!$H$6:$H$101,MOD(34+$C28+(-1),$B$3)+1)*H28+INDEX(Symboles!$H$6:$H$101,MOD(34+$C28+(0),$B$3)+1)*I28+INDEX(Symboles!$H$6:$H$101,MOD(34+$C28+(1),$B$3)+1)*J28+INDEX(Symboles!$H$6:$H$101,MOD(34+$C28+(2),$B$3)+1)*K28+INDEX(Symboles!$H$6:$H$101,MOD(34+$C28+(3),$B$3)+1)*L28+INDEX(Symboles!$H$6:$H$101,MOD(34+$C28+(4),$B$3)+1)*M28+IF($B$6=0,0,$B$6*NORMSINV(0.000001+0.999998*RAND())))</f>
        <v/>
      </c>
      <c r="ER28" s="30">
        <f>IF(36&gt;$B$3,99,INDEX(Symboles!$H$6:$H$101,MOD(35+$C28+(-4),$B$3)+1)*E28+INDEX(Symboles!$H$6:$H$101,MOD(35+$C28+(-3),$B$3)+1)*F28+INDEX(Symboles!$H$6:$H$101,MOD(35+$C28+(-2),$B$3)+1)*G28+INDEX(Symboles!$H$6:$H$101,MOD(35+$C28+(-1),$B$3)+1)*H28+INDEX(Symboles!$H$6:$H$101,MOD(35+$C28+(0),$B$3)+1)*I28+INDEX(Symboles!$H$6:$H$101,MOD(35+$C28+(1),$B$3)+1)*J28+INDEX(Symboles!$H$6:$H$101,MOD(35+$C28+(2),$B$3)+1)*K28+INDEX(Symboles!$H$6:$H$101,MOD(35+$C28+(3),$B$3)+1)*L28+INDEX(Symboles!$H$6:$H$101,MOD(35+$C28+(4),$B$3)+1)*M28+IF($B$6=0,0,$B$6*NORMSINV(0.000001+0.999998*RAND())))</f>
        <v/>
      </c>
      <c r="ES28" s="30">
        <f>IF(37&gt;$B$3,99,INDEX(Symboles!$H$6:$H$101,MOD(36+$C28+(-4),$B$3)+1)*E28+INDEX(Symboles!$H$6:$H$101,MOD(36+$C28+(-3),$B$3)+1)*F28+INDEX(Symboles!$H$6:$H$101,MOD(36+$C28+(-2),$B$3)+1)*G28+INDEX(Symboles!$H$6:$H$101,MOD(36+$C28+(-1),$B$3)+1)*H28+INDEX(Symboles!$H$6:$H$101,MOD(36+$C28+(0),$B$3)+1)*I28+INDEX(Symboles!$H$6:$H$101,MOD(36+$C28+(1),$B$3)+1)*J28+INDEX(Symboles!$H$6:$H$101,MOD(36+$C28+(2),$B$3)+1)*K28+INDEX(Symboles!$H$6:$H$101,MOD(36+$C28+(3),$B$3)+1)*L28+INDEX(Symboles!$H$6:$H$101,MOD(36+$C28+(4),$B$3)+1)*M28+IF($B$6=0,0,$B$6*NORMSINV(0.000001+0.999998*RAND())))</f>
        <v/>
      </c>
      <c r="ET28" s="30">
        <f>IF(38&gt;$B$3,99,INDEX(Symboles!$H$6:$H$101,MOD(37+$C28+(-4),$B$3)+1)*E28+INDEX(Symboles!$H$6:$H$101,MOD(37+$C28+(-3),$B$3)+1)*F28+INDEX(Symboles!$H$6:$H$101,MOD(37+$C28+(-2),$B$3)+1)*G28+INDEX(Symboles!$H$6:$H$101,MOD(37+$C28+(-1),$B$3)+1)*H28+INDEX(Symboles!$H$6:$H$101,MOD(37+$C28+(0),$B$3)+1)*I28+INDEX(Symboles!$H$6:$H$101,MOD(37+$C28+(1),$B$3)+1)*J28+INDEX(Symboles!$H$6:$H$101,MOD(37+$C28+(2),$B$3)+1)*K28+INDEX(Symboles!$H$6:$H$101,MOD(37+$C28+(3),$B$3)+1)*L28+INDEX(Symboles!$H$6:$H$101,MOD(37+$C28+(4),$B$3)+1)*M28+IF($B$6=0,0,$B$6*NORMSINV(0.000001+0.999998*RAND())))</f>
        <v/>
      </c>
      <c r="EU28" s="30">
        <f>IF(39&gt;$B$3,99,INDEX(Symboles!$H$6:$H$101,MOD(38+$C28+(-4),$B$3)+1)*E28+INDEX(Symboles!$H$6:$H$101,MOD(38+$C28+(-3),$B$3)+1)*F28+INDEX(Symboles!$H$6:$H$101,MOD(38+$C28+(-2),$B$3)+1)*G28+INDEX(Symboles!$H$6:$H$101,MOD(38+$C28+(-1),$B$3)+1)*H28+INDEX(Symboles!$H$6:$H$101,MOD(38+$C28+(0),$B$3)+1)*I28+INDEX(Symboles!$H$6:$H$101,MOD(38+$C28+(1),$B$3)+1)*J28+INDEX(Symboles!$H$6:$H$101,MOD(38+$C28+(2),$B$3)+1)*K28+INDEX(Symboles!$H$6:$H$101,MOD(38+$C28+(3),$B$3)+1)*L28+INDEX(Symboles!$H$6:$H$101,MOD(38+$C28+(4),$B$3)+1)*M28+IF($B$6=0,0,$B$6*NORMSINV(0.000001+0.999998*RAND())))</f>
        <v/>
      </c>
      <c r="EV28" s="30">
        <f>IF(40&gt;$B$3,99,INDEX(Symboles!$H$6:$H$101,MOD(39+$C28+(-4),$B$3)+1)*E28+INDEX(Symboles!$H$6:$H$101,MOD(39+$C28+(-3),$B$3)+1)*F28+INDEX(Symboles!$H$6:$H$101,MOD(39+$C28+(-2),$B$3)+1)*G28+INDEX(Symboles!$H$6:$H$101,MOD(39+$C28+(-1),$B$3)+1)*H28+INDEX(Symboles!$H$6:$H$101,MOD(39+$C28+(0),$B$3)+1)*I28+INDEX(Symboles!$H$6:$H$101,MOD(39+$C28+(1),$B$3)+1)*J28+INDEX(Symboles!$H$6:$H$101,MOD(39+$C28+(2),$B$3)+1)*K28+INDEX(Symboles!$H$6:$H$101,MOD(39+$C28+(3),$B$3)+1)*L28+INDEX(Symboles!$H$6:$H$101,MOD(39+$C28+(4),$B$3)+1)*M28+IF($B$6=0,0,$B$6*NORMSINV(0.000001+0.999998*RAND())))</f>
        <v/>
      </c>
      <c r="EW28" s="30">
        <f>IF(41&gt;$B$3,99,INDEX(Symboles!$H$6:$H$101,MOD(40+$C28+(-4),$B$3)+1)*E28+INDEX(Symboles!$H$6:$H$101,MOD(40+$C28+(-3),$B$3)+1)*F28+INDEX(Symboles!$H$6:$H$101,MOD(40+$C28+(-2),$B$3)+1)*G28+INDEX(Symboles!$H$6:$H$101,MOD(40+$C28+(-1),$B$3)+1)*H28+INDEX(Symboles!$H$6:$H$101,MOD(40+$C28+(0),$B$3)+1)*I28+INDEX(Symboles!$H$6:$H$101,MOD(40+$C28+(1),$B$3)+1)*J28+INDEX(Symboles!$H$6:$H$101,MOD(40+$C28+(2),$B$3)+1)*K28+INDEX(Symboles!$H$6:$H$101,MOD(40+$C28+(3),$B$3)+1)*L28+INDEX(Symboles!$H$6:$H$101,MOD(40+$C28+(4),$B$3)+1)*M28+IF($B$6=0,0,$B$6*NORMSINV(0.000001+0.999998*RAND())))</f>
        <v/>
      </c>
      <c r="EX28" s="30">
        <f>IF(42&gt;$B$3,99,INDEX(Symboles!$H$6:$H$101,MOD(41+$C28+(-4),$B$3)+1)*E28+INDEX(Symboles!$H$6:$H$101,MOD(41+$C28+(-3),$B$3)+1)*F28+INDEX(Symboles!$H$6:$H$101,MOD(41+$C28+(-2),$B$3)+1)*G28+INDEX(Symboles!$H$6:$H$101,MOD(41+$C28+(-1),$B$3)+1)*H28+INDEX(Symboles!$H$6:$H$101,MOD(41+$C28+(0),$B$3)+1)*I28+INDEX(Symboles!$H$6:$H$101,MOD(41+$C28+(1),$B$3)+1)*J28+INDEX(Symboles!$H$6:$H$101,MOD(41+$C28+(2),$B$3)+1)*K28+INDEX(Symboles!$H$6:$H$101,MOD(41+$C28+(3),$B$3)+1)*L28+INDEX(Symboles!$H$6:$H$101,MOD(41+$C28+(4),$B$3)+1)*M28+IF($B$6=0,0,$B$6*NORMSINV(0.000001+0.999998*RAND())))</f>
        <v/>
      </c>
      <c r="EY28" s="30">
        <f>IF(43&gt;$B$3,99,INDEX(Symboles!$H$6:$H$101,MOD(42+$C28+(-4),$B$3)+1)*E28+INDEX(Symboles!$H$6:$H$101,MOD(42+$C28+(-3),$B$3)+1)*F28+INDEX(Symboles!$H$6:$H$101,MOD(42+$C28+(-2),$B$3)+1)*G28+INDEX(Symboles!$H$6:$H$101,MOD(42+$C28+(-1),$B$3)+1)*H28+INDEX(Symboles!$H$6:$H$101,MOD(42+$C28+(0),$B$3)+1)*I28+INDEX(Symboles!$H$6:$H$101,MOD(42+$C28+(1),$B$3)+1)*J28+INDEX(Symboles!$H$6:$H$101,MOD(42+$C28+(2),$B$3)+1)*K28+INDEX(Symboles!$H$6:$H$101,MOD(42+$C28+(3),$B$3)+1)*L28+INDEX(Symboles!$H$6:$H$101,MOD(42+$C28+(4),$B$3)+1)*M28+IF($B$6=0,0,$B$6*NORMSINV(0.000001+0.999998*RAND())))</f>
        <v/>
      </c>
      <c r="EZ28" s="30">
        <f>IF(44&gt;$B$3,99,INDEX(Symboles!$H$6:$H$101,MOD(43+$C28+(-4),$B$3)+1)*E28+INDEX(Symboles!$H$6:$H$101,MOD(43+$C28+(-3),$B$3)+1)*F28+INDEX(Symboles!$H$6:$H$101,MOD(43+$C28+(-2),$B$3)+1)*G28+INDEX(Symboles!$H$6:$H$101,MOD(43+$C28+(-1),$B$3)+1)*H28+INDEX(Symboles!$H$6:$H$101,MOD(43+$C28+(0),$B$3)+1)*I28+INDEX(Symboles!$H$6:$H$101,MOD(43+$C28+(1),$B$3)+1)*J28+INDEX(Symboles!$H$6:$H$101,MOD(43+$C28+(2),$B$3)+1)*K28+INDEX(Symboles!$H$6:$H$101,MOD(43+$C28+(3),$B$3)+1)*L28+INDEX(Symboles!$H$6:$H$101,MOD(43+$C28+(4),$B$3)+1)*M28+IF($B$6=0,0,$B$6*NORMSINV(0.000001+0.999998*RAND())))</f>
        <v/>
      </c>
      <c r="FA28" s="30">
        <f>IF(45&gt;$B$3,99,INDEX(Symboles!$H$6:$H$101,MOD(44+$C28+(-4),$B$3)+1)*E28+INDEX(Symboles!$H$6:$H$101,MOD(44+$C28+(-3),$B$3)+1)*F28+INDEX(Symboles!$H$6:$H$101,MOD(44+$C28+(-2),$B$3)+1)*G28+INDEX(Symboles!$H$6:$H$101,MOD(44+$C28+(-1),$B$3)+1)*H28+INDEX(Symboles!$H$6:$H$101,MOD(44+$C28+(0),$B$3)+1)*I28+INDEX(Symboles!$H$6:$H$101,MOD(44+$C28+(1),$B$3)+1)*J28+INDEX(Symboles!$H$6:$H$101,MOD(44+$C28+(2),$B$3)+1)*K28+INDEX(Symboles!$H$6:$H$101,MOD(44+$C28+(3),$B$3)+1)*L28+INDEX(Symboles!$H$6:$H$101,MOD(44+$C28+(4),$B$3)+1)*M28+IF($B$6=0,0,$B$6*NORMSINV(0.000001+0.999998*RAND())))</f>
        <v/>
      </c>
      <c r="FB28" s="30">
        <f>IF(46&gt;$B$3,99,INDEX(Symboles!$H$6:$H$101,MOD(45+$C28+(-4),$B$3)+1)*E28+INDEX(Symboles!$H$6:$H$101,MOD(45+$C28+(-3),$B$3)+1)*F28+INDEX(Symboles!$H$6:$H$101,MOD(45+$C28+(-2),$B$3)+1)*G28+INDEX(Symboles!$H$6:$H$101,MOD(45+$C28+(-1),$B$3)+1)*H28+INDEX(Symboles!$H$6:$H$101,MOD(45+$C28+(0),$B$3)+1)*I28+INDEX(Symboles!$H$6:$H$101,MOD(45+$C28+(1),$B$3)+1)*J28+INDEX(Symboles!$H$6:$H$101,MOD(45+$C28+(2),$B$3)+1)*K28+INDEX(Symboles!$H$6:$H$101,MOD(45+$C28+(3),$B$3)+1)*L28+INDEX(Symboles!$H$6:$H$101,MOD(45+$C28+(4),$B$3)+1)*M28+IF($B$6=0,0,$B$6*NORMSINV(0.000001+0.999998*RAND())))</f>
        <v/>
      </c>
      <c r="FC28" s="30">
        <f>IF(47&gt;$B$3,99,INDEX(Symboles!$H$6:$H$101,MOD(46+$C28+(-4),$B$3)+1)*E28+INDEX(Symboles!$H$6:$H$101,MOD(46+$C28+(-3),$B$3)+1)*F28+INDEX(Symboles!$H$6:$H$101,MOD(46+$C28+(-2),$B$3)+1)*G28+INDEX(Symboles!$H$6:$H$101,MOD(46+$C28+(-1),$B$3)+1)*H28+INDEX(Symboles!$H$6:$H$101,MOD(46+$C28+(0),$B$3)+1)*I28+INDEX(Symboles!$H$6:$H$101,MOD(46+$C28+(1),$B$3)+1)*J28+INDEX(Symboles!$H$6:$H$101,MOD(46+$C28+(2),$B$3)+1)*K28+INDEX(Symboles!$H$6:$H$101,MOD(46+$C28+(3),$B$3)+1)*L28+INDEX(Symboles!$H$6:$H$101,MOD(46+$C28+(4),$B$3)+1)*M28+IF($B$6=0,0,$B$6*NORMSINV(0.000001+0.999998*RAND())))</f>
        <v/>
      </c>
      <c r="FD28" s="30">
        <f>IF(48&gt;$B$3,99,INDEX(Symboles!$H$6:$H$101,MOD(47+$C28+(-4),$B$3)+1)*E28+INDEX(Symboles!$H$6:$H$101,MOD(47+$C28+(-3),$B$3)+1)*F28+INDEX(Symboles!$H$6:$H$101,MOD(47+$C28+(-2),$B$3)+1)*G28+INDEX(Symboles!$H$6:$H$101,MOD(47+$C28+(-1),$B$3)+1)*H28+INDEX(Symboles!$H$6:$H$101,MOD(47+$C28+(0),$B$3)+1)*I28+INDEX(Symboles!$H$6:$H$101,MOD(47+$C28+(1),$B$3)+1)*J28+INDEX(Symboles!$H$6:$H$101,MOD(47+$C28+(2),$B$3)+1)*K28+INDEX(Symboles!$H$6:$H$101,MOD(47+$C28+(3),$B$3)+1)*L28+INDEX(Symboles!$H$6:$H$101,MOD(47+$C28+(4),$B$3)+1)*M28+IF($B$6=0,0,$B$6*NORMSINV(0.000001+0.999998*RAND())))</f>
        <v/>
      </c>
      <c r="FE28" s="30">
        <f>IF(49&gt;$B$3,99,INDEX(Symboles!$H$6:$H$101,MOD(48+$C28+(-4),$B$3)+1)*E28+INDEX(Symboles!$H$6:$H$101,MOD(48+$C28+(-3),$B$3)+1)*F28+INDEX(Symboles!$H$6:$H$101,MOD(48+$C28+(-2),$B$3)+1)*G28+INDEX(Symboles!$H$6:$H$101,MOD(48+$C28+(-1),$B$3)+1)*H28+INDEX(Symboles!$H$6:$H$101,MOD(48+$C28+(0),$B$3)+1)*I28+INDEX(Symboles!$H$6:$H$101,MOD(48+$C28+(1),$B$3)+1)*J28+INDEX(Symboles!$H$6:$H$101,MOD(48+$C28+(2),$B$3)+1)*K28+INDEX(Symboles!$H$6:$H$101,MOD(48+$C28+(3),$B$3)+1)*L28+INDEX(Symboles!$H$6:$H$101,MOD(48+$C28+(4),$B$3)+1)*M28+IF($B$6=0,0,$B$6*NORMSINV(0.000001+0.999998*RAND())))</f>
        <v/>
      </c>
      <c r="FF28" s="30">
        <f>IF(50&gt;$B$3,99,INDEX(Symboles!$H$6:$H$101,MOD(49+$C28+(-4),$B$3)+1)*E28+INDEX(Symboles!$H$6:$H$101,MOD(49+$C28+(-3),$B$3)+1)*F28+INDEX(Symboles!$H$6:$H$101,MOD(49+$C28+(-2),$B$3)+1)*G28+INDEX(Symboles!$H$6:$H$101,MOD(49+$C28+(-1),$B$3)+1)*H28+INDEX(Symboles!$H$6:$H$101,MOD(49+$C28+(0),$B$3)+1)*I28+INDEX(Symboles!$H$6:$H$101,MOD(49+$C28+(1),$B$3)+1)*J28+INDEX(Symboles!$H$6:$H$101,MOD(49+$C28+(2),$B$3)+1)*K28+INDEX(Symboles!$H$6:$H$101,MOD(49+$C28+(3),$B$3)+1)*L28+INDEX(Symboles!$H$6:$H$101,MOD(49+$C28+(4),$B$3)+1)*M28+IF($B$6=0,0,$B$6*NORMSINV(0.000001+0.999998*RAND())))</f>
        <v/>
      </c>
      <c r="FG28" s="30">
        <f>IF(51&gt;$B$3,99,INDEX(Symboles!$H$6:$H$101,MOD(50+$C28+(-4),$B$3)+1)*E28+INDEX(Symboles!$H$6:$H$101,MOD(50+$C28+(-3),$B$3)+1)*F28+INDEX(Symboles!$H$6:$H$101,MOD(50+$C28+(-2),$B$3)+1)*G28+INDEX(Symboles!$H$6:$H$101,MOD(50+$C28+(-1),$B$3)+1)*H28+INDEX(Symboles!$H$6:$H$101,MOD(50+$C28+(0),$B$3)+1)*I28+INDEX(Symboles!$H$6:$H$101,MOD(50+$C28+(1),$B$3)+1)*J28+INDEX(Symboles!$H$6:$H$101,MOD(50+$C28+(2),$B$3)+1)*K28+INDEX(Symboles!$H$6:$H$101,MOD(50+$C28+(3),$B$3)+1)*L28+INDEX(Symboles!$H$6:$H$101,MOD(50+$C28+(4),$B$3)+1)*M28+IF($B$6=0,0,$B$6*NORMSINV(0.000001+0.999998*RAND())))</f>
        <v/>
      </c>
      <c r="FH28" s="30">
        <f>IF(52&gt;$B$3,99,INDEX(Symboles!$H$6:$H$101,MOD(51+$C28+(-4),$B$3)+1)*E28+INDEX(Symboles!$H$6:$H$101,MOD(51+$C28+(-3),$B$3)+1)*F28+INDEX(Symboles!$H$6:$H$101,MOD(51+$C28+(-2),$B$3)+1)*G28+INDEX(Symboles!$H$6:$H$101,MOD(51+$C28+(-1),$B$3)+1)*H28+INDEX(Symboles!$H$6:$H$101,MOD(51+$C28+(0),$B$3)+1)*I28+INDEX(Symboles!$H$6:$H$101,MOD(51+$C28+(1),$B$3)+1)*J28+INDEX(Symboles!$H$6:$H$101,MOD(51+$C28+(2),$B$3)+1)*K28+INDEX(Symboles!$H$6:$H$101,MOD(51+$C28+(3),$B$3)+1)*L28+INDEX(Symboles!$H$6:$H$101,MOD(51+$C28+(4),$B$3)+1)*M28+IF($B$6=0,0,$B$6*NORMSINV(0.000001+0.999998*RAND())))</f>
        <v/>
      </c>
      <c r="FI28" s="30">
        <f>IF(53&gt;$B$3,99,INDEX(Symboles!$H$6:$H$101,MOD(52+$C28+(-4),$B$3)+1)*E28+INDEX(Symboles!$H$6:$H$101,MOD(52+$C28+(-3),$B$3)+1)*F28+INDEX(Symboles!$H$6:$H$101,MOD(52+$C28+(-2),$B$3)+1)*G28+INDEX(Symboles!$H$6:$H$101,MOD(52+$C28+(-1),$B$3)+1)*H28+INDEX(Symboles!$H$6:$H$101,MOD(52+$C28+(0),$B$3)+1)*I28+INDEX(Symboles!$H$6:$H$101,MOD(52+$C28+(1),$B$3)+1)*J28+INDEX(Symboles!$H$6:$H$101,MOD(52+$C28+(2),$B$3)+1)*K28+INDEX(Symboles!$H$6:$H$101,MOD(52+$C28+(3),$B$3)+1)*L28+INDEX(Symboles!$H$6:$H$101,MOD(52+$C28+(4),$B$3)+1)*M28+IF($B$6=0,0,$B$6*NORMSINV(0.000001+0.999998*RAND())))</f>
        <v/>
      </c>
      <c r="FJ28" s="30">
        <f>IF(54&gt;$B$3,99,INDEX(Symboles!$H$6:$H$101,MOD(53+$C28+(-4),$B$3)+1)*E28+INDEX(Symboles!$H$6:$H$101,MOD(53+$C28+(-3),$B$3)+1)*F28+INDEX(Symboles!$H$6:$H$101,MOD(53+$C28+(-2),$B$3)+1)*G28+INDEX(Symboles!$H$6:$H$101,MOD(53+$C28+(-1),$B$3)+1)*H28+INDEX(Symboles!$H$6:$H$101,MOD(53+$C28+(0),$B$3)+1)*I28+INDEX(Symboles!$H$6:$H$101,MOD(53+$C28+(1),$B$3)+1)*J28+INDEX(Symboles!$H$6:$H$101,MOD(53+$C28+(2),$B$3)+1)*K28+INDEX(Symboles!$H$6:$H$101,MOD(53+$C28+(3),$B$3)+1)*L28+INDEX(Symboles!$H$6:$H$101,MOD(53+$C28+(4),$B$3)+1)*M28+IF($B$6=0,0,$B$6*NORMSINV(0.000001+0.999998*RAND())))</f>
        <v/>
      </c>
      <c r="FK28" s="30">
        <f>IF(55&gt;$B$3,99,INDEX(Symboles!$H$6:$H$101,MOD(54+$C28+(-4),$B$3)+1)*E28+INDEX(Symboles!$H$6:$H$101,MOD(54+$C28+(-3),$B$3)+1)*F28+INDEX(Symboles!$H$6:$H$101,MOD(54+$C28+(-2),$B$3)+1)*G28+INDEX(Symboles!$H$6:$H$101,MOD(54+$C28+(-1),$B$3)+1)*H28+INDEX(Symboles!$H$6:$H$101,MOD(54+$C28+(0),$B$3)+1)*I28+INDEX(Symboles!$H$6:$H$101,MOD(54+$C28+(1),$B$3)+1)*J28+INDEX(Symboles!$H$6:$H$101,MOD(54+$C28+(2),$B$3)+1)*K28+INDEX(Symboles!$H$6:$H$101,MOD(54+$C28+(3),$B$3)+1)*L28+INDEX(Symboles!$H$6:$H$101,MOD(54+$C28+(4),$B$3)+1)*M28+IF($B$6=0,0,$B$6*NORMSINV(0.000001+0.999998*RAND())))</f>
        <v/>
      </c>
      <c r="FL28" s="30">
        <f>IF(56&gt;$B$3,99,INDEX(Symboles!$H$6:$H$101,MOD(55+$C28+(-4),$B$3)+1)*E28+INDEX(Symboles!$H$6:$H$101,MOD(55+$C28+(-3),$B$3)+1)*F28+INDEX(Symboles!$H$6:$H$101,MOD(55+$C28+(-2),$B$3)+1)*G28+INDEX(Symboles!$H$6:$H$101,MOD(55+$C28+(-1),$B$3)+1)*H28+INDEX(Symboles!$H$6:$H$101,MOD(55+$C28+(0),$B$3)+1)*I28+INDEX(Symboles!$H$6:$H$101,MOD(55+$C28+(1),$B$3)+1)*J28+INDEX(Symboles!$H$6:$H$101,MOD(55+$C28+(2),$B$3)+1)*K28+INDEX(Symboles!$H$6:$H$101,MOD(55+$C28+(3),$B$3)+1)*L28+INDEX(Symboles!$H$6:$H$101,MOD(55+$C28+(4),$B$3)+1)*M28+IF($B$6=0,0,$B$6*NORMSINV(0.000001+0.999998*RAND())))</f>
        <v/>
      </c>
      <c r="FM28" s="30">
        <f>IF(57&gt;$B$3,99,INDEX(Symboles!$H$6:$H$101,MOD(56+$C28+(-4),$B$3)+1)*E28+INDEX(Symboles!$H$6:$H$101,MOD(56+$C28+(-3),$B$3)+1)*F28+INDEX(Symboles!$H$6:$H$101,MOD(56+$C28+(-2),$B$3)+1)*G28+INDEX(Symboles!$H$6:$H$101,MOD(56+$C28+(-1),$B$3)+1)*H28+INDEX(Symboles!$H$6:$H$101,MOD(56+$C28+(0),$B$3)+1)*I28+INDEX(Symboles!$H$6:$H$101,MOD(56+$C28+(1),$B$3)+1)*J28+INDEX(Symboles!$H$6:$H$101,MOD(56+$C28+(2),$B$3)+1)*K28+INDEX(Symboles!$H$6:$H$101,MOD(56+$C28+(3),$B$3)+1)*L28+INDEX(Symboles!$H$6:$H$101,MOD(56+$C28+(4),$B$3)+1)*M28+IF($B$6=0,0,$B$6*NORMSINV(0.000001+0.999998*RAND())))</f>
        <v/>
      </c>
      <c r="FN28" s="30">
        <f>IF(58&gt;$B$3,99,INDEX(Symboles!$H$6:$H$101,MOD(57+$C28+(-4),$B$3)+1)*E28+INDEX(Symboles!$H$6:$H$101,MOD(57+$C28+(-3),$B$3)+1)*F28+INDEX(Symboles!$H$6:$H$101,MOD(57+$C28+(-2),$B$3)+1)*G28+INDEX(Symboles!$H$6:$H$101,MOD(57+$C28+(-1),$B$3)+1)*H28+INDEX(Symboles!$H$6:$H$101,MOD(57+$C28+(0),$B$3)+1)*I28+INDEX(Symboles!$H$6:$H$101,MOD(57+$C28+(1),$B$3)+1)*J28+INDEX(Symboles!$H$6:$H$101,MOD(57+$C28+(2),$B$3)+1)*K28+INDEX(Symboles!$H$6:$H$101,MOD(57+$C28+(3),$B$3)+1)*L28+INDEX(Symboles!$H$6:$H$101,MOD(57+$C28+(4),$B$3)+1)*M28+IF($B$6=0,0,$B$6*NORMSINV(0.000001+0.999998*RAND())))</f>
        <v/>
      </c>
      <c r="FO28" s="30">
        <f>IF(59&gt;$B$3,99,INDEX(Symboles!$H$6:$H$101,MOD(58+$C28+(-4),$B$3)+1)*E28+INDEX(Symboles!$H$6:$H$101,MOD(58+$C28+(-3),$B$3)+1)*F28+INDEX(Symboles!$H$6:$H$101,MOD(58+$C28+(-2),$B$3)+1)*G28+INDEX(Symboles!$H$6:$H$101,MOD(58+$C28+(-1),$B$3)+1)*H28+INDEX(Symboles!$H$6:$H$101,MOD(58+$C28+(0),$B$3)+1)*I28+INDEX(Symboles!$H$6:$H$101,MOD(58+$C28+(1),$B$3)+1)*J28+INDEX(Symboles!$H$6:$H$101,MOD(58+$C28+(2),$B$3)+1)*K28+INDEX(Symboles!$H$6:$H$101,MOD(58+$C28+(3),$B$3)+1)*L28+INDEX(Symboles!$H$6:$H$101,MOD(58+$C28+(4),$B$3)+1)*M28+IF($B$6=0,0,$B$6*NORMSINV(0.000001+0.999998*RAND())))</f>
        <v/>
      </c>
      <c r="FP28" s="30">
        <f>IF(60&gt;$B$3,99,INDEX(Symboles!$H$6:$H$101,MOD(59+$C28+(-4),$B$3)+1)*E28+INDEX(Symboles!$H$6:$H$101,MOD(59+$C28+(-3),$B$3)+1)*F28+INDEX(Symboles!$H$6:$H$101,MOD(59+$C28+(-2),$B$3)+1)*G28+INDEX(Symboles!$H$6:$H$101,MOD(59+$C28+(-1),$B$3)+1)*H28+INDEX(Symboles!$H$6:$H$101,MOD(59+$C28+(0),$B$3)+1)*I28+INDEX(Symboles!$H$6:$H$101,MOD(59+$C28+(1),$B$3)+1)*J28+INDEX(Symboles!$H$6:$H$101,MOD(59+$C28+(2),$B$3)+1)*K28+INDEX(Symboles!$H$6:$H$101,MOD(59+$C28+(3),$B$3)+1)*L28+INDEX(Symboles!$H$6:$H$101,MOD(59+$C28+(4),$B$3)+1)*M28+IF($B$6=0,0,$B$6*NORMSINV(0.000001+0.999998*RAND())))</f>
        <v/>
      </c>
      <c r="FQ28" s="30">
        <f>IF(61&gt;$B$3,99,INDEX(Symboles!$H$6:$H$101,MOD(60+$C28+(-4),$B$3)+1)*E28+INDEX(Symboles!$H$6:$H$101,MOD(60+$C28+(-3),$B$3)+1)*F28+INDEX(Symboles!$H$6:$H$101,MOD(60+$C28+(-2),$B$3)+1)*G28+INDEX(Symboles!$H$6:$H$101,MOD(60+$C28+(-1),$B$3)+1)*H28+INDEX(Symboles!$H$6:$H$101,MOD(60+$C28+(0),$B$3)+1)*I28+INDEX(Symboles!$H$6:$H$101,MOD(60+$C28+(1),$B$3)+1)*J28+INDEX(Symboles!$H$6:$H$101,MOD(60+$C28+(2),$B$3)+1)*K28+INDEX(Symboles!$H$6:$H$101,MOD(60+$C28+(3),$B$3)+1)*L28+INDEX(Symboles!$H$6:$H$101,MOD(60+$C28+(4),$B$3)+1)*M28+IF($B$6=0,0,$B$6*NORMSINV(0.000001+0.999998*RAND())))</f>
        <v/>
      </c>
      <c r="FR28" s="30">
        <f>IF(62&gt;$B$3,99,INDEX(Symboles!$H$6:$H$101,MOD(61+$C28+(-4),$B$3)+1)*E28+INDEX(Symboles!$H$6:$H$101,MOD(61+$C28+(-3),$B$3)+1)*F28+INDEX(Symboles!$H$6:$H$101,MOD(61+$C28+(-2),$B$3)+1)*G28+INDEX(Symboles!$H$6:$H$101,MOD(61+$C28+(-1),$B$3)+1)*H28+INDEX(Symboles!$H$6:$H$101,MOD(61+$C28+(0),$B$3)+1)*I28+INDEX(Symboles!$H$6:$H$101,MOD(61+$C28+(1),$B$3)+1)*J28+INDEX(Symboles!$H$6:$H$101,MOD(61+$C28+(2),$B$3)+1)*K28+INDEX(Symboles!$H$6:$H$101,MOD(61+$C28+(3),$B$3)+1)*L28+INDEX(Symboles!$H$6:$H$101,MOD(61+$C28+(4),$B$3)+1)*M28+IF($B$6=0,0,$B$6*NORMSINV(0.000001+0.999998*RAND())))</f>
        <v/>
      </c>
      <c r="FS28" s="30">
        <f>IF(63&gt;$B$3,99,INDEX(Symboles!$H$6:$H$101,MOD(62+$C28+(-4),$B$3)+1)*E28+INDEX(Symboles!$H$6:$H$101,MOD(62+$C28+(-3),$B$3)+1)*F28+INDEX(Symboles!$H$6:$H$101,MOD(62+$C28+(-2),$B$3)+1)*G28+INDEX(Symboles!$H$6:$H$101,MOD(62+$C28+(-1),$B$3)+1)*H28+INDEX(Symboles!$H$6:$H$101,MOD(62+$C28+(0),$B$3)+1)*I28+INDEX(Symboles!$H$6:$H$101,MOD(62+$C28+(1),$B$3)+1)*J28+INDEX(Symboles!$H$6:$H$101,MOD(62+$C28+(2),$B$3)+1)*K28+INDEX(Symboles!$H$6:$H$101,MOD(62+$C28+(3),$B$3)+1)*L28+INDEX(Symboles!$H$6:$H$101,MOD(62+$C28+(4),$B$3)+1)*M28+IF($B$6=0,0,$B$6*NORMSINV(0.000001+0.999998*RAND())))</f>
        <v/>
      </c>
      <c r="FT28" s="30">
        <f>IF(64&gt;$B$3,99,INDEX(Symboles!$H$6:$H$101,MOD(63+$C28+(-4),$B$3)+1)*E28+INDEX(Symboles!$H$6:$H$101,MOD(63+$C28+(-3),$B$3)+1)*F28+INDEX(Symboles!$H$6:$H$101,MOD(63+$C28+(-2),$B$3)+1)*G28+INDEX(Symboles!$H$6:$H$101,MOD(63+$C28+(-1),$B$3)+1)*H28+INDEX(Symboles!$H$6:$H$101,MOD(63+$C28+(0),$B$3)+1)*I28+INDEX(Symboles!$H$6:$H$101,MOD(63+$C28+(1),$B$3)+1)*J28+INDEX(Symboles!$H$6:$H$101,MOD(63+$C28+(2),$B$3)+1)*K28+INDEX(Symboles!$H$6:$H$101,MOD(63+$C28+(3),$B$3)+1)*L28+INDEX(Symboles!$H$6:$H$101,MOD(63+$C28+(4),$B$3)+1)*M28+IF($B$6=0,0,$B$6*NORMSINV(0.000001+0.999998*RAND())))</f>
        <v/>
      </c>
      <c r="FU28" s="30">
        <f>IF(65&gt;$B$3,99,INDEX(Symboles!$H$6:$H$101,MOD(64+$C28+(-4),$B$3)+1)*E28+INDEX(Symboles!$H$6:$H$101,MOD(64+$C28+(-3),$B$3)+1)*F28+INDEX(Symboles!$H$6:$H$101,MOD(64+$C28+(-2),$B$3)+1)*G28+INDEX(Symboles!$H$6:$H$101,MOD(64+$C28+(-1),$B$3)+1)*H28+INDEX(Symboles!$H$6:$H$101,MOD(64+$C28+(0),$B$3)+1)*I28+INDEX(Symboles!$H$6:$H$101,MOD(64+$C28+(1),$B$3)+1)*J28+INDEX(Symboles!$H$6:$H$101,MOD(64+$C28+(2),$B$3)+1)*K28+INDEX(Symboles!$H$6:$H$101,MOD(64+$C28+(3),$B$3)+1)*L28+INDEX(Symboles!$H$6:$H$101,MOD(64+$C28+(4),$B$3)+1)*M28+IF($B$6=0,0,$B$6*NORMSINV(0.000001+0.999998*RAND())))</f>
        <v/>
      </c>
      <c r="FV28" s="30">
        <f>IF(66&gt;$B$3,99,INDEX(Symboles!$H$6:$H$101,MOD(65+$C28+(-4),$B$3)+1)*E28+INDEX(Symboles!$H$6:$H$101,MOD(65+$C28+(-3),$B$3)+1)*F28+INDEX(Symboles!$H$6:$H$101,MOD(65+$C28+(-2),$B$3)+1)*G28+INDEX(Symboles!$H$6:$H$101,MOD(65+$C28+(-1),$B$3)+1)*H28+INDEX(Symboles!$H$6:$H$101,MOD(65+$C28+(0),$B$3)+1)*I28+INDEX(Symboles!$H$6:$H$101,MOD(65+$C28+(1),$B$3)+1)*J28+INDEX(Symboles!$H$6:$H$101,MOD(65+$C28+(2),$B$3)+1)*K28+INDEX(Symboles!$H$6:$H$101,MOD(65+$C28+(3),$B$3)+1)*L28+INDEX(Symboles!$H$6:$H$101,MOD(65+$C28+(4),$B$3)+1)*M28+IF($B$6=0,0,$B$6*NORMSINV(0.000001+0.999998*RAND())))</f>
        <v/>
      </c>
      <c r="FW28" s="30">
        <f>IF(67&gt;$B$3,99,INDEX(Symboles!$H$6:$H$101,MOD(66+$C28+(-4),$B$3)+1)*E28+INDEX(Symboles!$H$6:$H$101,MOD(66+$C28+(-3),$B$3)+1)*F28+INDEX(Symboles!$H$6:$H$101,MOD(66+$C28+(-2),$B$3)+1)*G28+INDEX(Symboles!$H$6:$H$101,MOD(66+$C28+(-1),$B$3)+1)*H28+INDEX(Symboles!$H$6:$H$101,MOD(66+$C28+(0),$B$3)+1)*I28+INDEX(Symboles!$H$6:$H$101,MOD(66+$C28+(1),$B$3)+1)*J28+INDEX(Symboles!$H$6:$H$101,MOD(66+$C28+(2),$B$3)+1)*K28+INDEX(Symboles!$H$6:$H$101,MOD(66+$C28+(3),$B$3)+1)*L28+INDEX(Symboles!$H$6:$H$101,MOD(66+$C28+(4),$B$3)+1)*M28+IF($B$6=0,0,$B$6*NORMSINV(0.000001+0.999998*RAND())))</f>
        <v/>
      </c>
      <c r="FX28" s="30">
        <f>IF(68&gt;$B$3,99,INDEX(Symboles!$H$6:$H$101,MOD(67+$C28+(-4),$B$3)+1)*E28+INDEX(Symboles!$H$6:$H$101,MOD(67+$C28+(-3),$B$3)+1)*F28+INDEX(Symboles!$H$6:$H$101,MOD(67+$C28+(-2),$B$3)+1)*G28+INDEX(Symboles!$H$6:$H$101,MOD(67+$C28+(-1),$B$3)+1)*H28+INDEX(Symboles!$H$6:$H$101,MOD(67+$C28+(0),$B$3)+1)*I28+INDEX(Symboles!$H$6:$H$101,MOD(67+$C28+(1),$B$3)+1)*J28+INDEX(Symboles!$H$6:$H$101,MOD(67+$C28+(2),$B$3)+1)*K28+INDEX(Symboles!$H$6:$H$101,MOD(67+$C28+(3),$B$3)+1)*L28+INDEX(Symboles!$H$6:$H$101,MOD(67+$C28+(4),$B$3)+1)*M28+IF($B$6=0,0,$B$6*NORMSINV(0.000001+0.999998*RAND())))</f>
        <v/>
      </c>
      <c r="FY28" s="30">
        <f>IF(69&gt;$B$3,99,INDEX(Symboles!$H$6:$H$101,MOD(68+$C28+(-4),$B$3)+1)*E28+INDEX(Symboles!$H$6:$H$101,MOD(68+$C28+(-3),$B$3)+1)*F28+INDEX(Symboles!$H$6:$H$101,MOD(68+$C28+(-2),$B$3)+1)*G28+INDEX(Symboles!$H$6:$H$101,MOD(68+$C28+(-1),$B$3)+1)*H28+INDEX(Symboles!$H$6:$H$101,MOD(68+$C28+(0),$B$3)+1)*I28+INDEX(Symboles!$H$6:$H$101,MOD(68+$C28+(1),$B$3)+1)*J28+INDEX(Symboles!$H$6:$H$101,MOD(68+$C28+(2),$B$3)+1)*K28+INDEX(Symboles!$H$6:$H$101,MOD(68+$C28+(3),$B$3)+1)*L28+INDEX(Symboles!$H$6:$H$101,MOD(68+$C28+(4),$B$3)+1)*M28+IF($B$6=0,0,$B$6*NORMSINV(0.000001+0.999998*RAND())))</f>
        <v/>
      </c>
      <c r="FZ28" s="30">
        <f>IF(70&gt;$B$3,99,INDEX(Symboles!$H$6:$H$101,MOD(69+$C28+(-4),$B$3)+1)*E28+INDEX(Symboles!$H$6:$H$101,MOD(69+$C28+(-3),$B$3)+1)*F28+INDEX(Symboles!$H$6:$H$101,MOD(69+$C28+(-2),$B$3)+1)*G28+INDEX(Symboles!$H$6:$H$101,MOD(69+$C28+(-1),$B$3)+1)*H28+INDEX(Symboles!$H$6:$H$101,MOD(69+$C28+(0),$B$3)+1)*I28+INDEX(Symboles!$H$6:$H$101,MOD(69+$C28+(1),$B$3)+1)*J28+INDEX(Symboles!$H$6:$H$101,MOD(69+$C28+(2),$B$3)+1)*K28+INDEX(Symboles!$H$6:$H$101,MOD(69+$C28+(3),$B$3)+1)*L28+INDEX(Symboles!$H$6:$H$101,MOD(69+$C28+(4),$B$3)+1)*M28+IF($B$6=0,0,$B$6*NORMSINV(0.000001+0.999998*RAND())))</f>
        <v/>
      </c>
      <c r="GA28" s="30">
        <f>IF(71&gt;$B$3,99,INDEX(Symboles!$H$6:$H$101,MOD(70+$C28+(-4),$B$3)+1)*E28+INDEX(Symboles!$H$6:$H$101,MOD(70+$C28+(-3),$B$3)+1)*F28+INDEX(Symboles!$H$6:$H$101,MOD(70+$C28+(-2),$B$3)+1)*G28+INDEX(Symboles!$H$6:$H$101,MOD(70+$C28+(-1),$B$3)+1)*H28+INDEX(Symboles!$H$6:$H$101,MOD(70+$C28+(0),$B$3)+1)*I28+INDEX(Symboles!$H$6:$H$101,MOD(70+$C28+(1),$B$3)+1)*J28+INDEX(Symboles!$H$6:$H$101,MOD(70+$C28+(2),$B$3)+1)*K28+INDEX(Symboles!$H$6:$H$101,MOD(70+$C28+(3),$B$3)+1)*L28+INDEX(Symboles!$H$6:$H$101,MOD(70+$C28+(4),$B$3)+1)*M28+IF($B$6=0,0,$B$6*NORMSINV(0.000001+0.999998*RAND())))</f>
        <v/>
      </c>
      <c r="GB28" s="30">
        <f>IF(72&gt;$B$3,99,INDEX(Symboles!$H$6:$H$101,MOD(71+$C28+(-4),$B$3)+1)*E28+INDEX(Symboles!$H$6:$H$101,MOD(71+$C28+(-3),$B$3)+1)*F28+INDEX(Symboles!$H$6:$H$101,MOD(71+$C28+(-2),$B$3)+1)*G28+INDEX(Symboles!$H$6:$H$101,MOD(71+$C28+(-1),$B$3)+1)*H28+INDEX(Symboles!$H$6:$H$101,MOD(71+$C28+(0),$B$3)+1)*I28+INDEX(Symboles!$H$6:$H$101,MOD(71+$C28+(1),$B$3)+1)*J28+INDEX(Symboles!$H$6:$H$101,MOD(71+$C28+(2),$B$3)+1)*K28+INDEX(Symboles!$H$6:$H$101,MOD(71+$C28+(3),$B$3)+1)*L28+INDEX(Symboles!$H$6:$H$101,MOD(71+$C28+(4),$B$3)+1)*M28+IF($B$6=0,0,$B$6*NORMSINV(0.000001+0.999998*RAND())))</f>
        <v/>
      </c>
      <c r="GC28" s="30">
        <f>IF(73&gt;$B$3,99,INDEX(Symboles!$H$6:$H$101,MOD(72+$C28+(-4),$B$3)+1)*E28+INDEX(Symboles!$H$6:$H$101,MOD(72+$C28+(-3),$B$3)+1)*F28+INDEX(Symboles!$H$6:$H$101,MOD(72+$C28+(-2),$B$3)+1)*G28+INDEX(Symboles!$H$6:$H$101,MOD(72+$C28+(-1),$B$3)+1)*H28+INDEX(Symboles!$H$6:$H$101,MOD(72+$C28+(0),$B$3)+1)*I28+INDEX(Symboles!$H$6:$H$101,MOD(72+$C28+(1),$B$3)+1)*J28+INDEX(Symboles!$H$6:$H$101,MOD(72+$C28+(2),$B$3)+1)*K28+INDEX(Symboles!$H$6:$H$101,MOD(72+$C28+(3),$B$3)+1)*L28+INDEX(Symboles!$H$6:$H$101,MOD(72+$C28+(4),$B$3)+1)*M28+IF($B$6=0,0,$B$6*NORMSINV(0.000001+0.999998*RAND())))</f>
        <v/>
      </c>
      <c r="GD28" s="30">
        <f>IF(74&gt;$B$3,99,INDEX(Symboles!$H$6:$H$101,MOD(73+$C28+(-4),$B$3)+1)*E28+INDEX(Symboles!$H$6:$H$101,MOD(73+$C28+(-3),$B$3)+1)*F28+INDEX(Symboles!$H$6:$H$101,MOD(73+$C28+(-2),$B$3)+1)*G28+INDEX(Symboles!$H$6:$H$101,MOD(73+$C28+(-1),$B$3)+1)*H28+INDEX(Symboles!$H$6:$H$101,MOD(73+$C28+(0),$B$3)+1)*I28+INDEX(Symboles!$H$6:$H$101,MOD(73+$C28+(1),$B$3)+1)*J28+INDEX(Symboles!$H$6:$H$101,MOD(73+$C28+(2),$B$3)+1)*K28+INDEX(Symboles!$H$6:$H$101,MOD(73+$C28+(3),$B$3)+1)*L28+INDEX(Symboles!$H$6:$H$101,MOD(73+$C28+(4),$B$3)+1)*M28+IF($B$6=0,0,$B$6*NORMSINV(0.000001+0.999998*RAND())))</f>
        <v/>
      </c>
      <c r="GE28" s="30">
        <f>IF(75&gt;$B$3,99,INDEX(Symboles!$H$6:$H$101,MOD(74+$C28+(-4),$B$3)+1)*E28+INDEX(Symboles!$H$6:$H$101,MOD(74+$C28+(-3),$B$3)+1)*F28+INDEX(Symboles!$H$6:$H$101,MOD(74+$C28+(-2),$B$3)+1)*G28+INDEX(Symboles!$H$6:$H$101,MOD(74+$C28+(-1),$B$3)+1)*H28+INDEX(Symboles!$H$6:$H$101,MOD(74+$C28+(0),$B$3)+1)*I28+INDEX(Symboles!$H$6:$H$101,MOD(74+$C28+(1),$B$3)+1)*J28+INDEX(Symboles!$H$6:$H$101,MOD(74+$C28+(2),$B$3)+1)*K28+INDEX(Symboles!$H$6:$H$101,MOD(74+$C28+(3),$B$3)+1)*L28+INDEX(Symboles!$H$6:$H$101,MOD(74+$C28+(4),$B$3)+1)*M28+IF($B$6=0,0,$B$6*NORMSINV(0.000001+0.999998*RAND())))</f>
        <v/>
      </c>
      <c r="GF28" s="30">
        <f>IF(76&gt;$B$3,99,INDEX(Symboles!$H$6:$H$101,MOD(75+$C28+(-4),$B$3)+1)*E28+INDEX(Symboles!$H$6:$H$101,MOD(75+$C28+(-3),$B$3)+1)*F28+INDEX(Symboles!$H$6:$H$101,MOD(75+$C28+(-2),$B$3)+1)*G28+INDEX(Symboles!$H$6:$H$101,MOD(75+$C28+(-1),$B$3)+1)*H28+INDEX(Symboles!$H$6:$H$101,MOD(75+$C28+(0),$B$3)+1)*I28+INDEX(Symboles!$H$6:$H$101,MOD(75+$C28+(1),$B$3)+1)*J28+INDEX(Symboles!$H$6:$H$101,MOD(75+$C28+(2),$B$3)+1)*K28+INDEX(Symboles!$H$6:$H$101,MOD(75+$C28+(3),$B$3)+1)*L28+INDEX(Symboles!$H$6:$H$101,MOD(75+$C28+(4),$B$3)+1)*M28+IF($B$6=0,0,$B$6*NORMSINV(0.000001+0.999998*RAND())))</f>
        <v/>
      </c>
      <c r="GG28" s="30">
        <f>IF(77&gt;$B$3,99,INDEX(Symboles!$H$6:$H$101,MOD(76+$C28+(-4),$B$3)+1)*E28+INDEX(Symboles!$H$6:$H$101,MOD(76+$C28+(-3),$B$3)+1)*F28+INDEX(Symboles!$H$6:$H$101,MOD(76+$C28+(-2),$B$3)+1)*G28+INDEX(Symboles!$H$6:$H$101,MOD(76+$C28+(-1),$B$3)+1)*H28+INDEX(Symboles!$H$6:$H$101,MOD(76+$C28+(0),$B$3)+1)*I28+INDEX(Symboles!$H$6:$H$101,MOD(76+$C28+(1),$B$3)+1)*J28+INDEX(Symboles!$H$6:$H$101,MOD(76+$C28+(2),$B$3)+1)*K28+INDEX(Symboles!$H$6:$H$101,MOD(76+$C28+(3),$B$3)+1)*L28+INDEX(Symboles!$H$6:$H$101,MOD(76+$C28+(4),$B$3)+1)*M28+IF($B$6=0,0,$B$6*NORMSINV(0.000001+0.999998*RAND())))</f>
        <v/>
      </c>
      <c r="GH28" s="30">
        <f>IF(78&gt;$B$3,99,INDEX(Symboles!$H$6:$H$101,MOD(77+$C28+(-4),$B$3)+1)*E28+INDEX(Symboles!$H$6:$H$101,MOD(77+$C28+(-3),$B$3)+1)*F28+INDEX(Symboles!$H$6:$H$101,MOD(77+$C28+(-2),$B$3)+1)*G28+INDEX(Symboles!$H$6:$H$101,MOD(77+$C28+(-1),$B$3)+1)*H28+INDEX(Symboles!$H$6:$H$101,MOD(77+$C28+(0),$B$3)+1)*I28+INDEX(Symboles!$H$6:$H$101,MOD(77+$C28+(1),$B$3)+1)*J28+INDEX(Symboles!$H$6:$H$101,MOD(77+$C28+(2),$B$3)+1)*K28+INDEX(Symboles!$H$6:$H$101,MOD(77+$C28+(3),$B$3)+1)*L28+INDEX(Symboles!$H$6:$H$101,MOD(77+$C28+(4),$B$3)+1)*M28+IF($B$6=0,0,$B$6*NORMSINV(0.000001+0.999998*RAND())))</f>
        <v/>
      </c>
      <c r="GI28" s="30">
        <f>IF(79&gt;$B$3,99,INDEX(Symboles!$H$6:$H$101,MOD(78+$C28+(-4),$B$3)+1)*E28+INDEX(Symboles!$H$6:$H$101,MOD(78+$C28+(-3),$B$3)+1)*F28+INDEX(Symboles!$H$6:$H$101,MOD(78+$C28+(-2),$B$3)+1)*G28+INDEX(Symboles!$H$6:$H$101,MOD(78+$C28+(-1),$B$3)+1)*H28+INDEX(Symboles!$H$6:$H$101,MOD(78+$C28+(0),$B$3)+1)*I28+INDEX(Symboles!$H$6:$H$101,MOD(78+$C28+(1),$B$3)+1)*J28+INDEX(Symboles!$H$6:$H$101,MOD(78+$C28+(2),$B$3)+1)*K28+INDEX(Symboles!$H$6:$H$101,MOD(78+$C28+(3),$B$3)+1)*L28+INDEX(Symboles!$H$6:$H$101,MOD(78+$C28+(4),$B$3)+1)*M28+IF($B$6=0,0,$B$6*NORMSINV(0.000001+0.999998*RAND())))</f>
        <v/>
      </c>
      <c r="GJ28" s="30">
        <f>IF(80&gt;$B$3,99,INDEX(Symboles!$H$6:$H$101,MOD(79+$C28+(-4),$B$3)+1)*E28+INDEX(Symboles!$H$6:$H$101,MOD(79+$C28+(-3),$B$3)+1)*F28+INDEX(Symboles!$H$6:$H$101,MOD(79+$C28+(-2),$B$3)+1)*G28+INDEX(Symboles!$H$6:$H$101,MOD(79+$C28+(-1),$B$3)+1)*H28+INDEX(Symboles!$H$6:$H$101,MOD(79+$C28+(0),$B$3)+1)*I28+INDEX(Symboles!$H$6:$H$101,MOD(79+$C28+(1),$B$3)+1)*J28+INDEX(Symboles!$H$6:$H$101,MOD(79+$C28+(2),$B$3)+1)*K28+INDEX(Symboles!$H$6:$H$101,MOD(79+$C28+(3),$B$3)+1)*L28+INDEX(Symboles!$H$6:$H$101,MOD(79+$C28+(4),$B$3)+1)*M28+IF($B$6=0,0,$B$6*NORMSINV(0.000001+0.999998*RAND())))</f>
        <v/>
      </c>
      <c r="GK28" s="30">
        <f>IF(81&gt;$B$3,99,INDEX(Symboles!$H$6:$H$101,MOD(80+$C28+(-4),$B$3)+1)*E28+INDEX(Symboles!$H$6:$H$101,MOD(80+$C28+(-3),$B$3)+1)*F28+INDEX(Symboles!$H$6:$H$101,MOD(80+$C28+(-2),$B$3)+1)*G28+INDEX(Symboles!$H$6:$H$101,MOD(80+$C28+(-1),$B$3)+1)*H28+INDEX(Symboles!$H$6:$H$101,MOD(80+$C28+(0),$B$3)+1)*I28+INDEX(Symboles!$H$6:$H$101,MOD(80+$C28+(1),$B$3)+1)*J28+INDEX(Symboles!$H$6:$H$101,MOD(80+$C28+(2),$B$3)+1)*K28+INDEX(Symboles!$H$6:$H$101,MOD(80+$C28+(3),$B$3)+1)*L28+INDEX(Symboles!$H$6:$H$101,MOD(80+$C28+(4),$B$3)+1)*M28+IF($B$6=0,0,$B$6*NORMSINV(0.000001+0.999998*RAND())))</f>
        <v/>
      </c>
      <c r="GL28" s="30">
        <f>IF(82&gt;$B$3,99,INDEX(Symboles!$H$6:$H$101,MOD(81+$C28+(-4),$B$3)+1)*E28+INDEX(Symboles!$H$6:$H$101,MOD(81+$C28+(-3),$B$3)+1)*F28+INDEX(Symboles!$H$6:$H$101,MOD(81+$C28+(-2),$B$3)+1)*G28+INDEX(Symboles!$H$6:$H$101,MOD(81+$C28+(-1),$B$3)+1)*H28+INDEX(Symboles!$H$6:$H$101,MOD(81+$C28+(0),$B$3)+1)*I28+INDEX(Symboles!$H$6:$H$101,MOD(81+$C28+(1),$B$3)+1)*J28+INDEX(Symboles!$H$6:$H$101,MOD(81+$C28+(2),$B$3)+1)*K28+INDEX(Symboles!$H$6:$H$101,MOD(81+$C28+(3),$B$3)+1)*L28+INDEX(Symboles!$H$6:$H$101,MOD(81+$C28+(4),$B$3)+1)*M28+IF($B$6=0,0,$B$6*NORMSINV(0.000001+0.999998*RAND())))</f>
        <v/>
      </c>
      <c r="GM28" s="30">
        <f>IF(83&gt;$B$3,99,INDEX(Symboles!$H$6:$H$101,MOD(82+$C28+(-4),$B$3)+1)*E28+INDEX(Symboles!$H$6:$H$101,MOD(82+$C28+(-3),$B$3)+1)*F28+INDEX(Symboles!$H$6:$H$101,MOD(82+$C28+(-2),$B$3)+1)*G28+INDEX(Symboles!$H$6:$H$101,MOD(82+$C28+(-1),$B$3)+1)*H28+INDEX(Symboles!$H$6:$H$101,MOD(82+$C28+(0),$B$3)+1)*I28+INDEX(Symboles!$H$6:$H$101,MOD(82+$C28+(1),$B$3)+1)*J28+INDEX(Symboles!$H$6:$H$101,MOD(82+$C28+(2),$B$3)+1)*K28+INDEX(Symboles!$H$6:$H$101,MOD(82+$C28+(3),$B$3)+1)*L28+INDEX(Symboles!$H$6:$H$101,MOD(82+$C28+(4),$B$3)+1)*M28+IF($B$6=0,0,$B$6*NORMSINV(0.000001+0.999998*RAND())))</f>
        <v/>
      </c>
      <c r="GN28" s="30">
        <f>IF(84&gt;$B$3,99,INDEX(Symboles!$H$6:$H$101,MOD(83+$C28+(-4),$B$3)+1)*E28+INDEX(Symboles!$H$6:$H$101,MOD(83+$C28+(-3),$B$3)+1)*F28+INDEX(Symboles!$H$6:$H$101,MOD(83+$C28+(-2),$B$3)+1)*G28+INDEX(Symboles!$H$6:$H$101,MOD(83+$C28+(-1),$B$3)+1)*H28+INDEX(Symboles!$H$6:$H$101,MOD(83+$C28+(0),$B$3)+1)*I28+INDEX(Symboles!$H$6:$H$101,MOD(83+$C28+(1),$B$3)+1)*J28+INDEX(Symboles!$H$6:$H$101,MOD(83+$C28+(2),$B$3)+1)*K28+INDEX(Symboles!$H$6:$H$101,MOD(83+$C28+(3),$B$3)+1)*L28+INDEX(Symboles!$H$6:$H$101,MOD(83+$C28+(4),$B$3)+1)*M28+IF($B$6=0,0,$B$6*NORMSINV(0.000001+0.999998*RAND())))</f>
        <v/>
      </c>
      <c r="GO28" s="30">
        <f>IF(85&gt;$B$3,99,INDEX(Symboles!$H$6:$H$101,MOD(84+$C28+(-4),$B$3)+1)*E28+INDEX(Symboles!$H$6:$H$101,MOD(84+$C28+(-3),$B$3)+1)*F28+INDEX(Symboles!$H$6:$H$101,MOD(84+$C28+(-2),$B$3)+1)*G28+INDEX(Symboles!$H$6:$H$101,MOD(84+$C28+(-1),$B$3)+1)*H28+INDEX(Symboles!$H$6:$H$101,MOD(84+$C28+(0),$B$3)+1)*I28+INDEX(Symboles!$H$6:$H$101,MOD(84+$C28+(1),$B$3)+1)*J28+INDEX(Symboles!$H$6:$H$101,MOD(84+$C28+(2),$B$3)+1)*K28+INDEX(Symboles!$H$6:$H$101,MOD(84+$C28+(3),$B$3)+1)*L28+INDEX(Symboles!$H$6:$H$101,MOD(84+$C28+(4),$B$3)+1)*M28+IF($B$6=0,0,$B$6*NORMSINV(0.000001+0.999998*RAND())))</f>
        <v/>
      </c>
      <c r="GP28" s="30">
        <f>IF(86&gt;$B$3,99,INDEX(Symboles!$H$6:$H$101,MOD(85+$C28+(-4),$B$3)+1)*E28+INDEX(Symboles!$H$6:$H$101,MOD(85+$C28+(-3),$B$3)+1)*F28+INDEX(Symboles!$H$6:$H$101,MOD(85+$C28+(-2),$B$3)+1)*G28+INDEX(Symboles!$H$6:$H$101,MOD(85+$C28+(-1),$B$3)+1)*H28+INDEX(Symboles!$H$6:$H$101,MOD(85+$C28+(0),$B$3)+1)*I28+INDEX(Symboles!$H$6:$H$101,MOD(85+$C28+(1),$B$3)+1)*J28+INDEX(Symboles!$H$6:$H$101,MOD(85+$C28+(2),$B$3)+1)*K28+INDEX(Symboles!$H$6:$H$101,MOD(85+$C28+(3),$B$3)+1)*L28+INDEX(Symboles!$H$6:$H$101,MOD(85+$C28+(4),$B$3)+1)*M28+IF($B$6=0,0,$B$6*NORMSINV(0.000001+0.999998*RAND())))</f>
        <v/>
      </c>
      <c r="GQ28" s="30">
        <f>IF(87&gt;$B$3,99,INDEX(Symboles!$H$6:$H$101,MOD(86+$C28+(-4),$B$3)+1)*E28+INDEX(Symboles!$H$6:$H$101,MOD(86+$C28+(-3),$B$3)+1)*F28+INDEX(Symboles!$H$6:$H$101,MOD(86+$C28+(-2),$B$3)+1)*G28+INDEX(Symboles!$H$6:$H$101,MOD(86+$C28+(-1),$B$3)+1)*H28+INDEX(Symboles!$H$6:$H$101,MOD(86+$C28+(0),$B$3)+1)*I28+INDEX(Symboles!$H$6:$H$101,MOD(86+$C28+(1),$B$3)+1)*J28+INDEX(Symboles!$H$6:$H$101,MOD(86+$C28+(2),$B$3)+1)*K28+INDEX(Symboles!$H$6:$H$101,MOD(86+$C28+(3),$B$3)+1)*L28+INDEX(Symboles!$H$6:$H$101,MOD(86+$C28+(4),$B$3)+1)*M28+IF($B$6=0,0,$B$6*NORMSINV(0.000001+0.999998*RAND())))</f>
        <v/>
      </c>
      <c r="GR28" s="30">
        <f>IF(88&gt;$B$3,99,INDEX(Symboles!$H$6:$H$101,MOD(87+$C28+(-4),$B$3)+1)*E28+INDEX(Symboles!$H$6:$H$101,MOD(87+$C28+(-3),$B$3)+1)*F28+INDEX(Symboles!$H$6:$H$101,MOD(87+$C28+(-2),$B$3)+1)*G28+INDEX(Symboles!$H$6:$H$101,MOD(87+$C28+(-1),$B$3)+1)*H28+INDEX(Symboles!$H$6:$H$101,MOD(87+$C28+(0),$B$3)+1)*I28+INDEX(Symboles!$H$6:$H$101,MOD(87+$C28+(1),$B$3)+1)*J28+INDEX(Symboles!$H$6:$H$101,MOD(87+$C28+(2),$B$3)+1)*K28+INDEX(Symboles!$H$6:$H$101,MOD(87+$C28+(3),$B$3)+1)*L28+INDEX(Symboles!$H$6:$H$101,MOD(87+$C28+(4),$B$3)+1)*M28+IF($B$6=0,0,$B$6*NORMSINV(0.000001+0.999998*RAND())))</f>
        <v/>
      </c>
      <c r="GS28" s="30">
        <f>IF(89&gt;$B$3,99,INDEX(Symboles!$H$6:$H$101,MOD(88+$C28+(-4),$B$3)+1)*E28+INDEX(Symboles!$H$6:$H$101,MOD(88+$C28+(-3),$B$3)+1)*F28+INDEX(Symboles!$H$6:$H$101,MOD(88+$C28+(-2),$B$3)+1)*G28+INDEX(Symboles!$H$6:$H$101,MOD(88+$C28+(-1),$B$3)+1)*H28+INDEX(Symboles!$H$6:$H$101,MOD(88+$C28+(0),$B$3)+1)*I28+INDEX(Symboles!$H$6:$H$101,MOD(88+$C28+(1),$B$3)+1)*J28+INDEX(Symboles!$H$6:$H$101,MOD(88+$C28+(2),$B$3)+1)*K28+INDEX(Symboles!$H$6:$H$101,MOD(88+$C28+(3),$B$3)+1)*L28+INDEX(Symboles!$H$6:$H$101,MOD(88+$C28+(4),$B$3)+1)*M28+IF($B$6=0,0,$B$6*NORMSINV(0.000001+0.999998*RAND())))</f>
        <v/>
      </c>
      <c r="GT28" s="30">
        <f>IF(90&gt;$B$3,99,INDEX(Symboles!$H$6:$H$101,MOD(89+$C28+(-4),$B$3)+1)*E28+INDEX(Symboles!$H$6:$H$101,MOD(89+$C28+(-3),$B$3)+1)*F28+INDEX(Symboles!$H$6:$H$101,MOD(89+$C28+(-2),$B$3)+1)*G28+INDEX(Symboles!$H$6:$H$101,MOD(89+$C28+(-1),$B$3)+1)*H28+INDEX(Symboles!$H$6:$H$101,MOD(89+$C28+(0),$B$3)+1)*I28+INDEX(Symboles!$H$6:$H$101,MOD(89+$C28+(1),$B$3)+1)*J28+INDEX(Symboles!$H$6:$H$101,MOD(89+$C28+(2),$B$3)+1)*K28+INDEX(Symboles!$H$6:$H$101,MOD(89+$C28+(3),$B$3)+1)*L28+INDEX(Symboles!$H$6:$H$101,MOD(89+$C28+(4),$B$3)+1)*M28+IF($B$6=0,0,$B$6*NORMSINV(0.000001+0.999998*RAND())))</f>
        <v/>
      </c>
      <c r="GU28" s="30">
        <f>IF(91&gt;$B$3,99,INDEX(Symboles!$H$6:$H$101,MOD(90+$C28+(-4),$B$3)+1)*E28+INDEX(Symboles!$H$6:$H$101,MOD(90+$C28+(-3),$B$3)+1)*F28+INDEX(Symboles!$H$6:$H$101,MOD(90+$C28+(-2),$B$3)+1)*G28+INDEX(Symboles!$H$6:$H$101,MOD(90+$C28+(-1),$B$3)+1)*H28+INDEX(Symboles!$H$6:$H$101,MOD(90+$C28+(0),$B$3)+1)*I28+INDEX(Symboles!$H$6:$H$101,MOD(90+$C28+(1),$B$3)+1)*J28+INDEX(Symboles!$H$6:$H$101,MOD(90+$C28+(2),$B$3)+1)*K28+INDEX(Symboles!$H$6:$H$101,MOD(90+$C28+(3),$B$3)+1)*L28+INDEX(Symboles!$H$6:$H$101,MOD(90+$C28+(4),$B$3)+1)*M28+IF($B$6=0,0,$B$6*NORMSINV(0.000001+0.999998*RAND())))</f>
        <v/>
      </c>
      <c r="GV28" s="30">
        <f>IF(92&gt;$B$3,99,INDEX(Symboles!$H$6:$H$101,MOD(91+$C28+(-4),$B$3)+1)*E28+INDEX(Symboles!$H$6:$H$101,MOD(91+$C28+(-3),$B$3)+1)*F28+INDEX(Symboles!$H$6:$H$101,MOD(91+$C28+(-2),$B$3)+1)*G28+INDEX(Symboles!$H$6:$H$101,MOD(91+$C28+(-1),$B$3)+1)*H28+INDEX(Symboles!$H$6:$H$101,MOD(91+$C28+(0),$B$3)+1)*I28+INDEX(Symboles!$H$6:$H$101,MOD(91+$C28+(1),$B$3)+1)*J28+INDEX(Symboles!$H$6:$H$101,MOD(91+$C28+(2),$B$3)+1)*K28+INDEX(Symboles!$H$6:$H$101,MOD(91+$C28+(3),$B$3)+1)*L28+INDEX(Symboles!$H$6:$H$101,MOD(91+$C28+(4),$B$3)+1)*M28+IF($B$6=0,0,$B$6*NORMSINV(0.000001+0.999998*RAND())))</f>
        <v/>
      </c>
      <c r="GW28" s="30">
        <f>IF(93&gt;$B$3,99,INDEX(Symboles!$H$6:$H$101,MOD(92+$C28+(-4),$B$3)+1)*E28+INDEX(Symboles!$H$6:$H$101,MOD(92+$C28+(-3),$B$3)+1)*F28+INDEX(Symboles!$H$6:$H$101,MOD(92+$C28+(-2),$B$3)+1)*G28+INDEX(Symboles!$H$6:$H$101,MOD(92+$C28+(-1),$B$3)+1)*H28+INDEX(Symboles!$H$6:$H$101,MOD(92+$C28+(0),$B$3)+1)*I28+INDEX(Symboles!$H$6:$H$101,MOD(92+$C28+(1),$B$3)+1)*J28+INDEX(Symboles!$H$6:$H$101,MOD(92+$C28+(2),$B$3)+1)*K28+INDEX(Symboles!$H$6:$H$101,MOD(92+$C28+(3),$B$3)+1)*L28+INDEX(Symboles!$H$6:$H$101,MOD(92+$C28+(4),$B$3)+1)*M28+IF($B$6=0,0,$B$6*NORMSINV(0.000001+0.999998*RAND())))</f>
        <v/>
      </c>
      <c r="GX28" s="30">
        <f>IF(94&gt;$B$3,99,INDEX(Symboles!$H$6:$H$101,MOD(93+$C28+(-4),$B$3)+1)*E28+INDEX(Symboles!$H$6:$H$101,MOD(93+$C28+(-3),$B$3)+1)*F28+INDEX(Symboles!$H$6:$H$101,MOD(93+$C28+(-2),$B$3)+1)*G28+INDEX(Symboles!$H$6:$H$101,MOD(93+$C28+(-1),$B$3)+1)*H28+INDEX(Symboles!$H$6:$H$101,MOD(93+$C28+(0),$B$3)+1)*I28+INDEX(Symboles!$H$6:$H$101,MOD(93+$C28+(1),$B$3)+1)*J28+INDEX(Symboles!$H$6:$H$101,MOD(93+$C28+(2),$B$3)+1)*K28+INDEX(Symboles!$H$6:$H$101,MOD(93+$C28+(3),$B$3)+1)*L28+INDEX(Symboles!$H$6:$H$101,MOD(93+$C28+(4),$B$3)+1)*M28+IF($B$6=0,0,$B$6*NORMSINV(0.000001+0.999998*RAND())))</f>
        <v/>
      </c>
      <c r="GY28" s="30">
        <f>IF(95&gt;$B$3,99,INDEX(Symboles!$H$6:$H$101,MOD(94+$C28+(-4),$B$3)+1)*E28+INDEX(Symboles!$H$6:$H$101,MOD(94+$C28+(-3),$B$3)+1)*F28+INDEX(Symboles!$H$6:$H$101,MOD(94+$C28+(-2),$B$3)+1)*G28+INDEX(Symboles!$H$6:$H$101,MOD(94+$C28+(-1),$B$3)+1)*H28+INDEX(Symboles!$H$6:$H$101,MOD(94+$C28+(0),$B$3)+1)*I28+INDEX(Symboles!$H$6:$H$101,MOD(94+$C28+(1),$B$3)+1)*J28+INDEX(Symboles!$H$6:$H$101,MOD(94+$C28+(2),$B$3)+1)*K28+INDEX(Symboles!$H$6:$H$101,MOD(94+$C28+(3),$B$3)+1)*L28+INDEX(Symboles!$H$6:$H$101,MOD(94+$C28+(4),$B$3)+1)*M28+IF($B$6=0,0,$B$6*NORMSINV(0.000001+0.999998*RAND())))</f>
        <v/>
      </c>
      <c r="GZ28" s="30">
        <f>IF(96&gt;$B$3,99,INDEX(Symboles!$H$6:$H$101,MOD(95+$C28+(-4),$B$3)+1)*E28+INDEX(Symboles!$H$6:$H$101,MOD(95+$C28+(-3),$B$3)+1)*F28+INDEX(Symboles!$H$6:$H$101,MOD(95+$C28+(-2),$B$3)+1)*G28+INDEX(Symboles!$H$6:$H$101,MOD(95+$C28+(-1),$B$3)+1)*H28+INDEX(Symboles!$H$6:$H$101,MOD(95+$C28+(0),$B$3)+1)*I28+INDEX(Symboles!$H$6:$H$101,MOD(95+$C28+(1),$B$3)+1)*J28+INDEX(Symboles!$H$6:$H$101,MOD(95+$C28+(2),$B$3)+1)*K28+INDEX(Symboles!$H$6:$H$101,MOD(95+$C28+(3),$B$3)+1)*L28+INDEX(Symboles!$H$6:$H$101,MOD(95+$C28+(4),$B$3)+1)*M28+IF($B$6=0,0,$B$6*NORMSINV(0.000001+0.999998*RAND())))</f>
        <v/>
      </c>
    </row>
    <row r="29">
      <c r="A29" s="28" t="n">
        <v>19</v>
      </c>
      <c r="B29" s="28" t="n">
        <v>0.1875</v>
      </c>
      <c r="C29" s="28" t="n">
        <v>0</v>
      </c>
      <c r="D29" s="28" t="n">
        <v>11</v>
      </c>
      <c r="E29" s="29">
        <f>IF($B$4=1,0,IF(ABS(1-(2*$B$5*4.1875)^2)&lt;0.000001,PI()/4*SIN(PI()/(2*$B$5))/(PI()/(2*$B$5)),SIN(PI()*4.1875)/(PI()*4.1875)*COS(PI()*$B$5*4.1875)/(1-(2*$B$5*4.1875)^2)))</f>
        <v/>
      </c>
      <c r="F29" s="29">
        <f>IF($B$4=1,0,IF(ABS(1-(2*$B$5*3.1875)^2)&lt;0.000001,PI()/4*SIN(PI()/(2*$B$5))/(PI()/(2*$B$5)),SIN(PI()*3.1875)/(PI()*3.1875)*COS(PI()*$B$5*3.1875)/(1-(2*$B$5*3.1875)^2)))</f>
        <v/>
      </c>
      <c r="G29" s="29">
        <f>IF($B$4=1,0,IF(ABS(1-(2*$B$5*2.1875)^2)&lt;0.000001,PI()/4*SIN(PI()/(2*$B$5))/(PI()/(2*$B$5)),SIN(PI()*2.1875)/(PI()*2.1875)*COS(PI()*$B$5*2.1875)/(1-(2*$B$5*2.1875)^2)))</f>
        <v/>
      </c>
      <c r="H29" s="29">
        <f>IF($B$4=1,0,IF(ABS(1-(2*$B$5*1.1875)^2)&lt;0.000001,PI()/4*SIN(PI()/(2*$B$5))/(PI()/(2*$B$5)),SIN(PI()*1.1875)/(PI()*1.1875)*COS(PI()*$B$5*1.1875)/(1-(2*$B$5*1.1875)^2)))</f>
        <v/>
      </c>
      <c r="I29" s="29">
        <f>IF($B$4=1,1,IF(ABS(1-(2*$B$5*0.1875)^2)&lt;0.000001,PI()/4*SIN(PI()/(2*$B$5))/(PI()/(2*$B$5)),SIN(PI()*0.1875)/(PI()*0.1875)*COS(PI()*$B$5*0.1875)/(1-(2*$B$5*0.1875)^2)))</f>
        <v/>
      </c>
      <c r="J29" s="29">
        <f>IF($B$4=1,0,IF(ABS(1-(2*$B$5*-0.8125)^2)&lt;0.000001,PI()/4*SIN(PI()/(2*$B$5))/(PI()/(2*$B$5)),SIN(PI()*-0.8125)/(PI()*-0.8125)*COS(PI()*$B$5*-0.8125)/(1-(2*$B$5*-0.8125)^2)))</f>
        <v/>
      </c>
      <c r="K29" s="29">
        <f>IF($B$4=1,0,IF(ABS(1-(2*$B$5*-1.8125)^2)&lt;0.000001,PI()/4*SIN(PI()/(2*$B$5))/(PI()/(2*$B$5)),SIN(PI()*-1.8125)/(PI()*-1.8125)*COS(PI()*$B$5*-1.8125)/(1-(2*$B$5*-1.8125)^2)))</f>
        <v/>
      </c>
      <c r="L29" s="29">
        <f>IF($B$4=1,0,IF(ABS(1-(2*$B$5*-2.8125)^2)&lt;0.000001,PI()/4*SIN(PI()/(2*$B$5))/(PI()/(2*$B$5)),SIN(PI()*-2.8125)/(PI()*-2.8125)*COS(PI()*$B$5*-2.8125)/(1-(2*$B$5*-2.8125)^2)))</f>
        <v/>
      </c>
      <c r="M29" s="29">
        <f>IF($B$4=1,0,IF(ABS(1-(2*$B$5*-3.8125)^2)&lt;0.000001,PI()/4*SIN(PI()/(2*$B$5))/(PI()/(2*$B$5)),SIN(PI()*-3.8125)/(PI()*-3.8125)*COS(PI()*$B$5*-3.8125)/(1-(2*$B$5*-3.8125)^2)))</f>
        <v/>
      </c>
      <c r="P29" s="30">
        <f>IF(1&gt;$B$3,99,INDEX(Symboles!$G$6:$G$101,MOD(0+$C29+(-4),$B$3)+1)*E29+INDEX(Symboles!$G$6:$G$101,MOD(0+$C29+(-3),$B$3)+1)*F29+INDEX(Symboles!$G$6:$G$101,MOD(0+$C29+(-2),$B$3)+1)*G29+INDEX(Symboles!$G$6:$G$101,MOD(0+$C29+(-1),$B$3)+1)*H29+INDEX(Symboles!$G$6:$G$101,MOD(0+$C29+(0),$B$3)+1)*I29+INDEX(Symboles!$G$6:$G$101,MOD(0+$C29+(1),$B$3)+1)*J29+INDEX(Symboles!$G$6:$G$101,MOD(0+$C29+(2),$B$3)+1)*K29+INDEX(Symboles!$G$6:$G$101,MOD(0+$C29+(3),$B$3)+1)*L29+INDEX(Symboles!$G$6:$G$101,MOD(0+$C29+(4),$B$3)+1)*M29+IF($B$6=0,0,$B$6*NORMSINV(0.000001+0.999998*RAND())))</f>
        <v/>
      </c>
      <c r="Q29" s="30">
        <f>IF(2&gt;$B$3,99,INDEX(Symboles!$G$6:$G$101,MOD(1+$C29+(-4),$B$3)+1)*E29+INDEX(Symboles!$G$6:$G$101,MOD(1+$C29+(-3),$B$3)+1)*F29+INDEX(Symboles!$G$6:$G$101,MOD(1+$C29+(-2),$B$3)+1)*G29+INDEX(Symboles!$G$6:$G$101,MOD(1+$C29+(-1),$B$3)+1)*H29+INDEX(Symboles!$G$6:$G$101,MOD(1+$C29+(0),$B$3)+1)*I29+INDEX(Symboles!$G$6:$G$101,MOD(1+$C29+(1),$B$3)+1)*J29+INDEX(Symboles!$G$6:$G$101,MOD(1+$C29+(2),$B$3)+1)*K29+INDEX(Symboles!$G$6:$G$101,MOD(1+$C29+(3),$B$3)+1)*L29+INDEX(Symboles!$G$6:$G$101,MOD(1+$C29+(4),$B$3)+1)*M29+IF($B$6=0,0,$B$6*NORMSINV(0.000001+0.999998*RAND())))</f>
        <v/>
      </c>
      <c r="R29" s="30">
        <f>IF(3&gt;$B$3,99,INDEX(Symboles!$G$6:$G$101,MOD(2+$C29+(-4),$B$3)+1)*E29+INDEX(Symboles!$G$6:$G$101,MOD(2+$C29+(-3),$B$3)+1)*F29+INDEX(Symboles!$G$6:$G$101,MOD(2+$C29+(-2),$B$3)+1)*G29+INDEX(Symboles!$G$6:$G$101,MOD(2+$C29+(-1),$B$3)+1)*H29+INDEX(Symboles!$G$6:$G$101,MOD(2+$C29+(0),$B$3)+1)*I29+INDEX(Symboles!$G$6:$G$101,MOD(2+$C29+(1),$B$3)+1)*J29+INDEX(Symboles!$G$6:$G$101,MOD(2+$C29+(2),$B$3)+1)*K29+INDEX(Symboles!$G$6:$G$101,MOD(2+$C29+(3),$B$3)+1)*L29+INDEX(Symboles!$G$6:$G$101,MOD(2+$C29+(4),$B$3)+1)*M29+IF($B$6=0,0,$B$6*NORMSINV(0.000001+0.999998*RAND())))</f>
        <v/>
      </c>
      <c r="S29" s="30">
        <f>IF(4&gt;$B$3,99,INDEX(Symboles!$G$6:$G$101,MOD(3+$C29+(-4),$B$3)+1)*E29+INDEX(Symboles!$G$6:$G$101,MOD(3+$C29+(-3),$B$3)+1)*F29+INDEX(Symboles!$G$6:$G$101,MOD(3+$C29+(-2),$B$3)+1)*G29+INDEX(Symboles!$G$6:$G$101,MOD(3+$C29+(-1),$B$3)+1)*H29+INDEX(Symboles!$G$6:$G$101,MOD(3+$C29+(0),$B$3)+1)*I29+INDEX(Symboles!$G$6:$G$101,MOD(3+$C29+(1),$B$3)+1)*J29+INDEX(Symboles!$G$6:$G$101,MOD(3+$C29+(2),$B$3)+1)*K29+INDEX(Symboles!$G$6:$G$101,MOD(3+$C29+(3),$B$3)+1)*L29+INDEX(Symboles!$G$6:$G$101,MOD(3+$C29+(4),$B$3)+1)*M29+IF($B$6=0,0,$B$6*NORMSINV(0.000001+0.999998*RAND())))</f>
        <v/>
      </c>
      <c r="T29" s="30">
        <f>IF(5&gt;$B$3,99,INDEX(Symboles!$G$6:$G$101,MOD(4+$C29+(-4),$B$3)+1)*E29+INDEX(Symboles!$G$6:$G$101,MOD(4+$C29+(-3),$B$3)+1)*F29+INDEX(Symboles!$G$6:$G$101,MOD(4+$C29+(-2),$B$3)+1)*G29+INDEX(Symboles!$G$6:$G$101,MOD(4+$C29+(-1),$B$3)+1)*H29+INDEX(Symboles!$G$6:$G$101,MOD(4+$C29+(0),$B$3)+1)*I29+INDEX(Symboles!$G$6:$G$101,MOD(4+$C29+(1),$B$3)+1)*J29+INDEX(Symboles!$G$6:$G$101,MOD(4+$C29+(2),$B$3)+1)*K29+INDEX(Symboles!$G$6:$G$101,MOD(4+$C29+(3),$B$3)+1)*L29+INDEX(Symboles!$G$6:$G$101,MOD(4+$C29+(4),$B$3)+1)*M29+IF($B$6=0,0,$B$6*NORMSINV(0.000001+0.999998*RAND())))</f>
        <v/>
      </c>
      <c r="U29" s="30">
        <f>IF(6&gt;$B$3,99,INDEX(Symboles!$G$6:$G$101,MOD(5+$C29+(-4),$B$3)+1)*E29+INDEX(Symboles!$G$6:$G$101,MOD(5+$C29+(-3),$B$3)+1)*F29+INDEX(Symboles!$G$6:$G$101,MOD(5+$C29+(-2),$B$3)+1)*G29+INDEX(Symboles!$G$6:$G$101,MOD(5+$C29+(-1),$B$3)+1)*H29+INDEX(Symboles!$G$6:$G$101,MOD(5+$C29+(0),$B$3)+1)*I29+INDEX(Symboles!$G$6:$G$101,MOD(5+$C29+(1),$B$3)+1)*J29+INDEX(Symboles!$G$6:$G$101,MOD(5+$C29+(2),$B$3)+1)*K29+INDEX(Symboles!$G$6:$G$101,MOD(5+$C29+(3),$B$3)+1)*L29+INDEX(Symboles!$G$6:$G$101,MOD(5+$C29+(4),$B$3)+1)*M29+IF($B$6=0,0,$B$6*NORMSINV(0.000001+0.999998*RAND())))</f>
        <v/>
      </c>
      <c r="V29" s="30">
        <f>IF(7&gt;$B$3,99,INDEX(Symboles!$G$6:$G$101,MOD(6+$C29+(-4),$B$3)+1)*E29+INDEX(Symboles!$G$6:$G$101,MOD(6+$C29+(-3),$B$3)+1)*F29+INDEX(Symboles!$G$6:$G$101,MOD(6+$C29+(-2),$B$3)+1)*G29+INDEX(Symboles!$G$6:$G$101,MOD(6+$C29+(-1),$B$3)+1)*H29+INDEX(Symboles!$G$6:$G$101,MOD(6+$C29+(0),$B$3)+1)*I29+INDEX(Symboles!$G$6:$G$101,MOD(6+$C29+(1),$B$3)+1)*J29+INDEX(Symboles!$G$6:$G$101,MOD(6+$C29+(2),$B$3)+1)*K29+INDEX(Symboles!$G$6:$G$101,MOD(6+$C29+(3),$B$3)+1)*L29+INDEX(Symboles!$G$6:$G$101,MOD(6+$C29+(4),$B$3)+1)*M29+IF($B$6=0,0,$B$6*NORMSINV(0.000001+0.999998*RAND())))</f>
        <v/>
      </c>
      <c r="W29" s="30">
        <f>IF(8&gt;$B$3,99,INDEX(Symboles!$G$6:$G$101,MOD(7+$C29+(-4),$B$3)+1)*E29+INDEX(Symboles!$G$6:$G$101,MOD(7+$C29+(-3),$B$3)+1)*F29+INDEX(Symboles!$G$6:$G$101,MOD(7+$C29+(-2),$B$3)+1)*G29+INDEX(Symboles!$G$6:$G$101,MOD(7+$C29+(-1),$B$3)+1)*H29+INDEX(Symboles!$G$6:$G$101,MOD(7+$C29+(0),$B$3)+1)*I29+INDEX(Symboles!$G$6:$G$101,MOD(7+$C29+(1),$B$3)+1)*J29+INDEX(Symboles!$G$6:$G$101,MOD(7+$C29+(2),$B$3)+1)*K29+INDEX(Symboles!$G$6:$G$101,MOD(7+$C29+(3),$B$3)+1)*L29+INDEX(Symboles!$G$6:$G$101,MOD(7+$C29+(4),$B$3)+1)*M29+IF($B$6=0,0,$B$6*NORMSINV(0.000001+0.999998*RAND())))</f>
        <v/>
      </c>
      <c r="X29" s="30">
        <f>IF(9&gt;$B$3,99,INDEX(Symboles!$G$6:$G$101,MOD(8+$C29+(-4),$B$3)+1)*E29+INDEX(Symboles!$G$6:$G$101,MOD(8+$C29+(-3),$B$3)+1)*F29+INDEX(Symboles!$G$6:$G$101,MOD(8+$C29+(-2),$B$3)+1)*G29+INDEX(Symboles!$G$6:$G$101,MOD(8+$C29+(-1),$B$3)+1)*H29+INDEX(Symboles!$G$6:$G$101,MOD(8+$C29+(0),$B$3)+1)*I29+INDEX(Symboles!$G$6:$G$101,MOD(8+$C29+(1),$B$3)+1)*J29+INDEX(Symboles!$G$6:$G$101,MOD(8+$C29+(2),$B$3)+1)*K29+INDEX(Symboles!$G$6:$G$101,MOD(8+$C29+(3),$B$3)+1)*L29+INDEX(Symboles!$G$6:$G$101,MOD(8+$C29+(4),$B$3)+1)*M29+IF($B$6=0,0,$B$6*NORMSINV(0.000001+0.999998*RAND())))</f>
        <v/>
      </c>
      <c r="Y29" s="30">
        <f>IF(10&gt;$B$3,99,INDEX(Symboles!$G$6:$G$101,MOD(9+$C29+(-4),$B$3)+1)*E29+INDEX(Symboles!$G$6:$G$101,MOD(9+$C29+(-3),$B$3)+1)*F29+INDEX(Symboles!$G$6:$G$101,MOD(9+$C29+(-2),$B$3)+1)*G29+INDEX(Symboles!$G$6:$G$101,MOD(9+$C29+(-1),$B$3)+1)*H29+INDEX(Symboles!$G$6:$G$101,MOD(9+$C29+(0),$B$3)+1)*I29+INDEX(Symboles!$G$6:$G$101,MOD(9+$C29+(1),$B$3)+1)*J29+INDEX(Symboles!$G$6:$G$101,MOD(9+$C29+(2),$B$3)+1)*K29+INDEX(Symboles!$G$6:$G$101,MOD(9+$C29+(3),$B$3)+1)*L29+INDEX(Symboles!$G$6:$G$101,MOD(9+$C29+(4),$B$3)+1)*M29+IF($B$6=0,0,$B$6*NORMSINV(0.000001+0.999998*RAND())))</f>
        <v/>
      </c>
      <c r="Z29" s="30">
        <f>IF(11&gt;$B$3,99,INDEX(Symboles!$G$6:$G$101,MOD(10+$C29+(-4),$B$3)+1)*E29+INDEX(Symboles!$G$6:$G$101,MOD(10+$C29+(-3),$B$3)+1)*F29+INDEX(Symboles!$G$6:$G$101,MOD(10+$C29+(-2),$B$3)+1)*G29+INDEX(Symboles!$G$6:$G$101,MOD(10+$C29+(-1),$B$3)+1)*H29+INDEX(Symboles!$G$6:$G$101,MOD(10+$C29+(0),$B$3)+1)*I29+INDEX(Symboles!$G$6:$G$101,MOD(10+$C29+(1),$B$3)+1)*J29+INDEX(Symboles!$G$6:$G$101,MOD(10+$C29+(2),$B$3)+1)*K29+INDEX(Symboles!$G$6:$G$101,MOD(10+$C29+(3),$B$3)+1)*L29+INDEX(Symboles!$G$6:$G$101,MOD(10+$C29+(4),$B$3)+1)*M29+IF($B$6=0,0,$B$6*NORMSINV(0.000001+0.999998*RAND())))</f>
        <v/>
      </c>
      <c r="AA29" s="30">
        <f>IF(12&gt;$B$3,99,INDEX(Symboles!$G$6:$G$101,MOD(11+$C29+(-4),$B$3)+1)*E29+INDEX(Symboles!$G$6:$G$101,MOD(11+$C29+(-3),$B$3)+1)*F29+INDEX(Symboles!$G$6:$G$101,MOD(11+$C29+(-2),$B$3)+1)*G29+INDEX(Symboles!$G$6:$G$101,MOD(11+$C29+(-1),$B$3)+1)*H29+INDEX(Symboles!$G$6:$G$101,MOD(11+$C29+(0),$B$3)+1)*I29+INDEX(Symboles!$G$6:$G$101,MOD(11+$C29+(1),$B$3)+1)*J29+INDEX(Symboles!$G$6:$G$101,MOD(11+$C29+(2),$B$3)+1)*K29+INDEX(Symboles!$G$6:$G$101,MOD(11+$C29+(3),$B$3)+1)*L29+INDEX(Symboles!$G$6:$G$101,MOD(11+$C29+(4),$B$3)+1)*M29+IF($B$6=0,0,$B$6*NORMSINV(0.000001+0.999998*RAND())))</f>
        <v/>
      </c>
      <c r="AB29" s="30">
        <f>IF(13&gt;$B$3,99,INDEX(Symboles!$G$6:$G$101,MOD(12+$C29+(-4),$B$3)+1)*E29+INDEX(Symboles!$G$6:$G$101,MOD(12+$C29+(-3),$B$3)+1)*F29+INDEX(Symboles!$G$6:$G$101,MOD(12+$C29+(-2),$B$3)+1)*G29+INDEX(Symboles!$G$6:$G$101,MOD(12+$C29+(-1),$B$3)+1)*H29+INDEX(Symboles!$G$6:$G$101,MOD(12+$C29+(0),$B$3)+1)*I29+INDEX(Symboles!$G$6:$G$101,MOD(12+$C29+(1),$B$3)+1)*J29+INDEX(Symboles!$G$6:$G$101,MOD(12+$C29+(2),$B$3)+1)*K29+INDEX(Symboles!$G$6:$G$101,MOD(12+$C29+(3),$B$3)+1)*L29+INDEX(Symboles!$G$6:$G$101,MOD(12+$C29+(4),$B$3)+1)*M29+IF($B$6=0,0,$B$6*NORMSINV(0.000001+0.999998*RAND())))</f>
        <v/>
      </c>
      <c r="AC29" s="30">
        <f>IF(14&gt;$B$3,99,INDEX(Symboles!$G$6:$G$101,MOD(13+$C29+(-4),$B$3)+1)*E29+INDEX(Symboles!$G$6:$G$101,MOD(13+$C29+(-3),$B$3)+1)*F29+INDEX(Symboles!$G$6:$G$101,MOD(13+$C29+(-2),$B$3)+1)*G29+INDEX(Symboles!$G$6:$G$101,MOD(13+$C29+(-1),$B$3)+1)*H29+INDEX(Symboles!$G$6:$G$101,MOD(13+$C29+(0),$B$3)+1)*I29+INDEX(Symboles!$G$6:$G$101,MOD(13+$C29+(1),$B$3)+1)*J29+INDEX(Symboles!$G$6:$G$101,MOD(13+$C29+(2),$B$3)+1)*K29+INDEX(Symboles!$G$6:$G$101,MOD(13+$C29+(3),$B$3)+1)*L29+INDEX(Symboles!$G$6:$G$101,MOD(13+$C29+(4),$B$3)+1)*M29+IF($B$6=0,0,$B$6*NORMSINV(0.000001+0.999998*RAND())))</f>
        <v/>
      </c>
      <c r="AD29" s="30">
        <f>IF(15&gt;$B$3,99,INDEX(Symboles!$G$6:$G$101,MOD(14+$C29+(-4),$B$3)+1)*E29+INDEX(Symboles!$G$6:$G$101,MOD(14+$C29+(-3),$B$3)+1)*F29+INDEX(Symboles!$G$6:$G$101,MOD(14+$C29+(-2),$B$3)+1)*G29+INDEX(Symboles!$G$6:$G$101,MOD(14+$C29+(-1),$B$3)+1)*H29+INDEX(Symboles!$G$6:$G$101,MOD(14+$C29+(0),$B$3)+1)*I29+INDEX(Symboles!$G$6:$G$101,MOD(14+$C29+(1),$B$3)+1)*J29+INDEX(Symboles!$G$6:$G$101,MOD(14+$C29+(2),$B$3)+1)*K29+INDEX(Symboles!$G$6:$G$101,MOD(14+$C29+(3),$B$3)+1)*L29+INDEX(Symboles!$G$6:$G$101,MOD(14+$C29+(4),$B$3)+1)*M29+IF($B$6=0,0,$B$6*NORMSINV(0.000001+0.999998*RAND())))</f>
        <v/>
      </c>
      <c r="AE29" s="30">
        <f>IF(16&gt;$B$3,99,INDEX(Symboles!$G$6:$G$101,MOD(15+$C29+(-4),$B$3)+1)*E29+INDEX(Symboles!$G$6:$G$101,MOD(15+$C29+(-3),$B$3)+1)*F29+INDEX(Symboles!$G$6:$G$101,MOD(15+$C29+(-2),$B$3)+1)*G29+INDEX(Symboles!$G$6:$G$101,MOD(15+$C29+(-1),$B$3)+1)*H29+INDEX(Symboles!$G$6:$G$101,MOD(15+$C29+(0),$B$3)+1)*I29+INDEX(Symboles!$G$6:$G$101,MOD(15+$C29+(1),$B$3)+1)*J29+INDEX(Symboles!$G$6:$G$101,MOD(15+$C29+(2),$B$3)+1)*K29+INDEX(Symboles!$G$6:$G$101,MOD(15+$C29+(3),$B$3)+1)*L29+INDEX(Symboles!$G$6:$G$101,MOD(15+$C29+(4),$B$3)+1)*M29+IF($B$6=0,0,$B$6*NORMSINV(0.000001+0.999998*RAND())))</f>
        <v/>
      </c>
      <c r="AF29" s="30">
        <f>IF(17&gt;$B$3,99,INDEX(Symboles!$G$6:$G$101,MOD(16+$C29+(-4),$B$3)+1)*E29+INDEX(Symboles!$G$6:$G$101,MOD(16+$C29+(-3),$B$3)+1)*F29+INDEX(Symboles!$G$6:$G$101,MOD(16+$C29+(-2),$B$3)+1)*G29+INDEX(Symboles!$G$6:$G$101,MOD(16+$C29+(-1),$B$3)+1)*H29+INDEX(Symboles!$G$6:$G$101,MOD(16+$C29+(0),$B$3)+1)*I29+INDEX(Symboles!$G$6:$G$101,MOD(16+$C29+(1),$B$3)+1)*J29+INDEX(Symboles!$G$6:$G$101,MOD(16+$C29+(2),$B$3)+1)*K29+INDEX(Symboles!$G$6:$G$101,MOD(16+$C29+(3),$B$3)+1)*L29+INDEX(Symboles!$G$6:$G$101,MOD(16+$C29+(4),$B$3)+1)*M29+IF($B$6=0,0,$B$6*NORMSINV(0.000001+0.999998*RAND())))</f>
        <v/>
      </c>
      <c r="AG29" s="30">
        <f>IF(18&gt;$B$3,99,INDEX(Symboles!$G$6:$G$101,MOD(17+$C29+(-4),$B$3)+1)*E29+INDEX(Symboles!$G$6:$G$101,MOD(17+$C29+(-3),$B$3)+1)*F29+INDEX(Symboles!$G$6:$G$101,MOD(17+$C29+(-2),$B$3)+1)*G29+INDEX(Symboles!$G$6:$G$101,MOD(17+$C29+(-1),$B$3)+1)*H29+INDEX(Symboles!$G$6:$G$101,MOD(17+$C29+(0),$B$3)+1)*I29+INDEX(Symboles!$G$6:$G$101,MOD(17+$C29+(1),$B$3)+1)*J29+INDEX(Symboles!$G$6:$G$101,MOD(17+$C29+(2),$B$3)+1)*K29+INDEX(Symboles!$G$6:$G$101,MOD(17+$C29+(3),$B$3)+1)*L29+INDEX(Symboles!$G$6:$G$101,MOD(17+$C29+(4),$B$3)+1)*M29+IF($B$6=0,0,$B$6*NORMSINV(0.000001+0.999998*RAND())))</f>
        <v/>
      </c>
      <c r="AH29" s="30">
        <f>IF(19&gt;$B$3,99,INDEX(Symboles!$G$6:$G$101,MOD(18+$C29+(-4),$B$3)+1)*E29+INDEX(Symboles!$G$6:$G$101,MOD(18+$C29+(-3),$B$3)+1)*F29+INDEX(Symboles!$G$6:$G$101,MOD(18+$C29+(-2),$B$3)+1)*G29+INDEX(Symboles!$G$6:$G$101,MOD(18+$C29+(-1),$B$3)+1)*H29+INDEX(Symboles!$G$6:$G$101,MOD(18+$C29+(0),$B$3)+1)*I29+INDEX(Symboles!$G$6:$G$101,MOD(18+$C29+(1),$B$3)+1)*J29+INDEX(Symboles!$G$6:$G$101,MOD(18+$C29+(2),$B$3)+1)*K29+INDEX(Symboles!$G$6:$G$101,MOD(18+$C29+(3),$B$3)+1)*L29+INDEX(Symboles!$G$6:$G$101,MOD(18+$C29+(4),$B$3)+1)*M29+IF($B$6=0,0,$B$6*NORMSINV(0.000001+0.999998*RAND())))</f>
        <v/>
      </c>
      <c r="AI29" s="30">
        <f>IF(20&gt;$B$3,99,INDEX(Symboles!$G$6:$G$101,MOD(19+$C29+(-4),$B$3)+1)*E29+INDEX(Symboles!$G$6:$G$101,MOD(19+$C29+(-3),$B$3)+1)*F29+INDEX(Symboles!$G$6:$G$101,MOD(19+$C29+(-2),$B$3)+1)*G29+INDEX(Symboles!$G$6:$G$101,MOD(19+$C29+(-1),$B$3)+1)*H29+INDEX(Symboles!$G$6:$G$101,MOD(19+$C29+(0),$B$3)+1)*I29+INDEX(Symboles!$G$6:$G$101,MOD(19+$C29+(1),$B$3)+1)*J29+INDEX(Symboles!$G$6:$G$101,MOD(19+$C29+(2),$B$3)+1)*K29+INDEX(Symboles!$G$6:$G$101,MOD(19+$C29+(3),$B$3)+1)*L29+INDEX(Symboles!$G$6:$G$101,MOD(19+$C29+(4),$B$3)+1)*M29+IF($B$6=0,0,$B$6*NORMSINV(0.000001+0.999998*RAND())))</f>
        <v/>
      </c>
      <c r="AJ29" s="30">
        <f>IF(21&gt;$B$3,99,INDEX(Symboles!$G$6:$G$101,MOD(20+$C29+(-4),$B$3)+1)*E29+INDEX(Symboles!$G$6:$G$101,MOD(20+$C29+(-3),$B$3)+1)*F29+INDEX(Symboles!$G$6:$G$101,MOD(20+$C29+(-2),$B$3)+1)*G29+INDEX(Symboles!$G$6:$G$101,MOD(20+$C29+(-1),$B$3)+1)*H29+INDEX(Symboles!$G$6:$G$101,MOD(20+$C29+(0),$B$3)+1)*I29+INDEX(Symboles!$G$6:$G$101,MOD(20+$C29+(1),$B$3)+1)*J29+INDEX(Symboles!$G$6:$G$101,MOD(20+$C29+(2),$B$3)+1)*K29+INDEX(Symboles!$G$6:$G$101,MOD(20+$C29+(3),$B$3)+1)*L29+INDEX(Symboles!$G$6:$G$101,MOD(20+$C29+(4),$B$3)+1)*M29+IF($B$6=0,0,$B$6*NORMSINV(0.000001+0.999998*RAND())))</f>
        <v/>
      </c>
      <c r="AK29" s="30">
        <f>IF(22&gt;$B$3,99,INDEX(Symboles!$G$6:$G$101,MOD(21+$C29+(-4),$B$3)+1)*E29+INDEX(Symboles!$G$6:$G$101,MOD(21+$C29+(-3),$B$3)+1)*F29+INDEX(Symboles!$G$6:$G$101,MOD(21+$C29+(-2),$B$3)+1)*G29+INDEX(Symboles!$G$6:$G$101,MOD(21+$C29+(-1),$B$3)+1)*H29+INDEX(Symboles!$G$6:$G$101,MOD(21+$C29+(0),$B$3)+1)*I29+INDEX(Symboles!$G$6:$G$101,MOD(21+$C29+(1),$B$3)+1)*J29+INDEX(Symboles!$G$6:$G$101,MOD(21+$C29+(2),$B$3)+1)*K29+INDEX(Symboles!$G$6:$G$101,MOD(21+$C29+(3),$B$3)+1)*L29+INDEX(Symboles!$G$6:$G$101,MOD(21+$C29+(4),$B$3)+1)*M29+IF($B$6=0,0,$B$6*NORMSINV(0.000001+0.999998*RAND())))</f>
        <v/>
      </c>
      <c r="AL29" s="30">
        <f>IF(23&gt;$B$3,99,INDEX(Symboles!$G$6:$G$101,MOD(22+$C29+(-4),$B$3)+1)*E29+INDEX(Symboles!$G$6:$G$101,MOD(22+$C29+(-3),$B$3)+1)*F29+INDEX(Symboles!$G$6:$G$101,MOD(22+$C29+(-2),$B$3)+1)*G29+INDEX(Symboles!$G$6:$G$101,MOD(22+$C29+(-1),$B$3)+1)*H29+INDEX(Symboles!$G$6:$G$101,MOD(22+$C29+(0),$B$3)+1)*I29+INDEX(Symboles!$G$6:$G$101,MOD(22+$C29+(1),$B$3)+1)*J29+INDEX(Symboles!$G$6:$G$101,MOD(22+$C29+(2),$B$3)+1)*K29+INDEX(Symboles!$G$6:$G$101,MOD(22+$C29+(3),$B$3)+1)*L29+INDEX(Symboles!$G$6:$G$101,MOD(22+$C29+(4),$B$3)+1)*M29+IF($B$6=0,0,$B$6*NORMSINV(0.000001+0.999998*RAND())))</f>
        <v/>
      </c>
      <c r="AM29" s="30">
        <f>IF(24&gt;$B$3,99,INDEX(Symboles!$G$6:$G$101,MOD(23+$C29+(-4),$B$3)+1)*E29+INDEX(Symboles!$G$6:$G$101,MOD(23+$C29+(-3),$B$3)+1)*F29+INDEX(Symboles!$G$6:$G$101,MOD(23+$C29+(-2),$B$3)+1)*G29+INDEX(Symboles!$G$6:$G$101,MOD(23+$C29+(-1),$B$3)+1)*H29+INDEX(Symboles!$G$6:$G$101,MOD(23+$C29+(0),$B$3)+1)*I29+INDEX(Symboles!$G$6:$G$101,MOD(23+$C29+(1),$B$3)+1)*J29+INDEX(Symboles!$G$6:$G$101,MOD(23+$C29+(2),$B$3)+1)*K29+INDEX(Symboles!$G$6:$G$101,MOD(23+$C29+(3),$B$3)+1)*L29+INDEX(Symboles!$G$6:$G$101,MOD(23+$C29+(4),$B$3)+1)*M29+IF($B$6=0,0,$B$6*NORMSINV(0.000001+0.999998*RAND())))</f>
        <v/>
      </c>
      <c r="AN29" s="30">
        <f>IF(25&gt;$B$3,99,INDEX(Symboles!$G$6:$G$101,MOD(24+$C29+(-4),$B$3)+1)*E29+INDEX(Symboles!$G$6:$G$101,MOD(24+$C29+(-3),$B$3)+1)*F29+INDEX(Symboles!$G$6:$G$101,MOD(24+$C29+(-2),$B$3)+1)*G29+INDEX(Symboles!$G$6:$G$101,MOD(24+$C29+(-1),$B$3)+1)*H29+INDEX(Symboles!$G$6:$G$101,MOD(24+$C29+(0),$B$3)+1)*I29+INDEX(Symboles!$G$6:$G$101,MOD(24+$C29+(1),$B$3)+1)*J29+INDEX(Symboles!$G$6:$G$101,MOD(24+$C29+(2),$B$3)+1)*K29+INDEX(Symboles!$G$6:$G$101,MOD(24+$C29+(3),$B$3)+1)*L29+INDEX(Symboles!$G$6:$G$101,MOD(24+$C29+(4),$B$3)+1)*M29+IF($B$6=0,0,$B$6*NORMSINV(0.000001+0.999998*RAND())))</f>
        <v/>
      </c>
      <c r="AO29" s="30">
        <f>IF(26&gt;$B$3,99,INDEX(Symboles!$G$6:$G$101,MOD(25+$C29+(-4),$B$3)+1)*E29+INDEX(Symboles!$G$6:$G$101,MOD(25+$C29+(-3),$B$3)+1)*F29+INDEX(Symboles!$G$6:$G$101,MOD(25+$C29+(-2),$B$3)+1)*G29+INDEX(Symboles!$G$6:$G$101,MOD(25+$C29+(-1),$B$3)+1)*H29+INDEX(Symboles!$G$6:$G$101,MOD(25+$C29+(0),$B$3)+1)*I29+INDEX(Symboles!$G$6:$G$101,MOD(25+$C29+(1),$B$3)+1)*J29+INDEX(Symboles!$G$6:$G$101,MOD(25+$C29+(2),$B$3)+1)*K29+INDEX(Symboles!$G$6:$G$101,MOD(25+$C29+(3),$B$3)+1)*L29+INDEX(Symboles!$G$6:$G$101,MOD(25+$C29+(4),$B$3)+1)*M29+IF($B$6=0,0,$B$6*NORMSINV(0.000001+0.999998*RAND())))</f>
        <v/>
      </c>
      <c r="AP29" s="30">
        <f>IF(27&gt;$B$3,99,INDEX(Symboles!$G$6:$G$101,MOD(26+$C29+(-4),$B$3)+1)*E29+INDEX(Symboles!$G$6:$G$101,MOD(26+$C29+(-3),$B$3)+1)*F29+INDEX(Symboles!$G$6:$G$101,MOD(26+$C29+(-2),$B$3)+1)*G29+INDEX(Symboles!$G$6:$G$101,MOD(26+$C29+(-1),$B$3)+1)*H29+INDEX(Symboles!$G$6:$G$101,MOD(26+$C29+(0),$B$3)+1)*I29+INDEX(Symboles!$G$6:$G$101,MOD(26+$C29+(1),$B$3)+1)*J29+INDEX(Symboles!$G$6:$G$101,MOD(26+$C29+(2),$B$3)+1)*K29+INDEX(Symboles!$G$6:$G$101,MOD(26+$C29+(3),$B$3)+1)*L29+INDEX(Symboles!$G$6:$G$101,MOD(26+$C29+(4),$B$3)+1)*M29+IF($B$6=0,0,$B$6*NORMSINV(0.000001+0.999998*RAND())))</f>
        <v/>
      </c>
      <c r="AQ29" s="30">
        <f>IF(28&gt;$B$3,99,INDEX(Symboles!$G$6:$G$101,MOD(27+$C29+(-4),$B$3)+1)*E29+INDEX(Symboles!$G$6:$G$101,MOD(27+$C29+(-3),$B$3)+1)*F29+INDEX(Symboles!$G$6:$G$101,MOD(27+$C29+(-2),$B$3)+1)*G29+INDEX(Symboles!$G$6:$G$101,MOD(27+$C29+(-1),$B$3)+1)*H29+INDEX(Symboles!$G$6:$G$101,MOD(27+$C29+(0),$B$3)+1)*I29+INDEX(Symboles!$G$6:$G$101,MOD(27+$C29+(1),$B$3)+1)*J29+INDEX(Symboles!$G$6:$G$101,MOD(27+$C29+(2),$B$3)+1)*K29+INDEX(Symboles!$G$6:$G$101,MOD(27+$C29+(3),$B$3)+1)*L29+INDEX(Symboles!$G$6:$G$101,MOD(27+$C29+(4),$B$3)+1)*M29+IF($B$6=0,0,$B$6*NORMSINV(0.000001+0.999998*RAND())))</f>
        <v/>
      </c>
      <c r="AR29" s="30">
        <f>IF(29&gt;$B$3,99,INDEX(Symboles!$G$6:$G$101,MOD(28+$C29+(-4),$B$3)+1)*E29+INDEX(Symboles!$G$6:$G$101,MOD(28+$C29+(-3),$B$3)+1)*F29+INDEX(Symboles!$G$6:$G$101,MOD(28+$C29+(-2),$B$3)+1)*G29+INDEX(Symboles!$G$6:$G$101,MOD(28+$C29+(-1),$B$3)+1)*H29+INDEX(Symboles!$G$6:$G$101,MOD(28+$C29+(0),$B$3)+1)*I29+INDEX(Symboles!$G$6:$G$101,MOD(28+$C29+(1),$B$3)+1)*J29+INDEX(Symboles!$G$6:$G$101,MOD(28+$C29+(2),$B$3)+1)*K29+INDEX(Symboles!$G$6:$G$101,MOD(28+$C29+(3),$B$3)+1)*L29+INDEX(Symboles!$G$6:$G$101,MOD(28+$C29+(4),$B$3)+1)*M29+IF($B$6=0,0,$B$6*NORMSINV(0.000001+0.999998*RAND())))</f>
        <v/>
      </c>
      <c r="AS29" s="30">
        <f>IF(30&gt;$B$3,99,INDEX(Symboles!$G$6:$G$101,MOD(29+$C29+(-4),$B$3)+1)*E29+INDEX(Symboles!$G$6:$G$101,MOD(29+$C29+(-3),$B$3)+1)*F29+INDEX(Symboles!$G$6:$G$101,MOD(29+$C29+(-2),$B$3)+1)*G29+INDEX(Symboles!$G$6:$G$101,MOD(29+$C29+(-1),$B$3)+1)*H29+INDEX(Symboles!$G$6:$G$101,MOD(29+$C29+(0),$B$3)+1)*I29+INDEX(Symboles!$G$6:$G$101,MOD(29+$C29+(1),$B$3)+1)*J29+INDEX(Symboles!$G$6:$G$101,MOD(29+$C29+(2),$B$3)+1)*K29+INDEX(Symboles!$G$6:$G$101,MOD(29+$C29+(3),$B$3)+1)*L29+INDEX(Symboles!$G$6:$G$101,MOD(29+$C29+(4),$B$3)+1)*M29+IF($B$6=0,0,$B$6*NORMSINV(0.000001+0.999998*RAND())))</f>
        <v/>
      </c>
      <c r="AT29" s="30">
        <f>IF(31&gt;$B$3,99,INDEX(Symboles!$G$6:$G$101,MOD(30+$C29+(-4),$B$3)+1)*E29+INDEX(Symboles!$G$6:$G$101,MOD(30+$C29+(-3),$B$3)+1)*F29+INDEX(Symboles!$G$6:$G$101,MOD(30+$C29+(-2),$B$3)+1)*G29+INDEX(Symboles!$G$6:$G$101,MOD(30+$C29+(-1),$B$3)+1)*H29+INDEX(Symboles!$G$6:$G$101,MOD(30+$C29+(0),$B$3)+1)*I29+INDEX(Symboles!$G$6:$G$101,MOD(30+$C29+(1),$B$3)+1)*J29+INDEX(Symboles!$G$6:$G$101,MOD(30+$C29+(2),$B$3)+1)*K29+INDEX(Symboles!$G$6:$G$101,MOD(30+$C29+(3),$B$3)+1)*L29+INDEX(Symboles!$G$6:$G$101,MOD(30+$C29+(4),$B$3)+1)*M29+IF($B$6=0,0,$B$6*NORMSINV(0.000001+0.999998*RAND())))</f>
        <v/>
      </c>
      <c r="AU29" s="30">
        <f>IF(32&gt;$B$3,99,INDEX(Symboles!$G$6:$G$101,MOD(31+$C29+(-4),$B$3)+1)*E29+INDEX(Symboles!$G$6:$G$101,MOD(31+$C29+(-3),$B$3)+1)*F29+INDEX(Symboles!$G$6:$G$101,MOD(31+$C29+(-2),$B$3)+1)*G29+INDEX(Symboles!$G$6:$G$101,MOD(31+$C29+(-1),$B$3)+1)*H29+INDEX(Symboles!$G$6:$G$101,MOD(31+$C29+(0),$B$3)+1)*I29+INDEX(Symboles!$G$6:$G$101,MOD(31+$C29+(1),$B$3)+1)*J29+INDEX(Symboles!$G$6:$G$101,MOD(31+$C29+(2),$B$3)+1)*K29+INDEX(Symboles!$G$6:$G$101,MOD(31+$C29+(3),$B$3)+1)*L29+INDEX(Symboles!$G$6:$G$101,MOD(31+$C29+(4),$B$3)+1)*M29+IF($B$6=0,0,$B$6*NORMSINV(0.000001+0.999998*RAND())))</f>
        <v/>
      </c>
      <c r="AV29" s="30">
        <f>IF(33&gt;$B$3,99,INDEX(Symboles!$G$6:$G$101,MOD(32+$C29+(-4),$B$3)+1)*E29+INDEX(Symboles!$G$6:$G$101,MOD(32+$C29+(-3),$B$3)+1)*F29+INDEX(Symboles!$G$6:$G$101,MOD(32+$C29+(-2),$B$3)+1)*G29+INDEX(Symboles!$G$6:$G$101,MOD(32+$C29+(-1),$B$3)+1)*H29+INDEX(Symboles!$G$6:$G$101,MOD(32+$C29+(0),$B$3)+1)*I29+INDEX(Symboles!$G$6:$G$101,MOD(32+$C29+(1),$B$3)+1)*J29+INDEX(Symboles!$G$6:$G$101,MOD(32+$C29+(2),$B$3)+1)*K29+INDEX(Symboles!$G$6:$G$101,MOD(32+$C29+(3),$B$3)+1)*L29+INDEX(Symboles!$G$6:$G$101,MOD(32+$C29+(4),$B$3)+1)*M29+IF($B$6=0,0,$B$6*NORMSINV(0.000001+0.999998*RAND())))</f>
        <v/>
      </c>
      <c r="AW29" s="30">
        <f>IF(34&gt;$B$3,99,INDEX(Symboles!$G$6:$G$101,MOD(33+$C29+(-4),$B$3)+1)*E29+INDEX(Symboles!$G$6:$G$101,MOD(33+$C29+(-3),$B$3)+1)*F29+INDEX(Symboles!$G$6:$G$101,MOD(33+$C29+(-2),$B$3)+1)*G29+INDEX(Symboles!$G$6:$G$101,MOD(33+$C29+(-1),$B$3)+1)*H29+INDEX(Symboles!$G$6:$G$101,MOD(33+$C29+(0),$B$3)+1)*I29+INDEX(Symboles!$G$6:$G$101,MOD(33+$C29+(1),$B$3)+1)*J29+INDEX(Symboles!$G$6:$G$101,MOD(33+$C29+(2),$B$3)+1)*K29+INDEX(Symboles!$G$6:$G$101,MOD(33+$C29+(3),$B$3)+1)*L29+INDEX(Symboles!$G$6:$G$101,MOD(33+$C29+(4),$B$3)+1)*M29+IF($B$6=0,0,$B$6*NORMSINV(0.000001+0.999998*RAND())))</f>
        <v/>
      </c>
      <c r="AX29" s="30">
        <f>IF(35&gt;$B$3,99,INDEX(Symboles!$G$6:$G$101,MOD(34+$C29+(-4),$B$3)+1)*E29+INDEX(Symboles!$G$6:$G$101,MOD(34+$C29+(-3),$B$3)+1)*F29+INDEX(Symboles!$G$6:$G$101,MOD(34+$C29+(-2),$B$3)+1)*G29+INDEX(Symboles!$G$6:$G$101,MOD(34+$C29+(-1),$B$3)+1)*H29+INDEX(Symboles!$G$6:$G$101,MOD(34+$C29+(0),$B$3)+1)*I29+INDEX(Symboles!$G$6:$G$101,MOD(34+$C29+(1),$B$3)+1)*J29+INDEX(Symboles!$G$6:$G$101,MOD(34+$C29+(2),$B$3)+1)*K29+INDEX(Symboles!$G$6:$G$101,MOD(34+$C29+(3),$B$3)+1)*L29+INDEX(Symboles!$G$6:$G$101,MOD(34+$C29+(4),$B$3)+1)*M29+IF($B$6=0,0,$B$6*NORMSINV(0.000001+0.999998*RAND())))</f>
        <v/>
      </c>
      <c r="AY29" s="30">
        <f>IF(36&gt;$B$3,99,INDEX(Symboles!$G$6:$G$101,MOD(35+$C29+(-4),$B$3)+1)*E29+INDEX(Symboles!$G$6:$G$101,MOD(35+$C29+(-3),$B$3)+1)*F29+INDEX(Symboles!$G$6:$G$101,MOD(35+$C29+(-2),$B$3)+1)*G29+INDEX(Symboles!$G$6:$G$101,MOD(35+$C29+(-1),$B$3)+1)*H29+INDEX(Symboles!$G$6:$G$101,MOD(35+$C29+(0),$B$3)+1)*I29+INDEX(Symboles!$G$6:$G$101,MOD(35+$C29+(1),$B$3)+1)*J29+INDEX(Symboles!$G$6:$G$101,MOD(35+$C29+(2),$B$3)+1)*K29+INDEX(Symboles!$G$6:$G$101,MOD(35+$C29+(3),$B$3)+1)*L29+INDEX(Symboles!$G$6:$G$101,MOD(35+$C29+(4),$B$3)+1)*M29+IF($B$6=0,0,$B$6*NORMSINV(0.000001+0.999998*RAND())))</f>
        <v/>
      </c>
      <c r="AZ29" s="30">
        <f>IF(37&gt;$B$3,99,INDEX(Symboles!$G$6:$G$101,MOD(36+$C29+(-4),$B$3)+1)*E29+INDEX(Symboles!$G$6:$G$101,MOD(36+$C29+(-3),$B$3)+1)*F29+INDEX(Symboles!$G$6:$G$101,MOD(36+$C29+(-2),$B$3)+1)*G29+INDEX(Symboles!$G$6:$G$101,MOD(36+$C29+(-1),$B$3)+1)*H29+INDEX(Symboles!$G$6:$G$101,MOD(36+$C29+(0),$B$3)+1)*I29+INDEX(Symboles!$G$6:$G$101,MOD(36+$C29+(1),$B$3)+1)*J29+INDEX(Symboles!$G$6:$G$101,MOD(36+$C29+(2),$B$3)+1)*K29+INDEX(Symboles!$G$6:$G$101,MOD(36+$C29+(3),$B$3)+1)*L29+INDEX(Symboles!$G$6:$G$101,MOD(36+$C29+(4),$B$3)+1)*M29+IF($B$6=0,0,$B$6*NORMSINV(0.000001+0.999998*RAND())))</f>
        <v/>
      </c>
      <c r="BA29" s="30">
        <f>IF(38&gt;$B$3,99,INDEX(Symboles!$G$6:$G$101,MOD(37+$C29+(-4),$B$3)+1)*E29+INDEX(Symboles!$G$6:$G$101,MOD(37+$C29+(-3),$B$3)+1)*F29+INDEX(Symboles!$G$6:$G$101,MOD(37+$C29+(-2),$B$3)+1)*G29+INDEX(Symboles!$G$6:$G$101,MOD(37+$C29+(-1),$B$3)+1)*H29+INDEX(Symboles!$G$6:$G$101,MOD(37+$C29+(0),$B$3)+1)*I29+INDEX(Symboles!$G$6:$G$101,MOD(37+$C29+(1),$B$3)+1)*J29+INDEX(Symboles!$G$6:$G$101,MOD(37+$C29+(2),$B$3)+1)*K29+INDEX(Symboles!$G$6:$G$101,MOD(37+$C29+(3),$B$3)+1)*L29+INDEX(Symboles!$G$6:$G$101,MOD(37+$C29+(4),$B$3)+1)*M29+IF($B$6=0,0,$B$6*NORMSINV(0.000001+0.999998*RAND())))</f>
        <v/>
      </c>
      <c r="BB29" s="30">
        <f>IF(39&gt;$B$3,99,INDEX(Symboles!$G$6:$G$101,MOD(38+$C29+(-4),$B$3)+1)*E29+INDEX(Symboles!$G$6:$G$101,MOD(38+$C29+(-3),$B$3)+1)*F29+INDEX(Symboles!$G$6:$G$101,MOD(38+$C29+(-2),$B$3)+1)*G29+INDEX(Symboles!$G$6:$G$101,MOD(38+$C29+(-1),$B$3)+1)*H29+INDEX(Symboles!$G$6:$G$101,MOD(38+$C29+(0),$B$3)+1)*I29+INDEX(Symboles!$G$6:$G$101,MOD(38+$C29+(1),$B$3)+1)*J29+INDEX(Symboles!$G$6:$G$101,MOD(38+$C29+(2),$B$3)+1)*K29+INDEX(Symboles!$G$6:$G$101,MOD(38+$C29+(3),$B$3)+1)*L29+INDEX(Symboles!$G$6:$G$101,MOD(38+$C29+(4),$B$3)+1)*M29+IF($B$6=0,0,$B$6*NORMSINV(0.000001+0.999998*RAND())))</f>
        <v/>
      </c>
      <c r="BC29" s="30">
        <f>IF(40&gt;$B$3,99,INDEX(Symboles!$G$6:$G$101,MOD(39+$C29+(-4),$B$3)+1)*E29+INDEX(Symboles!$G$6:$G$101,MOD(39+$C29+(-3),$B$3)+1)*F29+INDEX(Symboles!$G$6:$G$101,MOD(39+$C29+(-2),$B$3)+1)*G29+INDEX(Symboles!$G$6:$G$101,MOD(39+$C29+(-1),$B$3)+1)*H29+INDEX(Symboles!$G$6:$G$101,MOD(39+$C29+(0),$B$3)+1)*I29+INDEX(Symboles!$G$6:$G$101,MOD(39+$C29+(1),$B$3)+1)*J29+INDEX(Symboles!$G$6:$G$101,MOD(39+$C29+(2),$B$3)+1)*K29+INDEX(Symboles!$G$6:$G$101,MOD(39+$C29+(3),$B$3)+1)*L29+INDEX(Symboles!$G$6:$G$101,MOD(39+$C29+(4),$B$3)+1)*M29+IF($B$6=0,0,$B$6*NORMSINV(0.000001+0.999998*RAND())))</f>
        <v/>
      </c>
      <c r="BD29" s="30">
        <f>IF(41&gt;$B$3,99,INDEX(Symboles!$G$6:$G$101,MOD(40+$C29+(-4),$B$3)+1)*E29+INDEX(Symboles!$G$6:$G$101,MOD(40+$C29+(-3),$B$3)+1)*F29+INDEX(Symboles!$G$6:$G$101,MOD(40+$C29+(-2),$B$3)+1)*G29+INDEX(Symboles!$G$6:$G$101,MOD(40+$C29+(-1),$B$3)+1)*H29+INDEX(Symboles!$G$6:$G$101,MOD(40+$C29+(0),$B$3)+1)*I29+INDEX(Symboles!$G$6:$G$101,MOD(40+$C29+(1),$B$3)+1)*J29+INDEX(Symboles!$G$6:$G$101,MOD(40+$C29+(2),$B$3)+1)*K29+INDEX(Symboles!$G$6:$G$101,MOD(40+$C29+(3),$B$3)+1)*L29+INDEX(Symboles!$G$6:$G$101,MOD(40+$C29+(4),$B$3)+1)*M29+IF($B$6=0,0,$B$6*NORMSINV(0.000001+0.999998*RAND())))</f>
        <v/>
      </c>
      <c r="BE29" s="30">
        <f>IF(42&gt;$B$3,99,INDEX(Symboles!$G$6:$G$101,MOD(41+$C29+(-4),$B$3)+1)*E29+INDEX(Symboles!$G$6:$G$101,MOD(41+$C29+(-3),$B$3)+1)*F29+INDEX(Symboles!$G$6:$G$101,MOD(41+$C29+(-2),$B$3)+1)*G29+INDEX(Symboles!$G$6:$G$101,MOD(41+$C29+(-1),$B$3)+1)*H29+INDEX(Symboles!$G$6:$G$101,MOD(41+$C29+(0),$B$3)+1)*I29+INDEX(Symboles!$G$6:$G$101,MOD(41+$C29+(1),$B$3)+1)*J29+INDEX(Symboles!$G$6:$G$101,MOD(41+$C29+(2),$B$3)+1)*K29+INDEX(Symboles!$G$6:$G$101,MOD(41+$C29+(3),$B$3)+1)*L29+INDEX(Symboles!$G$6:$G$101,MOD(41+$C29+(4),$B$3)+1)*M29+IF($B$6=0,0,$B$6*NORMSINV(0.000001+0.999998*RAND())))</f>
        <v/>
      </c>
      <c r="BF29" s="30">
        <f>IF(43&gt;$B$3,99,INDEX(Symboles!$G$6:$G$101,MOD(42+$C29+(-4),$B$3)+1)*E29+INDEX(Symboles!$G$6:$G$101,MOD(42+$C29+(-3),$B$3)+1)*F29+INDEX(Symboles!$G$6:$G$101,MOD(42+$C29+(-2),$B$3)+1)*G29+INDEX(Symboles!$G$6:$G$101,MOD(42+$C29+(-1),$B$3)+1)*H29+INDEX(Symboles!$G$6:$G$101,MOD(42+$C29+(0),$B$3)+1)*I29+INDEX(Symboles!$G$6:$G$101,MOD(42+$C29+(1),$B$3)+1)*J29+INDEX(Symboles!$G$6:$G$101,MOD(42+$C29+(2),$B$3)+1)*K29+INDEX(Symboles!$G$6:$G$101,MOD(42+$C29+(3),$B$3)+1)*L29+INDEX(Symboles!$G$6:$G$101,MOD(42+$C29+(4),$B$3)+1)*M29+IF($B$6=0,0,$B$6*NORMSINV(0.000001+0.999998*RAND())))</f>
        <v/>
      </c>
      <c r="BG29" s="30">
        <f>IF(44&gt;$B$3,99,INDEX(Symboles!$G$6:$G$101,MOD(43+$C29+(-4),$B$3)+1)*E29+INDEX(Symboles!$G$6:$G$101,MOD(43+$C29+(-3),$B$3)+1)*F29+INDEX(Symboles!$G$6:$G$101,MOD(43+$C29+(-2),$B$3)+1)*G29+INDEX(Symboles!$G$6:$G$101,MOD(43+$C29+(-1),$B$3)+1)*H29+INDEX(Symboles!$G$6:$G$101,MOD(43+$C29+(0),$B$3)+1)*I29+INDEX(Symboles!$G$6:$G$101,MOD(43+$C29+(1),$B$3)+1)*J29+INDEX(Symboles!$G$6:$G$101,MOD(43+$C29+(2),$B$3)+1)*K29+INDEX(Symboles!$G$6:$G$101,MOD(43+$C29+(3),$B$3)+1)*L29+INDEX(Symboles!$G$6:$G$101,MOD(43+$C29+(4),$B$3)+1)*M29+IF($B$6=0,0,$B$6*NORMSINV(0.000001+0.999998*RAND())))</f>
        <v/>
      </c>
      <c r="BH29" s="30">
        <f>IF(45&gt;$B$3,99,INDEX(Symboles!$G$6:$G$101,MOD(44+$C29+(-4),$B$3)+1)*E29+INDEX(Symboles!$G$6:$G$101,MOD(44+$C29+(-3),$B$3)+1)*F29+INDEX(Symboles!$G$6:$G$101,MOD(44+$C29+(-2),$B$3)+1)*G29+INDEX(Symboles!$G$6:$G$101,MOD(44+$C29+(-1),$B$3)+1)*H29+INDEX(Symboles!$G$6:$G$101,MOD(44+$C29+(0),$B$3)+1)*I29+INDEX(Symboles!$G$6:$G$101,MOD(44+$C29+(1),$B$3)+1)*J29+INDEX(Symboles!$G$6:$G$101,MOD(44+$C29+(2),$B$3)+1)*K29+INDEX(Symboles!$G$6:$G$101,MOD(44+$C29+(3),$B$3)+1)*L29+INDEX(Symboles!$G$6:$G$101,MOD(44+$C29+(4),$B$3)+1)*M29+IF($B$6=0,0,$B$6*NORMSINV(0.000001+0.999998*RAND())))</f>
        <v/>
      </c>
      <c r="BI29" s="30">
        <f>IF(46&gt;$B$3,99,INDEX(Symboles!$G$6:$G$101,MOD(45+$C29+(-4),$B$3)+1)*E29+INDEX(Symboles!$G$6:$G$101,MOD(45+$C29+(-3),$B$3)+1)*F29+INDEX(Symboles!$G$6:$G$101,MOD(45+$C29+(-2),$B$3)+1)*G29+INDEX(Symboles!$G$6:$G$101,MOD(45+$C29+(-1),$B$3)+1)*H29+INDEX(Symboles!$G$6:$G$101,MOD(45+$C29+(0),$B$3)+1)*I29+INDEX(Symboles!$G$6:$G$101,MOD(45+$C29+(1),$B$3)+1)*J29+INDEX(Symboles!$G$6:$G$101,MOD(45+$C29+(2),$B$3)+1)*K29+INDEX(Symboles!$G$6:$G$101,MOD(45+$C29+(3),$B$3)+1)*L29+INDEX(Symboles!$G$6:$G$101,MOD(45+$C29+(4),$B$3)+1)*M29+IF($B$6=0,0,$B$6*NORMSINV(0.000001+0.999998*RAND())))</f>
        <v/>
      </c>
      <c r="BJ29" s="30">
        <f>IF(47&gt;$B$3,99,INDEX(Symboles!$G$6:$G$101,MOD(46+$C29+(-4),$B$3)+1)*E29+INDEX(Symboles!$G$6:$G$101,MOD(46+$C29+(-3),$B$3)+1)*F29+INDEX(Symboles!$G$6:$G$101,MOD(46+$C29+(-2),$B$3)+1)*G29+INDEX(Symboles!$G$6:$G$101,MOD(46+$C29+(-1),$B$3)+1)*H29+INDEX(Symboles!$G$6:$G$101,MOD(46+$C29+(0),$B$3)+1)*I29+INDEX(Symboles!$G$6:$G$101,MOD(46+$C29+(1),$B$3)+1)*J29+INDEX(Symboles!$G$6:$G$101,MOD(46+$C29+(2),$B$3)+1)*K29+INDEX(Symboles!$G$6:$G$101,MOD(46+$C29+(3),$B$3)+1)*L29+INDEX(Symboles!$G$6:$G$101,MOD(46+$C29+(4),$B$3)+1)*M29+IF($B$6=0,0,$B$6*NORMSINV(0.000001+0.999998*RAND())))</f>
        <v/>
      </c>
      <c r="BK29" s="30">
        <f>IF(48&gt;$B$3,99,INDEX(Symboles!$G$6:$G$101,MOD(47+$C29+(-4),$B$3)+1)*E29+INDEX(Symboles!$G$6:$G$101,MOD(47+$C29+(-3),$B$3)+1)*F29+INDEX(Symboles!$G$6:$G$101,MOD(47+$C29+(-2),$B$3)+1)*G29+INDEX(Symboles!$G$6:$G$101,MOD(47+$C29+(-1),$B$3)+1)*H29+INDEX(Symboles!$G$6:$G$101,MOD(47+$C29+(0),$B$3)+1)*I29+INDEX(Symboles!$G$6:$G$101,MOD(47+$C29+(1),$B$3)+1)*J29+INDEX(Symboles!$G$6:$G$101,MOD(47+$C29+(2),$B$3)+1)*K29+INDEX(Symboles!$G$6:$G$101,MOD(47+$C29+(3),$B$3)+1)*L29+INDEX(Symboles!$G$6:$G$101,MOD(47+$C29+(4),$B$3)+1)*M29+IF($B$6=0,0,$B$6*NORMSINV(0.000001+0.999998*RAND())))</f>
        <v/>
      </c>
      <c r="BL29" s="30">
        <f>IF(49&gt;$B$3,99,INDEX(Symboles!$G$6:$G$101,MOD(48+$C29+(-4),$B$3)+1)*E29+INDEX(Symboles!$G$6:$G$101,MOD(48+$C29+(-3),$B$3)+1)*F29+INDEX(Symboles!$G$6:$G$101,MOD(48+$C29+(-2),$B$3)+1)*G29+INDEX(Symboles!$G$6:$G$101,MOD(48+$C29+(-1),$B$3)+1)*H29+INDEX(Symboles!$G$6:$G$101,MOD(48+$C29+(0),$B$3)+1)*I29+INDEX(Symboles!$G$6:$G$101,MOD(48+$C29+(1),$B$3)+1)*J29+INDEX(Symboles!$G$6:$G$101,MOD(48+$C29+(2),$B$3)+1)*K29+INDEX(Symboles!$G$6:$G$101,MOD(48+$C29+(3),$B$3)+1)*L29+INDEX(Symboles!$G$6:$G$101,MOD(48+$C29+(4),$B$3)+1)*M29+IF($B$6=0,0,$B$6*NORMSINV(0.000001+0.999998*RAND())))</f>
        <v/>
      </c>
      <c r="BM29" s="30">
        <f>IF(50&gt;$B$3,99,INDEX(Symboles!$G$6:$G$101,MOD(49+$C29+(-4),$B$3)+1)*E29+INDEX(Symboles!$G$6:$G$101,MOD(49+$C29+(-3),$B$3)+1)*F29+INDEX(Symboles!$G$6:$G$101,MOD(49+$C29+(-2),$B$3)+1)*G29+INDEX(Symboles!$G$6:$G$101,MOD(49+$C29+(-1),$B$3)+1)*H29+INDEX(Symboles!$G$6:$G$101,MOD(49+$C29+(0),$B$3)+1)*I29+INDEX(Symboles!$G$6:$G$101,MOD(49+$C29+(1),$B$3)+1)*J29+INDEX(Symboles!$G$6:$G$101,MOD(49+$C29+(2),$B$3)+1)*K29+INDEX(Symboles!$G$6:$G$101,MOD(49+$C29+(3),$B$3)+1)*L29+INDEX(Symboles!$G$6:$G$101,MOD(49+$C29+(4),$B$3)+1)*M29+IF($B$6=0,0,$B$6*NORMSINV(0.000001+0.999998*RAND())))</f>
        <v/>
      </c>
      <c r="BN29" s="30">
        <f>IF(51&gt;$B$3,99,INDEX(Symboles!$G$6:$G$101,MOD(50+$C29+(-4),$B$3)+1)*E29+INDEX(Symboles!$G$6:$G$101,MOD(50+$C29+(-3),$B$3)+1)*F29+INDEX(Symboles!$G$6:$G$101,MOD(50+$C29+(-2),$B$3)+1)*G29+INDEX(Symboles!$G$6:$G$101,MOD(50+$C29+(-1),$B$3)+1)*H29+INDEX(Symboles!$G$6:$G$101,MOD(50+$C29+(0),$B$3)+1)*I29+INDEX(Symboles!$G$6:$G$101,MOD(50+$C29+(1),$B$3)+1)*J29+INDEX(Symboles!$G$6:$G$101,MOD(50+$C29+(2),$B$3)+1)*K29+INDEX(Symboles!$G$6:$G$101,MOD(50+$C29+(3),$B$3)+1)*L29+INDEX(Symboles!$G$6:$G$101,MOD(50+$C29+(4),$B$3)+1)*M29+IF($B$6=0,0,$B$6*NORMSINV(0.000001+0.999998*RAND())))</f>
        <v/>
      </c>
      <c r="BO29" s="30">
        <f>IF(52&gt;$B$3,99,INDEX(Symboles!$G$6:$G$101,MOD(51+$C29+(-4),$B$3)+1)*E29+INDEX(Symboles!$G$6:$G$101,MOD(51+$C29+(-3),$B$3)+1)*F29+INDEX(Symboles!$G$6:$G$101,MOD(51+$C29+(-2),$B$3)+1)*G29+INDEX(Symboles!$G$6:$G$101,MOD(51+$C29+(-1),$B$3)+1)*H29+INDEX(Symboles!$G$6:$G$101,MOD(51+$C29+(0),$B$3)+1)*I29+INDEX(Symboles!$G$6:$G$101,MOD(51+$C29+(1),$B$3)+1)*J29+INDEX(Symboles!$G$6:$G$101,MOD(51+$C29+(2),$B$3)+1)*K29+INDEX(Symboles!$G$6:$G$101,MOD(51+$C29+(3),$B$3)+1)*L29+INDEX(Symboles!$G$6:$G$101,MOD(51+$C29+(4),$B$3)+1)*M29+IF($B$6=0,0,$B$6*NORMSINV(0.000001+0.999998*RAND())))</f>
        <v/>
      </c>
      <c r="BP29" s="30">
        <f>IF(53&gt;$B$3,99,INDEX(Symboles!$G$6:$G$101,MOD(52+$C29+(-4),$B$3)+1)*E29+INDEX(Symboles!$G$6:$G$101,MOD(52+$C29+(-3),$B$3)+1)*F29+INDEX(Symboles!$G$6:$G$101,MOD(52+$C29+(-2),$B$3)+1)*G29+INDEX(Symboles!$G$6:$G$101,MOD(52+$C29+(-1),$B$3)+1)*H29+INDEX(Symboles!$G$6:$G$101,MOD(52+$C29+(0),$B$3)+1)*I29+INDEX(Symboles!$G$6:$G$101,MOD(52+$C29+(1),$B$3)+1)*J29+INDEX(Symboles!$G$6:$G$101,MOD(52+$C29+(2),$B$3)+1)*K29+INDEX(Symboles!$G$6:$G$101,MOD(52+$C29+(3),$B$3)+1)*L29+INDEX(Symboles!$G$6:$G$101,MOD(52+$C29+(4),$B$3)+1)*M29+IF($B$6=0,0,$B$6*NORMSINV(0.000001+0.999998*RAND())))</f>
        <v/>
      </c>
      <c r="BQ29" s="30">
        <f>IF(54&gt;$B$3,99,INDEX(Symboles!$G$6:$G$101,MOD(53+$C29+(-4),$B$3)+1)*E29+INDEX(Symboles!$G$6:$G$101,MOD(53+$C29+(-3),$B$3)+1)*F29+INDEX(Symboles!$G$6:$G$101,MOD(53+$C29+(-2),$B$3)+1)*G29+INDEX(Symboles!$G$6:$G$101,MOD(53+$C29+(-1),$B$3)+1)*H29+INDEX(Symboles!$G$6:$G$101,MOD(53+$C29+(0),$B$3)+1)*I29+INDEX(Symboles!$G$6:$G$101,MOD(53+$C29+(1),$B$3)+1)*J29+INDEX(Symboles!$G$6:$G$101,MOD(53+$C29+(2),$B$3)+1)*K29+INDEX(Symboles!$G$6:$G$101,MOD(53+$C29+(3),$B$3)+1)*L29+INDEX(Symboles!$G$6:$G$101,MOD(53+$C29+(4),$B$3)+1)*M29+IF($B$6=0,0,$B$6*NORMSINV(0.000001+0.999998*RAND())))</f>
        <v/>
      </c>
      <c r="BR29" s="30">
        <f>IF(55&gt;$B$3,99,INDEX(Symboles!$G$6:$G$101,MOD(54+$C29+(-4),$B$3)+1)*E29+INDEX(Symboles!$G$6:$G$101,MOD(54+$C29+(-3),$B$3)+1)*F29+INDEX(Symboles!$G$6:$G$101,MOD(54+$C29+(-2),$B$3)+1)*G29+INDEX(Symboles!$G$6:$G$101,MOD(54+$C29+(-1),$B$3)+1)*H29+INDEX(Symboles!$G$6:$G$101,MOD(54+$C29+(0),$B$3)+1)*I29+INDEX(Symboles!$G$6:$G$101,MOD(54+$C29+(1),$B$3)+1)*J29+INDEX(Symboles!$G$6:$G$101,MOD(54+$C29+(2),$B$3)+1)*K29+INDEX(Symboles!$G$6:$G$101,MOD(54+$C29+(3),$B$3)+1)*L29+INDEX(Symboles!$G$6:$G$101,MOD(54+$C29+(4),$B$3)+1)*M29+IF($B$6=0,0,$B$6*NORMSINV(0.000001+0.999998*RAND())))</f>
        <v/>
      </c>
      <c r="BS29" s="30">
        <f>IF(56&gt;$B$3,99,INDEX(Symboles!$G$6:$G$101,MOD(55+$C29+(-4),$B$3)+1)*E29+INDEX(Symboles!$G$6:$G$101,MOD(55+$C29+(-3),$B$3)+1)*F29+INDEX(Symboles!$G$6:$G$101,MOD(55+$C29+(-2),$B$3)+1)*G29+INDEX(Symboles!$G$6:$G$101,MOD(55+$C29+(-1),$B$3)+1)*H29+INDEX(Symboles!$G$6:$G$101,MOD(55+$C29+(0),$B$3)+1)*I29+INDEX(Symboles!$G$6:$G$101,MOD(55+$C29+(1),$B$3)+1)*J29+INDEX(Symboles!$G$6:$G$101,MOD(55+$C29+(2),$B$3)+1)*K29+INDEX(Symboles!$G$6:$G$101,MOD(55+$C29+(3),$B$3)+1)*L29+INDEX(Symboles!$G$6:$G$101,MOD(55+$C29+(4),$B$3)+1)*M29+IF($B$6=0,0,$B$6*NORMSINV(0.000001+0.999998*RAND())))</f>
        <v/>
      </c>
      <c r="BT29" s="30">
        <f>IF(57&gt;$B$3,99,INDEX(Symboles!$G$6:$G$101,MOD(56+$C29+(-4),$B$3)+1)*E29+INDEX(Symboles!$G$6:$G$101,MOD(56+$C29+(-3),$B$3)+1)*F29+INDEX(Symboles!$G$6:$G$101,MOD(56+$C29+(-2),$B$3)+1)*G29+INDEX(Symboles!$G$6:$G$101,MOD(56+$C29+(-1),$B$3)+1)*H29+INDEX(Symboles!$G$6:$G$101,MOD(56+$C29+(0),$B$3)+1)*I29+INDEX(Symboles!$G$6:$G$101,MOD(56+$C29+(1),$B$3)+1)*J29+INDEX(Symboles!$G$6:$G$101,MOD(56+$C29+(2),$B$3)+1)*K29+INDEX(Symboles!$G$6:$G$101,MOD(56+$C29+(3),$B$3)+1)*L29+INDEX(Symboles!$G$6:$G$101,MOD(56+$C29+(4),$B$3)+1)*M29+IF($B$6=0,0,$B$6*NORMSINV(0.000001+0.999998*RAND())))</f>
        <v/>
      </c>
      <c r="BU29" s="30">
        <f>IF(58&gt;$B$3,99,INDEX(Symboles!$G$6:$G$101,MOD(57+$C29+(-4),$B$3)+1)*E29+INDEX(Symboles!$G$6:$G$101,MOD(57+$C29+(-3),$B$3)+1)*F29+INDEX(Symboles!$G$6:$G$101,MOD(57+$C29+(-2),$B$3)+1)*G29+INDEX(Symboles!$G$6:$G$101,MOD(57+$C29+(-1),$B$3)+1)*H29+INDEX(Symboles!$G$6:$G$101,MOD(57+$C29+(0),$B$3)+1)*I29+INDEX(Symboles!$G$6:$G$101,MOD(57+$C29+(1),$B$3)+1)*J29+INDEX(Symboles!$G$6:$G$101,MOD(57+$C29+(2),$B$3)+1)*K29+INDEX(Symboles!$G$6:$G$101,MOD(57+$C29+(3),$B$3)+1)*L29+INDEX(Symboles!$G$6:$G$101,MOD(57+$C29+(4),$B$3)+1)*M29+IF($B$6=0,0,$B$6*NORMSINV(0.000001+0.999998*RAND())))</f>
        <v/>
      </c>
      <c r="BV29" s="30">
        <f>IF(59&gt;$B$3,99,INDEX(Symboles!$G$6:$G$101,MOD(58+$C29+(-4),$B$3)+1)*E29+INDEX(Symboles!$G$6:$G$101,MOD(58+$C29+(-3),$B$3)+1)*F29+INDEX(Symboles!$G$6:$G$101,MOD(58+$C29+(-2),$B$3)+1)*G29+INDEX(Symboles!$G$6:$G$101,MOD(58+$C29+(-1),$B$3)+1)*H29+INDEX(Symboles!$G$6:$G$101,MOD(58+$C29+(0),$B$3)+1)*I29+INDEX(Symboles!$G$6:$G$101,MOD(58+$C29+(1),$B$3)+1)*J29+INDEX(Symboles!$G$6:$G$101,MOD(58+$C29+(2),$B$3)+1)*K29+INDEX(Symboles!$G$6:$G$101,MOD(58+$C29+(3),$B$3)+1)*L29+INDEX(Symboles!$G$6:$G$101,MOD(58+$C29+(4),$B$3)+1)*M29+IF($B$6=0,0,$B$6*NORMSINV(0.000001+0.999998*RAND())))</f>
        <v/>
      </c>
      <c r="BW29" s="30">
        <f>IF(60&gt;$B$3,99,INDEX(Symboles!$G$6:$G$101,MOD(59+$C29+(-4),$B$3)+1)*E29+INDEX(Symboles!$G$6:$G$101,MOD(59+$C29+(-3),$B$3)+1)*F29+INDEX(Symboles!$G$6:$G$101,MOD(59+$C29+(-2),$B$3)+1)*G29+INDEX(Symboles!$G$6:$G$101,MOD(59+$C29+(-1),$B$3)+1)*H29+INDEX(Symboles!$G$6:$G$101,MOD(59+$C29+(0),$B$3)+1)*I29+INDEX(Symboles!$G$6:$G$101,MOD(59+$C29+(1),$B$3)+1)*J29+INDEX(Symboles!$G$6:$G$101,MOD(59+$C29+(2),$B$3)+1)*K29+INDEX(Symboles!$G$6:$G$101,MOD(59+$C29+(3),$B$3)+1)*L29+INDEX(Symboles!$G$6:$G$101,MOD(59+$C29+(4),$B$3)+1)*M29+IF($B$6=0,0,$B$6*NORMSINV(0.000001+0.999998*RAND())))</f>
        <v/>
      </c>
      <c r="BX29" s="30">
        <f>IF(61&gt;$B$3,99,INDEX(Symboles!$G$6:$G$101,MOD(60+$C29+(-4),$B$3)+1)*E29+INDEX(Symboles!$G$6:$G$101,MOD(60+$C29+(-3),$B$3)+1)*F29+INDEX(Symboles!$G$6:$G$101,MOD(60+$C29+(-2),$B$3)+1)*G29+INDEX(Symboles!$G$6:$G$101,MOD(60+$C29+(-1),$B$3)+1)*H29+INDEX(Symboles!$G$6:$G$101,MOD(60+$C29+(0),$B$3)+1)*I29+INDEX(Symboles!$G$6:$G$101,MOD(60+$C29+(1),$B$3)+1)*J29+INDEX(Symboles!$G$6:$G$101,MOD(60+$C29+(2),$B$3)+1)*K29+INDEX(Symboles!$G$6:$G$101,MOD(60+$C29+(3),$B$3)+1)*L29+INDEX(Symboles!$G$6:$G$101,MOD(60+$C29+(4),$B$3)+1)*M29+IF($B$6=0,0,$B$6*NORMSINV(0.000001+0.999998*RAND())))</f>
        <v/>
      </c>
      <c r="BY29" s="30">
        <f>IF(62&gt;$B$3,99,INDEX(Symboles!$G$6:$G$101,MOD(61+$C29+(-4),$B$3)+1)*E29+INDEX(Symboles!$G$6:$G$101,MOD(61+$C29+(-3),$B$3)+1)*F29+INDEX(Symboles!$G$6:$G$101,MOD(61+$C29+(-2),$B$3)+1)*G29+INDEX(Symboles!$G$6:$G$101,MOD(61+$C29+(-1),$B$3)+1)*H29+INDEX(Symboles!$G$6:$G$101,MOD(61+$C29+(0),$B$3)+1)*I29+INDEX(Symboles!$G$6:$G$101,MOD(61+$C29+(1),$B$3)+1)*J29+INDEX(Symboles!$G$6:$G$101,MOD(61+$C29+(2),$B$3)+1)*K29+INDEX(Symboles!$G$6:$G$101,MOD(61+$C29+(3),$B$3)+1)*L29+INDEX(Symboles!$G$6:$G$101,MOD(61+$C29+(4),$B$3)+1)*M29+IF($B$6=0,0,$B$6*NORMSINV(0.000001+0.999998*RAND())))</f>
        <v/>
      </c>
      <c r="BZ29" s="30">
        <f>IF(63&gt;$B$3,99,INDEX(Symboles!$G$6:$G$101,MOD(62+$C29+(-4),$B$3)+1)*E29+INDEX(Symboles!$G$6:$G$101,MOD(62+$C29+(-3),$B$3)+1)*F29+INDEX(Symboles!$G$6:$G$101,MOD(62+$C29+(-2),$B$3)+1)*G29+INDEX(Symboles!$G$6:$G$101,MOD(62+$C29+(-1),$B$3)+1)*H29+INDEX(Symboles!$G$6:$G$101,MOD(62+$C29+(0),$B$3)+1)*I29+INDEX(Symboles!$G$6:$G$101,MOD(62+$C29+(1),$B$3)+1)*J29+INDEX(Symboles!$G$6:$G$101,MOD(62+$C29+(2),$B$3)+1)*K29+INDEX(Symboles!$G$6:$G$101,MOD(62+$C29+(3),$B$3)+1)*L29+INDEX(Symboles!$G$6:$G$101,MOD(62+$C29+(4),$B$3)+1)*M29+IF($B$6=0,0,$B$6*NORMSINV(0.000001+0.999998*RAND())))</f>
        <v/>
      </c>
      <c r="CA29" s="30">
        <f>IF(64&gt;$B$3,99,INDEX(Symboles!$G$6:$G$101,MOD(63+$C29+(-4),$B$3)+1)*E29+INDEX(Symboles!$G$6:$G$101,MOD(63+$C29+(-3),$B$3)+1)*F29+INDEX(Symboles!$G$6:$G$101,MOD(63+$C29+(-2),$B$3)+1)*G29+INDEX(Symboles!$G$6:$G$101,MOD(63+$C29+(-1),$B$3)+1)*H29+INDEX(Symboles!$G$6:$G$101,MOD(63+$C29+(0),$B$3)+1)*I29+INDEX(Symboles!$G$6:$G$101,MOD(63+$C29+(1),$B$3)+1)*J29+INDEX(Symboles!$G$6:$G$101,MOD(63+$C29+(2),$B$3)+1)*K29+INDEX(Symboles!$G$6:$G$101,MOD(63+$C29+(3),$B$3)+1)*L29+INDEX(Symboles!$G$6:$G$101,MOD(63+$C29+(4),$B$3)+1)*M29+IF($B$6=0,0,$B$6*NORMSINV(0.000001+0.999998*RAND())))</f>
        <v/>
      </c>
      <c r="CB29" s="30">
        <f>IF(65&gt;$B$3,99,INDEX(Symboles!$G$6:$G$101,MOD(64+$C29+(-4),$B$3)+1)*E29+INDEX(Symboles!$G$6:$G$101,MOD(64+$C29+(-3),$B$3)+1)*F29+INDEX(Symboles!$G$6:$G$101,MOD(64+$C29+(-2),$B$3)+1)*G29+INDEX(Symboles!$G$6:$G$101,MOD(64+$C29+(-1),$B$3)+1)*H29+INDEX(Symboles!$G$6:$G$101,MOD(64+$C29+(0),$B$3)+1)*I29+INDEX(Symboles!$G$6:$G$101,MOD(64+$C29+(1),$B$3)+1)*J29+INDEX(Symboles!$G$6:$G$101,MOD(64+$C29+(2),$B$3)+1)*K29+INDEX(Symboles!$G$6:$G$101,MOD(64+$C29+(3),$B$3)+1)*L29+INDEX(Symboles!$G$6:$G$101,MOD(64+$C29+(4),$B$3)+1)*M29+IF($B$6=0,0,$B$6*NORMSINV(0.000001+0.999998*RAND())))</f>
        <v/>
      </c>
      <c r="CC29" s="30">
        <f>IF(66&gt;$B$3,99,INDEX(Symboles!$G$6:$G$101,MOD(65+$C29+(-4),$B$3)+1)*E29+INDEX(Symboles!$G$6:$G$101,MOD(65+$C29+(-3),$B$3)+1)*F29+INDEX(Symboles!$G$6:$G$101,MOD(65+$C29+(-2),$B$3)+1)*G29+INDEX(Symboles!$G$6:$G$101,MOD(65+$C29+(-1),$B$3)+1)*H29+INDEX(Symboles!$G$6:$G$101,MOD(65+$C29+(0),$B$3)+1)*I29+INDEX(Symboles!$G$6:$G$101,MOD(65+$C29+(1),$B$3)+1)*J29+INDEX(Symboles!$G$6:$G$101,MOD(65+$C29+(2),$B$3)+1)*K29+INDEX(Symboles!$G$6:$G$101,MOD(65+$C29+(3),$B$3)+1)*L29+INDEX(Symboles!$G$6:$G$101,MOD(65+$C29+(4),$B$3)+1)*M29+IF($B$6=0,0,$B$6*NORMSINV(0.000001+0.999998*RAND())))</f>
        <v/>
      </c>
      <c r="CD29" s="30">
        <f>IF(67&gt;$B$3,99,INDEX(Symboles!$G$6:$G$101,MOD(66+$C29+(-4),$B$3)+1)*E29+INDEX(Symboles!$G$6:$G$101,MOD(66+$C29+(-3),$B$3)+1)*F29+INDEX(Symboles!$G$6:$G$101,MOD(66+$C29+(-2),$B$3)+1)*G29+INDEX(Symboles!$G$6:$G$101,MOD(66+$C29+(-1),$B$3)+1)*H29+INDEX(Symboles!$G$6:$G$101,MOD(66+$C29+(0),$B$3)+1)*I29+INDEX(Symboles!$G$6:$G$101,MOD(66+$C29+(1),$B$3)+1)*J29+INDEX(Symboles!$G$6:$G$101,MOD(66+$C29+(2),$B$3)+1)*K29+INDEX(Symboles!$G$6:$G$101,MOD(66+$C29+(3),$B$3)+1)*L29+INDEX(Symboles!$G$6:$G$101,MOD(66+$C29+(4),$B$3)+1)*M29+IF($B$6=0,0,$B$6*NORMSINV(0.000001+0.999998*RAND())))</f>
        <v/>
      </c>
      <c r="CE29" s="30">
        <f>IF(68&gt;$B$3,99,INDEX(Symboles!$G$6:$G$101,MOD(67+$C29+(-4),$B$3)+1)*E29+INDEX(Symboles!$G$6:$G$101,MOD(67+$C29+(-3),$B$3)+1)*F29+INDEX(Symboles!$G$6:$G$101,MOD(67+$C29+(-2),$B$3)+1)*G29+INDEX(Symboles!$G$6:$G$101,MOD(67+$C29+(-1),$B$3)+1)*H29+INDEX(Symboles!$G$6:$G$101,MOD(67+$C29+(0),$B$3)+1)*I29+INDEX(Symboles!$G$6:$G$101,MOD(67+$C29+(1),$B$3)+1)*J29+INDEX(Symboles!$G$6:$G$101,MOD(67+$C29+(2),$B$3)+1)*K29+INDEX(Symboles!$G$6:$G$101,MOD(67+$C29+(3),$B$3)+1)*L29+INDEX(Symboles!$G$6:$G$101,MOD(67+$C29+(4),$B$3)+1)*M29+IF($B$6=0,0,$B$6*NORMSINV(0.000001+0.999998*RAND())))</f>
        <v/>
      </c>
      <c r="CF29" s="30">
        <f>IF(69&gt;$B$3,99,INDEX(Symboles!$G$6:$G$101,MOD(68+$C29+(-4),$B$3)+1)*E29+INDEX(Symboles!$G$6:$G$101,MOD(68+$C29+(-3),$B$3)+1)*F29+INDEX(Symboles!$G$6:$G$101,MOD(68+$C29+(-2),$B$3)+1)*G29+INDEX(Symboles!$G$6:$G$101,MOD(68+$C29+(-1),$B$3)+1)*H29+INDEX(Symboles!$G$6:$G$101,MOD(68+$C29+(0),$B$3)+1)*I29+INDEX(Symboles!$G$6:$G$101,MOD(68+$C29+(1),$B$3)+1)*J29+INDEX(Symboles!$G$6:$G$101,MOD(68+$C29+(2),$B$3)+1)*K29+INDEX(Symboles!$G$6:$G$101,MOD(68+$C29+(3),$B$3)+1)*L29+INDEX(Symboles!$G$6:$G$101,MOD(68+$C29+(4),$B$3)+1)*M29+IF($B$6=0,0,$B$6*NORMSINV(0.000001+0.999998*RAND())))</f>
        <v/>
      </c>
      <c r="CG29" s="30">
        <f>IF(70&gt;$B$3,99,INDEX(Symboles!$G$6:$G$101,MOD(69+$C29+(-4),$B$3)+1)*E29+INDEX(Symboles!$G$6:$G$101,MOD(69+$C29+(-3),$B$3)+1)*F29+INDEX(Symboles!$G$6:$G$101,MOD(69+$C29+(-2),$B$3)+1)*G29+INDEX(Symboles!$G$6:$G$101,MOD(69+$C29+(-1),$B$3)+1)*H29+INDEX(Symboles!$G$6:$G$101,MOD(69+$C29+(0),$B$3)+1)*I29+INDEX(Symboles!$G$6:$G$101,MOD(69+$C29+(1),$B$3)+1)*J29+INDEX(Symboles!$G$6:$G$101,MOD(69+$C29+(2),$B$3)+1)*K29+INDEX(Symboles!$G$6:$G$101,MOD(69+$C29+(3),$B$3)+1)*L29+INDEX(Symboles!$G$6:$G$101,MOD(69+$C29+(4),$B$3)+1)*M29+IF($B$6=0,0,$B$6*NORMSINV(0.000001+0.999998*RAND())))</f>
        <v/>
      </c>
      <c r="CH29" s="30">
        <f>IF(71&gt;$B$3,99,INDEX(Symboles!$G$6:$G$101,MOD(70+$C29+(-4),$B$3)+1)*E29+INDEX(Symboles!$G$6:$G$101,MOD(70+$C29+(-3),$B$3)+1)*F29+INDEX(Symboles!$G$6:$G$101,MOD(70+$C29+(-2),$B$3)+1)*G29+INDEX(Symboles!$G$6:$G$101,MOD(70+$C29+(-1),$B$3)+1)*H29+INDEX(Symboles!$G$6:$G$101,MOD(70+$C29+(0),$B$3)+1)*I29+INDEX(Symboles!$G$6:$G$101,MOD(70+$C29+(1),$B$3)+1)*J29+INDEX(Symboles!$G$6:$G$101,MOD(70+$C29+(2),$B$3)+1)*K29+INDEX(Symboles!$G$6:$G$101,MOD(70+$C29+(3),$B$3)+1)*L29+INDEX(Symboles!$G$6:$G$101,MOD(70+$C29+(4),$B$3)+1)*M29+IF($B$6=0,0,$B$6*NORMSINV(0.000001+0.999998*RAND())))</f>
        <v/>
      </c>
      <c r="CI29" s="30">
        <f>IF(72&gt;$B$3,99,INDEX(Symboles!$G$6:$G$101,MOD(71+$C29+(-4),$B$3)+1)*E29+INDEX(Symboles!$G$6:$G$101,MOD(71+$C29+(-3),$B$3)+1)*F29+INDEX(Symboles!$G$6:$G$101,MOD(71+$C29+(-2),$B$3)+1)*G29+INDEX(Symboles!$G$6:$G$101,MOD(71+$C29+(-1),$B$3)+1)*H29+INDEX(Symboles!$G$6:$G$101,MOD(71+$C29+(0),$B$3)+1)*I29+INDEX(Symboles!$G$6:$G$101,MOD(71+$C29+(1),$B$3)+1)*J29+INDEX(Symboles!$G$6:$G$101,MOD(71+$C29+(2),$B$3)+1)*K29+INDEX(Symboles!$G$6:$G$101,MOD(71+$C29+(3),$B$3)+1)*L29+INDEX(Symboles!$G$6:$G$101,MOD(71+$C29+(4),$B$3)+1)*M29+IF($B$6=0,0,$B$6*NORMSINV(0.000001+0.999998*RAND())))</f>
        <v/>
      </c>
      <c r="CJ29" s="30">
        <f>IF(73&gt;$B$3,99,INDEX(Symboles!$G$6:$G$101,MOD(72+$C29+(-4),$B$3)+1)*E29+INDEX(Symboles!$G$6:$G$101,MOD(72+$C29+(-3),$B$3)+1)*F29+INDEX(Symboles!$G$6:$G$101,MOD(72+$C29+(-2),$B$3)+1)*G29+INDEX(Symboles!$G$6:$G$101,MOD(72+$C29+(-1),$B$3)+1)*H29+INDEX(Symboles!$G$6:$G$101,MOD(72+$C29+(0),$B$3)+1)*I29+INDEX(Symboles!$G$6:$G$101,MOD(72+$C29+(1),$B$3)+1)*J29+INDEX(Symboles!$G$6:$G$101,MOD(72+$C29+(2),$B$3)+1)*K29+INDEX(Symboles!$G$6:$G$101,MOD(72+$C29+(3),$B$3)+1)*L29+INDEX(Symboles!$G$6:$G$101,MOD(72+$C29+(4),$B$3)+1)*M29+IF($B$6=0,0,$B$6*NORMSINV(0.000001+0.999998*RAND())))</f>
        <v/>
      </c>
      <c r="CK29" s="30">
        <f>IF(74&gt;$B$3,99,INDEX(Symboles!$G$6:$G$101,MOD(73+$C29+(-4),$B$3)+1)*E29+INDEX(Symboles!$G$6:$G$101,MOD(73+$C29+(-3),$B$3)+1)*F29+INDEX(Symboles!$G$6:$G$101,MOD(73+$C29+(-2),$B$3)+1)*G29+INDEX(Symboles!$G$6:$G$101,MOD(73+$C29+(-1),$B$3)+1)*H29+INDEX(Symboles!$G$6:$G$101,MOD(73+$C29+(0),$B$3)+1)*I29+INDEX(Symboles!$G$6:$G$101,MOD(73+$C29+(1),$B$3)+1)*J29+INDEX(Symboles!$G$6:$G$101,MOD(73+$C29+(2),$B$3)+1)*K29+INDEX(Symboles!$G$6:$G$101,MOD(73+$C29+(3),$B$3)+1)*L29+INDEX(Symboles!$G$6:$G$101,MOD(73+$C29+(4),$B$3)+1)*M29+IF($B$6=0,0,$B$6*NORMSINV(0.000001+0.999998*RAND())))</f>
        <v/>
      </c>
      <c r="CL29" s="30">
        <f>IF(75&gt;$B$3,99,INDEX(Symboles!$G$6:$G$101,MOD(74+$C29+(-4),$B$3)+1)*E29+INDEX(Symboles!$G$6:$G$101,MOD(74+$C29+(-3),$B$3)+1)*F29+INDEX(Symboles!$G$6:$G$101,MOD(74+$C29+(-2),$B$3)+1)*G29+INDEX(Symboles!$G$6:$G$101,MOD(74+$C29+(-1),$B$3)+1)*H29+INDEX(Symboles!$G$6:$G$101,MOD(74+$C29+(0),$B$3)+1)*I29+INDEX(Symboles!$G$6:$G$101,MOD(74+$C29+(1),$B$3)+1)*J29+INDEX(Symboles!$G$6:$G$101,MOD(74+$C29+(2),$B$3)+1)*K29+INDEX(Symboles!$G$6:$G$101,MOD(74+$C29+(3),$B$3)+1)*L29+INDEX(Symboles!$G$6:$G$101,MOD(74+$C29+(4),$B$3)+1)*M29+IF($B$6=0,0,$B$6*NORMSINV(0.000001+0.999998*RAND())))</f>
        <v/>
      </c>
      <c r="CM29" s="30">
        <f>IF(76&gt;$B$3,99,INDEX(Symboles!$G$6:$G$101,MOD(75+$C29+(-4),$B$3)+1)*E29+INDEX(Symboles!$G$6:$G$101,MOD(75+$C29+(-3),$B$3)+1)*F29+INDEX(Symboles!$G$6:$G$101,MOD(75+$C29+(-2),$B$3)+1)*G29+INDEX(Symboles!$G$6:$G$101,MOD(75+$C29+(-1),$B$3)+1)*H29+INDEX(Symboles!$G$6:$G$101,MOD(75+$C29+(0),$B$3)+1)*I29+INDEX(Symboles!$G$6:$G$101,MOD(75+$C29+(1),$B$3)+1)*J29+INDEX(Symboles!$G$6:$G$101,MOD(75+$C29+(2),$B$3)+1)*K29+INDEX(Symboles!$G$6:$G$101,MOD(75+$C29+(3),$B$3)+1)*L29+INDEX(Symboles!$G$6:$G$101,MOD(75+$C29+(4),$B$3)+1)*M29+IF($B$6=0,0,$B$6*NORMSINV(0.000001+0.999998*RAND())))</f>
        <v/>
      </c>
      <c r="CN29" s="30">
        <f>IF(77&gt;$B$3,99,INDEX(Symboles!$G$6:$G$101,MOD(76+$C29+(-4),$B$3)+1)*E29+INDEX(Symboles!$G$6:$G$101,MOD(76+$C29+(-3),$B$3)+1)*F29+INDEX(Symboles!$G$6:$G$101,MOD(76+$C29+(-2),$B$3)+1)*G29+INDEX(Symboles!$G$6:$G$101,MOD(76+$C29+(-1),$B$3)+1)*H29+INDEX(Symboles!$G$6:$G$101,MOD(76+$C29+(0),$B$3)+1)*I29+INDEX(Symboles!$G$6:$G$101,MOD(76+$C29+(1),$B$3)+1)*J29+INDEX(Symboles!$G$6:$G$101,MOD(76+$C29+(2),$B$3)+1)*K29+INDEX(Symboles!$G$6:$G$101,MOD(76+$C29+(3),$B$3)+1)*L29+INDEX(Symboles!$G$6:$G$101,MOD(76+$C29+(4),$B$3)+1)*M29+IF($B$6=0,0,$B$6*NORMSINV(0.000001+0.999998*RAND())))</f>
        <v/>
      </c>
      <c r="CO29" s="30">
        <f>IF(78&gt;$B$3,99,INDEX(Symboles!$G$6:$G$101,MOD(77+$C29+(-4),$B$3)+1)*E29+INDEX(Symboles!$G$6:$G$101,MOD(77+$C29+(-3),$B$3)+1)*F29+INDEX(Symboles!$G$6:$G$101,MOD(77+$C29+(-2),$B$3)+1)*G29+INDEX(Symboles!$G$6:$G$101,MOD(77+$C29+(-1),$B$3)+1)*H29+INDEX(Symboles!$G$6:$G$101,MOD(77+$C29+(0),$B$3)+1)*I29+INDEX(Symboles!$G$6:$G$101,MOD(77+$C29+(1),$B$3)+1)*J29+INDEX(Symboles!$G$6:$G$101,MOD(77+$C29+(2),$B$3)+1)*K29+INDEX(Symboles!$G$6:$G$101,MOD(77+$C29+(3),$B$3)+1)*L29+INDEX(Symboles!$G$6:$G$101,MOD(77+$C29+(4),$B$3)+1)*M29+IF($B$6=0,0,$B$6*NORMSINV(0.000001+0.999998*RAND())))</f>
        <v/>
      </c>
      <c r="CP29" s="30">
        <f>IF(79&gt;$B$3,99,INDEX(Symboles!$G$6:$G$101,MOD(78+$C29+(-4),$B$3)+1)*E29+INDEX(Symboles!$G$6:$G$101,MOD(78+$C29+(-3),$B$3)+1)*F29+INDEX(Symboles!$G$6:$G$101,MOD(78+$C29+(-2),$B$3)+1)*G29+INDEX(Symboles!$G$6:$G$101,MOD(78+$C29+(-1),$B$3)+1)*H29+INDEX(Symboles!$G$6:$G$101,MOD(78+$C29+(0),$B$3)+1)*I29+INDEX(Symboles!$G$6:$G$101,MOD(78+$C29+(1),$B$3)+1)*J29+INDEX(Symboles!$G$6:$G$101,MOD(78+$C29+(2),$B$3)+1)*K29+INDEX(Symboles!$G$6:$G$101,MOD(78+$C29+(3),$B$3)+1)*L29+INDEX(Symboles!$G$6:$G$101,MOD(78+$C29+(4),$B$3)+1)*M29+IF($B$6=0,0,$B$6*NORMSINV(0.000001+0.999998*RAND())))</f>
        <v/>
      </c>
      <c r="CQ29" s="30">
        <f>IF(80&gt;$B$3,99,INDEX(Symboles!$G$6:$G$101,MOD(79+$C29+(-4),$B$3)+1)*E29+INDEX(Symboles!$G$6:$G$101,MOD(79+$C29+(-3),$B$3)+1)*F29+INDEX(Symboles!$G$6:$G$101,MOD(79+$C29+(-2),$B$3)+1)*G29+INDEX(Symboles!$G$6:$G$101,MOD(79+$C29+(-1),$B$3)+1)*H29+INDEX(Symboles!$G$6:$G$101,MOD(79+$C29+(0),$B$3)+1)*I29+INDEX(Symboles!$G$6:$G$101,MOD(79+$C29+(1),$B$3)+1)*J29+INDEX(Symboles!$G$6:$G$101,MOD(79+$C29+(2),$B$3)+1)*K29+INDEX(Symboles!$G$6:$G$101,MOD(79+$C29+(3),$B$3)+1)*L29+INDEX(Symboles!$G$6:$G$101,MOD(79+$C29+(4),$B$3)+1)*M29+IF($B$6=0,0,$B$6*NORMSINV(0.000001+0.999998*RAND())))</f>
        <v/>
      </c>
      <c r="CR29" s="30">
        <f>IF(81&gt;$B$3,99,INDEX(Symboles!$G$6:$G$101,MOD(80+$C29+(-4),$B$3)+1)*E29+INDEX(Symboles!$G$6:$G$101,MOD(80+$C29+(-3),$B$3)+1)*F29+INDEX(Symboles!$G$6:$G$101,MOD(80+$C29+(-2),$B$3)+1)*G29+INDEX(Symboles!$G$6:$G$101,MOD(80+$C29+(-1),$B$3)+1)*H29+INDEX(Symboles!$G$6:$G$101,MOD(80+$C29+(0),$B$3)+1)*I29+INDEX(Symboles!$G$6:$G$101,MOD(80+$C29+(1),$B$3)+1)*J29+INDEX(Symboles!$G$6:$G$101,MOD(80+$C29+(2),$B$3)+1)*K29+INDEX(Symboles!$G$6:$G$101,MOD(80+$C29+(3),$B$3)+1)*L29+INDEX(Symboles!$G$6:$G$101,MOD(80+$C29+(4),$B$3)+1)*M29+IF($B$6=0,0,$B$6*NORMSINV(0.000001+0.999998*RAND())))</f>
        <v/>
      </c>
      <c r="CS29" s="30">
        <f>IF(82&gt;$B$3,99,INDEX(Symboles!$G$6:$G$101,MOD(81+$C29+(-4),$B$3)+1)*E29+INDEX(Symboles!$G$6:$G$101,MOD(81+$C29+(-3),$B$3)+1)*F29+INDEX(Symboles!$G$6:$G$101,MOD(81+$C29+(-2),$B$3)+1)*G29+INDEX(Symboles!$G$6:$G$101,MOD(81+$C29+(-1),$B$3)+1)*H29+INDEX(Symboles!$G$6:$G$101,MOD(81+$C29+(0),$B$3)+1)*I29+INDEX(Symboles!$G$6:$G$101,MOD(81+$C29+(1),$B$3)+1)*J29+INDEX(Symboles!$G$6:$G$101,MOD(81+$C29+(2),$B$3)+1)*K29+INDEX(Symboles!$G$6:$G$101,MOD(81+$C29+(3),$B$3)+1)*L29+INDEX(Symboles!$G$6:$G$101,MOD(81+$C29+(4),$B$3)+1)*M29+IF($B$6=0,0,$B$6*NORMSINV(0.000001+0.999998*RAND())))</f>
        <v/>
      </c>
      <c r="CT29" s="30">
        <f>IF(83&gt;$B$3,99,INDEX(Symboles!$G$6:$G$101,MOD(82+$C29+(-4),$B$3)+1)*E29+INDEX(Symboles!$G$6:$G$101,MOD(82+$C29+(-3),$B$3)+1)*F29+INDEX(Symboles!$G$6:$G$101,MOD(82+$C29+(-2),$B$3)+1)*G29+INDEX(Symboles!$G$6:$G$101,MOD(82+$C29+(-1),$B$3)+1)*H29+INDEX(Symboles!$G$6:$G$101,MOD(82+$C29+(0),$B$3)+1)*I29+INDEX(Symboles!$G$6:$G$101,MOD(82+$C29+(1),$B$3)+1)*J29+INDEX(Symboles!$G$6:$G$101,MOD(82+$C29+(2),$B$3)+1)*K29+INDEX(Symboles!$G$6:$G$101,MOD(82+$C29+(3),$B$3)+1)*L29+INDEX(Symboles!$G$6:$G$101,MOD(82+$C29+(4),$B$3)+1)*M29+IF($B$6=0,0,$B$6*NORMSINV(0.000001+0.999998*RAND())))</f>
        <v/>
      </c>
      <c r="CU29" s="30">
        <f>IF(84&gt;$B$3,99,INDEX(Symboles!$G$6:$G$101,MOD(83+$C29+(-4),$B$3)+1)*E29+INDEX(Symboles!$G$6:$G$101,MOD(83+$C29+(-3),$B$3)+1)*F29+INDEX(Symboles!$G$6:$G$101,MOD(83+$C29+(-2),$B$3)+1)*G29+INDEX(Symboles!$G$6:$G$101,MOD(83+$C29+(-1),$B$3)+1)*H29+INDEX(Symboles!$G$6:$G$101,MOD(83+$C29+(0),$B$3)+1)*I29+INDEX(Symboles!$G$6:$G$101,MOD(83+$C29+(1),$B$3)+1)*J29+INDEX(Symboles!$G$6:$G$101,MOD(83+$C29+(2),$B$3)+1)*K29+INDEX(Symboles!$G$6:$G$101,MOD(83+$C29+(3),$B$3)+1)*L29+INDEX(Symboles!$G$6:$G$101,MOD(83+$C29+(4),$B$3)+1)*M29+IF($B$6=0,0,$B$6*NORMSINV(0.000001+0.999998*RAND())))</f>
        <v/>
      </c>
      <c r="CV29" s="30">
        <f>IF(85&gt;$B$3,99,INDEX(Symboles!$G$6:$G$101,MOD(84+$C29+(-4),$B$3)+1)*E29+INDEX(Symboles!$G$6:$G$101,MOD(84+$C29+(-3),$B$3)+1)*F29+INDEX(Symboles!$G$6:$G$101,MOD(84+$C29+(-2),$B$3)+1)*G29+INDEX(Symboles!$G$6:$G$101,MOD(84+$C29+(-1),$B$3)+1)*H29+INDEX(Symboles!$G$6:$G$101,MOD(84+$C29+(0),$B$3)+1)*I29+INDEX(Symboles!$G$6:$G$101,MOD(84+$C29+(1),$B$3)+1)*J29+INDEX(Symboles!$G$6:$G$101,MOD(84+$C29+(2),$B$3)+1)*K29+INDEX(Symboles!$G$6:$G$101,MOD(84+$C29+(3),$B$3)+1)*L29+INDEX(Symboles!$G$6:$G$101,MOD(84+$C29+(4),$B$3)+1)*M29+IF($B$6=0,0,$B$6*NORMSINV(0.000001+0.999998*RAND())))</f>
        <v/>
      </c>
      <c r="CW29" s="30">
        <f>IF(86&gt;$B$3,99,INDEX(Symboles!$G$6:$G$101,MOD(85+$C29+(-4),$B$3)+1)*E29+INDEX(Symboles!$G$6:$G$101,MOD(85+$C29+(-3),$B$3)+1)*F29+INDEX(Symboles!$G$6:$G$101,MOD(85+$C29+(-2),$B$3)+1)*G29+INDEX(Symboles!$G$6:$G$101,MOD(85+$C29+(-1),$B$3)+1)*H29+INDEX(Symboles!$G$6:$G$101,MOD(85+$C29+(0),$B$3)+1)*I29+INDEX(Symboles!$G$6:$G$101,MOD(85+$C29+(1),$B$3)+1)*J29+INDEX(Symboles!$G$6:$G$101,MOD(85+$C29+(2),$B$3)+1)*K29+INDEX(Symboles!$G$6:$G$101,MOD(85+$C29+(3),$B$3)+1)*L29+INDEX(Symboles!$G$6:$G$101,MOD(85+$C29+(4),$B$3)+1)*M29+IF($B$6=0,0,$B$6*NORMSINV(0.000001+0.999998*RAND())))</f>
        <v/>
      </c>
      <c r="CX29" s="30">
        <f>IF(87&gt;$B$3,99,INDEX(Symboles!$G$6:$G$101,MOD(86+$C29+(-4),$B$3)+1)*E29+INDEX(Symboles!$G$6:$G$101,MOD(86+$C29+(-3),$B$3)+1)*F29+INDEX(Symboles!$G$6:$G$101,MOD(86+$C29+(-2),$B$3)+1)*G29+INDEX(Symboles!$G$6:$G$101,MOD(86+$C29+(-1),$B$3)+1)*H29+INDEX(Symboles!$G$6:$G$101,MOD(86+$C29+(0),$B$3)+1)*I29+INDEX(Symboles!$G$6:$G$101,MOD(86+$C29+(1),$B$3)+1)*J29+INDEX(Symboles!$G$6:$G$101,MOD(86+$C29+(2),$B$3)+1)*K29+INDEX(Symboles!$G$6:$G$101,MOD(86+$C29+(3),$B$3)+1)*L29+INDEX(Symboles!$G$6:$G$101,MOD(86+$C29+(4),$B$3)+1)*M29+IF($B$6=0,0,$B$6*NORMSINV(0.000001+0.999998*RAND())))</f>
        <v/>
      </c>
      <c r="CY29" s="30">
        <f>IF(88&gt;$B$3,99,INDEX(Symboles!$G$6:$G$101,MOD(87+$C29+(-4),$B$3)+1)*E29+INDEX(Symboles!$G$6:$G$101,MOD(87+$C29+(-3),$B$3)+1)*F29+INDEX(Symboles!$G$6:$G$101,MOD(87+$C29+(-2),$B$3)+1)*G29+INDEX(Symboles!$G$6:$G$101,MOD(87+$C29+(-1),$B$3)+1)*H29+INDEX(Symboles!$G$6:$G$101,MOD(87+$C29+(0),$B$3)+1)*I29+INDEX(Symboles!$G$6:$G$101,MOD(87+$C29+(1),$B$3)+1)*J29+INDEX(Symboles!$G$6:$G$101,MOD(87+$C29+(2),$B$3)+1)*K29+INDEX(Symboles!$G$6:$G$101,MOD(87+$C29+(3),$B$3)+1)*L29+INDEX(Symboles!$G$6:$G$101,MOD(87+$C29+(4),$B$3)+1)*M29+IF($B$6=0,0,$B$6*NORMSINV(0.000001+0.999998*RAND())))</f>
        <v/>
      </c>
      <c r="CZ29" s="30">
        <f>IF(89&gt;$B$3,99,INDEX(Symboles!$G$6:$G$101,MOD(88+$C29+(-4),$B$3)+1)*E29+INDEX(Symboles!$G$6:$G$101,MOD(88+$C29+(-3),$B$3)+1)*F29+INDEX(Symboles!$G$6:$G$101,MOD(88+$C29+(-2),$B$3)+1)*G29+INDEX(Symboles!$G$6:$G$101,MOD(88+$C29+(-1),$B$3)+1)*H29+INDEX(Symboles!$G$6:$G$101,MOD(88+$C29+(0),$B$3)+1)*I29+INDEX(Symboles!$G$6:$G$101,MOD(88+$C29+(1),$B$3)+1)*J29+INDEX(Symboles!$G$6:$G$101,MOD(88+$C29+(2),$B$3)+1)*K29+INDEX(Symboles!$G$6:$G$101,MOD(88+$C29+(3),$B$3)+1)*L29+INDEX(Symboles!$G$6:$G$101,MOD(88+$C29+(4),$B$3)+1)*M29+IF($B$6=0,0,$B$6*NORMSINV(0.000001+0.999998*RAND())))</f>
        <v/>
      </c>
      <c r="DA29" s="30">
        <f>IF(90&gt;$B$3,99,INDEX(Symboles!$G$6:$G$101,MOD(89+$C29+(-4),$B$3)+1)*E29+INDEX(Symboles!$G$6:$G$101,MOD(89+$C29+(-3),$B$3)+1)*F29+INDEX(Symboles!$G$6:$G$101,MOD(89+$C29+(-2),$B$3)+1)*G29+INDEX(Symboles!$G$6:$G$101,MOD(89+$C29+(-1),$B$3)+1)*H29+INDEX(Symboles!$G$6:$G$101,MOD(89+$C29+(0),$B$3)+1)*I29+INDEX(Symboles!$G$6:$G$101,MOD(89+$C29+(1),$B$3)+1)*J29+INDEX(Symboles!$G$6:$G$101,MOD(89+$C29+(2),$B$3)+1)*K29+INDEX(Symboles!$G$6:$G$101,MOD(89+$C29+(3),$B$3)+1)*L29+INDEX(Symboles!$G$6:$G$101,MOD(89+$C29+(4),$B$3)+1)*M29+IF($B$6=0,0,$B$6*NORMSINV(0.000001+0.999998*RAND())))</f>
        <v/>
      </c>
      <c r="DB29" s="30">
        <f>IF(91&gt;$B$3,99,INDEX(Symboles!$G$6:$G$101,MOD(90+$C29+(-4),$B$3)+1)*E29+INDEX(Symboles!$G$6:$G$101,MOD(90+$C29+(-3),$B$3)+1)*F29+INDEX(Symboles!$G$6:$G$101,MOD(90+$C29+(-2),$B$3)+1)*G29+INDEX(Symboles!$G$6:$G$101,MOD(90+$C29+(-1),$B$3)+1)*H29+INDEX(Symboles!$G$6:$G$101,MOD(90+$C29+(0),$B$3)+1)*I29+INDEX(Symboles!$G$6:$G$101,MOD(90+$C29+(1),$B$3)+1)*J29+INDEX(Symboles!$G$6:$G$101,MOD(90+$C29+(2),$B$3)+1)*K29+INDEX(Symboles!$G$6:$G$101,MOD(90+$C29+(3),$B$3)+1)*L29+INDEX(Symboles!$G$6:$G$101,MOD(90+$C29+(4),$B$3)+1)*M29+IF($B$6=0,0,$B$6*NORMSINV(0.000001+0.999998*RAND())))</f>
        <v/>
      </c>
      <c r="DC29" s="30">
        <f>IF(92&gt;$B$3,99,INDEX(Symboles!$G$6:$G$101,MOD(91+$C29+(-4),$B$3)+1)*E29+INDEX(Symboles!$G$6:$G$101,MOD(91+$C29+(-3),$B$3)+1)*F29+INDEX(Symboles!$G$6:$G$101,MOD(91+$C29+(-2),$B$3)+1)*G29+INDEX(Symboles!$G$6:$G$101,MOD(91+$C29+(-1),$B$3)+1)*H29+INDEX(Symboles!$G$6:$G$101,MOD(91+$C29+(0),$B$3)+1)*I29+INDEX(Symboles!$G$6:$G$101,MOD(91+$C29+(1),$B$3)+1)*J29+INDEX(Symboles!$G$6:$G$101,MOD(91+$C29+(2),$B$3)+1)*K29+INDEX(Symboles!$G$6:$G$101,MOD(91+$C29+(3),$B$3)+1)*L29+INDEX(Symboles!$G$6:$G$101,MOD(91+$C29+(4),$B$3)+1)*M29+IF($B$6=0,0,$B$6*NORMSINV(0.000001+0.999998*RAND())))</f>
        <v/>
      </c>
      <c r="DD29" s="30">
        <f>IF(93&gt;$B$3,99,INDEX(Symboles!$G$6:$G$101,MOD(92+$C29+(-4),$B$3)+1)*E29+INDEX(Symboles!$G$6:$G$101,MOD(92+$C29+(-3),$B$3)+1)*F29+INDEX(Symboles!$G$6:$G$101,MOD(92+$C29+(-2),$B$3)+1)*G29+INDEX(Symboles!$G$6:$G$101,MOD(92+$C29+(-1),$B$3)+1)*H29+INDEX(Symboles!$G$6:$G$101,MOD(92+$C29+(0),$B$3)+1)*I29+INDEX(Symboles!$G$6:$G$101,MOD(92+$C29+(1),$B$3)+1)*J29+INDEX(Symboles!$G$6:$G$101,MOD(92+$C29+(2),$B$3)+1)*K29+INDEX(Symboles!$G$6:$G$101,MOD(92+$C29+(3),$B$3)+1)*L29+INDEX(Symboles!$G$6:$G$101,MOD(92+$C29+(4),$B$3)+1)*M29+IF($B$6=0,0,$B$6*NORMSINV(0.000001+0.999998*RAND())))</f>
        <v/>
      </c>
      <c r="DE29" s="30">
        <f>IF(94&gt;$B$3,99,INDEX(Symboles!$G$6:$G$101,MOD(93+$C29+(-4),$B$3)+1)*E29+INDEX(Symboles!$G$6:$G$101,MOD(93+$C29+(-3),$B$3)+1)*F29+INDEX(Symboles!$G$6:$G$101,MOD(93+$C29+(-2),$B$3)+1)*G29+INDEX(Symboles!$G$6:$G$101,MOD(93+$C29+(-1),$B$3)+1)*H29+INDEX(Symboles!$G$6:$G$101,MOD(93+$C29+(0),$B$3)+1)*I29+INDEX(Symboles!$G$6:$G$101,MOD(93+$C29+(1),$B$3)+1)*J29+INDEX(Symboles!$G$6:$G$101,MOD(93+$C29+(2),$B$3)+1)*K29+INDEX(Symboles!$G$6:$G$101,MOD(93+$C29+(3),$B$3)+1)*L29+INDEX(Symboles!$G$6:$G$101,MOD(93+$C29+(4),$B$3)+1)*M29+IF($B$6=0,0,$B$6*NORMSINV(0.000001+0.999998*RAND())))</f>
        <v/>
      </c>
      <c r="DF29" s="30">
        <f>IF(95&gt;$B$3,99,INDEX(Symboles!$G$6:$G$101,MOD(94+$C29+(-4),$B$3)+1)*E29+INDEX(Symboles!$G$6:$G$101,MOD(94+$C29+(-3),$B$3)+1)*F29+INDEX(Symboles!$G$6:$G$101,MOD(94+$C29+(-2),$B$3)+1)*G29+INDEX(Symboles!$G$6:$G$101,MOD(94+$C29+(-1),$B$3)+1)*H29+INDEX(Symboles!$G$6:$G$101,MOD(94+$C29+(0),$B$3)+1)*I29+INDEX(Symboles!$G$6:$G$101,MOD(94+$C29+(1),$B$3)+1)*J29+INDEX(Symboles!$G$6:$G$101,MOD(94+$C29+(2),$B$3)+1)*K29+INDEX(Symboles!$G$6:$G$101,MOD(94+$C29+(3),$B$3)+1)*L29+INDEX(Symboles!$G$6:$G$101,MOD(94+$C29+(4),$B$3)+1)*M29+IF($B$6=0,0,$B$6*NORMSINV(0.000001+0.999998*RAND())))</f>
        <v/>
      </c>
      <c r="DG29" s="30">
        <f>IF(96&gt;$B$3,99,INDEX(Symboles!$G$6:$G$101,MOD(95+$C29+(-4),$B$3)+1)*E29+INDEX(Symboles!$G$6:$G$101,MOD(95+$C29+(-3),$B$3)+1)*F29+INDEX(Symboles!$G$6:$G$101,MOD(95+$C29+(-2),$B$3)+1)*G29+INDEX(Symboles!$G$6:$G$101,MOD(95+$C29+(-1),$B$3)+1)*H29+INDEX(Symboles!$G$6:$G$101,MOD(95+$C29+(0),$B$3)+1)*I29+INDEX(Symboles!$G$6:$G$101,MOD(95+$C29+(1),$B$3)+1)*J29+INDEX(Symboles!$G$6:$G$101,MOD(95+$C29+(2),$B$3)+1)*K29+INDEX(Symboles!$G$6:$G$101,MOD(95+$C29+(3),$B$3)+1)*L29+INDEX(Symboles!$G$6:$G$101,MOD(95+$C29+(4),$B$3)+1)*M29+IF($B$6=0,0,$B$6*NORMSINV(0.000001+0.999998*RAND())))</f>
        <v/>
      </c>
      <c r="DI29" s="30">
        <f>IF(1&gt;$B$3,99,INDEX(Symboles!$H$6:$H$101,MOD(0+$C29+(-4),$B$3)+1)*E29+INDEX(Symboles!$H$6:$H$101,MOD(0+$C29+(-3),$B$3)+1)*F29+INDEX(Symboles!$H$6:$H$101,MOD(0+$C29+(-2),$B$3)+1)*G29+INDEX(Symboles!$H$6:$H$101,MOD(0+$C29+(-1),$B$3)+1)*H29+INDEX(Symboles!$H$6:$H$101,MOD(0+$C29+(0),$B$3)+1)*I29+INDEX(Symboles!$H$6:$H$101,MOD(0+$C29+(1),$B$3)+1)*J29+INDEX(Symboles!$H$6:$H$101,MOD(0+$C29+(2),$B$3)+1)*K29+INDEX(Symboles!$H$6:$H$101,MOD(0+$C29+(3),$B$3)+1)*L29+INDEX(Symboles!$H$6:$H$101,MOD(0+$C29+(4),$B$3)+1)*M29+IF($B$6=0,0,$B$6*NORMSINV(0.000001+0.999998*RAND())))</f>
        <v/>
      </c>
      <c r="DJ29" s="30">
        <f>IF(2&gt;$B$3,99,INDEX(Symboles!$H$6:$H$101,MOD(1+$C29+(-4),$B$3)+1)*E29+INDEX(Symboles!$H$6:$H$101,MOD(1+$C29+(-3),$B$3)+1)*F29+INDEX(Symboles!$H$6:$H$101,MOD(1+$C29+(-2),$B$3)+1)*G29+INDEX(Symboles!$H$6:$H$101,MOD(1+$C29+(-1),$B$3)+1)*H29+INDEX(Symboles!$H$6:$H$101,MOD(1+$C29+(0),$B$3)+1)*I29+INDEX(Symboles!$H$6:$H$101,MOD(1+$C29+(1),$B$3)+1)*J29+INDEX(Symboles!$H$6:$H$101,MOD(1+$C29+(2),$B$3)+1)*K29+INDEX(Symboles!$H$6:$H$101,MOD(1+$C29+(3),$B$3)+1)*L29+INDEX(Symboles!$H$6:$H$101,MOD(1+$C29+(4),$B$3)+1)*M29+IF($B$6=0,0,$B$6*NORMSINV(0.000001+0.999998*RAND())))</f>
        <v/>
      </c>
      <c r="DK29" s="30">
        <f>IF(3&gt;$B$3,99,INDEX(Symboles!$H$6:$H$101,MOD(2+$C29+(-4),$B$3)+1)*E29+INDEX(Symboles!$H$6:$H$101,MOD(2+$C29+(-3),$B$3)+1)*F29+INDEX(Symboles!$H$6:$H$101,MOD(2+$C29+(-2),$B$3)+1)*G29+INDEX(Symboles!$H$6:$H$101,MOD(2+$C29+(-1),$B$3)+1)*H29+INDEX(Symboles!$H$6:$H$101,MOD(2+$C29+(0),$B$3)+1)*I29+INDEX(Symboles!$H$6:$H$101,MOD(2+$C29+(1),$B$3)+1)*J29+INDEX(Symboles!$H$6:$H$101,MOD(2+$C29+(2),$B$3)+1)*K29+INDEX(Symboles!$H$6:$H$101,MOD(2+$C29+(3),$B$3)+1)*L29+INDEX(Symboles!$H$6:$H$101,MOD(2+$C29+(4),$B$3)+1)*M29+IF($B$6=0,0,$B$6*NORMSINV(0.000001+0.999998*RAND())))</f>
        <v/>
      </c>
      <c r="DL29" s="30">
        <f>IF(4&gt;$B$3,99,INDEX(Symboles!$H$6:$H$101,MOD(3+$C29+(-4),$B$3)+1)*E29+INDEX(Symboles!$H$6:$H$101,MOD(3+$C29+(-3),$B$3)+1)*F29+INDEX(Symboles!$H$6:$H$101,MOD(3+$C29+(-2),$B$3)+1)*G29+INDEX(Symboles!$H$6:$H$101,MOD(3+$C29+(-1),$B$3)+1)*H29+INDEX(Symboles!$H$6:$H$101,MOD(3+$C29+(0),$B$3)+1)*I29+INDEX(Symboles!$H$6:$H$101,MOD(3+$C29+(1),$B$3)+1)*J29+INDEX(Symboles!$H$6:$H$101,MOD(3+$C29+(2),$B$3)+1)*K29+INDEX(Symboles!$H$6:$H$101,MOD(3+$C29+(3),$B$3)+1)*L29+INDEX(Symboles!$H$6:$H$101,MOD(3+$C29+(4),$B$3)+1)*M29+IF($B$6=0,0,$B$6*NORMSINV(0.000001+0.999998*RAND())))</f>
        <v/>
      </c>
      <c r="DM29" s="30">
        <f>IF(5&gt;$B$3,99,INDEX(Symboles!$H$6:$H$101,MOD(4+$C29+(-4),$B$3)+1)*E29+INDEX(Symboles!$H$6:$H$101,MOD(4+$C29+(-3),$B$3)+1)*F29+INDEX(Symboles!$H$6:$H$101,MOD(4+$C29+(-2),$B$3)+1)*G29+INDEX(Symboles!$H$6:$H$101,MOD(4+$C29+(-1),$B$3)+1)*H29+INDEX(Symboles!$H$6:$H$101,MOD(4+$C29+(0),$B$3)+1)*I29+INDEX(Symboles!$H$6:$H$101,MOD(4+$C29+(1),$B$3)+1)*J29+INDEX(Symboles!$H$6:$H$101,MOD(4+$C29+(2),$B$3)+1)*K29+INDEX(Symboles!$H$6:$H$101,MOD(4+$C29+(3),$B$3)+1)*L29+INDEX(Symboles!$H$6:$H$101,MOD(4+$C29+(4),$B$3)+1)*M29+IF($B$6=0,0,$B$6*NORMSINV(0.000001+0.999998*RAND())))</f>
        <v/>
      </c>
      <c r="DN29" s="30">
        <f>IF(6&gt;$B$3,99,INDEX(Symboles!$H$6:$H$101,MOD(5+$C29+(-4),$B$3)+1)*E29+INDEX(Symboles!$H$6:$H$101,MOD(5+$C29+(-3),$B$3)+1)*F29+INDEX(Symboles!$H$6:$H$101,MOD(5+$C29+(-2),$B$3)+1)*G29+INDEX(Symboles!$H$6:$H$101,MOD(5+$C29+(-1),$B$3)+1)*H29+INDEX(Symboles!$H$6:$H$101,MOD(5+$C29+(0),$B$3)+1)*I29+INDEX(Symboles!$H$6:$H$101,MOD(5+$C29+(1),$B$3)+1)*J29+INDEX(Symboles!$H$6:$H$101,MOD(5+$C29+(2),$B$3)+1)*K29+INDEX(Symboles!$H$6:$H$101,MOD(5+$C29+(3),$B$3)+1)*L29+INDEX(Symboles!$H$6:$H$101,MOD(5+$C29+(4),$B$3)+1)*M29+IF($B$6=0,0,$B$6*NORMSINV(0.000001+0.999998*RAND())))</f>
        <v/>
      </c>
      <c r="DO29" s="30">
        <f>IF(7&gt;$B$3,99,INDEX(Symboles!$H$6:$H$101,MOD(6+$C29+(-4),$B$3)+1)*E29+INDEX(Symboles!$H$6:$H$101,MOD(6+$C29+(-3),$B$3)+1)*F29+INDEX(Symboles!$H$6:$H$101,MOD(6+$C29+(-2),$B$3)+1)*G29+INDEX(Symboles!$H$6:$H$101,MOD(6+$C29+(-1),$B$3)+1)*H29+INDEX(Symboles!$H$6:$H$101,MOD(6+$C29+(0),$B$3)+1)*I29+INDEX(Symboles!$H$6:$H$101,MOD(6+$C29+(1),$B$3)+1)*J29+INDEX(Symboles!$H$6:$H$101,MOD(6+$C29+(2),$B$3)+1)*K29+INDEX(Symboles!$H$6:$H$101,MOD(6+$C29+(3),$B$3)+1)*L29+INDEX(Symboles!$H$6:$H$101,MOD(6+$C29+(4),$B$3)+1)*M29+IF($B$6=0,0,$B$6*NORMSINV(0.000001+0.999998*RAND())))</f>
        <v/>
      </c>
      <c r="DP29" s="30">
        <f>IF(8&gt;$B$3,99,INDEX(Symboles!$H$6:$H$101,MOD(7+$C29+(-4),$B$3)+1)*E29+INDEX(Symboles!$H$6:$H$101,MOD(7+$C29+(-3),$B$3)+1)*F29+INDEX(Symboles!$H$6:$H$101,MOD(7+$C29+(-2),$B$3)+1)*G29+INDEX(Symboles!$H$6:$H$101,MOD(7+$C29+(-1),$B$3)+1)*H29+INDEX(Symboles!$H$6:$H$101,MOD(7+$C29+(0),$B$3)+1)*I29+INDEX(Symboles!$H$6:$H$101,MOD(7+$C29+(1),$B$3)+1)*J29+INDEX(Symboles!$H$6:$H$101,MOD(7+$C29+(2),$B$3)+1)*K29+INDEX(Symboles!$H$6:$H$101,MOD(7+$C29+(3),$B$3)+1)*L29+INDEX(Symboles!$H$6:$H$101,MOD(7+$C29+(4),$B$3)+1)*M29+IF($B$6=0,0,$B$6*NORMSINV(0.000001+0.999998*RAND())))</f>
        <v/>
      </c>
      <c r="DQ29" s="30">
        <f>IF(9&gt;$B$3,99,INDEX(Symboles!$H$6:$H$101,MOD(8+$C29+(-4),$B$3)+1)*E29+INDEX(Symboles!$H$6:$H$101,MOD(8+$C29+(-3),$B$3)+1)*F29+INDEX(Symboles!$H$6:$H$101,MOD(8+$C29+(-2),$B$3)+1)*G29+INDEX(Symboles!$H$6:$H$101,MOD(8+$C29+(-1),$B$3)+1)*H29+INDEX(Symboles!$H$6:$H$101,MOD(8+$C29+(0),$B$3)+1)*I29+INDEX(Symboles!$H$6:$H$101,MOD(8+$C29+(1),$B$3)+1)*J29+INDEX(Symboles!$H$6:$H$101,MOD(8+$C29+(2),$B$3)+1)*K29+INDEX(Symboles!$H$6:$H$101,MOD(8+$C29+(3),$B$3)+1)*L29+INDEX(Symboles!$H$6:$H$101,MOD(8+$C29+(4),$B$3)+1)*M29+IF($B$6=0,0,$B$6*NORMSINV(0.000001+0.999998*RAND())))</f>
        <v/>
      </c>
      <c r="DR29" s="30">
        <f>IF(10&gt;$B$3,99,INDEX(Symboles!$H$6:$H$101,MOD(9+$C29+(-4),$B$3)+1)*E29+INDEX(Symboles!$H$6:$H$101,MOD(9+$C29+(-3),$B$3)+1)*F29+INDEX(Symboles!$H$6:$H$101,MOD(9+$C29+(-2),$B$3)+1)*G29+INDEX(Symboles!$H$6:$H$101,MOD(9+$C29+(-1),$B$3)+1)*H29+INDEX(Symboles!$H$6:$H$101,MOD(9+$C29+(0),$B$3)+1)*I29+INDEX(Symboles!$H$6:$H$101,MOD(9+$C29+(1),$B$3)+1)*J29+INDEX(Symboles!$H$6:$H$101,MOD(9+$C29+(2),$B$3)+1)*K29+INDEX(Symboles!$H$6:$H$101,MOD(9+$C29+(3),$B$3)+1)*L29+INDEX(Symboles!$H$6:$H$101,MOD(9+$C29+(4),$B$3)+1)*M29+IF($B$6=0,0,$B$6*NORMSINV(0.000001+0.999998*RAND())))</f>
        <v/>
      </c>
      <c r="DS29" s="30">
        <f>IF(11&gt;$B$3,99,INDEX(Symboles!$H$6:$H$101,MOD(10+$C29+(-4),$B$3)+1)*E29+INDEX(Symboles!$H$6:$H$101,MOD(10+$C29+(-3),$B$3)+1)*F29+INDEX(Symboles!$H$6:$H$101,MOD(10+$C29+(-2),$B$3)+1)*G29+INDEX(Symboles!$H$6:$H$101,MOD(10+$C29+(-1),$B$3)+1)*H29+INDEX(Symboles!$H$6:$H$101,MOD(10+$C29+(0),$B$3)+1)*I29+INDEX(Symboles!$H$6:$H$101,MOD(10+$C29+(1),$B$3)+1)*J29+INDEX(Symboles!$H$6:$H$101,MOD(10+$C29+(2),$B$3)+1)*K29+INDEX(Symboles!$H$6:$H$101,MOD(10+$C29+(3),$B$3)+1)*L29+INDEX(Symboles!$H$6:$H$101,MOD(10+$C29+(4),$B$3)+1)*M29+IF($B$6=0,0,$B$6*NORMSINV(0.000001+0.999998*RAND())))</f>
        <v/>
      </c>
      <c r="DT29" s="30">
        <f>IF(12&gt;$B$3,99,INDEX(Symboles!$H$6:$H$101,MOD(11+$C29+(-4),$B$3)+1)*E29+INDEX(Symboles!$H$6:$H$101,MOD(11+$C29+(-3),$B$3)+1)*F29+INDEX(Symboles!$H$6:$H$101,MOD(11+$C29+(-2),$B$3)+1)*G29+INDEX(Symboles!$H$6:$H$101,MOD(11+$C29+(-1),$B$3)+1)*H29+INDEX(Symboles!$H$6:$H$101,MOD(11+$C29+(0),$B$3)+1)*I29+INDEX(Symboles!$H$6:$H$101,MOD(11+$C29+(1),$B$3)+1)*J29+INDEX(Symboles!$H$6:$H$101,MOD(11+$C29+(2),$B$3)+1)*K29+INDEX(Symboles!$H$6:$H$101,MOD(11+$C29+(3),$B$3)+1)*L29+INDEX(Symboles!$H$6:$H$101,MOD(11+$C29+(4),$B$3)+1)*M29+IF($B$6=0,0,$B$6*NORMSINV(0.000001+0.999998*RAND())))</f>
        <v/>
      </c>
      <c r="DU29" s="30">
        <f>IF(13&gt;$B$3,99,INDEX(Symboles!$H$6:$H$101,MOD(12+$C29+(-4),$B$3)+1)*E29+INDEX(Symboles!$H$6:$H$101,MOD(12+$C29+(-3),$B$3)+1)*F29+INDEX(Symboles!$H$6:$H$101,MOD(12+$C29+(-2),$B$3)+1)*G29+INDEX(Symboles!$H$6:$H$101,MOD(12+$C29+(-1),$B$3)+1)*H29+INDEX(Symboles!$H$6:$H$101,MOD(12+$C29+(0),$B$3)+1)*I29+INDEX(Symboles!$H$6:$H$101,MOD(12+$C29+(1),$B$3)+1)*J29+INDEX(Symboles!$H$6:$H$101,MOD(12+$C29+(2),$B$3)+1)*K29+INDEX(Symboles!$H$6:$H$101,MOD(12+$C29+(3),$B$3)+1)*L29+INDEX(Symboles!$H$6:$H$101,MOD(12+$C29+(4),$B$3)+1)*M29+IF($B$6=0,0,$B$6*NORMSINV(0.000001+0.999998*RAND())))</f>
        <v/>
      </c>
      <c r="DV29" s="30">
        <f>IF(14&gt;$B$3,99,INDEX(Symboles!$H$6:$H$101,MOD(13+$C29+(-4),$B$3)+1)*E29+INDEX(Symboles!$H$6:$H$101,MOD(13+$C29+(-3),$B$3)+1)*F29+INDEX(Symboles!$H$6:$H$101,MOD(13+$C29+(-2),$B$3)+1)*G29+INDEX(Symboles!$H$6:$H$101,MOD(13+$C29+(-1),$B$3)+1)*H29+INDEX(Symboles!$H$6:$H$101,MOD(13+$C29+(0),$B$3)+1)*I29+INDEX(Symboles!$H$6:$H$101,MOD(13+$C29+(1),$B$3)+1)*J29+INDEX(Symboles!$H$6:$H$101,MOD(13+$C29+(2),$B$3)+1)*K29+INDEX(Symboles!$H$6:$H$101,MOD(13+$C29+(3),$B$3)+1)*L29+INDEX(Symboles!$H$6:$H$101,MOD(13+$C29+(4),$B$3)+1)*M29+IF($B$6=0,0,$B$6*NORMSINV(0.000001+0.999998*RAND())))</f>
        <v/>
      </c>
      <c r="DW29" s="30">
        <f>IF(15&gt;$B$3,99,INDEX(Symboles!$H$6:$H$101,MOD(14+$C29+(-4),$B$3)+1)*E29+INDEX(Symboles!$H$6:$H$101,MOD(14+$C29+(-3),$B$3)+1)*F29+INDEX(Symboles!$H$6:$H$101,MOD(14+$C29+(-2),$B$3)+1)*G29+INDEX(Symboles!$H$6:$H$101,MOD(14+$C29+(-1),$B$3)+1)*H29+INDEX(Symboles!$H$6:$H$101,MOD(14+$C29+(0),$B$3)+1)*I29+INDEX(Symboles!$H$6:$H$101,MOD(14+$C29+(1),$B$3)+1)*J29+INDEX(Symboles!$H$6:$H$101,MOD(14+$C29+(2),$B$3)+1)*K29+INDEX(Symboles!$H$6:$H$101,MOD(14+$C29+(3),$B$3)+1)*L29+INDEX(Symboles!$H$6:$H$101,MOD(14+$C29+(4),$B$3)+1)*M29+IF($B$6=0,0,$B$6*NORMSINV(0.000001+0.999998*RAND())))</f>
        <v/>
      </c>
      <c r="DX29" s="30">
        <f>IF(16&gt;$B$3,99,INDEX(Symboles!$H$6:$H$101,MOD(15+$C29+(-4),$B$3)+1)*E29+INDEX(Symboles!$H$6:$H$101,MOD(15+$C29+(-3),$B$3)+1)*F29+INDEX(Symboles!$H$6:$H$101,MOD(15+$C29+(-2),$B$3)+1)*G29+INDEX(Symboles!$H$6:$H$101,MOD(15+$C29+(-1),$B$3)+1)*H29+INDEX(Symboles!$H$6:$H$101,MOD(15+$C29+(0),$B$3)+1)*I29+INDEX(Symboles!$H$6:$H$101,MOD(15+$C29+(1),$B$3)+1)*J29+INDEX(Symboles!$H$6:$H$101,MOD(15+$C29+(2),$B$3)+1)*K29+INDEX(Symboles!$H$6:$H$101,MOD(15+$C29+(3),$B$3)+1)*L29+INDEX(Symboles!$H$6:$H$101,MOD(15+$C29+(4),$B$3)+1)*M29+IF($B$6=0,0,$B$6*NORMSINV(0.000001+0.999998*RAND())))</f>
        <v/>
      </c>
      <c r="DY29" s="30">
        <f>IF(17&gt;$B$3,99,INDEX(Symboles!$H$6:$H$101,MOD(16+$C29+(-4),$B$3)+1)*E29+INDEX(Symboles!$H$6:$H$101,MOD(16+$C29+(-3),$B$3)+1)*F29+INDEX(Symboles!$H$6:$H$101,MOD(16+$C29+(-2),$B$3)+1)*G29+INDEX(Symboles!$H$6:$H$101,MOD(16+$C29+(-1),$B$3)+1)*H29+INDEX(Symboles!$H$6:$H$101,MOD(16+$C29+(0),$B$3)+1)*I29+INDEX(Symboles!$H$6:$H$101,MOD(16+$C29+(1),$B$3)+1)*J29+INDEX(Symboles!$H$6:$H$101,MOD(16+$C29+(2),$B$3)+1)*K29+INDEX(Symboles!$H$6:$H$101,MOD(16+$C29+(3),$B$3)+1)*L29+INDEX(Symboles!$H$6:$H$101,MOD(16+$C29+(4),$B$3)+1)*M29+IF($B$6=0,0,$B$6*NORMSINV(0.000001+0.999998*RAND())))</f>
        <v/>
      </c>
      <c r="DZ29" s="30">
        <f>IF(18&gt;$B$3,99,INDEX(Symboles!$H$6:$H$101,MOD(17+$C29+(-4),$B$3)+1)*E29+INDEX(Symboles!$H$6:$H$101,MOD(17+$C29+(-3),$B$3)+1)*F29+INDEX(Symboles!$H$6:$H$101,MOD(17+$C29+(-2),$B$3)+1)*G29+INDEX(Symboles!$H$6:$H$101,MOD(17+$C29+(-1),$B$3)+1)*H29+INDEX(Symboles!$H$6:$H$101,MOD(17+$C29+(0),$B$3)+1)*I29+INDEX(Symboles!$H$6:$H$101,MOD(17+$C29+(1),$B$3)+1)*J29+INDEX(Symboles!$H$6:$H$101,MOD(17+$C29+(2),$B$3)+1)*K29+INDEX(Symboles!$H$6:$H$101,MOD(17+$C29+(3),$B$3)+1)*L29+INDEX(Symboles!$H$6:$H$101,MOD(17+$C29+(4),$B$3)+1)*M29+IF($B$6=0,0,$B$6*NORMSINV(0.000001+0.999998*RAND())))</f>
        <v/>
      </c>
      <c r="EA29" s="30">
        <f>IF(19&gt;$B$3,99,INDEX(Symboles!$H$6:$H$101,MOD(18+$C29+(-4),$B$3)+1)*E29+INDEX(Symboles!$H$6:$H$101,MOD(18+$C29+(-3),$B$3)+1)*F29+INDEX(Symboles!$H$6:$H$101,MOD(18+$C29+(-2),$B$3)+1)*G29+INDEX(Symboles!$H$6:$H$101,MOD(18+$C29+(-1),$B$3)+1)*H29+INDEX(Symboles!$H$6:$H$101,MOD(18+$C29+(0),$B$3)+1)*I29+INDEX(Symboles!$H$6:$H$101,MOD(18+$C29+(1),$B$3)+1)*J29+INDEX(Symboles!$H$6:$H$101,MOD(18+$C29+(2),$B$3)+1)*K29+INDEX(Symboles!$H$6:$H$101,MOD(18+$C29+(3),$B$3)+1)*L29+INDEX(Symboles!$H$6:$H$101,MOD(18+$C29+(4),$B$3)+1)*M29+IF($B$6=0,0,$B$6*NORMSINV(0.000001+0.999998*RAND())))</f>
        <v/>
      </c>
      <c r="EB29" s="30">
        <f>IF(20&gt;$B$3,99,INDEX(Symboles!$H$6:$H$101,MOD(19+$C29+(-4),$B$3)+1)*E29+INDEX(Symboles!$H$6:$H$101,MOD(19+$C29+(-3),$B$3)+1)*F29+INDEX(Symboles!$H$6:$H$101,MOD(19+$C29+(-2),$B$3)+1)*G29+INDEX(Symboles!$H$6:$H$101,MOD(19+$C29+(-1),$B$3)+1)*H29+INDEX(Symboles!$H$6:$H$101,MOD(19+$C29+(0),$B$3)+1)*I29+INDEX(Symboles!$H$6:$H$101,MOD(19+$C29+(1),$B$3)+1)*J29+INDEX(Symboles!$H$6:$H$101,MOD(19+$C29+(2),$B$3)+1)*K29+INDEX(Symboles!$H$6:$H$101,MOD(19+$C29+(3),$B$3)+1)*L29+INDEX(Symboles!$H$6:$H$101,MOD(19+$C29+(4),$B$3)+1)*M29+IF($B$6=0,0,$B$6*NORMSINV(0.000001+0.999998*RAND())))</f>
        <v/>
      </c>
      <c r="EC29" s="30">
        <f>IF(21&gt;$B$3,99,INDEX(Symboles!$H$6:$H$101,MOD(20+$C29+(-4),$B$3)+1)*E29+INDEX(Symboles!$H$6:$H$101,MOD(20+$C29+(-3),$B$3)+1)*F29+INDEX(Symboles!$H$6:$H$101,MOD(20+$C29+(-2),$B$3)+1)*G29+INDEX(Symboles!$H$6:$H$101,MOD(20+$C29+(-1),$B$3)+1)*H29+INDEX(Symboles!$H$6:$H$101,MOD(20+$C29+(0),$B$3)+1)*I29+INDEX(Symboles!$H$6:$H$101,MOD(20+$C29+(1),$B$3)+1)*J29+INDEX(Symboles!$H$6:$H$101,MOD(20+$C29+(2),$B$3)+1)*K29+INDEX(Symboles!$H$6:$H$101,MOD(20+$C29+(3),$B$3)+1)*L29+INDEX(Symboles!$H$6:$H$101,MOD(20+$C29+(4),$B$3)+1)*M29+IF($B$6=0,0,$B$6*NORMSINV(0.000001+0.999998*RAND())))</f>
        <v/>
      </c>
      <c r="ED29" s="30">
        <f>IF(22&gt;$B$3,99,INDEX(Symboles!$H$6:$H$101,MOD(21+$C29+(-4),$B$3)+1)*E29+INDEX(Symboles!$H$6:$H$101,MOD(21+$C29+(-3),$B$3)+1)*F29+INDEX(Symboles!$H$6:$H$101,MOD(21+$C29+(-2),$B$3)+1)*G29+INDEX(Symboles!$H$6:$H$101,MOD(21+$C29+(-1),$B$3)+1)*H29+INDEX(Symboles!$H$6:$H$101,MOD(21+$C29+(0),$B$3)+1)*I29+INDEX(Symboles!$H$6:$H$101,MOD(21+$C29+(1),$B$3)+1)*J29+INDEX(Symboles!$H$6:$H$101,MOD(21+$C29+(2),$B$3)+1)*K29+INDEX(Symboles!$H$6:$H$101,MOD(21+$C29+(3),$B$3)+1)*L29+INDEX(Symboles!$H$6:$H$101,MOD(21+$C29+(4),$B$3)+1)*M29+IF($B$6=0,0,$B$6*NORMSINV(0.000001+0.999998*RAND())))</f>
        <v/>
      </c>
      <c r="EE29" s="30">
        <f>IF(23&gt;$B$3,99,INDEX(Symboles!$H$6:$H$101,MOD(22+$C29+(-4),$B$3)+1)*E29+INDEX(Symboles!$H$6:$H$101,MOD(22+$C29+(-3),$B$3)+1)*F29+INDEX(Symboles!$H$6:$H$101,MOD(22+$C29+(-2),$B$3)+1)*G29+INDEX(Symboles!$H$6:$H$101,MOD(22+$C29+(-1),$B$3)+1)*H29+INDEX(Symboles!$H$6:$H$101,MOD(22+$C29+(0),$B$3)+1)*I29+INDEX(Symboles!$H$6:$H$101,MOD(22+$C29+(1),$B$3)+1)*J29+INDEX(Symboles!$H$6:$H$101,MOD(22+$C29+(2),$B$3)+1)*K29+INDEX(Symboles!$H$6:$H$101,MOD(22+$C29+(3),$B$3)+1)*L29+INDEX(Symboles!$H$6:$H$101,MOD(22+$C29+(4),$B$3)+1)*M29+IF($B$6=0,0,$B$6*NORMSINV(0.000001+0.999998*RAND())))</f>
        <v/>
      </c>
      <c r="EF29" s="30">
        <f>IF(24&gt;$B$3,99,INDEX(Symboles!$H$6:$H$101,MOD(23+$C29+(-4),$B$3)+1)*E29+INDEX(Symboles!$H$6:$H$101,MOD(23+$C29+(-3),$B$3)+1)*F29+INDEX(Symboles!$H$6:$H$101,MOD(23+$C29+(-2),$B$3)+1)*G29+INDEX(Symboles!$H$6:$H$101,MOD(23+$C29+(-1),$B$3)+1)*H29+INDEX(Symboles!$H$6:$H$101,MOD(23+$C29+(0),$B$3)+1)*I29+INDEX(Symboles!$H$6:$H$101,MOD(23+$C29+(1),$B$3)+1)*J29+INDEX(Symboles!$H$6:$H$101,MOD(23+$C29+(2),$B$3)+1)*K29+INDEX(Symboles!$H$6:$H$101,MOD(23+$C29+(3),$B$3)+1)*L29+INDEX(Symboles!$H$6:$H$101,MOD(23+$C29+(4),$B$3)+1)*M29+IF($B$6=0,0,$B$6*NORMSINV(0.000001+0.999998*RAND())))</f>
        <v/>
      </c>
      <c r="EG29" s="30">
        <f>IF(25&gt;$B$3,99,INDEX(Symboles!$H$6:$H$101,MOD(24+$C29+(-4),$B$3)+1)*E29+INDEX(Symboles!$H$6:$H$101,MOD(24+$C29+(-3),$B$3)+1)*F29+INDEX(Symboles!$H$6:$H$101,MOD(24+$C29+(-2),$B$3)+1)*G29+INDEX(Symboles!$H$6:$H$101,MOD(24+$C29+(-1),$B$3)+1)*H29+INDEX(Symboles!$H$6:$H$101,MOD(24+$C29+(0),$B$3)+1)*I29+INDEX(Symboles!$H$6:$H$101,MOD(24+$C29+(1),$B$3)+1)*J29+INDEX(Symboles!$H$6:$H$101,MOD(24+$C29+(2),$B$3)+1)*K29+INDEX(Symboles!$H$6:$H$101,MOD(24+$C29+(3),$B$3)+1)*L29+INDEX(Symboles!$H$6:$H$101,MOD(24+$C29+(4),$B$3)+1)*M29+IF($B$6=0,0,$B$6*NORMSINV(0.000001+0.999998*RAND())))</f>
        <v/>
      </c>
      <c r="EH29" s="30">
        <f>IF(26&gt;$B$3,99,INDEX(Symboles!$H$6:$H$101,MOD(25+$C29+(-4),$B$3)+1)*E29+INDEX(Symboles!$H$6:$H$101,MOD(25+$C29+(-3),$B$3)+1)*F29+INDEX(Symboles!$H$6:$H$101,MOD(25+$C29+(-2),$B$3)+1)*G29+INDEX(Symboles!$H$6:$H$101,MOD(25+$C29+(-1),$B$3)+1)*H29+INDEX(Symboles!$H$6:$H$101,MOD(25+$C29+(0),$B$3)+1)*I29+INDEX(Symboles!$H$6:$H$101,MOD(25+$C29+(1),$B$3)+1)*J29+INDEX(Symboles!$H$6:$H$101,MOD(25+$C29+(2),$B$3)+1)*K29+INDEX(Symboles!$H$6:$H$101,MOD(25+$C29+(3),$B$3)+1)*L29+INDEX(Symboles!$H$6:$H$101,MOD(25+$C29+(4),$B$3)+1)*M29+IF($B$6=0,0,$B$6*NORMSINV(0.000001+0.999998*RAND())))</f>
        <v/>
      </c>
      <c r="EI29" s="30">
        <f>IF(27&gt;$B$3,99,INDEX(Symboles!$H$6:$H$101,MOD(26+$C29+(-4),$B$3)+1)*E29+INDEX(Symboles!$H$6:$H$101,MOD(26+$C29+(-3),$B$3)+1)*F29+INDEX(Symboles!$H$6:$H$101,MOD(26+$C29+(-2),$B$3)+1)*G29+INDEX(Symboles!$H$6:$H$101,MOD(26+$C29+(-1),$B$3)+1)*H29+INDEX(Symboles!$H$6:$H$101,MOD(26+$C29+(0),$B$3)+1)*I29+INDEX(Symboles!$H$6:$H$101,MOD(26+$C29+(1),$B$3)+1)*J29+INDEX(Symboles!$H$6:$H$101,MOD(26+$C29+(2),$B$3)+1)*K29+INDEX(Symboles!$H$6:$H$101,MOD(26+$C29+(3),$B$3)+1)*L29+INDEX(Symboles!$H$6:$H$101,MOD(26+$C29+(4),$B$3)+1)*M29+IF($B$6=0,0,$B$6*NORMSINV(0.000001+0.999998*RAND())))</f>
        <v/>
      </c>
      <c r="EJ29" s="30">
        <f>IF(28&gt;$B$3,99,INDEX(Symboles!$H$6:$H$101,MOD(27+$C29+(-4),$B$3)+1)*E29+INDEX(Symboles!$H$6:$H$101,MOD(27+$C29+(-3),$B$3)+1)*F29+INDEX(Symboles!$H$6:$H$101,MOD(27+$C29+(-2),$B$3)+1)*G29+INDEX(Symboles!$H$6:$H$101,MOD(27+$C29+(-1),$B$3)+1)*H29+INDEX(Symboles!$H$6:$H$101,MOD(27+$C29+(0),$B$3)+1)*I29+INDEX(Symboles!$H$6:$H$101,MOD(27+$C29+(1),$B$3)+1)*J29+INDEX(Symboles!$H$6:$H$101,MOD(27+$C29+(2),$B$3)+1)*K29+INDEX(Symboles!$H$6:$H$101,MOD(27+$C29+(3),$B$3)+1)*L29+INDEX(Symboles!$H$6:$H$101,MOD(27+$C29+(4),$B$3)+1)*M29+IF($B$6=0,0,$B$6*NORMSINV(0.000001+0.999998*RAND())))</f>
        <v/>
      </c>
      <c r="EK29" s="30">
        <f>IF(29&gt;$B$3,99,INDEX(Symboles!$H$6:$H$101,MOD(28+$C29+(-4),$B$3)+1)*E29+INDEX(Symboles!$H$6:$H$101,MOD(28+$C29+(-3),$B$3)+1)*F29+INDEX(Symboles!$H$6:$H$101,MOD(28+$C29+(-2),$B$3)+1)*G29+INDEX(Symboles!$H$6:$H$101,MOD(28+$C29+(-1),$B$3)+1)*H29+INDEX(Symboles!$H$6:$H$101,MOD(28+$C29+(0),$B$3)+1)*I29+INDEX(Symboles!$H$6:$H$101,MOD(28+$C29+(1),$B$3)+1)*J29+INDEX(Symboles!$H$6:$H$101,MOD(28+$C29+(2),$B$3)+1)*K29+INDEX(Symboles!$H$6:$H$101,MOD(28+$C29+(3),$B$3)+1)*L29+INDEX(Symboles!$H$6:$H$101,MOD(28+$C29+(4),$B$3)+1)*M29+IF($B$6=0,0,$B$6*NORMSINV(0.000001+0.999998*RAND())))</f>
        <v/>
      </c>
      <c r="EL29" s="30">
        <f>IF(30&gt;$B$3,99,INDEX(Symboles!$H$6:$H$101,MOD(29+$C29+(-4),$B$3)+1)*E29+INDEX(Symboles!$H$6:$H$101,MOD(29+$C29+(-3),$B$3)+1)*F29+INDEX(Symboles!$H$6:$H$101,MOD(29+$C29+(-2),$B$3)+1)*G29+INDEX(Symboles!$H$6:$H$101,MOD(29+$C29+(-1),$B$3)+1)*H29+INDEX(Symboles!$H$6:$H$101,MOD(29+$C29+(0),$B$3)+1)*I29+INDEX(Symboles!$H$6:$H$101,MOD(29+$C29+(1),$B$3)+1)*J29+INDEX(Symboles!$H$6:$H$101,MOD(29+$C29+(2),$B$3)+1)*K29+INDEX(Symboles!$H$6:$H$101,MOD(29+$C29+(3),$B$3)+1)*L29+INDEX(Symboles!$H$6:$H$101,MOD(29+$C29+(4),$B$3)+1)*M29+IF($B$6=0,0,$B$6*NORMSINV(0.000001+0.999998*RAND())))</f>
        <v/>
      </c>
      <c r="EM29" s="30">
        <f>IF(31&gt;$B$3,99,INDEX(Symboles!$H$6:$H$101,MOD(30+$C29+(-4),$B$3)+1)*E29+INDEX(Symboles!$H$6:$H$101,MOD(30+$C29+(-3),$B$3)+1)*F29+INDEX(Symboles!$H$6:$H$101,MOD(30+$C29+(-2),$B$3)+1)*G29+INDEX(Symboles!$H$6:$H$101,MOD(30+$C29+(-1),$B$3)+1)*H29+INDEX(Symboles!$H$6:$H$101,MOD(30+$C29+(0),$B$3)+1)*I29+INDEX(Symboles!$H$6:$H$101,MOD(30+$C29+(1),$B$3)+1)*J29+INDEX(Symboles!$H$6:$H$101,MOD(30+$C29+(2),$B$3)+1)*K29+INDEX(Symboles!$H$6:$H$101,MOD(30+$C29+(3),$B$3)+1)*L29+INDEX(Symboles!$H$6:$H$101,MOD(30+$C29+(4),$B$3)+1)*M29+IF($B$6=0,0,$B$6*NORMSINV(0.000001+0.999998*RAND())))</f>
        <v/>
      </c>
      <c r="EN29" s="30">
        <f>IF(32&gt;$B$3,99,INDEX(Symboles!$H$6:$H$101,MOD(31+$C29+(-4),$B$3)+1)*E29+INDEX(Symboles!$H$6:$H$101,MOD(31+$C29+(-3),$B$3)+1)*F29+INDEX(Symboles!$H$6:$H$101,MOD(31+$C29+(-2),$B$3)+1)*G29+INDEX(Symboles!$H$6:$H$101,MOD(31+$C29+(-1),$B$3)+1)*H29+INDEX(Symboles!$H$6:$H$101,MOD(31+$C29+(0),$B$3)+1)*I29+INDEX(Symboles!$H$6:$H$101,MOD(31+$C29+(1),$B$3)+1)*J29+INDEX(Symboles!$H$6:$H$101,MOD(31+$C29+(2),$B$3)+1)*K29+INDEX(Symboles!$H$6:$H$101,MOD(31+$C29+(3),$B$3)+1)*L29+INDEX(Symboles!$H$6:$H$101,MOD(31+$C29+(4),$B$3)+1)*M29+IF($B$6=0,0,$B$6*NORMSINV(0.000001+0.999998*RAND())))</f>
        <v/>
      </c>
      <c r="EO29" s="30">
        <f>IF(33&gt;$B$3,99,INDEX(Symboles!$H$6:$H$101,MOD(32+$C29+(-4),$B$3)+1)*E29+INDEX(Symboles!$H$6:$H$101,MOD(32+$C29+(-3),$B$3)+1)*F29+INDEX(Symboles!$H$6:$H$101,MOD(32+$C29+(-2),$B$3)+1)*G29+INDEX(Symboles!$H$6:$H$101,MOD(32+$C29+(-1),$B$3)+1)*H29+INDEX(Symboles!$H$6:$H$101,MOD(32+$C29+(0),$B$3)+1)*I29+INDEX(Symboles!$H$6:$H$101,MOD(32+$C29+(1),$B$3)+1)*J29+INDEX(Symboles!$H$6:$H$101,MOD(32+$C29+(2),$B$3)+1)*K29+INDEX(Symboles!$H$6:$H$101,MOD(32+$C29+(3),$B$3)+1)*L29+INDEX(Symboles!$H$6:$H$101,MOD(32+$C29+(4),$B$3)+1)*M29+IF($B$6=0,0,$B$6*NORMSINV(0.000001+0.999998*RAND())))</f>
        <v/>
      </c>
      <c r="EP29" s="30">
        <f>IF(34&gt;$B$3,99,INDEX(Symboles!$H$6:$H$101,MOD(33+$C29+(-4),$B$3)+1)*E29+INDEX(Symboles!$H$6:$H$101,MOD(33+$C29+(-3),$B$3)+1)*F29+INDEX(Symboles!$H$6:$H$101,MOD(33+$C29+(-2),$B$3)+1)*G29+INDEX(Symboles!$H$6:$H$101,MOD(33+$C29+(-1),$B$3)+1)*H29+INDEX(Symboles!$H$6:$H$101,MOD(33+$C29+(0),$B$3)+1)*I29+INDEX(Symboles!$H$6:$H$101,MOD(33+$C29+(1),$B$3)+1)*J29+INDEX(Symboles!$H$6:$H$101,MOD(33+$C29+(2),$B$3)+1)*K29+INDEX(Symboles!$H$6:$H$101,MOD(33+$C29+(3),$B$3)+1)*L29+INDEX(Symboles!$H$6:$H$101,MOD(33+$C29+(4),$B$3)+1)*M29+IF($B$6=0,0,$B$6*NORMSINV(0.000001+0.999998*RAND())))</f>
        <v/>
      </c>
      <c r="EQ29" s="30">
        <f>IF(35&gt;$B$3,99,INDEX(Symboles!$H$6:$H$101,MOD(34+$C29+(-4),$B$3)+1)*E29+INDEX(Symboles!$H$6:$H$101,MOD(34+$C29+(-3),$B$3)+1)*F29+INDEX(Symboles!$H$6:$H$101,MOD(34+$C29+(-2),$B$3)+1)*G29+INDEX(Symboles!$H$6:$H$101,MOD(34+$C29+(-1),$B$3)+1)*H29+INDEX(Symboles!$H$6:$H$101,MOD(34+$C29+(0),$B$3)+1)*I29+INDEX(Symboles!$H$6:$H$101,MOD(34+$C29+(1),$B$3)+1)*J29+INDEX(Symboles!$H$6:$H$101,MOD(34+$C29+(2),$B$3)+1)*K29+INDEX(Symboles!$H$6:$H$101,MOD(34+$C29+(3),$B$3)+1)*L29+INDEX(Symboles!$H$6:$H$101,MOD(34+$C29+(4),$B$3)+1)*M29+IF($B$6=0,0,$B$6*NORMSINV(0.000001+0.999998*RAND())))</f>
        <v/>
      </c>
      <c r="ER29" s="30">
        <f>IF(36&gt;$B$3,99,INDEX(Symboles!$H$6:$H$101,MOD(35+$C29+(-4),$B$3)+1)*E29+INDEX(Symboles!$H$6:$H$101,MOD(35+$C29+(-3),$B$3)+1)*F29+INDEX(Symboles!$H$6:$H$101,MOD(35+$C29+(-2),$B$3)+1)*G29+INDEX(Symboles!$H$6:$H$101,MOD(35+$C29+(-1),$B$3)+1)*H29+INDEX(Symboles!$H$6:$H$101,MOD(35+$C29+(0),$B$3)+1)*I29+INDEX(Symboles!$H$6:$H$101,MOD(35+$C29+(1),$B$3)+1)*J29+INDEX(Symboles!$H$6:$H$101,MOD(35+$C29+(2),$B$3)+1)*K29+INDEX(Symboles!$H$6:$H$101,MOD(35+$C29+(3),$B$3)+1)*L29+INDEX(Symboles!$H$6:$H$101,MOD(35+$C29+(4),$B$3)+1)*M29+IF($B$6=0,0,$B$6*NORMSINV(0.000001+0.999998*RAND())))</f>
        <v/>
      </c>
      <c r="ES29" s="30">
        <f>IF(37&gt;$B$3,99,INDEX(Symboles!$H$6:$H$101,MOD(36+$C29+(-4),$B$3)+1)*E29+INDEX(Symboles!$H$6:$H$101,MOD(36+$C29+(-3),$B$3)+1)*F29+INDEX(Symboles!$H$6:$H$101,MOD(36+$C29+(-2),$B$3)+1)*G29+INDEX(Symboles!$H$6:$H$101,MOD(36+$C29+(-1),$B$3)+1)*H29+INDEX(Symboles!$H$6:$H$101,MOD(36+$C29+(0),$B$3)+1)*I29+INDEX(Symboles!$H$6:$H$101,MOD(36+$C29+(1),$B$3)+1)*J29+INDEX(Symboles!$H$6:$H$101,MOD(36+$C29+(2),$B$3)+1)*K29+INDEX(Symboles!$H$6:$H$101,MOD(36+$C29+(3),$B$3)+1)*L29+INDEX(Symboles!$H$6:$H$101,MOD(36+$C29+(4),$B$3)+1)*M29+IF($B$6=0,0,$B$6*NORMSINV(0.000001+0.999998*RAND())))</f>
        <v/>
      </c>
      <c r="ET29" s="30">
        <f>IF(38&gt;$B$3,99,INDEX(Symboles!$H$6:$H$101,MOD(37+$C29+(-4),$B$3)+1)*E29+INDEX(Symboles!$H$6:$H$101,MOD(37+$C29+(-3),$B$3)+1)*F29+INDEX(Symboles!$H$6:$H$101,MOD(37+$C29+(-2),$B$3)+1)*G29+INDEX(Symboles!$H$6:$H$101,MOD(37+$C29+(-1),$B$3)+1)*H29+INDEX(Symboles!$H$6:$H$101,MOD(37+$C29+(0),$B$3)+1)*I29+INDEX(Symboles!$H$6:$H$101,MOD(37+$C29+(1),$B$3)+1)*J29+INDEX(Symboles!$H$6:$H$101,MOD(37+$C29+(2),$B$3)+1)*K29+INDEX(Symboles!$H$6:$H$101,MOD(37+$C29+(3),$B$3)+1)*L29+INDEX(Symboles!$H$6:$H$101,MOD(37+$C29+(4),$B$3)+1)*M29+IF($B$6=0,0,$B$6*NORMSINV(0.000001+0.999998*RAND())))</f>
        <v/>
      </c>
      <c r="EU29" s="30">
        <f>IF(39&gt;$B$3,99,INDEX(Symboles!$H$6:$H$101,MOD(38+$C29+(-4),$B$3)+1)*E29+INDEX(Symboles!$H$6:$H$101,MOD(38+$C29+(-3),$B$3)+1)*F29+INDEX(Symboles!$H$6:$H$101,MOD(38+$C29+(-2),$B$3)+1)*G29+INDEX(Symboles!$H$6:$H$101,MOD(38+$C29+(-1),$B$3)+1)*H29+INDEX(Symboles!$H$6:$H$101,MOD(38+$C29+(0),$B$3)+1)*I29+INDEX(Symboles!$H$6:$H$101,MOD(38+$C29+(1),$B$3)+1)*J29+INDEX(Symboles!$H$6:$H$101,MOD(38+$C29+(2),$B$3)+1)*K29+INDEX(Symboles!$H$6:$H$101,MOD(38+$C29+(3),$B$3)+1)*L29+INDEX(Symboles!$H$6:$H$101,MOD(38+$C29+(4),$B$3)+1)*M29+IF($B$6=0,0,$B$6*NORMSINV(0.000001+0.999998*RAND())))</f>
        <v/>
      </c>
      <c r="EV29" s="30">
        <f>IF(40&gt;$B$3,99,INDEX(Symboles!$H$6:$H$101,MOD(39+$C29+(-4),$B$3)+1)*E29+INDEX(Symboles!$H$6:$H$101,MOD(39+$C29+(-3),$B$3)+1)*F29+INDEX(Symboles!$H$6:$H$101,MOD(39+$C29+(-2),$B$3)+1)*G29+INDEX(Symboles!$H$6:$H$101,MOD(39+$C29+(-1),$B$3)+1)*H29+INDEX(Symboles!$H$6:$H$101,MOD(39+$C29+(0),$B$3)+1)*I29+INDEX(Symboles!$H$6:$H$101,MOD(39+$C29+(1),$B$3)+1)*J29+INDEX(Symboles!$H$6:$H$101,MOD(39+$C29+(2),$B$3)+1)*K29+INDEX(Symboles!$H$6:$H$101,MOD(39+$C29+(3),$B$3)+1)*L29+INDEX(Symboles!$H$6:$H$101,MOD(39+$C29+(4),$B$3)+1)*M29+IF($B$6=0,0,$B$6*NORMSINV(0.000001+0.999998*RAND())))</f>
        <v/>
      </c>
      <c r="EW29" s="30">
        <f>IF(41&gt;$B$3,99,INDEX(Symboles!$H$6:$H$101,MOD(40+$C29+(-4),$B$3)+1)*E29+INDEX(Symboles!$H$6:$H$101,MOD(40+$C29+(-3),$B$3)+1)*F29+INDEX(Symboles!$H$6:$H$101,MOD(40+$C29+(-2),$B$3)+1)*G29+INDEX(Symboles!$H$6:$H$101,MOD(40+$C29+(-1),$B$3)+1)*H29+INDEX(Symboles!$H$6:$H$101,MOD(40+$C29+(0),$B$3)+1)*I29+INDEX(Symboles!$H$6:$H$101,MOD(40+$C29+(1),$B$3)+1)*J29+INDEX(Symboles!$H$6:$H$101,MOD(40+$C29+(2),$B$3)+1)*K29+INDEX(Symboles!$H$6:$H$101,MOD(40+$C29+(3),$B$3)+1)*L29+INDEX(Symboles!$H$6:$H$101,MOD(40+$C29+(4),$B$3)+1)*M29+IF($B$6=0,0,$B$6*NORMSINV(0.000001+0.999998*RAND())))</f>
        <v/>
      </c>
      <c r="EX29" s="30">
        <f>IF(42&gt;$B$3,99,INDEX(Symboles!$H$6:$H$101,MOD(41+$C29+(-4),$B$3)+1)*E29+INDEX(Symboles!$H$6:$H$101,MOD(41+$C29+(-3),$B$3)+1)*F29+INDEX(Symboles!$H$6:$H$101,MOD(41+$C29+(-2),$B$3)+1)*G29+INDEX(Symboles!$H$6:$H$101,MOD(41+$C29+(-1),$B$3)+1)*H29+INDEX(Symboles!$H$6:$H$101,MOD(41+$C29+(0),$B$3)+1)*I29+INDEX(Symboles!$H$6:$H$101,MOD(41+$C29+(1),$B$3)+1)*J29+INDEX(Symboles!$H$6:$H$101,MOD(41+$C29+(2),$B$3)+1)*K29+INDEX(Symboles!$H$6:$H$101,MOD(41+$C29+(3),$B$3)+1)*L29+INDEX(Symboles!$H$6:$H$101,MOD(41+$C29+(4),$B$3)+1)*M29+IF($B$6=0,0,$B$6*NORMSINV(0.000001+0.999998*RAND())))</f>
        <v/>
      </c>
      <c r="EY29" s="30">
        <f>IF(43&gt;$B$3,99,INDEX(Symboles!$H$6:$H$101,MOD(42+$C29+(-4),$B$3)+1)*E29+INDEX(Symboles!$H$6:$H$101,MOD(42+$C29+(-3),$B$3)+1)*F29+INDEX(Symboles!$H$6:$H$101,MOD(42+$C29+(-2),$B$3)+1)*G29+INDEX(Symboles!$H$6:$H$101,MOD(42+$C29+(-1),$B$3)+1)*H29+INDEX(Symboles!$H$6:$H$101,MOD(42+$C29+(0),$B$3)+1)*I29+INDEX(Symboles!$H$6:$H$101,MOD(42+$C29+(1),$B$3)+1)*J29+INDEX(Symboles!$H$6:$H$101,MOD(42+$C29+(2),$B$3)+1)*K29+INDEX(Symboles!$H$6:$H$101,MOD(42+$C29+(3),$B$3)+1)*L29+INDEX(Symboles!$H$6:$H$101,MOD(42+$C29+(4),$B$3)+1)*M29+IF($B$6=0,0,$B$6*NORMSINV(0.000001+0.999998*RAND())))</f>
        <v/>
      </c>
      <c r="EZ29" s="30">
        <f>IF(44&gt;$B$3,99,INDEX(Symboles!$H$6:$H$101,MOD(43+$C29+(-4),$B$3)+1)*E29+INDEX(Symboles!$H$6:$H$101,MOD(43+$C29+(-3),$B$3)+1)*F29+INDEX(Symboles!$H$6:$H$101,MOD(43+$C29+(-2),$B$3)+1)*G29+INDEX(Symboles!$H$6:$H$101,MOD(43+$C29+(-1),$B$3)+1)*H29+INDEX(Symboles!$H$6:$H$101,MOD(43+$C29+(0),$B$3)+1)*I29+INDEX(Symboles!$H$6:$H$101,MOD(43+$C29+(1),$B$3)+1)*J29+INDEX(Symboles!$H$6:$H$101,MOD(43+$C29+(2),$B$3)+1)*K29+INDEX(Symboles!$H$6:$H$101,MOD(43+$C29+(3),$B$3)+1)*L29+INDEX(Symboles!$H$6:$H$101,MOD(43+$C29+(4),$B$3)+1)*M29+IF($B$6=0,0,$B$6*NORMSINV(0.000001+0.999998*RAND())))</f>
        <v/>
      </c>
      <c r="FA29" s="30">
        <f>IF(45&gt;$B$3,99,INDEX(Symboles!$H$6:$H$101,MOD(44+$C29+(-4),$B$3)+1)*E29+INDEX(Symboles!$H$6:$H$101,MOD(44+$C29+(-3),$B$3)+1)*F29+INDEX(Symboles!$H$6:$H$101,MOD(44+$C29+(-2),$B$3)+1)*G29+INDEX(Symboles!$H$6:$H$101,MOD(44+$C29+(-1),$B$3)+1)*H29+INDEX(Symboles!$H$6:$H$101,MOD(44+$C29+(0),$B$3)+1)*I29+INDEX(Symboles!$H$6:$H$101,MOD(44+$C29+(1),$B$3)+1)*J29+INDEX(Symboles!$H$6:$H$101,MOD(44+$C29+(2),$B$3)+1)*K29+INDEX(Symboles!$H$6:$H$101,MOD(44+$C29+(3),$B$3)+1)*L29+INDEX(Symboles!$H$6:$H$101,MOD(44+$C29+(4),$B$3)+1)*M29+IF($B$6=0,0,$B$6*NORMSINV(0.000001+0.999998*RAND())))</f>
        <v/>
      </c>
      <c r="FB29" s="30">
        <f>IF(46&gt;$B$3,99,INDEX(Symboles!$H$6:$H$101,MOD(45+$C29+(-4),$B$3)+1)*E29+INDEX(Symboles!$H$6:$H$101,MOD(45+$C29+(-3),$B$3)+1)*F29+INDEX(Symboles!$H$6:$H$101,MOD(45+$C29+(-2),$B$3)+1)*G29+INDEX(Symboles!$H$6:$H$101,MOD(45+$C29+(-1),$B$3)+1)*H29+INDEX(Symboles!$H$6:$H$101,MOD(45+$C29+(0),$B$3)+1)*I29+INDEX(Symboles!$H$6:$H$101,MOD(45+$C29+(1),$B$3)+1)*J29+INDEX(Symboles!$H$6:$H$101,MOD(45+$C29+(2),$B$3)+1)*K29+INDEX(Symboles!$H$6:$H$101,MOD(45+$C29+(3),$B$3)+1)*L29+INDEX(Symboles!$H$6:$H$101,MOD(45+$C29+(4),$B$3)+1)*M29+IF($B$6=0,0,$B$6*NORMSINV(0.000001+0.999998*RAND())))</f>
        <v/>
      </c>
      <c r="FC29" s="30">
        <f>IF(47&gt;$B$3,99,INDEX(Symboles!$H$6:$H$101,MOD(46+$C29+(-4),$B$3)+1)*E29+INDEX(Symboles!$H$6:$H$101,MOD(46+$C29+(-3),$B$3)+1)*F29+INDEX(Symboles!$H$6:$H$101,MOD(46+$C29+(-2),$B$3)+1)*G29+INDEX(Symboles!$H$6:$H$101,MOD(46+$C29+(-1),$B$3)+1)*H29+INDEX(Symboles!$H$6:$H$101,MOD(46+$C29+(0),$B$3)+1)*I29+INDEX(Symboles!$H$6:$H$101,MOD(46+$C29+(1),$B$3)+1)*J29+INDEX(Symboles!$H$6:$H$101,MOD(46+$C29+(2),$B$3)+1)*K29+INDEX(Symboles!$H$6:$H$101,MOD(46+$C29+(3),$B$3)+1)*L29+INDEX(Symboles!$H$6:$H$101,MOD(46+$C29+(4),$B$3)+1)*M29+IF($B$6=0,0,$B$6*NORMSINV(0.000001+0.999998*RAND())))</f>
        <v/>
      </c>
      <c r="FD29" s="30">
        <f>IF(48&gt;$B$3,99,INDEX(Symboles!$H$6:$H$101,MOD(47+$C29+(-4),$B$3)+1)*E29+INDEX(Symboles!$H$6:$H$101,MOD(47+$C29+(-3),$B$3)+1)*F29+INDEX(Symboles!$H$6:$H$101,MOD(47+$C29+(-2),$B$3)+1)*G29+INDEX(Symboles!$H$6:$H$101,MOD(47+$C29+(-1),$B$3)+1)*H29+INDEX(Symboles!$H$6:$H$101,MOD(47+$C29+(0),$B$3)+1)*I29+INDEX(Symboles!$H$6:$H$101,MOD(47+$C29+(1),$B$3)+1)*J29+INDEX(Symboles!$H$6:$H$101,MOD(47+$C29+(2),$B$3)+1)*K29+INDEX(Symboles!$H$6:$H$101,MOD(47+$C29+(3),$B$3)+1)*L29+INDEX(Symboles!$H$6:$H$101,MOD(47+$C29+(4),$B$3)+1)*M29+IF($B$6=0,0,$B$6*NORMSINV(0.000001+0.999998*RAND())))</f>
        <v/>
      </c>
      <c r="FE29" s="30">
        <f>IF(49&gt;$B$3,99,INDEX(Symboles!$H$6:$H$101,MOD(48+$C29+(-4),$B$3)+1)*E29+INDEX(Symboles!$H$6:$H$101,MOD(48+$C29+(-3),$B$3)+1)*F29+INDEX(Symboles!$H$6:$H$101,MOD(48+$C29+(-2),$B$3)+1)*G29+INDEX(Symboles!$H$6:$H$101,MOD(48+$C29+(-1),$B$3)+1)*H29+INDEX(Symboles!$H$6:$H$101,MOD(48+$C29+(0),$B$3)+1)*I29+INDEX(Symboles!$H$6:$H$101,MOD(48+$C29+(1),$B$3)+1)*J29+INDEX(Symboles!$H$6:$H$101,MOD(48+$C29+(2),$B$3)+1)*K29+INDEX(Symboles!$H$6:$H$101,MOD(48+$C29+(3),$B$3)+1)*L29+INDEX(Symboles!$H$6:$H$101,MOD(48+$C29+(4),$B$3)+1)*M29+IF($B$6=0,0,$B$6*NORMSINV(0.000001+0.999998*RAND())))</f>
        <v/>
      </c>
      <c r="FF29" s="30">
        <f>IF(50&gt;$B$3,99,INDEX(Symboles!$H$6:$H$101,MOD(49+$C29+(-4),$B$3)+1)*E29+INDEX(Symboles!$H$6:$H$101,MOD(49+$C29+(-3),$B$3)+1)*F29+INDEX(Symboles!$H$6:$H$101,MOD(49+$C29+(-2),$B$3)+1)*G29+INDEX(Symboles!$H$6:$H$101,MOD(49+$C29+(-1),$B$3)+1)*H29+INDEX(Symboles!$H$6:$H$101,MOD(49+$C29+(0),$B$3)+1)*I29+INDEX(Symboles!$H$6:$H$101,MOD(49+$C29+(1),$B$3)+1)*J29+INDEX(Symboles!$H$6:$H$101,MOD(49+$C29+(2),$B$3)+1)*K29+INDEX(Symboles!$H$6:$H$101,MOD(49+$C29+(3),$B$3)+1)*L29+INDEX(Symboles!$H$6:$H$101,MOD(49+$C29+(4),$B$3)+1)*M29+IF($B$6=0,0,$B$6*NORMSINV(0.000001+0.999998*RAND())))</f>
        <v/>
      </c>
      <c r="FG29" s="30">
        <f>IF(51&gt;$B$3,99,INDEX(Symboles!$H$6:$H$101,MOD(50+$C29+(-4),$B$3)+1)*E29+INDEX(Symboles!$H$6:$H$101,MOD(50+$C29+(-3),$B$3)+1)*F29+INDEX(Symboles!$H$6:$H$101,MOD(50+$C29+(-2),$B$3)+1)*G29+INDEX(Symboles!$H$6:$H$101,MOD(50+$C29+(-1),$B$3)+1)*H29+INDEX(Symboles!$H$6:$H$101,MOD(50+$C29+(0),$B$3)+1)*I29+INDEX(Symboles!$H$6:$H$101,MOD(50+$C29+(1),$B$3)+1)*J29+INDEX(Symboles!$H$6:$H$101,MOD(50+$C29+(2),$B$3)+1)*K29+INDEX(Symboles!$H$6:$H$101,MOD(50+$C29+(3),$B$3)+1)*L29+INDEX(Symboles!$H$6:$H$101,MOD(50+$C29+(4),$B$3)+1)*M29+IF($B$6=0,0,$B$6*NORMSINV(0.000001+0.999998*RAND())))</f>
        <v/>
      </c>
      <c r="FH29" s="30">
        <f>IF(52&gt;$B$3,99,INDEX(Symboles!$H$6:$H$101,MOD(51+$C29+(-4),$B$3)+1)*E29+INDEX(Symboles!$H$6:$H$101,MOD(51+$C29+(-3),$B$3)+1)*F29+INDEX(Symboles!$H$6:$H$101,MOD(51+$C29+(-2),$B$3)+1)*G29+INDEX(Symboles!$H$6:$H$101,MOD(51+$C29+(-1),$B$3)+1)*H29+INDEX(Symboles!$H$6:$H$101,MOD(51+$C29+(0),$B$3)+1)*I29+INDEX(Symboles!$H$6:$H$101,MOD(51+$C29+(1),$B$3)+1)*J29+INDEX(Symboles!$H$6:$H$101,MOD(51+$C29+(2),$B$3)+1)*K29+INDEX(Symboles!$H$6:$H$101,MOD(51+$C29+(3),$B$3)+1)*L29+INDEX(Symboles!$H$6:$H$101,MOD(51+$C29+(4),$B$3)+1)*M29+IF($B$6=0,0,$B$6*NORMSINV(0.000001+0.999998*RAND())))</f>
        <v/>
      </c>
      <c r="FI29" s="30">
        <f>IF(53&gt;$B$3,99,INDEX(Symboles!$H$6:$H$101,MOD(52+$C29+(-4),$B$3)+1)*E29+INDEX(Symboles!$H$6:$H$101,MOD(52+$C29+(-3),$B$3)+1)*F29+INDEX(Symboles!$H$6:$H$101,MOD(52+$C29+(-2),$B$3)+1)*G29+INDEX(Symboles!$H$6:$H$101,MOD(52+$C29+(-1),$B$3)+1)*H29+INDEX(Symboles!$H$6:$H$101,MOD(52+$C29+(0),$B$3)+1)*I29+INDEX(Symboles!$H$6:$H$101,MOD(52+$C29+(1),$B$3)+1)*J29+INDEX(Symboles!$H$6:$H$101,MOD(52+$C29+(2),$B$3)+1)*K29+INDEX(Symboles!$H$6:$H$101,MOD(52+$C29+(3),$B$3)+1)*L29+INDEX(Symboles!$H$6:$H$101,MOD(52+$C29+(4),$B$3)+1)*M29+IF($B$6=0,0,$B$6*NORMSINV(0.000001+0.999998*RAND())))</f>
        <v/>
      </c>
      <c r="FJ29" s="30">
        <f>IF(54&gt;$B$3,99,INDEX(Symboles!$H$6:$H$101,MOD(53+$C29+(-4),$B$3)+1)*E29+INDEX(Symboles!$H$6:$H$101,MOD(53+$C29+(-3),$B$3)+1)*F29+INDEX(Symboles!$H$6:$H$101,MOD(53+$C29+(-2),$B$3)+1)*G29+INDEX(Symboles!$H$6:$H$101,MOD(53+$C29+(-1),$B$3)+1)*H29+INDEX(Symboles!$H$6:$H$101,MOD(53+$C29+(0),$B$3)+1)*I29+INDEX(Symboles!$H$6:$H$101,MOD(53+$C29+(1),$B$3)+1)*J29+INDEX(Symboles!$H$6:$H$101,MOD(53+$C29+(2),$B$3)+1)*K29+INDEX(Symboles!$H$6:$H$101,MOD(53+$C29+(3),$B$3)+1)*L29+INDEX(Symboles!$H$6:$H$101,MOD(53+$C29+(4),$B$3)+1)*M29+IF($B$6=0,0,$B$6*NORMSINV(0.000001+0.999998*RAND())))</f>
        <v/>
      </c>
      <c r="FK29" s="30">
        <f>IF(55&gt;$B$3,99,INDEX(Symboles!$H$6:$H$101,MOD(54+$C29+(-4),$B$3)+1)*E29+INDEX(Symboles!$H$6:$H$101,MOD(54+$C29+(-3),$B$3)+1)*F29+INDEX(Symboles!$H$6:$H$101,MOD(54+$C29+(-2),$B$3)+1)*G29+INDEX(Symboles!$H$6:$H$101,MOD(54+$C29+(-1),$B$3)+1)*H29+INDEX(Symboles!$H$6:$H$101,MOD(54+$C29+(0),$B$3)+1)*I29+INDEX(Symboles!$H$6:$H$101,MOD(54+$C29+(1),$B$3)+1)*J29+INDEX(Symboles!$H$6:$H$101,MOD(54+$C29+(2),$B$3)+1)*K29+INDEX(Symboles!$H$6:$H$101,MOD(54+$C29+(3),$B$3)+1)*L29+INDEX(Symboles!$H$6:$H$101,MOD(54+$C29+(4),$B$3)+1)*M29+IF($B$6=0,0,$B$6*NORMSINV(0.000001+0.999998*RAND())))</f>
        <v/>
      </c>
      <c r="FL29" s="30">
        <f>IF(56&gt;$B$3,99,INDEX(Symboles!$H$6:$H$101,MOD(55+$C29+(-4),$B$3)+1)*E29+INDEX(Symboles!$H$6:$H$101,MOD(55+$C29+(-3),$B$3)+1)*F29+INDEX(Symboles!$H$6:$H$101,MOD(55+$C29+(-2),$B$3)+1)*G29+INDEX(Symboles!$H$6:$H$101,MOD(55+$C29+(-1),$B$3)+1)*H29+INDEX(Symboles!$H$6:$H$101,MOD(55+$C29+(0),$B$3)+1)*I29+INDEX(Symboles!$H$6:$H$101,MOD(55+$C29+(1),$B$3)+1)*J29+INDEX(Symboles!$H$6:$H$101,MOD(55+$C29+(2),$B$3)+1)*K29+INDEX(Symboles!$H$6:$H$101,MOD(55+$C29+(3),$B$3)+1)*L29+INDEX(Symboles!$H$6:$H$101,MOD(55+$C29+(4),$B$3)+1)*M29+IF($B$6=0,0,$B$6*NORMSINV(0.000001+0.999998*RAND())))</f>
        <v/>
      </c>
      <c r="FM29" s="30">
        <f>IF(57&gt;$B$3,99,INDEX(Symboles!$H$6:$H$101,MOD(56+$C29+(-4),$B$3)+1)*E29+INDEX(Symboles!$H$6:$H$101,MOD(56+$C29+(-3),$B$3)+1)*F29+INDEX(Symboles!$H$6:$H$101,MOD(56+$C29+(-2),$B$3)+1)*G29+INDEX(Symboles!$H$6:$H$101,MOD(56+$C29+(-1),$B$3)+1)*H29+INDEX(Symboles!$H$6:$H$101,MOD(56+$C29+(0),$B$3)+1)*I29+INDEX(Symboles!$H$6:$H$101,MOD(56+$C29+(1),$B$3)+1)*J29+INDEX(Symboles!$H$6:$H$101,MOD(56+$C29+(2),$B$3)+1)*K29+INDEX(Symboles!$H$6:$H$101,MOD(56+$C29+(3),$B$3)+1)*L29+INDEX(Symboles!$H$6:$H$101,MOD(56+$C29+(4),$B$3)+1)*M29+IF($B$6=0,0,$B$6*NORMSINV(0.000001+0.999998*RAND())))</f>
        <v/>
      </c>
      <c r="FN29" s="30">
        <f>IF(58&gt;$B$3,99,INDEX(Symboles!$H$6:$H$101,MOD(57+$C29+(-4),$B$3)+1)*E29+INDEX(Symboles!$H$6:$H$101,MOD(57+$C29+(-3),$B$3)+1)*F29+INDEX(Symboles!$H$6:$H$101,MOD(57+$C29+(-2),$B$3)+1)*G29+INDEX(Symboles!$H$6:$H$101,MOD(57+$C29+(-1),$B$3)+1)*H29+INDEX(Symboles!$H$6:$H$101,MOD(57+$C29+(0),$B$3)+1)*I29+INDEX(Symboles!$H$6:$H$101,MOD(57+$C29+(1),$B$3)+1)*J29+INDEX(Symboles!$H$6:$H$101,MOD(57+$C29+(2),$B$3)+1)*K29+INDEX(Symboles!$H$6:$H$101,MOD(57+$C29+(3),$B$3)+1)*L29+INDEX(Symboles!$H$6:$H$101,MOD(57+$C29+(4),$B$3)+1)*M29+IF($B$6=0,0,$B$6*NORMSINV(0.000001+0.999998*RAND())))</f>
        <v/>
      </c>
      <c r="FO29" s="30">
        <f>IF(59&gt;$B$3,99,INDEX(Symboles!$H$6:$H$101,MOD(58+$C29+(-4),$B$3)+1)*E29+INDEX(Symboles!$H$6:$H$101,MOD(58+$C29+(-3),$B$3)+1)*F29+INDEX(Symboles!$H$6:$H$101,MOD(58+$C29+(-2),$B$3)+1)*G29+INDEX(Symboles!$H$6:$H$101,MOD(58+$C29+(-1),$B$3)+1)*H29+INDEX(Symboles!$H$6:$H$101,MOD(58+$C29+(0),$B$3)+1)*I29+INDEX(Symboles!$H$6:$H$101,MOD(58+$C29+(1),$B$3)+1)*J29+INDEX(Symboles!$H$6:$H$101,MOD(58+$C29+(2),$B$3)+1)*K29+INDEX(Symboles!$H$6:$H$101,MOD(58+$C29+(3),$B$3)+1)*L29+INDEX(Symboles!$H$6:$H$101,MOD(58+$C29+(4),$B$3)+1)*M29+IF($B$6=0,0,$B$6*NORMSINV(0.000001+0.999998*RAND())))</f>
        <v/>
      </c>
      <c r="FP29" s="30">
        <f>IF(60&gt;$B$3,99,INDEX(Symboles!$H$6:$H$101,MOD(59+$C29+(-4),$B$3)+1)*E29+INDEX(Symboles!$H$6:$H$101,MOD(59+$C29+(-3),$B$3)+1)*F29+INDEX(Symboles!$H$6:$H$101,MOD(59+$C29+(-2),$B$3)+1)*G29+INDEX(Symboles!$H$6:$H$101,MOD(59+$C29+(-1),$B$3)+1)*H29+INDEX(Symboles!$H$6:$H$101,MOD(59+$C29+(0),$B$3)+1)*I29+INDEX(Symboles!$H$6:$H$101,MOD(59+$C29+(1),$B$3)+1)*J29+INDEX(Symboles!$H$6:$H$101,MOD(59+$C29+(2),$B$3)+1)*K29+INDEX(Symboles!$H$6:$H$101,MOD(59+$C29+(3),$B$3)+1)*L29+INDEX(Symboles!$H$6:$H$101,MOD(59+$C29+(4),$B$3)+1)*M29+IF($B$6=0,0,$B$6*NORMSINV(0.000001+0.999998*RAND())))</f>
        <v/>
      </c>
      <c r="FQ29" s="30">
        <f>IF(61&gt;$B$3,99,INDEX(Symboles!$H$6:$H$101,MOD(60+$C29+(-4),$B$3)+1)*E29+INDEX(Symboles!$H$6:$H$101,MOD(60+$C29+(-3),$B$3)+1)*F29+INDEX(Symboles!$H$6:$H$101,MOD(60+$C29+(-2),$B$3)+1)*G29+INDEX(Symboles!$H$6:$H$101,MOD(60+$C29+(-1),$B$3)+1)*H29+INDEX(Symboles!$H$6:$H$101,MOD(60+$C29+(0),$B$3)+1)*I29+INDEX(Symboles!$H$6:$H$101,MOD(60+$C29+(1),$B$3)+1)*J29+INDEX(Symboles!$H$6:$H$101,MOD(60+$C29+(2),$B$3)+1)*K29+INDEX(Symboles!$H$6:$H$101,MOD(60+$C29+(3),$B$3)+1)*L29+INDEX(Symboles!$H$6:$H$101,MOD(60+$C29+(4),$B$3)+1)*M29+IF($B$6=0,0,$B$6*NORMSINV(0.000001+0.999998*RAND())))</f>
        <v/>
      </c>
      <c r="FR29" s="30">
        <f>IF(62&gt;$B$3,99,INDEX(Symboles!$H$6:$H$101,MOD(61+$C29+(-4),$B$3)+1)*E29+INDEX(Symboles!$H$6:$H$101,MOD(61+$C29+(-3),$B$3)+1)*F29+INDEX(Symboles!$H$6:$H$101,MOD(61+$C29+(-2),$B$3)+1)*G29+INDEX(Symboles!$H$6:$H$101,MOD(61+$C29+(-1),$B$3)+1)*H29+INDEX(Symboles!$H$6:$H$101,MOD(61+$C29+(0),$B$3)+1)*I29+INDEX(Symboles!$H$6:$H$101,MOD(61+$C29+(1),$B$3)+1)*J29+INDEX(Symboles!$H$6:$H$101,MOD(61+$C29+(2),$B$3)+1)*K29+INDEX(Symboles!$H$6:$H$101,MOD(61+$C29+(3),$B$3)+1)*L29+INDEX(Symboles!$H$6:$H$101,MOD(61+$C29+(4),$B$3)+1)*M29+IF($B$6=0,0,$B$6*NORMSINV(0.000001+0.999998*RAND())))</f>
        <v/>
      </c>
      <c r="FS29" s="30">
        <f>IF(63&gt;$B$3,99,INDEX(Symboles!$H$6:$H$101,MOD(62+$C29+(-4),$B$3)+1)*E29+INDEX(Symboles!$H$6:$H$101,MOD(62+$C29+(-3),$B$3)+1)*F29+INDEX(Symboles!$H$6:$H$101,MOD(62+$C29+(-2),$B$3)+1)*G29+INDEX(Symboles!$H$6:$H$101,MOD(62+$C29+(-1),$B$3)+1)*H29+INDEX(Symboles!$H$6:$H$101,MOD(62+$C29+(0),$B$3)+1)*I29+INDEX(Symboles!$H$6:$H$101,MOD(62+$C29+(1),$B$3)+1)*J29+INDEX(Symboles!$H$6:$H$101,MOD(62+$C29+(2),$B$3)+1)*K29+INDEX(Symboles!$H$6:$H$101,MOD(62+$C29+(3),$B$3)+1)*L29+INDEX(Symboles!$H$6:$H$101,MOD(62+$C29+(4),$B$3)+1)*M29+IF($B$6=0,0,$B$6*NORMSINV(0.000001+0.999998*RAND())))</f>
        <v/>
      </c>
      <c r="FT29" s="30">
        <f>IF(64&gt;$B$3,99,INDEX(Symboles!$H$6:$H$101,MOD(63+$C29+(-4),$B$3)+1)*E29+INDEX(Symboles!$H$6:$H$101,MOD(63+$C29+(-3),$B$3)+1)*F29+INDEX(Symboles!$H$6:$H$101,MOD(63+$C29+(-2),$B$3)+1)*G29+INDEX(Symboles!$H$6:$H$101,MOD(63+$C29+(-1),$B$3)+1)*H29+INDEX(Symboles!$H$6:$H$101,MOD(63+$C29+(0),$B$3)+1)*I29+INDEX(Symboles!$H$6:$H$101,MOD(63+$C29+(1),$B$3)+1)*J29+INDEX(Symboles!$H$6:$H$101,MOD(63+$C29+(2),$B$3)+1)*K29+INDEX(Symboles!$H$6:$H$101,MOD(63+$C29+(3),$B$3)+1)*L29+INDEX(Symboles!$H$6:$H$101,MOD(63+$C29+(4),$B$3)+1)*M29+IF($B$6=0,0,$B$6*NORMSINV(0.000001+0.999998*RAND())))</f>
        <v/>
      </c>
      <c r="FU29" s="30">
        <f>IF(65&gt;$B$3,99,INDEX(Symboles!$H$6:$H$101,MOD(64+$C29+(-4),$B$3)+1)*E29+INDEX(Symboles!$H$6:$H$101,MOD(64+$C29+(-3),$B$3)+1)*F29+INDEX(Symboles!$H$6:$H$101,MOD(64+$C29+(-2),$B$3)+1)*G29+INDEX(Symboles!$H$6:$H$101,MOD(64+$C29+(-1),$B$3)+1)*H29+INDEX(Symboles!$H$6:$H$101,MOD(64+$C29+(0),$B$3)+1)*I29+INDEX(Symboles!$H$6:$H$101,MOD(64+$C29+(1),$B$3)+1)*J29+INDEX(Symboles!$H$6:$H$101,MOD(64+$C29+(2),$B$3)+1)*K29+INDEX(Symboles!$H$6:$H$101,MOD(64+$C29+(3),$B$3)+1)*L29+INDEX(Symboles!$H$6:$H$101,MOD(64+$C29+(4),$B$3)+1)*M29+IF($B$6=0,0,$B$6*NORMSINV(0.000001+0.999998*RAND())))</f>
        <v/>
      </c>
      <c r="FV29" s="30">
        <f>IF(66&gt;$B$3,99,INDEX(Symboles!$H$6:$H$101,MOD(65+$C29+(-4),$B$3)+1)*E29+INDEX(Symboles!$H$6:$H$101,MOD(65+$C29+(-3),$B$3)+1)*F29+INDEX(Symboles!$H$6:$H$101,MOD(65+$C29+(-2),$B$3)+1)*G29+INDEX(Symboles!$H$6:$H$101,MOD(65+$C29+(-1),$B$3)+1)*H29+INDEX(Symboles!$H$6:$H$101,MOD(65+$C29+(0),$B$3)+1)*I29+INDEX(Symboles!$H$6:$H$101,MOD(65+$C29+(1),$B$3)+1)*J29+INDEX(Symboles!$H$6:$H$101,MOD(65+$C29+(2),$B$3)+1)*K29+INDEX(Symboles!$H$6:$H$101,MOD(65+$C29+(3),$B$3)+1)*L29+INDEX(Symboles!$H$6:$H$101,MOD(65+$C29+(4),$B$3)+1)*M29+IF($B$6=0,0,$B$6*NORMSINV(0.000001+0.999998*RAND())))</f>
        <v/>
      </c>
      <c r="FW29" s="30">
        <f>IF(67&gt;$B$3,99,INDEX(Symboles!$H$6:$H$101,MOD(66+$C29+(-4),$B$3)+1)*E29+INDEX(Symboles!$H$6:$H$101,MOD(66+$C29+(-3),$B$3)+1)*F29+INDEX(Symboles!$H$6:$H$101,MOD(66+$C29+(-2),$B$3)+1)*G29+INDEX(Symboles!$H$6:$H$101,MOD(66+$C29+(-1),$B$3)+1)*H29+INDEX(Symboles!$H$6:$H$101,MOD(66+$C29+(0),$B$3)+1)*I29+INDEX(Symboles!$H$6:$H$101,MOD(66+$C29+(1),$B$3)+1)*J29+INDEX(Symboles!$H$6:$H$101,MOD(66+$C29+(2),$B$3)+1)*K29+INDEX(Symboles!$H$6:$H$101,MOD(66+$C29+(3),$B$3)+1)*L29+INDEX(Symboles!$H$6:$H$101,MOD(66+$C29+(4),$B$3)+1)*M29+IF($B$6=0,0,$B$6*NORMSINV(0.000001+0.999998*RAND())))</f>
        <v/>
      </c>
      <c r="FX29" s="30">
        <f>IF(68&gt;$B$3,99,INDEX(Symboles!$H$6:$H$101,MOD(67+$C29+(-4),$B$3)+1)*E29+INDEX(Symboles!$H$6:$H$101,MOD(67+$C29+(-3),$B$3)+1)*F29+INDEX(Symboles!$H$6:$H$101,MOD(67+$C29+(-2),$B$3)+1)*G29+INDEX(Symboles!$H$6:$H$101,MOD(67+$C29+(-1),$B$3)+1)*H29+INDEX(Symboles!$H$6:$H$101,MOD(67+$C29+(0),$B$3)+1)*I29+INDEX(Symboles!$H$6:$H$101,MOD(67+$C29+(1),$B$3)+1)*J29+INDEX(Symboles!$H$6:$H$101,MOD(67+$C29+(2),$B$3)+1)*K29+INDEX(Symboles!$H$6:$H$101,MOD(67+$C29+(3),$B$3)+1)*L29+INDEX(Symboles!$H$6:$H$101,MOD(67+$C29+(4),$B$3)+1)*M29+IF($B$6=0,0,$B$6*NORMSINV(0.000001+0.999998*RAND())))</f>
        <v/>
      </c>
      <c r="FY29" s="30">
        <f>IF(69&gt;$B$3,99,INDEX(Symboles!$H$6:$H$101,MOD(68+$C29+(-4),$B$3)+1)*E29+INDEX(Symboles!$H$6:$H$101,MOD(68+$C29+(-3),$B$3)+1)*F29+INDEX(Symboles!$H$6:$H$101,MOD(68+$C29+(-2),$B$3)+1)*G29+INDEX(Symboles!$H$6:$H$101,MOD(68+$C29+(-1),$B$3)+1)*H29+INDEX(Symboles!$H$6:$H$101,MOD(68+$C29+(0),$B$3)+1)*I29+INDEX(Symboles!$H$6:$H$101,MOD(68+$C29+(1),$B$3)+1)*J29+INDEX(Symboles!$H$6:$H$101,MOD(68+$C29+(2),$B$3)+1)*K29+INDEX(Symboles!$H$6:$H$101,MOD(68+$C29+(3),$B$3)+1)*L29+INDEX(Symboles!$H$6:$H$101,MOD(68+$C29+(4),$B$3)+1)*M29+IF($B$6=0,0,$B$6*NORMSINV(0.000001+0.999998*RAND())))</f>
        <v/>
      </c>
      <c r="FZ29" s="30">
        <f>IF(70&gt;$B$3,99,INDEX(Symboles!$H$6:$H$101,MOD(69+$C29+(-4),$B$3)+1)*E29+INDEX(Symboles!$H$6:$H$101,MOD(69+$C29+(-3),$B$3)+1)*F29+INDEX(Symboles!$H$6:$H$101,MOD(69+$C29+(-2),$B$3)+1)*G29+INDEX(Symboles!$H$6:$H$101,MOD(69+$C29+(-1),$B$3)+1)*H29+INDEX(Symboles!$H$6:$H$101,MOD(69+$C29+(0),$B$3)+1)*I29+INDEX(Symboles!$H$6:$H$101,MOD(69+$C29+(1),$B$3)+1)*J29+INDEX(Symboles!$H$6:$H$101,MOD(69+$C29+(2),$B$3)+1)*K29+INDEX(Symboles!$H$6:$H$101,MOD(69+$C29+(3),$B$3)+1)*L29+INDEX(Symboles!$H$6:$H$101,MOD(69+$C29+(4),$B$3)+1)*M29+IF($B$6=0,0,$B$6*NORMSINV(0.000001+0.999998*RAND())))</f>
        <v/>
      </c>
      <c r="GA29" s="30">
        <f>IF(71&gt;$B$3,99,INDEX(Symboles!$H$6:$H$101,MOD(70+$C29+(-4),$B$3)+1)*E29+INDEX(Symboles!$H$6:$H$101,MOD(70+$C29+(-3),$B$3)+1)*F29+INDEX(Symboles!$H$6:$H$101,MOD(70+$C29+(-2),$B$3)+1)*G29+INDEX(Symboles!$H$6:$H$101,MOD(70+$C29+(-1),$B$3)+1)*H29+INDEX(Symboles!$H$6:$H$101,MOD(70+$C29+(0),$B$3)+1)*I29+INDEX(Symboles!$H$6:$H$101,MOD(70+$C29+(1),$B$3)+1)*J29+INDEX(Symboles!$H$6:$H$101,MOD(70+$C29+(2),$B$3)+1)*K29+INDEX(Symboles!$H$6:$H$101,MOD(70+$C29+(3),$B$3)+1)*L29+INDEX(Symboles!$H$6:$H$101,MOD(70+$C29+(4),$B$3)+1)*M29+IF($B$6=0,0,$B$6*NORMSINV(0.000001+0.999998*RAND())))</f>
        <v/>
      </c>
      <c r="GB29" s="30">
        <f>IF(72&gt;$B$3,99,INDEX(Symboles!$H$6:$H$101,MOD(71+$C29+(-4),$B$3)+1)*E29+INDEX(Symboles!$H$6:$H$101,MOD(71+$C29+(-3),$B$3)+1)*F29+INDEX(Symboles!$H$6:$H$101,MOD(71+$C29+(-2),$B$3)+1)*G29+INDEX(Symboles!$H$6:$H$101,MOD(71+$C29+(-1),$B$3)+1)*H29+INDEX(Symboles!$H$6:$H$101,MOD(71+$C29+(0),$B$3)+1)*I29+INDEX(Symboles!$H$6:$H$101,MOD(71+$C29+(1),$B$3)+1)*J29+INDEX(Symboles!$H$6:$H$101,MOD(71+$C29+(2),$B$3)+1)*K29+INDEX(Symboles!$H$6:$H$101,MOD(71+$C29+(3),$B$3)+1)*L29+INDEX(Symboles!$H$6:$H$101,MOD(71+$C29+(4),$B$3)+1)*M29+IF($B$6=0,0,$B$6*NORMSINV(0.000001+0.999998*RAND())))</f>
        <v/>
      </c>
      <c r="GC29" s="30">
        <f>IF(73&gt;$B$3,99,INDEX(Symboles!$H$6:$H$101,MOD(72+$C29+(-4),$B$3)+1)*E29+INDEX(Symboles!$H$6:$H$101,MOD(72+$C29+(-3),$B$3)+1)*F29+INDEX(Symboles!$H$6:$H$101,MOD(72+$C29+(-2),$B$3)+1)*G29+INDEX(Symboles!$H$6:$H$101,MOD(72+$C29+(-1),$B$3)+1)*H29+INDEX(Symboles!$H$6:$H$101,MOD(72+$C29+(0),$B$3)+1)*I29+INDEX(Symboles!$H$6:$H$101,MOD(72+$C29+(1),$B$3)+1)*J29+INDEX(Symboles!$H$6:$H$101,MOD(72+$C29+(2),$B$3)+1)*K29+INDEX(Symboles!$H$6:$H$101,MOD(72+$C29+(3),$B$3)+1)*L29+INDEX(Symboles!$H$6:$H$101,MOD(72+$C29+(4),$B$3)+1)*M29+IF($B$6=0,0,$B$6*NORMSINV(0.000001+0.999998*RAND())))</f>
        <v/>
      </c>
      <c r="GD29" s="30">
        <f>IF(74&gt;$B$3,99,INDEX(Symboles!$H$6:$H$101,MOD(73+$C29+(-4),$B$3)+1)*E29+INDEX(Symboles!$H$6:$H$101,MOD(73+$C29+(-3),$B$3)+1)*F29+INDEX(Symboles!$H$6:$H$101,MOD(73+$C29+(-2),$B$3)+1)*G29+INDEX(Symboles!$H$6:$H$101,MOD(73+$C29+(-1),$B$3)+1)*H29+INDEX(Symboles!$H$6:$H$101,MOD(73+$C29+(0),$B$3)+1)*I29+INDEX(Symboles!$H$6:$H$101,MOD(73+$C29+(1),$B$3)+1)*J29+INDEX(Symboles!$H$6:$H$101,MOD(73+$C29+(2),$B$3)+1)*K29+INDEX(Symboles!$H$6:$H$101,MOD(73+$C29+(3),$B$3)+1)*L29+INDEX(Symboles!$H$6:$H$101,MOD(73+$C29+(4),$B$3)+1)*M29+IF($B$6=0,0,$B$6*NORMSINV(0.000001+0.999998*RAND())))</f>
        <v/>
      </c>
      <c r="GE29" s="30">
        <f>IF(75&gt;$B$3,99,INDEX(Symboles!$H$6:$H$101,MOD(74+$C29+(-4),$B$3)+1)*E29+INDEX(Symboles!$H$6:$H$101,MOD(74+$C29+(-3),$B$3)+1)*F29+INDEX(Symboles!$H$6:$H$101,MOD(74+$C29+(-2),$B$3)+1)*G29+INDEX(Symboles!$H$6:$H$101,MOD(74+$C29+(-1),$B$3)+1)*H29+INDEX(Symboles!$H$6:$H$101,MOD(74+$C29+(0),$B$3)+1)*I29+INDEX(Symboles!$H$6:$H$101,MOD(74+$C29+(1),$B$3)+1)*J29+INDEX(Symboles!$H$6:$H$101,MOD(74+$C29+(2),$B$3)+1)*K29+INDEX(Symboles!$H$6:$H$101,MOD(74+$C29+(3),$B$3)+1)*L29+INDEX(Symboles!$H$6:$H$101,MOD(74+$C29+(4),$B$3)+1)*M29+IF($B$6=0,0,$B$6*NORMSINV(0.000001+0.999998*RAND())))</f>
        <v/>
      </c>
      <c r="GF29" s="30">
        <f>IF(76&gt;$B$3,99,INDEX(Symboles!$H$6:$H$101,MOD(75+$C29+(-4),$B$3)+1)*E29+INDEX(Symboles!$H$6:$H$101,MOD(75+$C29+(-3),$B$3)+1)*F29+INDEX(Symboles!$H$6:$H$101,MOD(75+$C29+(-2),$B$3)+1)*G29+INDEX(Symboles!$H$6:$H$101,MOD(75+$C29+(-1),$B$3)+1)*H29+INDEX(Symboles!$H$6:$H$101,MOD(75+$C29+(0),$B$3)+1)*I29+INDEX(Symboles!$H$6:$H$101,MOD(75+$C29+(1),$B$3)+1)*J29+INDEX(Symboles!$H$6:$H$101,MOD(75+$C29+(2),$B$3)+1)*K29+INDEX(Symboles!$H$6:$H$101,MOD(75+$C29+(3),$B$3)+1)*L29+INDEX(Symboles!$H$6:$H$101,MOD(75+$C29+(4),$B$3)+1)*M29+IF($B$6=0,0,$B$6*NORMSINV(0.000001+0.999998*RAND())))</f>
        <v/>
      </c>
      <c r="GG29" s="30">
        <f>IF(77&gt;$B$3,99,INDEX(Symboles!$H$6:$H$101,MOD(76+$C29+(-4),$B$3)+1)*E29+INDEX(Symboles!$H$6:$H$101,MOD(76+$C29+(-3),$B$3)+1)*F29+INDEX(Symboles!$H$6:$H$101,MOD(76+$C29+(-2),$B$3)+1)*G29+INDEX(Symboles!$H$6:$H$101,MOD(76+$C29+(-1),$B$3)+1)*H29+INDEX(Symboles!$H$6:$H$101,MOD(76+$C29+(0),$B$3)+1)*I29+INDEX(Symboles!$H$6:$H$101,MOD(76+$C29+(1),$B$3)+1)*J29+INDEX(Symboles!$H$6:$H$101,MOD(76+$C29+(2),$B$3)+1)*K29+INDEX(Symboles!$H$6:$H$101,MOD(76+$C29+(3),$B$3)+1)*L29+INDEX(Symboles!$H$6:$H$101,MOD(76+$C29+(4),$B$3)+1)*M29+IF($B$6=0,0,$B$6*NORMSINV(0.000001+0.999998*RAND())))</f>
        <v/>
      </c>
      <c r="GH29" s="30">
        <f>IF(78&gt;$B$3,99,INDEX(Symboles!$H$6:$H$101,MOD(77+$C29+(-4),$B$3)+1)*E29+INDEX(Symboles!$H$6:$H$101,MOD(77+$C29+(-3),$B$3)+1)*F29+INDEX(Symboles!$H$6:$H$101,MOD(77+$C29+(-2),$B$3)+1)*G29+INDEX(Symboles!$H$6:$H$101,MOD(77+$C29+(-1),$B$3)+1)*H29+INDEX(Symboles!$H$6:$H$101,MOD(77+$C29+(0),$B$3)+1)*I29+INDEX(Symboles!$H$6:$H$101,MOD(77+$C29+(1),$B$3)+1)*J29+INDEX(Symboles!$H$6:$H$101,MOD(77+$C29+(2),$B$3)+1)*K29+INDEX(Symboles!$H$6:$H$101,MOD(77+$C29+(3),$B$3)+1)*L29+INDEX(Symboles!$H$6:$H$101,MOD(77+$C29+(4),$B$3)+1)*M29+IF($B$6=0,0,$B$6*NORMSINV(0.000001+0.999998*RAND())))</f>
        <v/>
      </c>
      <c r="GI29" s="30">
        <f>IF(79&gt;$B$3,99,INDEX(Symboles!$H$6:$H$101,MOD(78+$C29+(-4),$B$3)+1)*E29+INDEX(Symboles!$H$6:$H$101,MOD(78+$C29+(-3),$B$3)+1)*F29+INDEX(Symboles!$H$6:$H$101,MOD(78+$C29+(-2),$B$3)+1)*G29+INDEX(Symboles!$H$6:$H$101,MOD(78+$C29+(-1),$B$3)+1)*H29+INDEX(Symboles!$H$6:$H$101,MOD(78+$C29+(0),$B$3)+1)*I29+INDEX(Symboles!$H$6:$H$101,MOD(78+$C29+(1),$B$3)+1)*J29+INDEX(Symboles!$H$6:$H$101,MOD(78+$C29+(2),$B$3)+1)*K29+INDEX(Symboles!$H$6:$H$101,MOD(78+$C29+(3),$B$3)+1)*L29+INDEX(Symboles!$H$6:$H$101,MOD(78+$C29+(4),$B$3)+1)*M29+IF($B$6=0,0,$B$6*NORMSINV(0.000001+0.999998*RAND())))</f>
        <v/>
      </c>
      <c r="GJ29" s="30">
        <f>IF(80&gt;$B$3,99,INDEX(Symboles!$H$6:$H$101,MOD(79+$C29+(-4),$B$3)+1)*E29+INDEX(Symboles!$H$6:$H$101,MOD(79+$C29+(-3),$B$3)+1)*F29+INDEX(Symboles!$H$6:$H$101,MOD(79+$C29+(-2),$B$3)+1)*G29+INDEX(Symboles!$H$6:$H$101,MOD(79+$C29+(-1),$B$3)+1)*H29+INDEX(Symboles!$H$6:$H$101,MOD(79+$C29+(0),$B$3)+1)*I29+INDEX(Symboles!$H$6:$H$101,MOD(79+$C29+(1),$B$3)+1)*J29+INDEX(Symboles!$H$6:$H$101,MOD(79+$C29+(2),$B$3)+1)*K29+INDEX(Symboles!$H$6:$H$101,MOD(79+$C29+(3),$B$3)+1)*L29+INDEX(Symboles!$H$6:$H$101,MOD(79+$C29+(4),$B$3)+1)*M29+IF($B$6=0,0,$B$6*NORMSINV(0.000001+0.999998*RAND())))</f>
        <v/>
      </c>
      <c r="GK29" s="30">
        <f>IF(81&gt;$B$3,99,INDEX(Symboles!$H$6:$H$101,MOD(80+$C29+(-4),$B$3)+1)*E29+INDEX(Symboles!$H$6:$H$101,MOD(80+$C29+(-3),$B$3)+1)*F29+INDEX(Symboles!$H$6:$H$101,MOD(80+$C29+(-2),$B$3)+1)*G29+INDEX(Symboles!$H$6:$H$101,MOD(80+$C29+(-1),$B$3)+1)*H29+INDEX(Symboles!$H$6:$H$101,MOD(80+$C29+(0),$B$3)+1)*I29+INDEX(Symboles!$H$6:$H$101,MOD(80+$C29+(1),$B$3)+1)*J29+INDEX(Symboles!$H$6:$H$101,MOD(80+$C29+(2),$B$3)+1)*K29+INDEX(Symboles!$H$6:$H$101,MOD(80+$C29+(3),$B$3)+1)*L29+INDEX(Symboles!$H$6:$H$101,MOD(80+$C29+(4),$B$3)+1)*M29+IF($B$6=0,0,$B$6*NORMSINV(0.000001+0.999998*RAND())))</f>
        <v/>
      </c>
      <c r="GL29" s="30">
        <f>IF(82&gt;$B$3,99,INDEX(Symboles!$H$6:$H$101,MOD(81+$C29+(-4),$B$3)+1)*E29+INDEX(Symboles!$H$6:$H$101,MOD(81+$C29+(-3),$B$3)+1)*F29+INDEX(Symboles!$H$6:$H$101,MOD(81+$C29+(-2),$B$3)+1)*G29+INDEX(Symboles!$H$6:$H$101,MOD(81+$C29+(-1),$B$3)+1)*H29+INDEX(Symboles!$H$6:$H$101,MOD(81+$C29+(0),$B$3)+1)*I29+INDEX(Symboles!$H$6:$H$101,MOD(81+$C29+(1),$B$3)+1)*J29+INDEX(Symboles!$H$6:$H$101,MOD(81+$C29+(2),$B$3)+1)*K29+INDEX(Symboles!$H$6:$H$101,MOD(81+$C29+(3),$B$3)+1)*L29+INDEX(Symboles!$H$6:$H$101,MOD(81+$C29+(4),$B$3)+1)*M29+IF($B$6=0,0,$B$6*NORMSINV(0.000001+0.999998*RAND())))</f>
        <v/>
      </c>
      <c r="GM29" s="30">
        <f>IF(83&gt;$B$3,99,INDEX(Symboles!$H$6:$H$101,MOD(82+$C29+(-4),$B$3)+1)*E29+INDEX(Symboles!$H$6:$H$101,MOD(82+$C29+(-3),$B$3)+1)*F29+INDEX(Symboles!$H$6:$H$101,MOD(82+$C29+(-2),$B$3)+1)*G29+INDEX(Symboles!$H$6:$H$101,MOD(82+$C29+(-1),$B$3)+1)*H29+INDEX(Symboles!$H$6:$H$101,MOD(82+$C29+(0),$B$3)+1)*I29+INDEX(Symboles!$H$6:$H$101,MOD(82+$C29+(1),$B$3)+1)*J29+INDEX(Symboles!$H$6:$H$101,MOD(82+$C29+(2),$B$3)+1)*K29+INDEX(Symboles!$H$6:$H$101,MOD(82+$C29+(3),$B$3)+1)*L29+INDEX(Symboles!$H$6:$H$101,MOD(82+$C29+(4),$B$3)+1)*M29+IF($B$6=0,0,$B$6*NORMSINV(0.000001+0.999998*RAND())))</f>
        <v/>
      </c>
      <c r="GN29" s="30">
        <f>IF(84&gt;$B$3,99,INDEX(Symboles!$H$6:$H$101,MOD(83+$C29+(-4),$B$3)+1)*E29+INDEX(Symboles!$H$6:$H$101,MOD(83+$C29+(-3),$B$3)+1)*F29+INDEX(Symboles!$H$6:$H$101,MOD(83+$C29+(-2),$B$3)+1)*G29+INDEX(Symboles!$H$6:$H$101,MOD(83+$C29+(-1),$B$3)+1)*H29+INDEX(Symboles!$H$6:$H$101,MOD(83+$C29+(0),$B$3)+1)*I29+INDEX(Symboles!$H$6:$H$101,MOD(83+$C29+(1),$B$3)+1)*J29+INDEX(Symboles!$H$6:$H$101,MOD(83+$C29+(2),$B$3)+1)*K29+INDEX(Symboles!$H$6:$H$101,MOD(83+$C29+(3),$B$3)+1)*L29+INDEX(Symboles!$H$6:$H$101,MOD(83+$C29+(4),$B$3)+1)*M29+IF($B$6=0,0,$B$6*NORMSINV(0.000001+0.999998*RAND())))</f>
        <v/>
      </c>
      <c r="GO29" s="30">
        <f>IF(85&gt;$B$3,99,INDEX(Symboles!$H$6:$H$101,MOD(84+$C29+(-4),$B$3)+1)*E29+INDEX(Symboles!$H$6:$H$101,MOD(84+$C29+(-3),$B$3)+1)*F29+INDEX(Symboles!$H$6:$H$101,MOD(84+$C29+(-2),$B$3)+1)*G29+INDEX(Symboles!$H$6:$H$101,MOD(84+$C29+(-1),$B$3)+1)*H29+INDEX(Symboles!$H$6:$H$101,MOD(84+$C29+(0),$B$3)+1)*I29+INDEX(Symboles!$H$6:$H$101,MOD(84+$C29+(1),$B$3)+1)*J29+INDEX(Symboles!$H$6:$H$101,MOD(84+$C29+(2),$B$3)+1)*K29+INDEX(Symboles!$H$6:$H$101,MOD(84+$C29+(3),$B$3)+1)*L29+INDEX(Symboles!$H$6:$H$101,MOD(84+$C29+(4),$B$3)+1)*M29+IF($B$6=0,0,$B$6*NORMSINV(0.000001+0.999998*RAND())))</f>
        <v/>
      </c>
      <c r="GP29" s="30">
        <f>IF(86&gt;$B$3,99,INDEX(Symboles!$H$6:$H$101,MOD(85+$C29+(-4),$B$3)+1)*E29+INDEX(Symboles!$H$6:$H$101,MOD(85+$C29+(-3),$B$3)+1)*F29+INDEX(Symboles!$H$6:$H$101,MOD(85+$C29+(-2),$B$3)+1)*G29+INDEX(Symboles!$H$6:$H$101,MOD(85+$C29+(-1),$B$3)+1)*H29+INDEX(Symboles!$H$6:$H$101,MOD(85+$C29+(0),$B$3)+1)*I29+INDEX(Symboles!$H$6:$H$101,MOD(85+$C29+(1),$B$3)+1)*J29+INDEX(Symboles!$H$6:$H$101,MOD(85+$C29+(2),$B$3)+1)*K29+INDEX(Symboles!$H$6:$H$101,MOD(85+$C29+(3),$B$3)+1)*L29+INDEX(Symboles!$H$6:$H$101,MOD(85+$C29+(4),$B$3)+1)*M29+IF($B$6=0,0,$B$6*NORMSINV(0.000001+0.999998*RAND())))</f>
        <v/>
      </c>
      <c r="GQ29" s="30">
        <f>IF(87&gt;$B$3,99,INDEX(Symboles!$H$6:$H$101,MOD(86+$C29+(-4),$B$3)+1)*E29+INDEX(Symboles!$H$6:$H$101,MOD(86+$C29+(-3),$B$3)+1)*F29+INDEX(Symboles!$H$6:$H$101,MOD(86+$C29+(-2),$B$3)+1)*G29+INDEX(Symboles!$H$6:$H$101,MOD(86+$C29+(-1),$B$3)+1)*H29+INDEX(Symboles!$H$6:$H$101,MOD(86+$C29+(0),$B$3)+1)*I29+INDEX(Symboles!$H$6:$H$101,MOD(86+$C29+(1),$B$3)+1)*J29+INDEX(Symboles!$H$6:$H$101,MOD(86+$C29+(2),$B$3)+1)*K29+INDEX(Symboles!$H$6:$H$101,MOD(86+$C29+(3),$B$3)+1)*L29+INDEX(Symboles!$H$6:$H$101,MOD(86+$C29+(4),$B$3)+1)*M29+IF($B$6=0,0,$B$6*NORMSINV(0.000001+0.999998*RAND())))</f>
        <v/>
      </c>
      <c r="GR29" s="30">
        <f>IF(88&gt;$B$3,99,INDEX(Symboles!$H$6:$H$101,MOD(87+$C29+(-4),$B$3)+1)*E29+INDEX(Symboles!$H$6:$H$101,MOD(87+$C29+(-3),$B$3)+1)*F29+INDEX(Symboles!$H$6:$H$101,MOD(87+$C29+(-2),$B$3)+1)*G29+INDEX(Symboles!$H$6:$H$101,MOD(87+$C29+(-1),$B$3)+1)*H29+INDEX(Symboles!$H$6:$H$101,MOD(87+$C29+(0),$B$3)+1)*I29+INDEX(Symboles!$H$6:$H$101,MOD(87+$C29+(1),$B$3)+1)*J29+INDEX(Symboles!$H$6:$H$101,MOD(87+$C29+(2),$B$3)+1)*K29+INDEX(Symboles!$H$6:$H$101,MOD(87+$C29+(3),$B$3)+1)*L29+INDEX(Symboles!$H$6:$H$101,MOD(87+$C29+(4),$B$3)+1)*M29+IF($B$6=0,0,$B$6*NORMSINV(0.000001+0.999998*RAND())))</f>
        <v/>
      </c>
      <c r="GS29" s="30">
        <f>IF(89&gt;$B$3,99,INDEX(Symboles!$H$6:$H$101,MOD(88+$C29+(-4),$B$3)+1)*E29+INDEX(Symboles!$H$6:$H$101,MOD(88+$C29+(-3),$B$3)+1)*F29+INDEX(Symboles!$H$6:$H$101,MOD(88+$C29+(-2),$B$3)+1)*G29+INDEX(Symboles!$H$6:$H$101,MOD(88+$C29+(-1),$B$3)+1)*H29+INDEX(Symboles!$H$6:$H$101,MOD(88+$C29+(0),$B$3)+1)*I29+INDEX(Symboles!$H$6:$H$101,MOD(88+$C29+(1),$B$3)+1)*J29+INDEX(Symboles!$H$6:$H$101,MOD(88+$C29+(2),$B$3)+1)*K29+INDEX(Symboles!$H$6:$H$101,MOD(88+$C29+(3),$B$3)+1)*L29+INDEX(Symboles!$H$6:$H$101,MOD(88+$C29+(4),$B$3)+1)*M29+IF($B$6=0,0,$B$6*NORMSINV(0.000001+0.999998*RAND())))</f>
        <v/>
      </c>
      <c r="GT29" s="30">
        <f>IF(90&gt;$B$3,99,INDEX(Symboles!$H$6:$H$101,MOD(89+$C29+(-4),$B$3)+1)*E29+INDEX(Symboles!$H$6:$H$101,MOD(89+$C29+(-3),$B$3)+1)*F29+INDEX(Symboles!$H$6:$H$101,MOD(89+$C29+(-2),$B$3)+1)*G29+INDEX(Symboles!$H$6:$H$101,MOD(89+$C29+(-1),$B$3)+1)*H29+INDEX(Symboles!$H$6:$H$101,MOD(89+$C29+(0),$B$3)+1)*I29+INDEX(Symboles!$H$6:$H$101,MOD(89+$C29+(1),$B$3)+1)*J29+INDEX(Symboles!$H$6:$H$101,MOD(89+$C29+(2),$B$3)+1)*K29+INDEX(Symboles!$H$6:$H$101,MOD(89+$C29+(3),$B$3)+1)*L29+INDEX(Symboles!$H$6:$H$101,MOD(89+$C29+(4),$B$3)+1)*M29+IF($B$6=0,0,$B$6*NORMSINV(0.000001+0.999998*RAND())))</f>
        <v/>
      </c>
      <c r="GU29" s="30">
        <f>IF(91&gt;$B$3,99,INDEX(Symboles!$H$6:$H$101,MOD(90+$C29+(-4),$B$3)+1)*E29+INDEX(Symboles!$H$6:$H$101,MOD(90+$C29+(-3),$B$3)+1)*F29+INDEX(Symboles!$H$6:$H$101,MOD(90+$C29+(-2),$B$3)+1)*G29+INDEX(Symboles!$H$6:$H$101,MOD(90+$C29+(-1),$B$3)+1)*H29+INDEX(Symboles!$H$6:$H$101,MOD(90+$C29+(0),$B$3)+1)*I29+INDEX(Symboles!$H$6:$H$101,MOD(90+$C29+(1),$B$3)+1)*J29+INDEX(Symboles!$H$6:$H$101,MOD(90+$C29+(2),$B$3)+1)*K29+INDEX(Symboles!$H$6:$H$101,MOD(90+$C29+(3),$B$3)+1)*L29+INDEX(Symboles!$H$6:$H$101,MOD(90+$C29+(4),$B$3)+1)*M29+IF($B$6=0,0,$B$6*NORMSINV(0.000001+0.999998*RAND())))</f>
        <v/>
      </c>
      <c r="GV29" s="30">
        <f>IF(92&gt;$B$3,99,INDEX(Symboles!$H$6:$H$101,MOD(91+$C29+(-4),$B$3)+1)*E29+INDEX(Symboles!$H$6:$H$101,MOD(91+$C29+(-3),$B$3)+1)*F29+INDEX(Symboles!$H$6:$H$101,MOD(91+$C29+(-2),$B$3)+1)*G29+INDEX(Symboles!$H$6:$H$101,MOD(91+$C29+(-1),$B$3)+1)*H29+INDEX(Symboles!$H$6:$H$101,MOD(91+$C29+(0),$B$3)+1)*I29+INDEX(Symboles!$H$6:$H$101,MOD(91+$C29+(1),$B$3)+1)*J29+INDEX(Symboles!$H$6:$H$101,MOD(91+$C29+(2),$B$3)+1)*K29+INDEX(Symboles!$H$6:$H$101,MOD(91+$C29+(3),$B$3)+1)*L29+INDEX(Symboles!$H$6:$H$101,MOD(91+$C29+(4),$B$3)+1)*M29+IF($B$6=0,0,$B$6*NORMSINV(0.000001+0.999998*RAND())))</f>
        <v/>
      </c>
      <c r="GW29" s="30">
        <f>IF(93&gt;$B$3,99,INDEX(Symboles!$H$6:$H$101,MOD(92+$C29+(-4),$B$3)+1)*E29+INDEX(Symboles!$H$6:$H$101,MOD(92+$C29+(-3),$B$3)+1)*F29+INDEX(Symboles!$H$6:$H$101,MOD(92+$C29+(-2),$B$3)+1)*G29+INDEX(Symboles!$H$6:$H$101,MOD(92+$C29+(-1),$B$3)+1)*H29+INDEX(Symboles!$H$6:$H$101,MOD(92+$C29+(0),$B$3)+1)*I29+INDEX(Symboles!$H$6:$H$101,MOD(92+$C29+(1),$B$3)+1)*J29+INDEX(Symboles!$H$6:$H$101,MOD(92+$C29+(2),$B$3)+1)*K29+INDEX(Symboles!$H$6:$H$101,MOD(92+$C29+(3),$B$3)+1)*L29+INDEX(Symboles!$H$6:$H$101,MOD(92+$C29+(4),$B$3)+1)*M29+IF($B$6=0,0,$B$6*NORMSINV(0.000001+0.999998*RAND())))</f>
        <v/>
      </c>
      <c r="GX29" s="30">
        <f>IF(94&gt;$B$3,99,INDEX(Symboles!$H$6:$H$101,MOD(93+$C29+(-4),$B$3)+1)*E29+INDEX(Symboles!$H$6:$H$101,MOD(93+$C29+(-3),$B$3)+1)*F29+INDEX(Symboles!$H$6:$H$101,MOD(93+$C29+(-2),$B$3)+1)*G29+INDEX(Symboles!$H$6:$H$101,MOD(93+$C29+(-1),$B$3)+1)*H29+INDEX(Symboles!$H$6:$H$101,MOD(93+$C29+(0),$B$3)+1)*I29+INDEX(Symboles!$H$6:$H$101,MOD(93+$C29+(1),$B$3)+1)*J29+INDEX(Symboles!$H$6:$H$101,MOD(93+$C29+(2),$B$3)+1)*K29+INDEX(Symboles!$H$6:$H$101,MOD(93+$C29+(3),$B$3)+1)*L29+INDEX(Symboles!$H$6:$H$101,MOD(93+$C29+(4),$B$3)+1)*M29+IF($B$6=0,0,$B$6*NORMSINV(0.000001+0.999998*RAND())))</f>
        <v/>
      </c>
      <c r="GY29" s="30">
        <f>IF(95&gt;$B$3,99,INDEX(Symboles!$H$6:$H$101,MOD(94+$C29+(-4),$B$3)+1)*E29+INDEX(Symboles!$H$6:$H$101,MOD(94+$C29+(-3),$B$3)+1)*F29+INDEX(Symboles!$H$6:$H$101,MOD(94+$C29+(-2),$B$3)+1)*G29+INDEX(Symboles!$H$6:$H$101,MOD(94+$C29+(-1),$B$3)+1)*H29+INDEX(Symboles!$H$6:$H$101,MOD(94+$C29+(0),$B$3)+1)*I29+INDEX(Symboles!$H$6:$H$101,MOD(94+$C29+(1),$B$3)+1)*J29+INDEX(Symboles!$H$6:$H$101,MOD(94+$C29+(2),$B$3)+1)*K29+INDEX(Symboles!$H$6:$H$101,MOD(94+$C29+(3),$B$3)+1)*L29+INDEX(Symboles!$H$6:$H$101,MOD(94+$C29+(4),$B$3)+1)*M29+IF($B$6=0,0,$B$6*NORMSINV(0.000001+0.999998*RAND())))</f>
        <v/>
      </c>
      <c r="GZ29" s="30">
        <f>IF(96&gt;$B$3,99,INDEX(Symboles!$H$6:$H$101,MOD(95+$C29+(-4),$B$3)+1)*E29+INDEX(Symboles!$H$6:$H$101,MOD(95+$C29+(-3),$B$3)+1)*F29+INDEX(Symboles!$H$6:$H$101,MOD(95+$C29+(-2),$B$3)+1)*G29+INDEX(Symboles!$H$6:$H$101,MOD(95+$C29+(-1),$B$3)+1)*H29+INDEX(Symboles!$H$6:$H$101,MOD(95+$C29+(0),$B$3)+1)*I29+INDEX(Symboles!$H$6:$H$101,MOD(95+$C29+(1),$B$3)+1)*J29+INDEX(Symboles!$H$6:$H$101,MOD(95+$C29+(2),$B$3)+1)*K29+INDEX(Symboles!$H$6:$H$101,MOD(95+$C29+(3),$B$3)+1)*L29+INDEX(Symboles!$H$6:$H$101,MOD(95+$C29+(4),$B$3)+1)*M29+IF($B$6=0,0,$B$6*NORMSINV(0.000001+0.999998*RAND())))</f>
        <v/>
      </c>
    </row>
    <row r="30">
      <c r="A30" s="28" t="n">
        <v>20</v>
      </c>
      <c r="B30" s="28" t="n">
        <v>0.25</v>
      </c>
      <c r="C30" s="28" t="n">
        <v>0</v>
      </c>
      <c r="D30" s="28" t="n">
        <v>12</v>
      </c>
      <c r="E30" s="29">
        <f>IF($B$4=1,0,IF(ABS(1-(2*$B$5*4.25)^2)&lt;0.000001,PI()/4*SIN(PI()/(2*$B$5))/(PI()/(2*$B$5)),SIN(PI()*4.25)/(PI()*4.25)*COS(PI()*$B$5*4.25)/(1-(2*$B$5*4.25)^2)))</f>
        <v/>
      </c>
      <c r="F30" s="29">
        <f>IF($B$4=1,0,IF(ABS(1-(2*$B$5*3.25)^2)&lt;0.000001,PI()/4*SIN(PI()/(2*$B$5))/(PI()/(2*$B$5)),SIN(PI()*3.25)/(PI()*3.25)*COS(PI()*$B$5*3.25)/(1-(2*$B$5*3.25)^2)))</f>
        <v/>
      </c>
      <c r="G30" s="29">
        <f>IF($B$4=1,0,IF(ABS(1-(2*$B$5*2.25)^2)&lt;0.000001,PI()/4*SIN(PI()/(2*$B$5))/(PI()/(2*$B$5)),SIN(PI()*2.25)/(PI()*2.25)*COS(PI()*$B$5*2.25)/(1-(2*$B$5*2.25)^2)))</f>
        <v/>
      </c>
      <c r="H30" s="29">
        <f>IF($B$4=1,0,IF(ABS(1-(2*$B$5*1.25)^2)&lt;0.000001,PI()/4*SIN(PI()/(2*$B$5))/(PI()/(2*$B$5)),SIN(PI()*1.25)/(PI()*1.25)*COS(PI()*$B$5*1.25)/(1-(2*$B$5*1.25)^2)))</f>
        <v/>
      </c>
      <c r="I30" s="29">
        <f>IF($B$4=1,1,IF(ABS(1-(2*$B$5*0.25)^2)&lt;0.000001,PI()/4*SIN(PI()/(2*$B$5))/(PI()/(2*$B$5)),SIN(PI()*0.25)/(PI()*0.25)*COS(PI()*$B$5*0.25)/(1-(2*$B$5*0.25)^2)))</f>
        <v/>
      </c>
      <c r="J30" s="29">
        <f>IF($B$4=1,0,IF(ABS(1-(2*$B$5*-0.75)^2)&lt;0.000001,PI()/4*SIN(PI()/(2*$B$5))/(PI()/(2*$B$5)),SIN(PI()*-0.75)/(PI()*-0.75)*COS(PI()*$B$5*-0.75)/(1-(2*$B$5*-0.75)^2)))</f>
        <v/>
      </c>
      <c r="K30" s="29">
        <f>IF($B$4=1,0,IF(ABS(1-(2*$B$5*-1.75)^2)&lt;0.000001,PI()/4*SIN(PI()/(2*$B$5))/(PI()/(2*$B$5)),SIN(PI()*-1.75)/(PI()*-1.75)*COS(PI()*$B$5*-1.75)/(1-(2*$B$5*-1.75)^2)))</f>
        <v/>
      </c>
      <c r="L30" s="29">
        <f>IF($B$4=1,0,IF(ABS(1-(2*$B$5*-2.75)^2)&lt;0.000001,PI()/4*SIN(PI()/(2*$B$5))/(PI()/(2*$B$5)),SIN(PI()*-2.75)/(PI()*-2.75)*COS(PI()*$B$5*-2.75)/(1-(2*$B$5*-2.75)^2)))</f>
        <v/>
      </c>
      <c r="M30" s="29">
        <f>IF($B$4=1,0,IF(ABS(1-(2*$B$5*-3.75)^2)&lt;0.000001,PI()/4*SIN(PI()/(2*$B$5))/(PI()/(2*$B$5)),SIN(PI()*-3.75)/(PI()*-3.75)*COS(PI()*$B$5*-3.75)/(1-(2*$B$5*-3.75)^2)))</f>
        <v/>
      </c>
      <c r="P30" s="30">
        <f>IF(1&gt;$B$3,99,INDEX(Symboles!$G$6:$G$101,MOD(0+$C30+(-4),$B$3)+1)*E30+INDEX(Symboles!$G$6:$G$101,MOD(0+$C30+(-3),$B$3)+1)*F30+INDEX(Symboles!$G$6:$G$101,MOD(0+$C30+(-2),$B$3)+1)*G30+INDEX(Symboles!$G$6:$G$101,MOD(0+$C30+(-1),$B$3)+1)*H30+INDEX(Symboles!$G$6:$G$101,MOD(0+$C30+(0),$B$3)+1)*I30+INDEX(Symboles!$G$6:$G$101,MOD(0+$C30+(1),$B$3)+1)*J30+INDEX(Symboles!$G$6:$G$101,MOD(0+$C30+(2),$B$3)+1)*K30+INDEX(Symboles!$G$6:$G$101,MOD(0+$C30+(3),$B$3)+1)*L30+INDEX(Symboles!$G$6:$G$101,MOD(0+$C30+(4),$B$3)+1)*M30+IF($B$6=0,0,$B$6*NORMSINV(0.000001+0.999998*RAND())))</f>
        <v/>
      </c>
      <c r="Q30" s="30">
        <f>IF(2&gt;$B$3,99,INDEX(Symboles!$G$6:$G$101,MOD(1+$C30+(-4),$B$3)+1)*E30+INDEX(Symboles!$G$6:$G$101,MOD(1+$C30+(-3),$B$3)+1)*F30+INDEX(Symboles!$G$6:$G$101,MOD(1+$C30+(-2),$B$3)+1)*G30+INDEX(Symboles!$G$6:$G$101,MOD(1+$C30+(-1),$B$3)+1)*H30+INDEX(Symboles!$G$6:$G$101,MOD(1+$C30+(0),$B$3)+1)*I30+INDEX(Symboles!$G$6:$G$101,MOD(1+$C30+(1),$B$3)+1)*J30+INDEX(Symboles!$G$6:$G$101,MOD(1+$C30+(2),$B$3)+1)*K30+INDEX(Symboles!$G$6:$G$101,MOD(1+$C30+(3),$B$3)+1)*L30+INDEX(Symboles!$G$6:$G$101,MOD(1+$C30+(4),$B$3)+1)*M30+IF($B$6=0,0,$B$6*NORMSINV(0.000001+0.999998*RAND())))</f>
        <v/>
      </c>
      <c r="R30" s="30">
        <f>IF(3&gt;$B$3,99,INDEX(Symboles!$G$6:$G$101,MOD(2+$C30+(-4),$B$3)+1)*E30+INDEX(Symboles!$G$6:$G$101,MOD(2+$C30+(-3),$B$3)+1)*F30+INDEX(Symboles!$G$6:$G$101,MOD(2+$C30+(-2),$B$3)+1)*G30+INDEX(Symboles!$G$6:$G$101,MOD(2+$C30+(-1),$B$3)+1)*H30+INDEX(Symboles!$G$6:$G$101,MOD(2+$C30+(0),$B$3)+1)*I30+INDEX(Symboles!$G$6:$G$101,MOD(2+$C30+(1),$B$3)+1)*J30+INDEX(Symboles!$G$6:$G$101,MOD(2+$C30+(2),$B$3)+1)*K30+INDEX(Symboles!$G$6:$G$101,MOD(2+$C30+(3),$B$3)+1)*L30+INDEX(Symboles!$G$6:$G$101,MOD(2+$C30+(4),$B$3)+1)*M30+IF($B$6=0,0,$B$6*NORMSINV(0.000001+0.999998*RAND())))</f>
        <v/>
      </c>
      <c r="S30" s="30">
        <f>IF(4&gt;$B$3,99,INDEX(Symboles!$G$6:$G$101,MOD(3+$C30+(-4),$B$3)+1)*E30+INDEX(Symboles!$G$6:$G$101,MOD(3+$C30+(-3),$B$3)+1)*F30+INDEX(Symboles!$G$6:$G$101,MOD(3+$C30+(-2),$B$3)+1)*G30+INDEX(Symboles!$G$6:$G$101,MOD(3+$C30+(-1),$B$3)+1)*H30+INDEX(Symboles!$G$6:$G$101,MOD(3+$C30+(0),$B$3)+1)*I30+INDEX(Symboles!$G$6:$G$101,MOD(3+$C30+(1),$B$3)+1)*J30+INDEX(Symboles!$G$6:$G$101,MOD(3+$C30+(2),$B$3)+1)*K30+INDEX(Symboles!$G$6:$G$101,MOD(3+$C30+(3),$B$3)+1)*L30+INDEX(Symboles!$G$6:$G$101,MOD(3+$C30+(4),$B$3)+1)*M30+IF($B$6=0,0,$B$6*NORMSINV(0.000001+0.999998*RAND())))</f>
        <v/>
      </c>
      <c r="T30" s="30">
        <f>IF(5&gt;$B$3,99,INDEX(Symboles!$G$6:$G$101,MOD(4+$C30+(-4),$B$3)+1)*E30+INDEX(Symboles!$G$6:$G$101,MOD(4+$C30+(-3),$B$3)+1)*F30+INDEX(Symboles!$G$6:$G$101,MOD(4+$C30+(-2),$B$3)+1)*G30+INDEX(Symboles!$G$6:$G$101,MOD(4+$C30+(-1),$B$3)+1)*H30+INDEX(Symboles!$G$6:$G$101,MOD(4+$C30+(0),$B$3)+1)*I30+INDEX(Symboles!$G$6:$G$101,MOD(4+$C30+(1),$B$3)+1)*J30+INDEX(Symboles!$G$6:$G$101,MOD(4+$C30+(2),$B$3)+1)*K30+INDEX(Symboles!$G$6:$G$101,MOD(4+$C30+(3),$B$3)+1)*L30+INDEX(Symboles!$G$6:$G$101,MOD(4+$C30+(4),$B$3)+1)*M30+IF($B$6=0,0,$B$6*NORMSINV(0.000001+0.999998*RAND())))</f>
        <v/>
      </c>
      <c r="U30" s="30">
        <f>IF(6&gt;$B$3,99,INDEX(Symboles!$G$6:$G$101,MOD(5+$C30+(-4),$B$3)+1)*E30+INDEX(Symboles!$G$6:$G$101,MOD(5+$C30+(-3),$B$3)+1)*F30+INDEX(Symboles!$G$6:$G$101,MOD(5+$C30+(-2),$B$3)+1)*G30+INDEX(Symboles!$G$6:$G$101,MOD(5+$C30+(-1),$B$3)+1)*H30+INDEX(Symboles!$G$6:$G$101,MOD(5+$C30+(0),$B$3)+1)*I30+INDEX(Symboles!$G$6:$G$101,MOD(5+$C30+(1),$B$3)+1)*J30+INDEX(Symboles!$G$6:$G$101,MOD(5+$C30+(2),$B$3)+1)*K30+INDEX(Symboles!$G$6:$G$101,MOD(5+$C30+(3),$B$3)+1)*L30+INDEX(Symboles!$G$6:$G$101,MOD(5+$C30+(4),$B$3)+1)*M30+IF($B$6=0,0,$B$6*NORMSINV(0.000001+0.999998*RAND())))</f>
        <v/>
      </c>
      <c r="V30" s="30">
        <f>IF(7&gt;$B$3,99,INDEX(Symboles!$G$6:$G$101,MOD(6+$C30+(-4),$B$3)+1)*E30+INDEX(Symboles!$G$6:$G$101,MOD(6+$C30+(-3),$B$3)+1)*F30+INDEX(Symboles!$G$6:$G$101,MOD(6+$C30+(-2),$B$3)+1)*G30+INDEX(Symboles!$G$6:$G$101,MOD(6+$C30+(-1),$B$3)+1)*H30+INDEX(Symboles!$G$6:$G$101,MOD(6+$C30+(0),$B$3)+1)*I30+INDEX(Symboles!$G$6:$G$101,MOD(6+$C30+(1),$B$3)+1)*J30+INDEX(Symboles!$G$6:$G$101,MOD(6+$C30+(2),$B$3)+1)*K30+INDEX(Symboles!$G$6:$G$101,MOD(6+$C30+(3),$B$3)+1)*L30+INDEX(Symboles!$G$6:$G$101,MOD(6+$C30+(4),$B$3)+1)*M30+IF($B$6=0,0,$B$6*NORMSINV(0.000001+0.999998*RAND())))</f>
        <v/>
      </c>
      <c r="W30" s="30">
        <f>IF(8&gt;$B$3,99,INDEX(Symboles!$G$6:$G$101,MOD(7+$C30+(-4),$B$3)+1)*E30+INDEX(Symboles!$G$6:$G$101,MOD(7+$C30+(-3),$B$3)+1)*F30+INDEX(Symboles!$G$6:$G$101,MOD(7+$C30+(-2),$B$3)+1)*G30+INDEX(Symboles!$G$6:$G$101,MOD(7+$C30+(-1),$B$3)+1)*H30+INDEX(Symboles!$G$6:$G$101,MOD(7+$C30+(0),$B$3)+1)*I30+INDEX(Symboles!$G$6:$G$101,MOD(7+$C30+(1),$B$3)+1)*J30+INDEX(Symboles!$G$6:$G$101,MOD(7+$C30+(2),$B$3)+1)*K30+INDEX(Symboles!$G$6:$G$101,MOD(7+$C30+(3),$B$3)+1)*L30+INDEX(Symboles!$G$6:$G$101,MOD(7+$C30+(4),$B$3)+1)*M30+IF($B$6=0,0,$B$6*NORMSINV(0.000001+0.999998*RAND())))</f>
        <v/>
      </c>
      <c r="X30" s="30">
        <f>IF(9&gt;$B$3,99,INDEX(Symboles!$G$6:$G$101,MOD(8+$C30+(-4),$B$3)+1)*E30+INDEX(Symboles!$G$6:$G$101,MOD(8+$C30+(-3),$B$3)+1)*F30+INDEX(Symboles!$G$6:$G$101,MOD(8+$C30+(-2),$B$3)+1)*G30+INDEX(Symboles!$G$6:$G$101,MOD(8+$C30+(-1),$B$3)+1)*H30+INDEX(Symboles!$G$6:$G$101,MOD(8+$C30+(0),$B$3)+1)*I30+INDEX(Symboles!$G$6:$G$101,MOD(8+$C30+(1),$B$3)+1)*J30+INDEX(Symboles!$G$6:$G$101,MOD(8+$C30+(2),$B$3)+1)*K30+INDEX(Symboles!$G$6:$G$101,MOD(8+$C30+(3),$B$3)+1)*L30+INDEX(Symboles!$G$6:$G$101,MOD(8+$C30+(4),$B$3)+1)*M30+IF($B$6=0,0,$B$6*NORMSINV(0.000001+0.999998*RAND())))</f>
        <v/>
      </c>
      <c r="Y30" s="30">
        <f>IF(10&gt;$B$3,99,INDEX(Symboles!$G$6:$G$101,MOD(9+$C30+(-4),$B$3)+1)*E30+INDEX(Symboles!$G$6:$G$101,MOD(9+$C30+(-3),$B$3)+1)*F30+INDEX(Symboles!$G$6:$G$101,MOD(9+$C30+(-2),$B$3)+1)*G30+INDEX(Symboles!$G$6:$G$101,MOD(9+$C30+(-1),$B$3)+1)*H30+INDEX(Symboles!$G$6:$G$101,MOD(9+$C30+(0),$B$3)+1)*I30+INDEX(Symboles!$G$6:$G$101,MOD(9+$C30+(1),$B$3)+1)*J30+INDEX(Symboles!$G$6:$G$101,MOD(9+$C30+(2),$B$3)+1)*K30+INDEX(Symboles!$G$6:$G$101,MOD(9+$C30+(3),$B$3)+1)*L30+INDEX(Symboles!$G$6:$G$101,MOD(9+$C30+(4),$B$3)+1)*M30+IF($B$6=0,0,$B$6*NORMSINV(0.000001+0.999998*RAND())))</f>
        <v/>
      </c>
      <c r="Z30" s="30">
        <f>IF(11&gt;$B$3,99,INDEX(Symboles!$G$6:$G$101,MOD(10+$C30+(-4),$B$3)+1)*E30+INDEX(Symboles!$G$6:$G$101,MOD(10+$C30+(-3),$B$3)+1)*F30+INDEX(Symboles!$G$6:$G$101,MOD(10+$C30+(-2),$B$3)+1)*G30+INDEX(Symboles!$G$6:$G$101,MOD(10+$C30+(-1),$B$3)+1)*H30+INDEX(Symboles!$G$6:$G$101,MOD(10+$C30+(0),$B$3)+1)*I30+INDEX(Symboles!$G$6:$G$101,MOD(10+$C30+(1),$B$3)+1)*J30+INDEX(Symboles!$G$6:$G$101,MOD(10+$C30+(2),$B$3)+1)*K30+INDEX(Symboles!$G$6:$G$101,MOD(10+$C30+(3),$B$3)+1)*L30+INDEX(Symboles!$G$6:$G$101,MOD(10+$C30+(4),$B$3)+1)*M30+IF($B$6=0,0,$B$6*NORMSINV(0.000001+0.999998*RAND())))</f>
        <v/>
      </c>
      <c r="AA30" s="30">
        <f>IF(12&gt;$B$3,99,INDEX(Symboles!$G$6:$G$101,MOD(11+$C30+(-4),$B$3)+1)*E30+INDEX(Symboles!$G$6:$G$101,MOD(11+$C30+(-3),$B$3)+1)*F30+INDEX(Symboles!$G$6:$G$101,MOD(11+$C30+(-2),$B$3)+1)*G30+INDEX(Symboles!$G$6:$G$101,MOD(11+$C30+(-1),$B$3)+1)*H30+INDEX(Symboles!$G$6:$G$101,MOD(11+$C30+(0),$B$3)+1)*I30+INDEX(Symboles!$G$6:$G$101,MOD(11+$C30+(1),$B$3)+1)*J30+INDEX(Symboles!$G$6:$G$101,MOD(11+$C30+(2),$B$3)+1)*K30+INDEX(Symboles!$G$6:$G$101,MOD(11+$C30+(3),$B$3)+1)*L30+INDEX(Symboles!$G$6:$G$101,MOD(11+$C30+(4),$B$3)+1)*M30+IF($B$6=0,0,$B$6*NORMSINV(0.000001+0.999998*RAND())))</f>
        <v/>
      </c>
      <c r="AB30" s="30">
        <f>IF(13&gt;$B$3,99,INDEX(Symboles!$G$6:$G$101,MOD(12+$C30+(-4),$B$3)+1)*E30+INDEX(Symboles!$G$6:$G$101,MOD(12+$C30+(-3),$B$3)+1)*F30+INDEX(Symboles!$G$6:$G$101,MOD(12+$C30+(-2),$B$3)+1)*G30+INDEX(Symboles!$G$6:$G$101,MOD(12+$C30+(-1),$B$3)+1)*H30+INDEX(Symboles!$G$6:$G$101,MOD(12+$C30+(0),$B$3)+1)*I30+INDEX(Symboles!$G$6:$G$101,MOD(12+$C30+(1),$B$3)+1)*J30+INDEX(Symboles!$G$6:$G$101,MOD(12+$C30+(2),$B$3)+1)*K30+INDEX(Symboles!$G$6:$G$101,MOD(12+$C30+(3),$B$3)+1)*L30+INDEX(Symboles!$G$6:$G$101,MOD(12+$C30+(4),$B$3)+1)*M30+IF($B$6=0,0,$B$6*NORMSINV(0.000001+0.999998*RAND())))</f>
        <v/>
      </c>
      <c r="AC30" s="30">
        <f>IF(14&gt;$B$3,99,INDEX(Symboles!$G$6:$G$101,MOD(13+$C30+(-4),$B$3)+1)*E30+INDEX(Symboles!$G$6:$G$101,MOD(13+$C30+(-3),$B$3)+1)*F30+INDEX(Symboles!$G$6:$G$101,MOD(13+$C30+(-2),$B$3)+1)*G30+INDEX(Symboles!$G$6:$G$101,MOD(13+$C30+(-1),$B$3)+1)*H30+INDEX(Symboles!$G$6:$G$101,MOD(13+$C30+(0),$B$3)+1)*I30+INDEX(Symboles!$G$6:$G$101,MOD(13+$C30+(1),$B$3)+1)*J30+INDEX(Symboles!$G$6:$G$101,MOD(13+$C30+(2),$B$3)+1)*K30+INDEX(Symboles!$G$6:$G$101,MOD(13+$C30+(3),$B$3)+1)*L30+INDEX(Symboles!$G$6:$G$101,MOD(13+$C30+(4),$B$3)+1)*M30+IF($B$6=0,0,$B$6*NORMSINV(0.000001+0.999998*RAND())))</f>
        <v/>
      </c>
      <c r="AD30" s="30">
        <f>IF(15&gt;$B$3,99,INDEX(Symboles!$G$6:$G$101,MOD(14+$C30+(-4),$B$3)+1)*E30+INDEX(Symboles!$G$6:$G$101,MOD(14+$C30+(-3),$B$3)+1)*F30+INDEX(Symboles!$G$6:$G$101,MOD(14+$C30+(-2),$B$3)+1)*G30+INDEX(Symboles!$G$6:$G$101,MOD(14+$C30+(-1),$B$3)+1)*H30+INDEX(Symboles!$G$6:$G$101,MOD(14+$C30+(0),$B$3)+1)*I30+INDEX(Symboles!$G$6:$G$101,MOD(14+$C30+(1),$B$3)+1)*J30+INDEX(Symboles!$G$6:$G$101,MOD(14+$C30+(2),$B$3)+1)*K30+INDEX(Symboles!$G$6:$G$101,MOD(14+$C30+(3),$B$3)+1)*L30+INDEX(Symboles!$G$6:$G$101,MOD(14+$C30+(4),$B$3)+1)*M30+IF($B$6=0,0,$B$6*NORMSINV(0.000001+0.999998*RAND())))</f>
        <v/>
      </c>
      <c r="AE30" s="30">
        <f>IF(16&gt;$B$3,99,INDEX(Symboles!$G$6:$G$101,MOD(15+$C30+(-4),$B$3)+1)*E30+INDEX(Symboles!$G$6:$G$101,MOD(15+$C30+(-3),$B$3)+1)*F30+INDEX(Symboles!$G$6:$G$101,MOD(15+$C30+(-2),$B$3)+1)*G30+INDEX(Symboles!$G$6:$G$101,MOD(15+$C30+(-1),$B$3)+1)*H30+INDEX(Symboles!$G$6:$G$101,MOD(15+$C30+(0),$B$3)+1)*I30+INDEX(Symboles!$G$6:$G$101,MOD(15+$C30+(1),$B$3)+1)*J30+INDEX(Symboles!$G$6:$G$101,MOD(15+$C30+(2),$B$3)+1)*K30+INDEX(Symboles!$G$6:$G$101,MOD(15+$C30+(3),$B$3)+1)*L30+INDEX(Symboles!$G$6:$G$101,MOD(15+$C30+(4),$B$3)+1)*M30+IF($B$6=0,0,$B$6*NORMSINV(0.000001+0.999998*RAND())))</f>
        <v/>
      </c>
      <c r="AF30" s="30">
        <f>IF(17&gt;$B$3,99,INDEX(Symboles!$G$6:$G$101,MOD(16+$C30+(-4),$B$3)+1)*E30+INDEX(Symboles!$G$6:$G$101,MOD(16+$C30+(-3),$B$3)+1)*F30+INDEX(Symboles!$G$6:$G$101,MOD(16+$C30+(-2),$B$3)+1)*G30+INDEX(Symboles!$G$6:$G$101,MOD(16+$C30+(-1),$B$3)+1)*H30+INDEX(Symboles!$G$6:$G$101,MOD(16+$C30+(0),$B$3)+1)*I30+INDEX(Symboles!$G$6:$G$101,MOD(16+$C30+(1),$B$3)+1)*J30+INDEX(Symboles!$G$6:$G$101,MOD(16+$C30+(2),$B$3)+1)*K30+INDEX(Symboles!$G$6:$G$101,MOD(16+$C30+(3),$B$3)+1)*L30+INDEX(Symboles!$G$6:$G$101,MOD(16+$C30+(4),$B$3)+1)*M30+IF($B$6=0,0,$B$6*NORMSINV(0.000001+0.999998*RAND())))</f>
        <v/>
      </c>
      <c r="AG30" s="30">
        <f>IF(18&gt;$B$3,99,INDEX(Symboles!$G$6:$G$101,MOD(17+$C30+(-4),$B$3)+1)*E30+INDEX(Symboles!$G$6:$G$101,MOD(17+$C30+(-3),$B$3)+1)*F30+INDEX(Symboles!$G$6:$G$101,MOD(17+$C30+(-2),$B$3)+1)*G30+INDEX(Symboles!$G$6:$G$101,MOD(17+$C30+(-1),$B$3)+1)*H30+INDEX(Symboles!$G$6:$G$101,MOD(17+$C30+(0),$B$3)+1)*I30+INDEX(Symboles!$G$6:$G$101,MOD(17+$C30+(1),$B$3)+1)*J30+INDEX(Symboles!$G$6:$G$101,MOD(17+$C30+(2),$B$3)+1)*K30+INDEX(Symboles!$G$6:$G$101,MOD(17+$C30+(3),$B$3)+1)*L30+INDEX(Symboles!$G$6:$G$101,MOD(17+$C30+(4),$B$3)+1)*M30+IF($B$6=0,0,$B$6*NORMSINV(0.000001+0.999998*RAND())))</f>
        <v/>
      </c>
      <c r="AH30" s="30">
        <f>IF(19&gt;$B$3,99,INDEX(Symboles!$G$6:$G$101,MOD(18+$C30+(-4),$B$3)+1)*E30+INDEX(Symboles!$G$6:$G$101,MOD(18+$C30+(-3),$B$3)+1)*F30+INDEX(Symboles!$G$6:$G$101,MOD(18+$C30+(-2),$B$3)+1)*G30+INDEX(Symboles!$G$6:$G$101,MOD(18+$C30+(-1),$B$3)+1)*H30+INDEX(Symboles!$G$6:$G$101,MOD(18+$C30+(0),$B$3)+1)*I30+INDEX(Symboles!$G$6:$G$101,MOD(18+$C30+(1),$B$3)+1)*J30+INDEX(Symboles!$G$6:$G$101,MOD(18+$C30+(2),$B$3)+1)*K30+INDEX(Symboles!$G$6:$G$101,MOD(18+$C30+(3),$B$3)+1)*L30+INDEX(Symboles!$G$6:$G$101,MOD(18+$C30+(4),$B$3)+1)*M30+IF($B$6=0,0,$B$6*NORMSINV(0.000001+0.999998*RAND())))</f>
        <v/>
      </c>
      <c r="AI30" s="30">
        <f>IF(20&gt;$B$3,99,INDEX(Symboles!$G$6:$G$101,MOD(19+$C30+(-4),$B$3)+1)*E30+INDEX(Symboles!$G$6:$G$101,MOD(19+$C30+(-3),$B$3)+1)*F30+INDEX(Symboles!$G$6:$G$101,MOD(19+$C30+(-2),$B$3)+1)*G30+INDEX(Symboles!$G$6:$G$101,MOD(19+$C30+(-1),$B$3)+1)*H30+INDEX(Symboles!$G$6:$G$101,MOD(19+$C30+(0),$B$3)+1)*I30+INDEX(Symboles!$G$6:$G$101,MOD(19+$C30+(1),$B$3)+1)*J30+INDEX(Symboles!$G$6:$G$101,MOD(19+$C30+(2),$B$3)+1)*K30+INDEX(Symboles!$G$6:$G$101,MOD(19+$C30+(3),$B$3)+1)*L30+INDEX(Symboles!$G$6:$G$101,MOD(19+$C30+(4),$B$3)+1)*M30+IF($B$6=0,0,$B$6*NORMSINV(0.000001+0.999998*RAND())))</f>
        <v/>
      </c>
      <c r="AJ30" s="30">
        <f>IF(21&gt;$B$3,99,INDEX(Symboles!$G$6:$G$101,MOD(20+$C30+(-4),$B$3)+1)*E30+INDEX(Symboles!$G$6:$G$101,MOD(20+$C30+(-3),$B$3)+1)*F30+INDEX(Symboles!$G$6:$G$101,MOD(20+$C30+(-2),$B$3)+1)*G30+INDEX(Symboles!$G$6:$G$101,MOD(20+$C30+(-1),$B$3)+1)*H30+INDEX(Symboles!$G$6:$G$101,MOD(20+$C30+(0),$B$3)+1)*I30+INDEX(Symboles!$G$6:$G$101,MOD(20+$C30+(1),$B$3)+1)*J30+INDEX(Symboles!$G$6:$G$101,MOD(20+$C30+(2),$B$3)+1)*K30+INDEX(Symboles!$G$6:$G$101,MOD(20+$C30+(3),$B$3)+1)*L30+INDEX(Symboles!$G$6:$G$101,MOD(20+$C30+(4),$B$3)+1)*M30+IF($B$6=0,0,$B$6*NORMSINV(0.000001+0.999998*RAND())))</f>
        <v/>
      </c>
      <c r="AK30" s="30">
        <f>IF(22&gt;$B$3,99,INDEX(Symboles!$G$6:$G$101,MOD(21+$C30+(-4),$B$3)+1)*E30+INDEX(Symboles!$G$6:$G$101,MOD(21+$C30+(-3),$B$3)+1)*F30+INDEX(Symboles!$G$6:$G$101,MOD(21+$C30+(-2),$B$3)+1)*G30+INDEX(Symboles!$G$6:$G$101,MOD(21+$C30+(-1),$B$3)+1)*H30+INDEX(Symboles!$G$6:$G$101,MOD(21+$C30+(0),$B$3)+1)*I30+INDEX(Symboles!$G$6:$G$101,MOD(21+$C30+(1),$B$3)+1)*J30+INDEX(Symboles!$G$6:$G$101,MOD(21+$C30+(2),$B$3)+1)*K30+INDEX(Symboles!$G$6:$G$101,MOD(21+$C30+(3),$B$3)+1)*L30+INDEX(Symboles!$G$6:$G$101,MOD(21+$C30+(4),$B$3)+1)*M30+IF($B$6=0,0,$B$6*NORMSINV(0.000001+0.999998*RAND())))</f>
        <v/>
      </c>
      <c r="AL30" s="30">
        <f>IF(23&gt;$B$3,99,INDEX(Symboles!$G$6:$G$101,MOD(22+$C30+(-4),$B$3)+1)*E30+INDEX(Symboles!$G$6:$G$101,MOD(22+$C30+(-3),$B$3)+1)*F30+INDEX(Symboles!$G$6:$G$101,MOD(22+$C30+(-2),$B$3)+1)*G30+INDEX(Symboles!$G$6:$G$101,MOD(22+$C30+(-1),$B$3)+1)*H30+INDEX(Symboles!$G$6:$G$101,MOD(22+$C30+(0),$B$3)+1)*I30+INDEX(Symboles!$G$6:$G$101,MOD(22+$C30+(1),$B$3)+1)*J30+INDEX(Symboles!$G$6:$G$101,MOD(22+$C30+(2),$B$3)+1)*K30+INDEX(Symboles!$G$6:$G$101,MOD(22+$C30+(3),$B$3)+1)*L30+INDEX(Symboles!$G$6:$G$101,MOD(22+$C30+(4),$B$3)+1)*M30+IF($B$6=0,0,$B$6*NORMSINV(0.000001+0.999998*RAND())))</f>
        <v/>
      </c>
      <c r="AM30" s="30">
        <f>IF(24&gt;$B$3,99,INDEX(Symboles!$G$6:$G$101,MOD(23+$C30+(-4),$B$3)+1)*E30+INDEX(Symboles!$G$6:$G$101,MOD(23+$C30+(-3),$B$3)+1)*F30+INDEX(Symboles!$G$6:$G$101,MOD(23+$C30+(-2),$B$3)+1)*G30+INDEX(Symboles!$G$6:$G$101,MOD(23+$C30+(-1),$B$3)+1)*H30+INDEX(Symboles!$G$6:$G$101,MOD(23+$C30+(0),$B$3)+1)*I30+INDEX(Symboles!$G$6:$G$101,MOD(23+$C30+(1),$B$3)+1)*J30+INDEX(Symboles!$G$6:$G$101,MOD(23+$C30+(2),$B$3)+1)*K30+INDEX(Symboles!$G$6:$G$101,MOD(23+$C30+(3),$B$3)+1)*L30+INDEX(Symboles!$G$6:$G$101,MOD(23+$C30+(4),$B$3)+1)*M30+IF($B$6=0,0,$B$6*NORMSINV(0.000001+0.999998*RAND())))</f>
        <v/>
      </c>
      <c r="AN30" s="30">
        <f>IF(25&gt;$B$3,99,INDEX(Symboles!$G$6:$G$101,MOD(24+$C30+(-4),$B$3)+1)*E30+INDEX(Symboles!$G$6:$G$101,MOD(24+$C30+(-3),$B$3)+1)*F30+INDEX(Symboles!$G$6:$G$101,MOD(24+$C30+(-2),$B$3)+1)*G30+INDEX(Symboles!$G$6:$G$101,MOD(24+$C30+(-1),$B$3)+1)*H30+INDEX(Symboles!$G$6:$G$101,MOD(24+$C30+(0),$B$3)+1)*I30+INDEX(Symboles!$G$6:$G$101,MOD(24+$C30+(1),$B$3)+1)*J30+INDEX(Symboles!$G$6:$G$101,MOD(24+$C30+(2),$B$3)+1)*K30+INDEX(Symboles!$G$6:$G$101,MOD(24+$C30+(3),$B$3)+1)*L30+INDEX(Symboles!$G$6:$G$101,MOD(24+$C30+(4),$B$3)+1)*M30+IF($B$6=0,0,$B$6*NORMSINV(0.000001+0.999998*RAND())))</f>
        <v/>
      </c>
      <c r="AO30" s="30">
        <f>IF(26&gt;$B$3,99,INDEX(Symboles!$G$6:$G$101,MOD(25+$C30+(-4),$B$3)+1)*E30+INDEX(Symboles!$G$6:$G$101,MOD(25+$C30+(-3),$B$3)+1)*F30+INDEX(Symboles!$G$6:$G$101,MOD(25+$C30+(-2),$B$3)+1)*G30+INDEX(Symboles!$G$6:$G$101,MOD(25+$C30+(-1),$B$3)+1)*H30+INDEX(Symboles!$G$6:$G$101,MOD(25+$C30+(0),$B$3)+1)*I30+INDEX(Symboles!$G$6:$G$101,MOD(25+$C30+(1),$B$3)+1)*J30+INDEX(Symboles!$G$6:$G$101,MOD(25+$C30+(2),$B$3)+1)*K30+INDEX(Symboles!$G$6:$G$101,MOD(25+$C30+(3),$B$3)+1)*L30+INDEX(Symboles!$G$6:$G$101,MOD(25+$C30+(4),$B$3)+1)*M30+IF($B$6=0,0,$B$6*NORMSINV(0.000001+0.999998*RAND())))</f>
        <v/>
      </c>
      <c r="AP30" s="30">
        <f>IF(27&gt;$B$3,99,INDEX(Symboles!$G$6:$G$101,MOD(26+$C30+(-4),$B$3)+1)*E30+INDEX(Symboles!$G$6:$G$101,MOD(26+$C30+(-3),$B$3)+1)*F30+INDEX(Symboles!$G$6:$G$101,MOD(26+$C30+(-2),$B$3)+1)*G30+INDEX(Symboles!$G$6:$G$101,MOD(26+$C30+(-1),$B$3)+1)*H30+INDEX(Symboles!$G$6:$G$101,MOD(26+$C30+(0),$B$3)+1)*I30+INDEX(Symboles!$G$6:$G$101,MOD(26+$C30+(1),$B$3)+1)*J30+INDEX(Symboles!$G$6:$G$101,MOD(26+$C30+(2),$B$3)+1)*K30+INDEX(Symboles!$G$6:$G$101,MOD(26+$C30+(3),$B$3)+1)*L30+INDEX(Symboles!$G$6:$G$101,MOD(26+$C30+(4),$B$3)+1)*M30+IF($B$6=0,0,$B$6*NORMSINV(0.000001+0.999998*RAND())))</f>
        <v/>
      </c>
      <c r="AQ30" s="30">
        <f>IF(28&gt;$B$3,99,INDEX(Symboles!$G$6:$G$101,MOD(27+$C30+(-4),$B$3)+1)*E30+INDEX(Symboles!$G$6:$G$101,MOD(27+$C30+(-3),$B$3)+1)*F30+INDEX(Symboles!$G$6:$G$101,MOD(27+$C30+(-2),$B$3)+1)*G30+INDEX(Symboles!$G$6:$G$101,MOD(27+$C30+(-1),$B$3)+1)*H30+INDEX(Symboles!$G$6:$G$101,MOD(27+$C30+(0),$B$3)+1)*I30+INDEX(Symboles!$G$6:$G$101,MOD(27+$C30+(1),$B$3)+1)*J30+INDEX(Symboles!$G$6:$G$101,MOD(27+$C30+(2),$B$3)+1)*K30+INDEX(Symboles!$G$6:$G$101,MOD(27+$C30+(3),$B$3)+1)*L30+INDEX(Symboles!$G$6:$G$101,MOD(27+$C30+(4),$B$3)+1)*M30+IF($B$6=0,0,$B$6*NORMSINV(0.000001+0.999998*RAND())))</f>
        <v/>
      </c>
      <c r="AR30" s="30">
        <f>IF(29&gt;$B$3,99,INDEX(Symboles!$G$6:$G$101,MOD(28+$C30+(-4),$B$3)+1)*E30+INDEX(Symboles!$G$6:$G$101,MOD(28+$C30+(-3),$B$3)+1)*F30+INDEX(Symboles!$G$6:$G$101,MOD(28+$C30+(-2),$B$3)+1)*G30+INDEX(Symboles!$G$6:$G$101,MOD(28+$C30+(-1),$B$3)+1)*H30+INDEX(Symboles!$G$6:$G$101,MOD(28+$C30+(0),$B$3)+1)*I30+INDEX(Symboles!$G$6:$G$101,MOD(28+$C30+(1),$B$3)+1)*J30+INDEX(Symboles!$G$6:$G$101,MOD(28+$C30+(2),$B$3)+1)*K30+INDEX(Symboles!$G$6:$G$101,MOD(28+$C30+(3),$B$3)+1)*L30+INDEX(Symboles!$G$6:$G$101,MOD(28+$C30+(4),$B$3)+1)*M30+IF($B$6=0,0,$B$6*NORMSINV(0.000001+0.999998*RAND())))</f>
        <v/>
      </c>
      <c r="AS30" s="30">
        <f>IF(30&gt;$B$3,99,INDEX(Symboles!$G$6:$G$101,MOD(29+$C30+(-4),$B$3)+1)*E30+INDEX(Symboles!$G$6:$G$101,MOD(29+$C30+(-3),$B$3)+1)*F30+INDEX(Symboles!$G$6:$G$101,MOD(29+$C30+(-2),$B$3)+1)*G30+INDEX(Symboles!$G$6:$G$101,MOD(29+$C30+(-1),$B$3)+1)*H30+INDEX(Symboles!$G$6:$G$101,MOD(29+$C30+(0),$B$3)+1)*I30+INDEX(Symboles!$G$6:$G$101,MOD(29+$C30+(1),$B$3)+1)*J30+INDEX(Symboles!$G$6:$G$101,MOD(29+$C30+(2),$B$3)+1)*K30+INDEX(Symboles!$G$6:$G$101,MOD(29+$C30+(3),$B$3)+1)*L30+INDEX(Symboles!$G$6:$G$101,MOD(29+$C30+(4),$B$3)+1)*M30+IF($B$6=0,0,$B$6*NORMSINV(0.000001+0.999998*RAND())))</f>
        <v/>
      </c>
      <c r="AT30" s="30">
        <f>IF(31&gt;$B$3,99,INDEX(Symboles!$G$6:$G$101,MOD(30+$C30+(-4),$B$3)+1)*E30+INDEX(Symboles!$G$6:$G$101,MOD(30+$C30+(-3),$B$3)+1)*F30+INDEX(Symboles!$G$6:$G$101,MOD(30+$C30+(-2),$B$3)+1)*G30+INDEX(Symboles!$G$6:$G$101,MOD(30+$C30+(-1),$B$3)+1)*H30+INDEX(Symboles!$G$6:$G$101,MOD(30+$C30+(0),$B$3)+1)*I30+INDEX(Symboles!$G$6:$G$101,MOD(30+$C30+(1),$B$3)+1)*J30+INDEX(Symboles!$G$6:$G$101,MOD(30+$C30+(2),$B$3)+1)*K30+INDEX(Symboles!$G$6:$G$101,MOD(30+$C30+(3),$B$3)+1)*L30+INDEX(Symboles!$G$6:$G$101,MOD(30+$C30+(4),$B$3)+1)*M30+IF($B$6=0,0,$B$6*NORMSINV(0.000001+0.999998*RAND())))</f>
        <v/>
      </c>
      <c r="AU30" s="30">
        <f>IF(32&gt;$B$3,99,INDEX(Symboles!$G$6:$G$101,MOD(31+$C30+(-4),$B$3)+1)*E30+INDEX(Symboles!$G$6:$G$101,MOD(31+$C30+(-3),$B$3)+1)*F30+INDEX(Symboles!$G$6:$G$101,MOD(31+$C30+(-2),$B$3)+1)*G30+INDEX(Symboles!$G$6:$G$101,MOD(31+$C30+(-1),$B$3)+1)*H30+INDEX(Symboles!$G$6:$G$101,MOD(31+$C30+(0),$B$3)+1)*I30+INDEX(Symboles!$G$6:$G$101,MOD(31+$C30+(1),$B$3)+1)*J30+INDEX(Symboles!$G$6:$G$101,MOD(31+$C30+(2),$B$3)+1)*K30+INDEX(Symboles!$G$6:$G$101,MOD(31+$C30+(3),$B$3)+1)*L30+INDEX(Symboles!$G$6:$G$101,MOD(31+$C30+(4),$B$3)+1)*M30+IF($B$6=0,0,$B$6*NORMSINV(0.000001+0.999998*RAND())))</f>
        <v/>
      </c>
      <c r="AV30" s="30">
        <f>IF(33&gt;$B$3,99,INDEX(Symboles!$G$6:$G$101,MOD(32+$C30+(-4),$B$3)+1)*E30+INDEX(Symboles!$G$6:$G$101,MOD(32+$C30+(-3),$B$3)+1)*F30+INDEX(Symboles!$G$6:$G$101,MOD(32+$C30+(-2),$B$3)+1)*G30+INDEX(Symboles!$G$6:$G$101,MOD(32+$C30+(-1),$B$3)+1)*H30+INDEX(Symboles!$G$6:$G$101,MOD(32+$C30+(0),$B$3)+1)*I30+INDEX(Symboles!$G$6:$G$101,MOD(32+$C30+(1),$B$3)+1)*J30+INDEX(Symboles!$G$6:$G$101,MOD(32+$C30+(2),$B$3)+1)*K30+INDEX(Symboles!$G$6:$G$101,MOD(32+$C30+(3),$B$3)+1)*L30+INDEX(Symboles!$G$6:$G$101,MOD(32+$C30+(4),$B$3)+1)*M30+IF($B$6=0,0,$B$6*NORMSINV(0.000001+0.999998*RAND())))</f>
        <v/>
      </c>
      <c r="AW30" s="30">
        <f>IF(34&gt;$B$3,99,INDEX(Symboles!$G$6:$G$101,MOD(33+$C30+(-4),$B$3)+1)*E30+INDEX(Symboles!$G$6:$G$101,MOD(33+$C30+(-3),$B$3)+1)*F30+INDEX(Symboles!$G$6:$G$101,MOD(33+$C30+(-2),$B$3)+1)*G30+INDEX(Symboles!$G$6:$G$101,MOD(33+$C30+(-1),$B$3)+1)*H30+INDEX(Symboles!$G$6:$G$101,MOD(33+$C30+(0),$B$3)+1)*I30+INDEX(Symboles!$G$6:$G$101,MOD(33+$C30+(1),$B$3)+1)*J30+INDEX(Symboles!$G$6:$G$101,MOD(33+$C30+(2),$B$3)+1)*K30+INDEX(Symboles!$G$6:$G$101,MOD(33+$C30+(3),$B$3)+1)*L30+INDEX(Symboles!$G$6:$G$101,MOD(33+$C30+(4),$B$3)+1)*M30+IF($B$6=0,0,$B$6*NORMSINV(0.000001+0.999998*RAND())))</f>
        <v/>
      </c>
      <c r="AX30" s="30">
        <f>IF(35&gt;$B$3,99,INDEX(Symboles!$G$6:$G$101,MOD(34+$C30+(-4),$B$3)+1)*E30+INDEX(Symboles!$G$6:$G$101,MOD(34+$C30+(-3),$B$3)+1)*F30+INDEX(Symboles!$G$6:$G$101,MOD(34+$C30+(-2),$B$3)+1)*G30+INDEX(Symboles!$G$6:$G$101,MOD(34+$C30+(-1),$B$3)+1)*H30+INDEX(Symboles!$G$6:$G$101,MOD(34+$C30+(0),$B$3)+1)*I30+INDEX(Symboles!$G$6:$G$101,MOD(34+$C30+(1),$B$3)+1)*J30+INDEX(Symboles!$G$6:$G$101,MOD(34+$C30+(2),$B$3)+1)*K30+INDEX(Symboles!$G$6:$G$101,MOD(34+$C30+(3),$B$3)+1)*L30+INDEX(Symboles!$G$6:$G$101,MOD(34+$C30+(4),$B$3)+1)*M30+IF($B$6=0,0,$B$6*NORMSINV(0.000001+0.999998*RAND())))</f>
        <v/>
      </c>
      <c r="AY30" s="30">
        <f>IF(36&gt;$B$3,99,INDEX(Symboles!$G$6:$G$101,MOD(35+$C30+(-4),$B$3)+1)*E30+INDEX(Symboles!$G$6:$G$101,MOD(35+$C30+(-3),$B$3)+1)*F30+INDEX(Symboles!$G$6:$G$101,MOD(35+$C30+(-2),$B$3)+1)*G30+INDEX(Symboles!$G$6:$G$101,MOD(35+$C30+(-1),$B$3)+1)*H30+INDEX(Symboles!$G$6:$G$101,MOD(35+$C30+(0),$B$3)+1)*I30+INDEX(Symboles!$G$6:$G$101,MOD(35+$C30+(1),$B$3)+1)*J30+INDEX(Symboles!$G$6:$G$101,MOD(35+$C30+(2),$B$3)+1)*K30+INDEX(Symboles!$G$6:$G$101,MOD(35+$C30+(3),$B$3)+1)*L30+INDEX(Symboles!$G$6:$G$101,MOD(35+$C30+(4),$B$3)+1)*M30+IF($B$6=0,0,$B$6*NORMSINV(0.000001+0.999998*RAND())))</f>
        <v/>
      </c>
      <c r="AZ30" s="30">
        <f>IF(37&gt;$B$3,99,INDEX(Symboles!$G$6:$G$101,MOD(36+$C30+(-4),$B$3)+1)*E30+INDEX(Symboles!$G$6:$G$101,MOD(36+$C30+(-3),$B$3)+1)*F30+INDEX(Symboles!$G$6:$G$101,MOD(36+$C30+(-2),$B$3)+1)*G30+INDEX(Symboles!$G$6:$G$101,MOD(36+$C30+(-1),$B$3)+1)*H30+INDEX(Symboles!$G$6:$G$101,MOD(36+$C30+(0),$B$3)+1)*I30+INDEX(Symboles!$G$6:$G$101,MOD(36+$C30+(1),$B$3)+1)*J30+INDEX(Symboles!$G$6:$G$101,MOD(36+$C30+(2),$B$3)+1)*K30+INDEX(Symboles!$G$6:$G$101,MOD(36+$C30+(3),$B$3)+1)*L30+INDEX(Symboles!$G$6:$G$101,MOD(36+$C30+(4),$B$3)+1)*M30+IF($B$6=0,0,$B$6*NORMSINV(0.000001+0.999998*RAND())))</f>
        <v/>
      </c>
      <c r="BA30" s="30">
        <f>IF(38&gt;$B$3,99,INDEX(Symboles!$G$6:$G$101,MOD(37+$C30+(-4),$B$3)+1)*E30+INDEX(Symboles!$G$6:$G$101,MOD(37+$C30+(-3),$B$3)+1)*F30+INDEX(Symboles!$G$6:$G$101,MOD(37+$C30+(-2),$B$3)+1)*G30+INDEX(Symboles!$G$6:$G$101,MOD(37+$C30+(-1),$B$3)+1)*H30+INDEX(Symboles!$G$6:$G$101,MOD(37+$C30+(0),$B$3)+1)*I30+INDEX(Symboles!$G$6:$G$101,MOD(37+$C30+(1),$B$3)+1)*J30+INDEX(Symboles!$G$6:$G$101,MOD(37+$C30+(2),$B$3)+1)*K30+INDEX(Symboles!$G$6:$G$101,MOD(37+$C30+(3),$B$3)+1)*L30+INDEX(Symboles!$G$6:$G$101,MOD(37+$C30+(4),$B$3)+1)*M30+IF($B$6=0,0,$B$6*NORMSINV(0.000001+0.999998*RAND())))</f>
        <v/>
      </c>
      <c r="BB30" s="30">
        <f>IF(39&gt;$B$3,99,INDEX(Symboles!$G$6:$G$101,MOD(38+$C30+(-4),$B$3)+1)*E30+INDEX(Symboles!$G$6:$G$101,MOD(38+$C30+(-3),$B$3)+1)*F30+INDEX(Symboles!$G$6:$G$101,MOD(38+$C30+(-2),$B$3)+1)*G30+INDEX(Symboles!$G$6:$G$101,MOD(38+$C30+(-1),$B$3)+1)*H30+INDEX(Symboles!$G$6:$G$101,MOD(38+$C30+(0),$B$3)+1)*I30+INDEX(Symboles!$G$6:$G$101,MOD(38+$C30+(1),$B$3)+1)*J30+INDEX(Symboles!$G$6:$G$101,MOD(38+$C30+(2),$B$3)+1)*K30+INDEX(Symboles!$G$6:$G$101,MOD(38+$C30+(3),$B$3)+1)*L30+INDEX(Symboles!$G$6:$G$101,MOD(38+$C30+(4),$B$3)+1)*M30+IF($B$6=0,0,$B$6*NORMSINV(0.000001+0.999998*RAND())))</f>
        <v/>
      </c>
      <c r="BC30" s="30">
        <f>IF(40&gt;$B$3,99,INDEX(Symboles!$G$6:$G$101,MOD(39+$C30+(-4),$B$3)+1)*E30+INDEX(Symboles!$G$6:$G$101,MOD(39+$C30+(-3),$B$3)+1)*F30+INDEX(Symboles!$G$6:$G$101,MOD(39+$C30+(-2),$B$3)+1)*G30+INDEX(Symboles!$G$6:$G$101,MOD(39+$C30+(-1),$B$3)+1)*H30+INDEX(Symboles!$G$6:$G$101,MOD(39+$C30+(0),$B$3)+1)*I30+INDEX(Symboles!$G$6:$G$101,MOD(39+$C30+(1),$B$3)+1)*J30+INDEX(Symboles!$G$6:$G$101,MOD(39+$C30+(2),$B$3)+1)*K30+INDEX(Symboles!$G$6:$G$101,MOD(39+$C30+(3),$B$3)+1)*L30+INDEX(Symboles!$G$6:$G$101,MOD(39+$C30+(4),$B$3)+1)*M30+IF($B$6=0,0,$B$6*NORMSINV(0.000001+0.999998*RAND())))</f>
        <v/>
      </c>
      <c r="BD30" s="30">
        <f>IF(41&gt;$B$3,99,INDEX(Symboles!$G$6:$G$101,MOD(40+$C30+(-4),$B$3)+1)*E30+INDEX(Symboles!$G$6:$G$101,MOD(40+$C30+(-3),$B$3)+1)*F30+INDEX(Symboles!$G$6:$G$101,MOD(40+$C30+(-2),$B$3)+1)*G30+INDEX(Symboles!$G$6:$G$101,MOD(40+$C30+(-1),$B$3)+1)*H30+INDEX(Symboles!$G$6:$G$101,MOD(40+$C30+(0),$B$3)+1)*I30+INDEX(Symboles!$G$6:$G$101,MOD(40+$C30+(1),$B$3)+1)*J30+INDEX(Symboles!$G$6:$G$101,MOD(40+$C30+(2),$B$3)+1)*K30+INDEX(Symboles!$G$6:$G$101,MOD(40+$C30+(3),$B$3)+1)*L30+INDEX(Symboles!$G$6:$G$101,MOD(40+$C30+(4),$B$3)+1)*M30+IF($B$6=0,0,$B$6*NORMSINV(0.000001+0.999998*RAND())))</f>
        <v/>
      </c>
      <c r="BE30" s="30">
        <f>IF(42&gt;$B$3,99,INDEX(Symboles!$G$6:$G$101,MOD(41+$C30+(-4),$B$3)+1)*E30+INDEX(Symboles!$G$6:$G$101,MOD(41+$C30+(-3),$B$3)+1)*F30+INDEX(Symboles!$G$6:$G$101,MOD(41+$C30+(-2),$B$3)+1)*G30+INDEX(Symboles!$G$6:$G$101,MOD(41+$C30+(-1),$B$3)+1)*H30+INDEX(Symboles!$G$6:$G$101,MOD(41+$C30+(0),$B$3)+1)*I30+INDEX(Symboles!$G$6:$G$101,MOD(41+$C30+(1),$B$3)+1)*J30+INDEX(Symboles!$G$6:$G$101,MOD(41+$C30+(2),$B$3)+1)*K30+INDEX(Symboles!$G$6:$G$101,MOD(41+$C30+(3),$B$3)+1)*L30+INDEX(Symboles!$G$6:$G$101,MOD(41+$C30+(4),$B$3)+1)*M30+IF($B$6=0,0,$B$6*NORMSINV(0.000001+0.999998*RAND())))</f>
        <v/>
      </c>
      <c r="BF30" s="30">
        <f>IF(43&gt;$B$3,99,INDEX(Symboles!$G$6:$G$101,MOD(42+$C30+(-4),$B$3)+1)*E30+INDEX(Symboles!$G$6:$G$101,MOD(42+$C30+(-3),$B$3)+1)*F30+INDEX(Symboles!$G$6:$G$101,MOD(42+$C30+(-2),$B$3)+1)*G30+INDEX(Symboles!$G$6:$G$101,MOD(42+$C30+(-1),$B$3)+1)*H30+INDEX(Symboles!$G$6:$G$101,MOD(42+$C30+(0),$B$3)+1)*I30+INDEX(Symboles!$G$6:$G$101,MOD(42+$C30+(1),$B$3)+1)*J30+INDEX(Symboles!$G$6:$G$101,MOD(42+$C30+(2),$B$3)+1)*K30+INDEX(Symboles!$G$6:$G$101,MOD(42+$C30+(3),$B$3)+1)*L30+INDEX(Symboles!$G$6:$G$101,MOD(42+$C30+(4),$B$3)+1)*M30+IF($B$6=0,0,$B$6*NORMSINV(0.000001+0.999998*RAND())))</f>
        <v/>
      </c>
      <c r="BG30" s="30">
        <f>IF(44&gt;$B$3,99,INDEX(Symboles!$G$6:$G$101,MOD(43+$C30+(-4),$B$3)+1)*E30+INDEX(Symboles!$G$6:$G$101,MOD(43+$C30+(-3),$B$3)+1)*F30+INDEX(Symboles!$G$6:$G$101,MOD(43+$C30+(-2),$B$3)+1)*G30+INDEX(Symboles!$G$6:$G$101,MOD(43+$C30+(-1),$B$3)+1)*H30+INDEX(Symboles!$G$6:$G$101,MOD(43+$C30+(0),$B$3)+1)*I30+INDEX(Symboles!$G$6:$G$101,MOD(43+$C30+(1),$B$3)+1)*J30+INDEX(Symboles!$G$6:$G$101,MOD(43+$C30+(2),$B$3)+1)*K30+INDEX(Symboles!$G$6:$G$101,MOD(43+$C30+(3),$B$3)+1)*L30+INDEX(Symboles!$G$6:$G$101,MOD(43+$C30+(4),$B$3)+1)*M30+IF($B$6=0,0,$B$6*NORMSINV(0.000001+0.999998*RAND())))</f>
        <v/>
      </c>
      <c r="BH30" s="30">
        <f>IF(45&gt;$B$3,99,INDEX(Symboles!$G$6:$G$101,MOD(44+$C30+(-4),$B$3)+1)*E30+INDEX(Symboles!$G$6:$G$101,MOD(44+$C30+(-3),$B$3)+1)*F30+INDEX(Symboles!$G$6:$G$101,MOD(44+$C30+(-2),$B$3)+1)*G30+INDEX(Symboles!$G$6:$G$101,MOD(44+$C30+(-1),$B$3)+1)*H30+INDEX(Symboles!$G$6:$G$101,MOD(44+$C30+(0),$B$3)+1)*I30+INDEX(Symboles!$G$6:$G$101,MOD(44+$C30+(1),$B$3)+1)*J30+INDEX(Symboles!$G$6:$G$101,MOD(44+$C30+(2),$B$3)+1)*K30+INDEX(Symboles!$G$6:$G$101,MOD(44+$C30+(3),$B$3)+1)*L30+INDEX(Symboles!$G$6:$G$101,MOD(44+$C30+(4),$B$3)+1)*M30+IF($B$6=0,0,$B$6*NORMSINV(0.000001+0.999998*RAND())))</f>
        <v/>
      </c>
      <c r="BI30" s="30">
        <f>IF(46&gt;$B$3,99,INDEX(Symboles!$G$6:$G$101,MOD(45+$C30+(-4),$B$3)+1)*E30+INDEX(Symboles!$G$6:$G$101,MOD(45+$C30+(-3),$B$3)+1)*F30+INDEX(Symboles!$G$6:$G$101,MOD(45+$C30+(-2),$B$3)+1)*G30+INDEX(Symboles!$G$6:$G$101,MOD(45+$C30+(-1),$B$3)+1)*H30+INDEX(Symboles!$G$6:$G$101,MOD(45+$C30+(0),$B$3)+1)*I30+INDEX(Symboles!$G$6:$G$101,MOD(45+$C30+(1),$B$3)+1)*J30+INDEX(Symboles!$G$6:$G$101,MOD(45+$C30+(2),$B$3)+1)*K30+INDEX(Symboles!$G$6:$G$101,MOD(45+$C30+(3),$B$3)+1)*L30+INDEX(Symboles!$G$6:$G$101,MOD(45+$C30+(4),$B$3)+1)*M30+IF($B$6=0,0,$B$6*NORMSINV(0.000001+0.999998*RAND())))</f>
        <v/>
      </c>
      <c r="BJ30" s="30">
        <f>IF(47&gt;$B$3,99,INDEX(Symboles!$G$6:$G$101,MOD(46+$C30+(-4),$B$3)+1)*E30+INDEX(Symboles!$G$6:$G$101,MOD(46+$C30+(-3),$B$3)+1)*F30+INDEX(Symboles!$G$6:$G$101,MOD(46+$C30+(-2),$B$3)+1)*G30+INDEX(Symboles!$G$6:$G$101,MOD(46+$C30+(-1),$B$3)+1)*H30+INDEX(Symboles!$G$6:$G$101,MOD(46+$C30+(0),$B$3)+1)*I30+INDEX(Symboles!$G$6:$G$101,MOD(46+$C30+(1),$B$3)+1)*J30+INDEX(Symboles!$G$6:$G$101,MOD(46+$C30+(2),$B$3)+1)*K30+INDEX(Symboles!$G$6:$G$101,MOD(46+$C30+(3),$B$3)+1)*L30+INDEX(Symboles!$G$6:$G$101,MOD(46+$C30+(4),$B$3)+1)*M30+IF($B$6=0,0,$B$6*NORMSINV(0.000001+0.999998*RAND())))</f>
        <v/>
      </c>
      <c r="BK30" s="30">
        <f>IF(48&gt;$B$3,99,INDEX(Symboles!$G$6:$G$101,MOD(47+$C30+(-4),$B$3)+1)*E30+INDEX(Symboles!$G$6:$G$101,MOD(47+$C30+(-3),$B$3)+1)*F30+INDEX(Symboles!$G$6:$G$101,MOD(47+$C30+(-2),$B$3)+1)*G30+INDEX(Symboles!$G$6:$G$101,MOD(47+$C30+(-1),$B$3)+1)*H30+INDEX(Symboles!$G$6:$G$101,MOD(47+$C30+(0),$B$3)+1)*I30+INDEX(Symboles!$G$6:$G$101,MOD(47+$C30+(1),$B$3)+1)*J30+INDEX(Symboles!$G$6:$G$101,MOD(47+$C30+(2),$B$3)+1)*K30+INDEX(Symboles!$G$6:$G$101,MOD(47+$C30+(3),$B$3)+1)*L30+INDEX(Symboles!$G$6:$G$101,MOD(47+$C30+(4),$B$3)+1)*M30+IF($B$6=0,0,$B$6*NORMSINV(0.000001+0.999998*RAND())))</f>
        <v/>
      </c>
      <c r="BL30" s="30">
        <f>IF(49&gt;$B$3,99,INDEX(Symboles!$G$6:$G$101,MOD(48+$C30+(-4),$B$3)+1)*E30+INDEX(Symboles!$G$6:$G$101,MOD(48+$C30+(-3),$B$3)+1)*F30+INDEX(Symboles!$G$6:$G$101,MOD(48+$C30+(-2),$B$3)+1)*G30+INDEX(Symboles!$G$6:$G$101,MOD(48+$C30+(-1),$B$3)+1)*H30+INDEX(Symboles!$G$6:$G$101,MOD(48+$C30+(0),$B$3)+1)*I30+INDEX(Symboles!$G$6:$G$101,MOD(48+$C30+(1),$B$3)+1)*J30+INDEX(Symboles!$G$6:$G$101,MOD(48+$C30+(2),$B$3)+1)*K30+INDEX(Symboles!$G$6:$G$101,MOD(48+$C30+(3),$B$3)+1)*L30+INDEX(Symboles!$G$6:$G$101,MOD(48+$C30+(4),$B$3)+1)*M30+IF($B$6=0,0,$B$6*NORMSINV(0.000001+0.999998*RAND())))</f>
        <v/>
      </c>
      <c r="BM30" s="30">
        <f>IF(50&gt;$B$3,99,INDEX(Symboles!$G$6:$G$101,MOD(49+$C30+(-4),$B$3)+1)*E30+INDEX(Symboles!$G$6:$G$101,MOD(49+$C30+(-3),$B$3)+1)*F30+INDEX(Symboles!$G$6:$G$101,MOD(49+$C30+(-2),$B$3)+1)*G30+INDEX(Symboles!$G$6:$G$101,MOD(49+$C30+(-1),$B$3)+1)*H30+INDEX(Symboles!$G$6:$G$101,MOD(49+$C30+(0),$B$3)+1)*I30+INDEX(Symboles!$G$6:$G$101,MOD(49+$C30+(1),$B$3)+1)*J30+INDEX(Symboles!$G$6:$G$101,MOD(49+$C30+(2),$B$3)+1)*K30+INDEX(Symboles!$G$6:$G$101,MOD(49+$C30+(3),$B$3)+1)*L30+INDEX(Symboles!$G$6:$G$101,MOD(49+$C30+(4),$B$3)+1)*M30+IF($B$6=0,0,$B$6*NORMSINV(0.000001+0.999998*RAND())))</f>
        <v/>
      </c>
      <c r="BN30" s="30">
        <f>IF(51&gt;$B$3,99,INDEX(Symboles!$G$6:$G$101,MOD(50+$C30+(-4),$B$3)+1)*E30+INDEX(Symboles!$G$6:$G$101,MOD(50+$C30+(-3),$B$3)+1)*F30+INDEX(Symboles!$G$6:$G$101,MOD(50+$C30+(-2),$B$3)+1)*G30+INDEX(Symboles!$G$6:$G$101,MOD(50+$C30+(-1),$B$3)+1)*H30+INDEX(Symboles!$G$6:$G$101,MOD(50+$C30+(0),$B$3)+1)*I30+INDEX(Symboles!$G$6:$G$101,MOD(50+$C30+(1),$B$3)+1)*J30+INDEX(Symboles!$G$6:$G$101,MOD(50+$C30+(2),$B$3)+1)*K30+INDEX(Symboles!$G$6:$G$101,MOD(50+$C30+(3),$B$3)+1)*L30+INDEX(Symboles!$G$6:$G$101,MOD(50+$C30+(4),$B$3)+1)*M30+IF($B$6=0,0,$B$6*NORMSINV(0.000001+0.999998*RAND())))</f>
        <v/>
      </c>
      <c r="BO30" s="30">
        <f>IF(52&gt;$B$3,99,INDEX(Symboles!$G$6:$G$101,MOD(51+$C30+(-4),$B$3)+1)*E30+INDEX(Symboles!$G$6:$G$101,MOD(51+$C30+(-3),$B$3)+1)*F30+INDEX(Symboles!$G$6:$G$101,MOD(51+$C30+(-2),$B$3)+1)*G30+INDEX(Symboles!$G$6:$G$101,MOD(51+$C30+(-1),$B$3)+1)*H30+INDEX(Symboles!$G$6:$G$101,MOD(51+$C30+(0),$B$3)+1)*I30+INDEX(Symboles!$G$6:$G$101,MOD(51+$C30+(1),$B$3)+1)*J30+INDEX(Symboles!$G$6:$G$101,MOD(51+$C30+(2),$B$3)+1)*K30+INDEX(Symboles!$G$6:$G$101,MOD(51+$C30+(3),$B$3)+1)*L30+INDEX(Symboles!$G$6:$G$101,MOD(51+$C30+(4),$B$3)+1)*M30+IF($B$6=0,0,$B$6*NORMSINV(0.000001+0.999998*RAND())))</f>
        <v/>
      </c>
      <c r="BP30" s="30">
        <f>IF(53&gt;$B$3,99,INDEX(Symboles!$G$6:$G$101,MOD(52+$C30+(-4),$B$3)+1)*E30+INDEX(Symboles!$G$6:$G$101,MOD(52+$C30+(-3),$B$3)+1)*F30+INDEX(Symboles!$G$6:$G$101,MOD(52+$C30+(-2),$B$3)+1)*G30+INDEX(Symboles!$G$6:$G$101,MOD(52+$C30+(-1),$B$3)+1)*H30+INDEX(Symboles!$G$6:$G$101,MOD(52+$C30+(0),$B$3)+1)*I30+INDEX(Symboles!$G$6:$G$101,MOD(52+$C30+(1),$B$3)+1)*J30+INDEX(Symboles!$G$6:$G$101,MOD(52+$C30+(2),$B$3)+1)*K30+INDEX(Symboles!$G$6:$G$101,MOD(52+$C30+(3),$B$3)+1)*L30+INDEX(Symboles!$G$6:$G$101,MOD(52+$C30+(4),$B$3)+1)*M30+IF($B$6=0,0,$B$6*NORMSINV(0.000001+0.999998*RAND())))</f>
        <v/>
      </c>
      <c r="BQ30" s="30">
        <f>IF(54&gt;$B$3,99,INDEX(Symboles!$G$6:$G$101,MOD(53+$C30+(-4),$B$3)+1)*E30+INDEX(Symboles!$G$6:$G$101,MOD(53+$C30+(-3),$B$3)+1)*F30+INDEX(Symboles!$G$6:$G$101,MOD(53+$C30+(-2),$B$3)+1)*G30+INDEX(Symboles!$G$6:$G$101,MOD(53+$C30+(-1),$B$3)+1)*H30+INDEX(Symboles!$G$6:$G$101,MOD(53+$C30+(0),$B$3)+1)*I30+INDEX(Symboles!$G$6:$G$101,MOD(53+$C30+(1),$B$3)+1)*J30+INDEX(Symboles!$G$6:$G$101,MOD(53+$C30+(2),$B$3)+1)*K30+INDEX(Symboles!$G$6:$G$101,MOD(53+$C30+(3),$B$3)+1)*L30+INDEX(Symboles!$G$6:$G$101,MOD(53+$C30+(4),$B$3)+1)*M30+IF($B$6=0,0,$B$6*NORMSINV(0.000001+0.999998*RAND())))</f>
        <v/>
      </c>
      <c r="BR30" s="30">
        <f>IF(55&gt;$B$3,99,INDEX(Symboles!$G$6:$G$101,MOD(54+$C30+(-4),$B$3)+1)*E30+INDEX(Symboles!$G$6:$G$101,MOD(54+$C30+(-3),$B$3)+1)*F30+INDEX(Symboles!$G$6:$G$101,MOD(54+$C30+(-2),$B$3)+1)*G30+INDEX(Symboles!$G$6:$G$101,MOD(54+$C30+(-1),$B$3)+1)*H30+INDEX(Symboles!$G$6:$G$101,MOD(54+$C30+(0),$B$3)+1)*I30+INDEX(Symboles!$G$6:$G$101,MOD(54+$C30+(1),$B$3)+1)*J30+INDEX(Symboles!$G$6:$G$101,MOD(54+$C30+(2),$B$3)+1)*K30+INDEX(Symboles!$G$6:$G$101,MOD(54+$C30+(3),$B$3)+1)*L30+INDEX(Symboles!$G$6:$G$101,MOD(54+$C30+(4),$B$3)+1)*M30+IF($B$6=0,0,$B$6*NORMSINV(0.000001+0.999998*RAND())))</f>
        <v/>
      </c>
      <c r="BS30" s="30">
        <f>IF(56&gt;$B$3,99,INDEX(Symboles!$G$6:$G$101,MOD(55+$C30+(-4),$B$3)+1)*E30+INDEX(Symboles!$G$6:$G$101,MOD(55+$C30+(-3),$B$3)+1)*F30+INDEX(Symboles!$G$6:$G$101,MOD(55+$C30+(-2),$B$3)+1)*G30+INDEX(Symboles!$G$6:$G$101,MOD(55+$C30+(-1),$B$3)+1)*H30+INDEX(Symboles!$G$6:$G$101,MOD(55+$C30+(0),$B$3)+1)*I30+INDEX(Symboles!$G$6:$G$101,MOD(55+$C30+(1),$B$3)+1)*J30+INDEX(Symboles!$G$6:$G$101,MOD(55+$C30+(2),$B$3)+1)*K30+INDEX(Symboles!$G$6:$G$101,MOD(55+$C30+(3),$B$3)+1)*L30+INDEX(Symboles!$G$6:$G$101,MOD(55+$C30+(4),$B$3)+1)*M30+IF($B$6=0,0,$B$6*NORMSINV(0.000001+0.999998*RAND())))</f>
        <v/>
      </c>
      <c r="BT30" s="30">
        <f>IF(57&gt;$B$3,99,INDEX(Symboles!$G$6:$G$101,MOD(56+$C30+(-4),$B$3)+1)*E30+INDEX(Symboles!$G$6:$G$101,MOD(56+$C30+(-3),$B$3)+1)*F30+INDEX(Symboles!$G$6:$G$101,MOD(56+$C30+(-2),$B$3)+1)*G30+INDEX(Symboles!$G$6:$G$101,MOD(56+$C30+(-1),$B$3)+1)*H30+INDEX(Symboles!$G$6:$G$101,MOD(56+$C30+(0),$B$3)+1)*I30+INDEX(Symboles!$G$6:$G$101,MOD(56+$C30+(1),$B$3)+1)*J30+INDEX(Symboles!$G$6:$G$101,MOD(56+$C30+(2),$B$3)+1)*K30+INDEX(Symboles!$G$6:$G$101,MOD(56+$C30+(3),$B$3)+1)*L30+INDEX(Symboles!$G$6:$G$101,MOD(56+$C30+(4),$B$3)+1)*M30+IF($B$6=0,0,$B$6*NORMSINV(0.000001+0.999998*RAND())))</f>
        <v/>
      </c>
      <c r="BU30" s="30">
        <f>IF(58&gt;$B$3,99,INDEX(Symboles!$G$6:$G$101,MOD(57+$C30+(-4),$B$3)+1)*E30+INDEX(Symboles!$G$6:$G$101,MOD(57+$C30+(-3),$B$3)+1)*F30+INDEX(Symboles!$G$6:$G$101,MOD(57+$C30+(-2),$B$3)+1)*G30+INDEX(Symboles!$G$6:$G$101,MOD(57+$C30+(-1),$B$3)+1)*H30+INDEX(Symboles!$G$6:$G$101,MOD(57+$C30+(0),$B$3)+1)*I30+INDEX(Symboles!$G$6:$G$101,MOD(57+$C30+(1),$B$3)+1)*J30+INDEX(Symboles!$G$6:$G$101,MOD(57+$C30+(2),$B$3)+1)*K30+INDEX(Symboles!$G$6:$G$101,MOD(57+$C30+(3),$B$3)+1)*L30+INDEX(Symboles!$G$6:$G$101,MOD(57+$C30+(4),$B$3)+1)*M30+IF($B$6=0,0,$B$6*NORMSINV(0.000001+0.999998*RAND())))</f>
        <v/>
      </c>
      <c r="BV30" s="30">
        <f>IF(59&gt;$B$3,99,INDEX(Symboles!$G$6:$G$101,MOD(58+$C30+(-4),$B$3)+1)*E30+INDEX(Symboles!$G$6:$G$101,MOD(58+$C30+(-3),$B$3)+1)*F30+INDEX(Symboles!$G$6:$G$101,MOD(58+$C30+(-2),$B$3)+1)*G30+INDEX(Symboles!$G$6:$G$101,MOD(58+$C30+(-1),$B$3)+1)*H30+INDEX(Symboles!$G$6:$G$101,MOD(58+$C30+(0),$B$3)+1)*I30+INDEX(Symboles!$G$6:$G$101,MOD(58+$C30+(1),$B$3)+1)*J30+INDEX(Symboles!$G$6:$G$101,MOD(58+$C30+(2),$B$3)+1)*K30+INDEX(Symboles!$G$6:$G$101,MOD(58+$C30+(3),$B$3)+1)*L30+INDEX(Symboles!$G$6:$G$101,MOD(58+$C30+(4),$B$3)+1)*M30+IF($B$6=0,0,$B$6*NORMSINV(0.000001+0.999998*RAND())))</f>
        <v/>
      </c>
      <c r="BW30" s="30">
        <f>IF(60&gt;$B$3,99,INDEX(Symboles!$G$6:$G$101,MOD(59+$C30+(-4),$B$3)+1)*E30+INDEX(Symboles!$G$6:$G$101,MOD(59+$C30+(-3),$B$3)+1)*F30+INDEX(Symboles!$G$6:$G$101,MOD(59+$C30+(-2),$B$3)+1)*G30+INDEX(Symboles!$G$6:$G$101,MOD(59+$C30+(-1),$B$3)+1)*H30+INDEX(Symboles!$G$6:$G$101,MOD(59+$C30+(0),$B$3)+1)*I30+INDEX(Symboles!$G$6:$G$101,MOD(59+$C30+(1),$B$3)+1)*J30+INDEX(Symboles!$G$6:$G$101,MOD(59+$C30+(2),$B$3)+1)*K30+INDEX(Symboles!$G$6:$G$101,MOD(59+$C30+(3),$B$3)+1)*L30+INDEX(Symboles!$G$6:$G$101,MOD(59+$C30+(4),$B$3)+1)*M30+IF($B$6=0,0,$B$6*NORMSINV(0.000001+0.999998*RAND())))</f>
        <v/>
      </c>
      <c r="BX30" s="30">
        <f>IF(61&gt;$B$3,99,INDEX(Symboles!$G$6:$G$101,MOD(60+$C30+(-4),$B$3)+1)*E30+INDEX(Symboles!$G$6:$G$101,MOD(60+$C30+(-3),$B$3)+1)*F30+INDEX(Symboles!$G$6:$G$101,MOD(60+$C30+(-2),$B$3)+1)*G30+INDEX(Symboles!$G$6:$G$101,MOD(60+$C30+(-1),$B$3)+1)*H30+INDEX(Symboles!$G$6:$G$101,MOD(60+$C30+(0),$B$3)+1)*I30+INDEX(Symboles!$G$6:$G$101,MOD(60+$C30+(1),$B$3)+1)*J30+INDEX(Symboles!$G$6:$G$101,MOD(60+$C30+(2),$B$3)+1)*K30+INDEX(Symboles!$G$6:$G$101,MOD(60+$C30+(3),$B$3)+1)*L30+INDEX(Symboles!$G$6:$G$101,MOD(60+$C30+(4),$B$3)+1)*M30+IF($B$6=0,0,$B$6*NORMSINV(0.000001+0.999998*RAND())))</f>
        <v/>
      </c>
      <c r="BY30" s="30">
        <f>IF(62&gt;$B$3,99,INDEX(Symboles!$G$6:$G$101,MOD(61+$C30+(-4),$B$3)+1)*E30+INDEX(Symboles!$G$6:$G$101,MOD(61+$C30+(-3),$B$3)+1)*F30+INDEX(Symboles!$G$6:$G$101,MOD(61+$C30+(-2),$B$3)+1)*G30+INDEX(Symboles!$G$6:$G$101,MOD(61+$C30+(-1),$B$3)+1)*H30+INDEX(Symboles!$G$6:$G$101,MOD(61+$C30+(0),$B$3)+1)*I30+INDEX(Symboles!$G$6:$G$101,MOD(61+$C30+(1),$B$3)+1)*J30+INDEX(Symboles!$G$6:$G$101,MOD(61+$C30+(2),$B$3)+1)*K30+INDEX(Symboles!$G$6:$G$101,MOD(61+$C30+(3),$B$3)+1)*L30+INDEX(Symboles!$G$6:$G$101,MOD(61+$C30+(4),$B$3)+1)*M30+IF($B$6=0,0,$B$6*NORMSINV(0.000001+0.999998*RAND())))</f>
        <v/>
      </c>
      <c r="BZ30" s="30">
        <f>IF(63&gt;$B$3,99,INDEX(Symboles!$G$6:$G$101,MOD(62+$C30+(-4),$B$3)+1)*E30+INDEX(Symboles!$G$6:$G$101,MOD(62+$C30+(-3),$B$3)+1)*F30+INDEX(Symboles!$G$6:$G$101,MOD(62+$C30+(-2),$B$3)+1)*G30+INDEX(Symboles!$G$6:$G$101,MOD(62+$C30+(-1),$B$3)+1)*H30+INDEX(Symboles!$G$6:$G$101,MOD(62+$C30+(0),$B$3)+1)*I30+INDEX(Symboles!$G$6:$G$101,MOD(62+$C30+(1),$B$3)+1)*J30+INDEX(Symboles!$G$6:$G$101,MOD(62+$C30+(2),$B$3)+1)*K30+INDEX(Symboles!$G$6:$G$101,MOD(62+$C30+(3),$B$3)+1)*L30+INDEX(Symboles!$G$6:$G$101,MOD(62+$C30+(4),$B$3)+1)*M30+IF($B$6=0,0,$B$6*NORMSINV(0.000001+0.999998*RAND())))</f>
        <v/>
      </c>
      <c r="CA30" s="30">
        <f>IF(64&gt;$B$3,99,INDEX(Symboles!$G$6:$G$101,MOD(63+$C30+(-4),$B$3)+1)*E30+INDEX(Symboles!$G$6:$G$101,MOD(63+$C30+(-3),$B$3)+1)*F30+INDEX(Symboles!$G$6:$G$101,MOD(63+$C30+(-2),$B$3)+1)*G30+INDEX(Symboles!$G$6:$G$101,MOD(63+$C30+(-1),$B$3)+1)*H30+INDEX(Symboles!$G$6:$G$101,MOD(63+$C30+(0),$B$3)+1)*I30+INDEX(Symboles!$G$6:$G$101,MOD(63+$C30+(1),$B$3)+1)*J30+INDEX(Symboles!$G$6:$G$101,MOD(63+$C30+(2),$B$3)+1)*K30+INDEX(Symboles!$G$6:$G$101,MOD(63+$C30+(3),$B$3)+1)*L30+INDEX(Symboles!$G$6:$G$101,MOD(63+$C30+(4),$B$3)+1)*M30+IF($B$6=0,0,$B$6*NORMSINV(0.000001+0.999998*RAND())))</f>
        <v/>
      </c>
      <c r="CB30" s="30">
        <f>IF(65&gt;$B$3,99,INDEX(Symboles!$G$6:$G$101,MOD(64+$C30+(-4),$B$3)+1)*E30+INDEX(Symboles!$G$6:$G$101,MOD(64+$C30+(-3),$B$3)+1)*F30+INDEX(Symboles!$G$6:$G$101,MOD(64+$C30+(-2),$B$3)+1)*G30+INDEX(Symboles!$G$6:$G$101,MOD(64+$C30+(-1),$B$3)+1)*H30+INDEX(Symboles!$G$6:$G$101,MOD(64+$C30+(0),$B$3)+1)*I30+INDEX(Symboles!$G$6:$G$101,MOD(64+$C30+(1),$B$3)+1)*J30+INDEX(Symboles!$G$6:$G$101,MOD(64+$C30+(2),$B$3)+1)*K30+INDEX(Symboles!$G$6:$G$101,MOD(64+$C30+(3),$B$3)+1)*L30+INDEX(Symboles!$G$6:$G$101,MOD(64+$C30+(4),$B$3)+1)*M30+IF($B$6=0,0,$B$6*NORMSINV(0.000001+0.999998*RAND())))</f>
        <v/>
      </c>
      <c r="CC30" s="30">
        <f>IF(66&gt;$B$3,99,INDEX(Symboles!$G$6:$G$101,MOD(65+$C30+(-4),$B$3)+1)*E30+INDEX(Symboles!$G$6:$G$101,MOD(65+$C30+(-3),$B$3)+1)*F30+INDEX(Symboles!$G$6:$G$101,MOD(65+$C30+(-2),$B$3)+1)*G30+INDEX(Symboles!$G$6:$G$101,MOD(65+$C30+(-1),$B$3)+1)*H30+INDEX(Symboles!$G$6:$G$101,MOD(65+$C30+(0),$B$3)+1)*I30+INDEX(Symboles!$G$6:$G$101,MOD(65+$C30+(1),$B$3)+1)*J30+INDEX(Symboles!$G$6:$G$101,MOD(65+$C30+(2),$B$3)+1)*K30+INDEX(Symboles!$G$6:$G$101,MOD(65+$C30+(3),$B$3)+1)*L30+INDEX(Symboles!$G$6:$G$101,MOD(65+$C30+(4),$B$3)+1)*M30+IF($B$6=0,0,$B$6*NORMSINV(0.000001+0.999998*RAND())))</f>
        <v/>
      </c>
      <c r="CD30" s="30">
        <f>IF(67&gt;$B$3,99,INDEX(Symboles!$G$6:$G$101,MOD(66+$C30+(-4),$B$3)+1)*E30+INDEX(Symboles!$G$6:$G$101,MOD(66+$C30+(-3),$B$3)+1)*F30+INDEX(Symboles!$G$6:$G$101,MOD(66+$C30+(-2),$B$3)+1)*G30+INDEX(Symboles!$G$6:$G$101,MOD(66+$C30+(-1),$B$3)+1)*H30+INDEX(Symboles!$G$6:$G$101,MOD(66+$C30+(0),$B$3)+1)*I30+INDEX(Symboles!$G$6:$G$101,MOD(66+$C30+(1),$B$3)+1)*J30+INDEX(Symboles!$G$6:$G$101,MOD(66+$C30+(2),$B$3)+1)*K30+INDEX(Symboles!$G$6:$G$101,MOD(66+$C30+(3),$B$3)+1)*L30+INDEX(Symboles!$G$6:$G$101,MOD(66+$C30+(4),$B$3)+1)*M30+IF($B$6=0,0,$B$6*NORMSINV(0.000001+0.999998*RAND())))</f>
        <v/>
      </c>
      <c r="CE30" s="30">
        <f>IF(68&gt;$B$3,99,INDEX(Symboles!$G$6:$G$101,MOD(67+$C30+(-4),$B$3)+1)*E30+INDEX(Symboles!$G$6:$G$101,MOD(67+$C30+(-3),$B$3)+1)*F30+INDEX(Symboles!$G$6:$G$101,MOD(67+$C30+(-2),$B$3)+1)*G30+INDEX(Symboles!$G$6:$G$101,MOD(67+$C30+(-1),$B$3)+1)*H30+INDEX(Symboles!$G$6:$G$101,MOD(67+$C30+(0),$B$3)+1)*I30+INDEX(Symboles!$G$6:$G$101,MOD(67+$C30+(1),$B$3)+1)*J30+INDEX(Symboles!$G$6:$G$101,MOD(67+$C30+(2),$B$3)+1)*K30+INDEX(Symboles!$G$6:$G$101,MOD(67+$C30+(3),$B$3)+1)*L30+INDEX(Symboles!$G$6:$G$101,MOD(67+$C30+(4),$B$3)+1)*M30+IF($B$6=0,0,$B$6*NORMSINV(0.000001+0.999998*RAND())))</f>
        <v/>
      </c>
      <c r="CF30" s="30">
        <f>IF(69&gt;$B$3,99,INDEX(Symboles!$G$6:$G$101,MOD(68+$C30+(-4),$B$3)+1)*E30+INDEX(Symboles!$G$6:$G$101,MOD(68+$C30+(-3),$B$3)+1)*F30+INDEX(Symboles!$G$6:$G$101,MOD(68+$C30+(-2),$B$3)+1)*G30+INDEX(Symboles!$G$6:$G$101,MOD(68+$C30+(-1),$B$3)+1)*H30+INDEX(Symboles!$G$6:$G$101,MOD(68+$C30+(0),$B$3)+1)*I30+INDEX(Symboles!$G$6:$G$101,MOD(68+$C30+(1),$B$3)+1)*J30+INDEX(Symboles!$G$6:$G$101,MOD(68+$C30+(2),$B$3)+1)*K30+INDEX(Symboles!$G$6:$G$101,MOD(68+$C30+(3),$B$3)+1)*L30+INDEX(Symboles!$G$6:$G$101,MOD(68+$C30+(4),$B$3)+1)*M30+IF($B$6=0,0,$B$6*NORMSINV(0.000001+0.999998*RAND())))</f>
        <v/>
      </c>
      <c r="CG30" s="30">
        <f>IF(70&gt;$B$3,99,INDEX(Symboles!$G$6:$G$101,MOD(69+$C30+(-4),$B$3)+1)*E30+INDEX(Symboles!$G$6:$G$101,MOD(69+$C30+(-3),$B$3)+1)*F30+INDEX(Symboles!$G$6:$G$101,MOD(69+$C30+(-2),$B$3)+1)*G30+INDEX(Symboles!$G$6:$G$101,MOD(69+$C30+(-1),$B$3)+1)*H30+INDEX(Symboles!$G$6:$G$101,MOD(69+$C30+(0),$B$3)+1)*I30+INDEX(Symboles!$G$6:$G$101,MOD(69+$C30+(1),$B$3)+1)*J30+INDEX(Symboles!$G$6:$G$101,MOD(69+$C30+(2),$B$3)+1)*K30+INDEX(Symboles!$G$6:$G$101,MOD(69+$C30+(3),$B$3)+1)*L30+INDEX(Symboles!$G$6:$G$101,MOD(69+$C30+(4),$B$3)+1)*M30+IF($B$6=0,0,$B$6*NORMSINV(0.000001+0.999998*RAND())))</f>
        <v/>
      </c>
      <c r="CH30" s="30">
        <f>IF(71&gt;$B$3,99,INDEX(Symboles!$G$6:$G$101,MOD(70+$C30+(-4),$B$3)+1)*E30+INDEX(Symboles!$G$6:$G$101,MOD(70+$C30+(-3),$B$3)+1)*F30+INDEX(Symboles!$G$6:$G$101,MOD(70+$C30+(-2),$B$3)+1)*G30+INDEX(Symboles!$G$6:$G$101,MOD(70+$C30+(-1),$B$3)+1)*H30+INDEX(Symboles!$G$6:$G$101,MOD(70+$C30+(0),$B$3)+1)*I30+INDEX(Symboles!$G$6:$G$101,MOD(70+$C30+(1),$B$3)+1)*J30+INDEX(Symboles!$G$6:$G$101,MOD(70+$C30+(2),$B$3)+1)*K30+INDEX(Symboles!$G$6:$G$101,MOD(70+$C30+(3),$B$3)+1)*L30+INDEX(Symboles!$G$6:$G$101,MOD(70+$C30+(4),$B$3)+1)*M30+IF($B$6=0,0,$B$6*NORMSINV(0.000001+0.999998*RAND())))</f>
        <v/>
      </c>
      <c r="CI30" s="30">
        <f>IF(72&gt;$B$3,99,INDEX(Symboles!$G$6:$G$101,MOD(71+$C30+(-4),$B$3)+1)*E30+INDEX(Symboles!$G$6:$G$101,MOD(71+$C30+(-3),$B$3)+1)*F30+INDEX(Symboles!$G$6:$G$101,MOD(71+$C30+(-2),$B$3)+1)*G30+INDEX(Symboles!$G$6:$G$101,MOD(71+$C30+(-1),$B$3)+1)*H30+INDEX(Symboles!$G$6:$G$101,MOD(71+$C30+(0),$B$3)+1)*I30+INDEX(Symboles!$G$6:$G$101,MOD(71+$C30+(1),$B$3)+1)*J30+INDEX(Symboles!$G$6:$G$101,MOD(71+$C30+(2),$B$3)+1)*K30+INDEX(Symboles!$G$6:$G$101,MOD(71+$C30+(3),$B$3)+1)*L30+INDEX(Symboles!$G$6:$G$101,MOD(71+$C30+(4),$B$3)+1)*M30+IF($B$6=0,0,$B$6*NORMSINV(0.000001+0.999998*RAND())))</f>
        <v/>
      </c>
      <c r="CJ30" s="30">
        <f>IF(73&gt;$B$3,99,INDEX(Symboles!$G$6:$G$101,MOD(72+$C30+(-4),$B$3)+1)*E30+INDEX(Symboles!$G$6:$G$101,MOD(72+$C30+(-3),$B$3)+1)*F30+INDEX(Symboles!$G$6:$G$101,MOD(72+$C30+(-2),$B$3)+1)*G30+INDEX(Symboles!$G$6:$G$101,MOD(72+$C30+(-1),$B$3)+1)*H30+INDEX(Symboles!$G$6:$G$101,MOD(72+$C30+(0),$B$3)+1)*I30+INDEX(Symboles!$G$6:$G$101,MOD(72+$C30+(1),$B$3)+1)*J30+INDEX(Symboles!$G$6:$G$101,MOD(72+$C30+(2),$B$3)+1)*K30+INDEX(Symboles!$G$6:$G$101,MOD(72+$C30+(3),$B$3)+1)*L30+INDEX(Symboles!$G$6:$G$101,MOD(72+$C30+(4),$B$3)+1)*M30+IF($B$6=0,0,$B$6*NORMSINV(0.000001+0.999998*RAND())))</f>
        <v/>
      </c>
      <c r="CK30" s="30">
        <f>IF(74&gt;$B$3,99,INDEX(Symboles!$G$6:$G$101,MOD(73+$C30+(-4),$B$3)+1)*E30+INDEX(Symboles!$G$6:$G$101,MOD(73+$C30+(-3),$B$3)+1)*F30+INDEX(Symboles!$G$6:$G$101,MOD(73+$C30+(-2),$B$3)+1)*G30+INDEX(Symboles!$G$6:$G$101,MOD(73+$C30+(-1),$B$3)+1)*H30+INDEX(Symboles!$G$6:$G$101,MOD(73+$C30+(0),$B$3)+1)*I30+INDEX(Symboles!$G$6:$G$101,MOD(73+$C30+(1),$B$3)+1)*J30+INDEX(Symboles!$G$6:$G$101,MOD(73+$C30+(2),$B$3)+1)*K30+INDEX(Symboles!$G$6:$G$101,MOD(73+$C30+(3),$B$3)+1)*L30+INDEX(Symboles!$G$6:$G$101,MOD(73+$C30+(4),$B$3)+1)*M30+IF($B$6=0,0,$B$6*NORMSINV(0.000001+0.999998*RAND())))</f>
        <v/>
      </c>
      <c r="CL30" s="30">
        <f>IF(75&gt;$B$3,99,INDEX(Symboles!$G$6:$G$101,MOD(74+$C30+(-4),$B$3)+1)*E30+INDEX(Symboles!$G$6:$G$101,MOD(74+$C30+(-3),$B$3)+1)*F30+INDEX(Symboles!$G$6:$G$101,MOD(74+$C30+(-2),$B$3)+1)*G30+INDEX(Symboles!$G$6:$G$101,MOD(74+$C30+(-1),$B$3)+1)*H30+INDEX(Symboles!$G$6:$G$101,MOD(74+$C30+(0),$B$3)+1)*I30+INDEX(Symboles!$G$6:$G$101,MOD(74+$C30+(1),$B$3)+1)*J30+INDEX(Symboles!$G$6:$G$101,MOD(74+$C30+(2),$B$3)+1)*K30+INDEX(Symboles!$G$6:$G$101,MOD(74+$C30+(3),$B$3)+1)*L30+INDEX(Symboles!$G$6:$G$101,MOD(74+$C30+(4),$B$3)+1)*M30+IF($B$6=0,0,$B$6*NORMSINV(0.000001+0.999998*RAND())))</f>
        <v/>
      </c>
      <c r="CM30" s="30">
        <f>IF(76&gt;$B$3,99,INDEX(Symboles!$G$6:$G$101,MOD(75+$C30+(-4),$B$3)+1)*E30+INDEX(Symboles!$G$6:$G$101,MOD(75+$C30+(-3),$B$3)+1)*F30+INDEX(Symboles!$G$6:$G$101,MOD(75+$C30+(-2),$B$3)+1)*G30+INDEX(Symboles!$G$6:$G$101,MOD(75+$C30+(-1),$B$3)+1)*H30+INDEX(Symboles!$G$6:$G$101,MOD(75+$C30+(0),$B$3)+1)*I30+INDEX(Symboles!$G$6:$G$101,MOD(75+$C30+(1),$B$3)+1)*J30+INDEX(Symboles!$G$6:$G$101,MOD(75+$C30+(2),$B$3)+1)*K30+INDEX(Symboles!$G$6:$G$101,MOD(75+$C30+(3),$B$3)+1)*L30+INDEX(Symboles!$G$6:$G$101,MOD(75+$C30+(4),$B$3)+1)*M30+IF($B$6=0,0,$B$6*NORMSINV(0.000001+0.999998*RAND())))</f>
        <v/>
      </c>
      <c r="CN30" s="30">
        <f>IF(77&gt;$B$3,99,INDEX(Symboles!$G$6:$G$101,MOD(76+$C30+(-4),$B$3)+1)*E30+INDEX(Symboles!$G$6:$G$101,MOD(76+$C30+(-3),$B$3)+1)*F30+INDEX(Symboles!$G$6:$G$101,MOD(76+$C30+(-2),$B$3)+1)*G30+INDEX(Symboles!$G$6:$G$101,MOD(76+$C30+(-1),$B$3)+1)*H30+INDEX(Symboles!$G$6:$G$101,MOD(76+$C30+(0),$B$3)+1)*I30+INDEX(Symboles!$G$6:$G$101,MOD(76+$C30+(1),$B$3)+1)*J30+INDEX(Symboles!$G$6:$G$101,MOD(76+$C30+(2),$B$3)+1)*K30+INDEX(Symboles!$G$6:$G$101,MOD(76+$C30+(3),$B$3)+1)*L30+INDEX(Symboles!$G$6:$G$101,MOD(76+$C30+(4),$B$3)+1)*M30+IF($B$6=0,0,$B$6*NORMSINV(0.000001+0.999998*RAND())))</f>
        <v/>
      </c>
      <c r="CO30" s="30">
        <f>IF(78&gt;$B$3,99,INDEX(Symboles!$G$6:$G$101,MOD(77+$C30+(-4),$B$3)+1)*E30+INDEX(Symboles!$G$6:$G$101,MOD(77+$C30+(-3),$B$3)+1)*F30+INDEX(Symboles!$G$6:$G$101,MOD(77+$C30+(-2),$B$3)+1)*G30+INDEX(Symboles!$G$6:$G$101,MOD(77+$C30+(-1),$B$3)+1)*H30+INDEX(Symboles!$G$6:$G$101,MOD(77+$C30+(0),$B$3)+1)*I30+INDEX(Symboles!$G$6:$G$101,MOD(77+$C30+(1),$B$3)+1)*J30+INDEX(Symboles!$G$6:$G$101,MOD(77+$C30+(2),$B$3)+1)*K30+INDEX(Symboles!$G$6:$G$101,MOD(77+$C30+(3),$B$3)+1)*L30+INDEX(Symboles!$G$6:$G$101,MOD(77+$C30+(4),$B$3)+1)*M30+IF($B$6=0,0,$B$6*NORMSINV(0.000001+0.999998*RAND())))</f>
        <v/>
      </c>
      <c r="CP30" s="30">
        <f>IF(79&gt;$B$3,99,INDEX(Symboles!$G$6:$G$101,MOD(78+$C30+(-4),$B$3)+1)*E30+INDEX(Symboles!$G$6:$G$101,MOD(78+$C30+(-3),$B$3)+1)*F30+INDEX(Symboles!$G$6:$G$101,MOD(78+$C30+(-2),$B$3)+1)*G30+INDEX(Symboles!$G$6:$G$101,MOD(78+$C30+(-1),$B$3)+1)*H30+INDEX(Symboles!$G$6:$G$101,MOD(78+$C30+(0),$B$3)+1)*I30+INDEX(Symboles!$G$6:$G$101,MOD(78+$C30+(1),$B$3)+1)*J30+INDEX(Symboles!$G$6:$G$101,MOD(78+$C30+(2),$B$3)+1)*K30+INDEX(Symboles!$G$6:$G$101,MOD(78+$C30+(3),$B$3)+1)*L30+INDEX(Symboles!$G$6:$G$101,MOD(78+$C30+(4),$B$3)+1)*M30+IF($B$6=0,0,$B$6*NORMSINV(0.000001+0.999998*RAND())))</f>
        <v/>
      </c>
      <c r="CQ30" s="30">
        <f>IF(80&gt;$B$3,99,INDEX(Symboles!$G$6:$G$101,MOD(79+$C30+(-4),$B$3)+1)*E30+INDEX(Symboles!$G$6:$G$101,MOD(79+$C30+(-3),$B$3)+1)*F30+INDEX(Symboles!$G$6:$G$101,MOD(79+$C30+(-2),$B$3)+1)*G30+INDEX(Symboles!$G$6:$G$101,MOD(79+$C30+(-1),$B$3)+1)*H30+INDEX(Symboles!$G$6:$G$101,MOD(79+$C30+(0),$B$3)+1)*I30+INDEX(Symboles!$G$6:$G$101,MOD(79+$C30+(1),$B$3)+1)*J30+INDEX(Symboles!$G$6:$G$101,MOD(79+$C30+(2),$B$3)+1)*K30+INDEX(Symboles!$G$6:$G$101,MOD(79+$C30+(3),$B$3)+1)*L30+INDEX(Symboles!$G$6:$G$101,MOD(79+$C30+(4),$B$3)+1)*M30+IF($B$6=0,0,$B$6*NORMSINV(0.000001+0.999998*RAND())))</f>
        <v/>
      </c>
      <c r="CR30" s="30">
        <f>IF(81&gt;$B$3,99,INDEX(Symboles!$G$6:$G$101,MOD(80+$C30+(-4),$B$3)+1)*E30+INDEX(Symboles!$G$6:$G$101,MOD(80+$C30+(-3),$B$3)+1)*F30+INDEX(Symboles!$G$6:$G$101,MOD(80+$C30+(-2),$B$3)+1)*G30+INDEX(Symboles!$G$6:$G$101,MOD(80+$C30+(-1),$B$3)+1)*H30+INDEX(Symboles!$G$6:$G$101,MOD(80+$C30+(0),$B$3)+1)*I30+INDEX(Symboles!$G$6:$G$101,MOD(80+$C30+(1),$B$3)+1)*J30+INDEX(Symboles!$G$6:$G$101,MOD(80+$C30+(2),$B$3)+1)*K30+INDEX(Symboles!$G$6:$G$101,MOD(80+$C30+(3),$B$3)+1)*L30+INDEX(Symboles!$G$6:$G$101,MOD(80+$C30+(4),$B$3)+1)*M30+IF($B$6=0,0,$B$6*NORMSINV(0.000001+0.999998*RAND())))</f>
        <v/>
      </c>
      <c r="CS30" s="30">
        <f>IF(82&gt;$B$3,99,INDEX(Symboles!$G$6:$G$101,MOD(81+$C30+(-4),$B$3)+1)*E30+INDEX(Symboles!$G$6:$G$101,MOD(81+$C30+(-3),$B$3)+1)*F30+INDEX(Symboles!$G$6:$G$101,MOD(81+$C30+(-2),$B$3)+1)*G30+INDEX(Symboles!$G$6:$G$101,MOD(81+$C30+(-1),$B$3)+1)*H30+INDEX(Symboles!$G$6:$G$101,MOD(81+$C30+(0),$B$3)+1)*I30+INDEX(Symboles!$G$6:$G$101,MOD(81+$C30+(1),$B$3)+1)*J30+INDEX(Symboles!$G$6:$G$101,MOD(81+$C30+(2),$B$3)+1)*K30+INDEX(Symboles!$G$6:$G$101,MOD(81+$C30+(3),$B$3)+1)*L30+INDEX(Symboles!$G$6:$G$101,MOD(81+$C30+(4),$B$3)+1)*M30+IF($B$6=0,0,$B$6*NORMSINV(0.000001+0.999998*RAND())))</f>
        <v/>
      </c>
      <c r="CT30" s="30">
        <f>IF(83&gt;$B$3,99,INDEX(Symboles!$G$6:$G$101,MOD(82+$C30+(-4),$B$3)+1)*E30+INDEX(Symboles!$G$6:$G$101,MOD(82+$C30+(-3),$B$3)+1)*F30+INDEX(Symboles!$G$6:$G$101,MOD(82+$C30+(-2),$B$3)+1)*G30+INDEX(Symboles!$G$6:$G$101,MOD(82+$C30+(-1),$B$3)+1)*H30+INDEX(Symboles!$G$6:$G$101,MOD(82+$C30+(0),$B$3)+1)*I30+INDEX(Symboles!$G$6:$G$101,MOD(82+$C30+(1),$B$3)+1)*J30+INDEX(Symboles!$G$6:$G$101,MOD(82+$C30+(2),$B$3)+1)*K30+INDEX(Symboles!$G$6:$G$101,MOD(82+$C30+(3),$B$3)+1)*L30+INDEX(Symboles!$G$6:$G$101,MOD(82+$C30+(4),$B$3)+1)*M30+IF($B$6=0,0,$B$6*NORMSINV(0.000001+0.999998*RAND())))</f>
        <v/>
      </c>
      <c r="CU30" s="30">
        <f>IF(84&gt;$B$3,99,INDEX(Symboles!$G$6:$G$101,MOD(83+$C30+(-4),$B$3)+1)*E30+INDEX(Symboles!$G$6:$G$101,MOD(83+$C30+(-3),$B$3)+1)*F30+INDEX(Symboles!$G$6:$G$101,MOD(83+$C30+(-2),$B$3)+1)*G30+INDEX(Symboles!$G$6:$G$101,MOD(83+$C30+(-1),$B$3)+1)*H30+INDEX(Symboles!$G$6:$G$101,MOD(83+$C30+(0),$B$3)+1)*I30+INDEX(Symboles!$G$6:$G$101,MOD(83+$C30+(1),$B$3)+1)*J30+INDEX(Symboles!$G$6:$G$101,MOD(83+$C30+(2),$B$3)+1)*K30+INDEX(Symboles!$G$6:$G$101,MOD(83+$C30+(3),$B$3)+1)*L30+INDEX(Symboles!$G$6:$G$101,MOD(83+$C30+(4),$B$3)+1)*M30+IF($B$6=0,0,$B$6*NORMSINV(0.000001+0.999998*RAND())))</f>
        <v/>
      </c>
      <c r="CV30" s="30">
        <f>IF(85&gt;$B$3,99,INDEX(Symboles!$G$6:$G$101,MOD(84+$C30+(-4),$B$3)+1)*E30+INDEX(Symboles!$G$6:$G$101,MOD(84+$C30+(-3),$B$3)+1)*F30+INDEX(Symboles!$G$6:$G$101,MOD(84+$C30+(-2),$B$3)+1)*G30+INDEX(Symboles!$G$6:$G$101,MOD(84+$C30+(-1),$B$3)+1)*H30+INDEX(Symboles!$G$6:$G$101,MOD(84+$C30+(0),$B$3)+1)*I30+INDEX(Symboles!$G$6:$G$101,MOD(84+$C30+(1),$B$3)+1)*J30+INDEX(Symboles!$G$6:$G$101,MOD(84+$C30+(2),$B$3)+1)*K30+INDEX(Symboles!$G$6:$G$101,MOD(84+$C30+(3),$B$3)+1)*L30+INDEX(Symboles!$G$6:$G$101,MOD(84+$C30+(4),$B$3)+1)*M30+IF($B$6=0,0,$B$6*NORMSINV(0.000001+0.999998*RAND())))</f>
        <v/>
      </c>
      <c r="CW30" s="30">
        <f>IF(86&gt;$B$3,99,INDEX(Symboles!$G$6:$G$101,MOD(85+$C30+(-4),$B$3)+1)*E30+INDEX(Symboles!$G$6:$G$101,MOD(85+$C30+(-3),$B$3)+1)*F30+INDEX(Symboles!$G$6:$G$101,MOD(85+$C30+(-2),$B$3)+1)*G30+INDEX(Symboles!$G$6:$G$101,MOD(85+$C30+(-1),$B$3)+1)*H30+INDEX(Symboles!$G$6:$G$101,MOD(85+$C30+(0),$B$3)+1)*I30+INDEX(Symboles!$G$6:$G$101,MOD(85+$C30+(1),$B$3)+1)*J30+INDEX(Symboles!$G$6:$G$101,MOD(85+$C30+(2),$B$3)+1)*K30+INDEX(Symboles!$G$6:$G$101,MOD(85+$C30+(3),$B$3)+1)*L30+INDEX(Symboles!$G$6:$G$101,MOD(85+$C30+(4),$B$3)+1)*M30+IF($B$6=0,0,$B$6*NORMSINV(0.000001+0.999998*RAND())))</f>
        <v/>
      </c>
      <c r="CX30" s="30">
        <f>IF(87&gt;$B$3,99,INDEX(Symboles!$G$6:$G$101,MOD(86+$C30+(-4),$B$3)+1)*E30+INDEX(Symboles!$G$6:$G$101,MOD(86+$C30+(-3),$B$3)+1)*F30+INDEX(Symboles!$G$6:$G$101,MOD(86+$C30+(-2),$B$3)+1)*G30+INDEX(Symboles!$G$6:$G$101,MOD(86+$C30+(-1),$B$3)+1)*H30+INDEX(Symboles!$G$6:$G$101,MOD(86+$C30+(0),$B$3)+1)*I30+INDEX(Symboles!$G$6:$G$101,MOD(86+$C30+(1),$B$3)+1)*J30+INDEX(Symboles!$G$6:$G$101,MOD(86+$C30+(2),$B$3)+1)*K30+INDEX(Symboles!$G$6:$G$101,MOD(86+$C30+(3),$B$3)+1)*L30+INDEX(Symboles!$G$6:$G$101,MOD(86+$C30+(4),$B$3)+1)*M30+IF($B$6=0,0,$B$6*NORMSINV(0.000001+0.999998*RAND())))</f>
        <v/>
      </c>
      <c r="CY30" s="30">
        <f>IF(88&gt;$B$3,99,INDEX(Symboles!$G$6:$G$101,MOD(87+$C30+(-4),$B$3)+1)*E30+INDEX(Symboles!$G$6:$G$101,MOD(87+$C30+(-3),$B$3)+1)*F30+INDEX(Symboles!$G$6:$G$101,MOD(87+$C30+(-2),$B$3)+1)*G30+INDEX(Symboles!$G$6:$G$101,MOD(87+$C30+(-1),$B$3)+1)*H30+INDEX(Symboles!$G$6:$G$101,MOD(87+$C30+(0),$B$3)+1)*I30+INDEX(Symboles!$G$6:$G$101,MOD(87+$C30+(1),$B$3)+1)*J30+INDEX(Symboles!$G$6:$G$101,MOD(87+$C30+(2),$B$3)+1)*K30+INDEX(Symboles!$G$6:$G$101,MOD(87+$C30+(3),$B$3)+1)*L30+INDEX(Symboles!$G$6:$G$101,MOD(87+$C30+(4),$B$3)+1)*M30+IF($B$6=0,0,$B$6*NORMSINV(0.000001+0.999998*RAND())))</f>
        <v/>
      </c>
      <c r="CZ30" s="30">
        <f>IF(89&gt;$B$3,99,INDEX(Symboles!$G$6:$G$101,MOD(88+$C30+(-4),$B$3)+1)*E30+INDEX(Symboles!$G$6:$G$101,MOD(88+$C30+(-3),$B$3)+1)*F30+INDEX(Symboles!$G$6:$G$101,MOD(88+$C30+(-2),$B$3)+1)*G30+INDEX(Symboles!$G$6:$G$101,MOD(88+$C30+(-1),$B$3)+1)*H30+INDEX(Symboles!$G$6:$G$101,MOD(88+$C30+(0),$B$3)+1)*I30+INDEX(Symboles!$G$6:$G$101,MOD(88+$C30+(1),$B$3)+1)*J30+INDEX(Symboles!$G$6:$G$101,MOD(88+$C30+(2),$B$3)+1)*K30+INDEX(Symboles!$G$6:$G$101,MOD(88+$C30+(3),$B$3)+1)*L30+INDEX(Symboles!$G$6:$G$101,MOD(88+$C30+(4),$B$3)+1)*M30+IF($B$6=0,0,$B$6*NORMSINV(0.000001+0.999998*RAND())))</f>
        <v/>
      </c>
      <c r="DA30" s="30">
        <f>IF(90&gt;$B$3,99,INDEX(Symboles!$G$6:$G$101,MOD(89+$C30+(-4),$B$3)+1)*E30+INDEX(Symboles!$G$6:$G$101,MOD(89+$C30+(-3),$B$3)+1)*F30+INDEX(Symboles!$G$6:$G$101,MOD(89+$C30+(-2),$B$3)+1)*G30+INDEX(Symboles!$G$6:$G$101,MOD(89+$C30+(-1),$B$3)+1)*H30+INDEX(Symboles!$G$6:$G$101,MOD(89+$C30+(0),$B$3)+1)*I30+INDEX(Symboles!$G$6:$G$101,MOD(89+$C30+(1),$B$3)+1)*J30+INDEX(Symboles!$G$6:$G$101,MOD(89+$C30+(2),$B$3)+1)*K30+INDEX(Symboles!$G$6:$G$101,MOD(89+$C30+(3),$B$3)+1)*L30+INDEX(Symboles!$G$6:$G$101,MOD(89+$C30+(4),$B$3)+1)*M30+IF($B$6=0,0,$B$6*NORMSINV(0.000001+0.999998*RAND())))</f>
        <v/>
      </c>
      <c r="DB30" s="30">
        <f>IF(91&gt;$B$3,99,INDEX(Symboles!$G$6:$G$101,MOD(90+$C30+(-4),$B$3)+1)*E30+INDEX(Symboles!$G$6:$G$101,MOD(90+$C30+(-3),$B$3)+1)*F30+INDEX(Symboles!$G$6:$G$101,MOD(90+$C30+(-2),$B$3)+1)*G30+INDEX(Symboles!$G$6:$G$101,MOD(90+$C30+(-1),$B$3)+1)*H30+INDEX(Symboles!$G$6:$G$101,MOD(90+$C30+(0),$B$3)+1)*I30+INDEX(Symboles!$G$6:$G$101,MOD(90+$C30+(1),$B$3)+1)*J30+INDEX(Symboles!$G$6:$G$101,MOD(90+$C30+(2),$B$3)+1)*K30+INDEX(Symboles!$G$6:$G$101,MOD(90+$C30+(3),$B$3)+1)*L30+INDEX(Symboles!$G$6:$G$101,MOD(90+$C30+(4),$B$3)+1)*M30+IF($B$6=0,0,$B$6*NORMSINV(0.000001+0.999998*RAND())))</f>
        <v/>
      </c>
      <c r="DC30" s="30">
        <f>IF(92&gt;$B$3,99,INDEX(Symboles!$G$6:$G$101,MOD(91+$C30+(-4),$B$3)+1)*E30+INDEX(Symboles!$G$6:$G$101,MOD(91+$C30+(-3),$B$3)+1)*F30+INDEX(Symboles!$G$6:$G$101,MOD(91+$C30+(-2),$B$3)+1)*G30+INDEX(Symboles!$G$6:$G$101,MOD(91+$C30+(-1),$B$3)+1)*H30+INDEX(Symboles!$G$6:$G$101,MOD(91+$C30+(0),$B$3)+1)*I30+INDEX(Symboles!$G$6:$G$101,MOD(91+$C30+(1),$B$3)+1)*J30+INDEX(Symboles!$G$6:$G$101,MOD(91+$C30+(2),$B$3)+1)*K30+INDEX(Symboles!$G$6:$G$101,MOD(91+$C30+(3),$B$3)+1)*L30+INDEX(Symboles!$G$6:$G$101,MOD(91+$C30+(4),$B$3)+1)*M30+IF($B$6=0,0,$B$6*NORMSINV(0.000001+0.999998*RAND())))</f>
        <v/>
      </c>
      <c r="DD30" s="30">
        <f>IF(93&gt;$B$3,99,INDEX(Symboles!$G$6:$G$101,MOD(92+$C30+(-4),$B$3)+1)*E30+INDEX(Symboles!$G$6:$G$101,MOD(92+$C30+(-3),$B$3)+1)*F30+INDEX(Symboles!$G$6:$G$101,MOD(92+$C30+(-2),$B$3)+1)*G30+INDEX(Symboles!$G$6:$G$101,MOD(92+$C30+(-1),$B$3)+1)*H30+INDEX(Symboles!$G$6:$G$101,MOD(92+$C30+(0),$B$3)+1)*I30+INDEX(Symboles!$G$6:$G$101,MOD(92+$C30+(1),$B$3)+1)*J30+INDEX(Symboles!$G$6:$G$101,MOD(92+$C30+(2),$B$3)+1)*K30+INDEX(Symboles!$G$6:$G$101,MOD(92+$C30+(3),$B$3)+1)*L30+INDEX(Symboles!$G$6:$G$101,MOD(92+$C30+(4),$B$3)+1)*M30+IF($B$6=0,0,$B$6*NORMSINV(0.000001+0.999998*RAND())))</f>
        <v/>
      </c>
      <c r="DE30" s="30">
        <f>IF(94&gt;$B$3,99,INDEX(Symboles!$G$6:$G$101,MOD(93+$C30+(-4),$B$3)+1)*E30+INDEX(Symboles!$G$6:$G$101,MOD(93+$C30+(-3),$B$3)+1)*F30+INDEX(Symboles!$G$6:$G$101,MOD(93+$C30+(-2),$B$3)+1)*G30+INDEX(Symboles!$G$6:$G$101,MOD(93+$C30+(-1),$B$3)+1)*H30+INDEX(Symboles!$G$6:$G$101,MOD(93+$C30+(0),$B$3)+1)*I30+INDEX(Symboles!$G$6:$G$101,MOD(93+$C30+(1),$B$3)+1)*J30+INDEX(Symboles!$G$6:$G$101,MOD(93+$C30+(2),$B$3)+1)*K30+INDEX(Symboles!$G$6:$G$101,MOD(93+$C30+(3),$B$3)+1)*L30+INDEX(Symboles!$G$6:$G$101,MOD(93+$C30+(4),$B$3)+1)*M30+IF($B$6=0,0,$B$6*NORMSINV(0.000001+0.999998*RAND())))</f>
        <v/>
      </c>
      <c r="DF30" s="30">
        <f>IF(95&gt;$B$3,99,INDEX(Symboles!$G$6:$G$101,MOD(94+$C30+(-4),$B$3)+1)*E30+INDEX(Symboles!$G$6:$G$101,MOD(94+$C30+(-3),$B$3)+1)*F30+INDEX(Symboles!$G$6:$G$101,MOD(94+$C30+(-2),$B$3)+1)*G30+INDEX(Symboles!$G$6:$G$101,MOD(94+$C30+(-1),$B$3)+1)*H30+INDEX(Symboles!$G$6:$G$101,MOD(94+$C30+(0),$B$3)+1)*I30+INDEX(Symboles!$G$6:$G$101,MOD(94+$C30+(1),$B$3)+1)*J30+INDEX(Symboles!$G$6:$G$101,MOD(94+$C30+(2),$B$3)+1)*K30+INDEX(Symboles!$G$6:$G$101,MOD(94+$C30+(3),$B$3)+1)*L30+INDEX(Symboles!$G$6:$G$101,MOD(94+$C30+(4),$B$3)+1)*M30+IF($B$6=0,0,$B$6*NORMSINV(0.000001+0.999998*RAND())))</f>
        <v/>
      </c>
      <c r="DG30" s="30">
        <f>IF(96&gt;$B$3,99,INDEX(Symboles!$G$6:$G$101,MOD(95+$C30+(-4),$B$3)+1)*E30+INDEX(Symboles!$G$6:$G$101,MOD(95+$C30+(-3),$B$3)+1)*F30+INDEX(Symboles!$G$6:$G$101,MOD(95+$C30+(-2),$B$3)+1)*G30+INDEX(Symboles!$G$6:$G$101,MOD(95+$C30+(-1),$B$3)+1)*H30+INDEX(Symboles!$G$6:$G$101,MOD(95+$C30+(0),$B$3)+1)*I30+INDEX(Symboles!$G$6:$G$101,MOD(95+$C30+(1),$B$3)+1)*J30+INDEX(Symboles!$G$6:$G$101,MOD(95+$C30+(2),$B$3)+1)*K30+INDEX(Symboles!$G$6:$G$101,MOD(95+$C30+(3),$B$3)+1)*L30+INDEX(Symboles!$G$6:$G$101,MOD(95+$C30+(4),$B$3)+1)*M30+IF($B$6=0,0,$B$6*NORMSINV(0.000001+0.999998*RAND())))</f>
        <v/>
      </c>
      <c r="DI30" s="30">
        <f>IF(1&gt;$B$3,99,INDEX(Symboles!$H$6:$H$101,MOD(0+$C30+(-4),$B$3)+1)*E30+INDEX(Symboles!$H$6:$H$101,MOD(0+$C30+(-3),$B$3)+1)*F30+INDEX(Symboles!$H$6:$H$101,MOD(0+$C30+(-2),$B$3)+1)*G30+INDEX(Symboles!$H$6:$H$101,MOD(0+$C30+(-1),$B$3)+1)*H30+INDEX(Symboles!$H$6:$H$101,MOD(0+$C30+(0),$B$3)+1)*I30+INDEX(Symboles!$H$6:$H$101,MOD(0+$C30+(1),$B$3)+1)*J30+INDEX(Symboles!$H$6:$H$101,MOD(0+$C30+(2),$B$3)+1)*K30+INDEX(Symboles!$H$6:$H$101,MOD(0+$C30+(3),$B$3)+1)*L30+INDEX(Symboles!$H$6:$H$101,MOD(0+$C30+(4),$B$3)+1)*M30+IF($B$6=0,0,$B$6*NORMSINV(0.000001+0.999998*RAND())))</f>
        <v/>
      </c>
      <c r="DJ30" s="30">
        <f>IF(2&gt;$B$3,99,INDEX(Symboles!$H$6:$H$101,MOD(1+$C30+(-4),$B$3)+1)*E30+INDEX(Symboles!$H$6:$H$101,MOD(1+$C30+(-3),$B$3)+1)*F30+INDEX(Symboles!$H$6:$H$101,MOD(1+$C30+(-2),$B$3)+1)*G30+INDEX(Symboles!$H$6:$H$101,MOD(1+$C30+(-1),$B$3)+1)*H30+INDEX(Symboles!$H$6:$H$101,MOD(1+$C30+(0),$B$3)+1)*I30+INDEX(Symboles!$H$6:$H$101,MOD(1+$C30+(1),$B$3)+1)*J30+INDEX(Symboles!$H$6:$H$101,MOD(1+$C30+(2),$B$3)+1)*K30+INDEX(Symboles!$H$6:$H$101,MOD(1+$C30+(3),$B$3)+1)*L30+INDEX(Symboles!$H$6:$H$101,MOD(1+$C30+(4),$B$3)+1)*M30+IF($B$6=0,0,$B$6*NORMSINV(0.000001+0.999998*RAND())))</f>
        <v/>
      </c>
      <c r="DK30" s="30">
        <f>IF(3&gt;$B$3,99,INDEX(Symboles!$H$6:$H$101,MOD(2+$C30+(-4),$B$3)+1)*E30+INDEX(Symboles!$H$6:$H$101,MOD(2+$C30+(-3),$B$3)+1)*F30+INDEX(Symboles!$H$6:$H$101,MOD(2+$C30+(-2),$B$3)+1)*G30+INDEX(Symboles!$H$6:$H$101,MOD(2+$C30+(-1),$B$3)+1)*H30+INDEX(Symboles!$H$6:$H$101,MOD(2+$C30+(0),$B$3)+1)*I30+INDEX(Symboles!$H$6:$H$101,MOD(2+$C30+(1),$B$3)+1)*J30+INDEX(Symboles!$H$6:$H$101,MOD(2+$C30+(2),$B$3)+1)*K30+INDEX(Symboles!$H$6:$H$101,MOD(2+$C30+(3),$B$3)+1)*L30+INDEX(Symboles!$H$6:$H$101,MOD(2+$C30+(4),$B$3)+1)*M30+IF($B$6=0,0,$B$6*NORMSINV(0.000001+0.999998*RAND())))</f>
        <v/>
      </c>
      <c r="DL30" s="30">
        <f>IF(4&gt;$B$3,99,INDEX(Symboles!$H$6:$H$101,MOD(3+$C30+(-4),$B$3)+1)*E30+INDEX(Symboles!$H$6:$H$101,MOD(3+$C30+(-3),$B$3)+1)*F30+INDEX(Symboles!$H$6:$H$101,MOD(3+$C30+(-2),$B$3)+1)*G30+INDEX(Symboles!$H$6:$H$101,MOD(3+$C30+(-1),$B$3)+1)*H30+INDEX(Symboles!$H$6:$H$101,MOD(3+$C30+(0),$B$3)+1)*I30+INDEX(Symboles!$H$6:$H$101,MOD(3+$C30+(1),$B$3)+1)*J30+INDEX(Symboles!$H$6:$H$101,MOD(3+$C30+(2),$B$3)+1)*K30+INDEX(Symboles!$H$6:$H$101,MOD(3+$C30+(3),$B$3)+1)*L30+INDEX(Symboles!$H$6:$H$101,MOD(3+$C30+(4),$B$3)+1)*M30+IF($B$6=0,0,$B$6*NORMSINV(0.000001+0.999998*RAND())))</f>
        <v/>
      </c>
      <c r="DM30" s="30">
        <f>IF(5&gt;$B$3,99,INDEX(Symboles!$H$6:$H$101,MOD(4+$C30+(-4),$B$3)+1)*E30+INDEX(Symboles!$H$6:$H$101,MOD(4+$C30+(-3),$B$3)+1)*F30+INDEX(Symboles!$H$6:$H$101,MOD(4+$C30+(-2),$B$3)+1)*G30+INDEX(Symboles!$H$6:$H$101,MOD(4+$C30+(-1),$B$3)+1)*H30+INDEX(Symboles!$H$6:$H$101,MOD(4+$C30+(0),$B$3)+1)*I30+INDEX(Symboles!$H$6:$H$101,MOD(4+$C30+(1),$B$3)+1)*J30+INDEX(Symboles!$H$6:$H$101,MOD(4+$C30+(2),$B$3)+1)*K30+INDEX(Symboles!$H$6:$H$101,MOD(4+$C30+(3),$B$3)+1)*L30+INDEX(Symboles!$H$6:$H$101,MOD(4+$C30+(4),$B$3)+1)*M30+IF($B$6=0,0,$B$6*NORMSINV(0.000001+0.999998*RAND())))</f>
        <v/>
      </c>
      <c r="DN30" s="30">
        <f>IF(6&gt;$B$3,99,INDEX(Symboles!$H$6:$H$101,MOD(5+$C30+(-4),$B$3)+1)*E30+INDEX(Symboles!$H$6:$H$101,MOD(5+$C30+(-3),$B$3)+1)*F30+INDEX(Symboles!$H$6:$H$101,MOD(5+$C30+(-2),$B$3)+1)*G30+INDEX(Symboles!$H$6:$H$101,MOD(5+$C30+(-1),$B$3)+1)*H30+INDEX(Symboles!$H$6:$H$101,MOD(5+$C30+(0),$B$3)+1)*I30+INDEX(Symboles!$H$6:$H$101,MOD(5+$C30+(1),$B$3)+1)*J30+INDEX(Symboles!$H$6:$H$101,MOD(5+$C30+(2),$B$3)+1)*K30+INDEX(Symboles!$H$6:$H$101,MOD(5+$C30+(3),$B$3)+1)*L30+INDEX(Symboles!$H$6:$H$101,MOD(5+$C30+(4),$B$3)+1)*M30+IF($B$6=0,0,$B$6*NORMSINV(0.000001+0.999998*RAND())))</f>
        <v/>
      </c>
      <c r="DO30" s="30">
        <f>IF(7&gt;$B$3,99,INDEX(Symboles!$H$6:$H$101,MOD(6+$C30+(-4),$B$3)+1)*E30+INDEX(Symboles!$H$6:$H$101,MOD(6+$C30+(-3),$B$3)+1)*F30+INDEX(Symboles!$H$6:$H$101,MOD(6+$C30+(-2),$B$3)+1)*G30+INDEX(Symboles!$H$6:$H$101,MOD(6+$C30+(-1),$B$3)+1)*H30+INDEX(Symboles!$H$6:$H$101,MOD(6+$C30+(0),$B$3)+1)*I30+INDEX(Symboles!$H$6:$H$101,MOD(6+$C30+(1),$B$3)+1)*J30+INDEX(Symboles!$H$6:$H$101,MOD(6+$C30+(2),$B$3)+1)*K30+INDEX(Symboles!$H$6:$H$101,MOD(6+$C30+(3),$B$3)+1)*L30+INDEX(Symboles!$H$6:$H$101,MOD(6+$C30+(4),$B$3)+1)*M30+IF($B$6=0,0,$B$6*NORMSINV(0.000001+0.999998*RAND())))</f>
        <v/>
      </c>
      <c r="DP30" s="30">
        <f>IF(8&gt;$B$3,99,INDEX(Symboles!$H$6:$H$101,MOD(7+$C30+(-4),$B$3)+1)*E30+INDEX(Symboles!$H$6:$H$101,MOD(7+$C30+(-3),$B$3)+1)*F30+INDEX(Symboles!$H$6:$H$101,MOD(7+$C30+(-2),$B$3)+1)*G30+INDEX(Symboles!$H$6:$H$101,MOD(7+$C30+(-1),$B$3)+1)*H30+INDEX(Symboles!$H$6:$H$101,MOD(7+$C30+(0),$B$3)+1)*I30+INDEX(Symboles!$H$6:$H$101,MOD(7+$C30+(1),$B$3)+1)*J30+INDEX(Symboles!$H$6:$H$101,MOD(7+$C30+(2),$B$3)+1)*K30+INDEX(Symboles!$H$6:$H$101,MOD(7+$C30+(3),$B$3)+1)*L30+INDEX(Symboles!$H$6:$H$101,MOD(7+$C30+(4),$B$3)+1)*M30+IF($B$6=0,0,$B$6*NORMSINV(0.000001+0.999998*RAND())))</f>
        <v/>
      </c>
      <c r="DQ30" s="30">
        <f>IF(9&gt;$B$3,99,INDEX(Symboles!$H$6:$H$101,MOD(8+$C30+(-4),$B$3)+1)*E30+INDEX(Symboles!$H$6:$H$101,MOD(8+$C30+(-3),$B$3)+1)*F30+INDEX(Symboles!$H$6:$H$101,MOD(8+$C30+(-2),$B$3)+1)*G30+INDEX(Symboles!$H$6:$H$101,MOD(8+$C30+(-1),$B$3)+1)*H30+INDEX(Symboles!$H$6:$H$101,MOD(8+$C30+(0),$B$3)+1)*I30+INDEX(Symboles!$H$6:$H$101,MOD(8+$C30+(1),$B$3)+1)*J30+INDEX(Symboles!$H$6:$H$101,MOD(8+$C30+(2),$B$3)+1)*K30+INDEX(Symboles!$H$6:$H$101,MOD(8+$C30+(3),$B$3)+1)*L30+INDEX(Symboles!$H$6:$H$101,MOD(8+$C30+(4),$B$3)+1)*M30+IF($B$6=0,0,$B$6*NORMSINV(0.000001+0.999998*RAND())))</f>
        <v/>
      </c>
      <c r="DR30" s="30">
        <f>IF(10&gt;$B$3,99,INDEX(Symboles!$H$6:$H$101,MOD(9+$C30+(-4),$B$3)+1)*E30+INDEX(Symboles!$H$6:$H$101,MOD(9+$C30+(-3),$B$3)+1)*F30+INDEX(Symboles!$H$6:$H$101,MOD(9+$C30+(-2),$B$3)+1)*G30+INDEX(Symboles!$H$6:$H$101,MOD(9+$C30+(-1),$B$3)+1)*H30+INDEX(Symboles!$H$6:$H$101,MOD(9+$C30+(0),$B$3)+1)*I30+INDEX(Symboles!$H$6:$H$101,MOD(9+$C30+(1),$B$3)+1)*J30+INDEX(Symboles!$H$6:$H$101,MOD(9+$C30+(2),$B$3)+1)*K30+INDEX(Symboles!$H$6:$H$101,MOD(9+$C30+(3),$B$3)+1)*L30+INDEX(Symboles!$H$6:$H$101,MOD(9+$C30+(4),$B$3)+1)*M30+IF($B$6=0,0,$B$6*NORMSINV(0.000001+0.999998*RAND())))</f>
        <v/>
      </c>
      <c r="DS30" s="30">
        <f>IF(11&gt;$B$3,99,INDEX(Symboles!$H$6:$H$101,MOD(10+$C30+(-4),$B$3)+1)*E30+INDEX(Symboles!$H$6:$H$101,MOD(10+$C30+(-3),$B$3)+1)*F30+INDEX(Symboles!$H$6:$H$101,MOD(10+$C30+(-2),$B$3)+1)*G30+INDEX(Symboles!$H$6:$H$101,MOD(10+$C30+(-1),$B$3)+1)*H30+INDEX(Symboles!$H$6:$H$101,MOD(10+$C30+(0),$B$3)+1)*I30+INDEX(Symboles!$H$6:$H$101,MOD(10+$C30+(1),$B$3)+1)*J30+INDEX(Symboles!$H$6:$H$101,MOD(10+$C30+(2),$B$3)+1)*K30+INDEX(Symboles!$H$6:$H$101,MOD(10+$C30+(3),$B$3)+1)*L30+INDEX(Symboles!$H$6:$H$101,MOD(10+$C30+(4),$B$3)+1)*M30+IF($B$6=0,0,$B$6*NORMSINV(0.000001+0.999998*RAND())))</f>
        <v/>
      </c>
      <c r="DT30" s="30">
        <f>IF(12&gt;$B$3,99,INDEX(Symboles!$H$6:$H$101,MOD(11+$C30+(-4),$B$3)+1)*E30+INDEX(Symboles!$H$6:$H$101,MOD(11+$C30+(-3),$B$3)+1)*F30+INDEX(Symboles!$H$6:$H$101,MOD(11+$C30+(-2),$B$3)+1)*G30+INDEX(Symboles!$H$6:$H$101,MOD(11+$C30+(-1),$B$3)+1)*H30+INDEX(Symboles!$H$6:$H$101,MOD(11+$C30+(0),$B$3)+1)*I30+INDEX(Symboles!$H$6:$H$101,MOD(11+$C30+(1),$B$3)+1)*J30+INDEX(Symboles!$H$6:$H$101,MOD(11+$C30+(2),$B$3)+1)*K30+INDEX(Symboles!$H$6:$H$101,MOD(11+$C30+(3),$B$3)+1)*L30+INDEX(Symboles!$H$6:$H$101,MOD(11+$C30+(4),$B$3)+1)*M30+IF($B$6=0,0,$B$6*NORMSINV(0.000001+0.999998*RAND())))</f>
        <v/>
      </c>
      <c r="DU30" s="30">
        <f>IF(13&gt;$B$3,99,INDEX(Symboles!$H$6:$H$101,MOD(12+$C30+(-4),$B$3)+1)*E30+INDEX(Symboles!$H$6:$H$101,MOD(12+$C30+(-3),$B$3)+1)*F30+INDEX(Symboles!$H$6:$H$101,MOD(12+$C30+(-2),$B$3)+1)*G30+INDEX(Symboles!$H$6:$H$101,MOD(12+$C30+(-1),$B$3)+1)*H30+INDEX(Symboles!$H$6:$H$101,MOD(12+$C30+(0),$B$3)+1)*I30+INDEX(Symboles!$H$6:$H$101,MOD(12+$C30+(1),$B$3)+1)*J30+INDEX(Symboles!$H$6:$H$101,MOD(12+$C30+(2),$B$3)+1)*K30+INDEX(Symboles!$H$6:$H$101,MOD(12+$C30+(3),$B$3)+1)*L30+INDEX(Symboles!$H$6:$H$101,MOD(12+$C30+(4),$B$3)+1)*M30+IF($B$6=0,0,$B$6*NORMSINV(0.000001+0.999998*RAND())))</f>
        <v/>
      </c>
      <c r="DV30" s="30">
        <f>IF(14&gt;$B$3,99,INDEX(Symboles!$H$6:$H$101,MOD(13+$C30+(-4),$B$3)+1)*E30+INDEX(Symboles!$H$6:$H$101,MOD(13+$C30+(-3),$B$3)+1)*F30+INDEX(Symboles!$H$6:$H$101,MOD(13+$C30+(-2),$B$3)+1)*G30+INDEX(Symboles!$H$6:$H$101,MOD(13+$C30+(-1),$B$3)+1)*H30+INDEX(Symboles!$H$6:$H$101,MOD(13+$C30+(0),$B$3)+1)*I30+INDEX(Symboles!$H$6:$H$101,MOD(13+$C30+(1),$B$3)+1)*J30+INDEX(Symboles!$H$6:$H$101,MOD(13+$C30+(2),$B$3)+1)*K30+INDEX(Symboles!$H$6:$H$101,MOD(13+$C30+(3),$B$3)+1)*L30+INDEX(Symboles!$H$6:$H$101,MOD(13+$C30+(4),$B$3)+1)*M30+IF($B$6=0,0,$B$6*NORMSINV(0.000001+0.999998*RAND())))</f>
        <v/>
      </c>
      <c r="DW30" s="30">
        <f>IF(15&gt;$B$3,99,INDEX(Symboles!$H$6:$H$101,MOD(14+$C30+(-4),$B$3)+1)*E30+INDEX(Symboles!$H$6:$H$101,MOD(14+$C30+(-3),$B$3)+1)*F30+INDEX(Symboles!$H$6:$H$101,MOD(14+$C30+(-2),$B$3)+1)*G30+INDEX(Symboles!$H$6:$H$101,MOD(14+$C30+(-1),$B$3)+1)*H30+INDEX(Symboles!$H$6:$H$101,MOD(14+$C30+(0),$B$3)+1)*I30+INDEX(Symboles!$H$6:$H$101,MOD(14+$C30+(1),$B$3)+1)*J30+INDEX(Symboles!$H$6:$H$101,MOD(14+$C30+(2),$B$3)+1)*K30+INDEX(Symboles!$H$6:$H$101,MOD(14+$C30+(3),$B$3)+1)*L30+INDEX(Symboles!$H$6:$H$101,MOD(14+$C30+(4),$B$3)+1)*M30+IF($B$6=0,0,$B$6*NORMSINV(0.000001+0.999998*RAND())))</f>
        <v/>
      </c>
      <c r="DX30" s="30">
        <f>IF(16&gt;$B$3,99,INDEX(Symboles!$H$6:$H$101,MOD(15+$C30+(-4),$B$3)+1)*E30+INDEX(Symboles!$H$6:$H$101,MOD(15+$C30+(-3),$B$3)+1)*F30+INDEX(Symboles!$H$6:$H$101,MOD(15+$C30+(-2),$B$3)+1)*G30+INDEX(Symboles!$H$6:$H$101,MOD(15+$C30+(-1),$B$3)+1)*H30+INDEX(Symboles!$H$6:$H$101,MOD(15+$C30+(0),$B$3)+1)*I30+INDEX(Symboles!$H$6:$H$101,MOD(15+$C30+(1),$B$3)+1)*J30+INDEX(Symboles!$H$6:$H$101,MOD(15+$C30+(2),$B$3)+1)*K30+INDEX(Symboles!$H$6:$H$101,MOD(15+$C30+(3),$B$3)+1)*L30+INDEX(Symboles!$H$6:$H$101,MOD(15+$C30+(4),$B$3)+1)*M30+IF($B$6=0,0,$B$6*NORMSINV(0.000001+0.999998*RAND())))</f>
        <v/>
      </c>
      <c r="DY30" s="30">
        <f>IF(17&gt;$B$3,99,INDEX(Symboles!$H$6:$H$101,MOD(16+$C30+(-4),$B$3)+1)*E30+INDEX(Symboles!$H$6:$H$101,MOD(16+$C30+(-3),$B$3)+1)*F30+INDEX(Symboles!$H$6:$H$101,MOD(16+$C30+(-2),$B$3)+1)*G30+INDEX(Symboles!$H$6:$H$101,MOD(16+$C30+(-1),$B$3)+1)*H30+INDEX(Symboles!$H$6:$H$101,MOD(16+$C30+(0),$B$3)+1)*I30+INDEX(Symboles!$H$6:$H$101,MOD(16+$C30+(1),$B$3)+1)*J30+INDEX(Symboles!$H$6:$H$101,MOD(16+$C30+(2),$B$3)+1)*K30+INDEX(Symboles!$H$6:$H$101,MOD(16+$C30+(3),$B$3)+1)*L30+INDEX(Symboles!$H$6:$H$101,MOD(16+$C30+(4),$B$3)+1)*M30+IF($B$6=0,0,$B$6*NORMSINV(0.000001+0.999998*RAND())))</f>
        <v/>
      </c>
      <c r="DZ30" s="30">
        <f>IF(18&gt;$B$3,99,INDEX(Symboles!$H$6:$H$101,MOD(17+$C30+(-4),$B$3)+1)*E30+INDEX(Symboles!$H$6:$H$101,MOD(17+$C30+(-3),$B$3)+1)*F30+INDEX(Symboles!$H$6:$H$101,MOD(17+$C30+(-2),$B$3)+1)*G30+INDEX(Symboles!$H$6:$H$101,MOD(17+$C30+(-1),$B$3)+1)*H30+INDEX(Symboles!$H$6:$H$101,MOD(17+$C30+(0),$B$3)+1)*I30+INDEX(Symboles!$H$6:$H$101,MOD(17+$C30+(1),$B$3)+1)*J30+INDEX(Symboles!$H$6:$H$101,MOD(17+$C30+(2),$B$3)+1)*K30+INDEX(Symboles!$H$6:$H$101,MOD(17+$C30+(3),$B$3)+1)*L30+INDEX(Symboles!$H$6:$H$101,MOD(17+$C30+(4),$B$3)+1)*M30+IF($B$6=0,0,$B$6*NORMSINV(0.000001+0.999998*RAND())))</f>
        <v/>
      </c>
      <c r="EA30" s="30">
        <f>IF(19&gt;$B$3,99,INDEX(Symboles!$H$6:$H$101,MOD(18+$C30+(-4),$B$3)+1)*E30+INDEX(Symboles!$H$6:$H$101,MOD(18+$C30+(-3),$B$3)+1)*F30+INDEX(Symboles!$H$6:$H$101,MOD(18+$C30+(-2),$B$3)+1)*G30+INDEX(Symboles!$H$6:$H$101,MOD(18+$C30+(-1),$B$3)+1)*H30+INDEX(Symboles!$H$6:$H$101,MOD(18+$C30+(0),$B$3)+1)*I30+INDEX(Symboles!$H$6:$H$101,MOD(18+$C30+(1),$B$3)+1)*J30+INDEX(Symboles!$H$6:$H$101,MOD(18+$C30+(2),$B$3)+1)*K30+INDEX(Symboles!$H$6:$H$101,MOD(18+$C30+(3),$B$3)+1)*L30+INDEX(Symboles!$H$6:$H$101,MOD(18+$C30+(4),$B$3)+1)*M30+IF($B$6=0,0,$B$6*NORMSINV(0.000001+0.999998*RAND())))</f>
        <v/>
      </c>
      <c r="EB30" s="30">
        <f>IF(20&gt;$B$3,99,INDEX(Symboles!$H$6:$H$101,MOD(19+$C30+(-4),$B$3)+1)*E30+INDEX(Symboles!$H$6:$H$101,MOD(19+$C30+(-3),$B$3)+1)*F30+INDEX(Symboles!$H$6:$H$101,MOD(19+$C30+(-2),$B$3)+1)*G30+INDEX(Symboles!$H$6:$H$101,MOD(19+$C30+(-1),$B$3)+1)*H30+INDEX(Symboles!$H$6:$H$101,MOD(19+$C30+(0),$B$3)+1)*I30+INDEX(Symboles!$H$6:$H$101,MOD(19+$C30+(1),$B$3)+1)*J30+INDEX(Symboles!$H$6:$H$101,MOD(19+$C30+(2),$B$3)+1)*K30+INDEX(Symboles!$H$6:$H$101,MOD(19+$C30+(3),$B$3)+1)*L30+INDEX(Symboles!$H$6:$H$101,MOD(19+$C30+(4),$B$3)+1)*M30+IF($B$6=0,0,$B$6*NORMSINV(0.000001+0.999998*RAND())))</f>
        <v/>
      </c>
      <c r="EC30" s="30">
        <f>IF(21&gt;$B$3,99,INDEX(Symboles!$H$6:$H$101,MOD(20+$C30+(-4),$B$3)+1)*E30+INDEX(Symboles!$H$6:$H$101,MOD(20+$C30+(-3),$B$3)+1)*F30+INDEX(Symboles!$H$6:$H$101,MOD(20+$C30+(-2),$B$3)+1)*G30+INDEX(Symboles!$H$6:$H$101,MOD(20+$C30+(-1),$B$3)+1)*H30+INDEX(Symboles!$H$6:$H$101,MOD(20+$C30+(0),$B$3)+1)*I30+INDEX(Symboles!$H$6:$H$101,MOD(20+$C30+(1),$B$3)+1)*J30+INDEX(Symboles!$H$6:$H$101,MOD(20+$C30+(2),$B$3)+1)*K30+INDEX(Symboles!$H$6:$H$101,MOD(20+$C30+(3),$B$3)+1)*L30+INDEX(Symboles!$H$6:$H$101,MOD(20+$C30+(4),$B$3)+1)*M30+IF($B$6=0,0,$B$6*NORMSINV(0.000001+0.999998*RAND())))</f>
        <v/>
      </c>
      <c r="ED30" s="30">
        <f>IF(22&gt;$B$3,99,INDEX(Symboles!$H$6:$H$101,MOD(21+$C30+(-4),$B$3)+1)*E30+INDEX(Symboles!$H$6:$H$101,MOD(21+$C30+(-3),$B$3)+1)*F30+INDEX(Symboles!$H$6:$H$101,MOD(21+$C30+(-2),$B$3)+1)*G30+INDEX(Symboles!$H$6:$H$101,MOD(21+$C30+(-1),$B$3)+1)*H30+INDEX(Symboles!$H$6:$H$101,MOD(21+$C30+(0),$B$3)+1)*I30+INDEX(Symboles!$H$6:$H$101,MOD(21+$C30+(1),$B$3)+1)*J30+INDEX(Symboles!$H$6:$H$101,MOD(21+$C30+(2),$B$3)+1)*K30+INDEX(Symboles!$H$6:$H$101,MOD(21+$C30+(3),$B$3)+1)*L30+INDEX(Symboles!$H$6:$H$101,MOD(21+$C30+(4),$B$3)+1)*M30+IF($B$6=0,0,$B$6*NORMSINV(0.000001+0.999998*RAND())))</f>
        <v/>
      </c>
      <c r="EE30" s="30">
        <f>IF(23&gt;$B$3,99,INDEX(Symboles!$H$6:$H$101,MOD(22+$C30+(-4),$B$3)+1)*E30+INDEX(Symboles!$H$6:$H$101,MOD(22+$C30+(-3),$B$3)+1)*F30+INDEX(Symboles!$H$6:$H$101,MOD(22+$C30+(-2),$B$3)+1)*G30+INDEX(Symboles!$H$6:$H$101,MOD(22+$C30+(-1),$B$3)+1)*H30+INDEX(Symboles!$H$6:$H$101,MOD(22+$C30+(0),$B$3)+1)*I30+INDEX(Symboles!$H$6:$H$101,MOD(22+$C30+(1),$B$3)+1)*J30+INDEX(Symboles!$H$6:$H$101,MOD(22+$C30+(2),$B$3)+1)*K30+INDEX(Symboles!$H$6:$H$101,MOD(22+$C30+(3),$B$3)+1)*L30+INDEX(Symboles!$H$6:$H$101,MOD(22+$C30+(4),$B$3)+1)*M30+IF($B$6=0,0,$B$6*NORMSINV(0.000001+0.999998*RAND())))</f>
        <v/>
      </c>
      <c r="EF30" s="30">
        <f>IF(24&gt;$B$3,99,INDEX(Symboles!$H$6:$H$101,MOD(23+$C30+(-4),$B$3)+1)*E30+INDEX(Symboles!$H$6:$H$101,MOD(23+$C30+(-3),$B$3)+1)*F30+INDEX(Symboles!$H$6:$H$101,MOD(23+$C30+(-2),$B$3)+1)*G30+INDEX(Symboles!$H$6:$H$101,MOD(23+$C30+(-1),$B$3)+1)*H30+INDEX(Symboles!$H$6:$H$101,MOD(23+$C30+(0),$B$3)+1)*I30+INDEX(Symboles!$H$6:$H$101,MOD(23+$C30+(1),$B$3)+1)*J30+INDEX(Symboles!$H$6:$H$101,MOD(23+$C30+(2),$B$3)+1)*K30+INDEX(Symboles!$H$6:$H$101,MOD(23+$C30+(3),$B$3)+1)*L30+INDEX(Symboles!$H$6:$H$101,MOD(23+$C30+(4),$B$3)+1)*M30+IF($B$6=0,0,$B$6*NORMSINV(0.000001+0.999998*RAND())))</f>
        <v/>
      </c>
      <c r="EG30" s="30">
        <f>IF(25&gt;$B$3,99,INDEX(Symboles!$H$6:$H$101,MOD(24+$C30+(-4),$B$3)+1)*E30+INDEX(Symboles!$H$6:$H$101,MOD(24+$C30+(-3),$B$3)+1)*F30+INDEX(Symboles!$H$6:$H$101,MOD(24+$C30+(-2),$B$3)+1)*G30+INDEX(Symboles!$H$6:$H$101,MOD(24+$C30+(-1),$B$3)+1)*H30+INDEX(Symboles!$H$6:$H$101,MOD(24+$C30+(0),$B$3)+1)*I30+INDEX(Symboles!$H$6:$H$101,MOD(24+$C30+(1),$B$3)+1)*J30+INDEX(Symboles!$H$6:$H$101,MOD(24+$C30+(2),$B$3)+1)*K30+INDEX(Symboles!$H$6:$H$101,MOD(24+$C30+(3),$B$3)+1)*L30+INDEX(Symboles!$H$6:$H$101,MOD(24+$C30+(4),$B$3)+1)*M30+IF($B$6=0,0,$B$6*NORMSINV(0.000001+0.999998*RAND())))</f>
        <v/>
      </c>
      <c r="EH30" s="30">
        <f>IF(26&gt;$B$3,99,INDEX(Symboles!$H$6:$H$101,MOD(25+$C30+(-4),$B$3)+1)*E30+INDEX(Symboles!$H$6:$H$101,MOD(25+$C30+(-3),$B$3)+1)*F30+INDEX(Symboles!$H$6:$H$101,MOD(25+$C30+(-2),$B$3)+1)*G30+INDEX(Symboles!$H$6:$H$101,MOD(25+$C30+(-1),$B$3)+1)*H30+INDEX(Symboles!$H$6:$H$101,MOD(25+$C30+(0),$B$3)+1)*I30+INDEX(Symboles!$H$6:$H$101,MOD(25+$C30+(1),$B$3)+1)*J30+INDEX(Symboles!$H$6:$H$101,MOD(25+$C30+(2),$B$3)+1)*K30+INDEX(Symboles!$H$6:$H$101,MOD(25+$C30+(3),$B$3)+1)*L30+INDEX(Symboles!$H$6:$H$101,MOD(25+$C30+(4),$B$3)+1)*M30+IF($B$6=0,0,$B$6*NORMSINV(0.000001+0.999998*RAND())))</f>
        <v/>
      </c>
      <c r="EI30" s="30">
        <f>IF(27&gt;$B$3,99,INDEX(Symboles!$H$6:$H$101,MOD(26+$C30+(-4),$B$3)+1)*E30+INDEX(Symboles!$H$6:$H$101,MOD(26+$C30+(-3),$B$3)+1)*F30+INDEX(Symboles!$H$6:$H$101,MOD(26+$C30+(-2),$B$3)+1)*G30+INDEX(Symboles!$H$6:$H$101,MOD(26+$C30+(-1),$B$3)+1)*H30+INDEX(Symboles!$H$6:$H$101,MOD(26+$C30+(0),$B$3)+1)*I30+INDEX(Symboles!$H$6:$H$101,MOD(26+$C30+(1),$B$3)+1)*J30+INDEX(Symboles!$H$6:$H$101,MOD(26+$C30+(2),$B$3)+1)*K30+INDEX(Symboles!$H$6:$H$101,MOD(26+$C30+(3),$B$3)+1)*L30+INDEX(Symboles!$H$6:$H$101,MOD(26+$C30+(4),$B$3)+1)*M30+IF($B$6=0,0,$B$6*NORMSINV(0.000001+0.999998*RAND())))</f>
        <v/>
      </c>
      <c r="EJ30" s="30">
        <f>IF(28&gt;$B$3,99,INDEX(Symboles!$H$6:$H$101,MOD(27+$C30+(-4),$B$3)+1)*E30+INDEX(Symboles!$H$6:$H$101,MOD(27+$C30+(-3),$B$3)+1)*F30+INDEX(Symboles!$H$6:$H$101,MOD(27+$C30+(-2),$B$3)+1)*G30+INDEX(Symboles!$H$6:$H$101,MOD(27+$C30+(-1),$B$3)+1)*H30+INDEX(Symboles!$H$6:$H$101,MOD(27+$C30+(0),$B$3)+1)*I30+INDEX(Symboles!$H$6:$H$101,MOD(27+$C30+(1),$B$3)+1)*J30+INDEX(Symboles!$H$6:$H$101,MOD(27+$C30+(2),$B$3)+1)*K30+INDEX(Symboles!$H$6:$H$101,MOD(27+$C30+(3),$B$3)+1)*L30+INDEX(Symboles!$H$6:$H$101,MOD(27+$C30+(4),$B$3)+1)*M30+IF($B$6=0,0,$B$6*NORMSINV(0.000001+0.999998*RAND())))</f>
        <v/>
      </c>
      <c r="EK30" s="30">
        <f>IF(29&gt;$B$3,99,INDEX(Symboles!$H$6:$H$101,MOD(28+$C30+(-4),$B$3)+1)*E30+INDEX(Symboles!$H$6:$H$101,MOD(28+$C30+(-3),$B$3)+1)*F30+INDEX(Symboles!$H$6:$H$101,MOD(28+$C30+(-2),$B$3)+1)*G30+INDEX(Symboles!$H$6:$H$101,MOD(28+$C30+(-1),$B$3)+1)*H30+INDEX(Symboles!$H$6:$H$101,MOD(28+$C30+(0),$B$3)+1)*I30+INDEX(Symboles!$H$6:$H$101,MOD(28+$C30+(1),$B$3)+1)*J30+INDEX(Symboles!$H$6:$H$101,MOD(28+$C30+(2),$B$3)+1)*K30+INDEX(Symboles!$H$6:$H$101,MOD(28+$C30+(3),$B$3)+1)*L30+INDEX(Symboles!$H$6:$H$101,MOD(28+$C30+(4),$B$3)+1)*M30+IF($B$6=0,0,$B$6*NORMSINV(0.000001+0.999998*RAND())))</f>
        <v/>
      </c>
      <c r="EL30" s="30">
        <f>IF(30&gt;$B$3,99,INDEX(Symboles!$H$6:$H$101,MOD(29+$C30+(-4),$B$3)+1)*E30+INDEX(Symboles!$H$6:$H$101,MOD(29+$C30+(-3),$B$3)+1)*F30+INDEX(Symboles!$H$6:$H$101,MOD(29+$C30+(-2),$B$3)+1)*G30+INDEX(Symboles!$H$6:$H$101,MOD(29+$C30+(-1),$B$3)+1)*H30+INDEX(Symboles!$H$6:$H$101,MOD(29+$C30+(0),$B$3)+1)*I30+INDEX(Symboles!$H$6:$H$101,MOD(29+$C30+(1),$B$3)+1)*J30+INDEX(Symboles!$H$6:$H$101,MOD(29+$C30+(2),$B$3)+1)*K30+INDEX(Symboles!$H$6:$H$101,MOD(29+$C30+(3),$B$3)+1)*L30+INDEX(Symboles!$H$6:$H$101,MOD(29+$C30+(4),$B$3)+1)*M30+IF($B$6=0,0,$B$6*NORMSINV(0.000001+0.999998*RAND())))</f>
        <v/>
      </c>
      <c r="EM30" s="30">
        <f>IF(31&gt;$B$3,99,INDEX(Symboles!$H$6:$H$101,MOD(30+$C30+(-4),$B$3)+1)*E30+INDEX(Symboles!$H$6:$H$101,MOD(30+$C30+(-3),$B$3)+1)*F30+INDEX(Symboles!$H$6:$H$101,MOD(30+$C30+(-2),$B$3)+1)*G30+INDEX(Symboles!$H$6:$H$101,MOD(30+$C30+(-1),$B$3)+1)*H30+INDEX(Symboles!$H$6:$H$101,MOD(30+$C30+(0),$B$3)+1)*I30+INDEX(Symboles!$H$6:$H$101,MOD(30+$C30+(1),$B$3)+1)*J30+INDEX(Symboles!$H$6:$H$101,MOD(30+$C30+(2),$B$3)+1)*K30+INDEX(Symboles!$H$6:$H$101,MOD(30+$C30+(3),$B$3)+1)*L30+INDEX(Symboles!$H$6:$H$101,MOD(30+$C30+(4),$B$3)+1)*M30+IF($B$6=0,0,$B$6*NORMSINV(0.000001+0.999998*RAND())))</f>
        <v/>
      </c>
      <c r="EN30" s="30">
        <f>IF(32&gt;$B$3,99,INDEX(Symboles!$H$6:$H$101,MOD(31+$C30+(-4),$B$3)+1)*E30+INDEX(Symboles!$H$6:$H$101,MOD(31+$C30+(-3),$B$3)+1)*F30+INDEX(Symboles!$H$6:$H$101,MOD(31+$C30+(-2),$B$3)+1)*G30+INDEX(Symboles!$H$6:$H$101,MOD(31+$C30+(-1),$B$3)+1)*H30+INDEX(Symboles!$H$6:$H$101,MOD(31+$C30+(0),$B$3)+1)*I30+INDEX(Symboles!$H$6:$H$101,MOD(31+$C30+(1),$B$3)+1)*J30+INDEX(Symboles!$H$6:$H$101,MOD(31+$C30+(2),$B$3)+1)*K30+INDEX(Symboles!$H$6:$H$101,MOD(31+$C30+(3),$B$3)+1)*L30+INDEX(Symboles!$H$6:$H$101,MOD(31+$C30+(4),$B$3)+1)*M30+IF($B$6=0,0,$B$6*NORMSINV(0.000001+0.999998*RAND())))</f>
        <v/>
      </c>
      <c r="EO30" s="30">
        <f>IF(33&gt;$B$3,99,INDEX(Symboles!$H$6:$H$101,MOD(32+$C30+(-4),$B$3)+1)*E30+INDEX(Symboles!$H$6:$H$101,MOD(32+$C30+(-3),$B$3)+1)*F30+INDEX(Symboles!$H$6:$H$101,MOD(32+$C30+(-2),$B$3)+1)*G30+INDEX(Symboles!$H$6:$H$101,MOD(32+$C30+(-1),$B$3)+1)*H30+INDEX(Symboles!$H$6:$H$101,MOD(32+$C30+(0),$B$3)+1)*I30+INDEX(Symboles!$H$6:$H$101,MOD(32+$C30+(1),$B$3)+1)*J30+INDEX(Symboles!$H$6:$H$101,MOD(32+$C30+(2),$B$3)+1)*K30+INDEX(Symboles!$H$6:$H$101,MOD(32+$C30+(3),$B$3)+1)*L30+INDEX(Symboles!$H$6:$H$101,MOD(32+$C30+(4),$B$3)+1)*M30+IF($B$6=0,0,$B$6*NORMSINV(0.000001+0.999998*RAND())))</f>
        <v/>
      </c>
      <c r="EP30" s="30">
        <f>IF(34&gt;$B$3,99,INDEX(Symboles!$H$6:$H$101,MOD(33+$C30+(-4),$B$3)+1)*E30+INDEX(Symboles!$H$6:$H$101,MOD(33+$C30+(-3),$B$3)+1)*F30+INDEX(Symboles!$H$6:$H$101,MOD(33+$C30+(-2),$B$3)+1)*G30+INDEX(Symboles!$H$6:$H$101,MOD(33+$C30+(-1),$B$3)+1)*H30+INDEX(Symboles!$H$6:$H$101,MOD(33+$C30+(0),$B$3)+1)*I30+INDEX(Symboles!$H$6:$H$101,MOD(33+$C30+(1),$B$3)+1)*J30+INDEX(Symboles!$H$6:$H$101,MOD(33+$C30+(2),$B$3)+1)*K30+INDEX(Symboles!$H$6:$H$101,MOD(33+$C30+(3),$B$3)+1)*L30+INDEX(Symboles!$H$6:$H$101,MOD(33+$C30+(4),$B$3)+1)*M30+IF($B$6=0,0,$B$6*NORMSINV(0.000001+0.999998*RAND())))</f>
        <v/>
      </c>
      <c r="EQ30" s="30">
        <f>IF(35&gt;$B$3,99,INDEX(Symboles!$H$6:$H$101,MOD(34+$C30+(-4),$B$3)+1)*E30+INDEX(Symboles!$H$6:$H$101,MOD(34+$C30+(-3),$B$3)+1)*F30+INDEX(Symboles!$H$6:$H$101,MOD(34+$C30+(-2),$B$3)+1)*G30+INDEX(Symboles!$H$6:$H$101,MOD(34+$C30+(-1),$B$3)+1)*H30+INDEX(Symboles!$H$6:$H$101,MOD(34+$C30+(0),$B$3)+1)*I30+INDEX(Symboles!$H$6:$H$101,MOD(34+$C30+(1),$B$3)+1)*J30+INDEX(Symboles!$H$6:$H$101,MOD(34+$C30+(2),$B$3)+1)*K30+INDEX(Symboles!$H$6:$H$101,MOD(34+$C30+(3),$B$3)+1)*L30+INDEX(Symboles!$H$6:$H$101,MOD(34+$C30+(4),$B$3)+1)*M30+IF($B$6=0,0,$B$6*NORMSINV(0.000001+0.999998*RAND())))</f>
        <v/>
      </c>
      <c r="ER30" s="30">
        <f>IF(36&gt;$B$3,99,INDEX(Symboles!$H$6:$H$101,MOD(35+$C30+(-4),$B$3)+1)*E30+INDEX(Symboles!$H$6:$H$101,MOD(35+$C30+(-3),$B$3)+1)*F30+INDEX(Symboles!$H$6:$H$101,MOD(35+$C30+(-2),$B$3)+1)*G30+INDEX(Symboles!$H$6:$H$101,MOD(35+$C30+(-1),$B$3)+1)*H30+INDEX(Symboles!$H$6:$H$101,MOD(35+$C30+(0),$B$3)+1)*I30+INDEX(Symboles!$H$6:$H$101,MOD(35+$C30+(1),$B$3)+1)*J30+INDEX(Symboles!$H$6:$H$101,MOD(35+$C30+(2),$B$3)+1)*K30+INDEX(Symboles!$H$6:$H$101,MOD(35+$C30+(3),$B$3)+1)*L30+INDEX(Symboles!$H$6:$H$101,MOD(35+$C30+(4),$B$3)+1)*M30+IF($B$6=0,0,$B$6*NORMSINV(0.000001+0.999998*RAND())))</f>
        <v/>
      </c>
      <c r="ES30" s="30">
        <f>IF(37&gt;$B$3,99,INDEX(Symboles!$H$6:$H$101,MOD(36+$C30+(-4),$B$3)+1)*E30+INDEX(Symboles!$H$6:$H$101,MOD(36+$C30+(-3),$B$3)+1)*F30+INDEX(Symboles!$H$6:$H$101,MOD(36+$C30+(-2),$B$3)+1)*G30+INDEX(Symboles!$H$6:$H$101,MOD(36+$C30+(-1),$B$3)+1)*H30+INDEX(Symboles!$H$6:$H$101,MOD(36+$C30+(0),$B$3)+1)*I30+INDEX(Symboles!$H$6:$H$101,MOD(36+$C30+(1),$B$3)+1)*J30+INDEX(Symboles!$H$6:$H$101,MOD(36+$C30+(2),$B$3)+1)*K30+INDEX(Symboles!$H$6:$H$101,MOD(36+$C30+(3),$B$3)+1)*L30+INDEX(Symboles!$H$6:$H$101,MOD(36+$C30+(4),$B$3)+1)*M30+IF($B$6=0,0,$B$6*NORMSINV(0.000001+0.999998*RAND())))</f>
        <v/>
      </c>
      <c r="ET30" s="30">
        <f>IF(38&gt;$B$3,99,INDEX(Symboles!$H$6:$H$101,MOD(37+$C30+(-4),$B$3)+1)*E30+INDEX(Symboles!$H$6:$H$101,MOD(37+$C30+(-3),$B$3)+1)*F30+INDEX(Symboles!$H$6:$H$101,MOD(37+$C30+(-2),$B$3)+1)*G30+INDEX(Symboles!$H$6:$H$101,MOD(37+$C30+(-1),$B$3)+1)*H30+INDEX(Symboles!$H$6:$H$101,MOD(37+$C30+(0),$B$3)+1)*I30+INDEX(Symboles!$H$6:$H$101,MOD(37+$C30+(1),$B$3)+1)*J30+INDEX(Symboles!$H$6:$H$101,MOD(37+$C30+(2),$B$3)+1)*K30+INDEX(Symboles!$H$6:$H$101,MOD(37+$C30+(3),$B$3)+1)*L30+INDEX(Symboles!$H$6:$H$101,MOD(37+$C30+(4),$B$3)+1)*M30+IF($B$6=0,0,$B$6*NORMSINV(0.000001+0.999998*RAND())))</f>
        <v/>
      </c>
      <c r="EU30" s="30">
        <f>IF(39&gt;$B$3,99,INDEX(Symboles!$H$6:$H$101,MOD(38+$C30+(-4),$B$3)+1)*E30+INDEX(Symboles!$H$6:$H$101,MOD(38+$C30+(-3),$B$3)+1)*F30+INDEX(Symboles!$H$6:$H$101,MOD(38+$C30+(-2),$B$3)+1)*G30+INDEX(Symboles!$H$6:$H$101,MOD(38+$C30+(-1),$B$3)+1)*H30+INDEX(Symboles!$H$6:$H$101,MOD(38+$C30+(0),$B$3)+1)*I30+INDEX(Symboles!$H$6:$H$101,MOD(38+$C30+(1),$B$3)+1)*J30+INDEX(Symboles!$H$6:$H$101,MOD(38+$C30+(2),$B$3)+1)*K30+INDEX(Symboles!$H$6:$H$101,MOD(38+$C30+(3),$B$3)+1)*L30+INDEX(Symboles!$H$6:$H$101,MOD(38+$C30+(4),$B$3)+1)*M30+IF($B$6=0,0,$B$6*NORMSINV(0.000001+0.999998*RAND())))</f>
        <v/>
      </c>
      <c r="EV30" s="30">
        <f>IF(40&gt;$B$3,99,INDEX(Symboles!$H$6:$H$101,MOD(39+$C30+(-4),$B$3)+1)*E30+INDEX(Symboles!$H$6:$H$101,MOD(39+$C30+(-3),$B$3)+1)*F30+INDEX(Symboles!$H$6:$H$101,MOD(39+$C30+(-2),$B$3)+1)*G30+INDEX(Symboles!$H$6:$H$101,MOD(39+$C30+(-1),$B$3)+1)*H30+INDEX(Symboles!$H$6:$H$101,MOD(39+$C30+(0),$B$3)+1)*I30+INDEX(Symboles!$H$6:$H$101,MOD(39+$C30+(1),$B$3)+1)*J30+INDEX(Symboles!$H$6:$H$101,MOD(39+$C30+(2),$B$3)+1)*K30+INDEX(Symboles!$H$6:$H$101,MOD(39+$C30+(3),$B$3)+1)*L30+INDEX(Symboles!$H$6:$H$101,MOD(39+$C30+(4),$B$3)+1)*M30+IF($B$6=0,0,$B$6*NORMSINV(0.000001+0.999998*RAND())))</f>
        <v/>
      </c>
      <c r="EW30" s="30">
        <f>IF(41&gt;$B$3,99,INDEX(Symboles!$H$6:$H$101,MOD(40+$C30+(-4),$B$3)+1)*E30+INDEX(Symboles!$H$6:$H$101,MOD(40+$C30+(-3),$B$3)+1)*F30+INDEX(Symboles!$H$6:$H$101,MOD(40+$C30+(-2),$B$3)+1)*G30+INDEX(Symboles!$H$6:$H$101,MOD(40+$C30+(-1),$B$3)+1)*H30+INDEX(Symboles!$H$6:$H$101,MOD(40+$C30+(0),$B$3)+1)*I30+INDEX(Symboles!$H$6:$H$101,MOD(40+$C30+(1),$B$3)+1)*J30+INDEX(Symboles!$H$6:$H$101,MOD(40+$C30+(2),$B$3)+1)*K30+INDEX(Symboles!$H$6:$H$101,MOD(40+$C30+(3),$B$3)+1)*L30+INDEX(Symboles!$H$6:$H$101,MOD(40+$C30+(4),$B$3)+1)*M30+IF($B$6=0,0,$B$6*NORMSINV(0.000001+0.999998*RAND())))</f>
        <v/>
      </c>
      <c r="EX30" s="30">
        <f>IF(42&gt;$B$3,99,INDEX(Symboles!$H$6:$H$101,MOD(41+$C30+(-4),$B$3)+1)*E30+INDEX(Symboles!$H$6:$H$101,MOD(41+$C30+(-3),$B$3)+1)*F30+INDEX(Symboles!$H$6:$H$101,MOD(41+$C30+(-2),$B$3)+1)*G30+INDEX(Symboles!$H$6:$H$101,MOD(41+$C30+(-1),$B$3)+1)*H30+INDEX(Symboles!$H$6:$H$101,MOD(41+$C30+(0),$B$3)+1)*I30+INDEX(Symboles!$H$6:$H$101,MOD(41+$C30+(1),$B$3)+1)*J30+INDEX(Symboles!$H$6:$H$101,MOD(41+$C30+(2),$B$3)+1)*K30+INDEX(Symboles!$H$6:$H$101,MOD(41+$C30+(3),$B$3)+1)*L30+INDEX(Symboles!$H$6:$H$101,MOD(41+$C30+(4),$B$3)+1)*M30+IF($B$6=0,0,$B$6*NORMSINV(0.000001+0.999998*RAND())))</f>
        <v/>
      </c>
      <c r="EY30" s="30">
        <f>IF(43&gt;$B$3,99,INDEX(Symboles!$H$6:$H$101,MOD(42+$C30+(-4),$B$3)+1)*E30+INDEX(Symboles!$H$6:$H$101,MOD(42+$C30+(-3),$B$3)+1)*F30+INDEX(Symboles!$H$6:$H$101,MOD(42+$C30+(-2),$B$3)+1)*G30+INDEX(Symboles!$H$6:$H$101,MOD(42+$C30+(-1),$B$3)+1)*H30+INDEX(Symboles!$H$6:$H$101,MOD(42+$C30+(0),$B$3)+1)*I30+INDEX(Symboles!$H$6:$H$101,MOD(42+$C30+(1),$B$3)+1)*J30+INDEX(Symboles!$H$6:$H$101,MOD(42+$C30+(2),$B$3)+1)*K30+INDEX(Symboles!$H$6:$H$101,MOD(42+$C30+(3),$B$3)+1)*L30+INDEX(Symboles!$H$6:$H$101,MOD(42+$C30+(4),$B$3)+1)*M30+IF($B$6=0,0,$B$6*NORMSINV(0.000001+0.999998*RAND())))</f>
        <v/>
      </c>
      <c r="EZ30" s="30">
        <f>IF(44&gt;$B$3,99,INDEX(Symboles!$H$6:$H$101,MOD(43+$C30+(-4),$B$3)+1)*E30+INDEX(Symboles!$H$6:$H$101,MOD(43+$C30+(-3),$B$3)+1)*F30+INDEX(Symboles!$H$6:$H$101,MOD(43+$C30+(-2),$B$3)+1)*G30+INDEX(Symboles!$H$6:$H$101,MOD(43+$C30+(-1),$B$3)+1)*H30+INDEX(Symboles!$H$6:$H$101,MOD(43+$C30+(0),$B$3)+1)*I30+INDEX(Symboles!$H$6:$H$101,MOD(43+$C30+(1),$B$3)+1)*J30+INDEX(Symboles!$H$6:$H$101,MOD(43+$C30+(2),$B$3)+1)*K30+INDEX(Symboles!$H$6:$H$101,MOD(43+$C30+(3),$B$3)+1)*L30+INDEX(Symboles!$H$6:$H$101,MOD(43+$C30+(4),$B$3)+1)*M30+IF($B$6=0,0,$B$6*NORMSINV(0.000001+0.999998*RAND())))</f>
        <v/>
      </c>
      <c r="FA30" s="30">
        <f>IF(45&gt;$B$3,99,INDEX(Symboles!$H$6:$H$101,MOD(44+$C30+(-4),$B$3)+1)*E30+INDEX(Symboles!$H$6:$H$101,MOD(44+$C30+(-3),$B$3)+1)*F30+INDEX(Symboles!$H$6:$H$101,MOD(44+$C30+(-2),$B$3)+1)*G30+INDEX(Symboles!$H$6:$H$101,MOD(44+$C30+(-1),$B$3)+1)*H30+INDEX(Symboles!$H$6:$H$101,MOD(44+$C30+(0),$B$3)+1)*I30+INDEX(Symboles!$H$6:$H$101,MOD(44+$C30+(1),$B$3)+1)*J30+INDEX(Symboles!$H$6:$H$101,MOD(44+$C30+(2),$B$3)+1)*K30+INDEX(Symboles!$H$6:$H$101,MOD(44+$C30+(3),$B$3)+1)*L30+INDEX(Symboles!$H$6:$H$101,MOD(44+$C30+(4),$B$3)+1)*M30+IF($B$6=0,0,$B$6*NORMSINV(0.000001+0.999998*RAND())))</f>
        <v/>
      </c>
      <c r="FB30" s="30">
        <f>IF(46&gt;$B$3,99,INDEX(Symboles!$H$6:$H$101,MOD(45+$C30+(-4),$B$3)+1)*E30+INDEX(Symboles!$H$6:$H$101,MOD(45+$C30+(-3),$B$3)+1)*F30+INDEX(Symboles!$H$6:$H$101,MOD(45+$C30+(-2),$B$3)+1)*G30+INDEX(Symboles!$H$6:$H$101,MOD(45+$C30+(-1),$B$3)+1)*H30+INDEX(Symboles!$H$6:$H$101,MOD(45+$C30+(0),$B$3)+1)*I30+INDEX(Symboles!$H$6:$H$101,MOD(45+$C30+(1),$B$3)+1)*J30+INDEX(Symboles!$H$6:$H$101,MOD(45+$C30+(2),$B$3)+1)*K30+INDEX(Symboles!$H$6:$H$101,MOD(45+$C30+(3),$B$3)+1)*L30+INDEX(Symboles!$H$6:$H$101,MOD(45+$C30+(4),$B$3)+1)*M30+IF($B$6=0,0,$B$6*NORMSINV(0.000001+0.999998*RAND())))</f>
        <v/>
      </c>
      <c r="FC30" s="30">
        <f>IF(47&gt;$B$3,99,INDEX(Symboles!$H$6:$H$101,MOD(46+$C30+(-4),$B$3)+1)*E30+INDEX(Symboles!$H$6:$H$101,MOD(46+$C30+(-3),$B$3)+1)*F30+INDEX(Symboles!$H$6:$H$101,MOD(46+$C30+(-2),$B$3)+1)*G30+INDEX(Symboles!$H$6:$H$101,MOD(46+$C30+(-1),$B$3)+1)*H30+INDEX(Symboles!$H$6:$H$101,MOD(46+$C30+(0),$B$3)+1)*I30+INDEX(Symboles!$H$6:$H$101,MOD(46+$C30+(1),$B$3)+1)*J30+INDEX(Symboles!$H$6:$H$101,MOD(46+$C30+(2),$B$3)+1)*K30+INDEX(Symboles!$H$6:$H$101,MOD(46+$C30+(3),$B$3)+1)*L30+INDEX(Symboles!$H$6:$H$101,MOD(46+$C30+(4),$B$3)+1)*M30+IF($B$6=0,0,$B$6*NORMSINV(0.000001+0.999998*RAND())))</f>
        <v/>
      </c>
      <c r="FD30" s="30">
        <f>IF(48&gt;$B$3,99,INDEX(Symboles!$H$6:$H$101,MOD(47+$C30+(-4),$B$3)+1)*E30+INDEX(Symboles!$H$6:$H$101,MOD(47+$C30+(-3),$B$3)+1)*F30+INDEX(Symboles!$H$6:$H$101,MOD(47+$C30+(-2),$B$3)+1)*G30+INDEX(Symboles!$H$6:$H$101,MOD(47+$C30+(-1),$B$3)+1)*H30+INDEX(Symboles!$H$6:$H$101,MOD(47+$C30+(0),$B$3)+1)*I30+INDEX(Symboles!$H$6:$H$101,MOD(47+$C30+(1),$B$3)+1)*J30+INDEX(Symboles!$H$6:$H$101,MOD(47+$C30+(2),$B$3)+1)*K30+INDEX(Symboles!$H$6:$H$101,MOD(47+$C30+(3),$B$3)+1)*L30+INDEX(Symboles!$H$6:$H$101,MOD(47+$C30+(4),$B$3)+1)*M30+IF($B$6=0,0,$B$6*NORMSINV(0.000001+0.999998*RAND())))</f>
        <v/>
      </c>
      <c r="FE30" s="30">
        <f>IF(49&gt;$B$3,99,INDEX(Symboles!$H$6:$H$101,MOD(48+$C30+(-4),$B$3)+1)*E30+INDEX(Symboles!$H$6:$H$101,MOD(48+$C30+(-3),$B$3)+1)*F30+INDEX(Symboles!$H$6:$H$101,MOD(48+$C30+(-2),$B$3)+1)*G30+INDEX(Symboles!$H$6:$H$101,MOD(48+$C30+(-1),$B$3)+1)*H30+INDEX(Symboles!$H$6:$H$101,MOD(48+$C30+(0),$B$3)+1)*I30+INDEX(Symboles!$H$6:$H$101,MOD(48+$C30+(1),$B$3)+1)*J30+INDEX(Symboles!$H$6:$H$101,MOD(48+$C30+(2),$B$3)+1)*K30+INDEX(Symboles!$H$6:$H$101,MOD(48+$C30+(3),$B$3)+1)*L30+INDEX(Symboles!$H$6:$H$101,MOD(48+$C30+(4),$B$3)+1)*M30+IF($B$6=0,0,$B$6*NORMSINV(0.000001+0.999998*RAND())))</f>
        <v/>
      </c>
      <c r="FF30" s="30">
        <f>IF(50&gt;$B$3,99,INDEX(Symboles!$H$6:$H$101,MOD(49+$C30+(-4),$B$3)+1)*E30+INDEX(Symboles!$H$6:$H$101,MOD(49+$C30+(-3),$B$3)+1)*F30+INDEX(Symboles!$H$6:$H$101,MOD(49+$C30+(-2),$B$3)+1)*G30+INDEX(Symboles!$H$6:$H$101,MOD(49+$C30+(-1),$B$3)+1)*H30+INDEX(Symboles!$H$6:$H$101,MOD(49+$C30+(0),$B$3)+1)*I30+INDEX(Symboles!$H$6:$H$101,MOD(49+$C30+(1),$B$3)+1)*J30+INDEX(Symboles!$H$6:$H$101,MOD(49+$C30+(2),$B$3)+1)*K30+INDEX(Symboles!$H$6:$H$101,MOD(49+$C30+(3),$B$3)+1)*L30+INDEX(Symboles!$H$6:$H$101,MOD(49+$C30+(4),$B$3)+1)*M30+IF($B$6=0,0,$B$6*NORMSINV(0.000001+0.999998*RAND())))</f>
        <v/>
      </c>
      <c r="FG30" s="30">
        <f>IF(51&gt;$B$3,99,INDEX(Symboles!$H$6:$H$101,MOD(50+$C30+(-4),$B$3)+1)*E30+INDEX(Symboles!$H$6:$H$101,MOD(50+$C30+(-3),$B$3)+1)*F30+INDEX(Symboles!$H$6:$H$101,MOD(50+$C30+(-2),$B$3)+1)*G30+INDEX(Symboles!$H$6:$H$101,MOD(50+$C30+(-1),$B$3)+1)*H30+INDEX(Symboles!$H$6:$H$101,MOD(50+$C30+(0),$B$3)+1)*I30+INDEX(Symboles!$H$6:$H$101,MOD(50+$C30+(1),$B$3)+1)*J30+INDEX(Symboles!$H$6:$H$101,MOD(50+$C30+(2),$B$3)+1)*K30+INDEX(Symboles!$H$6:$H$101,MOD(50+$C30+(3),$B$3)+1)*L30+INDEX(Symboles!$H$6:$H$101,MOD(50+$C30+(4),$B$3)+1)*M30+IF($B$6=0,0,$B$6*NORMSINV(0.000001+0.999998*RAND())))</f>
        <v/>
      </c>
      <c r="FH30" s="30">
        <f>IF(52&gt;$B$3,99,INDEX(Symboles!$H$6:$H$101,MOD(51+$C30+(-4),$B$3)+1)*E30+INDEX(Symboles!$H$6:$H$101,MOD(51+$C30+(-3),$B$3)+1)*F30+INDEX(Symboles!$H$6:$H$101,MOD(51+$C30+(-2),$B$3)+1)*G30+INDEX(Symboles!$H$6:$H$101,MOD(51+$C30+(-1),$B$3)+1)*H30+INDEX(Symboles!$H$6:$H$101,MOD(51+$C30+(0),$B$3)+1)*I30+INDEX(Symboles!$H$6:$H$101,MOD(51+$C30+(1),$B$3)+1)*J30+INDEX(Symboles!$H$6:$H$101,MOD(51+$C30+(2),$B$3)+1)*K30+INDEX(Symboles!$H$6:$H$101,MOD(51+$C30+(3),$B$3)+1)*L30+INDEX(Symboles!$H$6:$H$101,MOD(51+$C30+(4),$B$3)+1)*M30+IF($B$6=0,0,$B$6*NORMSINV(0.000001+0.999998*RAND())))</f>
        <v/>
      </c>
      <c r="FI30" s="30">
        <f>IF(53&gt;$B$3,99,INDEX(Symboles!$H$6:$H$101,MOD(52+$C30+(-4),$B$3)+1)*E30+INDEX(Symboles!$H$6:$H$101,MOD(52+$C30+(-3),$B$3)+1)*F30+INDEX(Symboles!$H$6:$H$101,MOD(52+$C30+(-2),$B$3)+1)*G30+INDEX(Symboles!$H$6:$H$101,MOD(52+$C30+(-1),$B$3)+1)*H30+INDEX(Symboles!$H$6:$H$101,MOD(52+$C30+(0),$B$3)+1)*I30+INDEX(Symboles!$H$6:$H$101,MOD(52+$C30+(1),$B$3)+1)*J30+INDEX(Symboles!$H$6:$H$101,MOD(52+$C30+(2),$B$3)+1)*K30+INDEX(Symboles!$H$6:$H$101,MOD(52+$C30+(3),$B$3)+1)*L30+INDEX(Symboles!$H$6:$H$101,MOD(52+$C30+(4),$B$3)+1)*M30+IF($B$6=0,0,$B$6*NORMSINV(0.000001+0.999998*RAND())))</f>
        <v/>
      </c>
      <c r="FJ30" s="30">
        <f>IF(54&gt;$B$3,99,INDEX(Symboles!$H$6:$H$101,MOD(53+$C30+(-4),$B$3)+1)*E30+INDEX(Symboles!$H$6:$H$101,MOD(53+$C30+(-3),$B$3)+1)*F30+INDEX(Symboles!$H$6:$H$101,MOD(53+$C30+(-2),$B$3)+1)*G30+INDEX(Symboles!$H$6:$H$101,MOD(53+$C30+(-1),$B$3)+1)*H30+INDEX(Symboles!$H$6:$H$101,MOD(53+$C30+(0),$B$3)+1)*I30+INDEX(Symboles!$H$6:$H$101,MOD(53+$C30+(1),$B$3)+1)*J30+INDEX(Symboles!$H$6:$H$101,MOD(53+$C30+(2),$B$3)+1)*K30+INDEX(Symboles!$H$6:$H$101,MOD(53+$C30+(3),$B$3)+1)*L30+INDEX(Symboles!$H$6:$H$101,MOD(53+$C30+(4),$B$3)+1)*M30+IF($B$6=0,0,$B$6*NORMSINV(0.000001+0.999998*RAND())))</f>
        <v/>
      </c>
      <c r="FK30" s="30">
        <f>IF(55&gt;$B$3,99,INDEX(Symboles!$H$6:$H$101,MOD(54+$C30+(-4),$B$3)+1)*E30+INDEX(Symboles!$H$6:$H$101,MOD(54+$C30+(-3),$B$3)+1)*F30+INDEX(Symboles!$H$6:$H$101,MOD(54+$C30+(-2),$B$3)+1)*G30+INDEX(Symboles!$H$6:$H$101,MOD(54+$C30+(-1),$B$3)+1)*H30+INDEX(Symboles!$H$6:$H$101,MOD(54+$C30+(0),$B$3)+1)*I30+INDEX(Symboles!$H$6:$H$101,MOD(54+$C30+(1),$B$3)+1)*J30+INDEX(Symboles!$H$6:$H$101,MOD(54+$C30+(2),$B$3)+1)*K30+INDEX(Symboles!$H$6:$H$101,MOD(54+$C30+(3),$B$3)+1)*L30+INDEX(Symboles!$H$6:$H$101,MOD(54+$C30+(4),$B$3)+1)*M30+IF($B$6=0,0,$B$6*NORMSINV(0.000001+0.999998*RAND())))</f>
        <v/>
      </c>
      <c r="FL30" s="30">
        <f>IF(56&gt;$B$3,99,INDEX(Symboles!$H$6:$H$101,MOD(55+$C30+(-4),$B$3)+1)*E30+INDEX(Symboles!$H$6:$H$101,MOD(55+$C30+(-3),$B$3)+1)*F30+INDEX(Symboles!$H$6:$H$101,MOD(55+$C30+(-2),$B$3)+1)*G30+INDEX(Symboles!$H$6:$H$101,MOD(55+$C30+(-1),$B$3)+1)*H30+INDEX(Symboles!$H$6:$H$101,MOD(55+$C30+(0),$B$3)+1)*I30+INDEX(Symboles!$H$6:$H$101,MOD(55+$C30+(1),$B$3)+1)*J30+INDEX(Symboles!$H$6:$H$101,MOD(55+$C30+(2),$B$3)+1)*K30+INDEX(Symboles!$H$6:$H$101,MOD(55+$C30+(3),$B$3)+1)*L30+INDEX(Symboles!$H$6:$H$101,MOD(55+$C30+(4),$B$3)+1)*M30+IF($B$6=0,0,$B$6*NORMSINV(0.000001+0.999998*RAND())))</f>
        <v/>
      </c>
      <c r="FM30" s="30">
        <f>IF(57&gt;$B$3,99,INDEX(Symboles!$H$6:$H$101,MOD(56+$C30+(-4),$B$3)+1)*E30+INDEX(Symboles!$H$6:$H$101,MOD(56+$C30+(-3),$B$3)+1)*F30+INDEX(Symboles!$H$6:$H$101,MOD(56+$C30+(-2),$B$3)+1)*G30+INDEX(Symboles!$H$6:$H$101,MOD(56+$C30+(-1),$B$3)+1)*H30+INDEX(Symboles!$H$6:$H$101,MOD(56+$C30+(0),$B$3)+1)*I30+INDEX(Symboles!$H$6:$H$101,MOD(56+$C30+(1),$B$3)+1)*J30+INDEX(Symboles!$H$6:$H$101,MOD(56+$C30+(2),$B$3)+1)*K30+INDEX(Symboles!$H$6:$H$101,MOD(56+$C30+(3),$B$3)+1)*L30+INDEX(Symboles!$H$6:$H$101,MOD(56+$C30+(4),$B$3)+1)*M30+IF($B$6=0,0,$B$6*NORMSINV(0.000001+0.999998*RAND())))</f>
        <v/>
      </c>
      <c r="FN30" s="30">
        <f>IF(58&gt;$B$3,99,INDEX(Symboles!$H$6:$H$101,MOD(57+$C30+(-4),$B$3)+1)*E30+INDEX(Symboles!$H$6:$H$101,MOD(57+$C30+(-3),$B$3)+1)*F30+INDEX(Symboles!$H$6:$H$101,MOD(57+$C30+(-2),$B$3)+1)*G30+INDEX(Symboles!$H$6:$H$101,MOD(57+$C30+(-1),$B$3)+1)*H30+INDEX(Symboles!$H$6:$H$101,MOD(57+$C30+(0),$B$3)+1)*I30+INDEX(Symboles!$H$6:$H$101,MOD(57+$C30+(1),$B$3)+1)*J30+INDEX(Symboles!$H$6:$H$101,MOD(57+$C30+(2),$B$3)+1)*K30+INDEX(Symboles!$H$6:$H$101,MOD(57+$C30+(3),$B$3)+1)*L30+INDEX(Symboles!$H$6:$H$101,MOD(57+$C30+(4),$B$3)+1)*M30+IF($B$6=0,0,$B$6*NORMSINV(0.000001+0.999998*RAND())))</f>
        <v/>
      </c>
      <c r="FO30" s="30">
        <f>IF(59&gt;$B$3,99,INDEX(Symboles!$H$6:$H$101,MOD(58+$C30+(-4),$B$3)+1)*E30+INDEX(Symboles!$H$6:$H$101,MOD(58+$C30+(-3),$B$3)+1)*F30+INDEX(Symboles!$H$6:$H$101,MOD(58+$C30+(-2),$B$3)+1)*G30+INDEX(Symboles!$H$6:$H$101,MOD(58+$C30+(-1),$B$3)+1)*H30+INDEX(Symboles!$H$6:$H$101,MOD(58+$C30+(0),$B$3)+1)*I30+INDEX(Symboles!$H$6:$H$101,MOD(58+$C30+(1),$B$3)+1)*J30+INDEX(Symboles!$H$6:$H$101,MOD(58+$C30+(2),$B$3)+1)*K30+INDEX(Symboles!$H$6:$H$101,MOD(58+$C30+(3),$B$3)+1)*L30+INDEX(Symboles!$H$6:$H$101,MOD(58+$C30+(4),$B$3)+1)*M30+IF($B$6=0,0,$B$6*NORMSINV(0.000001+0.999998*RAND())))</f>
        <v/>
      </c>
      <c r="FP30" s="30">
        <f>IF(60&gt;$B$3,99,INDEX(Symboles!$H$6:$H$101,MOD(59+$C30+(-4),$B$3)+1)*E30+INDEX(Symboles!$H$6:$H$101,MOD(59+$C30+(-3),$B$3)+1)*F30+INDEX(Symboles!$H$6:$H$101,MOD(59+$C30+(-2),$B$3)+1)*G30+INDEX(Symboles!$H$6:$H$101,MOD(59+$C30+(-1),$B$3)+1)*H30+INDEX(Symboles!$H$6:$H$101,MOD(59+$C30+(0),$B$3)+1)*I30+INDEX(Symboles!$H$6:$H$101,MOD(59+$C30+(1),$B$3)+1)*J30+INDEX(Symboles!$H$6:$H$101,MOD(59+$C30+(2),$B$3)+1)*K30+INDEX(Symboles!$H$6:$H$101,MOD(59+$C30+(3),$B$3)+1)*L30+INDEX(Symboles!$H$6:$H$101,MOD(59+$C30+(4),$B$3)+1)*M30+IF($B$6=0,0,$B$6*NORMSINV(0.000001+0.999998*RAND())))</f>
        <v/>
      </c>
      <c r="FQ30" s="30">
        <f>IF(61&gt;$B$3,99,INDEX(Symboles!$H$6:$H$101,MOD(60+$C30+(-4),$B$3)+1)*E30+INDEX(Symboles!$H$6:$H$101,MOD(60+$C30+(-3),$B$3)+1)*F30+INDEX(Symboles!$H$6:$H$101,MOD(60+$C30+(-2),$B$3)+1)*G30+INDEX(Symboles!$H$6:$H$101,MOD(60+$C30+(-1),$B$3)+1)*H30+INDEX(Symboles!$H$6:$H$101,MOD(60+$C30+(0),$B$3)+1)*I30+INDEX(Symboles!$H$6:$H$101,MOD(60+$C30+(1),$B$3)+1)*J30+INDEX(Symboles!$H$6:$H$101,MOD(60+$C30+(2),$B$3)+1)*K30+INDEX(Symboles!$H$6:$H$101,MOD(60+$C30+(3),$B$3)+1)*L30+INDEX(Symboles!$H$6:$H$101,MOD(60+$C30+(4),$B$3)+1)*M30+IF($B$6=0,0,$B$6*NORMSINV(0.000001+0.999998*RAND())))</f>
        <v/>
      </c>
      <c r="FR30" s="30">
        <f>IF(62&gt;$B$3,99,INDEX(Symboles!$H$6:$H$101,MOD(61+$C30+(-4),$B$3)+1)*E30+INDEX(Symboles!$H$6:$H$101,MOD(61+$C30+(-3),$B$3)+1)*F30+INDEX(Symboles!$H$6:$H$101,MOD(61+$C30+(-2),$B$3)+1)*G30+INDEX(Symboles!$H$6:$H$101,MOD(61+$C30+(-1),$B$3)+1)*H30+INDEX(Symboles!$H$6:$H$101,MOD(61+$C30+(0),$B$3)+1)*I30+INDEX(Symboles!$H$6:$H$101,MOD(61+$C30+(1),$B$3)+1)*J30+INDEX(Symboles!$H$6:$H$101,MOD(61+$C30+(2),$B$3)+1)*K30+INDEX(Symboles!$H$6:$H$101,MOD(61+$C30+(3),$B$3)+1)*L30+INDEX(Symboles!$H$6:$H$101,MOD(61+$C30+(4),$B$3)+1)*M30+IF($B$6=0,0,$B$6*NORMSINV(0.000001+0.999998*RAND())))</f>
        <v/>
      </c>
      <c r="FS30" s="30">
        <f>IF(63&gt;$B$3,99,INDEX(Symboles!$H$6:$H$101,MOD(62+$C30+(-4),$B$3)+1)*E30+INDEX(Symboles!$H$6:$H$101,MOD(62+$C30+(-3),$B$3)+1)*F30+INDEX(Symboles!$H$6:$H$101,MOD(62+$C30+(-2),$B$3)+1)*G30+INDEX(Symboles!$H$6:$H$101,MOD(62+$C30+(-1),$B$3)+1)*H30+INDEX(Symboles!$H$6:$H$101,MOD(62+$C30+(0),$B$3)+1)*I30+INDEX(Symboles!$H$6:$H$101,MOD(62+$C30+(1),$B$3)+1)*J30+INDEX(Symboles!$H$6:$H$101,MOD(62+$C30+(2),$B$3)+1)*K30+INDEX(Symboles!$H$6:$H$101,MOD(62+$C30+(3),$B$3)+1)*L30+INDEX(Symboles!$H$6:$H$101,MOD(62+$C30+(4),$B$3)+1)*M30+IF($B$6=0,0,$B$6*NORMSINV(0.000001+0.999998*RAND())))</f>
        <v/>
      </c>
      <c r="FT30" s="30">
        <f>IF(64&gt;$B$3,99,INDEX(Symboles!$H$6:$H$101,MOD(63+$C30+(-4),$B$3)+1)*E30+INDEX(Symboles!$H$6:$H$101,MOD(63+$C30+(-3),$B$3)+1)*F30+INDEX(Symboles!$H$6:$H$101,MOD(63+$C30+(-2),$B$3)+1)*G30+INDEX(Symboles!$H$6:$H$101,MOD(63+$C30+(-1),$B$3)+1)*H30+INDEX(Symboles!$H$6:$H$101,MOD(63+$C30+(0),$B$3)+1)*I30+INDEX(Symboles!$H$6:$H$101,MOD(63+$C30+(1),$B$3)+1)*J30+INDEX(Symboles!$H$6:$H$101,MOD(63+$C30+(2),$B$3)+1)*K30+INDEX(Symboles!$H$6:$H$101,MOD(63+$C30+(3),$B$3)+1)*L30+INDEX(Symboles!$H$6:$H$101,MOD(63+$C30+(4),$B$3)+1)*M30+IF($B$6=0,0,$B$6*NORMSINV(0.000001+0.999998*RAND())))</f>
        <v/>
      </c>
      <c r="FU30" s="30">
        <f>IF(65&gt;$B$3,99,INDEX(Symboles!$H$6:$H$101,MOD(64+$C30+(-4),$B$3)+1)*E30+INDEX(Symboles!$H$6:$H$101,MOD(64+$C30+(-3),$B$3)+1)*F30+INDEX(Symboles!$H$6:$H$101,MOD(64+$C30+(-2),$B$3)+1)*G30+INDEX(Symboles!$H$6:$H$101,MOD(64+$C30+(-1),$B$3)+1)*H30+INDEX(Symboles!$H$6:$H$101,MOD(64+$C30+(0),$B$3)+1)*I30+INDEX(Symboles!$H$6:$H$101,MOD(64+$C30+(1),$B$3)+1)*J30+INDEX(Symboles!$H$6:$H$101,MOD(64+$C30+(2),$B$3)+1)*K30+INDEX(Symboles!$H$6:$H$101,MOD(64+$C30+(3),$B$3)+1)*L30+INDEX(Symboles!$H$6:$H$101,MOD(64+$C30+(4),$B$3)+1)*M30+IF($B$6=0,0,$B$6*NORMSINV(0.000001+0.999998*RAND())))</f>
        <v/>
      </c>
      <c r="FV30" s="30">
        <f>IF(66&gt;$B$3,99,INDEX(Symboles!$H$6:$H$101,MOD(65+$C30+(-4),$B$3)+1)*E30+INDEX(Symboles!$H$6:$H$101,MOD(65+$C30+(-3),$B$3)+1)*F30+INDEX(Symboles!$H$6:$H$101,MOD(65+$C30+(-2),$B$3)+1)*G30+INDEX(Symboles!$H$6:$H$101,MOD(65+$C30+(-1),$B$3)+1)*H30+INDEX(Symboles!$H$6:$H$101,MOD(65+$C30+(0),$B$3)+1)*I30+INDEX(Symboles!$H$6:$H$101,MOD(65+$C30+(1),$B$3)+1)*J30+INDEX(Symboles!$H$6:$H$101,MOD(65+$C30+(2),$B$3)+1)*K30+INDEX(Symboles!$H$6:$H$101,MOD(65+$C30+(3),$B$3)+1)*L30+INDEX(Symboles!$H$6:$H$101,MOD(65+$C30+(4),$B$3)+1)*M30+IF($B$6=0,0,$B$6*NORMSINV(0.000001+0.999998*RAND())))</f>
        <v/>
      </c>
      <c r="FW30" s="30">
        <f>IF(67&gt;$B$3,99,INDEX(Symboles!$H$6:$H$101,MOD(66+$C30+(-4),$B$3)+1)*E30+INDEX(Symboles!$H$6:$H$101,MOD(66+$C30+(-3),$B$3)+1)*F30+INDEX(Symboles!$H$6:$H$101,MOD(66+$C30+(-2),$B$3)+1)*G30+INDEX(Symboles!$H$6:$H$101,MOD(66+$C30+(-1),$B$3)+1)*H30+INDEX(Symboles!$H$6:$H$101,MOD(66+$C30+(0),$B$3)+1)*I30+INDEX(Symboles!$H$6:$H$101,MOD(66+$C30+(1),$B$3)+1)*J30+INDEX(Symboles!$H$6:$H$101,MOD(66+$C30+(2),$B$3)+1)*K30+INDEX(Symboles!$H$6:$H$101,MOD(66+$C30+(3),$B$3)+1)*L30+INDEX(Symboles!$H$6:$H$101,MOD(66+$C30+(4),$B$3)+1)*M30+IF($B$6=0,0,$B$6*NORMSINV(0.000001+0.999998*RAND())))</f>
        <v/>
      </c>
      <c r="FX30" s="30">
        <f>IF(68&gt;$B$3,99,INDEX(Symboles!$H$6:$H$101,MOD(67+$C30+(-4),$B$3)+1)*E30+INDEX(Symboles!$H$6:$H$101,MOD(67+$C30+(-3),$B$3)+1)*F30+INDEX(Symboles!$H$6:$H$101,MOD(67+$C30+(-2),$B$3)+1)*G30+INDEX(Symboles!$H$6:$H$101,MOD(67+$C30+(-1),$B$3)+1)*H30+INDEX(Symboles!$H$6:$H$101,MOD(67+$C30+(0),$B$3)+1)*I30+INDEX(Symboles!$H$6:$H$101,MOD(67+$C30+(1),$B$3)+1)*J30+INDEX(Symboles!$H$6:$H$101,MOD(67+$C30+(2),$B$3)+1)*K30+INDEX(Symboles!$H$6:$H$101,MOD(67+$C30+(3),$B$3)+1)*L30+INDEX(Symboles!$H$6:$H$101,MOD(67+$C30+(4),$B$3)+1)*M30+IF($B$6=0,0,$B$6*NORMSINV(0.000001+0.999998*RAND())))</f>
        <v/>
      </c>
      <c r="FY30" s="30">
        <f>IF(69&gt;$B$3,99,INDEX(Symboles!$H$6:$H$101,MOD(68+$C30+(-4),$B$3)+1)*E30+INDEX(Symboles!$H$6:$H$101,MOD(68+$C30+(-3),$B$3)+1)*F30+INDEX(Symboles!$H$6:$H$101,MOD(68+$C30+(-2),$B$3)+1)*G30+INDEX(Symboles!$H$6:$H$101,MOD(68+$C30+(-1),$B$3)+1)*H30+INDEX(Symboles!$H$6:$H$101,MOD(68+$C30+(0),$B$3)+1)*I30+INDEX(Symboles!$H$6:$H$101,MOD(68+$C30+(1),$B$3)+1)*J30+INDEX(Symboles!$H$6:$H$101,MOD(68+$C30+(2),$B$3)+1)*K30+INDEX(Symboles!$H$6:$H$101,MOD(68+$C30+(3),$B$3)+1)*L30+INDEX(Symboles!$H$6:$H$101,MOD(68+$C30+(4),$B$3)+1)*M30+IF($B$6=0,0,$B$6*NORMSINV(0.000001+0.999998*RAND())))</f>
        <v/>
      </c>
      <c r="FZ30" s="30">
        <f>IF(70&gt;$B$3,99,INDEX(Symboles!$H$6:$H$101,MOD(69+$C30+(-4),$B$3)+1)*E30+INDEX(Symboles!$H$6:$H$101,MOD(69+$C30+(-3),$B$3)+1)*F30+INDEX(Symboles!$H$6:$H$101,MOD(69+$C30+(-2),$B$3)+1)*G30+INDEX(Symboles!$H$6:$H$101,MOD(69+$C30+(-1),$B$3)+1)*H30+INDEX(Symboles!$H$6:$H$101,MOD(69+$C30+(0),$B$3)+1)*I30+INDEX(Symboles!$H$6:$H$101,MOD(69+$C30+(1),$B$3)+1)*J30+INDEX(Symboles!$H$6:$H$101,MOD(69+$C30+(2),$B$3)+1)*K30+INDEX(Symboles!$H$6:$H$101,MOD(69+$C30+(3),$B$3)+1)*L30+INDEX(Symboles!$H$6:$H$101,MOD(69+$C30+(4),$B$3)+1)*M30+IF($B$6=0,0,$B$6*NORMSINV(0.000001+0.999998*RAND())))</f>
        <v/>
      </c>
      <c r="GA30" s="30">
        <f>IF(71&gt;$B$3,99,INDEX(Symboles!$H$6:$H$101,MOD(70+$C30+(-4),$B$3)+1)*E30+INDEX(Symboles!$H$6:$H$101,MOD(70+$C30+(-3),$B$3)+1)*F30+INDEX(Symboles!$H$6:$H$101,MOD(70+$C30+(-2),$B$3)+1)*G30+INDEX(Symboles!$H$6:$H$101,MOD(70+$C30+(-1),$B$3)+1)*H30+INDEX(Symboles!$H$6:$H$101,MOD(70+$C30+(0),$B$3)+1)*I30+INDEX(Symboles!$H$6:$H$101,MOD(70+$C30+(1),$B$3)+1)*J30+INDEX(Symboles!$H$6:$H$101,MOD(70+$C30+(2),$B$3)+1)*K30+INDEX(Symboles!$H$6:$H$101,MOD(70+$C30+(3),$B$3)+1)*L30+INDEX(Symboles!$H$6:$H$101,MOD(70+$C30+(4),$B$3)+1)*M30+IF($B$6=0,0,$B$6*NORMSINV(0.000001+0.999998*RAND())))</f>
        <v/>
      </c>
      <c r="GB30" s="30">
        <f>IF(72&gt;$B$3,99,INDEX(Symboles!$H$6:$H$101,MOD(71+$C30+(-4),$B$3)+1)*E30+INDEX(Symboles!$H$6:$H$101,MOD(71+$C30+(-3),$B$3)+1)*F30+INDEX(Symboles!$H$6:$H$101,MOD(71+$C30+(-2),$B$3)+1)*G30+INDEX(Symboles!$H$6:$H$101,MOD(71+$C30+(-1),$B$3)+1)*H30+INDEX(Symboles!$H$6:$H$101,MOD(71+$C30+(0),$B$3)+1)*I30+INDEX(Symboles!$H$6:$H$101,MOD(71+$C30+(1),$B$3)+1)*J30+INDEX(Symboles!$H$6:$H$101,MOD(71+$C30+(2),$B$3)+1)*K30+INDEX(Symboles!$H$6:$H$101,MOD(71+$C30+(3),$B$3)+1)*L30+INDEX(Symboles!$H$6:$H$101,MOD(71+$C30+(4),$B$3)+1)*M30+IF($B$6=0,0,$B$6*NORMSINV(0.000001+0.999998*RAND())))</f>
        <v/>
      </c>
      <c r="GC30" s="30">
        <f>IF(73&gt;$B$3,99,INDEX(Symboles!$H$6:$H$101,MOD(72+$C30+(-4),$B$3)+1)*E30+INDEX(Symboles!$H$6:$H$101,MOD(72+$C30+(-3),$B$3)+1)*F30+INDEX(Symboles!$H$6:$H$101,MOD(72+$C30+(-2),$B$3)+1)*G30+INDEX(Symboles!$H$6:$H$101,MOD(72+$C30+(-1),$B$3)+1)*H30+INDEX(Symboles!$H$6:$H$101,MOD(72+$C30+(0),$B$3)+1)*I30+INDEX(Symboles!$H$6:$H$101,MOD(72+$C30+(1),$B$3)+1)*J30+INDEX(Symboles!$H$6:$H$101,MOD(72+$C30+(2),$B$3)+1)*K30+INDEX(Symboles!$H$6:$H$101,MOD(72+$C30+(3),$B$3)+1)*L30+INDEX(Symboles!$H$6:$H$101,MOD(72+$C30+(4),$B$3)+1)*M30+IF($B$6=0,0,$B$6*NORMSINV(0.000001+0.999998*RAND())))</f>
        <v/>
      </c>
      <c r="GD30" s="30">
        <f>IF(74&gt;$B$3,99,INDEX(Symboles!$H$6:$H$101,MOD(73+$C30+(-4),$B$3)+1)*E30+INDEX(Symboles!$H$6:$H$101,MOD(73+$C30+(-3),$B$3)+1)*F30+INDEX(Symboles!$H$6:$H$101,MOD(73+$C30+(-2),$B$3)+1)*G30+INDEX(Symboles!$H$6:$H$101,MOD(73+$C30+(-1),$B$3)+1)*H30+INDEX(Symboles!$H$6:$H$101,MOD(73+$C30+(0),$B$3)+1)*I30+INDEX(Symboles!$H$6:$H$101,MOD(73+$C30+(1),$B$3)+1)*J30+INDEX(Symboles!$H$6:$H$101,MOD(73+$C30+(2),$B$3)+1)*K30+INDEX(Symboles!$H$6:$H$101,MOD(73+$C30+(3),$B$3)+1)*L30+INDEX(Symboles!$H$6:$H$101,MOD(73+$C30+(4),$B$3)+1)*M30+IF($B$6=0,0,$B$6*NORMSINV(0.000001+0.999998*RAND())))</f>
        <v/>
      </c>
      <c r="GE30" s="30">
        <f>IF(75&gt;$B$3,99,INDEX(Symboles!$H$6:$H$101,MOD(74+$C30+(-4),$B$3)+1)*E30+INDEX(Symboles!$H$6:$H$101,MOD(74+$C30+(-3),$B$3)+1)*F30+INDEX(Symboles!$H$6:$H$101,MOD(74+$C30+(-2),$B$3)+1)*G30+INDEX(Symboles!$H$6:$H$101,MOD(74+$C30+(-1),$B$3)+1)*H30+INDEX(Symboles!$H$6:$H$101,MOD(74+$C30+(0),$B$3)+1)*I30+INDEX(Symboles!$H$6:$H$101,MOD(74+$C30+(1),$B$3)+1)*J30+INDEX(Symboles!$H$6:$H$101,MOD(74+$C30+(2),$B$3)+1)*K30+INDEX(Symboles!$H$6:$H$101,MOD(74+$C30+(3),$B$3)+1)*L30+INDEX(Symboles!$H$6:$H$101,MOD(74+$C30+(4),$B$3)+1)*M30+IF($B$6=0,0,$B$6*NORMSINV(0.000001+0.999998*RAND())))</f>
        <v/>
      </c>
      <c r="GF30" s="30">
        <f>IF(76&gt;$B$3,99,INDEX(Symboles!$H$6:$H$101,MOD(75+$C30+(-4),$B$3)+1)*E30+INDEX(Symboles!$H$6:$H$101,MOD(75+$C30+(-3),$B$3)+1)*F30+INDEX(Symboles!$H$6:$H$101,MOD(75+$C30+(-2),$B$3)+1)*G30+INDEX(Symboles!$H$6:$H$101,MOD(75+$C30+(-1),$B$3)+1)*H30+INDEX(Symboles!$H$6:$H$101,MOD(75+$C30+(0),$B$3)+1)*I30+INDEX(Symboles!$H$6:$H$101,MOD(75+$C30+(1),$B$3)+1)*J30+INDEX(Symboles!$H$6:$H$101,MOD(75+$C30+(2),$B$3)+1)*K30+INDEX(Symboles!$H$6:$H$101,MOD(75+$C30+(3),$B$3)+1)*L30+INDEX(Symboles!$H$6:$H$101,MOD(75+$C30+(4),$B$3)+1)*M30+IF($B$6=0,0,$B$6*NORMSINV(0.000001+0.999998*RAND())))</f>
        <v/>
      </c>
      <c r="GG30" s="30">
        <f>IF(77&gt;$B$3,99,INDEX(Symboles!$H$6:$H$101,MOD(76+$C30+(-4),$B$3)+1)*E30+INDEX(Symboles!$H$6:$H$101,MOD(76+$C30+(-3),$B$3)+1)*F30+INDEX(Symboles!$H$6:$H$101,MOD(76+$C30+(-2),$B$3)+1)*G30+INDEX(Symboles!$H$6:$H$101,MOD(76+$C30+(-1),$B$3)+1)*H30+INDEX(Symboles!$H$6:$H$101,MOD(76+$C30+(0),$B$3)+1)*I30+INDEX(Symboles!$H$6:$H$101,MOD(76+$C30+(1),$B$3)+1)*J30+INDEX(Symboles!$H$6:$H$101,MOD(76+$C30+(2),$B$3)+1)*K30+INDEX(Symboles!$H$6:$H$101,MOD(76+$C30+(3),$B$3)+1)*L30+INDEX(Symboles!$H$6:$H$101,MOD(76+$C30+(4),$B$3)+1)*M30+IF($B$6=0,0,$B$6*NORMSINV(0.000001+0.999998*RAND())))</f>
        <v/>
      </c>
      <c r="GH30" s="30">
        <f>IF(78&gt;$B$3,99,INDEX(Symboles!$H$6:$H$101,MOD(77+$C30+(-4),$B$3)+1)*E30+INDEX(Symboles!$H$6:$H$101,MOD(77+$C30+(-3),$B$3)+1)*F30+INDEX(Symboles!$H$6:$H$101,MOD(77+$C30+(-2),$B$3)+1)*G30+INDEX(Symboles!$H$6:$H$101,MOD(77+$C30+(-1),$B$3)+1)*H30+INDEX(Symboles!$H$6:$H$101,MOD(77+$C30+(0),$B$3)+1)*I30+INDEX(Symboles!$H$6:$H$101,MOD(77+$C30+(1),$B$3)+1)*J30+INDEX(Symboles!$H$6:$H$101,MOD(77+$C30+(2),$B$3)+1)*K30+INDEX(Symboles!$H$6:$H$101,MOD(77+$C30+(3),$B$3)+1)*L30+INDEX(Symboles!$H$6:$H$101,MOD(77+$C30+(4),$B$3)+1)*M30+IF($B$6=0,0,$B$6*NORMSINV(0.000001+0.999998*RAND())))</f>
        <v/>
      </c>
      <c r="GI30" s="30">
        <f>IF(79&gt;$B$3,99,INDEX(Symboles!$H$6:$H$101,MOD(78+$C30+(-4),$B$3)+1)*E30+INDEX(Symboles!$H$6:$H$101,MOD(78+$C30+(-3),$B$3)+1)*F30+INDEX(Symboles!$H$6:$H$101,MOD(78+$C30+(-2),$B$3)+1)*G30+INDEX(Symboles!$H$6:$H$101,MOD(78+$C30+(-1),$B$3)+1)*H30+INDEX(Symboles!$H$6:$H$101,MOD(78+$C30+(0),$B$3)+1)*I30+INDEX(Symboles!$H$6:$H$101,MOD(78+$C30+(1),$B$3)+1)*J30+INDEX(Symboles!$H$6:$H$101,MOD(78+$C30+(2),$B$3)+1)*K30+INDEX(Symboles!$H$6:$H$101,MOD(78+$C30+(3),$B$3)+1)*L30+INDEX(Symboles!$H$6:$H$101,MOD(78+$C30+(4),$B$3)+1)*M30+IF($B$6=0,0,$B$6*NORMSINV(0.000001+0.999998*RAND())))</f>
        <v/>
      </c>
      <c r="GJ30" s="30">
        <f>IF(80&gt;$B$3,99,INDEX(Symboles!$H$6:$H$101,MOD(79+$C30+(-4),$B$3)+1)*E30+INDEX(Symboles!$H$6:$H$101,MOD(79+$C30+(-3),$B$3)+1)*F30+INDEX(Symboles!$H$6:$H$101,MOD(79+$C30+(-2),$B$3)+1)*G30+INDEX(Symboles!$H$6:$H$101,MOD(79+$C30+(-1),$B$3)+1)*H30+INDEX(Symboles!$H$6:$H$101,MOD(79+$C30+(0),$B$3)+1)*I30+INDEX(Symboles!$H$6:$H$101,MOD(79+$C30+(1),$B$3)+1)*J30+INDEX(Symboles!$H$6:$H$101,MOD(79+$C30+(2),$B$3)+1)*K30+INDEX(Symboles!$H$6:$H$101,MOD(79+$C30+(3),$B$3)+1)*L30+INDEX(Symboles!$H$6:$H$101,MOD(79+$C30+(4),$B$3)+1)*M30+IF($B$6=0,0,$B$6*NORMSINV(0.000001+0.999998*RAND())))</f>
        <v/>
      </c>
      <c r="GK30" s="30">
        <f>IF(81&gt;$B$3,99,INDEX(Symboles!$H$6:$H$101,MOD(80+$C30+(-4),$B$3)+1)*E30+INDEX(Symboles!$H$6:$H$101,MOD(80+$C30+(-3),$B$3)+1)*F30+INDEX(Symboles!$H$6:$H$101,MOD(80+$C30+(-2),$B$3)+1)*G30+INDEX(Symboles!$H$6:$H$101,MOD(80+$C30+(-1),$B$3)+1)*H30+INDEX(Symboles!$H$6:$H$101,MOD(80+$C30+(0),$B$3)+1)*I30+INDEX(Symboles!$H$6:$H$101,MOD(80+$C30+(1),$B$3)+1)*J30+INDEX(Symboles!$H$6:$H$101,MOD(80+$C30+(2),$B$3)+1)*K30+INDEX(Symboles!$H$6:$H$101,MOD(80+$C30+(3),$B$3)+1)*L30+INDEX(Symboles!$H$6:$H$101,MOD(80+$C30+(4),$B$3)+1)*M30+IF($B$6=0,0,$B$6*NORMSINV(0.000001+0.999998*RAND())))</f>
        <v/>
      </c>
      <c r="GL30" s="30">
        <f>IF(82&gt;$B$3,99,INDEX(Symboles!$H$6:$H$101,MOD(81+$C30+(-4),$B$3)+1)*E30+INDEX(Symboles!$H$6:$H$101,MOD(81+$C30+(-3),$B$3)+1)*F30+INDEX(Symboles!$H$6:$H$101,MOD(81+$C30+(-2),$B$3)+1)*G30+INDEX(Symboles!$H$6:$H$101,MOD(81+$C30+(-1),$B$3)+1)*H30+INDEX(Symboles!$H$6:$H$101,MOD(81+$C30+(0),$B$3)+1)*I30+INDEX(Symboles!$H$6:$H$101,MOD(81+$C30+(1),$B$3)+1)*J30+INDEX(Symboles!$H$6:$H$101,MOD(81+$C30+(2),$B$3)+1)*K30+INDEX(Symboles!$H$6:$H$101,MOD(81+$C30+(3),$B$3)+1)*L30+INDEX(Symboles!$H$6:$H$101,MOD(81+$C30+(4),$B$3)+1)*M30+IF($B$6=0,0,$B$6*NORMSINV(0.000001+0.999998*RAND())))</f>
        <v/>
      </c>
      <c r="GM30" s="30">
        <f>IF(83&gt;$B$3,99,INDEX(Symboles!$H$6:$H$101,MOD(82+$C30+(-4),$B$3)+1)*E30+INDEX(Symboles!$H$6:$H$101,MOD(82+$C30+(-3),$B$3)+1)*F30+INDEX(Symboles!$H$6:$H$101,MOD(82+$C30+(-2),$B$3)+1)*G30+INDEX(Symboles!$H$6:$H$101,MOD(82+$C30+(-1),$B$3)+1)*H30+INDEX(Symboles!$H$6:$H$101,MOD(82+$C30+(0),$B$3)+1)*I30+INDEX(Symboles!$H$6:$H$101,MOD(82+$C30+(1),$B$3)+1)*J30+INDEX(Symboles!$H$6:$H$101,MOD(82+$C30+(2),$B$3)+1)*K30+INDEX(Symboles!$H$6:$H$101,MOD(82+$C30+(3),$B$3)+1)*L30+INDEX(Symboles!$H$6:$H$101,MOD(82+$C30+(4),$B$3)+1)*M30+IF($B$6=0,0,$B$6*NORMSINV(0.000001+0.999998*RAND())))</f>
        <v/>
      </c>
      <c r="GN30" s="30">
        <f>IF(84&gt;$B$3,99,INDEX(Symboles!$H$6:$H$101,MOD(83+$C30+(-4),$B$3)+1)*E30+INDEX(Symboles!$H$6:$H$101,MOD(83+$C30+(-3),$B$3)+1)*F30+INDEX(Symboles!$H$6:$H$101,MOD(83+$C30+(-2),$B$3)+1)*G30+INDEX(Symboles!$H$6:$H$101,MOD(83+$C30+(-1),$B$3)+1)*H30+INDEX(Symboles!$H$6:$H$101,MOD(83+$C30+(0),$B$3)+1)*I30+INDEX(Symboles!$H$6:$H$101,MOD(83+$C30+(1),$B$3)+1)*J30+INDEX(Symboles!$H$6:$H$101,MOD(83+$C30+(2),$B$3)+1)*K30+INDEX(Symboles!$H$6:$H$101,MOD(83+$C30+(3),$B$3)+1)*L30+INDEX(Symboles!$H$6:$H$101,MOD(83+$C30+(4),$B$3)+1)*M30+IF($B$6=0,0,$B$6*NORMSINV(0.000001+0.999998*RAND())))</f>
        <v/>
      </c>
      <c r="GO30" s="30">
        <f>IF(85&gt;$B$3,99,INDEX(Symboles!$H$6:$H$101,MOD(84+$C30+(-4),$B$3)+1)*E30+INDEX(Symboles!$H$6:$H$101,MOD(84+$C30+(-3),$B$3)+1)*F30+INDEX(Symboles!$H$6:$H$101,MOD(84+$C30+(-2),$B$3)+1)*G30+INDEX(Symboles!$H$6:$H$101,MOD(84+$C30+(-1),$B$3)+1)*H30+INDEX(Symboles!$H$6:$H$101,MOD(84+$C30+(0),$B$3)+1)*I30+INDEX(Symboles!$H$6:$H$101,MOD(84+$C30+(1),$B$3)+1)*J30+INDEX(Symboles!$H$6:$H$101,MOD(84+$C30+(2),$B$3)+1)*K30+INDEX(Symboles!$H$6:$H$101,MOD(84+$C30+(3),$B$3)+1)*L30+INDEX(Symboles!$H$6:$H$101,MOD(84+$C30+(4),$B$3)+1)*M30+IF($B$6=0,0,$B$6*NORMSINV(0.000001+0.999998*RAND())))</f>
        <v/>
      </c>
      <c r="GP30" s="30">
        <f>IF(86&gt;$B$3,99,INDEX(Symboles!$H$6:$H$101,MOD(85+$C30+(-4),$B$3)+1)*E30+INDEX(Symboles!$H$6:$H$101,MOD(85+$C30+(-3),$B$3)+1)*F30+INDEX(Symboles!$H$6:$H$101,MOD(85+$C30+(-2),$B$3)+1)*G30+INDEX(Symboles!$H$6:$H$101,MOD(85+$C30+(-1),$B$3)+1)*H30+INDEX(Symboles!$H$6:$H$101,MOD(85+$C30+(0),$B$3)+1)*I30+INDEX(Symboles!$H$6:$H$101,MOD(85+$C30+(1),$B$3)+1)*J30+INDEX(Symboles!$H$6:$H$101,MOD(85+$C30+(2),$B$3)+1)*K30+INDEX(Symboles!$H$6:$H$101,MOD(85+$C30+(3),$B$3)+1)*L30+INDEX(Symboles!$H$6:$H$101,MOD(85+$C30+(4),$B$3)+1)*M30+IF($B$6=0,0,$B$6*NORMSINV(0.000001+0.999998*RAND())))</f>
        <v/>
      </c>
      <c r="GQ30" s="30">
        <f>IF(87&gt;$B$3,99,INDEX(Symboles!$H$6:$H$101,MOD(86+$C30+(-4),$B$3)+1)*E30+INDEX(Symboles!$H$6:$H$101,MOD(86+$C30+(-3),$B$3)+1)*F30+INDEX(Symboles!$H$6:$H$101,MOD(86+$C30+(-2),$B$3)+1)*G30+INDEX(Symboles!$H$6:$H$101,MOD(86+$C30+(-1),$B$3)+1)*H30+INDEX(Symboles!$H$6:$H$101,MOD(86+$C30+(0),$B$3)+1)*I30+INDEX(Symboles!$H$6:$H$101,MOD(86+$C30+(1),$B$3)+1)*J30+INDEX(Symboles!$H$6:$H$101,MOD(86+$C30+(2),$B$3)+1)*K30+INDEX(Symboles!$H$6:$H$101,MOD(86+$C30+(3),$B$3)+1)*L30+INDEX(Symboles!$H$6:$H$101,MOD(86+$C30+(4),$B$3)+1)*M30+IF($B$6=0,0,$B$6*NORMSINV(0.000001+0.999998*RAND())))</f>
        <v/>
      </c>
      <c r="GR30" s="30">
        <f>IF(88&gt;$B$3,99,INDEX(Symboles!$H$6:$H$101,MOD(87+$C30+(-4),$B$3)+1)*E30+INDEX(Symboles!$H$6:$H$101,MOD(87+$C30+(-3),$B$3)+1)*F30+INDEX(Symboles!$H$6:$H$101,MOD(87+$C30+(-2),$B$3)+1)*G30+INDEX(Symboles!$H$6:$H$101,MOD(87+$C30+(-1),$B$3)+1)*H30+INDEX(Symboles!$H$6:$H$101,MOD(87+$C30+(0),$B$3)+1)*I30+INDEX(Symboles!$H$6:$H$101,MOD(87+$C30+(1),$B$3)+1)*J30+INDEX(Symboles!$H$6:$H$101,MOD(87+$C30+(2),$B$3)+1)*K30+INDEX(Symboles!$H$6:$H$101,MOD(87+$C30+(3),$B$3)+1)*L30+INDEX(Symboles!$H$6:$H$101,MOD(87+$C30+(4),$B$3)+1)*M30+IF($B$6=0,0,$B$6*NORMSINV(0.000001+0.999998*RAND())))</f>
        <v/>
      </c>
      <c r="GS30" s="30">
        <f>IF(89&gt;$B$3,99,INDEX(Symboles!$H$6:$H$101,MOD(88+$C30+(-4),$B$3)+1)*E30+INDEX(Symboles!$H$6:$H$101,MOD(88+$C30+(-3),$B$3)+1)*F30+INDEX(Symboles!$H$6:$H$101,MOD(88+$C30+(-2),$B$3)+1)*G30+INDEX(Symboles!$H$6:$H$101,MOD(88+$C30+(-1),$B$3)+1)*H30+INDEX(Symboles!$H$6:$H$101,MOD(88+$C30+(0),$B$3)+1)*I30+INDEX(Symboles!$H$6:$H$101,MOD(88+$C30+(1),$B$3)+1)*J30+INDEX(Symboles!$H$6:$H$101,MOD(88+$C30+(2),$B$3)+1)*K30+INDEX(Symboles!$H$6:$H$101,MOD(88+$C30+(3),$B$3)+1)*L30+INDEX(Symboles!$H$6:$H$101,MOD(88+$C30+(4),$B$3)+1)*M30+IF($B$6=0,0,$B$6*NORMSINV(0.000001+0.999998*RAND())))</f>
        <v/>
      </c>
      <c r="GT30" s="30">
        <f>IF(90&gt;$B$3,99,INDEX(Symboles!$H$6:$H$101,MOD(89+$C30+(-4),$B$3)+1)*E30+INDEX(Symboles!$H$6:$H$101,MOD(89+$C30+(-3),$B$3)+1)*F30+INDEX(Symboles!$H$6:$H$101,MOD(89+$C30+(-2),$B$3)+1)*G30+INDEX(Symboles!$H$6:$H$101,MOD(89+$C30+(-1),$B$3)+1)*H30+INDEX(Symboles!$H$6:$H$101,MOD(89+$C30+(0),$B$3)+1)*I30+INDEX(Symboles!$H$6:$H$101,MOD(89+$C30+(1),$B$3)+1)*J30+INDEX(Symboles!$H$6:$H$101,MOD(89+$C30+(2),$B$3)+1)*K30+INDEX(Symboles!$H$6:$H$101,MOD(89+$C30+(3),$B$3)+1)*L30+INDEX(Symboles!$H$6:$H$101,MOD(89+$C30+(4),$B$3)+1)*M30+IF($B$6=0,0,$B$6*NORMSINV(0.000001+0.999998*RAND())))</f>
        <v/>
      </c>
      <c r="GU30" s="30">
        <f>IF(91&gt;$B$3,99,INDEX(Symboles!$H$6:$H$101,MOD(90+$C30+(-4),$B$3)+1)*E30+INDEX(Symboles!$H$6:$H$101,MOD(90+$C30+(-3),$B$3)+1)*F30+INDEX(Symboles!$H$6:$H$101,MOD(90+$C30+(-2),$B$3)+1)*G30+INDEX(Symboles!$H$6:$H$101,MOD(90+$C30+(-1),$B$3)+1)*H30+INDEX(Symboles!$H$6:$H$101,MOD(90+$C30+(0),$B$3)+1)*I30+INDEX(Symboles!$H$6:$H$101,MOD(90+$C30+(1),$B$3)+1)*J30+INDEX(Symboles!$H$6:$H$101,MOD(90+$C30+(2),$B$3)+1)*K30+INDEX(Symboles!$H$6:$H$101,MOD(90+$C30+(3),$B$3)+1)*L30+INDEX(Symboles!$H$6:$H$101,MOD(90+$C30+(4),$B$3)+1)*M30+IF($B$6=0,0,$B$6*NORMSINV(0.000001+0.999998*RAND())))</f>
        <v/>
      </c>
      <c r="GV30" s="30">
        <f>IF(92&gt;$B$3,99,INDEX(Symboles!$H$6:$H$101,MOD(91+$C30+(-4),$B$3)+1)*E30+INDEX(Symboles!$H$6:$H$101,MOD(91+$C30+(-3),$B$3)+1)*F30+INDEX(Symboles!$H$6:$H$101,MOD(91+$C30+(-2),$B$3)+1)*G30+INDEX(Symboles!$H$6:$H$101,MOD(91+$C30+(-1),$B$3)+1)*H30+INDEX(Symboles!$H$6:$H$101,MOD(91+$C30+(0),$B$3)+1)*I30+INDEX(Symboles!$H$6:$H$101,MOD(91+$C30+(1),$B$3)+1)*J30+INDEX(Symboles!$H$6:$H$101,MOD(91+$C30+(2),$B$3)+1)*K30+INDEX(Symboles!$H$6:$H$101,MOD(91+$C30+(3),$B$3)+1)*L30+INDEX(Symboles!$H$6:$H$101,MOD(91+$C30+(4),$B$3)+1)*M30+IF($B$6=0,0,$B$6*NORMSINV(0.000001+0.999998*RAND())))</f>
        <v/>
      </c>
      <c r="GW30" s="30">
        <f>IF(93&gt;$B$3,99,INDEX(Symboles!$H$6:$H$101,MOD(92+$C30+(-4),$B$3)+1)*E30+INDEX(Symboles!$H$6:$H$101,MOD(92+$C30+(-3),$B$3)+1)*F30+INDEX(Symboles!$H$6:$H$101,MOD(92+$C30+(-2),$B$3)+1)*G30+INDEX(Symboles!$H$6:$H$101,MOD(92+$C30+(-1),$B$3)+1)*H30+INDEX(Symboles!$H$6:$H$101,MOD(92+$C30+(0),$B$3)+1)*I30+INDEX(Symboles!$H$6:$H$101,MOD(92+$C30+(1),$B$3)+1)*J30+INDEX(Symboles!$H$6:$H$101,MOD(92+$C30+(2),$B$3)+1)*K30+INDEX(Symboles!$H$6:$H$101,MOD(92+$C30+(3),$B$3)+1)*L30+INDEX(Symboles!$H$6:$H$101,MOD(92+$C30+(4),$B$3)+1)*M30+IF($B$6=0,0,$B$6*NORMSINV(0.000001+0.999998*RAND())))</f>
        <v/>
      </c>
      <c r="GX30" s="30">
        <f>IF(94&gt;$B$3,99,INDEX(Symboles!$H$6:$H$101,MOD(93+$C30+(-4),$B$3)+1)*E30+INDEX(Symboles!$H$6:$H$101,MOD(93+$C30+(-3),$B$3)+1)*F30+INDEX(Symboles!$H$6:$H$101,MOD(93+$C30+(-2),$B$3)+1)*G30+INDEX(Symboles!$H$6:$H$101,MOD(93+$C30+(-1),$B$3)+1)*H30+INDEX(Symboles!$H$6:$H$101,MOD(93+$C30+(0),$B$3)+1)*I30+INDEX(Symboles!$H$6:$H$101,MOD(93+$C30+(1),$B$3)+1)*J30+INDEX(Symboles!$H$6:$H$101,MOD(93+$C30+(2),$B$3)+1)*K30+INDEX(Symboles!$H$6:$H$101,MOD(93+$C30+(3),$B$3)+1)*L30+INDEX(Symboles!$H$6:$H$101,MOD(93+$C30+(4),$B$3)+1)*M30+IF($B$6=0,0,$B$6*NORMSINV(0.000001+0.999998*RAND())))</f>
        <v/>
      </c>
      <c r="GY30" s="30">
        <f>IF(95&gt;$B$3,99,INDEX(Symboles!$H$6:$H$101,MOD(94+$C30+(-4),$B$3)+1)*E30+INDEX(Symboles!$H$6:$H$101,MOD(94+$C30+(-3),$B$3)+1)*F30+INDEX(Symboles!$H$6:$H$101,MOD(94+$C30+(-2),$B$3)+1)*G30+INDEX(Symboles!$H$6:$H$101,MOD(94+$C30+(-1),$B$3)+1)*H30+INDEX(Symboles!$H$6:$H$101,MOD(94+$C30+(0),$B$3)+1)*I30+INDEX(Symboles!$H$6:$H$101,MOD(94+$C30+(1),$B$3)+1)*J30+INDEX(Symboles!$H$6:$H$101,MOD(94+$C30+(2),$B$3)+1)*K30+INDEX(Symboles!$H$6:$H$101,MOD(94+$C30+(3),$B$3)+1)*L30+INDEX(Symboles!$H$6:$H$101,MOD(94+$C30+(4),$B$3)+1)*M30+IF($B$6=0,0,$B$6*NORMSINV(0.000001+0.999998*RAND())))</f>
        <v/>
      </c>
      <c r="GZ30" s="30">
        <f>IF(96&gt;$B$3,99,INDEX(Symboles!$H$6:$H$101,MOD(95+$C30+(-4),$B$3)+1)*E30+INDEX(Symboles!$H$6:$H$101,MOD(95+$C30+(-3),$B$3)+1)*F30+INDEX(Symboles!$H$6:$H$101,MOD(95+$C30+(-2),$B$3)+1)*G30+INDEX(Symboles!$H$6:$H$101,MOD(95+$C30+(-1),$B$3)+1)*H30+INDEX(Symboles!$H$6:$H$101,MOD(95+$C30+(0),$B$3)+1)*I30+INDEX(Symboles!$H$6:$H$101,MOD(95+$C30+(1),$B$3)+1)*J30+INDEX(Symboles!$H$6:$H$101,MOD(95+$C30+(2),$B$3)+1)*K30+INDEX(Symboles!$H$6:$H$101,MOD(95+$C30+(3),$B$3)+1)*L30+INDEX(Symboles!$H$6:$H$101,MOD(95+$C30+(4),$B$3)+1)*M30+IF($B$6=0,0,$B$6*NORMSINV(0.000001+0.999998*RAND())))</f>
        <v/>
      </c>
    </row>
    <row r="31">
      <c r="A31" s="28" t="n">
        <v>21</v>
      </c>
      <c r="B31" s="28" t="n">
        <v>0.3125</v>
      </c>
      <c r="C31" s="28" t="n">
        <v>0</v>
      </c>
      <c r="D31" s="28" t="n">
        <v>13</v>
      </c>
      <c r="E31" s="29">
        <f>IF($B$4=1,0,IF(ABS(1-(2*$B$5*4.3125)^2)&lt;0.000001,PI()/4*SIN(PI()/(2*$B$5))/(PI()/(2*$B$5)),SIN(PI()*4.3125)/(PI()*4.3125)*COS(PI()*$B$5*4.3125)/(1-(2*$B$5*4.3125)^2)))</f>
        <v/>
      </c>
      <c r="F31" s="29">
        <f>IF($B$4=1,0,IF(ABS(1-(2*$B$5*3.3125)^2)&lt;0.000001,PI()/4*SIN(PI()/(2*$B$5))/(PI()/(2*$B$5)),SIN(PI()*3.3125)/(PI()*3.3125)*COS(PI()*$B$5*3.3125)/(1-(2*$B$5*3.3125)^2)))</f>
        <v/>
      </c>
      <c r="G31" s="29">
        <f>IF($B$4=1,0,IF(ABS(1-(2*$B$5*2.3125)^2)&lt;0.000001,PI()/4*SIN(PI()/(2*$B$5))/(PI()/(2*$B$5)),SIN(PI()*2.3125)/(PI()*2.3125)*COS(PI()*$B$5*2.3125)/(1-(2*$B$5*2.3125)^2)))</f>
        <v/>
      </c>
      <c r="H31" s="29">
        <f>IF($B$4=1,0,IF(ABS(1-(2*$B$5*1.3125)^2)&lt;0.000001,PI()/4*SIN(PI()/(2*$B$5))/(PI()/(2*$B$5)),SIN(PI()*1.3125)/(PI()*1.3125)*COS(PI()*$B$5*1.3125)/(1-(2*$B$5*1.3125)^2)))</f>
        <v/>
      </c>
      <c r="I31" s="29">
        <f>IF($B$4=1,1,IF(ABS(1-(2*$B$5*0.3125)^2)&lt;0.000001,PI()/4*SIN(PI()/(2*$B$5))/(PI()/(2*$B$5)),SIN(PI()*0.3125)/(PI()*0.3125)*COS(PI()*$B$5*0.3125)/(1-(2*$B$5*0.3125)^2)))</f>
        <v/>
      </c>
      <c r="J31" s="29">
        <f>IF($B$4=1,0,IF(ABS(1-(2*$B$5*-0.6875)^2)&lt;0.000001,PI()/4*SIN(PI()/(2*$B$5))/(PI()/(2*$B$5)),SIN(PI()*-0.6875)/(PI()*-0.6875)*COS(PI()*$B$5*-0.6875)/(1-(2*$B$5*-0.6875)^2)))</f>
        <v/>
      </c>
      <c r="K31" s="29">
        <f>IF($B$4=1,0,IF(ABS(1-(2*$B$5*-1.6875)^2)&lt;0.000001,PI()/4*SIN(PI()/(2*$B$5))/(PI()/(2*$B$5)),SIN(PI()*-1.6875)/(PI()*-1.6875)*COS(PI()*$B$5*-1.6875)/(1-(2*$B$5*-1.6875)^2)))</f>
        <v/>
      </c>
      <c r="L31" s="29">
        <f>IF($B$4=1,0,IF(ABS(1-(2*$B$5*-2.6875)^2)&lt;0.000001,PI()/4*SIN(PI()/(2*$B$5))/(PI()/(2*$B$5)),SIN(PI()*-2.6875)/(PI()*-2.6875)*COS(PI()*$B$5*-2.6875)/(1-(2*$B$5*-2.6875)^2)))</f>
        <v/>
      </c>
      <c r="M31" s="29">
        <f>IF($B$4=1,0,IF(ABS(1-(2*$B$5*-3.6875)^2)&lt;0.000001,PI()/4*SIN(PI()/(2*$B$5))/(PI()/(2*$B$5)),SIN(PI()*-3.6875)/(PI()*-3.6875)*COS(PI()*$B$5*-3.6875)/(1-(2*$B$5*-3.6875)^2)))</f>
        <v/>
      </c>
      <c r="P31" s="30">
        <f>IF(1&gt;$B$3,99,INDEX(Symboles!$G$6:$G$101,MOD(0+$C31+(-4),$B$3)+1)*E31+INDEX(Symboles!$G$6:$G$101,MOD(0+$C31+(-3),$B$3)+1)*F31+INDEX(Symboles!$G$6:$G$101,MOD(0+$C31+(-2),$B$3)+1)*G31+INDEX(Symboles!$G$6:$G$101,MOD(0+$C31+(-1),$B$3)+1)*H31+INDEX(Symboles!$G$6:$G$101,MOD(0+$C31+(0),$B$3)+1)*I31+INDEX(Symboles!$G$6:$G$101,MOD(0+$C31+(1),$B$3)+1)*J31+INDEX(Symboles!$G$6:$G$101,MOD(0+$C31+(2),$B$3)+1)*K31+INDEX(Symboles!$G$6:$G$101,MOD(0+$C31+(3),$B$3)+1)*L31+INDEX(Symboles!$G$6:$G$101,MOD(0+$C31+(4),$B$3)+1)*M31+IF($B$6=0,0,$B$6*NORMSINV(0.000001+0.999998*RAND())))</f>
        <v/>
      </c>
      <c r="Q31" s="30">
        <f>IF(2&gt;$B$3,99,INDEX(Symboles!$G$6:$G$101,MOD(1+$C31+(-4),$B$3)+1)*E31+INDEX(Symboles!$G$6:$G$101,MOD(1+$C31+(-3),$B$3)+1)*F31+INDEX(Symboles!$G$6:$G$101,MOD(1+$C31+(-2),$B$3)+1)*G31+INDEX(Symboles!$G$6:$G$101,MOD(1+$C31+(-1),$B$3)+1)*H31+INDEX(Symboles!$G$6:$G$101,MOD(1+$C31+(0),$B$3)+1)*I31+INDEX(Symboles!$G$6:$G$101,MOD(1+$C31+(1),$B$3)+1)*J31+INDEX(Symboles!$G$6:$G$101,MOD(1+$C31+(2),$B$3)+1)*K31+INDEX(Symboles!$G$6:$G$101,MOD(1+$C31+(3),$B$3)+1)*L31+INDEX(Symboles!$G$6:$G$101,MOD(1+$C31+(4),$B$3)+1)*M31+IF($B$6=0,0,$B$6*NORMSINV(0.000001+0.999998*RAND())))</f>
        <v/>
      </c>
      <c r="R31" s="30">
        <f>IF(3&gt;$B$3,99,INDEX(Symboles!$G$6:$G$101,MOD(2+$C31+(-4),$B$3)+1)*E31+INDEX(Symboles!$G$6:$G$101,MOD(2+$C31+(-3),$B$3)+1)*F31+INDEX(Symboles!$G$6:$G$101,MOD(2+$C31+(-2),$B$3)+1)*G31+INDEX(Symboles!$G$6:$G$101,MOD(2+$C31+(-1),$B$3)+1)*H31+INDEX(Symboles!$G$6:$G$101,MOD(2+$C31+(0),$B$3)+1)*I31+INDEX(Symboles!$G$6:$G$101,MOD(2+$C31+(1),$B$3)+1)*J31+INDEX(Symboles!$G$6:$G$101,MOD(2+$C31+(2),$B$3)+1)*K31+INDEX(Symboles!$G$6:$G$101,MOD(2+$C31+(3),$B$3)+1)*L31+INDEX(Symboles!$G$6:$G$101,MOD(2+$C31+(4),$B$3)+1)*M31+IF($B$6=0,0,$B$6*NORMSINV(0.000001+0.999998*RAND())))</f>
        <v/>
      </c>
      <c r="S31" s="30">
        <f>IF(4&gt;$B$3,99,INDEX(Symboles!$G$6:$G$101,MOD(3+$C31+(-4),$B$3)+1)*E31+INDEX(Symboles!$G$6:$G$101,MOD(3+$C31+(-3),$B$3)+1)*F31+INDEX(Symboles!$G$6:$G$101,MOD(3+$C31+(-2),$B$3)+1)*G31+INDEX(Symboles!$G$6:$G$101,MOD(3+$C31+(-1),$B$3)+1)*H31+INDEX(Symboles!$G$6:$G$101,MOD(3+$C31+(0),$B$3)+1)*I31+INDEX(Symboles!$G$6:$G$101,MOD(3+$C31+(1),$B$3)+1)*J31+INDEX(Symboles!$G$6:$G$101,MOD(3+$C31+(2),$B$3)+1)*K31+INDEX(Symboles!$G$6:$G$101,MOD(3+$C31+(3),$B$3)+1)*L31+INDEX(Symboles!$G$6:$G$101,MOD(3+$C31+(4),$B$3)+1)*M31+IF($B$6=0,0,$B$6*NORMSINV(0.000001+0.999998*RAND())))</f>
        <v/>
      </c>
      <c r="T31" s="30">
        <f>IF(5&gt;$B$3,99,INDEX(Symboles!$G$6:$G$101,MOD(4+$C31+(-4),$B$3)+1)*E31+INDEX(Symboles!$G$6:$G$101,MOD(4+$C31+(-3),$B$3)+1)*F31+INDEX(Symboles!$G$6:$G$101,MOD(4+$C31+(-2),$B$3)+1)*G31+INDEX(Symboles!$G$6:$G$101,MOD(4+$C31+(-1),$B$3)+1)*H31+INDEX(Symboles!$G$6:$G$101,MOD(4+$C31+(0),$B$3)+1)*I31+INDEX(Symboles!$G$6:$G$101,MOD(4+$C31+(1),$B$3)+1)*J31+INDEX(Symboles!$G$6:$G$101,MOD(4+$C31+(2),$B$3)+1)*K31+INDEX(Symboles!$G$6:$G$101,MOD(4+$C31+(3),$B$3)+1)*L31+INDEX(Symboles!$G$6:$G$101,MOD(4+$C31+(4),$B$3)+1)*M31+IF($B$6=0,0,$B$6*NORMSINV(0.000001+0.999998*RAND())))</f>
        <v/>
      </c>
      <c r="U31" s="30">
        <f>IF(6&gt;$B$3,99,INDEX(Symboles!$G$6:$G$101,MOD(5+$C31+(-4),$B$3)+1)*E31+INDEX(Symboles!$G$6:$G$101,MOD(5+$C31+(-3),$B$3)+1)*F31+INDEX(Symboles!$G$6:$G$101,MOD(5+$C31+(-2),$B$3)+1)*G31+INDEX(Symboles!$G$6:$G$101,MOD(5+$C31+(-1),$B$3)+1)*H31+INDEX(Symboles!$G$6:$G$101,MOD(5+$C31+(0),$B$3)+1)*I31+INDEX(Symboles!$G$6:$G$101,MOD(5+$C31+(1),$B$3)+1)*J31+INDEX(Symboles!$G$6:$G$101,MOD(5+$C31+(2),$B$3)+1)*K31+INDEX(Symboles!$G$6:$G$101,MOD(5+$C31+(3),$B$3)+1)*L31+INDEX(Symboles!$G$6:$G$101,MOD(5+$C31+(4),$B$3)+1)*M31+IF($B$6=0,0,$B$6*NORMSINV(0.000001+0.999998*RAND())))</f>
        <v/>
      </c>
      <c r="V31" s="30">
        <f>IF(7&gt;$B$3,99,INDEX(Symboles!$G$6:$G$101,MOD(6+$C31+(-4),$B$3)+1)*E31+INDEX(Symboles!$G$6:$G$101,MOD(6+$C31+(-3),$B$3)+1)*F31+INDEX(Symboles!$G$6:$G$101,MOD(6+$C31+(-2),$B$3)+1)*G31+INDEX(Symboles!$G$6:$G$101,MOD(6+$C31+(-1),$B$3)+1)*H31+INDEX(Symboles!$G$6:$G$101,MOD(6+$C31+(0),$B$3)+1)*I31+INDEX(Symboles!$G$6:$G$101,MOD(6+$C31+(1),$B$3)+1)*J31+INDEX(Symboles!$G$6:$G$101,MOD(6+$C31+(2),$B$3)+1)*K31+INDEX(Symboles!$G$6:$G$101,MOD(6+$C31+(3),$B$3)+1)*L31+INDEX(Symboles!$G$6:$G$101,MOD(6+$C31+(4),$B$3)+1)*M31+IF($B$6=0,0,$B$6*NORMSINV(0.000001+0.999998*RAND())))</f>
        <v/>
      </c>
      <c r="W31" s="30">
        <f>IF(8&gt;$B$3,99,INDEX(Symboles!$G$6:$G$101,MOD(7+$C31+(-4),$B$3)+1)*E31+INDEX(Symboles!$G$6:$G$101,MOD(7+$C31+(-3),$B$3)+1)*F31+INDEX(Symboles!$G$6:$G$101,MOD(7+$C31+(-2),$B$3)+1)*G31+INDEX(Symboles!$G$6:$G$101,MOD(7+$C31+(-1),$B$3)+1)*H31+INDEX(Symboles!$G$6:$G$101,MOD(7+$C31+(0),$B$3)+1)*I31+INDEX(Symboles!$G$6:$G$101,MOD(7+$C31+(1),$B$3)+1)*J31+INDEX(Symboles!$G$6:$G$101,MOD(7+$C31+(2),$B$3)+1)*K31+INDEX(Symboles!$G$6:$G$101,MOD(7+$C31+(3),$B$3)+1)*L31+INDEX(Symboles!$G$6:$G$101,MOD(7+$C31+(4),$B$3)+1)*M31+IF($B$6=0,0,$B$6*NORMSINV(0.000001+0.999998*RAND())))</f>
        <v/>
      </c>
      <c r="X31" s="30">
        <f>IF(9&gt;$B$3,99,INDEX(Symboles!$G$6:$G$101,MOD(8+$C31+(-4),$B$3)+1)*E31+INDEX(Symboles!$G$6:$G$101,MOD(8+$C31+(-3),$B$3)+1)*F31+INDEX(Symboles!$G$6:$G$101,MOD(8+$C31+(-2),$B$3)+1)*G31+INDEX(Symboles!$G$6:$G$101,MOD(8+$C31+(-1),$B$3)+1)*H31+INDEX(Symboles!$G$6:$G$101,MOD(8+$C31+(0),$B$3)+1)*I31+INDEX(Symboles!$G$6:$G$101,MOD(8+$C31+(1),$B$3)+1)*J31+INDEX(Symboles!$G$6:$G$101,MOD(8+$C31+(2),$B$3)+1)*K31+INDEX(Symboles!$G$6:$G$101,MOD(8+$C31+(3),$B$3)+1)*L31+INDEX(Symboles!$G$6:$G$101,MOD(8+$C31+(4),$B$3)+1)*M31+IF($B$6=0,0,$B$6*NORMSINV(0.000001+0.999998*RAND())))</f>
        <v/>
      </c>
      <c r="Y31" s="30">
        <f>IF(10&gt;$B$3,99,INDEX(Symboles!$G$6:$G$101,MOD(9+$C31+(-4),$B$3)+1)*E31+INDEX(Symboles!$G$6:$G$101,MOD(9+$C31+(-3),$B$3)+1)*F31+INDEX(Symboles!$G$6:$G$101,MOD(9+$C31+(-2),$B$3)+1)*G31+INDEX(Symboles!$G$6:$G$101,MOD(9+$C31+(-1),$B$3)+1)*H31+INDEX(Symboles!$G$6:$G$101,MOD(9+$C31+(0),$B$3)+1)*I31+INDEX(Symboles!$G$6:$G$101,MOD(9+$C31+(1),$B$3)+1)*J31+INDEX(Symboles!$G$6:$G$101,MOD(9+$C31+(2),$B$3)+1)*K31+INDEX(Symboles!$G$6:$G$101,MOD(9+$C31+(3),$B$3)+1)*L31+INDEX(Symboles!$G$6:$G$101,MOD(9+$C31+(4),$B$3)+1)*M31+IF($B$6=0,0,$B$6*NORMSINV(0.000001+0.999998*RAND())))</f>
        <v/>
      </c>
      <c r="Z31" s="30">
        <f>IF(11&gt;$B$3,99,INDEX(Symboles!$G$6:$G$101,MOD(10+$C31+(-4),$B$3)+1)*E31+INDEX(Symboles!$G$6:$G$101,MOD(10+$C31+(-3),$B$3)+1)*F31+INDEX(Symboles!$G$6:$G$101,MOD(10+$C31+(-2),$B$3)+1)*G31+INDEX(Symboles!$G$6:$G$101,MOD(10+$C31+(-1),$B$3)+1)*H31+INDEX(Symboles!$G$6:$G$101,MOD(10+$C31+(0),$B$3)+1)*I31+INDEX(Symboles!$G$6:$G$101,MOD(10+$C31+(1),$B$3)+1)*J31+INDEX(Symboles!$G$6:$G$101,MOD(10+$C31+(2),$B$3)+1)*K31+INDEX(Symboles!$G$6:$G$101,MOD(10+$C31+(3),$B$3)+1)*L31+INDEX(Symboles!$G$6:$G$101,MOD(10+$C31+(4),$B$3)+1)*M31+IF($B$6=0,0,$B$6*NORMSINV(0.000001+0.999998*RAND())))</f>
        <v/>
      </c>
      <c r="AA31" s="30">
        <f>IF(12&gt;$B$3,99,INDEX(Symboles!$G$6:$G$101,MOD(11+$C31+(-4),$B$3)+1)*E31+INDEX(Symboles!$G$6:$G$101,MOD(11+$C31+(-3),$B$3)+1)*F31+INDEX(Symboles!$G$6:$G$101,MOD(11+$C31+(-2),$B$3)+1)*G31+INDEX(Symboles!$G$6:$G$101,MOD(11+$C31+(-1),$B$3)+1)*H31+INDEX(Symboles!$G$6:$G$101,MOD(11+$C31+(0),$B$3)+1)*I31+INDEX(Symboles!$G$6:$G$101,MOD(11+$C31+(1),$B$3)+1)*J31+INDEX(Symboles!$G$6:$G$101,MOD(11+$C31+(2),$B$3)+1)*K31+INDEX(Symboles!$G$6:$G$101,MOD(11+$C31+(3),$B$3)+1)*L31+INDEX(Symboles!$G$6:$G$101,MOD(11+$C31+(4),$B$3)+1)*M31+IF($B$6=0,0,$B$6*NORMSINV(0.000001+0.999998*RAND())))</f>
        <v/>
      </c>
      <c r="AB31" s="30">
        <f>IF(13&gt;$B$3,99,INDEX(Symboles!$G$6:$G$101,MOD(12+$C31+(-4),$B$3)+1)*E31+INDEX(Symboles!$G$6:$G$101,MOD(12+$C31+(-3),$B$3)+1)*F31+INDEX(Symboles!$G$6:$G$101,MOD(12+$C31+(-2),$B$3)+1)*G31+INDEX(Symboles!$G$6:$G$101,MOD(12+$C31+(-1),$B$3)+1)*H31+INDEX(Symboles!$G$6:$G$101,MOD(12+$C31+(0),$B$3)+1)*I31+INDEX(Symboles!$G$6:$G$101,MOD(12+$C31+(1),$B$3)+1)*J31+INDEX(Symboles!$G$6:$G$101,MOD(12+$C31+(2),$B$3)+1)*K31+INDEX(Symboles!$G$6:$G$101,MOD(12+$C31+(3),$B$3)+1)*L31+INDEX(Symboles!$G$6:$G$101,MOD(12+$C31+(4),$B$3)+1)*M31+IF($B$6=0,0,$B$6*NORMSINV(0.000001+0.999998*RAND())))</f>
        <v/>
      </c>
      <c r="AC31" s="30">
        <f>IF(14&gt;$B$3,99,INDEX(Symboles!$G$6:$G$101,MOD(13+$C31+(-4),$B$3)+1)*E31+INDEX(Symboles!$G$6:$G$101,MOD(13+$C31+(-3),$B$3)+1)*F31+INDEX(Symboles!$G$6:$G$101,MOD(13+$C31+(-2),$B$3)+1)*G31+INDEX(Symboles!$G$6:$G$101,MOD(13+$C31+(-1),$B$3)+1)*H31+INDEX(Symboles!$G$6:$G$101,MOD(13+$C31+(0),$B$3)+1)*I31+INDEX(Symboles!$G$6:$G$101,MOD(13+$C31+(1),$B$3)+1)*J31+INDEX(Symboles!$G$6:$G$101,MOD(13+$C31+(2),$B$3)+1)*K31+INDEX(Symboles!$G$6:$G$101,MOD(13+$C31+(3),$B$3)+1)*L31+INDEX(Symboles!$G$6:$G$101,MOD(13+$C31+(4),$B$3)+1)*M31+IF($B$6=0,0,$B$6*NORMSINV(0.000001+0.999998*RAND())))</f>
        <v/>
      </c>
      <c r="AD31" s="30">
        <f>IF(15&gt;$B$3,99,INDEX(Symboles!$G$6:$G$101,MOD(14+$C31+(-4),$B$3)+1)*E31+INDEX(Symboles!$G$6:$G$101,MOD(14+$C31+(-3),$B$3)+1)*F31+INDEX(Symboles!$G$6:$G$101,MOD(14+$C31+(-2),$B$3)+1)*G31+INDEX(Symboles!$G$6:$G$101,MOD(14+$C31+(-1),$B$3)+1)*H31+INDEX(Symboles!$G$6:$G$101,MOD(14+$C31+(0),$B$3)+1)*I31+INDEX(Symboles!$G$6:$G$101,MOD(14+$C31+(1),$B$3)+1)*J31+INDEX(Symboles!$G$6:$G$101,MOD(14+$C31+(2),$B$3)+1)*K31+INDEX(Symboles!$G$6:$G$101,MOD(14+$C31+(3),$B$3)+1)*L31+INDEX(Symboles!$G$6:$G$101,MOD(14+$C31+(4),$B$3)+1)*M31+IF($B$6=0,0,$B$6*NORMSINV(0.000001+0.999998*RAND())))</f>
        <v/>
      </c>
      <c r="AE31" s="30">
        <f>IF(16&gt;$B$3,99,INDEX(Symboles!$G$6:$G$101,MOD(15+$C31+(-4),$B$3)+1)*E31+INDEX(Symboles!$G$6:$G$101,MOD(15+$C31+(-3),$B$3)+1)*F31+INDEX(Symboles!$G$6:$G$101,MOD(15+$C31+(-2),$B$3)+1)*G31+INDEX(Symboles!$G$6:$G$101,MOD(15+$C31+(-1),$B$3)+1)*H31+INDEX(Symboles!$G$6:$G$101,MOD(15+$C31+(0),$B$3)+1)*I31+INDEX(Symboles!$G$6:$G$101,MOD(15+$C31+(1),$B$3)+1)*J31+INDEX(Symboles!$G$6:$G$101,MOD(15+$C31+(2),$B$3)+1)*K31+INDEX(Symboles!$G$6:$G$101,MOD(15+$C31+(3),$B$3)+1)*L31+INDEX(Symboles!$G$6:$G$101,MOD(15+$C31+(4),$B$3)+1)*M31+IF($B$6=0,0,$B$6*NORMSINV(0.000001+0.999998*RAND())))</f>
        <v/>
      </c>
      <c r="AF31" s="30">
        <f>IF(17&gt;$B$3,99,INDEX(Symboles!$G$6:$G$101,MOD(16+$C31+(-4),$B$3)+1)*E31+INDEX(Symboles!$G$6:$G$101,MOD(16+$C31+(-3),$B$3)+1)*F31+INDEX(Symboles!$G$6:$G$101,MOD(16+$C31+(-2),$B$3)+1)*G31+INDEX(Symboles!$G$6:$G$101,MOD(16+$C31+(-1),$B$3)+1)*H31+INDEX(Symboles!$G$6:$G$101,MOD(16+$C31+(0),$B$3)+1)*I31+INDEX(Symboles!$G$6:$G$101,MOD(16+$C31+(1),$B$3)+1)*J31+INDEX(Symboles!$G$6:$G$101,MOD(16+$C31+(2),$B$3)+1)*K31+INDEX(Symboles!$G$6:$G$101,MOD(16+$C31+(3),$B$3)+1)*L31+INDEX(Symboles!$G$6:$G$101,MOD(16+$C31+(4),$B$3)+1)*M31+IF($B$6=0,0,$B$6*NORMSINV(0.000001+0.999998*RAND())))</f>
        <v/>
      </c>
      <c r="AG31" s="30">
        <f>IF(18&gt;$B$3,99,INDEX(Symboles!$G$6:$G$101,MOD(17+$C31+(-4),$B$3)+1)*E31+INDEX(Symboles!$G$6:$G$101,MOD(17+$C31+(-3),$B$3)+1)*F31+INDEX(Symboles!$G$6:$G$101,MOD(17+$C31+(-2),$B$3)+1)*G31+INDEX(Symboles!$G$6:$G$101,MOD(17+$C31+(-1),$B$3)+1)*H31+INDEX(Symboles!$G$6:$G$101,MOD(17+$C31+(0),$B$3)+1)*I31+INDEX(Symboles!$G$6:$G$101,MOD(17+$C31+(1),$B$3)+1)*J31+INDEX(Symboles!$G$6:$G$101,MOD(17+$C31+(2),$B$3)+1)*K31+INDEX(Symboles!$G$6:$G$101,MOD(17+$C31+(3),$B$3)+1)*L31+INDEX(Symboles!$G$6:$G$101,MOD(17+$C31+(4),$B$3)+1)*M31+IF($B$6=0,0,$B$6*NORMSINV(0.000001+0.999998*RAND())))</f>
        <v/>
      </c>
      <c r="AH31" s="30">
        <f>IF(19&gt;$B$3,99,INDEX(Symboles!$G$6:$G$101,MOD(18+$C31+(-4),$B$3)+1)*E31+INDEX(Symboles!$G$6:$G$101,MOD(18+$C31+(-3),$B$3)+1)*F31+INDEX(Symboles!$G$6:$G$101,MOD(18+$C31+(-2),$B$3)+1)*G31+INDEX(Symboles!$G$6:$G$101,MOD(18+$C31+(-1),$B$3)+1)*H31+INDEX(Symboles!$G$6:$G$101,MOD(18+$C31+(0),$B$3)+1)*I31+INDEX(Symboles!$G$6:$G$101,MOD(18+$C31+(1),$B$3)+1)*J31+INDEX(Symboles!$G$6:$G$101,MOD(18+$C31+(2),$B$3)+1)*K31+INDEX(Symboles!$G$6:$G$101,MOD(18+$C31+(3),$B$3)+1)*L31+INDEX(Symboles!$G$6:$G$101,MOD(18+$C31+(4),$B$3)+1)*M31+IF($B$6=0,0,$B$6*NORMSINV(0.000001+0.999998*RAND())))</f>
        <v/>
      </c>
      <c r="AI31" s="30">
        <f>IF(20&gt;$B$3,99,INDEX(Symboles!$G$6:$G$101,MOD(19+$C31+(-4),$B$3)+1)*E31+INDEX(Symboles!$G$6:$G$101,MOD(19+$C31+(-3),$B$3)+1)*F31+INDEX(Symboles!$G$6:$G$101,MOD(19+$C31+(-2),$B$3)+1)*G31+INDEX(Symboles!$G$6:$G$101,MOD(19+$C31+(-1),$B$3)+1)*H31+INDEX(Symboles!$G$6:$G$101,MOD(19+$C31+(0),$B$3)+1)*I31+INDEX(Symboles!$G$6:$G$101,MOD(19+$C31+(1),$B$3)+1)*J31+INDEX(Symboles!$G$6:$G$101,MOD(19+$C31+(2),$B$3)+1)*K31+INDEX(Symboles!$G$6:$G$101,MOD(19+$C31+(3),$B$3)+1)*L31+INDEX(Symboles!$G$6:$G$101,MOD(19+$C31+(4),$B$3)+1)*M31+IF($B$6=0,0,$B$6*NORMSINV(0.000001+0.999998*RAND())))</f>
        <v/>
      </c>
      <c r="AJ31" s="30">
        <f>IF(21&gt;$B$3,99,INDEX(Symboles!$G$6:$G$101,MOD(20+$C31+(-4),$B$3)+1)*E31+INDEX(Symboles!$G$6:$G$101,MOD(20+$C31+(-3),$B$3)+1)*F31+INDEX(Symboles!$G$6:$G$101,MOD(20+$C31+(-2),$B$3)+1)*G31+INDEX(Symboles!$G$6:$G$101,MOD(20+$C31+(-1),$B$3)+1)*H31+INDEX(Symboles!$G$6:$G$101,MOD(20+$C31+(0),$B$3)+1)*I31+INDEX(Symboles!$G$6:$G$101,MOD(20+$C31+(1),$B$3)+1)*J31+INDEX(Symboles!$G$6:$G$101,MOD(20+$C31+(2),$B$3)+1)*K31+INDEX(Symboles!$G$6:$G$101,MOD(20+$C31+(3),$B$3)+1)*L31+INDEX(Symboles!$G$6:$G$101,MOD(20+$C31+(4),$B$3)+1)*M31+IF($B$6=0,0,$B$6*NORMSINV(0.000001+0.999998*RAND())))</f>
        <v/>
      </c>
      <c r="AK31" s="30">
        <f>IF(22&gt;$B$3,99,INDEX(Symboles!$G$6:$G$101,MOD(21+$C31+(-4),$B$3)+1)*E31+INDEX(Symboles!$G$6:$G$101,MOD(21+$C31+(-3),$B$3)+1)*F31+INDEX(Symboles!$G$6:$G$101,MOD(21+$C31+(-2),$B$3)+1)*G31+INDEX(Symboles!$G$6:$G$101,MOD(21+$C31+(-1),$B$3)+1)*H31+INDEX(Symboles!$G$6:$G$101,MOD(21+$C31+(0),$B$3)+1)*I31+INDEX(Symboles!$G$6:$G$101,MOD(21+$C31+(1),$B$3)+1)*J31+INDEX(Symboles!$G$6:$G$101,MOD(21+$C31+(2),$B$3)+1)*K31+INDEX(Symboles!$G$6:$G$101,MOD(21+$C31+(3),$B$3)+1)*L31+INDEX(Symboles!$G$6:$G$101,MOD(21+$C31+(4),$B$3)+1)*M31+IF($B$6=0,0,$B$6*NORMSINV(0.000001+0.999998*RAND())))</f>
        <v/>
      </c>
      <c r="AL31" s="30">
        <f>IF(23&gt;$B$3,99,INDEX(Symboles!$G$6:$G$101,MOD(22+$C31+(-4),$B$3)+1)*E31+INDEX(Symboles!$G$6:$G$101,MOD(22+$C31+(-3),$B$3)+1)*F31+INDEX(Symboles!$G$6:$G$101,MOD(22+$C31+(-2),$B$3)+1)*G31+INDEX(Symboles!$G$6:$G$101,MOD(22+$C31+(-1),$B$3)+1)*H31+INDEX(Symboles!$G$6:$G$101,MOD(22+$C31+(0),$B$3)+1)*I31+INDEX(Symboles!$G$6:$G$101,MOD(22+$C31+(1),$B$3)+1)*J31+INDEX(Symboles!$G$6:$G$101,MOD(22+$C31+(2),$B$3)+1)*K31+INDEX(Symboles!$G$6:$G$101,MOD(22+$C31+(3),$B$3)+1)*L31+INDEX(Symboles!$G$6:$G$101,MOD(22+$C31+(4),$B$3)+1)*M31+IF($B$6=0,0,$B$6*NORMSINV(0.000001+0.999998*RAND())))</f>
        <v/>
      </c>
      <c r="AM31" s="30">
        <f>IF(24&gt;$B$3,99,INDEX(Symboles!$G$6:$G$101,MOD(23+$C31+(-4),$B$3)+1)*E31+INDEX(Symboles!$G$6:$G$101,MOD(23+$C31+(-3),$B$3)+1)*F31+INDEX(Symboles!$G$6:$G$101,MOD(23+$C31+(-2),$B$3)+1)*G31+INDEX(Symboles!$G$6:$G$101,MOD(23+$C31+(-1),$B$3)+1)*H31+INDEX(Symboles!$G$6:$G$101,MOD(23+$C31+(0),$B$3)+1)*I31+INDEX(Symboles!$G$6:$G$101,MOD(23+$C31+(1),$B$3)+1)*J31+INDEX(Symboles!$G$6:$G$101,MOD(23+$C31+(2),$B$3)+1)*K31+INDEX(Symboles!$G$6:$G$101,MOD(23+$C31+(3),$B$3)+1)*L31+INDEX(Symboles!$G$6:$G$101,MOD(23+$C31+(4),$B$3)+1)*M31+IF($B$6=0,0,$B$6*NORMSINV(0.000001+0.999998*RAND())))</f>
        <v/>
      </c>
      <c r="AN31" s="30">
        <f>IF(25&gt;$B$3,99,INDEX(Symboles!$G$6:$G$101,MOD(24+$C31+(-4),$B$3)+1)*E31+INDEX(Symboles!$G$6:$G$101,MOD(24+$C31+(-3),$B$3)+1)*F31+INDEX(Symboles!$G$6:$G$101,MOD(24+$C31+(-2),$B$3)+1)*G31+INDEX(Symboles!$G$6:$G$101,MOD(24+$C31+(-1),$B$3)+1)*H31+INDEX(Symboles!$G$6:$G$101,MOD(24+$C31+(0),$B$3)+1)*I31+INDEX(Symboles!$G$6:$G$101,MOD(24+$C31+(1),$B$3)+1)*J31+INDEX(Symboles!$G$6:$G$101,MOD(24+$C31+(2),$B$3)+1)*K31+INDEX(Symboles!$G$6:$G$101,MOD(24+$C31+(3),$B$3)+1)*L31+INDEX(Symboles!$G$6:$G$101,MOD(24+$C31+(4),$B$3)+1)*M31+IF($B$6=0,0,$B$6*NORMSINV(0.000001+0.999998*RAND())))</f>
        <v/>
      </c>
      <c r="AO31" s="30">
        <f>IF(26&gt;$B$3,99,INDEX(Symboles!$G$6:$G$101,MOD(25+$C31+(-4),$B$3)+1)*E31+INDEX(Symboles!$G$6:$G$101,MOD(25+$C31+(-3),$B$3)+1)*F31+INDEX(Symboles!$G$6:$G$101,MOD(25+$C31+(-2),$B$3)+1)*G31+INDEX(Symboles!$G$6:$G$101,MOD(25+$C31+(-1),$B$3)+1)*H31+INDEX(Symboles!$G$6:$G$101,MOD(25+$C31+(0),$B$3)+1)*I31+INDEX(Symboles!$G$6:$G$101,MOD(25+$C31+(1),$B$3)+1)*J31+INDEX(Symboles!$G$6:$G$101,MOD(25+$C31+(2),$B$3)+1)*K31+INDEX(Symboles!$G$6:$G$101,MOD(25+$C31+(3),$B$3)+1)*L31+INDEX(Symboles!$G$6:$G$101,MOD(25+$C31+(4),$B$3)+1)*M31+IF($B$6=0,0,$B$6*NORMSINV(0.000001+0.999998*RAND())))</f>
        <v/>
      </c>
      <c r="AP31" s="30">
        <f>IF(27&gt;$B$3,99,INDEX(Symboles!$G$6:$G$101,MOD(26+$C31+(-4),$B$3)+1)*E31+INDEX(Symboles!$G$6:$G$101,MOD(26+$C31+(-3),$B$3)+1)*F31+INDEX(Symboles!$G$6:$G$101,MOD(26+$C31+(-2),$B$3)+1)*G31+INDEX(Symboles!$G$6:$G$101,MOD(26+$C31+(-1),$B$3)+1)*H31+INDEX(Symboles!$G$6:$G$101,MOD(26+$C31+(0),$B$3)+1)*I31+INDEX(Symboles!$G$6:$G$101,MOD(26+$C31+(1),$B$3)+1)*J31+INDEX(Symboles!$G$6:$G$101,MOD(26+$C31+(2),$B$3)+1)*K31+INDEX(Symboles!$G$6:$G$101,MOD(26+$C31+(3),$B$3)+1)*L31+INDEX(Symboles!$G$6:$G$101,MOD(26+$C31+(4),$B$3)+1)*M31+IF($B$6=0,0,$B$6*NORMSINV(0.000001+0.999998*RAND())))</f>
        <v/>
      </c>
      <c r="AQ31" s="30">
        <f>IF(28&gt;$B$3,99,INDEX(Symboles!$G$6:$G$101,MOD(27+$C31+(-4),$B$3)+1)*E31+INDEX(Symboles!$G$6:$G$101,MOD(27+$C31+(-3),$B$3)+1)*F31+INDEX(Symboles!$G$6:$G$101,MOD(27+$C31+(-2),$B$3)+1)*G31+INDEX(Symboles!$G$6:$G$101,MOD(27+$C31+(-1),$B$3)+1)*H31+INDEX(Symboles!$G$6:$G$101,MOD(27+$C31+(0),$B$3)+1)*I31+INDEX(Symboles!$G$6:$G$101,MOD(27+$C31+(1),$B$3)+1)*J31+INDEX(Symboles!$G$6:$G$101,MOD(27+$C31+(2),$B$3)+1)*K31+INDEX(Symboles!$G$6:$G$101,MOD(27+$C31+(3),$B$3)+1)*L31+INDEX(Symboles!$G$6:$G$101,MOD(27+$C31+(4),$B$3)+1)*M31+IF($B$6=0,0,$B$6*NORMSINV(0.000001+0.999998*RAND())))</f>
        <v/>
      </c>
      <c r="AR31" s="30">
        <f>IF(29&gt;$B$3,99,INDEX(Symboles!$G$6:$G$101,MOD(28+$C31+(-4),$B$3)+1)*E31+INDEX(Symboles!$G$6:$G$101,MOD(28+$C31+(-3),$B$3)+1)*F31+INDEX(Symboles!$G$6:$G$101,MOD(28+$C31+(-2),$B$3)+1)*G31+INDEX(Symboles!$G$6:$G$101,MOD(28+$C31+(-1),$B$3)+1)*H31+INDEX(Symboles!$G$6:$G$101,MOD(28+$C31+(0),$B$3)+1)*I31+INDEX(Symboles!$G$6:$G$101,MOD(28+$C31+(1),$B$3)+1)*J31+INDEX(Symboles!$G$6:$G$101,MOD(28+$C31+(2),$B$3)+1)*K31+INDEX(Symboles!$G$6:$G$101,MOD(28+$C31+(3),$B$3)+1)*L31+INDEX(Symboles!$G$6:$G$101,MOD(28+$C31+(4),$B$3)+1)*M31+IF($B$6=0,0,$B$6*NORMSINV(0.000001+0.999998*RAND())))</f>
        <v/>
      </c>
      <c r="AS31" s="30">
        <f>IF(30&gt;$B$3,99,INDEX(Symboles!$G$6:$G$101,MOD(29+$C31+(-4),$B$3)+1)*E31+INDEX(Symboles!$G$6:$G$101,MOD(29+$C31+(-3),$B$3)+1)*F31+INDEX(Symboles!$G$6:$G$101,MOD(29+$C31+(-2),$B$3)+1)*G31+INDEX(Symboles!$G$6:$G$101,MOD(29+$C31+(-1),$B$3)+1)*H31+INDEX(Symboles!$G$6:$G$101,MOD(29+$C31+(0),$B$3)+1)*I31+INDEX(Symboles!$G$6:$G$101,MOD(29+$C31+(1),$B$3)+1)*J31+INDEX(Symboles!$G$6:$G$101,MOD(29+$C31+(2),$B$3)+1)*K31+INDEX(Symboles!$G$6:$G$101,MOD(29+$C31+(3),$B$3)+1)*L31+INDEX(Symboles!$G$6:$G$101,MOD(29+$C31+(4),$B$3)+1)*M31+IF($B$6=0,0,$B$6*NORMSINV(0.000001+0.999998*RAND())))</f>
        <v/>
      </c>
      <c r="AT31" s="30">
        <f>IF(31&gt;$B$3,99,INDEX(Symboles!$G$6:$G$101,MOD(30+$C31+(-4),$B$3)+1)*E31+INDEX(Symboles!$G$6:$G$101,MOD(30+$C31+(-3),$B$3)+1)*F31+INDEX(Symboles!$G$6:$G$101,MOD(30+$C31+(-2),$B$3)+1)*G31+INDEX(Symboles!$G$6:$G$101,MOD(30+$C31+(-1),$B$3)+1)*H31+INDEX(Symboles!$G$6:$G$101,MOD(30+$C31+(0),$B$3)+1)*I31+INDEX(Symboles!$G$6:$G$101,MOD(30+$C31+(1),$B$3)+1)*J31+INDEX(Symboles!$G$6:$G$101,MOD(30+$C31+(2),$B$3)+1)*K31+INDEX(Symboles!$G$6:$G$101,MOD(30+$C31+(3),$B$3)+1)*L31+INDEX(Symboles!$G$6:$G$101,MOD(30+$C31+(4),$B$3)+1)*M31+IF($B$6=0,0,$B$6*NORMSINV(0.000001+0.999998*RAND())))</f>
        <v/>
      </c>
      <c r="AU31" s="30">
        <f>IF(32&gt;$B$3,99,INDEX(Symboles!$G$6:$G$101,MOD(31+$C31+(-4),$B$3)+1)*E31+INDEX(Symboles!$G$6:$G$101,MOD(31+$C31+(-3),$B$3)+1)*F31+INDEX(Symboles!$G$6:$G$101,MOD(31+$C31+(-2),$B$3)+1)*G31+INDEX(Symboles!$G$6:$G$101,MOD(31+$C31+(-1),$B$3)+1)*H31+INDEX(Symboles!$G$6:$G$101,MOD(31+$C31+(0),$B$3)+1)*I31+INDEX(Symboles!$G$6:$G$101,MOD(31+$C31+(1),$B$3)+1)*J31+INDEX(Symboles!$G$6:$G$101,MOD(31+$C31+(2),$B$3)+1)*K31+INDEX(Symboles!$G$6:$G$101,MOD(31+$C31+(3),$B$3)+1)*L31+INDEX(Symboles!$G$6:$G$101,MOD(31+$C31+(4),$B$3)+1)*M31+IF($B$6=0,0,$B$6*NORMSINV(0.000001+0.999998*RAND())))</f>
        <v/>
      </c>
      <c r="AV31" s="30">
        <f>IF(33&gt;$B$3,99,INDEX(Symboles!$G$6:$G$101,MOD(32+$C31+(-4),$B$3)+1)*E31+INDEX(Symboles!$G$6:$G$101,MOD(32+$C31+(-3),$B$3)+1)*F31+INDEX(Symboles!$G$6:$G$101,MOD(32+$C31+(-2),$B$3)+1)*G31+INDEX(Symboles!$G$6:$G$101,MOD(32+$C31+(-1),$B$3)+1)*H31+INDEX(Symboles!$G$6:$G$101,MOD(32+$C31+(0),$B$3)+1)*I31+INDEX(Symboles!$G$6:$G$101,MOD(32+$C31+(1),$B$3)+1)*J31+INDEX(Symboles!$G$6:$G$101,MOD(32+$C31+(2),$B$3)+1)*K31+INDEX(Symboles!$G$6:$G$101,MOD(32+$C31+(3),$B$3)+1)*L31+INDEX(Symboles!$G$6:$G$101,MOD(32+$C31+(4),$B$3)+1)*M31+IF($B$6=0,0,$B$6*NORMSINV(0.000001+0.999998*RAND())))</f>
        <v/>
      </c>
      <c r="AW31" s="30">
        <f>IF(34&gt;$B$3,99,INDEX(Symboles!$G$6:$G$101,MOD(33+$C31+(-4),$B$3)+1)*E31+INDEX(Symboles!$G$6:$G$101,MOD(33+$C31+(-3),$B$3)+1)*F31+INDEX(Symboles!$G$6:$G$101,MOD(33+$C31+(-2),$B$3)+1)*G31+INDEX(Symboles!$G$6:$G$101,MOD(33+$C31+(-1),$B$3)+1)*H31+INDEX(Symboles!$G$6:$G$101,MOD(33+$C31+(0),$B$3)+1)*I31+INDEX(Symboles!$G$6:$G$101,MOD(33+$C31+(1),$B$3)+1)*J31+INDEX(Symboles!$G$6:$G$101,MOD(33+$C31+(2),$B$3)+1)*K31+INDEX(Symboles!$G$6:$G$101,MOD(33+$C31+(3),$B$3)+1)*L31+INDEX(Symboles!$G$6:$G$101,MOD(33+$C31+(4),$B$3)+1)*M31+IF($B$6=0,0,$B$6*NORMSINV(0.000001+0.999998*RAND())))</f>
        <v/>
      </c>
      <c r="AX31" s="30">
        <f>IF(35&gt;$B$3,99,INDEX(Symboles!$G$6:$G$101,MOD(34+$C31+(-4),$B$3)+1)*E31+INDEX(Symboles!$G$6:$G$101,MOD(34+$C31+(-3),$B$3)+1)*F31+INDEX(Symboles!$G$6:$G$101,MOD(34+$C31+(-2),$B$3)+1)*G31+INDEX(Symboles!$G$6:$G$101,MOD(34+$C31+(-1),$B$3)+1)*H31+INDEX(Symboles!$G$6:$G$101,MOD(34+$C31+(0),$B$3)+1)*I31+INDEX(Symboles!$G$6:$G$101,MOD(34+$C31+(1),$B$3)+1)*J31+INDEX(Symboles!$G$6:$G$101,MOD(34+$C31+(2),$B$3)+1)*K31+INDEX(Symboles!$G$6:$G$101,MOD(34+$C31+(3),$B$3)+1)*L31+INDEX(Symboles!$G$6:$G$101,MOD(34+$C31+(4),$B$3)+1)*M31+IF($B$6=0,0,$B$6*NORMSINV(0.000001+0.999998*RAND())))</f>
        <v/>
      </c>
      <c r="AY31" s="30">
        <f>IF(36&gt;$B$3,99,INDEX(Symboles!$G$6:$G$101,MOD(35+$C31+(-4),$B$3)+1)*E31+INDEX(Symboles!$G$6:$G$101,MOD(35+$C31+(-3),$B$3)+1)*F31+INDEX(Symboles!$G$6:$G$101,MOD(35+$C31+(-2),$B$3)+1)*G31+INDEX(Symboles!$G$6:$G$101,MOD(35+$C31+(-1),$B$3)+1)*H31+INDEX(Symboles!$G$6:$G$101,MOD(35+$C31+(0),$B$3)+1)*I31+INDEX(Symboles!$G$6:$G$101,MOD(35+$C31+(1),$B$3)+1)*J31+INDEX(Symboles!$G$6:$G$101,MOD(35+$C31+(2),$B$3)+1)*K31+INDEX(Symboles!$G$6:$G$101,MOD(35+$C31+(3),$B$3)+1)*L31+INDEX(Symboles!$G$6:$G$101,MOD(35+$C31+(4),$B$3)+1)*M31+IF($B$6=0,0,$B$6*NORMSINV(0.000001+0.999998*RAND())))</f>
        <v/>
      </c>
      <c r="AZ31" s="30">
        <f>IF(37&gt;$B$3,99,INDEX(Symboles!$G$6:$G$101,MOD(36+$C31+(-4),$B$3)+1)*E31+INDEX(Symboles!$G$6:$G$101,MOD(36+$C31+(-3),$B$3)+1)*F31+INDEX(Symboles!$G$6:$G$101,MOD(36+$C31+(-2),$B$3)+1)*G31+INDEX(Symboles!$G$6:$G$101,MOD(36+$C31+(-1),$B$3)+1)*H31+INDEX(Symboles!$G$6:$G$101,MOD(36+$C31+(0),$B$3)+1)*I31+INDEX(Symboles!$G$6:$G$101,MOD(36+$C31+(1),$B$3)+1)*J31+INDEX(Symboles!$G$6:$G$101,MOD(36+$C31+(2),$B$3)+1)*K31+INDEX(Symboles!$G$6:$G$101,MOD(36+$C31+(3),$B$3)+1)*L31+INDEX(Symboles!$G$6:$G$101,MOD(36+$C31+(4),$B$3)+1)*M31+IF($B$6=0,0,$B$6*NORMSINV(0.000001+0.999998*RAND())))</f>
        <v/>
      </c>
      <c r="BA31" s="30">
        <f>IF(38&gt;$B$3,99,INDEX(Symboles!$G$6:$G$101,MOD(37+$C31+(-4),$B$3)+1)*E31+INDEX(Symboles!$G$6:$G$101,MOD(37+$C31+(-3),$B$3)+1)*F31+INDEX(Symboles!$G$6:$G$101,MOD(37+$C31+(-2),$B$3)+1)*G31+INDEX(Symboles!$G$6:$G$101,MOD(37+$C31+(-1),$B$3)+1)*H31+INDEX(Symboles!$G$6:$G$101,MOD(37+$C31+(0),$B$3)+1)*I31+INDEX(Symboles!$G$6:$G$101,MOD(37+$C31+(1),$B$3)+1)*J31+INDEX(Symboles!$G$6:$G$101,MOD(37+$C31+(2),$B$3)+1)*K31+INDEX(Symboles!$G$6:$G$101,MOD(37+$C31+(3),$B$3)+1)*L31+INDEX(Symboles!$G$6:$G$101,MOD(37+$C31+(4),$B$3)+1)*M31+IF($B$6=0,0,$B$6*NORMSINV(0.000001+0.999998*RAND())))</f>
        <v/>
      </c>
      <c r="BB31" s="30">
        <f>IF(39&gt;$B$3,99,INDEX(Symboles!$G$6:$G$101,MOD(38+$C31+(-4),$B$3)+1)*E31+INDEX(Symboles!$G$6:$G$101,MOD(38+$C31+(-3),$B$3)+1)*F31+INDEX(Symboles!$G$6:$G$101,MOD(38+$C31+(-2),$B$3)+1)*G31+INDEX(Symboles!$G$6:$G$101,MOD(38+$C31+(-1),$B$3)+1)*H31+INDEX(Symboles!$G$6:$G$101,MOD(38+$C31+(0),$B$3)+1)*I31+INDEX(Symboles!$G$6:$G$101,MOD(38+$C31+(1),$B$3)+1)*J31+INDEX(Symboles!$G$6:$G$101,MOD(38+$C31+(2),$B$3)+1)*K31+INDEX(Symboles!$G$6:$G$101,MOD(38+$C31+(3),$B$3)+1)*L31+INDEX(Symboles!$G$6:$G$101,MOD(38+$C31+(4),$B$3)+1)*M31+IF($B$6=0,0,$B$6*NORMSINV(0.000001+0.999998*RAND())))</f>
        <v/>
      </c>
      <c r="BC31" s="30">
        <f>IF(40&gt;$B$3,99,INDEX(Symboles!$G$6:$G$101,MOD(39+$C31+(-4),$B$3)+1)*E31+INDEX(Symboles!$G$6:$G$101,MOD(39+$C31+(-3),$B$3)+1)*F31+INDEX(Symboles!$G$6:$G$101,MOD(39+$C31+(-2),$B$3)+1)*G31+INDEX(Symboles!$G$6:$G$101,MOD(39+$C31+(-1),$B$3)+1)*H31+INDEX(Symboles!$G$6:$G$101,MOD(39+$C31+(0),$B$3)+1)*I31+INDEX(Symboles!$G$6:$G$101,MOD(39+$C31+(1),$B$3)+1)*J31+INDEX(Symboles!$G$6:$G$101,MOD(39+$C31+(2),$B$3)+1)*K31+INDEX(Symboles!$G$6:$G$101,MOD(39+$C31+(3),$B$3)+1)*L31+INDEX(Symboles!$G$6:$G$101,MOD(39+$C31+(4),$B$3)+1)*M31+IF($B$6=0,0,$B$6*NORMSINV(0.000001+0.999998*RAND())))</f>
        <v/>
      </c>
      <c r="BD31" s="30">
        <f>IF(41&gt;$B$3,99,INDEX(Symboles!$G$6:$G$101,MOD(40+$C31+(-4),$B$3)+1)*E31+INDEX(Symboles!$G$6:$G$101,MOD(40+$C31+(-3),$B$3)+1)*F31+INDEX(Symboles!$G$6:$G$101,MOD(40+$C31+(-2),$B$3)+1)*G31+INDEX(Symboles!$G$6:$G$101,MOD(40+$C31+(-1),$B$3)+1)*H31+INDEX(Symboles!$G$6:$G$101,MOD(40+$C31+(0),$B$3)+1)*I31+INDEX(Symboles!$G$6:$G$101,MOD(40+$C31+(1),$B$3)+1)*J31+INDEX(Symboles!$G$6:$G$101,MOD(40+$C31+(2),$B$3)+1)*K31+INDEX(Symboles!$G$6:$G$101,MOD(40+$C31+(3),$B$3)+1)*L31+INDEX(Symboles!$G$6:$G$101,MOD(40+$C31+(4),$B$3)+1)*M31+IF($B$6=0,0,$B$6*NORMSINV(0.000001+0.999998*RAND())))</f>
        <v/>
      </c>
      <c r="BE31" s="30">
        <f>IF(42&gt;$B$3,99,INDEX(Symboles!$G$6:$G$101,MOD(41+$C31+(-4),$B$3)+1)*E31+INDEX(Symboles!$G$6:$G$101,MOD(41+$C31+(-3),$B$3)+1)*F31+INDEX(Symboles!$G$6:$G$101,MOD(41+$C31+(-2),$B$3)+1)*G31+INDEX(Symboles!$G$6:$G$101,MOD(41+$C31+(-1),$B$3)+1)*H31+INDEX(Symboles!$G$6:$G$101,MOD(41+$C31+(0),$B$3)+1)*I31+INDEX(Symboles!$G$6:$G$101,MOD(41+$C31+(1),$B$3)+1)*J31+INDEX(Symboles!$G$6:$G$101,MOD(41+$C31+(2),$B$3)+1)*K31+INDEX(Symboles!$G$6:$G$101,MOD(41+$C31+(3),$B$3)+1)*L31+INDEX(Symboles!$G$6:$G$101,MOD(41+$C31+(4),$B$3)+1)*M31+IF($B$6=0,0,$B$6*NORMSINV(0.000001+0.999998*RAND())))</f>
        <v/>
      </c>
      <c r="BF31" s="30">
        <f>IF(43&gt;$B$3,99,INDEX(Symboles!$G$6:$G$101,MOD(42+$C31+(-4),$B$3)+1)*E31+INDEX(Symboles!$G$6:$G$101,MOD(42+$C31+(-3),$B$3)+1)*F31+INDEX(Symboles!$G$6:$G$101,MOD(42+$C31+(-2),$B$3)+1)*G31+INDEX(Symboles!$G$6:$G$101,MOD(42+$C31+(-1),$B$3)+1)*H31+INDEX(Symboles!$G$6:$G$101,MOD(42+$C31+(0),$B$3)+1)*I31+INDEX(Symboles!$G$6:$G$101,MOD(42+$C31+(1),$B$3)+1)*J31+INDEX(Symboles!$G$6:$G$101,MOD(42+$C31+(2),$B$3)+1)*K31+INDEX(Symboles!$G$6:$G$101,MOD(42+$C31+(3),$B$3)+1)*L31+INDEX(Symboles!$G$6:$G$101,MOD(42+$C31+(4),$B$3)+1)*M31+IF($B$6=0,0,$B$6*NORMSINV(0.000001+0.999998*RAND())))</f>
        <v/>
      </c>
      <c r="BG31" s="30">
        <f>IF(44&gt;$B$3,99,INDEX(Symboles!$G$6:$G$101,MOD(43+$C31+(-4),$B$3)+1)*E31+INDEX(Symboles!$G$6:$G$101,MOD(43+$C31+(-3),$B$3)+1)*F31+INDEX(Symboles!$G$6:$G$101,MOD(43+$C31+(-2),$B$3)+1)*G31+INDEX(Symboles!$G$6:$G$101,MOD(43+$C31+(-1),$B$3)+1)*H31+INDEX(Symboles!$G$6:$G$101,MOD(43+$C31+(0),$B$3)+1)*I31+INDEX(Symboles!$G$6:$G$101,MOD(43+$C31+(1),$B$3)+1)*J31+INDEX(Symboles!$G$6:$G$101,MOD(43+$C31+(2),$B$3)+1)*K31+INDEX(Symboles!$G$6:$G$101,MOD(43+$C31+(3),$B$3)+1)*L31+INDEX(Symboles!$G$6:$G$101,MOD(43+$C31+(4),$B$3)+1)*M31+IF($B$6=0,0,$B$6*NORMSINV(0.000001+0.999998*RAND())))</f>
        <v/>
      </c>
      <c r="BH31" s="30">
        <f>IF(45&gt;$B$3,99,INDEX(Symboles!$G$6:$G$101,MOD(44+$C31+(-4),$B$3)+1)*E31+INDEX(Symboles!$G$6:$G$101,MOD(44+$C31+(-3),$B$3)+1)*F31+INDEX(Symboles!$G$6:$G$101,MOD(44+$C31+(-2),$B$3)+1)*G31+INDEX(Symboles!$G$6:$G$101,MOD(44+$C31+(-1),$B$3)+1)*H31+INDEX(Symboles!$G$6:$G$101,MOD(44+$C31+(0),$B$3)+1)*I31+INDEX(Symboles!$G$6:$G$101,MOD(44+$C31+(1),$B$3)+1)*J31+INDEX(Symboles!$G$6:$G$101,MOD(44+$C31+(2),$B$3)+1)*K31+INDEX(Symboles!$G$6:$G$101,MOD(44+$C31+(3),$B$3)+1)*L31+INDEX(Symboles!$G$6:$G$101,MOD(44+$C31+(4),$B$3)+1)*M31+IF($B$6=0,0,$B$6*NORMSINV(0.000001+0.999998*RAND())))</f>
        <v/>
      </c>
      <c r="BI31" s="30">
        <f>IF(46&gt;$B$3,99,INDEX(Symboles!$G$6:$G$101,MOD(45+$C31+(-4),$B$3)+1)*E31+INDEX(Symboles!$G$6:$G$101,MOD(45+$C31+(-3),$B$3)+1)*F31+INDEX(Symboles!$G$6:$G$101,MOD(45+$C31+(-2),$B$3)+1)*G31+INDEX(Symboles!$G$6:$G$101,MOD(45+$C31+(-1),$B$3)+1)*H31+INDEX(Symboles!$G$6:$G$101,MOD(45+$C31+(0),$B$3)+1)*I31+INDEX(Symboles!$G$6:$G$101,MOD(45+$C31+(1),$B$3)+1)*J31+INDEX(Symboles!$G$6:$G$101,MOD(45+$C31+(2),$B$3)+1)*K31+INDEX(Symboles!$G$6:$G$101,MOD(45+$C31+(3),$B$3)+1)*L31+INDEX(Symboles!$G$6:$G$101,MOD(45+$C31+(4),$B$3)+1)*M31+IF($B$6=0,0,$B$6*NORMSINV(0.000001+0.999998*RAND())))</f>
        <v/>
      </c>
      <c r="BJ31" s="30">
        <f>IF(47&gt;$B$3,99,INDEX(Symboles!$G$6:$G$101,MOD(46+$C31+(-4),$B$3)+1)*E31+INDEX(Symboles!$G$6:$G$101,MOD(46+$C31+(-3),$B$3)+1)*F31+INDEX(Symboles!$G$6:$G$101,MOD(46+$C31+(-2),$B$3)+1)*G31+INDEX(Symboles!$G$6:$G$101,MOD(46+$C31+(-1),$B$3)+1)*H31+INDEX(Symboles!$G$6:$G$101,MOD(46+$C31+(0),$B$3)+1)*I31+INDEX(Symboles!$G$6:$G$101,MOD(46+$C31+(1),$B$3)+1)*J31+INDEX(Symboles!$G$6:$G$101,MOD(46+$C31+(2),$B$3)+1)*K31+INDEX(Symboles!$G$6:$G$101,MOD(46+$C31+(3),$B$3)+1)*L31+INDEX(Symboles!$G$6:$G$101,MOD(46+$C31+(4),$B$3)+1)*M31+IF($B$6=0,0,$B$6*NORMSINV(0.000001+0.999998*RAND())))</f>
        <v/>
      </c>
      <c r="BK31" s="30">
        <f>IF(48&gt;$B$3,99,INDEX(Symboles!$G$6:$G$101,MOD(47+$C31+(-4),$B$3)+1)*E31+INDEX(Symboles!$G$6:$G$101,MOD(47+$C31+(-3),$B$3)+1)*F31+INDEX(Symboles!$G$6:$G$101,MOD(47+$C31+(-2),$B$3)+1)*G31+INDEX(Symboles!$G$6:$G$101,MOD(47+$C31+(-1),$B$3)+1)*H31+INDEX(Symboles!$G$6:$G$101,MOD(47+$C31+(0),$B$3)+1)*I31+INDEX(Symboles!$G$6:$G$101,MOD(47+$C31+(1),$B$3)+1)*J31+INDEX(Symboles!$G$6:$G$101,MOD(47+$C31+(2),$B$3)+1)*K31+INDEX(Symboles!$G$6:$G$101,MOD(47+$C31+(3),$B$3)+1)*L31+INDEX(Symboles!$G$6:$G$101,MOD(47+$C31+(4),$B$3)+1)*M31+IF($B$6=0,0,$B$6*NORMSINV(0.000001+0.999998*RAND())))</f>
        <v/>
      </c>
      <c r="BL31" s="30">
        <f>IF(49&gt;$B$3,99,INDEX(Symboles!$G$6:$G$101,MOD(48+$C31+(-4),$B$3)+1)*E31+INDEX(Symboles!$G$6:$G$101,MOD(48+$C31+(-3),$B$3)+1)*F31+INDEX(Symboles!$G$6:$G$101,MOD(48+$C31+(-2),$B$3)+1)*G31+INDEX(Symboles!$G$6:$G$101,MOD(48+$C31+(-1),$B$3)+1)*H31+INDEX(Symboles!$G$6:$G$101,MOD(48+$C31+(0),$B$3)+1)*I31+INDEX(Symboles!$G$6:$G$101,MOD(48+$C31+(1),$B$3)+1)*J31+INDEX(Symboles!$G$6:$G$101,MOD(48+$C31+(2),$B$3)+1)*K31+INDEX(Symboles!$G$6:$G$101,MOD(48+$C31+(3),$B$3)+1)*L31+INDEX(Symboles!$G$6:$G$101,MOD(48+$C31+(4),$B$3)+1)*M31+IF($B$6=0,0,$B$6*NORMSINV(0.000001+0.999998*RAND())))</f>
        <v/>
      </c>
      <c r="BM31" s="30">
        <f>IF(50&gt;$B$3,99,INDEX(Symboles!$G$6:$G$101,MOD(49+$C31+(-4),$B$3)+1)*E31+INDEX(Symboles!$G$6:$G$101,MOD(49+$C31+(-3),$B$3)+1)*F31+INDEX(Symboles!$G$6:$G$101,MOD(49+$C31+(-2),$B$3)+1)*G31+INDEX(Symboles!$G$6:$G$101,MOD(49+$C31+(-1),$B$3)+1)*H31+INDEX(Symboles!$G$6:$G$101,MOD(49+$C31+(0),$B$3)+1)*I31+INDEX(Symboles!$G$6:$G$101,MOD(49+$C31+(1),$B$3)+1)*J31+INDEX(Symboles!$G$6:$G$101,MOD(49+$C31+(2),$B$3)+1)*K31+INDEX(Symboles!$G$6:$G$101,MOD(49+$C31+(3),$B$3)+1)*L31+INDEX(Symboles!$G$6:$G$101,MOD(49+$C31+(4),$B$3)+1)*M31+IF($B$6=0,0,$B$6*NORMSINV(0.000001+0.999998*RAND())))</f>
        <v/>
      </c>
      <c r="BN31" s="30">
        <f>IF(51&gt;$B$3,99,INDEX(Symboles!$G$6:$G$101,MOD(50+$C31+(-4),$B$3)+1)*E31+INDEX(Symboles!$G$6:$G$101,MOD(50+$C31+(-3),$B$3)+1)*F31+INDEX(Symboles!$G$6:$G$101,MOD(50+$C31+(-2),$B$3)+1)*G31+INDEX(Symboles!$G$6:$G$101,MOD(50+$C31+(-1),$B$3)+1)*H31+INDEX(Symboles!$G$6:$G$101,MOD(50+$C31+(0),$B$3)+1)*I31+INDEX(Symboles!$G$6:$G$101,MOD(50+$C31+(1),$B$3)+1)*J31+INDEX(Symboles!$G$6:$G$101,MOD(50+$C31+(2),$B$3)+1)*K31+INDEX(Symboles!$G$6:$G$101,MOD(50+$C31+(3),$B$3)+1)*L31+INDEX(Symboles!$G$6:$G$101,MOD(50+$C31+(4),$B$3)+1)*M31+IF($B$6=0,0,$B$6*NORMSINV(0.000001+0.999998*RAND())))</f>
        <v/>
      </c>
      <c r="BO31" s="30">
        <f>IF(52&gt;$B$3,99,INDEX(Symboles!$G$6:$G$101,MOD(51+$C31+(-4),$B$3)+1)*E31+INDEX(Symboles!$G$6:$G$101,MOD(51+$C31+(-3),$B$3)+1)*F31+INDEX(Symboles!$G$6:$G$101,MOD(51+$C31+(-2),$B$3)+1)*G31+INDEX(Symboles!$G$6:$G$101,MOD(51+$C31+(-1),$B$3)+1)*H31+INDEX(Symboles!$G$6:$G$101,MOD(51+$C31+(0),$B$3)+1)*I31+INDEX(Symboles!$G$6:$G$101,MOD(51+$C31+(1),$B$3)+1)*J31+INDEX(Symboles!$G$6:$G$101,MOD(51+$C31+(2),$B$3)+1)*K31+INDEX(Symboles!$G$6:$G$101,MOD(51+$C31+(3),$B$3)+1)*L31+INDEX(Symboles!$G$6:$G$101,MOD(51+$C31+(4),$B$3)+1)*M31+IF($B$6=0,0,$B$6*NORMSINV(0.000001+0.999998*RAND())))</f>
        <v/>
      </c>
      <c r="BP31" s="30">
        <f>IF(53&gt;$B$3,99,INDEX(Symboles!$G$6:$G$101,MOD(52+$C31+(-4),$B$3)+1)*E31+INDEX(Symboles!$G$6:$G$101,MOD(52+$C31+(-3),$B$3)+1)*F31+INDEX(Symboles!$G$6:$G$101,MOD(52+$C31+(-2),$B$3)+1)*G31+INDEX(Symboles!$G$6:$G$101,MOD(52+$C31+(-1),$B$3)+1)*H31+INDEX(Symboles!$G$6:$G$101,MOD(52+$C31+(0),$B$3)+1)*I31+INDEX(Symboles!$G$6:$G$101,MOD(52+$C31+(1),$B$3)+1)*J31+INDEX(Symboles!$G$6:$G$101,MOD(52+$C31+(2),$B$3)+1)*K31+INDEX(Symboles!$G$6:$G$101,MOD(52+$C31+(3),$B$3)+1)*L31+INDEX(Symboles!$G$6:$G$101,MOD(52+$C31+(4),$B$3)+1)*M31+IF($B$6=0,0,$B$6*NORMSINV(0.000001+0.999998*RAND())))</f>
        <v/>
      </c>
      <c r="BQ31" s="30">
        <f>IF(54&gt;$B$3,99,INDEX(Symboles!$G$6:$G$101,MOD(53+$C31+(-4),$B$3)+1)*E31+INDEX(Symboles!$G$6:$G$101,MOD(53+$C31+(-3),$B$3)+1)*F31+INDEX(Symboles!$G$6:$G$101,MOD(53+$C31+(-2),$B$3)+1)*G31+INDEX(Symboles!$G$6:$G$101,MOD(53+$C31+(-1),$B$3)+1)*H31+INDEX(Symboles!$G$6:$G$101,MOD(53+$C31+(0),$B$3)+1)*I31+INDEX(Symboles!$G$6:$G$101,MOD(53+$C31+(1),$B$3)+1)*J31+INDEX(Symboles!$G$6:$G$101,MOD(53+$C31+(2),$B$3)+1)*K31+INDEX(Symboles!$G$6:$G$101,MOD(53+$C31+(3),$B$3)+1)*L31+INDEX(Symboles!$G$6:$G$101,MOD(53+$C31+(4),$B$3)+1)*M31+IF($B$6=0,0,$B$6*NORMSINV(0.000001+0.999998*RAND())))</f>
        <v/>
      </c>
      <c r="BR31" s="30">
        <f>IF(55&gt;$B$3,99,INDEX(Symboles!$G$6:$G$101,MOD(54+$C31+(-4),$B$3)+1)*E31+INDEX(Symboles!$G$6:$G$101,MOD(54+$C31+(-3),$B$3)+1)*F31+INDEX(Symboles!$G$6:$G$101,MOD(54+$C31+(-2),$B$3)+1)*G31+INDEX(Symboles!$G$6:$G$101,MOD(54+$C31+(-1),$B$3)+1)*H31+INDEX(Symboles!$G$6:$G$101,MOD(54+$C31+(0),$B$3)+1)*I31+INDEX(Symboles!$G$6:$G$101,MOD(54+$C31+(1),$B$3)+1)*J31+INDEX(Symboles!$G$6:$G$101,MOD(54+$C31+(2),$B$3)+1)*K31+INDEX(Symboles!$G$6:$G$101,MOD(54+$C31+(3),$B$3)+1)*L31+INDEX(Symboles!$G$6:$G$101,MOD(54+$C31+(4),$B$3)+1)*M31+IF($B$6=0,0,$B$6*NORMSINV(0.000001+0.999998*RAND())))</f>
        <v/>
      </c>
      <c r="BS31" s="30">
        <f>IF(56&gt;$B$3,99,INDEX(Symboles!$G$6:$G$101,MOD(55+$C31+(-4),$B$3)+1)*E31+INDEX(Symboles!$G$6:$G$101,MOD(55+$C31+(-3),$B$3)+1)*F31+INDEX(Symboles!$G$6:$G$101,MOD(55+$C31+(-2),$B$3)+1)*G31+INDEX(Symboles!$G$6:$G$101,MOD(55+$C31+(-1),$B$3)+1)*H31+INDEX(Symboles!$G$6:$G$101,MOD(55+$C31+(0),$B$3)+1)*I31+INDEX(Symboles!$G$6:$G$101,MOD(55+$C31+(1),$B$3)+1)*J31+INDEX(Symboles!$G$6:$G$101,MOD(55+$C31+(2),$B$3)+1)*K31+INDEX(Symboles!$G$6:$G$101,MOD(55+$C31+(3),$B$3)+1)*L31+INDEX(Symboles!$G$6:$G$101,MOD(55+$C31+(4),$B$3)+1)*M31+IF($B$6=0,0,$B$6*NORMSINV(0.000001+0.999998*RAND())))</f>
        <v/>
      </c>
      <c r="BT31" s="30">
        <f>IF(57&gt;$B$3,99,INDEX(Symboles!$G$6:$G$101,MOD(56+$C31+(-4),$B$3)+1)*E31+INDEX(Symboles!$G$6:$G$101,MOD(56+$C31+(-3),$B$3)+1)*F31+INDEX(Symboles!$G$6:$G$101,MOD(56+$C31+(-2),$B$3)+1)*G31+INDEX(Symboles!$G$6:$G$101,MOD(56+$C31+(-1),$B$3)+1)*H31+INDEX(Symboles!$G$6:$G$101,MOD(56+$C31+(0),$B$3)+1)*I31+INDEX(Symboles!$G$6:$G$101,MOD(56+$C31+(1),$B$3)+1)*J31+INDEX(Symboles!$G$6:$G$101,MOD(56+$C31+(2),$B$3)+1)*K31+INDEX(Symboles!$G$6:$G$101,MOD(56+$C31+(3),$B$3)+1)*L31+INDEX(Symboles!$G$6:$G$101,MOD(56+$C31+(4),$B$3)+1)*M31+IF($B$6=0,0,$B$6*NORMSINV(0.000001+0.999998*RAND())))</f>
        <v/>
      </c>
      <c r="BU31" s="30">
        <f>IF(58&gt;$B$3,99,INDEX(Symboles!$G$6:$G$101,MOD(57+$C31+(-4),$B$3)+1)*E31+INDEX(Symboles!$G$6:$G$101,MOD(57+$C31+(-3),$B$3)+1)*F31+INDEX(Symboles!$G$6:$G$101,MOD(57+$C31+(-2),$B$3)+1)*G31+INDEX(Symboles!$G$6:$G$101,MOD(57+$C31+(-1),$B$3)+1)*H31+INDEX(Symboles!$G$6:$G$101,MOD(57+$C31+(0),$B$3)+1)*I31+INDEX(Symboles!$G$6:$G$101,MOD(57+$C31+(1),$B$3)+1)*J31+INDEX(Symboles!$G$6:$G$101,MOD(57+$C31+(2),$B$3)+1)*K31+INDEX(Symboles!$G$6:$G$101,MOD(57+$C31+(3),$B$3)+1)*L31+INDEX(Symboles!$G$6:$G$101,MOD(57+$C31+(4),$B$3)+1)*M31+IF($B$6=0,0,$B$6*NORMSINV(0.000001+0.999998*RAND())))</f>
        <v/>
      </c>
      <c r="BV31" s="30">
        <f>IF(59&gt;$B$3,99,INDEX(Symboles!$G$6:$G$101,MOD(58+$C31+(-4),$B$3)+1)*E31+INDEX(Symboles!$G$6:$G$101,MOD(58+$C31+(-3),$B$3)+1)*F31+INDEX(Symboles!$G$6:$G$101,MOD(58+$C31+(-2),$B$3)+1)*G31+INDEX(Symboles!$G$6:$G$101,MOD(58+$C31+(-1),$B$3)+1)*H31+INDEX(Symboles!$G$6:$G$101,MOD(58+$C31+(0),$B$3)+1)*I31+INDEX(Symboles!$G$6:$G$101,MOD(58+$C31+(1),$B$3)+1)*J31+INDEX(Symboles!$G$6:$G$101,MOD(58+$C31+(2),$B$3)+1)*K31+INDEX(Symboles!$G$6:$G$101,MOD(58+$C31+(3),$B$3)+1)*L31+INDEX(Symboles!$G$6:$G$101,MOD(58+$C31+(4),$B$3)+1)*M31+IF($B$6=0,0,$B$6*NORMSINV(0.000001+0.999998*RAND())))</f>
        <v/>
      </c>
      <c r="BW31" s="30">
        <f>IF(60&gt;$B$3,99,INDEX(Symboles!$G$6:$G$101,MOD(59+$C31+(-4),$B$3)+1)*E31+INDEX(Symboles!$G$6:$G$101,MOD(59+$C31+(-3),$B$3)+1)*F31+INDEX(Symboles!$G$6:$G$101,MOD(59+$C31+(-2),$B$3)+1)*G31+INDEX(Symboles!$G$6:$G$101,MOD(59+$C31+(-1),$B$3)+1)*H31+INDEX(Symboles!$G$6:$G$101,MOD(59+$C31+(0),$B$3)+1)*I31+INDEX(Symboles!$G$6:$G$101,MOD(59+$C31+(1),$B$3)+1)*J31+INDEX(Symboles!$G$6:$G$101,MOD(59+$C31+(2),$B$3)+1)*K31+INDEX(Symboles!$G$6:$G$101,MOD(59+$C31+(3),$B$3)+1)*L31+INDEX(Symboles!$G$6:$G$101,MOD(59+$C31+(4),$B$3)+1)*M31+IF($B$6=0,0,$B$6*NORMSINV(0.000001+0.999998*RAND())))</f>
        <v/>
      </c>
      <c r="BX31" s="30">
        <f>IF(61&gt;$B$3,99,INDEX(Symboles!$G$6:$G$101,MOD(60+$C31+(-4),$B$3)+1)*E31+INDEX(Symboles!$G$6:$G$101,MOD(60+$C31+(-3),$B$3)+1)*F31+INDEX(Symboles!$G$6:$G$101,MOD(60+$C31+(-2),$B$3)+1)*G31+INDEX(Symboles!$G$6:$G$101,MOD(60+$C31+(-1),$B$3)+1)*H31+INDEX(Symboles!$G$6:$G$101,MOD(60+$C31+(0),$B$3)+1)*I31+INDEX(Symboles!$G$6:$G$101,MOD(60+$C31+(1),$B$3)+1)*J31+INDEX(Symboles!$G$6:$G$101,MOD(60+$C31+(2),$B$3)+1)*K31+INDEX(Symboles!$G$6:$G$101,MOD(60+$C31+(3),$B$3)+1)*L31+INDEX(Symboles!$G$6:$G$101,MOD(60+$C31+(4),$B$3)+1)*M31+IF($B$6=0,0,$B$6*NORMSINV(0.000001+0.999998*RAND())))</f>
        <v/>
      </c>
      <c r="BY31" s="30">
        <f>IF(62&gt;$B$3,99,INDEX(Symboles!$G$6:$G$101,MOD(61+$C31+(-4),$B$3)+1)*E31+INDEX(Symboles!$G$6:$G$101,MOD(61+$C31+(-3),$B$3)+1)*F31+INDEX(Symboles!$G$6:$G$101,MOD(61+$C31+(-2),$B$3)+1)*G31+INDEX(Symboles!$G$6:$G$101,MOD(61+$C31+(-1),$B$3)+1)*H31+INDEX(Symboles!$G$6:$G$101,MOD(61+$C31+(0),$B$3)+1)*I31+INDEX(Symboles!$G$6:$G$101,MOD(61+$C31+(1),$B$3)+1)*J31+INDEX(Symboles!$G$6:$G$101,MOD(61+$C31+(2),$B$3)+1)*K31+INDEX(Symboles!$G$6:$G$101,MOD(61+$C31+(3),$B$3)+1)*L31+INDEX(Symboles!$G$6:$G$101,MOD(61+$C31+(4),$B$3)+1)*M31+IF($B$6=0,0,$B$6*NORMSINV(0.000001+0.999998*RAND())))</f>
        <v/>
      </c>
      <c r="BZ31" s="30">
        <f>IF(63&gt;$B$3,99,INDEX(Symboles!$G$6:$G$101,MOD(62+$C31+(-4),$B$3)+1)*E31+INDEX(Symboles!$G$6:$G$101,MOD(62+$C31+(-3),$B$3)+1)*F31+INDEX(Symboles!$G$6:$G$101,MOD(62+$C31+(-2),$B$3)+1)*G31+INDEX(Symboles!$G$6:$G$101,MOD(62+$C31+(-1),$B$3)+1)*H31+INDEX(Symboles!$G$6:$G$101,MOD(62+$C31+(0),$B$3)+1)*I31+INDEX(Symboles!$G$6:$G$101,MOD(62+$C31+(1),$B$3)+1)*J31+INDEX(Symboles!$G$6:$G$101,MOD(62+$C31+(2),$B$3)+1)*K31+INDEX(Symboles!$G$6:$G$101,MOD(62+$C31+(3),$B$3)+1)*L31+INDEX(Symboles!$G$6:$G$101,MOD(62+$C31+(4),$B$3)+1)*M31+IF($B$6=0,0,$B$6*NORMSINV(0.000001+0.999998*RAND())))</f>
        <v/>
      </c>
      <c r="CA31" s="30">
        <f>IF(64&gt;$B$3,99,INDEX(Symboles!$G$6:$G$101,MOD(63+$C31+(-4),$B$3)+1)*E31+INDEX(Symboles!$G$6:$G$101,MOD(63+$C31+(-3),$B$3)+1)*F31+INDEX(Symboles!$G$6:$G$101,MOD(63+$C31+(-2),$B$3)+1)*G31+INDEX(Symboles!$G$6:$G$101,MOD(63+$C31+(-1),$B$3)+1)*H31+INDEX(Symboles!$G$6:$G$101,MOD(63+$C31+(0),$B$3)+1)*I31+INDEX(Symboles!$G$6:$G$101,MOD(63+$C31+(1),$B$3)+1)*J31+INDEX(Symboles!$G$6:$G$101,MOD(63+$C31+(2),$B$3)+1)*K31+INDEX(Symboles!$G$6:$G$101,MOD(63+$C31+(3),$B$3)+1)*L31+INDEX(Symboles!$G$6:$G$101,MOD(63+$C31+(4),$B$3)+1)*M31+IF($B$6=0,0,$B$6*NORMSINV(0.000001+0.999998*RAND())))</f>
        <v/>
      </c>
      <c r="CB31" s="30">
        <f>IF(65&gt;$B$3,99,INDEX(Symboles!$G$6:$G$101,MOD(64+$C31+(-4),$B$3)+1)*E31+INDEX(Symboles!$G$6:$G$101,MOD(64+$C31+(-3),$B$3)+1)*F31+INDEX(Symboles!$G$6:$G$101,MOD(64+$C31+(-2),$B$3)+1)*G31+INDEX(Symboles!$G$6:$G$101,MOD(64+$C31+(-1),$B$3)+1)*H31+INDEX(Symboles!$G$6:$G$101,MOD(64+$C31+(0),$B$3)+1)*I31+INDEX(Symboles!$G$6:$G$101,MOD(64+$C31+(1),$B$3)+1)*J31+INDEX(Symboles!$G$6:$G$101,MOD(64+$C31+(2),$B$3)+1)*K31+INDEX(Symboles!$G$6:$G$101,MOD(64+$C31+(3),$B$3)+1)*L31+INDEX(Symboles!$G$6:$G$101,MOD(64+$C31+(4),$B$3)+1)*M31+IF($B$6=0,0,$B$6*NORMSINV(0.000001+0.999998*RAND())))</f>
        <v/>
      </c>
      <c r="CC31" s="30">
        <f>IF(66&gt;$B$3,99,INDEX(Symboles!$G$6:$G$101,MOD(65+$C31+(-4),$B$3)+1)*E31+INDEX(Symboles!$G$6:$G$101,MOD(65+$C31+(-3),$B$3)+1)*F31+INDEX(Symboles!$G$6:$G$101,MOD(65+$C31+(-2),$B$3)+1)*G31+INDEX(Symboles!$G$6:$G$101,MOD(65+$C31+(-1),$B$3)+1)*H31+INDEX(Symboles!$G$6:$G$101,MOD(65+$C31+(0),$B$3)+1)*I31+INDEX(Symboles!$G$6:$G$101,MOD(65+$C31+(1),$B$3)+1)*J31+INDEX(Symboles!$G$6:$G$101,MOD(65+$C31+(2),$B$3)+1)*K31+INDEX(Symboles!$G$6:$G$101,MOD(65+$C31+(3),$B$3)+1)*L31+INDEX(Symboles!$G$6:$G$101,MOD(65+$C31+(4),$B$3)+1)*M31+IF($B$6=0,0,$B$6*NORMSINV(0.000001+0.999998*RAND())))</f>
        <v/>
      </c>
      <c r="CD31" s="30">
        <f>IF(67&gt;$B$3,99,INDEX(Symboles!$G$6:$G$101,MOD(66+$C31+(-4),$B$3)+1)*E31+INDEX(Symboles!$G$6:$G$101,MOD(66+$C31+(-3),$B$3)+1)*F31+INDEX(Symboles!$G$6:$G$101,MOD(66+$C31+(-2),$B$3)+1)*G31+INDEX(Symboles!$G$6:$G$101,MOD(66+$C31+(-1),$B$3)+1)*H31+INDEX(Symboles!$G$6:$G$101,MOD(66+$C31+(0),$B$3)+1)*I31+INDEX(Symboles!$G$6:$G$101,MOD(66+$C31+(1),$B$3)+1)*J31+INDEX(Symboles!$G$6:$G$101,MOD(66+$C31+(2),$B$3)+1)*K31+INDEX(Symboles!$G$6:$G$101,MOD(66+$C31+(3),$B$3)+1)*L31+INDEX(Symboles!$G$6:$G$101,MOD(66+$C31+(4),$B$3)+1)*M31+IF($B$6=0,0,$B$6*NORMSINV(0.000001+0.999998*RAND())))</f>
        <v/>
      </c>
      <c r="CE31" s="30">
        <f>IF(68&gt;$B$3,99,INDEX(Symboles!$G$6:$G$101,MOD(67+$C31+(-4),$B$3)+1)*E31+INDEX(Symboles!$G$6:$G$101,MOD(67+$C31+(-3),$B$3)+1)*F31+INDEX(Symboles!$G$6:$G$101,MOD(67+$C31+(-2),$B$3)+1)*G31+INDEX(Symboles!$G$6:$G$101,MOD(67+$C31+(-1),$B$3)+1)*H31+INDEX(Symboles!$G$6:$G$101,MOD(67+$C31+(0),$B$3)+1)*I31+INDEX(Symboles!$G$6:$G$101,MOD(67+$C31+(1),$B$3)+1)*J31+INDEX(Symboles!$G$6:$G$101,MOD(67+$C31+(2),$B$3)+1)*K31+INDEX(Symboles!$G$6:$G$101,MOD(67+$C31+(3),$B$3)+1)*L31+INDEX(Symboles!$G$6:$G$101,MOD(67+$C31+(4),$B$3)+1)*M31+IF($B$6=0,0,$B$6*NORMSINV(0.000001+0.999998*RAND())))</f>
        <v/>
      </c>
      <c r="CF31" s="30">
        <f>IF(69&gt;$B$3,99,INDEX(Symboles!$G$6:$G$101,MOD(68+$C31+(-4),$B$3)+1)*E31+INDEX(Symboles!$G$6:$G$101,MOD(68+$C31+(-3),$B$3)+1)*F31+INDEX(Symboles!$G$6:$G$101,MOD(68+$C31+(-2),$B$3)+1)*G31+INDEX(Symboles!$G$6:$G$101,MOD(68+$C31+(-1),$B$3)+1)*H31+INDEX(Symboles!$G$6:$G$101,MOD(68+$C31+(0),$B$3)+1)*I31+INDEX(Symboles!$G$6:$G$101,MOD(68+$C31+(1),$B$3)+1)*J31+INDEX(Symboles!$G$6:$G$101,MOD(68+$C31+(2),$B$3)+1)*K31+INDEX(Symboles!$G$6:$G$101,MOD(68+$C31+(3),$B$3)+1)*L31+INDEX(Symboles!$G$6:$G$101,MOD(68+$C31+(4),$B$3)+1)*M31+IF($B$6=0,0,$B$6*NORMSINV(0.000001+0.999998*RAND())))</f>
        <v/>
      </c>
      <c r="CG31" s="30">
        <f>IF(70&gt;$B$3,99,INDEX(Symboles!$G$6:$G$101,MOD(69+$C31+(-4),$B$3)+1)*E31+INDEX(Symboles!$G$6:$G$101,MOD(69+$C31+(-3),$B$3)+1)*F31+INDEX(Symboles!$G$6:$G$101,MOD(69+$C31+(-2),$B$3)+1)*G31+INDEX(Symboles!$G$6:$G$101,MOD(69+$C31+(-1),$B$3)+1)*H31+INDEX(Symboles!$G$6:$G$101,MOD(69+$C31+(0),$B$3)+1)*I31+INDEX(Symboles!$G$6:$G$101,MOD(69+$C31+(1),$B$3)+1)*J31+INDEX(Symboles!$G$6:$G$101,MOD(69+$C31+(2),$B$3)+1)*K31+INDEX(Symboles!$G$6:$G$101,MOD(69+$C31+(3),$B$3)+1)*L31+INDEX(Symboles!$G$6:$G$101,MOD(69+$C31+(4),$B$3)+1)*M31+IF($B$6=0,0,$B$6*NORMSINV(0.000001+0.999998*RAND())))</f>
        <v/>
      </c>
      <c r="CH31" s="30">
        <f>IF(71&gt;$B$3,99,INDEX(Symboles!$G$6:$G$101,MOD(70+$C31+(-4),$B$3)+1)*E31+INDEX(Symboles!$G$6:$G$101,MOD(70+$C31+(-3),$B$3)+1)*F31+INDEX(Symboles!$G$6:$G$101,MOD(70+$C31+(-2),$B$3)+1)*G31+INDEX(Symboles!$G$6:$G$101,MOD(70+$C31+(-1),$B$3)+1)*H31+INDEX(Symboles!$G$6:$G$101,MOD(70+$C31+(0),$B$3)+1)*I31+INDEX(Symboles!$G$6:$G$101,MOD(70+$C31+(1),$B$3)+1)*J31+INDEX(Symboles!$G$6:$G$101,MOD(70+$C31+(2),$B$3)+1)*K31+INDEX(Symboles!$G$6:$G$101,MOD(70+$C31+(3),$B$3)+1)*L31+INDEX(Symboles!$G$6:$G$101,MOD(70+$C31+(4),$B$3)+1)*M31+IF($B$6=0,0,$B$6*NORMSINV(0.000001+0.999998*RAND())))</f>
        <v/>
      </c>
      <c r="CI31" s="30">
        <f>IF(72&gt;$B$3,99,INDEX(Symboles!$G$6:$G$101,MOD(71+$C31+(-4),$B$3)+1)*E31+INDEX(Symboles!$G$6:$G$101,MOD(71+$C31+(-3),$B$3)+1)*F31+INDEX(Symboles!$G$6:$G$101,MOD(71+$C31+(-2),$B$3)+1)*G31+INDEX(Symboles!$G$6:$G$101,MOD(71+$C31+(-1),$B$3)+1)*H31+INDEX(Symboles!$G$6:$G$101,MOD(71+$C31+(0),$B$3)+1)*I31+INDEX(Symboles!$G$6:$G$101,MOD(71+$C31+(1),$B$3)+1)*J31+INDEX(Symboles!$G$6:$G$101,MOD(71+$C31+(2),$B$3)+1)*K31+INDEX(Symboles!$G$6:$G$101,MOD(71+$C31+(3),$B$3)+1)*L31+INDEX(Symboles!$G$6:$G$101,MOD(71+$C31+(4),$B$3)+1)*M31+IF($B$6=0,0,$B$6*NORMSINV(0.000001+0.999998*RAND())))</f>
        <v/>
      </c>
      <c r="CJ31" s="30">
        <f>IF(73&gt;$B$3,99,INDEX(Symboles!$G$6:$G$101,MOD(72+$C31+(-4),$B$3)+1)*E31+INDEX(Symboles!$G$6:$G$101,MOD(72+$C31+(-3),$B$3)+1)*F31+INDEX(Symboles!$G$6:$G$101,MOD(72+$C31+(-2),$B$3)+1)*G31+INDEX(Symboles!$G$6:$G$101,MOD(72+$C31+(-1),$B$3)+1)*H31+INDEX(Symboles!$G$6:$G$101,MOD(72+$C31+(0),$B$3)+1)*I31+INDEX(Symboles!$G$6:$G$101,MOD(72+$C31+(1),$B$3)+1)*J31+INDEX(Symboles!$G$6:$G$101,MOD(72+$C31+(2),$B$3)+1)*K31+INDEX(Symboles!$G$6:$G$101,MOD(72+$C31+(3),$B$3)+1)*L31+INDEX(Symboles!$G$6:$G$101,MOD(72+$C31+(4),$B$3)+1)*M31+IF($B$6=0,0,$B$6*NORMSINV(0.000001+0.999998*RAND())))</f>
        <v/>
      </c>
      <c r="CK31" s="30">
        <f>IF(74&gt;$B$3,99,INDEX(Symboles!$G$6:$G$101,MOD(73+$C31+(-4),$B$3)+1)*E31+INDEX(Symboles!$G$6:$G$101,MOD(73+$C31+(-3),$B$3)+1)*F31+INDEX(Symboles!$G$6:$G$101,MOD(73+$C31+(-2),$B$3)+1)*G31+INDEX(Symboles!$G$6:$G$101,MOD(73+$C31+(-1),$B$3)+1)*H31+INDEX(Symboles!$G$6:$G$101,MOD(73+$C31+(0),$B$3)+1)*I31+INDEX(Symboles!$G$6:$G$101,MOD(73+$C31+(1),$B$3)+1)*J31+INDEX(Symboles!$G$6:$G$101,MOD(73+$C31+(2),$B$3)+1)*K31+INDEX(Symboles!$G$6:$G$101,MOD(73+$C31+(3),$B$3)+1)*L31+INDEX(Symboles!$G$6:$G$101,MOD(73+$C31+(4),$B$3)+1)*M31+IF($B$6=0,0,$B$6*NORMSINV(0.000001+0.999998*RAND())))</f>
        <v/>
      </c>
      <c r="CL31" s="30">
        <f>IF(75&gt;$B$3,99,INDEX(Symboles!$G$6:$G$101,MOD(74+$C31+(-4),$B$3)+1)*E31+INDEX(Symboles!$G$6:$G$101,MOD(74+$C31+(-3),$B$3)+1)*F31+INDEX(Symboles!$G$6:$G$101,MOD(74+$C31+(-2),$B$3)+1)*G31+INDEX(Symboles!$G$6:$G$101,MOD(74+$C31+(-1),$B$3)+1)*H31+INDEX(Symboles!$G$6:$G$101,MOD(74+$C31+(0),$B$3)+1)*I31+INDEX(Symboles!$G$6:$G$101,MOD(74+$C31+(1),$B$3)+1)*J31+INDEX(Symboles!$G$6:$G$101,MOD(74+$C31+(2),$B$3)+1)*K31+INDEX(Symboles!$G$6:$G$101,MOD(74+$C31+(3),$B$3)+1)*L31+INDEX(Symboles!$G$6:$G$101,MOD(74+$C31+(4),$B$3)+1)*M31+IF($B$6=0,0,$B$6*NORMSINV(0.000001+0.999998*RAND())))</f>
        <v/>
      </c>
      <c r="CM31" s="30">
        <f>IF(76&gt;$B$3,99,INDEX(Symboles!$G$6:$G$101,MOD(75+$C31+(-4),$B$3)+1)*E31+INDEX(Symboles!$G$6:$G$101,MOD(75+$C31+(-3),$B$3)+1)*F31+INDEX(Symboles!$G$6:$G$101,MOD(75+$C31+(-2),$B$3)+1)*G31+INDEX(Symboles!$G$6:$G$101,MOD(75+$C31+(-1),$B$3)+1)*H31+INDEX(Symboles!$G$6:$G$101,MOD(75+$C31+(0),$B$3)+1)*I31+INDEX(Symboles!$G$6:$G$101,MOD(75+$C31+(1),$B$3)+1)*J31+INDEX(Symboles!$G$6:$G$101,MOD(75+$C31+(2),$B$3)+1)*K31+INDEX(Symboles!$G$6:$G$101,MOD(75+$C31+(3),$B$3)+1)*L31+INDEX(Symboles!$G$6:$G$101,MOD(75+$C31+(4),$B$3)+1)*M31+IF($B$6=0,0,$B$6*NORMSINV(0.000001+0.999998*RAND())))</f>
        <v/>
      </c>
      <c r="CN31" s="30">
        <f>IF(77&gt;$B$3,99,INDEX(Symboles!$G$6:$G$101,MOD(76+$C31+(-4),$B$3)+1)*E31+INDEX(Symboles!$G$6:$G$101,MOD(76+$C31+(-3),$B$3)+1)*F31+INDEX(Symboles!$G$6:$G$101,MOD(76+$C31+(-2),$B$3)+1)*G31+INDEX(Symboles!$G$6:$G$101,MOD(76+$C31+(-1),$B$3)+1)*H31+INDEX(Symboles!$G$6:$G$101,MOD(76+$C31+(0),$B$3)+1)*I31+INDEX(Symboles!$G$6:$G$101,MOD(76+$C31+(1),$B$3)+1)*J31+INDEX(Symboles!$G$6:$G$101,MOD(76+$C31+(2),$B$3)+1)*K31+INDEX(Symboles!$G$6:$G$101,MOD(76+$C31+(3),$B$3)+1)*L31+INDEX(Symboles!$G$6:$G$101,MOD(76+$C31+(4),$B$3)+1)*M31+IF($B$6=0,0,$B$6*NORMSINV(0.000001+0.999998*RAND())))</f>
        <v/>
      </c>
      <c r="CO31" s="30">
        <f>IF(78&gt;$B$3,99,INDEX(Symboles!$G$6:$G$101,MOD(77+$C31+(-4),$B$3)+1)*E31+INDEX(Symboles!$G$6:$G$101,MOD(77+$C31+(-3),$B$3)+1)*F31+INDEX(Symboles!$G$6:$G$101,MOD(77+$C31+(-2),$B$3)+1)*G31+INDEX(Symboles!$G$6:$G$101,MOD(77+$C31+(-1),$B$3)+1)*H31+INDEX(Symboles!$G$6:$G$101,MOD(77+$C31+(0),$B$3)+1)*I31+INDEX(Symboles!$G$6:$G$101,MOD(77+$C31+(1),$B$3)+1)*J31+INDEX(Symboles!$G$6:$G$101,MOD(77+$C31+(2),$B$3)+1)*K31+INDEX(Symboles!$G$6:$G$101,MOD(77+$C31+(3),$B$3)+1)*L31+INDEX(Symboles!$G$6:$G$101,MOD(77+$C31+(4),$B$3)+1)*M31+IF($B$6=0,0,$B$6*NORMSINV(0.000001+0.999998*RAND())))</f>
        <v/>
      </c>
      <c r="CP31" s="30">
        <f>IF(79&gt;$B$3,99,INDEX(Symboles!$G$6:$G$101,MOD(78+$C31+(-4),$B$3)+1)*E31+INDEX(Symboles!$G$6:$G$101,MOD(78+$C31+(-3),$B$3)+1)*F31+INDEX(Symboles!$G$6:$G$101,MOD(78+$C31+(-2),$B$3)+1)*G31+INDEX(Symboles!$G$6:$G$101,MOD(78+$C31+(-1),$B$3)+1)*H31+INDEX(Symboles!$G$6:$G$101,MOD(78+$C31+(0),$B$3)+1)*I31+INDEX(Symboles!$G$6:$G$101,MOD(78+$C31+(1),$B$3)+1)*J31+INDEX(Symboles!$G$6:$G$101,MOD(78+$C31+(2),$B$3)+1)*K31+INDEX(Symboles!$G$6:$G$101,MOD(78+$C31+(3),$B$3)+1)*L31+INDEX(Symboles!$G$6:$G$101,MOD(78+$C31+(4),$B$3)+1)*M31+IF($B$6=0,0,$B$6*NORMSINV(0.000001+0.999998*RAND())))</f>
        <v/>
      </c>
      <c r="CQ31" s="30">
        <f>IF(80&gt;$B$3,99,INDEX(Symboles!$G$6:$G$101,MOD(79+$C31+(-4),$B$3)+1)*E31+INDEX(Symboles!$G$6:$G$101,MOD(79+$C31+(-3),$B$3)+1)*F31+INDEX(Symboles!$G$6:$G$101,MOD(79+$C31+(-2),$B$3)+1)*G31+INDEX(Symboles!$G$6:$G$101,MOD(79+$C31+(-1),$B$3)+1)*H31+INDEX(Symboles!$G$6:$G$101,MOD(79+$C31+(0),$B$3)+1)*I31+INDEX(Symboles!$G$6:$G$101,MOD(79+$C31+(1),$B$3)+1)*J31+INDEX(Symboles!$G$6:$G$101,MOD(79+$C31+(2),$B$3)+1)*K31+INDEX(Symboles!$G$6:$G$101,MOD(79+$C31+(3),$B$3)+1)*L31+INDEX(Symboles!$G$6:$G$101,MOD(79+$C31+(4),$B$3)+1)*M31+IF($B$6=0,0,$B$6*NORMSINV(0.000001+0.999998*RAND())))</f>
        <v/>
      </c>
      <c r="CR31" s="30">
        <f>IF(81&gt;$B$3,99,INDEX(Symboles!$G$6:$G$101,MOD(80+$C31+(-4),$B$3)+1)*E31+INDEX(Symboles!$G$6:$G$101,MOD(80+$C31+(-3),$B$3)+1)*F31+INDEX(Symboles!$G$6:$G$101,MOD(80+$C31+(-2),$B$3)+1)*G31+INDEX(Symboles!$G$6:$G$101,MOD(80+$C31+(-1),$B$3)+1)*H31+INDEX(Symboles!$G$6:$G$101,MOD(80+$C31+(0),$B$3)+1)*I31+INDEX(Symboles!$G$6:$G$101,MOD(80+$C31+(1),$B$3)+1)*J31+INDEX(Symboles!$G$6:$G$101,MOD(80+$C31+(2),$B$3)+1)*K31+INDEX(Symboles!$G$6:$G$101,MOD(80+$C31+(3),$B$3)+1)*L31+INDEX(Symboles!$G$6:$G$101,MOD(80+$C31+(4),$B$3)+1)*M31+IF($B$6=0,0,$B$6*NORMSINV(0.000001+0.999998*RAND())))</f>
        <v/>
      </c>
      <c r="CS31" s="30">
        <f>IF(82&gt;$B$3,99,INDEX(Symboles!$G$6:$G$101,MOD(81+$C31+(-4),$B$3)+1)*E31+INDEX(Symboles!$G$6:$G$101,MOD(81+$C31+(-3),$B$3)+1)*F31+INDEX(Symboles!$G$6:$G$101,MOD(81+$C31+(-2),$B$3)+1)*G31+INDEX(Symboles!$G$6:$G$101,MOD(81+$C31+(-1),$B$3)+1)*H31+INDEX(Symboles!$G$6:$G$101,MOD(81+$C31+(0),$B$3)+1)*I31+INDEX(Symboles!$G$6:$G$101,MOD(81+$C31+(1),$B$3)+1)*J31+INDEX(Symboles!$G$6:$G$101,MOD(81+$C31+(2),$B$3)+1)*K31+INDEX(Symboles!$G$6:$G$101,MOD(81+$C31+(3),$B$3)+1)*L31+INDEX(Symboles!$G$6:$G$101,MOD(81+$C31+(4),$B$3)+1)*M31+IF($B$6=0,0,$B$6*NORMSINV(0.000001+0.999998*RAND())))</f>
        <v/>
      </c>
      <c r="CT31" s="30">
        <f>IF(83&gt;$B$3,99,INDEX(Symboles!$G$6:$G$101,MOD(82+$C31+(-4),$B$3)+1)*E31+INDEX(Symboles!$G$6:$G$101,MOD(82+$C31+(-3),$B$3)+1)*F31+INDEX(Symboles!$G$6:$G$101,MOD(82+$C31+(-2),$B$3)+1)*G31+INDEX(Symboles!$G$6:$G$101,MOD(82+$C31+(-1),$B$3)+1)*H31+INDEX(Symboles!$G$6:$G$101,MOD(82+$C31+(0),$B$3)+1)*I31+INDEX(Symboles!$G$6:$G$101,MOD(82+$C31+(1),$B$3)+1)*J31+INDEX(Symboles!$G$6:$G$101,MOD(82+$C31+(2),$B$3)+1)*K31+INDEX(Symboles!$G$6:$G$101,MOD(82+$C31+(3),$B$3)+1)*L31+INDEX(Symboles!$G$6:$G$101,MOD(82+$C31+(4),$B$3)+1)*M31+IF($B$6=0,0,$B$6*NORMSINV(0.000001+0.999998*RAND())))</f>
        <v/>
      </c>
      <c r="CU31" s="30">
        <f>IF(84&gt;$B$3,99,INDEX(Symboles!$G$6:$G$101,MOD(83+$C31+(-4),$B$3)+1)*E31+INDEX(Symboles!$G$6:$G$101,MOD(83+$C31+(-3),$B$3)+1)*F31+INDEX(Symboles!$G$6:$G$101,MOD(83+$C31+(-2),$B$3)+1)*G31+INDEX(Symboles!$G$6:$G$101,MOD(83+$C31+(-1),$B$3)+1)*H31+INDEX(Symboles!$G$6:$G$101,MOD(83+$C31+(0),$B$3)+1)*I31+INDEX(Symboles!$G$6:$G$101,MOD(83+$C31+(1),$B$3)+1)*J31+INDEX(Symboles!$G$6:$G$101,MOD(83+$C31+(2),$B$3)+1)*K31+INDEX(Symboles!$G$6:$G$101,MOD(83+$C31+(3),$B$3)+1)*L31+INDEX(Symboles!$G$6:$G$101,MOD(83+$C31+(4),$B$3)+1)*M31+IF($B$6=0,0,$B$6*NORMSINV(0.000001+0.999998*RAND())))</f>
        <v/>
      </c>
      <c r="CV31" s="30">
        <f>IF(85&gt;$B$3,99,INDEX(Symboles!$G$6:$G$101,MOD(84+$C31+(-4),$B$3)+1)*E31+INDEX(Symboles!$G$6:$G$101,MOD(84+$C31+(-3),$B$3)+1)*F31+INDEX(Symboles!$G$6:$G$101,MOD(84+$C31+(-2),$B$3)+1)*G31+INDEX(Symboles!$G$6:$G$101,MOD(84+$C31+(-1),$B$3)+1)*H31+INDEX(Symboles!$G$6:$G$101,MOD(84+$C31+(0),$B$3)+1)*I31+INDEX(Symboles!$G$6:$G$101,MOD(84+$C31+(1),$B$3)+1)*J31+INDEX(Symboles!$G$6:$G$101,MOD(84+$C31+(2),$B$3)+1)*K31+INDEX(Symboles!$G$6:$G$101,MOD(84+$C31+(3),$B$3)+1)*L31+INDEX(Symboles!$G$6:$G$101,MOD(84+$C31+(4),$B$3)+1)*M31+IF($B$6=0,0,$B$6*NORMSINV(0.000001+0.999998*RAND())))</f>
        <v/>
      </c>
      <c r="CW31" s="30">
        <f>IF(86&gt;$B$3,99,INDEX(Symboles!$G$6:$G$101,MOD(85+$C31+(-4),$B$3)+1)*E31+INDEX(Symboles!$G$6:$G$101,MOD(85+$C31+(-3),$B$3)+1)*F31+INDEX(Symboles!$G$6:$G$101,MOD(85+$C31+(-2),$B$3)+1)*G31+INDEX(Symboles!$G$6:$G$101,MOD(85+$C31+(-1),$B$3)+1)*H31+INDEX(Symboles!$G$6:$G$101,MOD(85+$C31+(0),$B$3)+1)*I31+INDEX(Symboles!$G$6:$G$101,MOD(85+$C31+(1),$B$3)+1)*J31+INDEX(Symboles!$G$6:$G$101,MOD(85+$C31+(2),$B$3)+1)*K31+INDEX(Symboles!$G$6:$G$101,MOD(85+$C31+(3),$B$3)+1)*L31+INDEX(Symboles!$G$6:$G$101,MOD(85+$C31+(4),$B$3)+1)*M31+IF($B$6=0,0,$B$6*NORMSINV(0.000001+0.999998*RAND())))</f>
        <v/>
      </c>
      <c r="CX31" s="30">
        <f>IF(87&gt;$B$3,99,INDEX(Symboles!$G$6:$G$101,MOD(86+$C31+(-4),$B$3)+1)*E31+INDEX(Symboles!$G$6:$G$101,MOD(86+$C31+(-3),$B$3)+1)*F31+INDEX(Symboles!$G$6:$G$101,MOD(86+$C31+(-2),$B$3)+1)*G31+INDEX(Symboles!$G$6:$G$101,MOD(86+$C31+(-1),$B$3)+1)*H31+INDEX(Symboles!$G$6:$G$101,MOD(86+$C31+(0),$B$3)+1)*I31+INDEX(Symboles!$G$6:$G$101,MOD(86+$C31+(1),$B$3)+1)*J31+INDEX(Symboles!$G$6:$G$101,MOD(86+$C31+(2),$B$3)+1)*K31+INDEX(Symboles!$G$6:$G$101,MOD(86+$C31+(3),$B$3)+1)*L31+INDEX(Symboles!$G$6:$G$101,MOD(86+$C31+(4),$B$3)+1)*M31+IF($B$6=0,0,$B$6*NORMSINV(0.000001+0.999998*RAND())))</f>
        <v/>
      </c>
      <c r="CY31" s="30">
        <f>IF(88&gt;$B$3,99,INDEX(Symboles!$G$6:$G$101,MOD(87+$C31+(-4),$B$3)+1)*E31+INDEX(Symboles!$G$6:$G$101,MOD(87+$C31+(-3),$B$3)+1)*F31+INDEX(Symboles!$G$6:$G$101,MOD(87+$C31+(-2),$B$3)+1)*G31+INDEX(Symboles!$G$6:$G$101,MOD(87+$C31+(-1),$B$3)+1)*H31+INDEX(Symboles!$G$6:$G$101,MOD(87+$C31+(0),$B$3)+1)*I31+INDEX(Symboles!$G$6:$G$101,MOD(87+$C31+(1),$B$3)+1)*J31+INDEX(Symboles!$G$6:$G$101,MOD(87+$C31+(2),$B$3)+1)*K31+INDEX(Symboles!$G$6:$G$101,MOD(87+$C31+(3),$B$3)+1)*L31+INDEX(Symboles!$G$6:$G$101,MOD(87+$C31+(4),$B$3)+1)*M31+IF($B$6=0,0,$B$6*NORMSINV(0.000001+0.999998*RAND())))</f>
        <v/>
      </c>
      <c r="CZ31" s="30">
        <f>IF(89&gt;$B$3,99,INDEX(Symboles!$G$6:$G$101,MOD(88+$C31+(-4),$B$3)+1)*E31+INDEX(Symboles!$G$6:$G$101,MOD(88+$C31+(-3),$B$3)+1)*F31+INDEX(Symboles!$G$6:$G$101,MOD(88+$C31+(-2),$B$3)+1)*G31+INDEX(Symboles!$G$6:$G$101,MOD(88+$C31+(-1),$B$3)+1)*H31+INDEX(Symboles!$G$6:$G$101,MOD(88+$C31+(0),$B$3)+1)*I31+INDEX(Symboles!$G$6:$G$101,MOD(88+$C31+(1),$B$3)+1)*J31+INDEX(Symboles!$G$6:$G$101,MOD(88+$C31+(2),$B$3)+1)*K31+INDEX(Symboles!$G$6:$G$101,MOD(88+$C31+(3),$B$3)+1)*L31+INDEX(Symboles!$G$6:$G$101,MOD(88+$C31+(4),$B$3)+1)*M31+IF($B$6=0,0,$B$6*NORMSINV(0.000001+0.999998*RAND())))</f>
        <v/>
      </c>
      <c r="DA31" s="30">
        <f>IF(90&gt;$B$3,99,INDEX(Symboles!$G$6:$G$101,MOD(89+$C31+(-4),$B$3)+1)*E31+INDEX(Symboles!$G$6:$G$101,MOD(89+$C31+(-3),$B$3)+1)*F31+INDEX(Symboles!$G$6:$G$101,MOD(89+$C31+(-2),$B$3)+1)*G31+INDEX(Symboles!$G$6:$G$101,MOD(89+$C31+(-1),$B$3)+1)*H31+INDEX(Symboles!$G$6:$G$101,MOD(89+$C31+(0),$B$3)+1)*I31+INDEX(Symboles!$G$6:$G$101,MOD(89+$C31+(1),$B$3)+1)*J31+INDEX(Symboles!$G$6:$G$101,MOD(89+$C31+(2),$B$3)+1)*K31+INDEX(Symboles!$G$6:$G$101,MOD(89+$C31+(3),$B$3)+1)*L31+INDEX(Symboles!$G$6:$G$101,MOD(89+$C31+(4),$B$3)+1)*M31+IF($B$6=0,0,$B$6*NORMSINV(0.000001+0.999998*RAND())))</f>
        <v/>
      </c>
      <c r="DB31" s="30">
        <f>IF(91&gt;$B$3,99,INDEX(Symboles!$G$6:$G$101,MOD(90+$C31+(-4),$B$3)+1)*E31+INDEX(Symboles!$G$6:$G$101,MOD(90+$C31+(-3),$B$3)+1)*F31+INDEX(Symboles!$G$6:$G$101,MOD(90+$C31+(-2),$B$3)+1)*G31+INDEX(Symboles!$G$6:$G$101,MOD(90+$C31+(-1),$B$3)+1)*H31+INDEX(Symboles!$G$6:$G$101,MOD(90+$C31+(0),$B$3)+1)*I31+INDEX(Symboles!$G$6:$G$101,MOD(90+$C31+(1),$B$3)+1)*J31+INDEX(Symboles!$G$6:$G$101,MOD(90+$C31+(2),$B$3)+1)*K31+INDEX(Symboles!$G$6:$G$101,MOD(90+$C31+(3),$B$3)+1)*L31+INDEX(Symboles!$G$6:$G$101,MOD(90+$C31+(4),$B$3)+1)*M31+IF($B$6=0,0,$B$6*NORMSINV(0.000001+0.999998*RAND())))</f>
        <v/>
      </c>
      <c r="DC31" s="30">
        <f>IF(92&gt;$B$3,99,INDEX(Symboles!$G$6:$G$101,MOD(91+$C31+(-4),$B$3)+1)*E31+INDEX(Symboles!$G$6:$G$101,MOD(91+$C31+(-3),$B$3)+1)*F31+INDEX(Symboles!$G$6:$G$101,MOD(91+$C31+(-2),$B$3)+1)*G31+INDEX(Symboles!$G$6:$G$101,MOD(91+$C31+(-1),$B$3)+1)*H31+INDEX(Symboles!$G$6:$G$101,MOD(91+$C31+(0),$B$3)+1)*I31+INDEX(Symboles!$G$6:$G$101,MOD(91+$C31+(1),$B$3)+1)*J31+INDEX(Symboles!$G$6:$G$101,MOD(91+$C31+(2),$B$3)+1)*K31+INDEX(Symboles!$G$6:$G$101,MOD(91+$C31+(3),$B$3)+1)*L31+INDEX(Symboles!$G$6:$G$101,MOD(91+$C31+(4),$B$3)+1)*M31+IF($B$6=0,0,$B$6*NORMSINV(0.000001+0.999998*RAND())))</f>
        <v/>
      </c>
      <c r="DD31" s="30">
        <f>IF(93&gt;$B$3,99,INDEX(Symboles!$G$6:$G$101,MOD(92+$C31+(-4),$B$3)+1)*E31+INDEX(Symboles!$G$6:$G$101,MOD(92+$C31+(-3),$B$3)+1)*F31+INDEX(Symboles!$G$6:$G$101,MOD(92+$C31+(-2),$B$3)+1)*G31+INDEX(Symboles!$G$6:$G$101,MOD(92+$C31+(-1),$B$3)+1)*H31+INDEX(Symboles!$G$6:$G$101,MOD(92+$C31+(0),$B$3)+1)*I31+INDEX(Symboles!$G$6:$G$101,MOD(92+$C31+(1),$B$3)+1)*J31+INDEX(Symboles!$G$6:$G$101,MOD(92+$C31+(2),$B$3)+1)*K31+INDEX(Symboles!$G$6:$G$101,MOD(92+$C31+(3),$B$3)+1)*L31+INDEX(Symboles!$G$6:$G$101,MOD(92+$C31+(4),$B$3)+1)*M31+IF($B$6=0,0,$B$6*NORMSINV(0.000001+0.999998*RAND())))</f>
        <v/>
      </c>
      <c r="DE31" s="30">
        <f>IF(94&gt;$B$3,99,INDEX(Symboles!$G$6:$G$101,MOD(93+$C31+(-4),$B$3)+1)*E31+INDEX(Symboles!$G$6:$G$101,MOD(93+$C31+(-3),$B$3)+1)*F31+INDEX(Symboles!$G$6:$G$101,MOD(93+$C31+(-2),$B$3)+1)*G31+INDEX(Symboles!$G$6:$G$101,MOD(93+$C31+(-1),$B$3)+1)*H31+INDEX(Symboles!$G$6:$G$101,MOD(93+$C31+(0),$B$3)+1)*I31+INDEX(Symboles!$G$6:$G$101,MOD(93+$C31+(1),$B$3)+1)*J31+INDEX(Symboles!$G$6:$G$101,MOD(93+$C31+(2),$B$3)+1)*K31+INDEX(Symboles!$G$6:$G$101,MOD(93+$C31+(3),$B$3)+1)*L31+INDEX(Symboles!$G$6:$G$101,MOD(93+$C31+(4),$B$3)+1)*M31+IF($B$6=0,0,$B$6*NORMSINV(0.000001+0.999998*RAND())))</f>
        <v/>
      </c>
      <c r="DF31" s="30">
        <f>IF(95&gt;$B$3,99,INDEX(Symboles!$G$6:$G$101,MOD(94+$C31+(-4),$B$3)+1)*E31+INDEX(Symboles!$G$6:$G$101,MOD(94+$C31+(-3),$B$3)+1)*F31+INDEX(Symboles!$G$6:$G$101,MOD(94+$C31+(-2),$B$3)+1)*G31+INDEX(Symboles!$G$6:$G$101,MOD(94+$C31+(-1),$B$3)+1)*H31+INDEX(Symboles!$G$6:$G$101,MOD(94+$C31+(0),$B$3)+1)*I31+INDEX(Symboles!$G$6:$G$101,MOD(94+$C31+(1),$B$3)+1)*J31+INDEX(Symboles!$G$6:$G$101,MOD(94+$C31+(2),$B$3)+1)*K31+INDEX(Symboles!$G$6:$G$101,MOD(94+$C31+(3),$B$3)+1)*L31+INDEX(Symboles!$G$6:$G$101,MOD(94+$C31+(4),$B$3)+1)*M31+IF($B$6=0,0,$B$6*NORMSINV(0.000001+0.999998*RAND())))</f>
        <v/>
      </c>
      <c r="DG31" s="30">
        <f>IF(96&gt;$B$3,99,INDEX(Symboles!$G$6:$G$101,MOD(95+$C31+(-4),$B$3)+1)*E31+INDEX(Symboles!$G$6:$G$101,MOD(95+$C31+(-3),$B$3)+1)*F31+INDEX(Symboles!$G$6:$G$101,MOD(95+$C31+(-2),$B$3)+1)*G31+INDEX(Symboles!$G$6:$G$101,MOD(95+$C31+(-1),$B$3)+1)*H31+INDEX(Symboles!$G$6:$G$101,MOD(95+$C31+(0),$B$3)+1)*I31+INDEX(Symboles!$G$6:$G$101,MOD(95+$C31+(1),$B$3)+1)*J31+INDEX(Symboles!$G$6:$G$101,MOD(95+$C31+(2),$B$3)+1)*K31+INDEX(Symboles!$G$6:$G$101,MOD(95+$C31+(3),$B$3)+1)*L31+INDEX(Symboles!$G$6:$G$101,MOD(95+$C31+(4),$B$3)+1)*M31+IF($B$6=0,0,$B$6*NORMSINV(0.000001+0.999998*RAND())))</f>
        <v/>
      </c>
      <c r="DI31" s="30">
        <f>IF(1&gt;$B$3,99,INDEX(Symboles!$H$6:$H$101,MOD(0+$C31+(-4),$B$3)+1)*E31+INDEX(Symboles!$H$6:$H$101,MOD(0+$C31+(-3),$B$3)+1)*F31+INDEX(Symboles!$H$6:$H$101,MOD(0+$C31+(-2),$B$3)+1)*G31+INDEX(Symboles!$H$6:$H$101,MOD(0+$C31+(-1),$B$3)+1)*H31+INDEX(Symboles!$H$6:$H$101,MOD(0+$C31+(0),$B$3)+1)*I31+INDEX(Symboles!$H$6:$H$101,MOD(0+$C31+(1),$B$3)+1)*J31+INDEX(Symboles!$H$6:$H$101,MOD(0+$C31+(2),$B$3)+1)*K31+INDEX(Symboles!$H$6:$H$101,MOD(0+$C31+(3),$B$3)+1)*L31+INDEX(Symboles!$H$6:$H$101,MOD(0+$C31+(4),$B$3)+1)*M31+IF($B$6=0,0,$B$6*NORMSINV(0.000001+0.999998*RAND())))</f>
        <v/>
      </c>
      <c r="DJ31" s="30">
        <f>IF(2&gt;$B$3,99,INDEX(Symboles!$H$6:$H$101,MOD(1+$C31+(-4),$B$3)+1)*E31+INDEX(Symboles!$H$6:$H$101,MOD(1+$C31+(-3),$B$3)+1)*F31+INDEX(Symboles!$H$6:$H$101,MOD(1+$C31+(-2),$B$3)+1)*G31+INDEX(Symboles!$H$6:$H$101,MOD(1+$C31+(-1),$B$3)+1)*H31+INDEX(Symboles!$H$6:$H$101,MOD(1+$C31+(0),$B$3)+1)*I31+INDEX(Symboles!$H$6:$H$101,MOD(1+$C31+(1),$B$3)+1)*J31+INDEX(Symboles!$H$6:$H$101,MOD(1+$C31+(2),$B$3)+1)*K31+INDEX(Symboles!$H$6:$H$101,MOD(1+$C31+(3),$B$3)+1)*L31+INDEX(Symboles!$H$6:$H$101,MOD(1+$C31+(4),$B$3)+1)*M31+IF($B$6=0,0,$B$6*NORMSINV(0.000001+0.999998*RAND())))</f>
        <v/>
      </c>
      <c r="DK31" s="30">
        <f>IF(3&gt;$B$3,99,INDEX(Symboles!$H$6:$H$101,MOD(2+$C31+(-4),$B$3)+1)*E31+INDEX(Symboles!$H$6:$H$101,MOD(2+$C31+(-3),$B$3)+1)*F31+INDEX(Symboles!$H$6:$H$101,MOD(2+$C31+(-2),$B$3)+1)*G31+INDEX(Symboles!$H$6:$H$101,MOD(2+$C31+(-1),$B$3)+1)*H31+INDEX(Symboles!$H$6:$H$101,MOD(2+$C31+(0),$B$3)+1)*I31+INDEX(Symboles!$H$6:$H$101,MOD(2+$C31+(1),$B$3)+1)*J31+INDEX(Symboles!$H$6:$H$101,MOD(2+$C31+(2),$B$3)+1)*K31+INDEX(Symboles!$H$6:$H$101,MOD(2+$C31+(3),$B$3)+1)*L31+INDEX(Symboles!$H$6:$H$101,MOD(2+$C31+(4),$B$3)+1)*M31+IF($B$6=0,0,$B$6*NORMSINV(0.000001+0.999998*RAND())))</f>
        <v/>
      </c>
      <c r="DL31" s="30">
        <f>IF(4&gt;$B$3,99,INDEX(Symboles!$H$6:$H$101,MOD(3+$C31+(-4),$B$3)+1)*E31+INDEX(Symboles!$H$6:$H$101,MOD(3+$C31+(-3),$B$3)+1)*F31+INDEX(Symboles!$H$6:$H$101,MOD(3+$C31+(-2),$B$3)+1)*G31+INDEX(Symboles!$H$6:$H$101,MOD(3+$C31+(-1),$B$3)+1)*H31+INDEX(Symboles!$H$6:$H$101,MOD(3+$C31+(0),$B$3)+1)*I31+INDEX(Symboles!$H$6:$H$101,MOD(3+$C31+(1),$B$3)+1)*J31+INDEX(Symboles!$H$6:$H$101,MOD(3+$C31+(2),$B$3)+1)*K31+INDEX(Symboles!$H$6:$H$101,MOD(3+$C31+(3),$B$3)+1)*L31+INDEX(Symboles!$H$6:$H$101,MOD(3+$C31+(4),$B$3)+1)*M31+IF($B$6=0,0,$B$6*NORMSINV(0.000001+0.999998*RAND())))</f>
        <v/>
      </c>
      <c r="DM31" s="30">
        <f>IF(5&gt;$B$3,99,INDEX(Symboles!$H$6:$H$101,MOD(4+$C31+(-4),$B$3)+1)*E31+INDEX(Symboles!$H$6:$H$101,MOD(4+$C31+(-3),$B$3)+1)*F31+INDEX(Symboles!$H$6:$H$101,MOD(4+$C31+(-2),$B$3)+1)*G31+INDEX(Symboles!$H$6:$H$101,MOD(4+$C31+(-1),$B$3)+1)*H31+INDEX(Symboles!$H$6:$H$101,MOD(4+$C31+(0),$B$3)+1)*I31+INDEX(Symboles!$H$6:$H$101,MOD(4+$C31+(1),$B$3)+1)*J31+INDEX(Symboles!$H$6:$H$101,MOD(4+$C31+(2),$B$3)+1)*K31+INDEX(Symboles!$H$6:$H$101,MOD(4+$C31+(3),$B$3)+1)*L31+INDEX(Symboles!$H$6:$H$101,MOD(4+$C31+(4),$B$3)+1)*M31+IF($B$6=0,0,$B$6*NORMSINV(0.000001+0.999998*RAND())))</f>
        <v/>
      </c>
      <c r="DN31" s="30">
        <f>IF(6&gt;$B$3,99,INDEX(Symboles!$H$6:$H$101,MOD(5+$C31+(-4),$B$3)+1)*E31+INDEX(Symboles!$H$6:$H$101,MOD(5+$C31+(-3),$B$3)+1)*F31+INDEX(Symboles!$H$6:$H$101,MOD(5+$C31+(-2),$B$3)+1)*G31+INDEX(Symboles!$H$6:$H$101,MOD(5+$C31+(-1),$B$3)+1)*H31+INDEX(Symboles!$H$6:$H$101,MOD(5+$C31+(0),$B$3)+1)*I31+INDEX(Symboles!$H$6:$H$101,MOD(5+$C31+(1),$B$3)+1)*J31+INDEX(Symboles!$H$6:$H$101,MOD(5+$C31+(2),$B$3)+1)*K31+INDEX(Symboles!$H$6:$H$101,MOD(5+$C31+(3),$B$3)+1)*L31+INDEX(Symboles!$H$6:$H$101,MOD(5+$C31+(4),$B$3)+1)*M31+IF($B$6=0,0,$B$6*NORMSINV(0.000001+0.999998*RAND())))</f>
        <v/>
      </c>
      <c r="DO31" s="30">
        <f>IF(7&gt;$B$3,99,INDEX(Symboles!$H$6:$H$101,MOD(6+$C31+(-4),$B$3)+1)*E31+INDEX(Symboles!$H$6:$H$101,MOD(6+$C31+(-3),$B$3)+1)*F31+INDEX(Symboles!$H$6:$H$101,MOD(6+$C31+(-2),$B$3)+1)*G31+INDEX(Symboles!$H$6:$H$101,MOD(6+$C31+(-1),$B$3)+1)*H31+INDEX(Symboles!$H$6:$H$101,MOD(6+$C31+(0),$B$3)+1)*I31+INDEX(Symboles!$H$6:$H$101,MOD(6+$C31+(1),$B$3)+1)*J31+INDEX(Symboles!$H$6:$H$101,MOD(6+$C31+(2),$B$3)+1)*K31+INDEX(Symboles!$H$6:$H$101,MOD(6+$C31+(3),$B$3)+1)*L31+INDEX(Symboles!$H$6:$H$101,MOD(6+$C31+(4),$B$3)+1)*M31+IF($B$6=0,0,$B$6*NORMSINV(0.000001+0.999998*RAND())))</f>
        <v/>
      </c>
      <c r="DP31" s="30">
        <f>IF(8&gt;$B$3,99,INDEX(Symboles!$H$6:$H$101,MOD(7+$C31+(-4),$B$3)+1)*E31+INDEX(Symboles!$H$6:$H$101,MOD(7+$C31+(-3),$B$3)+1)*F31+INDEX(Symboles!$H$6:$H$101,MOD(7+$C31+(-2),$B$3)+1)*G31+INDEX(Symboles!$H$6:$H$101,MOD(7+$C31+(-1),$B$3)+1)*H31+INDEX(Symboles!$H$6:$H$101,MOD(7+$C31+(0),$B$3)+1)*I31+INDEX(Symboles!$H$6:$H$101,MOD(7+$C31+(1),$B$3)+1)*J31+INDEX(Symboles!$H$6:$H$101,MOD(7+$C31+(2),$B$3)+1)*K31+INDEX(Symboles!$H$6:$H$101,MOD(7+$C31+(3),$B$3)+1)*L31+INDEX(Symboles!$H$6:$H$101,MOD(7+$C31+(4),$B$3)+1)*M31+IF($B$6=0,0,$B$6*NORMSINV(0.000001+0.999998*RAND())))</f>
        <v/>
      </c>
      <c r="DQ31" s="30">
        <f>IF(9&gt;$B$3,99,INDEX(Symboles!$H$6:$H$101,MOD(8+$C31+(-4),$B$3)+1)*E31+INDEX(Symboles!$H$6:$H$101,MOD(8+$C31+(-3),$B$3)+1)*F31+INDEX(Symboles!$H$6:$H$101,MOD(8+$C31+(-2),$B$3)+1)*G31+INDEX(Symboles!$H$6:$H$101,MOD(8+$C31+(-1),$B$3)+1)*H31+INDEX(Symboles!$H$6:$H$101,MOD(8+$C31+(0),$B$3)+1)*I31+INDEX(Symboles!$H$6:$H$101,MOD(8+$C31+(1),$B$3)+1)*J31+INDEX(Symboles!$H$6:$H$101,MOD(8+$C31+(2),$B$3)+1)*K31+INDEX(Symboles!$H$6:$H$101,MOD(8+$C31+(3),$B$3)+1)*L31+INDEX(Symboles!$H$6:$H$101,MOD(8+$C31+(4),$B$3)+1)*M31+IF($B$6=0,0,$B$6*NORMSINV(0.000001+0.999998*RAND())))</f>
        <v/>
      </c>
      <c r="DR31" s="30">
        <f>IF(10&gt;$B$3,99,INDEX(Symboles!$H$6:$H$101,MOD(9+$C31+(-4),$B$3)+1)*E31+INDEX(Symboles!$H$6:$H$101,MOD(9+$C31+(-3),$B$3)+1)*F31+INDEX(Symboles!$H$6:$H$101,MOD(9+$C31+(-2),$B$3)+1)*G31+INDEX(Symboles!$H$6:$H$101,MOD(9+$C31+(-1),$B$3)+1)*H31+INDEX(Symboles!$H$6:$H$101,MOD(9+$C31+(0),$B$3)+1)*I31+INDEX(Symboles!$H$6:$H$101,MOD(9+$C31+(1),$B$3)+1)*J31+INDEX(Symboles!$H$6:$H$101,MOD(9+$C31+(2),$B$3)+1)*K31+INDEX(Symboles!$H$6:$H$101,MOD(9+$C31+(3),$B$3)+1)*L31+INDEX(Symboles!$H$6:$H$101,MOD(9+$C31+(4),$B$3)+1)*M31+IF($B$6=0,0,$B$6*NORMSINV(0.000001+0.999998*RAND())))</f>
        <v/>
      </c>
      <c r="DS31" s="30">
        <f>IF(11&gt;$B$3,99,INDEX(Symboles!$H$6:$H$101,MOD(10+$C31+(-4),$B$3)+1)*E31+INDEX(Symboles!$H$6:$H$101,MOD(10+$C31+(-3),$B$3)+1)*F31+INDEX(Symboles!$H$6:$H$101,MOD(10+$C31+(-2),$B$3)+1)*G31+INDEX(Symboles!$H$6:$H$101,MOD(10+$C31+(-1),$B$3)+1)*H31+INDEX(Symboles!$H$6:$H$101,MOD(10+$C31+(0),$B$3)+1)*I31+INDEX(Symboles!$H$6:$H$101,MOD(10+$C31+(1),$B$3)+1)*J31+INDEX(Symboles!$H$6:$H$101,MOD(10+$C31+(2),$B$3)+1)*K31+INDEX(Symboles!$H$6:$H$101,MOD(10+$C31+(3),$B$3)+1)*L31+INDEX(Symboles!$H$6:$H$101,MOD(10+$C31+(4),$B$3)+1)*M31+IF($B$6=0,0,$B$6*NORMSINV(0.000001+0.999998*RAND())))</f>
        <v/>
      </c>
      <c r="DT31" s="30">
        <f>IF(12&gt;$B$3,99,INDEX(Symboles!$H$6:$H$101,MOD(11+$C31+(-4),$B$3)+1)*E31+INDEX(Symboles!$H$6:$H$101,MOD(11+$C31+(-3),$B$3)+1)*F31+INDEX(Symboles!$H$6:$H$101,MOD(11+$C31+(-2),$B$3)+1)*G31+INDEX(Symboles!$H$6:$H$101,MOD(11+$C31+(-1),$B$3)+1)*H31+INDEX(Symboles!$H$6:$H$101,MOD(11+$C31+(0),$B$3)+1)*I31+INDEX(Symboles!$H$6:$H$101,MOD(11+$C31+(1),$B$3)+1)*J31+INDEX(Symboles!$H$6:$H$101,MOD(11+$C31+(2),$B$3)+1)*K31+INDEX(Symboles!$H$6:$H$101,MOD(11+$C31+(3),$B$3)+1)*L31+INDEX(Symboles!$H$6:$H$101,MOD(11+$C31+(4),$B$3)+1)*M31+IF($B$6=0,0,$B$6*NORMSINV(0.000001+0.999998*RAND())))</f>
        <v/>
      </c>
      <c r="DU31" s="30">
        <f>IF(13&gt;$B$3,99,INDEX(Symboles!$H$6:$H$101,MOD(12+$C31+(-4),$B$3)+1)*E31+INDEX(Symboles!$H$6:$H$101,MOD(12+$C31+(-3),$B$3)+1)*F31+INDEX(Symboles!$H$6:$H$101,MOD(12+$C31+(-2),$B$3)+1)*G31+INDEX(Symboles!$H$6:$H$101,MOD(12+$C31+(-1),$B$3)+1)*H31+INDEX(Symboles!$H$6:$H$101,MOD(12+$C31+(0),$B$3)+1)*I31+INDEX(Symboles!$H$6:$H$101,MOD(12+$C31+(1),$B$3)+1)*J31+INDEX(Symboles!$H$6:$H$101,MOD(12+$C31+(2),$B$3)+1)*K31+INDEX(Symboles!$H$6:$H$101,MOD(12+$C31+(3),$B$3)+1)*L31+INDEX(Symboles!$H$6:$H$101,MOD(12+$C31+(4),$B$3)+1)*M31+IF($B$6=0,0,$B$6*NORMSINV(0.000001+0.999998*RAND())))</f>
        <v/>
      </c>
      <c r="DV31" s="30">
        <f>IF(14&gt;$B$3,99,INDEX(Symboles!$H$6:$H$101,MOD(13+$C31+(-4),$B$3)+1)*E31+INDEX(Symboles!$H$6:$H$101,MOD(13+$C31+(-3),$B$3)+1)*F31+INDEX(Symboles!$H$6:$H$101,MOD(13+$C31+(-2),$B$3)+1)*G31+INDEX(Symboles!$H$6:$H$101,MOD(13+$C31+(-1),$B$3)+1)*H31+INDEX(Symboles!$H$6:$H$101,MOD(13+$C31+(0),$B$3)+1)*I31+INDEX(Symboles!$H$6:$H$101,MOD(13+$C31+(1),$B$3)+1)*J31+INDEX(Symboles!$H$6:$H$101,MOD(13+$C31+(2),$B$3)+1)*K31+INDEX(Symboles!$H$6:$H$101,MOD(13+$C31+(3),$B$3)+1)*L31+INDEX(Symboles!$H$6:$H$101,MOD(13+$C31+(4),$B$3)+1)*M31+IF($B$6=0,0,$B$6*NORMSINV(0.000001+0.999998*RAND())))</f>
        <v/>
      </c>
      <c r="DW31" s="30">
        <f>IF(15&gt;$B$3,99,INDEX(Symboles!$H$6:$H$101,MOD(14+$C31+(-4),$B$3)+1)*E31+INDEX(Symboles!$H$6:$H$101,MOD(14+$C31+(-3),$B$3)+1)*F31+INDEX(Symboles!$H$6:$H$101,MOD(14+$C31+(-2),$B$3)+1)*G31+INDEX(Symboles!$H$6:$H$101,MOD(14+$C31+(-1),$B$3)+1)*H31+INDEX(Symboles!$H$6:$H$101,MOD(14+$C31+(0),$B$3)+1)*I31+INDEX(Symboles!$H$6:$H$101,MOD(14+$C31+(1),$B$3)+1)*J31+INDEX(Symboles!$H$6:$H$101,MOD(14+$C31+(2),$B$3)+1)*K31+INDEX(Symboles!$H$6:$H$101,MOD(14+$C31+(3),$B$3)+1)*L31+INDEX(Symboles!$H$6:$H$101,MOD(14+$C31+(4),$B$3)+1)*M31+IF($B$6=0,0,$B$6*NORMSINV(0.000001+0.999998*RAND())))</f>
        <v/>
      </c>
      <c r="DX31" s="30">
        <f>IF(16&gt;$B$3,99,INDEX(Symboles!$H$6:$H$101,MOD(15+$C31+(-4),$B$3)+1)*E31+INDEX(Symboles!$H$6:$H$101,MOD(15+$C31+(-3),$B$3)+1)*F31+INDEX(Symboles!$H$6:$H$101,MOD(15+$C31+(-2),$B$3)+1)*G31+INDEX(Symboles!$H$6:$H$101,MOD(15+$C31+(-1),$B$3)+1)*H31+INDEX(Symboles!$H$6:$H$101,MOD(15+$C31+(0),$B$3)+1)*I31+INDEX(Symboles!$H$6:$H$101,MOD(15+$C31+(1),$B$3)+1)*J31+INDEX(Symboles!$H$6:$H$101,MOD(15+$C31+(2),$B$3)+1)*K31+INDEX(Symboles!$H$6:$H$101,MOD(15+$C31+(3),$B$3)+1)*L31+INDEX(Symboles!$H$6:$H$101,MOD(15+$C31+(4),$B$3)+1)*M31+IF($B$6=0,0,$B$6*NORMSINV(0.000001+0.999998*RAND())))</f>
        <v/>
      </c>
      <c r="DY31" s="30">
        <f>IF(17&gt;$B$3,99,INDEX(Symboles!$H$6:$H$101,MOD(16+$C31+(-4),$B$3)+1)*E31+INDEX(Symboles!$H$6:$H$101,MOD(16+$C31+(-3),$B$3)+1)*F31+INDEX(Symboles!$H$6:$H$101,MOD(16+$C31+(-2),$B$3)+1)*G31+INDEX(Symboles!$H$6:$H$101,MOD(16+$C31+(-1),$B$3)+1)*H31+INDEX(Symboles!$H$6:$H$101,MOD(16+$C31+(0),$B$3)+1)*I31+INDEX(Symboles!$H$6:$H$101,MOD(16+$C31+(1),$B$3)+1)*J31+INDEX(Symboles!$H$6:$H$101,MOD(16+$C31+(2),$B$3)+1)*K31+INDEX(Symboles!$H$6:$H$101,MOD(16+$C31+(3),$B$3)+1)*L31+INDEX(Symboles!$H$6:$H$101,MOD(16+$C31+(4),$B$3)+1)*M31+IF($B$6=0,0,$B$6*NORMSINV(0.000001+0.999998*RAND())))</f>
        <v/>
      </c>
      <c r="DZ31" s="30">
        <f>IF(18&gt;$B$3,99,INDEX(Symboles!$H$6:$H$101,MOD(17+$C31+(-4),$B$3)+1)*E31+INDEX(Symboles!$H$6:$H$101,MOD(17+$C31+(-3),$B$3)+1)*F31+INDEX(Symboles!$H$6:$H$101,MOD(17+$C31+(-2),$B$3)+1)*G31+INDEX(Symboles!$H$6:$H$101,MOD(17+$C31+(-1),$B$3)+1)*H31+INDEX(Symboles!$H$6:$H$101,MOD(17+$C31+(0),$B$3)+1)*I31+INDEX(Symboles!$H$6:$H$101,MOD(17+$C31+(1),$B$3)+1)*J31+INDEX(Symboles!$H$6:$H$101,MOD(17+$C31+(2),$B$3)+1)*K31+INDEX(Symboles!$H$6:$H$101,MOD(17+$C31+(3),$B$3)+1)*L31+INDEX(Symboles!$H$6:$H$101,MOD(17+$C31+(4),$B$3)+1)*M31+IF($B$6=0,0,$B$6*NORMSINV(0.000001+0.999998*RAND())))</f>
        <v/>
      </c>
      <c r="EA31" s="30">
        <f>IF(19&gt;$B$3,99,INDEX(Symboles!$H$6:$H$101,MOD(18+$C31+(-4),$B$3)+1)*E31+INDEX(Symboles!$H$6:$H$101,MOD(18+$C31+(-3),$B$3)+1)*F31+INDEX(Symboles!$H$6:$H$101,MOD(18+$C31+(-2),$B$3)+1)*G31+INDEX(Symboles!$H$6:$H$101,MOD(18+$C31+(-1),$B$3)+1)*H31+INDEX(Symboles!$H$6:$H$101,MOD(18+$C31+(0),$B$3)+1)*I31+INDEX(Symboles!$H$6:$H$101,MOD(18+$C31+(1),$B$3)+1)*J31+INDEX(Symboles!$H$6:$H$101,MOD(18+$C31+(2),$B$3)+1)*K31+INDEX(Symboles!$H$6:$H$101,MOD(18+$C31+(3),$B$3)+1)*L31+INDEX(Symboles!$H$6:$H$101,MOD(18+$C31+(4),$B$3)+1)*M31+IF($B$6=0,0,$B$6*NORMSINV(0.000001+0.999998*RAND())))</f>
        <v/>
      </c>
      <c r="EB31" s="30">
        <f>IF(20&gt;$B$3,99,INDEX(Symboles!$H$6:$H$101,MOD(19+$C31+(-4),$B$3)+1)*E31+INDEX(Symboles!$H$6:$H$101,MOD(19+$C31+(-3),$B$3)+1)*F31+INDEX(Symboles!$H$6:$H$101,MOD(19+$C31+(-2),$B$3)+1)*G31+INDEX(Symboles!$H$6:$H$101,MOD(19+$C31+(-1),$B$3)+1)*H31+INDEX(Symboles!$H$6:$H$101,MOD(19+$C31+(0),$B$3)+1)*I31+INDEX(Symboles!$H$6:$H$101,MOD(19+$C31+(1),$B$3)+1)*J31+INDEX(Symboles!$H$6:$H$101,MOD(19+$C31+(2),$B$3)+1)*K31+INDEX(Symboles!$H$6:$H$101,MOD(19+$C31+(3),$B$3)+1)*L31+INDEX(Symboles!$H$6:$H$101,MOD(19+$C31+(4),$B$3)+1)*M31+IF($B$6=0,0,$B$6*NORMSINV(0.000001+0.999998*RAND())))</f>
        <v/>
      </c>
      <c r="EC31" s="30">
        <f>IF(21&gt;$B$3,99,INDEX(Symboles!$H$6:$H$101,MOD(20+$C31+(-4),$B$3)+1)*E31+INDEX(Symboles!$H$6:$H$101,MOD(20+$C31+(-3),$B$3)+1)*F31+INDEX(Symboles!$H$6:$H$101,MOD(20+$C31+(-2),$B$3)+1)*G31+INDEX(Symboles!$H$6:$H$101,MOD(20+$C31+(-1),$B$3)+1)*H31+INDEX(Symboles!$H$6:$H$101,MOD(20+$C31+(0),$B$3)+1)*I31+INDEX(Symboles!$H$6:$H$101,MOD(20+$C31+(1),$B$3)+1)*J31+INDEX(Symboles!$H$6:$H$101,MOD(20+$C31+(2),$B$3)+1)*K31+INDEX(Symboles!$H$6:$H$101,MOD(20+$C31+(3),$B$3)+1)*L31+INDEX(Symboles!$H$6:$H$101,MOD(20+$C31+(4),$B$3)+1)*M31+IF($B$6=0,0,$B$6*NORMSINV(0.000001+0.999998*RAND())))</f>
        <v/>
      </c>
      <c r="ED31" s="30">
        <f>IF(22&gt;$B$3,99,INDEX(Symboles!$H$6:$H$101,MOD(21+$C31+(-4),$B$3)+1)*E31+INDEX(Symboles!$H$6:$H$101,MOD(21+$C31+(-3),$B$3)+1)*F31+INDEX(Symboles!$H$6:$H$101,MOD(21+$C31+(-2),$B$3)+1)*G31+INDEX(Symboles!$H$6:$H$101,MOD(21+$C31+(-1),$B$3)+1)*H31+INDEX(Symboles!$H$6:$H$101,MOD(21+$C31+(0),$B$3)+1)*I31+INDEX(Symboles!$H$6:$H$101,MOD(21+$C31+(1),$B$3)+1)*J31+INDEX(Symboles!$H$6:$H$101,MOD(21+$C31+(2),$B$3)+1)*K31+INDEX(Symboles!$H$6:$H$101,MOD(21+$C31+(3),$B$3)+1)*L31+INDEX(Symboles!$H$6:$H$101,MOD(21+$C31+(4),$B$3)+1)*M31+IF($B$6=0,0,$B$6*NORMSINV(0.000001+0.999998*RAND())))</f>
        <v/>
      </c>
      <c r="EE31" s="30">
        <f>IF(23&gt;$B$3,99,INDEX(Symboles!$H$6:$H$101,MOD(22+$C31+(-4),$B$3)+1)*E31+INDEX(Symboles!$H$6:$H$101,MOD(22+$C31+(-3),$B$3)+1)*F31+INDEX(Symboles!$H$6:$H$101,MOD(22+$C31+(-2),$B$3)+1)*G31+INDEX(Symboles!$H$6:$H$101,MOD(22+$C31+(-1),$B$3)+1)*H31+INDEX(Symboles!$H$6:$H$101,MOD(22+$C31+(0),$B$3)+1)*I31+INDEX(Symboles!$H$6:$H$101,MOD(22+$C31+(1),$B$3)+1)*J31+INDEX(Symboles!$H$6:$H$101,MOD(22+$C31+(2),$B$3)+1)*K31+INDEX(Symboles!$H$6:$H$101,MOD(22+$C31+(3),$B$3)+1)*L31+INDEX(Symboles!$H$6:$H$101,MOD(22+$C31+(4),$B$3)+1)*M31+IF($B$6=0,0,$B$6*NORMSINV(0.000001+0.999998*RAND())))</f>
        <v/>
      </c>
      <c r="EF31" s="30">
        <f>IF(24&gt;$B$3,99,INDEX(Symboles!$H$6:$H$101,MOD(23+$C31+(-4),$B$3)+1)*E31+INDEX(Symboles!$H$6:$H$101,MOD(23+$C31+(-3),$B$3)+1)*F31+INDEX(Symboles!$H$6:$H$101,MOD(23+$C31+(-2),$B$3)+1)*G31+INDEX(Symboles!$H$6:$H$101,MOD(23+$C31+(-1),$B$3)+1)*H31+INDEX(Symboles!$H$6:$H$101,MOD(23+$C31+(0),$B$3)+1)*I31+INDEX(Symboles!$H$6:$H$101,MOD(23+$C31+(1),$B$3)+1)*J31+INDEX(Symboles!$H$6:$H$101,MOD(23+$C31+(2),$B$3)+1)*K31+INDEX(Symboles!$H$6:$H$101,MOD(23+$C31+(3),$B$3)+1)*L31+INDEX(Symboles!$H$6:$H$101,MOD(23+$C31+(4),$B$3)+1)*M31+IF($B$6=0,0,$B$6*NORMSINV(0.000001+0.999998*RAND())))</f>
        <v/>
      </c>
      <c r="EG31" s="30">
        <f>IF(25&gt;$B$3,99,INDEX(Symboles!$H$6:$H$101,MOD(24+$C31+(-4),$B$3)+1)*E31+INDEX(Symboles!$H$6:$H$101,MOD(24+$C31+(-3),$B$3)+1)*F31+INDEX(Symboles!$H$6:$H$101,MOD(24+$C31+(-2),$B$3)+1)*G31+INDEX(Symboles!$H$6:$H$101,MOD(24+$C31+(-1),$B$3)+1)*H31+INDEX(Symboles!$H$6:$H$101,MOD(24+$C31+(0),$B$3)+1)*I31+INDEX(Symboles!$H$6:$H$101,MOD(24+$C31+(1),$B$3)+1)*J31+INDEX(Symboles!$H$6:$H$101,MOD(24+$C31+(2),$B$3)+1)*K31+INDEX(Symboles!$H$6:$H$101,MOD(24+$C31+(3),$B$3)+1)*L31+INDEX(Symboles!$H$6:$H$101,MOD(24+$C31+(4),$B$3)+1)*M31+IF($B$6=0,0,$B$6*NORMSINV(0.000001+0.999998*RAND())))</f>
        <v/>
      </c>
      <c r="EH31" s="30">
        <f>IF(26&gt;$B$3,99,INDEX(Symboles!$H$6:$H$101,MOD(25+$C31+(-4),$B$3)+1)*E31+INDEX(Symboles!$H$6:$H$101,MOD(25+$C31+(-3),$B$3)+1)*F31+INDEX(Symboles!$H$6:$H$101,MOD(25+$C31+(-2),$B$3)+1)*G31+INDEX(Symboles!$H$6:$H$101,MOD(25+$C31+(-1),$B$3)+1)*H31+INDEX(Symboles!$H$6:$H$101,MOD(25+$C31+(0),$B$3)+1)*I31+INDEX(Symboles!$H$6:$H$101,MOD(25+$C31+(1),$B$3)+1)*J31+INDEX(Symboles!$H$6:$H$101,MOD(25+$C31+(2),$B$3)+1)*K31+INDEX(Symboles!$H$6:$H$101,MOD(25+$C31+(3),$B$3)+1)*L31+INDEX(Symboles!$H$6:$H$101,MOD(25+$C31+(4),$B$3)+1)*M31+IF($B$6=0,0,$B$6*NORMSINV(0.000001+0.999998*RAND())))</f>
        <v/>
      </c>
      <c r="EI31" s="30">
        <f>IF(27&gt;$B$3,99,INDEX(Symboles!$H$6:$H$101,MOD(26+$C31+(-4),$B$3)+1)*E31+INDEX(Symboles!$H$6:$H$101,MOD(26+$C31+(-3),$B$3)+1)*F31+INDEX(Symboles!$H$6:$H$101,MOD(26+$C31+(-2),$B$3)+1)*G31+INDEX(Symboles!$H$6:$H$101,MOD(26+$C31+(-1),$B$3)+1)*H31+INDEX(Symboles!$H$6:$H$101,MOD(26+$C31+(0),$B$3)+1)*I31+INDEX(Symboles!$H$6:$H$101,MOD(26+$C31+(1),$B$3)+1)*J31+INDEX(Symboles!$H$6:$H$101,MOD(26+$C31+(2),$B$3)+1)*K31+INDEX(Symboles!$H$6:$H$101,MOD(26+$C31+(3),$B$3)+1)*L31+INDEX(Symboles!$H$6:$H$101,MOD(26+$C31+(4),$B$3)+1)*M31+IF($B$6=0,0,$B$6*NORMSINV(0.000001+0.999998*RAND())))</f>
        <v/>
      </c>
      <c r="EJ31" s="30">
        <f>IF(28&gt;$B$3,99,INDEX(Symboles!$H$6:$H$101,MOD(27+$C31+(-4),$B$3)+1)*E31+INDEX(Symboles!$H$6:$H$101,MOD(27+$C31+(-3),$B$3)+1)*F31+INDEX(Symboles!$H$6:$H$101,MOD(27+$C31+(-2),$B$3)+1)*G31+INDEX(Symboles!$H$6:$H$101,MOD(27+$C31+(-1),$B$3)+1)*H31+INDEX(Symboles!$H$6:$H$101,MOD(27+$C31+(0),$B$3)+1)*I31+INDEX(Symboles!$H$6:$H$101,MOD(27+$C31+(1),$B$3)+1)*J31+INDEX(Symboles!$H$6:$H$101,MOD(27+$C31+(2),$B$3)+1)*K31+INDEX(Symboles!$H$6:$H$101,MOD(27+$C31+(3),$B$3)+1)*L31+INDEX(Symboles!$H$6:$H$101,MOD(27+$C31+(4),$B$3)+1)*M31+IF($B$6=0,0,$B$6*NORMSINV(0.000001+0.999998*RAND())))</f>
        <v/>
      </c>
      <c r="EK31" s="30">
        <f>IF(29&gt;$B$3,99,INDEX(Symboles!$H$6:$H$101,MOD(28+$C31+(-4),$B$3)+1)*E31+INDEX(Symboles!$H$6:$H$101,MOD(28+$C31+(-3),$B$3)+1)*F31+INDEX(Symboles!$H$6:$H$101,MOD(28+$C31+(-2),$B$3)+1)*G31+INDEX(Symboles!$H$6:$H$101,MOD(28+$C31+(-1),$B$3)+1)*H31+INDEX(Symboles!$H$6:$H$101,MOD(28+$C31+(0),$B$3)+1)*I31+INDEX(Symboles!$H$6:$H$101,MOD(28+$C31+(1),$B$3)+1)*J31+INDEX(Symboles!$H$6:$H$101,MOD(28+$C31+(2),$B$3)+1)*K31+INDEX(Symboles!$H$6:$H$101,MOD(28+$C31+(3),$B$3)+1)*L31+INDEX(Symboles!$H$6:$H$101,MOD(28+$C31+(4),$B$3)+1)*M31+IF($B$6=0,0,$B$6*NORMSINV(0.000001+0.999998*RAND())))</f>
        <v/>
      </c>
      <c r="EL31" s="30">
        <f>IF(30&gt;$B$3,99,INDEX(Symboles!$H$6:$H$101,MOD(29+$C31+(-4),$B$3)+1)*E31+INDEX(Symboles!$H$6:$H$101,MOD(29+$C31+(-3),$B$3)+1)*F31+INDEX(Symboles!$H$6:$H$101,MOD(29+$C31+(-2),$B$3)+1)*G31+INDEX(Symboles!$H$6:$H$101,MOD(29+$C31+(-1),$B$3)+1)*H31+INDEX(Symboles!$H$6:$H$101,MOD(29+$C31+(0),$B$3)+1)*I31+INDEX(Symboles!$H$6:$H$101,MOD(29+$C31+(1),$B$3)+1)*J31+INDEX(Symboles!$H$6:$H$101,MOD(29+$C31+(2),$B$3)+1)*K31+INDEX(Symboles!$H$6:$H$101,MOD(29+$C31+(3),$B$3)+1)*L31+INDEX(Symboles!$H$6:$H$101,MOD(29+$C31+(4),$B$3)+1)*M31+IF($B$6=0,0,$B$6*NORMSINV(0.000001+0.999998*RAND())))</f>
        <v/>
      </c>
      <c r="EM31" s="30">
        <f>IF(31&gt;$B$3,99,INDEX(Symboles!$H$6:$H$101,MOD(30+$C31+(-4),$B$3)+1)*E31+INDEX(Symboles!$H$6:$H$101,MOD(30+$C31+(-3),$B$3)+1)*F31+INDEX(Symboles!$H$6:$H$101,MOD(30+$C31+(-2),$B$3)+1)*G31+INDEX(Symboles!$H$6:$H$101,MOD(30+$C31+(-1),$B$3)+1)*H31+INDEX(Symboles!$H$6:$H$101,MOD(30+$C31+(0),$B$3)+1)*I31+INDEX(Symboles!$H$6:$H$101,MOD(30+$C31+(1),$B$3)+1)*J31+INDEX(Symboles!$H$6:$H$101,MOD(30+$C31+(2),$B$3)+1)*K31+INDEX(Symboles!$H$6:$H$101,MOD(30+$C31+(3),$B$3)+1)*L31+INDEX(Symboles!$H$6:$H$101,MOD(30+$C31+(4),$B$3)+1)*M31+IF($B$6=0,0,$B$6*NORMSINV(0.000001+0.999998*RAND())))</f>
        <v/>
      </c>
      <c r="EN31" s="30">
        <f>IF(32&gt;$B$3,99,INDEX(Symboles!$H$6:$H$101,MOD(31+$C31+(-4),$B$3)+1)*E31+INDEX(Symboles!$H$6:$H$101,MOD(31+$C31+(-3),$B$3)+1)*F31+INDEX(Symboles!$H$6:$H$101,MOD(31+$C31+(-2),$B$3)+1)*G31+INDEX(Symboles!$H$6:$H$101,MOD(31+$C31+(-1),$B$3)+1)*H31+INDEX(Symboles!$H$6:$H$101,MOD(31+$C31+(0),$B$3)+1)*I31+INDEX(Symboles!$H$6:$H$101,MOD(31+$C31+(1),$B$3)+1)*J31+INDEX(Symboles!$H$6:$H$101,MOD(31+$C31+(2),$B$3)+1)*K31+INDEX(Symboles!$H$6:$H$101,MOD(31+$C31+(3),$B$3)+1)*L31+INDEX(Symboles!$H$6:$H$101,MOD(31+$C31+(4),$B$3)+1)*M31+IF($B$6=0,0,$B$6*NORMSINV(0.000001+0.999998*RAND())))</f>
        <v/>
      </c>
      <c r="EO31" s="30">
        <f>IF(33&gt;$B$3,99,INDEX(Symboles!$H$6:$H$101,MOD(32+$C31+(-4),$B$3)+1)*E31+INDEX(Symboles!$H$6:$H$101,MOD(32+$C31+(-3),$B$3)+1)*F31+INDEX(Symboles!$H$6:$H$101,MOD(32+$C31+(-2),$B$3)+1)*G31+INDEX(Symboles!$H$6:$H$101,MOD(32+$C31+(-1),$B$3)+1)*H31+INDEX(Symboles!$H$6:$H$101,MOD(32+$C31+(0),$B$3)+1)*I31+INDEX(Symboles!$H$6:$H$101,MOD(32+$C31+(1),$B$3)+1)*J31+INDEX(Symboles!$H$6:$H$101,MOD(32+$C31+(2),$B$3)+1)*K31+INDEX(Symboles!$H$6:$H$101,MOD(32+$C31+(3),$B$3)+1)*L31+INDEX(Symboles!$H$6:$H$101,MOD(32+$C31+(4),$B$3)+1)*M31+IF($B$6=0,0,$B$6*NORMSINV(0.000001+0.999998*RAND())))</f>
        <v/>
      </c>
      <c r="EP31" s="30">
        <f>IF(34&gt;$B$3,99,INDEX(Symboles!$H$6:$H$101,MOD(33+$C31+(-4),$B$3)+1)*E31+INDEX(Symboles!$H$6:$H$101,MOD(33+$C31+(-3),$B$3)+1)*F31+INDEX(Symboles!$H$6:$H$101,MOD(33+$C31+(-2),$B$3)+1)*G31+INDEX(Symboles!$H$6:$H$101,MOD(33+$C31+(-1),$B$3)+1)*H31+INDEX(Symboles!$H$6:$H$101,MOD(33+$C31+(0),$B$3)+1)*I31+INDEX(Symboles!$H$6:$H$101,MOD(33+$C31+(1),$B$3)+1)*J31+INDEX(Symboles!$H$6:$H$101,MOD(33+$C31+(2),$B$3)+1)*K31+INDEX(Symboles!$H$6:$H$101,MOD(33+$C31+(3),$B$3)+1)*L31+INDEX(Symboles!$H$6:$H$101,MOD(33+$C31+(4),$B$3)+1)*M31+IF($B$6=0,0,$B$6*NORMSINV(0.000001+0.999998*RAND())))</f>
        <v/>
      </c>
      <c r="EQ31" s="30">
        <f>IF(35&gt;$B$3,99,INDEX(Symboles!$H$6:$H$101,MOD(34+$C31+(-4),$B$3)+1)*E31+INDEX(Symboles!$H$6:$H$101,MOD(34+$C31+(-3),$B$3)+1)*F31+INDEX(Symboles!$H$6:$H$101,MOD(34+$C31+(-2),$B$3)+1)*G31+INDEX(Symboles!$H$6:$H$101,MOD(34+$C31+(-1),$B$3)+1)*H31+INDEX(Symboles!$H$6:$H$101,MOD(34+$C31+(0),$B$3)+1)*I31+INDEX(Symboles!$H$6:$H$101,MOD(34+$C31+(1),$B$3)+1)*J31+INDEX(Symboles!$H$6:$H$101,MOD(34+$C31+(2),$B$3)+1)*K31+INDEX(Symboles!$H$6:$H$101,MOD(34+$C31+(3),$B$3)+1)*L31+INDEX(Symboles!$H$6:$H$101,MOD(34+$C31+(4),$B$3)+1)*M31+IF($B$6=0,0,$B$6*NORMSINV(0.000001+0.999998*RAND())))</f>
        <v/>
      </c>
      <c r="ER31" s="30">
        <f>IF(36&gt;$B$3,99,INDEX(Symboles!$H$6:$H$101,MOD(35+$C31+(-4),$B$3)+1)*E31+INDEX(Symboles!$H$6:$H$101,MOD(35+$C31+(-3),$B$3)+1)*F31+INDEX(Symboles!$H$6:$H$101,MOD(35+$C31+(-2),$B$3)+1)*G31+INDEX(Symboles!$H$6:$H$101,MOD(35+$C31+(-1),$B$3)+1)*H31+INDEX(Symboles!$H$6:$H$101,MOD(35+$C31+(0),$B$3)+1)*I31+INDEX(Symboles!$H$6:$H$101,MOD(35+$C31+(1),$B$3)+1)*J31+INDEX(Symboles!$H$6:$H$101,MOD(35+$C31+(2),$B$3)+1)*K31+INDEX(Symboles!$H$6:$H$101,MOD(35+$C31+(3),$B$3)+1)*L31+INDEX(Symboles!$H$6:$H$101,MOD(35+$C31+(4),$B$3)+1)*M31+IF($B$6=0,0,$B$6*NORMSINV(0.000001+0.999998*RAND())))</f>
        <v/>
      </c>
      <c r="ES31" s="30">
        <f>IF(37&gt;$B$3,99,INDEX(Symboles!$H$6:$H$101,MOD(36+$C31+(-4),$B$3)+1)*E31+INDEX(Symboles!$H$6:$H$101,MOD(36+$C31+(-3),$B$3)+1)*F31+INDEX(Symboles!$H$6:$H$101,MOD(36+$C31+(-2),$B$3)+1)*G31+INDEX(Symboles!$H$6:$H$101,MOD(36+$C31+(-1),$B$3)+1)*H31+INDEX(Symboles!$H$6:$H$101,MOD(36+$C31+(0),$B$3)+1)*I31+INDEX(Symboles!$H$6:$H$101,MOD(36+$C31+(1),$B$3)+1)*J31+INDEX(Symboles!$H$6:$H$101,MOD(36+$C31+(2),$B$3)+1)*K31+INDEX(Symboles!$H$6:$H$101,MOD(36+$C31+(3),$B$3)+1)*L31+INDEX(Symboles!$H$6:$H$101,MOD(36+$C31+(4),$B$3)+1)*M31+IF($B$6=0,0,$B$6*NORMSINV(0.000001+0.999998*RAND())))</f>
        <v/>
      </c>
      <c r="ET31" s="30">
        <f>IF(38&gt;$B$3,99,INDEX(Symboles!$H$6:$H$101,MOD(37+$C31+(-4),$B$3)+1)*E31+INDEX(Symboles!$H$6:$H$101,MOD(37+$C31+(-3),$B$3)+1)*F31+INDEX(Symboles!$H$6:$H$101,MOD(37+$C31+(-2),$B$3)+1)*G31+INDEX(Symboles!$H$6:$H$101,MOD(37+$C31+(-1),$B$3)+1)*H31+INDEX(Symboles!$H$6:$H$101,MOD(37+$C31+(0),$B$3)+1)*I31+INDEX(Symboles!$H$6:$H$101,MOD(37+$C31+(1),$B$3)+1)*J31+INDEX(Symboles!$H$6:$H$101,MOD(37+$C31+(2),$B$3)+1)*K31+INDEX(Symboles!$H$6:$H$101,MOD(37+$C31+(3),$B$3)+1)*L31+INDEX(Symboles!$H$6:$H$101,MOD(37+$C31+(4),$B$3)+1)*M31+IF($B$6=0,0,$B$6*NORMSINV(0.000001+0.999998*RAND())))</f>
        <v/>
      </c>
      <c r="EU31" s="30">
        <f>IF(39&gt;$B$3,99,INDEX(Symboles!$H$6:$H$101,MOD(38+$C31+(-4),$B$3)+1)*E31+INDEX(Symboles!$H$6:$H$101,MOD(38+$C31+(-3),$B$3)+1)*F31+INDEX(Symboles!$H$6:$H$101,MOD(38+$C31+(-2),$B$3)+1)*G31+INDEX(Symboles!$H$6:$H$101,MOD(38+$C31+(-1),$B$3)+1)*H31+INDEX(Symboles!$H$6:$H$101,MOD(38+$C31+(0),$B$3)+1)*I31+INDEX(Symboles!$H$6:$H$101,MOD(38+$C31+(1),$B$3)+1)*J31+INDEX(Symboles!$H$6:$H$101,MOD(38+$C31+(2),$B$3)+1)*K31+INDEX(Symboles!$H$6:$H$101,MOD(38+$C31+(3),$B$3)+1)*L31+INDEX(Symboles!$H$6:$H$101,MOD(38+$C31+(4),$B$3)+1)*M31+IF($B$6=0,0,$B$6*NORMSINV(0.000001+0.999998*RAND())))</f>
        <v/>
      </c>
      <c r="EV31" s="30">
        <f>IF(40&gt;$B$3,99,INDEX(Symboles!$H$6:$H$101,MOD(39+$C31+(-4),$B$3)+1)*E31+INDEX(Symboles!$H$6:$H$101,MOD(39+$C31+(-3),$B$3)+1)*F31+INDEX(Symboles!$H$6:$H$101,MOD(39+$C31+(-2),$B$3)+1)*G31+INDEX(Symboles!$H$6:$H$101,MOD(39+$C31+(-1),$B$3)+1)*H31+INDEX(Symboles!$H$6:$H$101,MOD(39+$C31+(0),$B$3)+1)*I31+INDEX(Symboles!$H$6:$H$101,MOD(39+$C31+(1),$B$3)+1)*J31+INDEX(Symboles!$H$6:$H$101,MOD(39+$C31+(2),$B$3)+1)*K31+INDEX(Symboles!$H$6:$H$101,MOD(39+$C31+(3),$B$3)+1)*L31+INDEX(Symboles!$H$6:$H$101,MOD(39+$C31+(4),$B$3)+1)*M31+IF($B$6=0,0,$B$6*NORMSINV(0.000001+0.999998*RAND())))</f>
        <v/>
      </c>
      <c r="EW31" s="30">
        <f>IF(41&gt;$B$3,99,INDEX(Symboles!$H$6:$H$101,MOD(40+$C31+(-4),$B$3)+1)*E31+INDEX(Symboles!$H$6:$H$101,MOD(40+$C31+(-3),$B$3)+1)*F31+INDEX(Symboles!$H$6:$H$101,MOD(40+$C31+(-2),$B$3)+1)*G31+INDEX(Symboles!$H$6:$H$101,MOD(40+$C31+(-1),$B$3)+1)*H31+INDEX(Symboles!$H$6:$H$101,MOD(40+$C31+(0),$B$3)+1)*I31+INDEX(Symboles!$H$6:$H$101,MOD(40+$C31+(1),$B$3)+1)*J31+INDEX(Symboles!$H$6:$H$101,MOD(40+$C31+(2),$B$3)+1)*K31+INDEX(Symboles!$H$6:$H$101,MOD(40+$C31+(3),$B$3)+1)*L31+INDEX(Symboles!$H$6:$H$101,MOD(40+$C31+(4),$B$3)+1)*M31+IF($B$6=0,0,$B$6*NORMSINV(0.000001+0.999998*RAND())))</f>
        <v/>
      </c>
      <c r="EX31" s="30">
        <f>IF(42&gt;$B$3,99,INDEX(Symboles!$H$6:$H$101,MOD(41+$C31+(-4),$B$3)+1)*E31+INDEX(Symboles!$H$6:$H$101,MOD(41+$C31+(-3),$B$3)+1)*F31+INDEX(Symboles!$H$6:$H$101,MOD(41+$C31+(-2),$B$3)+1)*G31+INDEX(Symboles!$H$6:$H$101,MOD(41+$C31+(-1),$B$3)+1)*H31+INDEX(Symboles!$H$6:$H$101,MOD(41+$C31+(0),$B$3)+1)*I31+INDEX(Symboles!$H$6:$H$101,MOD(41+$C31+(1),$B$3)+1)*J31+INDEX(Symboles!$H$6:$H$101,MOD(41+$C31+(2),$B$3)+1)*K31+INDEX(Symboles!$H$6:$H$101,MOD(41+$C31+(3),$B$3)+1)*L31+INDEX(Symboles!$H$6:$H$101,MOD(41+$C31+(4),$B$3)+1)*M31+IF($B$6=0,0,$B$6*NORMSINV(0.000001+0.999998*RAND())))</f>
        <v/>
      </c>
      <c r="EY31" s="30">
        <f>IF(43&gt;$B$3,99,INDEX(Symboles!$H$6:$H$101,MOD(42+$C31+(-4),$B$3)+1)*E31+INDEX(Symboles!$H$6:$H$101,MOD(42+$C31+(-3),$B$3)+1)*F31+INDEX(Symboles!$H$6:$H$101,MOD(42+$C31+(-2),$B$3)+1)*G31+INDEX(Symboles!$H$6:$H$101,MOD(42+$C31+(-1),$B$3)+1)*H31+INDEX(Symboles!$H$6:$H$101,MOD(42+$C31+(0),$B$3)+1)*I31+INDEX(Symboles!$H$6:$H$101,MOD(42+$C31+(1),$B$3)+1)*J31+INDEX(Symboles!$H$6:$H$101,MOD(42+$C31+(2),$B$3)+1)*K31+INDEX(Symboles!$H$6:$H$101,MOD(42+$C31+(3),$B$3)+1)*L31+INDEX(Symboles!$H$6:$H$101,MOD(42+$C31+(4),$B$3)+1)*M31+IF($B$6=0,0,$B$6*NORMSINV(0.000001+0.999998*RAND())))</f>
        <v/>
      </c>
      <c r="EZ31" s="30">
        <f>IF(44&gt;$B$3,99,INDEX(Symboles!$H$6:$H$101,MOD(43+$C31+(-4),$B$3)+1)*E31+INDEX(Symboles!$H$6:$H$101,MOD(43+$C31+(-3),$B$3)+1)*F31+INDEX(Symboles!$H$6:$H$101,MOD(43+$C31+(-2),$B$3)+1)*G31+INDEX(Symboles!$H$6:$H$101,MOD(43+$C31+(-1),$B$3)+1)*H31+INDEX(Symboles!$H$6:$H$101,MOD(43+$C31+(0),$B$3)+1)*I31+INDEX(Symboles!$H$6:$H$101,MOD(43+$C31+(1),$B$3)+1)*J31+INDEX(Symboles!$H$6:$H$101,MOD(43+$C31+(2),$B$3)+1)*K31+INDEX(Symboles!$H$6:$H$101,MOD(43+$C31+(3),$B$3)+1)*L31+INDEX(Symboles!$H$6:$H$101,MOD(43+$C31+(4),$B$3)+1)*M31+IF($B$6=0,0,$B$6*NORMSINV(0.000001+0.999998*RAND())))</f>
        <v/>
      </c>
      <c r="FA31" s="30">
        <f>IF(45&gt;$B$3,99,INDEX(Symboles!$H$6:$H$101,MOD(44+$C31+(-4),$B$3)+1)*E31+INDEX(Symboles!$H$6:$H$101,MOD(44+$C31+(-3),$B$3)+1)*F31+INDEX(Symboles!$H$6:$H$101,MOD(44+$C31+(-2),$B$3)+1)*G31+INDEX(Symboles!$H$6:$H$101,MOD(44+$C31+(-1),$B$3)+1)*H31+INDEX(Symboles!$H$6:$H$101,MOD(44+$C31+(0),$B$3)+1)*I31+INDEX(Symboles!$H$6:$H$101,MOD(44+$C31+(1),$B$3)+1)*J31+INDEX(Symboles!$H$6:$H$101,MOD(44+$C31+(2),$B$3)+1)*K31+INDEX(Symboles!$H$6:$H$101,MOD(44+$C31+(3),$B$3)+1)*L31+INDEX(Symboles!$H$6:$H$101,MOD(44+$C31+(4),$B$3)+1)*M31+IF($B$6=0,0,$B$6*NORMSINV(0.000001+0.999998*RAND())))</f>
        <v/>
      </c>
      <c r="FB31" s="30">
        <f>IF(46&gt;$B$3,99,INDEX(Symboles!$H$6:$H$101,MOD(45+$C31+(-4),$B$3)+1)*E31+INDEX(Symboles!$H$6:$H$101,MOD(45+$C31+(-3),$B$3)+1)*F31+INDEX(Symboles!$H$6:$H$101,MOD(45+$C31+(-2),$B$3)+1)*G31+INDEX(Symboles!$H$6:$H$101,MOD(45+$C31+(-1),$B$3)+1)*H31+INDEX(Symboles!$H$6:$H$101,MOD(45+$C31+(0),$B$3)+1)*I31+INDEX(Symboles!$H$6:$H$101,MOD(45+$C31+(1),$B$3)+1)*J31+INDEX(Symboles!$H$6:$H$101,MOD(45+$C31+(2),$B$3)+1)*K31+INDEX(Symboles!$H$6:$H$101,MOD(45+$C31+(3),$B$3)+1)*L31+INDEX(Symboles!$H$6:$H$101,MOD(45+$C31+(4),$B$3)+1)*M31+IF($B$6=0,0,$B$6*NORMSINV(0.000001+0.999998*RAND())))</f>
        <v/>
      </c>
      <c r="FC31" s="30">
        <f>IF(47&gt;$B$3,99,INDEX(Symboles!$H$6:$H$101,MOD(46+$C31+(-4),$B$3)+1)*E31+INDEX(Symboles!$H$6:$H$101,MOD(46+$C31+(-3),$B$3)+1)*F31+INDEX(Symboles!$H$6:$H$101,MOD(46+$C31+(-2),$B$3)+1)*G31+INDEX(Symboles!$H$6:$H$101,MOD(46+$C31+(-1),$B$3)+1)*H31+INDEX(Symboles!$H$6:$H$101,MOD(46+$C31+(0),$B$3)+1)*I31+INDEX(Symboles!$H$6:$H$101,MOD(46+$C31+(1),$B$3)+1)*J31+INDEX(Symboles!$H$6:$H$101,MOD(46+$C31+(2),$B$3)+1)*K31+INDEX(Symboles!$H$6:$H$101,MOD(46+$C31+(3),$B$3)+1)*L31+INDEX(Symboles!$H$6:$H$101,MOD(46+$C31+(4),$B$3)+1)*M31+IF($B$6=0,0,$B$6*NORMSINV(0.000001+0.999998*RAND())))</f>
        <v/>
      </c>
      <c r="FD31" s="30">
        <f>IF(48&gt;$B$3,99,INDEX(Symboles!$H$6:$H$101,MOD(47+$C31+(-4),$B$3)+1)*E31+INDEX(Symboles!$H$6:$H$101,MOD(47+$C31+(-3),$B$3)+1)*F31+INDEX(Symboles!$H$6:$H$101,MOD(47+$C31+(-2),$B$3)+1)*G31+INDEX(Symboles!$H$6:$H$101,MOD(47+$C31+(-1),$B$3)+1)*H31+INDEX(Symboles!$H$6:$H$101,MOD(47+$C31+(0),$B$3)+1)*I31+INDEX(Symboles!$H$6:$H$101,MOD(47+$C31+(1),$B$3)+1)*J31+INDEX(Symboles!$H$6:$H$101,MOD(47+$C31+(2),$B$3)+1)*K31+INDEX(Symboles!$H$6:$H$101,MOD(47+$C31+(3),$B$3)+1)*L31+INDEX(Symboles!$H$6:$H$101,MOD(47+$C31+(4),$B$3)+1)*M31+IF($B$6=0,0,$B$6*NORMSINV(0.000001+0.999998*RAND())))</f>
        <v/>
      </c>
      <c r="FE31" s="30">
        <f>IF(49&gt;$B$3,99,INDEX(Symboles!$H$6:$H$101,MOD(48+$C31+(-4),$B$3)+1)*E31+INDEX(Symboles!$H$6:$H$101,MOD(48+$C31+(-3),$B$3)+1)*F31+INDEX(Symboles!$H$6:$H$101,MOD(48+$C31+(-2),$B$3)+1)*G31+INDEX(Symboles!$H$6:$H$101,MOD(48+$C31+(-1),$B$3)+1)*H31+INDEX(Symboles!$H$6:$H$101,MOD(48+$C31+(0),$B$3)+1)*I31+INDEX(Symboles!$H$6:$H$101,MOD(48+$C31+(1),$B$3)+1)*J31+INDEX(Symboles!$H$6:$H$101,MOD(48+$C31+(2),$B$3)+1)*K31+INDEX(Symboles!$H$6:$H$101,MOD(48+$C31+(3),$B$3)+1)*L31+INDEX(Symboles!$H$6:$H$101,MOD(48+$C31+(4),$B$3)+1)*M31+IF($B$6=0,0,$B$6*NORMSINV(0.000001+0.999998*RAND())))</f>
        <v/>
      </c>
      <c r="FF31" s="30">
        <f>IF(50&gt;$B$3,99,INDEX(Symboles!$H$6:$H$101,MOD(49+$C31+(-4),$B$3)+1)*E31+INDEX(Symboles!$H$6:$H$101,MOD(49+$C31+(-3),$B$3)+1)*F31+INDEX(Symboles!$H$6:$H$101,MOD(49+$C31+(-2),$B$3)+1)*G31+INDEX(Symboles!$H$6:$H$101,MOD(49+$C31+(-1),$B$3)+1)*H31+INDEX(Symboles!$H$6:$H$101,MOD(49+$C31+(0),$B$3)+1)*I31+INDEX(Symboles!$H$6:$H$101,MOD(49+$C31+(1),$B$3)+1)*J31+INDEX(Symboles!$H$6:$H$101,MOD(49+$C31+(2),$B$3)+1)*K31+INDEX(Symboles!$H$6:$H$101,MOD(49+$C31+(3),$B$3)+1)*L31+INDEX(Symboles!$H$6:$H$101,MOD(49+$C31+(4),$B$3)+1)*M31+IF($B$6=0,0,$B$6*NORMSINV(0.000001+0.999998*RAND())))</f>
        <v/>
      </c>
      <c r="FG31" s="30">
        <f>IF(51&gt;$B$3,99,INDEX(Symboles!$H$6:$H$101,MOD(50+$C31+(-4),$B$3)+1)*E31+INDEX(Symboles!$H$6:$H$101,MOD(50+$C31+(-3),$B$3)+1)*F31+INDEX(Symboles!$H$6:$H$101,MOD(50+$C31+(-2),$B$3)+1)*G31+INDEX(Symboles!$H$6:$H$101,MOD(50+$C31+(-1),$B$3)+1)*H31+INDEX(Symboles!$H$6:$H$101,MOD(50+$C31+(0),$B$3)+1)*I31+INDEX(Symboles!$H$6:$H$101,MOD(50+$C31+(1),$B$3)+1)*J31+INDEX(Symboles!$H$6:$H$101,MOD(50+$C31+(2),$B$3)+1)*K31+INDEX(Symboles!$H$6:$H$101,MOD(50+$C31+(3),$B$3)+1)*L31+INDEX(Symboles!$H$6:$H$101,MOD(50+$C31+(4),$B$3)+1)*M31+IF($B$6=0,0,$B$6*NORMSINV(0.000001+0.999998*RAND())))</f>
        <v/>
      </c>
      <c r="FH31" s="30">
        <f>IF(52&gt;$B$3,99,INDEX(Symboles!$H$6:$H$101,MOD(51+$C31+(-4),$B$3)+1)*E31+INDEX(Symboles!$H$6:$H$101,MOD(51+$C31+(-3),$B$3)+1)*F31+INDEX(Symboles!$H$6:$H$101,MOD(51+$C31+(-2),$B$3)+1)*G31+INDEX(Symboles!$H$6:$H$101,MOD(51+$C31+(-1),$B$3)+1)*H31+INDEX(Symboles!$H$6:$H$101,MOD(51+$C31+(0),$B$3)+1)*I31+INDEX(Symboles!$H$6:$H$101,MOD(51+$C31+(1),$B$3)+1)*J31+INDEX(Symboles!$H$6:$H$101,MOD(51+$C31+(2),$B$3)+1)*K31+INDEX(Symboles!$H$6:$H$101,MOD(51+$C31+(3),$B$3)+1)*L31+INDEX(Symboles!$H$6:$H$101,MOD(51+$C31+(4),$B$3)+1)*M31+IF($B$6=0,0,$B$6*NORMSINV(0.000001+0.999998*RAND())))</f>
        <v/>
      </c>
      <c r="FI31" s="30">
        <f>IF(53&gt;$B$3,99,INDEX(Symboles!$H$6:$H$101,MOD(52+$C31+(-4),$B$3)+1)*E31+INDEX(Symboles!$H$6:$H$101,MOD(52+$C31+(-3),$B$3)+1)*F31+INDEX(Symboles!$H$6:$H$101,MOD(52+$C31+(-2),$B$3)+1)*G31+INDEX(Symboles!$H$6:$H$101,MOD(52+$C31+(-1),$B$3)+1)*H31+INDEX(Symboles!$H$6:$H$101,MOD(52+$C31+(0),$B$3)+1)*I31+INDEX(Symboles!$H$6:$H$101,MOD(52+$C31+(1),$B$3)+1)*J31+INDEX(Symboles!$H$6:$H$101,MOD(52+$C31+(2),$B$3)+1)*K31+INDEX(Symboles!$H$6:$H$101,MOD(52+$C31+(3),$B$3)+1)*L31+INDEX(Symboles!$H$6:$H$101,MOD(52+$C31+(4),$B$3)+1)*M31+IF($B$6=0,0,$B$6*NORMSINV(0.000001+0.999998*RAND())))</f>
        <v/>
      </c>
      <c r="FJ31" s="30">
        <f>IF(54&gt;$B$3,99,INDEX(Symboles!$H$6:$H$101,MOD(53+$C31+(-4),$B$3)+1)*E31+INDEX(Symboles!$H$6:$H$101,MOD(53+$C31+(-3),$B$3)+1)*F31+INDEX(Symboles!$H$6:$H$101,MOD(53+$C31+(-2),$B$3)+1)*G31+INDEX(Symboles!$H$6:$H$101,MOD(53+$C31+(-1),$B$3)+1)*H31+INDEX(Symboles!$H$6:$H$101,MOD(53+$C31+(0),$B$3)+1)*I31+INDEX(Symboles!$H$6:$H$101,MOD(53+$C31+(1),$B$3)+1)*J31+INDEX(Symboles!$H$6:$H$101,MOD(53+$C31+(2),$B$3)+1)*K31+INDEX(Symboles!$H$6:$H$101,MOD(53+$C31+(3),$B$3)+1)*L31+INDEX(Symboles!$H$6:$H$101,MOD(53+$C31+(4),$B$3)+1)*M31+IF($B$6=0,0,$B$6*NORMSINV(0.000001+0.999998*RAND())))</f>
        <v/>
      </c>
      <c r="FK31" s="30">
        <f>IF(55&gt;$B$3,99,INDEX(Symboles!$H$6:$H$101,MOD(54+$C31+(-4),$B$3)+1)*E31+INDEX(Symboles!$H$6:$H$101,MOD(54+$C31+(-3),$B$3)+1)*F31+INDEX(Symboles!$H$6:$H$101,MOD(54+$C31+(-2),$B$3)+1)*G31+INDEX(Symboles!$H$6:$H$101,MOD(54+$C31+(-1),$B$3)+1)*H31+INDEX(Symboles!$H$6:$H$101,MOD(54+$C31+(0),$B$3)+1)*I31+INDEX(Symboles!$H$6:$H$101,MOD(54+$C31+(1),$B$3)+1)*J31+INDEX(Symboles!$H$6:$H$101,MOD(54+$C31+(2),$B$3)+1)*K31+INDEX(Symboles!$H$6:$H$101,MOD(54+$C31+(3),$B$3)+1)*L31+INDEX(Symboles!$H$6:$H$101,MOD(54+$C31+(4),$B$3)+1)*M31+IF($B$6=0,0,$B$6*NORMSINV(0.000001+0.999998*RAND())))</f>
        <v/>
      </c>
      <c r="FL31" s="30">
        <f>IF(56&gt;$B$3,99,INDEX(Symboles!$H$6:$H$101,MOD(55+$C31+(-4),$B$3)+1)*E31+INDEX(Symboles!$H$6:$H$101,MOD(55+$C31+(-3),$B$3)+1)*F31+INDEX(Symboles!$H$6:$H$101,MOD(55+$C31+(-2),$B$3)+1)*G31+INDEX(Symboles!$H$6:$H$101,MOD(55+$C31+(-1),$B$3)+1)*H31+INDEX(Symboles!$H$6:$H$101,MOD(55+$C31+(0),$B$3)+1)*I31+INDEX(Symboles!$H$6:$H$101,MOD(55+$C31+(1),$B$3)+1)*J31+INDEX(Symboles!$H$6:$H$101,MOD(55+$C31+(2),$B$3)+1)*K31+INDEX(Symboles!$H$6:$H$101,MOD(55+$C31+(3),$B$3)+1)*L31+INDEX(Symboles!$H$6:$H$101,MOD(55+$C31+(4),$B$3)+1)*M31+IF($B$6=0,0,$B$6*NORMSINV(0.000001+0.999998*RAND())))</f>
        <v/>
      </c>
      <c r="FM31" s="30">
        <f>IF(57&gt;$B$3,99,INDEX(Symboles!$H$6:$H$101,MOD(56+$C31+(-4),$B$3)+1)*E31+INDEX(Symboles!$H$6:$H$101,MOD(56+$C31+(-3),$B$3)+1)*F31+INDEX(Symboles!$H$6:$H$101,MOD(56+$C31+(-2),$B$3)+1)*G31+INDEX(Symboles!$H$6:$H$101,MOD(56+$C31+(-1),$B$3)+1)*H31+INDEX(Symboles!$H$6:$H$101,MOD(56+$C31+(0),$B$3)+1)*I31+INDEX(Symboles!$H$6:$H$101,MOD(56+$C31+(1),$B$3)+1)*J31+INDEX(Symboles!$H$6:$H$101,MOD(56+$C31+(2),$B$3)+1)*K31+INDEX(Symboles!$H$6:$H$101,MOD(56+$C31+(3),$B$3)+1)*L31+INDEX(Symboles!$H$6:$H$101,MOD(56+$C31+(4),$B$3)+1)*M31+IF($B$6=0,0,$B$6*NORMSINV(0.000001+0.999998*RAND())))</f>
        <v/>
      </c>
      <c r="FN31" s="30">
        <f>IF(58&gt;$B$3,99,INDEX(Symboles!$H$6:$H$101,MOD(57+$C31+(-4),$B$3)+1)*E31+INDEX(Symboles!$H$6:$H$101,MOD(57+$C31+(-3),$B$3)+1)*F31+INDEX(Symboles!$H$6:$H$101,MOD(57+$C31+(-2),$B$3)+1)*G31+INDEX(Symboles!$H$6:$H$101,MOD(57+$C31+(-1),$B$3)+1)*H31+INDEX(Symboles!$H$6:$H$101,MOD(57+$C31+(0),$B$3)+1)*I31+INDEX(Symboles!$H$6:$H$101,MOD(57+$C31+(1),$B$3)+1)*J31+INDEX(Symboles!$H$6:$H$101,MOD(57+$C31+(2),$B$3)+1)*K31+INDEX(Symboles!$H$6:$H$101,MOD(57+$C31+(3),$B$3)+1)*L31+INDEX(Symboles!$H$6:$H$101,MOD(57+$C31+(4),$B$3)+1)*M31+IF($B$6=0,0,$B$6*NORMSINV(0.000001+0.999998*RAND())))</f>
        <v/>
      </c>
      <c r="FO31" s="30">
        <f>IF(59&gt;$B$3,99,INDEX(Symboles!$H$6:$H$101,MOD(58+$C31+(-4),$B$3)+1)*E31+INDEX(Symboles!$H$6:$H$101,MOD(58+$C31+(-3),$B$3)+1)*F31+INDEX(Symboles!$H$6:$H$101,MOD(58+$C31+(-2),$B$3)+1)*G31+INDEX(Symboles!$H$6:$H$101,MOD(58+$C31+(-1),$B$3)+1)*H31+INDEX(Symboles!$H$6:$H$101,MOD(58+$C31+(0),$B$3)+1)*I31+INDEX(Symboles!$H$6:$H$101,MOD(58+$C31+(1),$B$3)+1)*J31+INDEX(Symboles!$H$6:$H$101,MOD(58+$C31+(2),$B$3)+1)*K31+INDEX(Symboles!$H$6:$H$101,MOD(58+$C31+(3),$B$3)+1)*L31+INDEX(Symboles!$H$6:$H$101,MOD(58+$C31+(4),$B$3)+1)*M31+IF($B$6=0,0,$B$6*NORMSINV(0.000001+0.999998*RAND())))</f>
        <v/>
      </c>
      <c r="FP31" s="30">
        <f>IF(60&gt;$B$3,99,INDEX(Symboles!$H$6:$H$101,MOD(59+$C31+(-4),$B$3)+1)*E31+INDEX(Symboles!$H$6:$H$101,MOD(59+$C31+(-3),$B$3)+1)*F31+INDEX(Symboles!$H$6:$H$101,MOD(59+$C31+(-2),$B$3)+1)*G31+INDEX(Symboles!$H$6:$H$101,MOD(59+$C31+(-1),$B$3)+1)*H31+INDEX(Symboles!$H$6:$H$101,MOD(59+$C31+(0),$B$3)+1)*I31+INDEX(Symboles!$H$6:$H$101,MOD(59+$C31+(1),$B$3)+1)*J31+INDEX(Symboles!$H$6:$H$101,MOD(59+$C31+(2),$B$3)+1)*K31+INDEX(Symboles!$H$6:$H$101,MOD(59+$C31+(3),$B$3)+1)*L31+INDEX(Symboles!$H$6:$H$101,MOD(59+$C31+(4),$B$3)+1)*M31+IF($B$6=0,0,$B$6*NORMSINV(0.000001+0.999998*RAND())))</f>
        <v/>
      </c>
      <c r="FQ31" s="30">
        <f>IF(61&gt;$B$3,99,INDEX(Symboles!$H$6:$H$101,MOD(60+$C31+(-4),$B$3)+1)*E31+INDEX(Symboles!$H$6:$H$101,MOD(60+$C31+(-3),$B$3)+1)*F31+INDEX(Symboles!$H$6:$H$101,MOD(60+$C31+(-2),$B$3)+1)*G31+INDEX(Symboles!$H$6:$H$101,MOD(60+$C31+(-1),$B$3)+1)*H31+INDEX(Symboles!$H$6:$H$101,MOD(60+$C31+(0),$B$3)+1)*I31+INDEX(Symboles!$H$6:$H$101,MOD(60+$C31+(1),$B$3)+1)*J31+INDEX(Symboles!$H$6:$H$101,MOD(60+$C31+(2),$B$3)+1)*K31+INDEX(Symboles!$H$6:$H$101,MOD(60+$C31+(3),$B$3)+1)*L31+INDEX(Symboles!$H$6:$H$101,MOD(60+$C31+(4),$B$3)+1)*M31+IF($B$6=0,0,$B$6*NORMSINV(0.000001+0.999998*RAND())))</f>
        <v/>
      </c>
      <c r="FR31" s="30">
        <f>IF(62&gt;$B$3,99,INDEX(Symboles!$H$6:$H$101,MOD(61+$C31+(-4),$B$3)+1)*E31+INDEX(Symboles!$H$6:$H$101,MOD(61+$C31+(-3),$B$3)+1)*F31+INDEX(Symboles!$H$6:$H$101,MOD(61+$C31+(-2),$B$3)+1)*G31+INDEX(Symboles!$H$6:$H$101,MOD(61+$C31+(-1),$B$3)+1)*H31+INDEX(Symboles!$H$6:$H$101,MOD(61+$C31+(0),$B$3)+1)*I31+INDEX(Symboles!$H$6:$H$101,MOD(61+$C31+(1),$B$3)+1)*J31+INDEX(Symboles!$H$6:$H$101,MOD(61+$C31+(2),$B$3)+1)*K31+INDEX(Symboles!$H$6:$H$101,MOD(61+$C31+(3),$B$3)+1)*L31+INDEX(Symboles!$H$6:$H$101,MOD(61+$C31+(4),$B$3)+1)*M31+IF($B$6=0,0,$B$6*NORMSINV(0.000001+0.999998*RAND())))</f>
        <v/>
      </c>
      <c r="FS31" s="30">
        <f>IF(63&gt;$B$3,99,INDEX(Symboles!$H$6:$H$101,MOD(62+$C31+(-4),$B$3)+1)*E31+INDEX(Symboles!$H$6:$H$101,MOD(62+$C31+(-3),$B$3)+1)*F31+INDEX(Symboles!$H$6:$H$101,MOD(62+$C31+(-2),$B$3)+1)*G31+INDEX(Symboles!$H$6:$H$101,MOD(62+$C31+(-1),$B$3)+1)*H31+INDEX(Symboles!$H$6:$H$101,MOD(62+$C31+(0),$B$3)+1)*I31+INDEX(Symboles!$H$6:$H$101,MOD(62+$C31+(1),$B$3)+1)*J31+INDEX(Symboles!$H$6:$H$101,MOD(62+$C31+(2),$B$3)+1)*K31+INDEX(Symboles!$H$6:$H$101,MOD(62+$C31+(3),$B$3)+1)*L31+INDEX(Symboles!$H$6:$H$101,MOD(62+$C31+(4),$B$3)+1)*M31+IF($B$6=0,0,$B$6*NORMSINV(0.000001+0.999998*RAND())))</f>
        <v/>
      </c>
      <c r="FT31" s="30">
        <f>IF(64&gt;$B$3,99,INDEX(Symboles!$H$6:$H$101,MOD(63+$C31+(-4),$B$3)+1)*E31+INDEX(Symboles!$H$6:$H$101,MOD(63+$C31+(-3),$B$3)+1)*F31+INDEX(Symboles!$H$6:$H$101,MOD(63+$C31+(-2),$B$3)+1)*G31+INDEX(Symboles!$H$6:$H$101,MOD(63+$C31+(-1),$B$3)+1)*H31+INDEX(Symboles!$H$6:$H$101,MOD(63+$C31+(0),$B$3)+1)*I31+INDEX(Symboles!$H$6:$H$101,MOD(63+$C31+(1),$B$3)+1)*J31+INDEX(Symboles!$H$6:$H$101,MOD(63+$C31+(2),$B$3)+1)*K31+INDEX(Symboles!$H$6:$H$101,MOD(63+$C31+(3),$B$3)+1)*L31+INDEX(Symboles!$H$6:$H$101,MOD(63+$C31+(4),$B$3)+1)*M31+IF($B$6=0,0,$B$6*NORMSINV(0.000001+0.999998*RAND())))</f>
        <v/>
      </c>
      <c r="FU31" s="30">
        <f>IF(65&gt;$B$3,99,INDEX(Symboles!$H$6:$H$101,MOD(64+$C31+(-4),$B$3)+1)*E31+INDEX(Symboles!$H$6:$H$101,MOD(64+$C31+(-3),$B$3)+1)*F31+INDEX(Symboles!$H$6:$H$101,MOD(64+$C31+(-2),$B$3)+1)*G31+INDEX(Symboles!$H$6:$H$101,MOD(64+$C31+(-1),$B$3)+1)*H31+INDEX(Symboles!$H$6:$H$101,MOD(64+$C31+(0),$B$3)+1)*I31+INDEX(Symboles!$H$6:$H$101,MOD(64+$C31+(1),$B$3)+1)*J31+INDEX(Symboles!$H$6:$H$101,MOD(64+$C31+(2),$B$3)+1)*K31+INDEX(Symboles!$H$6:$H$101,MOD(64+$C31+(3),$B$3)+1)*L31+INDEX(Symboles!$H$6:$H$101,MOD(64+$C31+(4),$B$3)+1)*M31+IF($B$6=0,0,$B$6*NORMSINV(0.000001+0.999998*RAND())))</f>
        <v/>
      </c>
      <c r="FV31" s="30">
        <f>IF(66&gt;$B$3,99,INDEX(Symboles!$H$6:$H$101,MOD(65+$C31+(-4),$B$3)+1)*E31+INDEX(Symboles!$H$6:$H$101,MOD(65+$C31+(-3),$B$3)+1)*F31+INDEX(Symboles!$H$6:$H$101,MOD(65+$C31+(-2),$B$3)+1)*G31+INDEX(Symboles!$H$6:$H$101,MOD(65+$C31+(-1),$B$3)+1)*H31+INDEX(Symboles!$H$6:$H$101,MOD(65+$C31+(0),$B$3)+1)*I31+INDEX(Symboles!$H$6:$H$101,MOD(65+$C31+(1),$B$3)+1)*J31+INDEX(Symboles!$H$6:$H$101,MOD(65+$C31+(2),$B$3)+1)*K31+INDEX(Symboles!$H$6:$H$101,MOD(65+$C31+(3),$B$3)+1)*L31+INDEX(Symboles!$H$6:$H$101,MOD(65+$C31+(4),$B$3)+1)*M31+IF($B$6=0,0,$B$6*NORMSINV(0.000001+0.999998*RAND())))</f>
        <v/>
      </c>
      <c r="FW31" s="30">
        <f>IF(67&gt;$B$3,99,INDEX(Symboles!$H$6:$H$101,MOD(66+$C31+(-4),$B$3)+1)*E31+INDEX(Symboles!$H$6:$H$101,MOD(66+$C31+(-3),$B$3)+1)*F31+INDEX(Symboles!$H$6:$H$101,MOD(66+$C31+(-2),$B$3)+1)*G31+INDEX(Symboles!$H$6:$H$101,MOD(66+$C31+(-1),$B$3)+1)*H31+INDEX(Symboles!$H$6:$H$101,MOD(66+$C31+(0),$B$3)+1)*I31+INDEX(Symboles!$H$6:$H$101,MOD(66+$C31+(1),$B$3)+1)*J31+INDEX(Symboles!$H$6:$H$101,MOD(66+$C31+(2),$B$3)+1)*K31+INDEX(Symboles!$H$6:$H$101,MOD(66+$C31+(3),$B$3)+1)*L31+INDEX(Symboles!$H$6:$H$101,MOD(66+$C31+(4),$B$3)+1)*M31+IF($B$6=0,0,$B$6*NORMSINV(0.000001+0.999998*RAND())))</f>
        <v/>
      </c>
      <c r="FX31" s="30">
        <f>IF(68&gt;$B$3,99,INDEX(Symboles!$H$6:$H$101,MOD(67+$C31+(-4),$B$3)+1)*E31+INDEX(Symboles!$H$6:$H$101,MOD(67+$C31+(-3),$B$3)+1)*F31+INDEX(Symboles!$H$6:$H$101,MOD(67+$C31+(-2),$B$3)+1)*G31+INDEX(Symboles!$H$6:$H$101,MOD(67+$C31+(-1),$B$3)+1)*H31+INDEX(Symboles!$H$6:$H$101,MOD(67+$C31+(0),$B$3)+1)*I31+INDEX(Symboles!$H$6:$H$101,MOD(67+$C31+(1),$B$3)+1)*J31+INDEX(Symboles!$H$6:$H$101,MOD(67+$C31+(2),$B$3)+1)*K31+INDEX(Symboles!$H$6:$H$101,MOD(67+$C31+(3),$B$3)+1)*L31+INDEX(Symboles!$H$6:$H$101,MOD(67+$C31+(4),$B$3)+1)*M31+IF($B$6=0,0,$B$6*NORMSINV(0.000001+0.999998*RAND())))</f>
        <v/>
      </c>
      <c r="FY31" s="30">
        <f>IF(69&gt;$B$3,99,INDEX(Symboles!$H$6:$H$101,MOD(68+$C31+(-4),$B$3)+1)*E31+INDEX(Symboles!$H$6:$H$101,MOD(68+$C31+(-3),$B$3)+1)*F31+INDEX(Symboles!$H$6:$H$101,MOD(68+$C31+(-2),$B$3)+1)*G31+INDEX(Symboles!$H$6:$H$101,MOD(68+$C31+(-1),$B$3)+1)*H31+INDEX(Symboles!$H$6:$H$101,MOD(68+$C31+(0),$B$3)+1)*I31+INDEX(Symboles!$H$6:$H$101,MOD(68+$C31+(1),$B$3)+1)*J31+INDEX(Symboles!$H$6:$H$101,MOD(68+$C31+(2),$B$3)+1)*K31+INDEX(Symboles!$H$6:$H$101,MOD(68+$C31+(3),$B$3)+1)*L31+INDEX(Symboles!$H$6:$H$101,MOD(68+$C31+(4),$B$3)+1)*M31+IF($B$6=0,0,$B$6*NORMSINV(0.000001+0.999998*RAND())))</f>
        <v/>
      </c>
      <c r="FZ31" s="30">
        <f>IF(70&gt;$B$3,99,INDEX(Symboles!$H$6:$H$101,MOD(69+$C31+(-4),$B$3)+1)*E31+INDEX(Symboles!$H$6:$H$101,MOD(69+$C31+(-3),$B$3)+1)*F31+INDEX(Symboles!$H$6:$H$101,MOD(69+$C31+(-2),$B$3)+1)*G31+INDEX(Symboles!$H$6:$H$101,MOD(69+$C31+(-1),$B$3)+1)*H31+INDEX(Symboles!$H$6:$H$101,MOD(69+$C31+(0),$B$3)+1)*I31+INDEX(Symboles!$H$6:$H$101,MOD(69+$C31+(1),$B$3)+1)*J31+INDEX(Symboles!$H$6:$H$101,MOD(69+$C31+(2),$B$3)+1)*K31+INDEX(Symboles!$H$6:$H$101,MOD(69+$C31+(3),$B$3)+1)*L31+INDEX(Symboles!$H$6:$H$101,MOD(69+$C31+(4),$B$3)+1)*M31+IF($B$6=0,0,$B$6*NORMSINV(0.000001+0.999998*RAND())))</f>
        <v/>
      </c>
      <c r="GA31" s="30">
        <f>IF(71&gt;$B$3,99,INDEX(Symboles!$H$6:$H$101,MOD(70+$C31+(-4),$B$3)+1)*E31+INDEX(Symboles!$H$6:$H$101,MOD(70+$C31+(-3),$B$3)+1)*F31+INDEX(Symboles!$H$6:$H$101,MOD(70+$C31+(-2),$B$3)+1)*G31+INDEX(Symboles!$H$6:$H$101,MOD(70+$C31+(-1),$B$3)+1)*H31+INDEX(Symboles!$H$6:$H$101,MOD(70+$C31+(0),$B$3)+1)*I31+INDEX(Symboles!$H$6:$H$101,MOD(70+$C31+(1),$B$3)+1)*J31+INDEX(Symboles!$H$6:$H$101,MOD(70+$C31+(2),$B$3)+1)*K31+INDEX(Symboles!$H$6:$H$101,MOD(70+$C31+(3),$B$3)+1)*L31+INDEX(Symboles!$H$6:$H$101,MOD(70+$C31+(4),$B$3)+1)*M31+IF($B$6=0,0,$B$6*NORMSINV(0.000001+0.999998*RAND())))</f>
        <v/>
      </c>
      <c r="GB31" s="30">
        <f>IF(72&gt;$B$3,99,INDEX(Symboles!$H$6:$H$101,MOD(71+$C31+(-4),$B$3)+1)*E31+INDEX(Symboles!$H$6:$H$101,MOD(71+$C31+(-3),$B$3)+1)*F31+INDEX(Symboles!$H$6:$H$101,MOD(71+$C31+(-2),$B$3)+1)*G31+INDEX(Symboles!$H$6:$H$101,MOD(71+$C31+(-1),$B$3)+1)*H31+INDEX(Symboles!$H$6:$H$101,MOD(71+$C31+(0),$B$3)+1)*I31+INDEX(Symboles!$H$6:$H$101,MOD(71+$C31+(1),$B$3)+1)*J31+INDEX(Symboles!$H$6:$H$101,MOD(71+$C31+(2),$B$3)+1)*K31+INDEX(Symboles!$H$6:$H$101,MOD(71+$C31+(3),$B$3)+1)*L31+INDEX(Symboles!$H$6:$H$101,MOD(71+$C31+(4),$B$3)+1)*M31+IF($B$6=0,0,$B$6*NORMSINV(0.000001+0.999998*RAND())))</f>
        <v/>
      </c>
      <c r="GC31" s="30">
        <f>IF(73&gt;$B$3,99,INDEX(Symboles!$H$6:$H$101,MOD(72+$C31+(-4),$B$3)+1)*E31+INDEX(Symboles!$H$6:$H$101,MOD(72+$C31+(-3),$B$3)+1)*F31+INDEX(Symboles!$H$6:$H$101,MOD(72+$C31+(-2),$B$3)+1)*G31+INDEX(Symboles!$H$6:$H$101,MOD(72+$C31+(-1),$B$3)+1)*H31+INDEX(Symboles!$H$6:$H$101,MOD(72+$C31+(0),$B$3)+1)*I31+INDEX(Symboles!$H$6:$H$101,MOD(72+$C31+(1),$B$3)+1)*J31+INDEX(Symboles!$H$6:$H$101,MOD(72+$C31+(2),$B$3)+1)*K31+INDEX(Symboles!$H$6:$H$101,MOD(72+$C31+(3),$B$3)+1)*L31+INDEX(Symboles!$H$6:$H$101,MOD(72+$C31+(4),$B$3)+1)*M31+IF($B$6=0,0,$B$6*NORMSINV(0.000001+0.999998*RAND())))</f>
        <v/>
      </c>
      <c r="GD31" s="30">
        <f>IF(74&gt;$B$3,99,INDEX(Symboles!$H$6:$H$101,MOD(73+$C31+(-4),$B$3)+1)*E31+INDEX(Symboles!$H$6:$H$101,MOD(73+$C31+(-3),$B$3)+1)*F31+INDEX(Symboles!$H$6:$H$101,MOD(73+$C31+(-2),$B$3)+1)*G31+INDEX(Symboles!$H$6:$H$101,MOD(73+$C31+(-1),$B$3)+1)*H31+INDEX(Symboles!$H$6:$H$101,MOD(73+$C31+(0),$B$3)+1)*I31+INDEX(Symboles!$H$6:$H$101,MOD(73+$C31+(1),$B$3)+1)*J31+INDEX(Symboles!$H$6:$H$101,MOD(73+$C31+(2),$B$3)+1)*K31+INDEX(Symboles!$H$6:$H$101,MOD(73+$C31+(3),$B$3)+1)*L31+INDEX(Symboles!$H$6:$H$101,MOD(73+$C31+(4),$B$3)+1)*M31+IF($B$6=0,0,$B$6*NORMSINV(0.000001+0.999998*RAND())))</f>
        <v/>
      </c>
      <c r="GE31" s="30">
        <f>IF(75&gt;$B$3,99,INDEX(Symboles!$H$6:$H$101,MOD(74+$C31+(-4),$B$3)+1)*E31+INDEX(Symboles!$H$6:$H$101,MOD(74+$C31+(-3),$B$3)+1)*F31+INDEX(Symboles!$H$6:$H$101,MOD(74+$C31+(-2),$B$3)+1)*G31+INDEX(Symboles!$H$6:$H$101,MOD(74+$C31+(-1),$B$3)+1)*H31+INDEX(Symboles!$H$6:$H$101,MOD(74+$C31+(0),$B$3)+1)*I31+INDEX(Symboles!$H$6:$H$101,MOD(74+$C31+(1),$B$3)+1)*J31+INDEX(Symboles!$H$6:$H$101,MOD(74+$C31+(2),$B$3)+1)*K31+INDEX(Symboles!$H$6:$H$101,MOD(74+$C31+(3),$B$3)+1)*L31+INDEX(Symboles!$H$6:$H$101,MOD(74+$C31+(4),$B$3)+1)*M31+IF($B$6=0,0,$B$6*NORMSINV(0.000001+0.999998*RAND())))</f>
        <v/>
      </c>
      <c r="GF31" s="30">
        <f>IF(76&gt;$B$3,99,INDEX(Symboles!$H$6:$H$101,MOD(75+$C31+(-4),$B$3)+1)*E31+INDEX(Symboles!$H$6:$H$101,MOD(75+$C31+(-3),$B$3)+1)*F31+INDEX(Symboles!$H$6:$H$101,MOD(75+$C31+(-2),$B$3)+1)*G31+INDEX(Symboles!$H$6:$H$101,MOD(75+$C31+(-1),$B$3)+1)*H31+INDEX(Symboles!$H$6:$H$101,MOD(75+$C31+(0),$B$3)+1)*I31+INDEX(Symboles!$H$6:$H$101,MOD(75+$C31+(1),$B$3)+1)*J31+INDEX(Symboles!$H$6:$H$101,MOD(75+$C31+(2),$B$3)+1)*K31+INDEX(Symboles!$H$6:$H$101,MOD(75+$C31+(3),$B$3)+1)*L31+INDEX(Symboles!$H$6:$H$101,MOD(75+$C31+(4),$B$3)+1)*M31+IF($B$6=0,0,$B$6*NORMSINV(0.000001+0.999998*RAND())))</f>
        <v/>
      </c>
      <c r="GG31" s="30">
        <f>IF(77&gt;$B$3,99,INDEX(Symboles!$H$6:$H$101,MOD(76+$C31+(-4),$B$3)+1)*E31+INDEX(Symboles!$H$6:$H$101,MOD(76+$C31+(-3),$B$3)+1)*F31+INDEX(Symboles!$H$6:$H$101,MOD(76+$C31+(-2),$B$3)+1)*G31+INDEX(Symboles!$H$6:$H$101,MOD(76+$C31+(-1),$B$3)+1)*H31+INDEX(Symboles!$H$6:$H$101,MOD(76+$C31+(0),$B$3)+1)*I31+INDEX(Symboles!$H$6:$H$101,MOD(76+$C31+(1),$B$3)+1)*J31+INDEX(Symboles!$H$6:$H$101,MOD(76+$C31+(2),$B$3)+1)*K31+INDEX(Symboles!$H$6:$H$101,MOD(76+$C31+(3),$B$3)+1)*L31+INDEX(Symboles!$H$6:$H$101,MOD(76+$C31+(4),$B$3)+1)*M31+IF($B$6=0,0,$B$6*NORMSINV(0.000001+0.999998*RAND())))</f>
        <v/>
      </c>
      <c r="GH31" s="30">
        <f>IF(78&gt;$B$3,99,INDEX(Symboles!$H$6:$H$101,MOD(77+$C31+(-4),$B$3)+1)*E31+INDEX(Symboles!$H$6:$H$101,MOD(77+$C31+(-3),$B$3)+1)*F31+INDEX(Symboles!$H$6:$H$101,MOD(77+$C31+(-2),$B$3)+1)*G31+INDEX(Symboles!$H$6:$H$101,MOD(77+$C31+(-1),$B$3)+1)*H31+INDEX(Symboles!$H$6:$H$101,MOD(77+$C31+(0),$B$3)+1)*I31+INDEX(Symboles!$H$6:$H$101,MOD(77+$C31+(1),$B$3)+1)*J31+INDEX(Symboles!$H$6:$H$101,MOD(77+$C31+(2),$B$3)+1)*K31+INDEX(Symboles!$H$6:$H$101,MOD(77+$C31+(3),$B$3)+1)*L31+INDEX(Symboles!$H$6:$H$101,MOD(77+$C31+(4),$B$3)+1)*M31+IF($B$6=0,0,$B$6*NORMSINV(0.000001+0.999998*RAND())))</f>
        <v/>
      </c>
      <c r="GI31" s="30">
        <f>IF(79&gt;$B$3,99,INDEX(Symboles!$H$6:$H$101,MOD(78+$C31+(-4),$B$3)+1)*E31+INDEX(Symboles!$H$6:$H$101,MOD(78+$C31+(-3),$B$3)+1)*F31+INDEX(Symboles!$H$6:$H$101,MOD(78+$C31+(-2),$B$3)+1)*G31+INDEX(Symboles!$H$6:$H$101,MOD(78+$C31+(-1),$B$3)+1)*H31+INDEX(Symboles!$H$6:$H$101,MOD(78+$C31+(0),$B$3)+1)*I31+INDEX(Symboles!$H$6:$H$101,MOD(78+$C31+(1),$B$3)+1)*J31+INDEX(Symboles!$H$6:$H$101,MOD(78+$C31+(2),$B$3)+1)*K31+INDEX(Symboles!$H$6:$H$101,MOD(78+$C31+(3),$B$3)+1)*L31+INDEX(Symboles!$H$6:$H$101,MOD(78+$C31+(4),$B$3)+1)*M31+IF($B$6=0,0,$B$6*NORMSINV(0.000001+0.999998*RAND())))</f>
        <v/>
      </c>
      <c r="GJ31" s="30">
        <f>IF(80&gt;$B$3,99,INDEX(Symboles!$H$6:$H$101,MOD(79+$C31+(-4),$B$3)+1)*E31+INDEX(Symboles!$H$6:$H$101,MOD(79+$C31+(-3),$B$3)+1)*F31+INDEX(Symboles!$H$6:$H$101,MOD(79+$C31+(-2),$B$3)+1)*G31+INDEX(Symboles!$H$6:$H$101,MOD(79+$C31+(-1),$B$3)+1)*H31+INDEX(Symboles!$H$6:$H$101,MOD(79+$C31+(0),$B$3)+1)*I31+INDEX(Symboles!$H$6:$H$101,MOD(79+$C31+(1),$B$3)+1)*J31+INDEX(Symboles!$H$6:$H$101,MOD(79+$C31+(2),$B$3)+1)*K31+INDEX(Symboles!$H$6:$H$101,MOD(79+$C31+(3),$B$3)+1)*L31+INDEX(Symboles!$H$6:$H$101,MOD(79+$C31+(4),$B$3)+1)*M31+IF($B$6=0,0,$B$6*NORMSINV(0.000001+0.999998*RAND())))</f>
        <v/>
      </c>
      <c r="GK31" s="30">
        <f>IF(81&gt;$B$3,99,INDEX(Symboles!$H$6:$H$101,MOD(80+$C31+(-4),$B$3)+1)*E31+INDEX(Symboles!$H$6:$H$101,MOD(80+$C31+(-3),$B$3)+1)*F31+INDEX(Symboles!$H$6:$H$101,MOD(80+$C31+(-2),$B$3)+1)*G31+INDEX(Symboles!$H$6:$H$101,MOD(80+$C31+(-1),$B$3)+1)*H31+INDEX(Symboles!$H$6:$H$101,MOD(80+$C31+(0),$B$3)+1)*I31+INDEX(Symboles!$H$6:$H$101,MOD(80+$C31+(1),$B$3)+1)*J31+INDEX(Symboles!$H$6:$H$101,MOD(80+$C31+(2),$B$3)+1)*K31+INDEX(Symboles!$H$6:$H$101,MOD(80+$C31+(3),$B$3)+1)*L31+INDEX(Symboles!$H$6:$H$101,MOD(80+$C31+(4),$B$3)+1)*M31+IF($B$6=0,0,$B$6*NORMSINV(0.000001+0.999998*RAND())))</f>
        <v/>
      </c>
      <c r="GL31" s="30">
        <f>IF(82&gt;$B$3,99,INDEX(Symboles!$H$6:$H$101,MOD(81+$C31+(-4),$B$3)+1)*E31+INDEX(Symboles!$H$6:$H$101,MOD(81+$C31+(-3),$B$3)+1)*F31+INDEX(Symboles!$H$6:$H$101,MOD(81+$C31+(-2),$B$3)+1)*G31+INDEX(Symboles!$H$6:$H$101,MOD(81+$C31+(-1),$B$3)+1)*H31+INDEX(Symboles!$H$6:$H$101,MOD(81+$C31+(0),$B$3)+1)*I31+INDEX(Symboles!$H$6:$H$101,MOD(81+$C31+(1),$B$3)+1)*J31+INDEX(Symboles!$H$6:$H$101,MOD(81+$C31+(2),$B$3)+1)*K31+INDEX(Symboles!$H$6:$H$101,MOD(81+$C31+(3),$B$3)+1)*L31+INDEX(Symboles!$H$6:$H$101,MOD(81+$C31+(4),$B$3)+1)*M31+IF($B$6=0,0,$B$6*NORMSINV(0.000001+0.999998*RAND())))</f>
        <v/>
      </c>
      <c r="GM31" s="30">
        <f>IF(83&gt;$B$3,99,INDEX(Symboles!$H$6:$H$101,MOD(82+$C31+(-4),$B$3)+1)*E31+INDEX(Symboles!$H$6:$H$101,MOD(82+$C31+(-3),$B$3)+1)*F31+INDEX(Symboles!$H$6:$H$101,MOD(82+$C31+(-2),$B$3)+1)*G31+INDEX(Symboles!$H$6:$H$101,MOD(82+$C31+(-1),$B$3)+1)*H31+INDEX(Symboles!$H$6:$H$101,MOD(82+$C31+(0),$B$3)+1)*I31+INDEX(Symboles!$H$6:$H$101,MOD(82+$C31+(1),$B$3)+1)*J31+INDEX(Symboles!$H$6:$H$101,MOD(82+$C31+(2),$B$3)+1)*K31+INDEX(Symboles!$H$6:$H$101,MOD(82+$C31+(3),$B$3)+1)*L31+INDEX(Symboles!$H$6:$H$101,MOD(82+$C31+(4),$B$3)+1)*M31+IF($B$6=0,0,$B$6*NORMSINV(0.000001+0.999998*RAND())))</f>
        <v/>
      </c>
      <c r="GN31" s="30">
        <f>IF(84&gt;$B$3,99,INDEX(Symboles!$H$6:$H$101,MOD(83+$C31+(-4),$B$3)+1)*E31+INDEX(Symboles!$H$6:$H$101,MOD(83+$C31+(-3),$B$3)+1)*F31+INDEX(Symboles!$H$6:$H$101,MOD(83+$C31+(-2),$B$3)+1)*G31+INDEX(Symboles!$H$6:$H$101,MOD(83+$C31+(-1),$B$3)+1)*H31+INDEX(Symboles!$H$6:$H$101,MOD(83+$C31+(0),$B$3)+1)*I31+INDEX(Symboles!$H$6:$H$101,MOD(83+$C31+(1),$B$3)+1)*J31+INDEX(Symboles!$H$6:$H$101,MOD(83+$C31+(2),$B$3)+1)*K31+INDEX(Symboles!$H$6:$H$101,MOD(83+$C31+(3),$B$3)+1)*L31+INDEX(Symboles!$H$6:$H$101,MOD(83+$C31+(4),$B$3)+1)*M31+IF($B$6=0,0,$B$6*NORMSINV(0.000001+0.999998*RAND())))</f>
        <v/>
      </c>
      <c r="GO31" s="30">
        <f>IF(85&gt;$B$3,99,INDEX(Symboles!$H$6:$H$101,MOD(84+$C31+(-4),$B$3)+1)*E31+INDEX(Symboles!$H$6:$H$101,MOD(84+$C31+(-3),$B$3)+1)*F31+INDEX(Symboles!$H$6:$H$101,MOD(84+$C31+(-2),$B$3)+1)*G31+INDEX(Symboles!$H$6:$H$101,MOD(84+$C31+(-1),$B$3)+1)*H31+INDEX(Symboles!$H$6:$H$101,MOD(84+$C31+(0),$B$3)+1)*I31+INDEX(Symboles!$H$6:$H$101,MOD(84+$C31+(1),$B$3)+1)*J31+INDEX(Symboles!$H$6:$H$101,MOD(84+$C31+(2),$B$3)+1)*K31+INDEX(Symboles!$H$6:$H$101,MOD(84+$C31+(3),$B$3)+1)*L31+INDEX(Symboles!$H$6:$H$101,MOD(84+$C31+(4),$B$3)+1)*M31+IF($B$6=0,0,$B$6*NORMSINV(0.000001+0.999998*RAND())))</f>
        <v/>
      </c>
      <c r="GP31" s="30">
        <f>IF(86&gt;$B$3,99,INDEX(Symboles!$H$6:$H$101,MOD(85+$C31+(-4),$B$3)+1)*E31+INDEX(Symboles!$H$6:$H$101,MOD(85+$C31+(-3),$B$3)+1)*F31+INDEX(Symboles!$H$6:$H$101,MOD(85+$C31+(-2),$B$3)+1)*G31+INDEX(Symboles!$H$6:$H$101,MOD(85+$C31+(-1),$B$3)+1)*H31+INDEX(Symboles!$H$6:$H$101,MOD(85+$C31+(0),$B$3)+1)*I31+INDEX(Symboles!$H$6:$H$101,MOD(85+$C31+(1),$B$3)+1)*J31+INDEX(Symboles!$H$6:$H$101,MOD(85+$C31+(2),$B$3)+1)*K31+INDEX(Symboles!$H$6:$H$101,MOD(85+$C31+(3),$B$3)+1)*L31+INDEX(Symboles!$H$6:$H$101,MOD(85+$C31+(4),$B$3)+1)*M31+IF($B$6=0,0,$B$6*NORMSINV(0.000001+0.999998*RAND())))</f>
        <v/>
      </c>
      <c r="GQ31" s="30">
        <f>IF(87&gt;$B$3,99,INDEX(Symboles!$H$6:$H$101,MOD(86+$C31+(-4),$B$3)+1)*E31+INDEX(Symboles!$H$6:$H$101,MOD(86+$C31+(-3),$B$3)+1)*F31+INDEX(Symboles!$H$6:$H$101,MOD(86+$C31+(-2),$B$3)+1)*G31+INDEX(Symboles!$H$6:$H$101,MOD(86+$C31+(-1),$B$3)+1)*H31+INDEX(Symboles!$H$6:$H$101,MOD(86+$C31+(0),$B$3)+1)*I31+INDEX(Symboles!$H$6:$H$101,MOD(86+$C31+(1),$B$3)+1)*J31+INDEX(Symboles!$H$6:$H$101,MOD(86+$C31+(2),$B$3)+1)*K31+INDEX(Symboles!$H$6:$H$101,MOD(86+$C31+(3),$B$3)+1)*L31+INDEX(Symboles!$H$6:$H$101,MOD(86+$C31+(4),$B$3)+1)*M31+IF($B$6=0,0,$B$6*NORMSINV(0.000001+0.999998*RAND())))</f>
        <v/>
      </c>
      <c r="GR31" s="30">
        <f>IF(88&gt;$B$3,99,INDEX(Symboles!$H$6:$H$101,MOD(87+$C31+(-4),$B$3)+1)*E31+INDEX(Symboles!$H$6:$H$101,MOD(87+$C31+(-3),$B$3)+1)*F31+INDEX(Symboles!$H$6:$H$101,MOD(87+$C31+(-2),$B$3)+1)*G31+INDEX(Symboles!$H$6:$H$101,MOD(87+$C31+(-1),$B$3)+1)*H31+INDEX(Symboles!$H$6:$H$101,MOD(87+$C31+(0),$B$3)+1)*I31+INDEX(Symboles!$H$6:$H$101,MOD(87+$C31+(1),$B$3)+1)*J31+INDEX(Symboles!$H$6:$H$101,MOD(87+$C31+(2),$B$3)+1)*K31+INDEX(Symboles!$H$6:$H$101,MOD(87+$C31+(3),$B$3)+1)*L31+INDEX(Symboles!$H$6:$H$101,MOD(87+$C31+(4),$B$3)+1)*M31+IF($B$6=0,0,$B$6*NORMSINV(0.000001+0.999998*RAND())))</f>
        <v/>
      </c>
      <c r="GS31" s="30">
        <f>IF(89&gt;$B$3,99,INDEX(Symboles!$H$6:$H$101,MOD(88+$C31+(-4),$B$3)+1)*E31+INDEX(Symboles!$H$6:$H$101,MOD(88+$C31+(-3),$B$3)+1)*F31+INDEX(Symboles!$H$6:$H$101,MOD(88+$C31+(-2),$B$3)+1)*G31+INDEX(Symboles!$H$6:$H$101,MOD(88+$C31+(-1),$B$3)+1)*H31+INDEX(Symboles!$H$6:$H$101,MOD(88+$C31+(0),$B$3)+1)*I31+INDEX(Symboles!$H$6:$H$101,MOD(88+$C31+(1),$B$3)+1)*J31+INDEX(Symboles!$H$6:$H$101,MOD(88+$C31+(2),$B$3)+1)*K31+INDEX(Symboles!$H$6:$H$101,MOD(88+$C31+(3),$B$3)+1)*L31+INDEX(Symboles!$H$6:$H$101,MOD(88+$C31+(4),$B$3)+1)*M31+IF($B$6=0,0,$B$6*NORMSINV(0.000001+0.999998*RAND())))</f>
        <v/>
      </c>
      <c r="GT31" s="30">
        <f>IF(90&gt;$B$3,99,INDEX(Symboles!$H$6:$H$101,MOD(89+$C31+(-4),$B$3)+1)*E31+INDEX(Symboles!$H$6:$H$101,MOD(89+$C31+(-3),$B$3)+1)*F31+INDEX(Symboles!$H$6:$H$101,MOD(89+$C31+(-2),$B$3)+1)*G31+INDEX(Symboles!$H$6:$H$101,MOD(89+$C31+(-1),$B$3)+1)*H31+INDEX(Symboles!$H$6:$H$101,MOD(89+$C31+(0),$B$3)+1)*I31+INDEX(Symboles!$H$6:$H$101,MOD(89+$C31+(1),$B$3)+1)*J31+INDEX(Symboles!$H$6:$H$101,MOD(89+$C31+(2),$B$3)+1)*K31+INDEX(Symboles!$H$6:$H$101,MOD(89+$C31+(3),$B$3)+1)*L31+INDEX(Symboles!$H$6:$H$101,MOD(89+$C31+(4),$B$3)+1)*M31+IF($B$6=0,0,$B$6*NORMSINV(0.000001+0.999998*RAND())))</f>
        <v/>
      </c>
      <c r="GU31" s="30">
        <f>IF(91&gt;$B$3,99,INDEX(Symboles!$H$6:$H$101,MOD(90+$C31+(-4),$B$3)+1)*E31+INDEX(Symboles!$H$6:$H$101,MOD(90+$C31+(-3),$B$3)+1)*F31+INDEX(Symboles!$H$6:$H$101,MOD(90+$C31+(-2),$B$3)+1)*G31+INDEX(Symboles!$H$6:$H$101,MOD(90+$C31+(-1),$B$3)+1)*H31+INDEX(Symboles!$H$6:$H$101,MOD(90+$C31+(0),$B$3)+1)*I31+INDEX(Symboles!$H$6:$H$101,MOD(90+$C31+(1),$B$3)+1)*J31+INDEX(Symboles!$H$6:$H$101,MOD(90+$C31+(2),$B$3)+1)*K31+INDEX(Symboles!$H$6:$H$101,MOD(90+$C31+(3),$B$3)+1)*L31+INDEX(Symboles!$H$6:$H$101,MOD(90+$C31+(4),$B$3)+1)*M31+IF($B$6=0,0,$B$6*NORMSINV(0.000001+0.999998*RAND())))</f>
        <v/>
      </c>
      <c r="GV31" s="30">
        <f>IF(92&gt;$B$3,99,INDEX(Symboles!$H$6:$H$101,MOD(91+$C31+(-4),$B$3)+1)*E31+INDEX(Symboles!$H$6:$H$101,MOD(91+$C31+(-3),$B$3)+1)*F31+INDEX(Symboles!$H$6:$H$101,MOD(91+$C31+(-2),$B$3)+1)*G31+INDEX(Symboles!$H$6:$H$101,MOD(91+$C31+(-1),$B$3)+1)*H31+INDEX(Symboles!$H$6:$H$101,MOD(91+$C31+(0),$B$3)+1)*I31+INDEX(Symboles!$H$6:$H$101,MOD(91+$C31+(1),$B$3)+1)*J31+INDEX(Symboles!$H$6:$H$101,MOD(91+$C31+(2),$B$3)+1)*K31+INDEX(Symboles!$H$6:$H$101,MOD(91+$C31+(3),$B$3)+1)*L31+INDEX(Symboles!$H$6:$H$101,MOD(91+$C31+(4),$B$3)+1)*M31+IF($B$6=0,0,$B$6*NORMSINV(0.000001+0.999998*RAND())))</f>
        <v/>
      </c>
      <c r="GW31" s="30">
        <f>IF(93&gt;$B$3,99,INDEX(Symboles!$H$6:$H$101,MOD(92+$C31+(-4),$B$3)+1)*E31+INDEX(Symboles!$H$6:$H$101,MOD(92+$C31+(-3),$B$3)+1)*F31+INDEX(Symboles!$H$6:$H$101,MOD(92+$C31+(-2),$B$3)+1)*G31+INDEX(Symboles!$H$6:$H$101,MOD(92+$C31+(-1),$B$3)+1)*H31+INDEX(Symboles!$H$6:$H$101,MOD(92+$C31+(0),$B$3)+1)*I31+INDEX(Symboles!$H$6:$H$101,MOD(92+$C31+(1),$B$3)+1)*J31+INDEX(Symboles!$H$6:$H$101,MOD(92+$C31+(2),$B$3)+1)*K31+INDEX(Symboles!$H$6:$H$101,MOD(92+$C31+(3),$B$3)+1)*L31+INDEX(Symboles!$H$6:$H$101,MOD(92+$C31+(4),$B$3)+1)*M31+IF($B$6=0,0,$B$6*NORMSINV(0.000001+0.999998*RAND())))</f>
        <v/>
      </c>
      <c r="GX31" s="30">
        <f>IF(94&gt;$B$3,99,INDEX(Symboles!$H$6:$H$101,MOD(93+$C31+(-4),$B$3)+1)*E31+INDEX(Symboles!$H$6:$H$101,MOD(93+$C31+(-3),$B$3)+1)*F31+INDEX(Symboles!$H$6:$H$101,MOD(93+$C31+(-2),$B$3)+1)*G31+INDEX(Symboles!$H$6:$H$101,MOD(93+$C31+(-1),$B$3)+1)*H31+INDEX(Symboles!$H$6:$H$101,MOD(93+$C31+(0),$B$3)+1)*I31+INDEX(Symboles!$H$6:$H$101,MOD(93+$C31+(1),$B$3)+1)*J31+INDEX(Symboles!$H$6:$H$101,MOD(93+$C31+(2),$B$3)+1)*K31+INDEX(Symboles!$H$6:$H$101,MOD(93+$C31+(3),$B$3)+1)*L31+INDEX(Symboles!$H$6:$H$101,MOD(93+$C31+(4),$B$3)+1)*M31+IF($B$6=0,0,$B$6*NORMSINV(0.000001+0.999998*RAND())))</f>
        <v/>
      </c>
      <c r="GY31" s="30">
        <f>IF(95&gt;$B$3,99,INDEX(Symboles!$H$6:$H$101,MOD(94+$C31+(-4),$B$3)+1)*E31+INDEX(Symboles!$H$6:$H$101,MOD(94+$C31+(-3),$B$3)+1)*F31+INDEX(Symboles!$H$6:$H$101,MOD(94+$C31+(-2),$B$3)+1)*G31+INDEX(Symboles!$H$6:$H$101,MOD(94+$C31+(-1),$B$3)+1)*H31+INDEX(Symboles!$H$6:$H$101,MOD(94+$C31+(0),$B$3)+1)*I31+INDEX(Symboles!$H$6:$H$101,MOD(94+$C31+(1),$B$3)+1)*J31+INDEX(Symboles!$H$6:$H$101,MOD(94+$C31+(2),$B$3)+1)*K31+INDEX(Symboles!$H$6:$H$101,MOD(94+$C31+(3),$B$3)+1)*L31+INDEX(Symboles!$H$6:$H$101,MOD(94+$C31+(4),$B$3)+1)*M31+IF($B$6=0,0,$B$6*NORMSINV(0.000001+0.999998*RAND())))</f>
        <v/>
      </c>
      <c r="GZ31" s="30">
        <f>IF(96&gt;$B$3,99,INDEX(Symboles!$H$6:$H$101,MOD(95+$C31+(-4),$B$3)+1)*E31+INDEX(Symboles!$H$6:$H$101,MOD(95+$C31+(-3),$B$3)+1)*F31+INDEX(Symboles!$H$6:$H$101,MOD(95+$C31+(-2),$B$3)+1)*G31+INDEX(Symboles!$H$6:$H$101,MOD(95+$C31+(-1),$B$3)+1)*H31+INDEX(Symboles!$H$6:$H$101,MOD(95+$C31+(0),$B$3)+1)*I31+INDEX(Symboles!$H$6:$H$101,MOD(95+$C31+(1),$B$3)+1)*J31+INDEX(Symboles!$H$6:$H$101,MOD(95+$C31+(2),$B$3)+1)*K31+INDEX(Symboles!$H$6:$H$101,MOD(95+$C31+(3),$B$3)+1)*L31+INDEX(Symboles!$H$6:$H$101,MOD(95+$C31+(4),$B$3)+1)*M31+IF($B$6=0,0,$B$6*NORMSINV(0.000001+0.999998*RAND())))</f>
        <v/>
      </c>
    </row>
    <row r="32">
      <c r="A32" s="28" t="n">
        <v>22</v>
      </c>
      <c r="B32" s="28" t="n">
        <v>0.375</v>
      </c>
      <c r="C32" s="28" t="n">
        <v>0</v>
      </c>
      <c r="D32" s="28" t="n">
        <v>14</v>
      </c>
      <c r="E32" s="29">
        <f>IF($B$4=1,0,IF(ABS(1-(2*$B$5*4.375)^2)&lt;0.000001,PI()/4*SIN(PI()/(2*$B$5))/(PI()/(2*$B$5)),SIN(PI()*4.375)/(PI()*4.375)*COS(PI()*$B$5*4.375)/(1-(2*$B$5*4.375)^2)))</f>
        <v/>
      </c>
      <c r="F32" s="29">
        <f>IF($B$4=1,0,IF(ABS(1-(2*$B$5*3.375)^2)&lt;0.000001,PI()/4*SIN(PI()/(2*$B$5))/(PI()/(2*$B$5)),SIN(PI()*3.375)/(PI()*3.375)*COS(PI()*$B$5*3.375)/(1-(2*$B$5*3.375)^2)))</f>
        <v/>
      </c>
      <c r="G32" s="29">
        <f>IF($B$4=1,0,IF(ABS(1-(2*$B$5*2.375)^2)&lt;0.000001,PI()/4*SIN(PI()/(2*$B$5))/(PI()/(2*$B$5)),SIN(PI()*2.375)/(PI()*2.375)*COS(PI()*$B$5*2.375)/(1-(2*$B$5*2.375)^2)))</f>
        <v/>
      </c>
      <c r="H32" s="29">
        <f>IF($B$4=1,0,IF(ABS(1-(2*$B$5*1.375)^2)&lt;0.000001,PI()/4*SIN(PI()/(2*$B$5))/(PI()/(2*$B$5)),SIN(PI()*1.375)/(PI()*1.375)*COS(PI()*$B$5*1.375)/(1-(2*$B$5*1.375)^2)))</f>
        <v/>
      </c>
      <c r="I32" s="29">
        <f>IF($B$4=1,1,IF(ABS(1-(2*$B$5*0.375)^2)&lt;0.000001,PI()/4*SIN(PI()/(2*$B$5))/(PI()/(2*$B$5)),SIN(PI()*0.375)/(PI()*0.375)*COS(PI()*$B$5*0.375)/(1-(2*$B$5*0.375)^2)))</f>
        <v/>
      </c>
      <c r="J32" s="29">
        <f>IF($B$4=1,0,IF(ABS(1-(2*$B$5*-0.625)^2)&lt;0.000001,PI()/4*SIN(PI()/(2*$B$5))/(PI()/(2*$B$5)),SIN(PI()*-0.625)/(PI()*-0.625)*COS(PI()*$B$5*-0.625)/(1-(2*$B$5*-0.625)^2)))</f>
        <v/>
      </c>
      <c r="K32" s="29">
        <f>IF($B$4=1,0,IF(ABS(1-(2*$B$5*-1.625)^2)&lt;0.000001,PI()/4*SIN(PI()/(2*$B$5))/(PI()/(2*$B$5)),SIN(PI()*-1.625)/(PI()*-1.625)*COS(PI()*$B$5*-1.625)/(1-(2*$B$5*-1.625)^2)))</f>
        <v/>
      </c>
      <c r="L32" s="29">
        <f>IF($B$4=1,0,IF(ABS(1-(2*$B$5*-2.625)^2)&lt;0.000001,PI()/4*SIN(PI()/(2*$B$5))/(PI()/(2*$B$5)),SIN(PI()*-2.625)/(PI()*-2.625)*COS(PI()*$B$5*-2.625)/(1-(2*$B$5*-2.625)^2)))</f>
        <v/>
      </c>
      <c r="M32" s="29">
        <f>IF($B$4=1,0,IF(ABS(1-(2*$B$5*-3.625)^2)&lt;0.000001,PI()/4*SIN(PI()/(2*$B$5))/(PI()/(2*$B$5)),SIN(PI()*-3.625)/(PI()*-3.625)*COS(PI()*$B$5*-3.625)/(1-(2*$B$5*-3.625)^2)))</f>
        <v/>
      </c>
      <c r="P32" s="30">
        <f>IF(1&gt;$B$3,99,INDEX(Symboles!$G$6:$G$101,MOD(0+$C32+(-4),$B$3)+1)*E32+INDEX(Symboles!$G$6:$G$101,MOD(0+$C32+(-3),$B$3)+1)*F32+INDEX(Symboles!$G$6:$G$101,MOD(0+$C32+(-2),$B$3)+1)*G32+INDEX(Symboles!$G$6:$G$101,MOD(0+$C32+(-1),$B$3)+1)*H32+INDEX(Symboles!$G$6:$G$101,MOD(0+$C32+(0),$B$3)+1)*I32+INDEX(Symboles!$G$6:$G$101,MOD(0+$C32+(1),$B$3)+1)*J32+INDEX(Symboles!$G$6:$G$101,MOD(0+$C32+(2),$B$3)+1)*K32+INDEX(Symboles!$G$6:$G$101,MOD(0+$C32+(3),$B$3)+1)*L32+INDEX(Symboles!$G$6:$G$101,MOD(0+$C32+(4),$B$3)+1)*M32+IF($B$6=0,0,$B$6*NORMSINV(0.000001+0.999998*RAND())))</f>
        <v/>
      </c>
      <c r="Q32" s="30">
        <f>IF(2&gt;$B$3,99,INDEX(Symboles!$G$6:$G$101,MOD(1+$C32+(-4),$B$3)+1)*E32+INDEX(Symboles!$G$6:$G$101,MOD(1+$C32+(-3),$B$3)+1)*F32+INDEX(Symboles!$G$6:$G$101,MOD(1+$C32+(-2),$B$3)+1)*G32+INDEX(Symboles!$G$6:$G$101,MOD(1+$C32+(-1),$B$3)+1)*H32+INDEX(Symboles!$G$6:$G$101,MOD(1+$C32+(0),$B$3)+1)*I32+INDEX(Symboles!$G$6:$G$101,MOD(1+$C32+(1),$B$3)+1)*J32+INDEX(Symboles!$G$6:$G$101,MOD(1+$C32+(2),$B$3)+1)*K32+INDEX(Symboles!$G$6:$G$101,MOD(1+$C32+(3),$B$3)+1)*L32+INDEX(Symboles!$G$6:$G$101,MOD(1+$C32+(4),$B$3)+1)*M32+IF($B$6=0,0,$B$6*NORMSINV(0.000001+0.999998*RAND())))</f>
        <v/>
      </c>
      <c r="R32" s="30">
        <f>IF(3&gt;$B$3,99,INDEX(Symboles!$G$6:$G$101,MOD(2+$C32+(-4),$B$3)+1)*E32+INDEX(Symboles!$G$6:$G$101,MOD(2+$C32+(-3),$B$3)+1)*F32+INDEX(Symboles!$G$6:$G$101,MOD(2+$C32+(-2),$B$3)+1)*G32+INDEX(Symboles!$G$6:$G$101,MOD(2+$C32+(-1),$B$3)+1)*H32+INDEX(Symboles!$G$6:$G$101,MOD(2+$C32+(0),$B$3)+1)*I32+INDEX(Symboles!$G$6:$G$101,MOD(2+$C32+(1),$B$3)+1)*J32+INDEX(Symboles!$G$6:$G$101,MOD(2+$C32+(2),$B$3)+1)*K32+INDEX(Symboles!$G$6:$G$101,MOD(2+$C32+(3),$B$3)+1)*L32+INDEX(Symboles!$G$6:$G$101,MOD(2+$C32+(4),$B$3)+1)*M32+IF($B$6=0,0,$B$6*NORMSINV(0.000001+0.999998*RAND())))</f>
        <v/>
      </c>
      <c r="S32" s="30">
        <f>IF(4&gt;$B$3,99,INDEX(Symboles!$G$6:$G$101,MOD(3+$C32+(-4),$B$3)+1)*E32+INDEX(Symboles!$G$6:$G$101,MOD(3+$C32+(-3),$B$3)+1)*F32+INDEX(Symboles!$G$6:$G$101,MOD(3+$C32+(-2),$B$3)+1)*G32+INDEX(Symboles!$G$6:$G$101,MOD(3+$C32+(-1),$B$3)+1)*H32+INDEX(Symboles!$G$6:$G$101,MOD(3+$C32+(0),$B$3)+1)*I32+INDEX(Symboles!$G$6:$G$101,MOD(3+$C32+(1),$B$3)+1)*J32+INDEX(Symboles!$G$6:$G$101,MOD(3+$C32+(2),$B$3)+1)*K32+INDEX(Symboles!$G$6:$G$101,MOD(3+$C32+(3),$B$3)+1)*L32+INDEX(Symboles!$G$6:$G$101,MOD(3+$C32+(4),$B$3)+1)*M32+IF($B$6=0,0,$B$6*NORMSINV(0.000001+0.999998*RAND())))</f>
        <v/>
      </c>
      <c r="T32" s="30">
        <f>IF(5&gt;$B$3,99,INDEX(Symboles!$G$6:$G$101,MOD(4+$C32+(-4),$B$3)+1)*E32+INDEX(Symboles!$G$6:$G$101,MOD(4+$C32+(-3),$B$3)+1)*F32+INDEX(Symboles!$G$6:$G$101,MOD(4+$C32+(-2),$B$3)+1)*G32+INDEX(Symboles!$G$6:$G$101,MOD(4+$C32+(-1),$B$3)+1)*H32+INDEX(Symboles!$G$6:$G$101,MOD(4+$C32+(0),$B$3)+1)*I32+INDEX(Symboles!$G$6:$G$101,MOD(4+$C32+(1),$B$3)+1)*J32+INDEX(Symboles!$G$6:$G$101,MOD(4+$C32+(2),$B$3)+1)*K32+INDEX(Symboles!$G$6:$G$101,MOD(4+$C32+(3),$B$3)+1)*L32+INDEX(Symboles!$G$6:$G$101,MOD(4+$C32+(4),$B$3)+1)*M32+IF($B$6=0,0,$B$6*NORMSINV(0.000001+0.999998*RAND())))</f>
        <v/>
      </c>
      <c r="U32" s="30">
        <f>IF(6&gt;$B$3,99,INDEX(Symboles!$G$6:$G$101,MOD(5+$C32+(-4),$B$3)+1)*E32+INDEX(Symboles!$G$6:$G$101,MOD(5+$C32+(-3),$B$3)+1)*F32+INDEX(Symboles!$G$6:$G$101,MOD(5+$C32+(-2),$B$3)+1)*G32+INDEX(Symboles!$G$6:$G$101,MOD(5+$C32+(-1),$B$3)+1)*H32+INDEX(Symboles!$G$6:$G$101,MOD(5+$C32+(0),$B$3)+1)*I32+INDEX(Symboles!$G$6:$G$101,MOD(5+$C32+(1),$B$3)+1)*J32+INDEX(Symboles!$G$6:$G$101,MOD(5+$C32+(2),$B$3)+1)*K32+INDEX(Symboles!$G$6:$G$101,MOD(5+$C32+(3),$B$3)+1)*L32+INDEX(Symboles!$G$6:$G$101,MOD(5+$C32+(4),$B$3)+1)*M32+IF($B$6=0,0,$B$6*NORMSINV(0.000001+0.999998*RAND())))</f>
        <v/>
      </c>
      <c r="V32" s="30">
        <f>IF(7&gt;$B$3,99,INDEX(Symboles!$G$6:$G$101,MOD(6+$C32+(-4),$B$3)+1)*E32+INDEX(Symboles!$G$6:$G$101,MOD(6+$C32+(-3),$B$3)+1)*F32+INDEX(Symboles!$G$6:$G$101,MOD(6+$C32+(-2),$B$3)+1)*G32+INDEX(Symboles!$G$6:$G$101,MOD(6+$C32+(-1),$B$3)+1)*H32+INDEX(Symboles!$G$6:$G$101,MOD(6+$C32+(0),$B$3)+1)*I32+INDEX(Symboles!$G$6:$G$101,MOD(6+$C32+(1),$B$3)+1)*J32+INDEX(Symboles!$G$6:$G$101,MOD(6+$C32+(2),$B$3)+1)*K32+INDEX(Symboles!$G$6:$G$101,MOD(6+$C32+(3),$B$3)+1)*L32+INDEX(Symboles!$G$6:$G$101,MOD(6+$C32+(4),$B$3)+1)*M32+IF($B$6=0,0,$B$6*NORMSINV(0.000001+0.999998*RAND())))</f>
        <v/>
      </c>
      <c r="W32" s="30">
        <f>IF(8&gt;$B$3,99,INDEX(Symboles!$G$6:$G$101,MOD(7+$C32+(-4),$B$3)+1)*E32+INDEX(Symboles!$G$6:$G$101,MOD(7+$C32+(-3),$B$3)+1)*F32+INDEX(Symboles!$G$6:$G$101,MOD(7+$C32+(-2),$B$3)+1)*G32+INDEX(Symboles!$G$6:$G$101,MOD(7+$C32+(-1),$B$3)+1)*H32+INDEX(Symboles!$G$6:$G$101,MOD(7+$C32+(0),$B$3)+1)*I32+INDEX(Symboles!$G$6:$G$101,MOD(7+$C32+(1),$B$3)+1)*J32+INDEX(Symboles!$G$6:$G$101,MOD(7+$C32+(2),$B$3)+1)*K32+INDEX(Symboles!$G$6:$G$101,MOD(7+$C32+(3),$B$3)+1)*L32+INDEX(Symboles!$G$6:$G$101,MOD(7+$C32+(4),$B$3)+1)*M32+IF($B$6=0,0,$B$6*NORMSINV(0.000001+0.999998*RAND())))</f>
        <v/>
      </c>
      <c r="X32" s="30">
        <f>IF(9&gt;$B$3,99,INDEX(Symboles!$G$6:$G$101,MOD(8+$C32+(-4),$B$3)+1)*E32+INDEX(Symboles!$G$6:$G$101,MOD(8+$C32+(-3),$B$3)+1)*F32+INDEX(Symboles!$G$6:$G$101,MOD(8+$C32+(-2),$B$3)+1)*G32+INDEX(Symboles!$G$6:$G$101,MOD(8+$C32+(-1),$B$3)+1)*H32+INDEX(Symboles!$G$6:$G$101,MOD(8+$C32+(0),$B$3)+1)*I32+INDEX(Symboles!$G$6:$G$101,MOD(8+$C32+(1),$B$3)+1)*J32+INDEX(Symboles!$G$6:$G$101,MOD(8+$C32+(2),$B$3)+1)*K32+INDEX(Symboles!$G$6:$G$101,MOD(8+$C32+(3),$B$3)+1)*L32+INDEX(Symboles!$G$6:$G$101,MOD(8+$C32+(4),$B$3)+1)*M32+IF($B$6=0,0,$B$6*NORMSINV(0.000001+0.999998*RAND())))</f>
        <v/>
      </c>
      <c r="Y32" s="30">
        <f>IF(10&gt;$B$3,99,INDEX(Symboles!$G$6:$G$101,MOD(9+$C32+(-4),$B$3)+1)*E32+INDEX(Symboles!$G$6:$G$101,MOD(9+$C32+(-3),$B$3)+1)*F32+INDEX(Symboles!$G$6:$G$101,MOD(9+$C32+(-2),$B$3)+1)*G32+INDEX(Symboles!$G$6:$G$101,MOD(9+$C32+(-1),$B$3)+1)*H32+INDEX(Symboles!$G$6:$G$101,MOD(9+$C32+(0),$B$3)+1)*I32+INDEX(Symboles!$G$6:$G$101,MOD(9+$C32+(1),$B$3)+1)*J32+INDEX(Symboles!$G$6:$G$101,MOD(9+$C32+(2),$B$3)+1)*K32+INDEX(Symboles!$G$6:$G$101,MOD(9+$C32+(3),$B$3)+1)*L32+INDEX(Symboles!$G$6:$G$101,MOD(9+$C32+(4),$B$3)+1)*M32+IF($B$6=0,0,$B$6*NORMSINV(0.000001+0.999998*RAND())))</f>
        <v/>
      </c>
      <c r="Z32" s="30">
        <f>IF(11&gt;$B$3,99,INDEX(Symboles!$G$6:$G$101,MOD(10+$C32+(-4),$B$3)+1)*E32+INDEX(Symboles!$G$6:$G$101,MOD(10+$C32+(-3),$B$3)+1)*F32+INDEX(Symboles!$G$6:$G$101,MOD(10+$C32+(-2),$B$3)+1)*G32+INDEX(Symboles!$G$6:$G$101,MOD(10+$C32+(-1),$B$3)+1)*H32+INDEX(Symboles!$G$6:$G$101,MOD(10+$C32+(0),$B$3)+1)*I32+INDEX(Symboles!$G$6:$G$101,MOD(10+$C32+(1),$B$3)+1)*J32+INDEX(Symboles!$G$6:$G$101,MOD(10+$C32+(2),$B$3)+1)*K32+INDEX(Symboles!$G$6:$G$101,MOD(10+$C32+(3),$B$3)+1)*L32+INDEX(Symboles!$G$6:$G$101,MOD(10+$C32+(4),$B$3)+1)*M32+IF($B$6=0,0,$B$6*NORMSINV(0.000001+0.999998*RAND())))</f>
        <v/>
      </c>
      <c r="AA32" s="30">
        <f>IF(12&gt;$B$3,99,INDEX(Symboles!$G$6:$G$101,MOD(11+$C32+(-4),$B$3)+1)*E32+INDEX(Symboles!$G$6:$G$101,MOD(11+$C32+(-3),$B$3)+1)*F32+INDEX(Symboles!$G$6:$G$101,MOD(11+$C32+(-2),$B$3)+1)*G32+INDEX(Symboles!$G$6:$G$101,MOD(11+$C32+(-1),$B$3)+1)*H32+INDEX(Symboles!$G$6:$G$101,MOD(11+$C32+(0),$B$3)+1)*I32+INDEX(Symboles!$G$6:$G$101,MOD(11+$C32+(1),$B$3)+1)*J32+INDEX(Symboles!$G$6:$G$101,MOD(11+$C32+(2),$B$3)+1)*K32+INDEX(Symboles!$G$6:$G$101,MOD(11+$C32+(3),$B$3)+1)*L32+INDEX(Symboles!$G$6:$G$101,MOD(11+$C32+(4),$B$3)+1)*M32+IF($B$6=0,0,$B$6*NORMSINV(0.000001+0.999998*RAND())))</f>
        <v/>
      </c>
      <c r="AB32" s="30">
        <f>IF(13&gt;$B$3,99,INDEX(Symboles!$G$6:$G$101,MOD(12+$C32+(-4),$B$3)+1)*E32+INDEX(Symboles!$G$6:$G$101,MOD(12+$C32+(-3),$B$3)+1)*F32+INDEX(Symboles!$G$6:$G$101,MOD(12+$C32+(-2),$B$3)+1)*G32+INDEX(Symboles!$G$6:$G$101,MOD(12+$C32+(-1),$B$3)+1)*H32+INDEX(Symboles!$G$6:$G$101,MOD(12+$C32+(0),$B$3)+1)*I32+INDEX(Symboles!$G$6:$G$101,MOD(12+$C32+(1),$B$3)+1)*J32+INDEX(Symboles!$G$6:$G$101,MOD(12+$C32+(2),$B$3)+1)*K32+INDEX(Symboles!$G$6:$G$101,MOD(12+$C32+(3),$B$3)+1)*L32+INDEX(Symboles!$G$6:$G$101,MOD(12+$C32+(4),$B$3)+1)*M32+IF($B$6=0,0,$B$6*NORMSINV(0.000001+0.999998*RAND())))</f>
        <v/>
      </c>
      <c r="AC32" s="30">
        <f>IF(14&gt;$B$3,99,INDEX(Symboles!$G$6:$G$101,MOD(13+$C32+(-4),$B$3)+1)*E32+INDEX(Symboles!$G$6:$G$101,MOD(13+$C32+(-3),$B$3)+1)*F32+INDEX(Symboles!$G$6:$G$101,MOD(13+$C32+(-2),$B$3)+1)*G32+INDEX(Symboles!$G$6:$G$101,MOD(13+$C32+(-1),$B$3)+1)*H32+INDEX(Symboles!$G$6:$G$101,MOD(13+$C32+(0),$B$3)+1)*I32+INDEX(Symboles!$G$6:$G$101,MOD(13+$C32+(1),$B$3)+1)*J32+INDEX(Symboles!$G$6:$G$101,MOD(13+$C32+(2),$B$3)+1)*K32+INDEX(Symboles!$G$6:$G$101,MOD(13+$C32+(3),$B$3)+1)*L32+INDEX(Symboles!$G$6:$G$101,MOD(13+$C32+(4),$B$3)+1)*M32+IF($B$6=0,0,$B$6*NORMSINV(0.000001+0.999998*RAND())))</f>
        <v/>
      </c>
      <c r="AD32" s="30">
        <f>IF(15&gt;$B$3,99,INDEX(Symboles!$G$6:$G$101,MOD(14+$C32+(-4),$B$3)+1)*E32+INDEX(Symboles!$G$6:$G$101,MOD(14+$C32+(-3),$B$3)+1)*F32+INDEX(Symboles!$G$6:$G$101,MOD(14+$C32+(-2),$B$3)+1)*G32+INDEX(Symboles!$G$6:$G$101,MOD(14+$C32+(-1),$B$3)+1)*H32+INDEX(Symboles!$G$6:$G$101,MOD(14+$C32+(0),$B$3)+1)*I32+INDEX(Symboles!$G$6:$G$101,MOD(14+$C32+(1),$B$3)+1)*J32+INDEX(Symboles!$G$6:$G$101,MOD(14+$C32+(2),$B$3)+1)*K32+INDEX(Symboles!$G$6:$G$101,MOD(14+$C32+(3),$B$3)+1)*L32+INDEX(Symboles!$G$6:$G$101,MOD(14+$C32+(4),$B$3)+1)*M32+IF($B$6=0,0,$B$6*NORMSINV(0.000001+0.999998*RAND())))</f>
        <v/>
      </c>
      <c r="AE32" s="30">
        <f>IF(16&gt;$B$3,99,INDEX(Symboles!$G$6:$G$101,MOD(15+$C32+(-4),$B$3)+1)*E32+INDEX(Symboles!$G$6:$G$101,MOD(15+$C32+(-3),$B$3)+1)*F32+INDEX(Symboles!$G$6:$G$101,MOD(15+$C32+(-2),$B$3)+1)*G32+INDEX(Symboles!$G$6:$G$101,MOD(15+$C32+(-1),$B$3)+1)*H32+INDEX(Symboles!$G$6:$G$101,MOD(15+$C32+(0),$B$3)+1)*I32+INDEX(Symboles!$G$6:$G$101,MOD(15+$C32+(1),$B$3)+1)*J32+INDEX(Symboles!$G$6:$G$101,MOD(15+$C32+(2),$B$3)+1)*K32+INDEX(Symboles!$G$6:$G$101,MOD(15+$C32+(3),$B$3)+1)*L32+INDEX(Symboles!$G$6:$G$101,MOD(15+$C32+(4),$B$3)+1)*M32+IF($B$6=0,0,$B$6*NORMSINV(0.000001+0.999998*RAND())))</f>
        <v/>
      </c>
      <c r="AF32" s="30">
        <f>IF(17&gt;$B$3,99,INDEX(Symboles!$G$6:$G$101,MOD(16+$C32+(-4),$B$3)+1)*E32+INDEX(Symboles!$G$6:$G$101,MOD(16+$C32+(-3),$B$3)+1)*F32+INDEX(Symboles!$G$6:$G$101,MOD(16+$C32+(-2),$B$3)+1)*G32+INDEX(Symboles!$G$6:$G$101,MOD(16+$C32+(-1),$B$3)+1)*H32+INDEX(Symboles!$G$6:$G$101,MOD(16+$C32+(0),$B$3)+1)*I32+INDEX(Symboles!$G$6:$G$101,MOD(16+$C32+(1),$B$3)+1)*J32+INDEX(Symboles!$G$6:$G$101,MOD(16+$C32+(2),$B$3)+1)*K32+INDEX(Symboles!$G$6:$G$101,MOD(16+$C32+(3),$B$3)+1)*L32+INDEX(Symboles!$G$6:$G$101,MOD(16+$C32+(4),$B$3)+1)*M32+IF($B$6=0,0,$B$6*NORMSINV(0.000001+0.999998*RAND())))</f>
        <v/>
      </c>
      <c r="AG32" s="30">
        <f>IF(18&gt;$B$3,99,INDEX(Symboles!$G$6:$G$101,MOD(17+$C32+(-4),$B$3)+1)*E32+INDEX(Symboles!$G$6:$G$101,MOD(17+$C32+(-3),$B$3)+1)*F32+INDEX(Symboles!$G$6:$G$101,MOD(17+$C32+(-2),$B$3)+1)*G32+INDEX(Symboles!$G$6:$G$101,MOD(17+$C32+(-1),$B$3)+1)*H32+INDEX(Symboles!$G$6:$G$101,MOD(17+$C32+(0),$B$3)+1)*I32+INDEX(Symboles!$G$6:$G$101,MOD(17+$C32+(1),$B$3)+1)*J32+INDEX(Symboles!$G$6:$G$101,MOD(17+$C32+(2),$B$3)+1)*K32+INDEX(Symboles!$G$6:$G$101,MOD(17+$C32+(3),$B$3)+1)*L32+INDEX(Symboles!$G$6:$G$101,MOD(17+$C32+(4),$B$3)+1)*M32+IF($B$6=0,0,$B$6*NORMSINV(0.000001+0.999998*RAND())))</f>
        <v/>
      </c>
      <c r="AH32" s="30">
        <f>IF(19&gt;$B$3,99,INDEX(Symboles!$G$6:$G$101,MOD(18+$C32+(-4),$B$3)+1)*E32+INDEX(Symboles!$G$6:$G$101,MOD(18+$C32+(-3),$B$3)+1)*F32+INDEX(Symboles!$G$6:$G$101,MOD(18+$C32+(-2),$B$3)+1)*G32+INDEX(Symboles!$G$6:$G$101,MOD(18+$C32+(-1),$B$3)+1)*H32+INDEX(Symboles!$G$6:$G$101,MOD(18+$C32+(0),$B$3)+1)*I32+INDEX(Symboles!$G$6:$G$101,MOD(18+$C32+(1),$B$3)+1)*J32+INDEX(Symboles!$G$6:$G$101,MOD(18+$C32+(2),$B$3)+1)*K32+INDEX(Symboles!$G$6:$G$101,MOD(18+$C32+(3),$B$3)+1)*L32+INDEX(Symboles!$G$6:$G$101,MOD(18+$C32+(4),$B$3)+1)*M32+IF($B$6=0,0,$B$6*NORMSINV(0.000001+0.999998*RAND())))</f>
        <v/>
      </c>
      <c r="AI32" s="30">
        <f>IF(20&gt;$B$3,99,INDEX(Symboles!$G$6:$G$101,MOD(19+$C32+(-4),$B$3)+1)*E32+INDEX(Symboles!$G$6:$G$101,MOD(19+$C32+(-3),$B$3)+1)*F32+INDEX(Symboles!$G$6:$G$101,MOD(19+$C32+(-2),$B$3)+1)*G32+INDEX(Symboles!$G$6:$G$101,MOD(19+$C32+(-1),$B$3)+1)*H32+INDEX(Symboles!$G$6:$G$101,MOD(19+$C32+(0),$B$3)+1)*I32+INDEX(Symboles!$G$6:$G$101,MOD(19+$C32+(1),$B$3)+1)*J32+INDEX(Symboles!$G$6:$G$101,MOD(19+$C32+(2),$B$3)+1)*K32+INDEX(Symboles!$G$6:$G$101,MOD(19+$C32+(3),$B$3)+1)*L32+INDEX(Symboles!$G$6:$G$101,MOD(19+$C32+(4),$B$3)+1)*M32+IF($B$6=0,0,$B$6*NORMSINV(0.000001+0.999998*RAND())))</f>
        <v/>
      </c>
      <c r="AJ32" s="30">
        <f>IF(21&gt;$B$3,99,INDEX(Symboles!$G$6:$G$101,MOD(20+$C32+(-4),$B$3)+1)*E32+INDEX(Symboles!$G$6:$G$101,MOD(20+$C32+(-3),$B$3)+1)*F32+INDEX(Symboles!$G$6:$G$101,MOD(20+$C32+(-2),$B$3)+1)*G32+INDEX(Symboles!$G$6:$G$101,MOD(20+$C32+(-1),$B$3)+1)*H32+INDEX(Symboles!$G$6:$G$101,MOD(20+$C32+(0),$B$3)+1)*I32+INDEX(Symboles!$G$6:$G$101,MOD(20+$C32+(1),$B$3)+1)*J32+INDEX(Symboles!$G$6:$G$101,MOD(20+$C32+(2),$B$3)+1)*K32+INDEX(Symboles!$G$6:$G$101,MOD(20+$C32+(3),$B$3)+1)*L32+INDEX(Symboles!$G$6:$G$101,MOD(20+$C32+(4),$B$3)+1)*M32+IF($B$6=0,0,$B$6*NORMSINV(0.000001+0.999998*RAND())))</f>
        <v/>
      </c>
      <c r="AK32" s="30">
        <f>IF(22&gt;$B$3,99,INDEX(Symboles!$G$6:$G$101,MOD(21+$C32+(-4),$B$3)+1)*E32+INDEX(Symboles!$G$6:$G$101,MOD(21+$C32+(-3),$B$3)+1)*F32+INDEX(Symboles!$G$6:$G$101,MOD(21+$C32+(-2),$B$3)+1)*G32+INDEX(Symboles!$G$6:$G$101,MOD(21+$C32+(-1),$B$3)+1)*H32+INDEX(Symboles!$G$6:$G$101,MOD(21+$C32+(0),$B$3)+1)*I32+INDEX(Symboles!$G$6:$G$101,MOD(21+$C32+(1),$B$3)+1)*J32+INDEX(Symboles!$G$6:$G$101,MOD(21+$C32+(2),$B$3)+1)*K32+INDEX(Symboles!$G$6:$G$101,MOD(21+$C32+(3),$B$3)+1)*L32+INDEX(Symboles!$G$6:$G$101,MOD(21+$C32+(4),$B$3)+1)*M32+IF($B$6=0,0,$B$6*NORMSINV(0.000001+0.999998*RAND())))</f>
        <v/>
      </c>
      <c r="AL32" s="30">
        <f>IF(23&gt;$B$3,99,INDEX(Symboles!$G$6:$G$101,MOD(22+$C32+(-4),$B$3)+1)*E32+INDEX(Symboles!$G$6:$G$101,MOD(22+$C32+(-3),$B$3)+1)*F32+INDEX(Symboles!$G$6:$G$101,MOD(22+$C32+(-2),$B$3)+1)*G32+INDEX(Symboles!$G$6:$G$101,MOD(22+$C32+(-1),$B$3)+1)*H32+INDEX(Symboles!$G$6:$G$101,MOD(22+$C32+(0),$B$3)+1)*I32+INDEX(Symboles!$G$6:$G$101,MOD(22+$C32+(1),$B$3)+1)*J32+INDEX(Symboles!$G$6:$G$101,MOD(22+$C32+(2),$B$3)+1)*K32+INDEX(Symboles!$G$6:$G$101,MOD(22+$C32+(3),$B$3)+1)*L32+INDEX(Symboles!$G$6:$G$101,MOD(22+$C32+(4),$B$3)+1)*M32+IF($B$6=0,0,$B$6*NORMSINV(0.000001+0.999998*RAND())))</f>
        <v/>
      </c>
      <c r="AM32" s="30">
        <f>IF(24&gt;$B$3,99,INDEX(Symboles!$G$6:$G$101,MOD(23+$C32+(-4),$B$3)+1)*E32+INDEX(Symboles!$G$6:$G$101,MOD(23+$C32+(-3),$B$3)+1)*F32+INDEX(Symboles!$G$6:$G$101,MOD(23+$C32+(-2),$B$3)+1)*G32+INDEX(Symboles!$G$6:$G$101,MOD(23+$C32+(-1),$B$3)+1)*H32+INDEX(Symboles!$G$6:$G$101,MOD(23+$C32+(0),$B$3)+1)*I32+INDEX(Symboles!$G$6:$G$101,MOD(23+$C32+(1),$B$3)+1)*J32+INDEX(Symboles!$G$6:$G$101,MOD(23+$C32+(2),$B$3)+1)*K32+INDEX(Symboles!$G$6:$G$101,MOD(23+$C32+(3),$B$3)+1)*L32+INDEX(Symboles!$G$6:$G$101,MOD(23+$C32+(4),$B$3)+1)*M32+IF($B$6=0,0,$B$6*NORMSINV(0.000001+0.999998*RAND())))</f>
        <v/>
      </c>
      <c r="AN32" s="30">
        <f>IF(25&gt;$B$3,99,INDEX(Symboles!$G$6:$G$101,MOD(24+$C32+(-4),$B$3)+1)*E32+INDEX(Symboles!$G$6:$G$101,MOD(24+$C32+(-3),$B$3)+1)*F32+INDEX(Symboles!$G$6:$G$101,MOD(24+$C32+(-2),$B$3)+1)*G32+INDEX(Symboles!$G$6:$G$101,MOD(24+$C32+(-1),$B$3)+1)*H32+INDEX(Symboles!$G$6:$G$101,MOD(24+$C32+(0),$B$3)+1)*I32+INDEX(Symboles!$G$6:$G$101,MOD(24+$C32+(1),$B$3)+1)*J32+INDEX(Symboles!$G$6:$G$101,MOD(24+$C32+(2),$B$3)+1)*K32+INDEX(Symboles!$G$6:$G$101,MOD(24+$C32+(3),$B$3)+1)*L32+INDEX(Symboles!$G$6:$G$101,MOD(24+$C32+(4),$B$3)+1)*M32+IF($B$6=0,0,$B$6*NORMSINV(0.000001+0.999998*RAND())))</f>
        <v/>
      </c>
      <c r="AO32" s="30">
        <f>IF(26&gt;$B$3,99,INDEX(Symboles!$G$6:$G$101,MOD(25+$C32+(-4),$B$3)+1)*E32+INDEX(Symboles!$G$6:$G$101,MOD(25+$C32+(-3),$B$3)+1)*F32+INDEX(Symboles!$G$6:$G$101,MOD(25+$C32+(-2),$B$3)+1)*G32+INDEX(Symboles!$G$6:$G$101,MOD(25+$C32+(-1),$B$3)+1)*H32+INDEX(Symboles!$G$6:$G$101,MOD(25+$C32+(0),$B$3)+1)*I32+INDEX(Symboles!$G$6:$G$101,MOD(25+$C32+(1),$B$3)+1)*J32+INDEX(Symboles!$G$6:$G$101,MOD(25+$C32+(2),$B$3)+1)*K32+INDEX(Symboles!$G$6:$G$101,MOD(25+$C32+(3),$B$3)+1)*L32+INDEX(Symboles!$G$6:$G$101,MOD(25+$C32+(4),$B$3)+1)*M32+IF($B$6=0,0,$B$6*NORMSINV(0.000001+0.999998*RAND())))</f>
        <v/>
      </c>
      <c r="AP32" s="30">
        <f>IF(27&gt;$B$3,99,INDEX(Symboles!$G$6:$G$101,MOD(26+$C32+(-4),$B$3)+1)*E32+INDEX(Symboles!$G$6:$G$101,MOD(26+$C32+(-3),$B$3)+1)*F32+INDEX(Symboles!$G$6:$G$101,MOD(26+$C32+(-2),$B$3)+1)*G32+INDEX(Symboles!$G$6:$G$101,MOD(26+$C32+(-1),$B$3)+1)*H32+INDEX(Symboles!$G$6:$G$101,MOD(26+$C32+(0),$B$3)+1)*I32+INDEX(Symboles!$G$6:$G$101,MOD(26+$C32+(1),$B$3)+1)*J32+INDEX(Symboles!$G$6:$G$101,MOD(26+$C32+(2),$B$3)+1)*K32+INDEX(Symboles!$G$6:$G$101,MOD(26+$C32+(3),$B$3)+1)*L32+INDEX(Symboles!$G$6:$G$101,MOD(26+$C32+(4),$B$3)+1)*M32+IF($B$6=0,0,$B$6*NORMSINV(0.000001+0.999998*RAND())))</f>
        <v/>
      </c>
      <c r="AQ32" s="30">
        <f>IF(28&gt;$B$3,99,INDEX(Symboles!$G$6:$G$101,MOD(27+$C32+(-4),$B$3)+1)*E32+INDEX(Symboles!$G$6:$G$101,MOD(27+$C32+(-3),$B$3)+1)*F32+INDEX(Symboles!$G$6:$G$101,MOD(27+$C32+(-2),$B$3)+1)*G32+INDEX(Symboles!$G$6:$G$101,MOD(27+$C32+(-1),$B$3)+1)*H32+INDEX(Symboles!$G$6:$G$101,MOD(27+$C32+(0),$B$3)+1)*I32+INDEX(Symboles!$G$6:$G$101,MOD(27+$C32+(1),$B$3)+1)*J32+INDEX(Symboles!$G$6:$G$101,MOD(27+$C32+(2),$B$3)+1)*K32+INDEX(Symboles!$G$6:$G$101,MOD(27+$C32+(3),$B$3)+1)*L32+INDEX(Symboles!$G$6:$G$101,MOD(27+$C32+(4),$B$3)+1)*M32+IF($B$6=0,0,$B$6*NORMSINV(0.000001+0.999998*RAND())))</f>
        <v/>
      </c>
      <c r="AR32" s="30">
        <f>IF(29&gt;$B$3,99,INDEX(Symboles!$G$6:$G$101,MOD(28+$C32+(-4),$B$3)+1)*E32+INDEX(Symboles!$G$6:$G$101,MOD(28+$C32+(-3),$B$3)+1)*F32+INDEX(Symboles!$G$6:$G$101,MOD(28+$C32+(-2),$B$3)+1)*G32+INDEX(Symboles!$G$6:$G$101,MOD(28+$C32+(-1),$B$3)+1)*H32+INDEX(Symboles!$G$6:$G$101,MOD(28+$C32+(0),$B$3)+1)*I32+INDEX(Symboles!$G$6:$G$101,MOD(28+$C32+(1),$B$3)+1)*J32+INDEX(Symboles!$G$6:$G$101,MOD(28+$C32+(2),$B$3)+1)*K32+INDEX(Symboles!$G$6:$G$101,MOD(28+$C32+(3),$B$3)+1)*L32+INDEX(Symboles!$G$6:$G$101,MOD(28+$C32+(4),$B$3)+1)*M32+IF($B$6=0,0,$B$6*NORMSINV(0.000001+0.999998*RAND())))</f>
        <v/>
      </c>
      <c r="AS32" s="30">
        <f>IF(30&gt;$B$3,99,INDEX(Symboles!$G$6:$G$101,MOD(29+$C32+(-4),$B$3)+1)*E32+INDEX(Symboles!$G$6:$G$101,MOD(29+$C32+(-3),$B$3)+1)*F32+INDEX(Symboles!$G$6:$G$101,MOD(29+$C32+(-2),$B$3)+1)*G32+INDEX(Symboles!$G$6:$G$101,MOD(29+$C32+(-1),$B$3)+1)*H32+INDEX(Symboles!$G$6:$G$101,MOD(29+$C32+(0),$B$3)+1)*I32+INDEX(Symboles!$G$6:$G$101,MOD(29+$C32+(1),$B$3)+1)*J32+INDEX(Symboles!$G$6:$G$101,MOD(29+$C32+(2),$B$3)+1)*K32+INDEX(Symboles!$G$6:$G$101,MOD(29+$C32+(3),$B$3)+1)*L32+INDEX(Symboles!$G$6:$G$101,MOD(29+$C32+(4),$B$3)+1)*M32+IF($B$6=0,0,$B$6*NORMSINV(0.000001+0.999998*RAND())))</f>
        <v/>
      </c>
      <c r="AT32" s="30">
        <f>IF(31&gt;$B$3,99,INDEX(Symboles!$G$6:$G$101,MOD(30+$C32+(-4),$B$3)+1)*E32+INDEX(Symboles!$G$6:$G$101,MOD(30+$C32+(-3),$B$3)+1)*F32+INDEX(Symboles!$G$6:$G$101,MOD(30+$C32+(-2),$B$3)+1)*G32+INDEX(Symboles!$G$6:$G$101,MOD(30+$C32+(-1),$B$3)+1)*H32+INDEX(Symboles!$G$6:$G$101,MOD(30+$C32+(0),$B$3)+1)*I32+INDEX(Symboles!$G$6:$G$101,MOD(30+$C32+(1),$B$3)+1)*J32+INDEX(Symboles!$G$6:$G$101,MOD(30+$C32+(2),$B$3)+1)*K32+INDEX(Symboles!$G$6:$G$101,MOD(30+$C32+(3),$B$3)+1)*L32+INDEX(Symboles!$G$6:$G$101,MOD(30+$C32+(4),$B$3)+1)*M32+IF($B$6=0,0,$B$6*NORMSINV(0.000001+0.999998*RAND())))</f>
        <v/>
      </c>
      <c r="AU32" s="30">
        <f>IF(32&gt;$B$3,99,INDEX(Symboles!$G$6:$G$101,MOD(31+$C32+(-4),$B$3)+1)*E32+INDEX(Symboles!$G$6:$G$101,MOD(31+$C32+(-3),$B$3)+1)*F32+INDEX(Symboles!$G$6:$G$101,MOD(31+$C32+(-2),$B$3)+1)*G32+INDEX(Symboles!$G$6:$G$101,MOD(31+$C32+(-1),$B$3)+1)*H32+INDEX(Symboles!$G$6:$G$101,MOD(31+$C32+(0),$B$3)+1)*I32+INDEX(Symboles!$G$6:$G$101,MOD(31+$C32+(1),$B$3)+1)*J32+INDEX(Symboles!$G$6:$G$101,MOD(31+$C32+(2),$B$3)+1)*K32+INDEX(Symboles!$G$6:$G$101,MOD(31+$C32+(3),$B$3)+1)*L32+INDEX(Symboles!$G$6:$G$101,MOD(31+$C32+(4),$B$3)+1)*M32+IF($B$6=0,0,$B$6*NORMSINV(0.000001+0.999998*RAND())))</f>
        <v/>
      </c>
      <c r="AV32" s="30">
        <f>IF(33&gt;$B$3,99,INDEX(Symboles!$G$6:$G$101,MOD(32+$C32+(-4),$B$3)+1)*E32+INDEX(Symboles!$G$6:$G$101,MOD(32+$C32+(-3),$B$3)+1)*F32+INDEX(Symboles!$G$6:$G$101,MOD(32+$C32+(-2),$B$3)+1)*G32+INDEX(Symboles!$G$6:$G$101,MOD(32+$C32+(-1),$B$3)+1)*H32+INDEX(Symboles!$G$6:$G$101,MOD(32+$C32+(0),$B$3)+1)*I32+INDEX(Symboles!$G$6:$G$101,MOD(32+$C32+(1),$B$3)+1)*J32+INDEX(Symboles!$G$6:$G$101,MOD(32+$C32+(2),$B$3)+1)*K32+INDEX(Symboles!$G$6:$G$101,MOD(32+$C32+(3),$B$3)+1)*L32+INDEX(Symboles!$G$6:$G$101,MOD(32+$C32+(4),$B$3)+1)*M32+IF($B$6=0,0,$B$6*NORMSINV(0.000001+0.999998*RAND())))</f>
        <v/>
      </c>
      <c r="AW32" s="30">
        <f>IF(34&gt;$B$3,99,INDEX(Symboles!$G$6:$G$101,MOD(33+$C32+(-4),$B$3)+1)*E32+INDEX(Symboles!$G$6:$G$101,MOD(33+$C32+(-3),$B$3)+1)*F32+INDEX(Symboles!$G$6:$G$101,MOD(33+$C32+(-2),$B$3)+1)*G32+INDEX(Symboles!$G$6:$G$101,MOD(33+$C32+(-1),$B$3)+1)*H32+INDEX(Symboles!$G$6:$G$101,MOD(33+$C32+(0),$B$3)+1)*I32+INDEX(Symboles!$G$6:$G$101,MOD(33+$C32+(1),$B$3)+1)*J32+INDEX(Symboles!$G$6:$G$101,MOD(33+$C32+(2),$B$3)+1)*K32+INDEX(Symboles!$G$6:$G$101,MOD(33+$C32+(3),$B$3)+1)*L32+INDEX(Symboles!$G$6:$G$101,MOD(33+$C32+(4),$B$3)+1)*M32+IF($B$6=0,0,$B$6*NORMSINV(0.000001+0.999998*RAND())))</f>
        <v/>
      </c>
      <c r="AX32" s="30">
        <f>IF(35&gt;$B$3,99,INDEX(Symboles!$G$6:$G$101,MOD(34+$C32+(-4),$B$3)+1)*E32+INDEX(Symboles!$G$6:$G$101,MOD(34+$C32+(-3),$B$3)+1)*F32+INDEX(Symboles!$G$6:$G$101,MOD(34+$C32+(-2),$B$3)+1)*G32+INDEX(Symboles!$G$6:$G$101,MOD(34+$C32+(-1),$B$3)+1)*H32+INDEX(Symboles!$G$6:$G$101,MOD(34+$C32+(0),$B$3)+1)*I32+INDEX(Symboles!$G$6:$G$101,MOD(34+$C32+(1),$B$3)+1)*J32+INDEX(Symboles!$G$6:$G$101,MOD(34+$C32+(2),$B$3)+1)*K32+INDEX(Symboles!$G$6:$G$101,MOD(34+$C32+(3),$B$3)+1)*L32+INDEX(Symboles!$G$6:$G$101,MOD(34+$C32+(4),$B$3)+1)*M32+IF($B$6=0,0,$B$6*NORMSINV(0.000001+0.999998*RAND())))</f>
        <v/>
      </c>
      <c r="AY32" s="30">
        <f>IF(36&gt;$B$3,99,INDEX(Symboles!$G$6:$G$101,MOD(35+$C32+(-4),$B$3)+1)*E32+INDEX(Symboles!$G$6:$G$101,MOD(35+$C32+(-3),$B$3)+1)*F32+INDEX(Symboles!$G$6:$G$101,MOD(35+$C32+(-2),$B$3)+1)*G32+INDEX(Symboles!$G$6:$G$101,MOD(35+$C32+(-1),$B$3)+1)*H32+INDEX(Symboles!$G$6:$G$101,MOD(35+$C32+(0),$B$3)+1)*I32+INDEX(Symboles!$G$6:$G$101,MOD(35+$C32+(1),$B$3)+1)*J32+INDEX(Symboles!$G$6:$G$101,MOD(35+$C32+(2),$B$3)+1)*K32+INDEX(Symboles!$G$6:$G$101,MOD(35+$C32+(3),$B$3)+1)*L32+INDEX(Symboles!$G$6:$G$101,MOD(35+$C32+(4),$B$3)+1)*M32+IF($B$6=0,0,$B$6*NORMSINV(0.000001+0.999998*RAND())))</f>
        <v/>
      </c>
      <c r="AZ32" s="30">
        <f>IF(37&gt;$B$3,99,INDEX(Symboles!$G$6:$G$101,MOD(36+$C32+(-4),$B$3)+1)*E32+INDEX(Symboles!$G$6:$G$101,MOD(36+$C32+(-3),$B$3)+1)*F32+INDEX(Symboles!$G$6:$G$101,MOD(36+$C32+(-2),$B$3)+1)*G32+INDEX(Symboles!$G$6:$G$101,MOD(36+$C32+(-1),$B$3)+1)*H32+INDEX(Symboles!$G$6:$G$101,MOD(36+$C32+(0),$B$3)+1)*I32+INDEX(Symboles!$G$6:$G$101,MOD(36+$C32+(1),$B$3)+1)*J32+INDEX(Symboles!$G$6:$G$101,MOD(36+$C32+(2),$B$3)+1)*K32+INDEX(Symboles!$G$6:$G$101,MOD(36+$C32+(3),$B$3)+1)*L32+INDEX(Symboles!$G$6:$G$101,MOD(36+$C32+(4),$B$3)+1)*M32+IF($B$6=0,0,$B$6*NORMSINV(0.000001+0.999998*RAND())))</f>
        <v/>
      </c>
      <c r="BA32" s="30">
        <f>IF(38&gt;$B$3,99,INDEX(Symboles!$G$6:$G$101,MOD(37+$C32+(-4),$B$3)+1)*E32+INDEX(Symboles!$G$6:$G$101,MOD(37+$C32+(-3),$B$3)+1)*F32+INDEX(Symboles!$G$6:$G$101,MOD(37+$C32+(-2),$B$3)+1)*G32+INDEX(Symboles!$G$6:$G$101,MOD(37+$C32+(-1),$B$3)+1)*H32+INDEX(Symboles!$G$6:$G$101,MOD(37+$C32+(0),$B$3)+1)*I32+INDEX(Symboles!$G$6:$G$101,MOD(37+$C32+(1),$B$3)+1)*J32+INDEX(Symboles!$G$6:$G$101,MOD(37+$C32+(2),$B$3)+1)*K32+INDEX(Symboles!$G$6:$G$101,MOD(37+$C32+(3),$B$3)+1)*L32+INDEX(Symboles!$G$6:$G$101,MOD(37+$C32+(4),$B$3)+1)*M32+IF($B$6=0,0,$B$6*NORMSINV(0.000001+0.999998*RAND())))</f>
        <v/>
      </c>
      <c r="BB32" s="30">
        <f>IF(39&gt;$B$3,99,INDEX(Symboles!$G$6:$G$101,MOD(38+$C32+(-4),$B$3)+1)*E32+INDEX(Symboles!$G$6:$G$101,MOD(38+$C32+(-3),$B$3)+1)*F32+INDEX(Symboles!$G$6:$G$101,MOD(38+$C32+(-2),$B$3)+1)*G32+INDEX(Symboles!$G$6:$G$101,MOD(38+$C32+(-1),$B$3)+1)*H32+INDEX(Symboles!$G$6:$G$101,MOD(38+$C32+(0),$B$3)+1)*I32+INDEX(Symboles!$G$6:$G$101,MOD(38+$C32+(1),$B$3)+1)*J32+INDEX(Symboles!$G$6:$G$101,MOD(38+$C32+(2),$B$3)+1)*K32+INDEX(Symboles!$G$6:$G$101,MOD(38+$C32+(3),$B$3)+1)*L32+INDEX(Symboles!$G$6:$G$101,MOD(38+$C32+(4),$B$3)+1)*M32+IF($B$6=0,0,$B$6*NORMSINV(0.000001+0.999998*RAND())))</f>
        <v/>
      </c>
      <c r="BC32" s="30">
        <f>IF(40&gt;$B$3,99,INDEX(Symboles!$G$6:$G$101,MOD(39+$C32+(-4),$B$3)+1)*E32+INDEX(Symboles!$G$6:$G$101,MOD(39+$C32+(-3),$B$3)+1)*F32+INDEX(Symboles!$G$6:$G$101,MOD(39+$C32+(-2),$B$3)+1)*G32+INDEX(Symboles!$G$6:$G$101,MOD(39+$C32+(-1),$B$3)+1)*H32+INDEX(Symboles!$G$6:$G$101,MOD(39+$C32+(0),$B$3)+1)*I32+INDEX(Symboles!$G$6:$G$101,MOD(39+$C32+(1),$B$3)+1)*J32+INDEX(Symboles!$G$6:$G$101,MOD(39+$C32+(2),$B$3)+1)*K32+INDEX(Symboles!$G$6:$G$101,MOD(39+$C32+(3),$B$3)+1)*L32+INDEX(Symboles!$G$6:$G$101,MOD(39+$C32+(4),$B$3)+1)*M32+IF($B$6=0,0,$B$6*NORMSINV(0.000001+0.999998*RAND())))</f>
        <v/>
      </c>
      <c r="BD32" s="30">
        <f>IF(41&gt;$B$3,99,INDEX(Symboles!$G$6:$G$101,MOD(40+$C32+(-4),$B$3)+1)*E32+INDEX(Symboles!$G$6:$G$101,MOD(40+$C32+(-3),$B$3)+1)*F32+INDEX(Symboles!$G$6:$G$101,MOD(40+$C32+(-2),$B$3)+1)*G32+INDEX(Symboles!$G$6:$G$101,MOD(40+$C32+(-1),$B$3)+1)*H32+INDEX(Symboles!$G$6:$G$101,MOD(40+$C32+(0),$B$3)+1)*I32+INDEX(Symboles!$G$6:$G$101,MOD(40+$C32+(1),$B$3)+1)*J32+INDEX(Symboles!$G$6:$G$101,MOD(40+$C32+(2),$B$3)+1)*K32+INDEX(Symboles!$G$6:$G$101,MOD(40+$C32+(3),$B$3)+1)*L32+INDEX(Symboles!$G$6:$G$101,MOD(40+$C32+(4),$B$3)+1)*M32+IF($B$6=0,0,$B$6*NORMSINV(0.000001+0.999998*RAND())))</f>
        <v/>
      </c>
      <c r="BE32" s="30">
        <f>IF(42&gt;$B$3,99,INDEX(Symboles!$G$6:$G$101,MOD(41+$C32+(-4),$B$3)+1)*E32+INDEX(Symboles!$G$6:$G$101,MOD(41+$C32+(-3),$B$3)+1)*F32+INDEX(Symboles!$G$6:$G$101,MOD(41+$C32+(-2),$B$3)+1)*G32+INDEX(Symboles!$G$6:$G$101,MOD(41+$C32+(-1),$B$3)+1)*H32+INDEX(Symboles!$G$6:$G$101,MOD(41+$C32+(0),$B$3)+1)*I32+INDEX(Symboles!$G$6:$G$101,MOD(41+$C32+(1),$B$3)+1)*J32+INDEX(Symboles!$G$6:$G$101,MOD(41+$C32+(2),$B$3)+1)*K32+INDEX(Symboles!$G$6:$G$101,MOD(41+$C32+(3),$B$3)+1)*L32+INDEX(Symboles!$G$6:$G$101,MOD(41+$C32+(4),$B$3)+1)*M32+IF($B$6=0,0,$B$6*NORMSINV(0.000001+0.999998*RAND())))</f>
        <v/>
      </c>
      <c r="BF32" s="30">
        <f>IF(43&gt;$B$3,99,INDEX(Symboles!$G$6:$G$101,MOD(42+$C32+(-4),$B$3)+1)*E32+INDEX(Symboles!$G$6:$G$101,MOD(42+$C32+(-3),$B$3)+1)*F32+INDEX(Symboles!$G$6:$G$101,MOD(42+$C32+(-2),$B$3)+1)*G32+INDEX(Symboles!$G$6:$G$101,MOD(42+$C32+(-1),$B$3)+1)*H32+INDEX(Symboles!$G$6:$G$101,MOD(42+$C32+(0),$B$3)+1)*I32+INDEX(Symboles!$G$6:$G$101,MOD(42+$C32+(1),$B$3)+1)*J32+INDEX(Symboles!$G$6:$G$101,MOD(42+$C32+(2),$B$3)+1)*K32+INDEX(Symboles!$G$6:$G$101,MOD(42+$C32+(3),$B$3)+1)*L32+INDEX(Symboles!$G$6:$G$101,MOD(42+$C32+(4),$B$3)+1)*M32+IF($B$6=0,0,$B$6*NORMSINV(0.000001+0.999998*RAND())))</f>
        <v/>
      </c>
      <c r="BG32" s="30">
        <f>IF(44&gt;$B$3,99,INDEX(Symboles!$G$6:$G$101,MOD(43+$C32+(-4),$B$3)+1)*E32+INDEX(Symboles!$G$6:$G$101,MOD(43+$C32+(-3),$B$3)+1)*F32+INDEX(Symboles!$G$6:$G$101,MOD(43+$C32+(-2),$B$3)+1)*G32+INDEX(Symboles!$G$6:$G$101,MOD(43+$C32+(-1),$B$3)+1)*H32+INDEX(Symboles!$G$6:$G$101,MOD(43+$C32+(0),$B$3)+1)*I32+INDEX(Symboles!$G$6:$G$101,MOD(43+$C32+(1),$B$3)+1)*J32+INDEX(Symboles!$G$6:$G$101,MOD(43+$C32+(2),$B$3)+1)*K32+INDEX(Symboles!$G$6:$G$101,MOD(43+$C32+(3),$B$3)+1)*L32+INDEX(Symboles!$G$6:$G$101,MOD(43+$C32+(4),$B$3)+1)*M32+IF($B$6=0,0,$B$6*NORMSINV(0.000001+0.999998*RAND())))</f>
        <v/>
      </c>
      <c r="BH32" s="30">
        <f>IF(45&gt;$B$3,99,INDEX(Symboles!$G$6:$G$101,MOD(44+$C32+(-4),$B$3)+1)*E32+INDEX(Symboles!$G$6:$G$101,MOD(44+$C32+(-3),$B$3)+1)*F32+INDEX(Symboles!$G$6:$G$101,MOD(44+$C32+(-2),$B$3)+1)*G32+INDEX(Symboles!$G$6:$G$101,MOD(44+$C32+(-1),$B$3)+1)*H32+INDEX(Symboles!$G$6:$G$101,MOD(44+$C32+(0),$B$3)+1)*I32+INDEX(Symboles!$G$6:$G$101,MOD(44+$C32+(1),$B$3)+1)*J32+INDEX(Symboles!$G$6:$G$101,MOD(44+$C32+(2),$B$3)+1)*K32+INDEX(Symboles!$G$6:$G$101,MOD(44+$C32+(3),$B$3)+1)*L32+INDEX(Symboles!$G$6:$G$101,MOD(44+$C32+(4),$B$3)+1)*M32+IF($B$6=0,0,$B$6*NORMSINV(0.000001+0.999998*RAND())))</f>
        <v/>
      </c>
      <c r="BI32" s="30">
        <f>IF(46&gt;$B$3,99,INDEX(Symboles!$G$6:$G$101,MOD(45+$C32+(-4),$B$3)+1)*E32+INDEX(Symboles!$G$6:$G$101,MOD(45+$C32+(-3),$B$3)+1)*F32+INDEX(Symboles!$G$6:$G$101,MOD(45+$C32+(-2),$B$3)+1)*G32+INDEX(Symboles!$G$6:$G$101,MOD(45+$C32+(-1),$B$3)+1)*H32+INDEX(Symboles!$G$6:$G$101,MOD(45+$C32+(0),$B$3)+1)*I32+INDEX(Symboles!$G$6:$G$101,MOD(45+$C32+(1),$B$3)+1)*J32+INDEX(Symboles!$G$6:$G$101,MOD(45+$C32+(2),$B$3)+1)*K32+INDEX(Symboles!$G$6:$G$101,MOD(45+$C32+(3),$B$3)+1)*L32+INDEX(Symboles!$G$6:$G$101,MOD(45+$C32+(4),$B$3)+1)*M32+IF($B$6=0,0,$B$6*NORMSINV(0.000001+0.999998*RAND())))</f>
        <v/>
      </c>
      <c r="BJ32" s="30">
        <f>IF(47&gt;$B$3,99,INDEX(Symboles!$G$6:$G$101,MOD(46+$C32+(-4),$B$3)+1)*E32+INDEX(Symboles!$G$6:$G$101,MOD(46+$C32+(-3),$B$3)+1)*F32+INDEX(Symboles!$G$6:$G$101,MOD(46+$C32+(-2),$B$3)+1)*G32+INDEX(Symboles!$G$6:$G$101,MOD(46+$C32+(-1),$B$3)+1)*H32+INDEX(Symboles!$G$6:$G$101,MOD(46+$C32+(0),$B$3)+1)*I32+INDEX(Symboles!$G$6:$G$101,MOD(46+$C32+(1),$B$3)+1)*J32+INDEX(Symboles!$G$6:$G$101,MOD(46+$C32+(2),$B$3)+1)*K32+INDEX(Symboles!$G$6:$G$101,MOD(46+$C32+(3),$B$3)+1)*L32+INDEX(Symboles!$G$6:$G$101,MOD(46+$C32+(4),$B$3)+1)*M32+IF($B$6=0,0,$B$6*NORMSINV(0.000001+0.999998*RAND())))</f>
        <v/>
      </c>
      <c r="BK32" s="30">
        <f>IF(48&gt;$B$3,99,INDEX(Symboles!$G$6:$G$101,MOD(47+$C32+(-4),$B$3)+1)*E32+INDEX(Symboles!$G$6:$G$101,MOD(47+$C32+(-3),$B$3)+1)*F32+INDEX(Symboles!$G$6:$G$101,MOD(47+$C32+(-2),$B$3)+1)*G32+INDEX(Symboles!$G$6:$G$101,MOD(47+$C32+(-1),$B$3)+1)*H32+INDEX(Symboles!$G$6:$G$101,MOD(47+$C32+(0),$B$3)+1)*I32+INDEX(Symboles!$G$6:$G$101,MOD(47+$C32+(1),$B$3)+1)*J32+INDEX(Symboles!$G$6:$G$101,MOD(47+$C32+(2),$B$3)+1)*K32+INDEX(Symboles!$G$6:$G$101,MOD(47+$C32+(3),$B$3)+1)*L32+INDEX(Symboles!$G$6:$G$101,MOD(47+$C32+(4),$B$3)+1)*M32+IF($B$6=0,0,$B$6*NORMSINV(0.000001+0.999998*RAND())))</f>
        <v/>
      </c>
      <c r="BL32" s="30">
        <f>IF(49&gt;$B$3,99,INDEX(Symboles!$G$6:$G$101,MOD(48+$C32+(-4),$B$3)+1)*E32+INDEX(Symboles!$G$6:$G$101,MOD(48+$C32+(-3),$B$3)+1)*F32+INDEX(Symboles!$G$6:$G$101,MOD(48+$C32+(-2),$B$3)+1)*G32+INDEX(Symboles!$G$6:$G$101,MOD(48+$C32+(-1),$B$3)+1)*H32+INDEX(Symboles!$G$6:$G$101,MOD(48+$C32+(0),$B$3)+1)*I32+INDEX(Symboles!$G$6:$G$101,MOD(48+$C32+(1),$B$3)+1)*J32+INDEX(Symboles!$G$6:$G$101,MOD(48+$C32+(2),$B$3)+1)*K32+INDEX(Symboles!$G$6:$G$101,MOD(48+$C32+(3),$B$3)+1)*L32+INDEX(Symboles!$G$6:$G$101,MOD(48+$C32+(4),$B$3)+1)*M32+IF($B$6=0,0,$B$6*NORMSINV(0.000001+0.999998*RAND())))</f>
        <v/>
      </c>
      <c r="BM32" s="30">
        <f>IF(50&gt;$B$3,99,INDEX(Symboles!$G$6:$G$101,MOD(49+$C32+(-4),$B$3)+1)*E32+INDEX(Symboles!$G$6:$G$101,MOD(49+$C32+(-3),$B$3)+1)*F32+INDEX(Symboles!$G$6:$G$101,MOD(49+$C32+(-2),$B$3)+1)*G32+INDEX(Symboles!$G$6:$G$101,MOD(49+$C32+(-1),$B$3)+1)*H32+INDEX(Symboles!$G$6:$G$101,MOD(49+$C32+(0),$B$3)+1)*I32+INDEX(Symboles!$G$6:$G$101,MOD(49+$C32+(1),$B$3)+1)*J32+INDEX(Symboles!$G$6:$G$101,MOD(49+$C32+(2),$B$3)+1)*K32+INDEX(Symboles!$G$6:$G$101,MOD(49+$C32+(3),$B$3)+1)*L32+INDEX(Symboles!$G$6:$G$101,MOD(49+$C32+(4),$B$3)+1)*M32+IF($B$6=0,0,$B$6*NORMSINV(0.000001+0.999998*RAND())))</f>
        <v/>
      </c>
      <c r="BN32" s="30">
        <f>IF(51&gt;$B$3,99,INDEX(Symboles!$G$6:$G$101,MOD(50+$C32+(-4),$B$3)+1)*E32+INDEX(Symboles!$G$6:$G$101,MOD(50+$C32+(-3),$B$3)+1)*F32+INDEX(Symboles!$G$6:$G$101,MOD(50+$C32+(-2),$B$3)+1)*G32+INDEX(Symboles!$G$6:$G$101,MOD(50+$C32+(-1),$B$3)+1)*H32+INDEX(Symboles!$G$6:$G$101,MOD(50+$C32+(0),$B$3)+1)*I32+INDEX(Symboles!$G$6:$G$101,MOD(50+$C32+(1),$B$3)+1)*J32+INDEX(Symboles!$G$6:$G$101,MOD(50+$C32+(2),$B$3)+1)*K32+INDEX(Symboles!$G$6:$G$101,MOD(50+$C32+(3),$B$3)+1)*L32+INDEX(Symboles!$G$6:$G$101,MOD(50+$C32+(4),$B$3)+1)*M32+IF($B$6=0,0,$B$6*NORMSINV(0.000001+0.999998*RAND())))</f>
        <v/>
      </c>
      <c r="BO32" s="30">
        <f>IF(52&gt;$B$3,99,INDEX(Symboles!$G$6:$G$101,MOD(51+$C32+(-4),$B$3)+1)*E32+INDEX(Symboles!$G$6:$G$101,MOD(51+$C32+(-3),$B$3)+1)*F32+INDEX(Symboles!$G$6:$G$101,MOD(51+$C32+(-2),$B$3)+1)*G32+INDEX(Symboles!$G$6:$G$101,MOD(51+$C32+(-1),$B$3)+1)*H32+INDEX(Symboles!$G$6:$G$101,MOD(51+$C32+(0),$B$3)+1)*I32+INDEX(Symboles!$G$6:$G$101,MOD(51+$C32+(1),$B$3)+1)*J32+INDEX(Symboles!$G$6:$G$101,MOD(51+$C32+(2),$B$3)+1)*K32+INDEX(Symboles!$G$6:$G$101,MOD(51+$C32+(3),$B$3)+1)*L32+INDEX(Symboles!$G$6:$G$101,MOD(51+$C32+(4),$B$3)+1)*M32+IF($B$6=0,0,$B$6*NORMSINV(0.000001+0.999998*RAND())))</f>
        <v/>
      </c>
      <c r="BP32" s="30">
        <f>IF(53&gt;$B$3,99,INDEX(Symboles!$G$6:$G$101,MOD(52+$C32+(-4),$B$3)+1)*E32+INDEX(Symboles!$G$6:$G$101,MOD(52+$C32+(-3),$B$3)+1)*F32+INDEX(Symboles!$G$6:$G$101,MOD(52+$C32+(-2),$B$3)+1)*G32+INDEX(Symboles!$G$6:$G$101,MOD(52+$C32+(-1),$B$3)+1)*H32+INDEX(Symboles!$G$6:$G$101,MOD(52+$C32+(0),$B$3)+1)*I32+INDEX(Symboles!$G$6:$G$101,MOD(52+$C32+(1),$B$3)+1)*J32+INDEX(Symboles!$G$6:$G$101,MOD(52+$C32+(2),$B$3)+1)*K32+INDEX(Symboles!$G$6:$G$101,MOD(52+$C32+(3),$B$3)+1)*L32+INDEX(Symboles!$G$6:$G$101,MOD(52+$C32+(4),$B$3)+1)*M32+IF($B$6=0,0,$B$6*NORMSINV(0.000001+0.999998*RAND())))</f>
        <v/>
      </c>
      <c r="BQ32" s="30">
        <f>IF(54&gt;$B$3,99,INDEX(Symboles!$G$6:$G$101,MOD(53+$C32+(-4),$B$3)+1)*E32+INDEX(Symboles!$G$6:$G$101,MOD(53+$C32+(-3),$B$3)+1)*F32+INDEX(Symboles!$G$6:$G$101,MOD(53+$C32+(-2),$B$3)+1)*G32+INDEX(Symboles!$G$6:$G$101,MOD(53+$C32+(-1),$B$3)+1)*H32+INDEX(Symboles!$G$6:$G$101,MOD(53+$C32+(0),$B$3)+1)*I32+INDEX(Symboles!$G$6:$G$101,MOD(53+$C32+(1),$B$3)+1)*J32+INDEX(Symboles!$G$6:$G$101,MOD(53+$C32+(2),$B$3)+1)*K32+INDEX(Symboles!$G$6:$G$101,MOD(53+$C32+(3),$B$3)+1)*L32+INDEX(Symboles!$G$6:$G$101,MOD(53+$C32+(4),$B$3)+1)*M32+IF($B$6=0,0,$B$6*NORMSINV(0.000001+0.999998*RAND())))</f>
        <v/>
      </c>
      <c r="BR32" s="30">
        <f>IF(55&gt;$B$3,99,INDEX(Symboles!$G$6:$G$101,MOD(54+$C32+(-4),$B$3)+1)*E32+INDEX(Symboles!$G$6:$G$101,MOD(54+$C32+(-3),$B$3)+1)*F32+INDEX(Symboles!$G$6:$G$101,MOD(54+$C32+(-2),$B$3)+1)*G32+INDEX(Symboles!$G$6:$G$101,MOD(54+$C32+(-1),$B$3)+1)*H32+INDEX(Symboles!$G$6:$G$101,MOD(54+$C32+(0),$B$3)+1)*I32+INDEX(Symboles!$G$6:$G$101,MOD(54+$C32+(1),$B$3)+1)*J32+INDEX(Symboles!$G$6:$G$101,MOD(54+$C32+(2),$B$3)+1)*K32+INDEX(Symboles!$G$6:$G$101,MOD(54+$C32+(3),$B$3)+1)*L32+INDEX(Symboles!$G$6:$G$101,MOD(54+$C32+(4),$B$3)+1)*M32+IF($B$6=0,0,$B$6*NORMSINV(0.000001+0.999998*RAND())))</f>
        <v/>
      </c>
      <c r="BS32" s="30">
        <f>IF(56&gt;$B$3,99,INDEX(Symboles!$G$6:$G$101,MOD(55+$C32+(-4),$B$3)+1)*E32+INDEX(Symboles!$G$6:$G$101,MOD(55+$C32+(-3),$B$3)+1)*F32+INDEX(Symboles!$G$6:$G$101,MOD(55+$C32+(-2),$B$3)+1)*G32+INDEX(Symboles!$G$6:$G$101,MOD(55+$C32+(-1),$B$3)+1)*H32+INDEX(Symboles!$G$6:$G$101,MOD(55+$C32+(0),$B$3)+1)*I32+INDEX(Symboles!$G$6:$G$101,MOD(55+$C32+(1),$B$3)+1)*J32+INDEX(Symboles!$G$6:$G$101,MOD(55+$C32+(2),$B$3)+1)*K32+INDEX(Symboles!$G$6:$G$101,MOD(55+$C32+(3),$B$3)+1)*L32+INDEX(Symboles!$G$6:$G$101,MOD(55+$C32+(4),$B$3)+1)*M32+IF($B$6=0,0,$B$6*NORMSINV(0.000001+0.999998*RAND())))</f>
        <v/>
      </c>
      <c r="BT32" s="30">
        <f>IF(57&gt;$B$3,99,INDEX(Symboles!$G$6:$G$101,MOD(56+$C32+(-4),$B$3)+1)*E32+INDEX(Symboles!$G$6:$G$101,MOD(56+$C32+(-3),$B$3)+1)*F32+INDEX(Symboles!$G$6:$G$101,MOD(56+$C32+(-2),$B$3)+1)*G32+INDEX(Symboles!$G$6:$G$101,MOD(56+$C32+(-1),$B$3)+1)*H32+INDEX(Symboles!$G$6:$G$101,MOD(56+$C32+(0),$B$3)+1)*I32+INDEX(Symboles!$G$6:$G$101,MOD(56+$C32+(1),$B$3)+1)*J32+INDEX(Symboles!$G$6:$G$101,MOD(56+$C32+(2),$B$3)+1)*K32+INDEX(Symboles!$G$6:$G$101,MOD(56+$C32+(3),$B$3)+1)*L32+INDEX(Symboles!$G$6:$G$101,MOD(56+$C32+(4),$B$3)+1)*M32+IF($B$6=0,0,$B$6*NORMSINV(0.000001+0.999998*RAND())))</f>
        <v/>
      </c>
      <c r="BU32" s="30">
        <f>IF(58&gt;$B$3,99,INDEX(Symboles!$G$6:$G$101,MOD(57+$C32+(-4),$B$3)+1)*E32+INDEX(Symboles!$G$6:$G$101,MOD(57+$C32+(-3),$B$3)+1)*F32+INDEX(Symboles!$G$6:$G$101,MOD(57+$C32+(-2),$B$3)+1)*G32+INDEX(Symboles!$G$6:$G$101,MOD(57+$C32+(-1),$B$3)+1)*H32+INDEX(Symboles!$G$6:$G$101,MOD(57+$C32+(0),$B$3)+1)*I32+INDEX(Symboles!$G$6:$G$101,MOD(57+$C32+(1),$B$3)+1)*J32+INDEX(Symboles!$G$6:$G$101,MOD(57+$C32+(2),$B$3)+1)*K32+INDEX(Symboles!$G$6:$G$101,MOD(57+$C32+(3),$B$3)+1)*L32+INDEX(Symboles!$G$6:$G$101,MOD(57+$C32+(4),$B$3)+1)*M32+IF($B$6=0,0,$B$6*NORMSINV(0.000001+0.999998*RAND())))</f>
        <v/>
      </c>
      <c r="BV32" s="30">
        <f>IF(59&gt;$B$3,99,INDEX(Symboles!$G$6:$G$101,MOD(58+$C32+(-4),$B$3)+1)*E32+INDEX(Symboles!$G$6:$G$101,MOD(58+$C32+(-3),$B$3)+1)*F32+INDEX(Symboles!$G$6:$G$101,MOD(58+$C32+(-2),$B$3)+1)*G32+INDEX(Symboles!$G$6:$G$101,MOD(58+$C32+(-1),$B$3)+1)*H32+INDEX(Symboles!$G$6:$G$101,MOD(58+$C32+(0),$B$3)+1)*I32+INDEX(Symboles!$G$6:$G$101,MOD(58+$C32+(1),$B$3)+1)*J32+INDEX(Symboles!$G$6:$G$101,MOD(58+$C32+(2),$B$3)+1)*K32+INDEX(Symboles!$G$6:$G$101,MOD(58+$C32+(3),$B$3)+1)*L32+INDEX(Symboles!$G$6:$G$101,MOD(58+$C32+(4),$B$3)+1)*M32+IF($B$6=0,0,$B$6*NORMSINV(0.000001+0.999998*RAND())))</f>
        <v/>
      </c>
      <c r="BW32" s="30">
        <f>IF(60&gt;$B$3,99,INDEX(Symboles!$G$6:$G$101,MOD(59+$C32+(-4),$B$3)+1)*E32+INDEX(Symboles!$G$6:$G$101,MOD(59+$C32+(-3),$B$3)+1)*F32+INDEX(Symboles!$G$6:$G$101,MOD(59+$C32+(-2),$B$3)+1)*G32+INDEX(Symboles!$G$6:$G$101,MOD(59+$C32+(-1),$B$3)+1)*H32+INDEX(Symboles!$G$6:$G$101,MOD(59+$C32+(0),$B$3)+1)*I32+INDEX(Symboles!$G$6:$G$101,MOD(59+$C32+(1),$B$3)+1)*J32+INDEX(Symboles!$G$6:$G$101,MOD(59+$C32+(2),$B$3)+1)*K32+INDEX(Symboles!$G$6:$G$101,MOD(59+$C32+(3),$B$3)+1)*L32+INDEX(Symboles!$G$6:$G$101,MOD(59+$C32+(4),$B$3)+1)*M32+IF($B$6=0,0,$B$6*NORMSINV(0.000001+0.999998*RAND())))</f>
        <v/>
      </c>
      <c r="BX32" s="30">
        <f>IF(61&gt;$B$3,99,INDEX(Symboles!$G$6:$G$101,MOD(60+$C32+(-4),$B$3)+1)*E32+INDEX(Symboles!$G$6:$G$101,MOD(60+$C32+(-3),$B$3)+1)*F32+INDEX(Symboles!$G$6:$G$101,MOD(60+$C32+(-2),$B$3)+1)*G32+INDEX(Symboles!$G$6:$G$101,MOD(60+$C32+(-1),$B$3)+1)*H32+INDEX(Symboles!$G$6:$G$101,MOD(60+$C32+(0),$B$3)+1)*I32+INDEX(Symboles!$G$6:$G$101,MOD(60+$C32+(1),$B$3)+1)*J32+INDEX(Symboles!$G$6:$G$101,MOD(60+$C32+(2),$B$3)+1)*K32+INDEX(Symboles!$G$6:$G$101,MOD(60+$C32+(3),$B$3)+1)*L32+INDEX(Symboles!$G$6:$G$101,MOD(60+$C32+(4),$B$3)+1)*M32+IF($B$6=0,0,$B$6*NORMSINV(0.000001+0.999998*RAND())))</f>
        <v/>
      </c>
      <c r="BY32" s="30">
        <f>IF(62&gt;$B$3,99,INDEX(Symboles!$G$6:$G$101,MOD(61+$C32+(-4),$B$3)+1)*E32+INDEX(Symboles!$G$6:$G$101,MOD(61+$C32+(-3),$B$3)+1)*F32+INDEX(Symboles!$G$6:$G$101,MOD(61+$C32+(-2),$B$3)+1)*G32+INDEX(Symboles!$G$6:$G$101,MOD(61+$C32+(-1),$B$3)+1)*H32+INDEX(Symboles!$G$6:$G$101,MOD(61+$C32+(0),$B$3)+1)*I32+INDEX(Symboles!$G$6:$G$101,MOD(61+$C32+(1),$B$3)+1)*J32+INDEX(Symboles!$G$6:$G$101,MOD(61+$C32+(2),$B$3)+1)*K32+INDEX(Symboles!$G$6:$G$101,MOD(61+$C32+(3),$B$3)+1)*L32+INDEX(Symboles!$G$6:$G$101,MOD(61+$C32+(4),$B$3)+1)*M32+IF($B$6=0,0,$B$6*NORMSINV(0.000001+0.999998*RAND())))</f>
        <v/>
      </c>
      <c r="BZ32" s="30">
        <f>IF(63&gt;$B$3,99,INDEX(Symboles!$G$6:$G$101,MOD(62+$C32+(-4),$B$3)+1)*E32+INDEX(Symboles!$G$6:$G$101,MOD(62+$C32+(-3),$B$3)+1)*F32+INDEX(Symboles!$G$6:$G$101,MOD(62+$C32+(-2),$B$3)+1)*G32+INDEX(Symboles!$G$6:$G$101,MOD(62+$C32+(-1),$B$3)+1)*H32+INDEX(Symboles!$G$6:$G$101,MOD(62+$C32+(0),$B$3)+1)*I32+INDEX(Symboles!$G$6:$G$101,MOD(62+$C32+(1),$B$3)+1)*J32+INDEX(Symboles!$G$6:$G$101,MOD(62+$C32+(2),$B$3)+1)*K32+INDEX(Symboles!$G$6:$G$101,MOD(62+$C32+(3),$B$3)+1)*L32+INDEX(Symboles!$G$6:$G$101,MOD(62+$C32+(4),$B$3)+1)*M32+IF($B$6=0,0,$B$6*NORMSINV(0.000001+0.999998*RAND())))</f>
        <v/>
      </c>
      <c r="CA32" s="30">
        <f>IF(64&gt;$B$3,99,INDEX(Symboles!$G$6:$G$101,MOD(63+$C32+(-4),$B$3)+1)*E32+INDEX(Symboles!$G$6:$G$101,MOD(63+$C32+(-3),$B$3)+1)*F32+INDEX(Symboles!$G$6:$G$101,MOD(63+$C32+(-2),$B$3)+1)*G32+INDEX(Symboles!$G$6:$G$101,MOD(63+$C32+(-1),$B$3)+1)*H32+INDEX(Symboles!$G$6:$G$101,MOD(63+$C32+(0),$B$3)+1)*I32+INDEX(Symboles!$G$6:$G$101,MOD(63+$C32+(1),$B$3)+1)*J32+INDEX(Symboles!$G$6:$G$101,MOD(63+$C32+(2),$B$3)+1)*K32+INDEX(Symboles!$G$6:$G$101,MOD(63+$C32+(3),$B$3)+1)*L32+INDEX(Symboles!$G$6:$G$101,MOD(63+$C32+(4),$B$3)+1)*M32+IF($B$6=0,0,$B$6*NORMSINV(0.000001+0.999998*RAND())))</f>
        <v/>
      </c>
      <c r="CB32" s="30">
        <f>IF(65&gt;$B$3,99,INDEX(Symboles!$G$6:$G$101,MOD(64+$C32+(-4),$B$3)+1)*E32+INDEX(Symboles!$G$6:$G$101,MOD(64+$C32+(-3),$B$3)+1)*F32+INDEX(Symboles!$G$6:$G$101,MOD(64+$C32+(-2),$B$3)+1)*G32+INDEX(Symboles!$G$6:$G$101,MOD(64+$C32+(-1),$B$3)+1)*H32+INDEX(Symboles!$G$6:$G$101,MOD(64+$C32+(0),$B$3)+1)*I32+INDEX(Symboles!$G$6:$G$101,MOD(64+$C32+(1),$B$3)+1)*J32+INDEX(Symboles!$G$6:$G$101,MOD(64+$C32+(2),$B$3)+1)*K32+INDEX(Symboles!$G$6:$G$101,MOD(64+$C32+(3),$B$3)+1)*L32+INDEX(Symboles!$G$6:$G$101,MOD(64+$C32+(4),$B$3)+1)*M32+IF($B$6=0,0,$B$6*NORMSINV(0.000001+0.999998*RAND())))</f>
        <v/>
      </c>
      <c r="CC32" s="30">
        <f>IF(66&gt;$B$3,99,INDEX(Symboles!$G$6:$G$101,MOD(65+$C32+(-4),$B$3)+1)*E32+INDEX(Symboles!$G$6:$G$101,MOD(65+$C32+(-3),$B$3)+1)*F32+INDEX(Symboles!$G$6:$G$101,MOD(65+$C32+(-2),$B$3)+1)*G32+INDEX(Symboles!$G$6:$G$101,MOD(65+$C32+(-1),$B$3)+1)*H32+INDEX(Symboles!$G$6:$G$101,MOD(65+$C32+(0),$B$3)+1)*I32+INDEX(Symboles!$G$6:$G$101,MOD(65+$C32+(1),$B$3)+1)*J32+INDEX(Symboles!$G$6:$G$101,MOD(65+$C32+(2),$B$3)+1)*K32+INDEX(Symboles!$G$6:$G$101,MOD(65+$C32+(3),$B$3)+1)*L32+INDEX(Symboles!$G$6:$G$101,MOD(65+$C32+(4),$B$3)+1)*M32+IF($B$6=0,0,$B$6*NORMSINV(0.000001+0.999998*RAND())))</f>
        <v/>
      </c>
      <c r="CD32" s="30">
        <f>IF(67&gt;$B$3,99,INDEX(Symboles!$G$6:$G$101,MOD(66+$C32+(-4),$B$3)+1)*E32+INDEX(Symboles!$G$6:$G$101,MOD(66+$C32+(-3),$B$3)+1)*F32+INDEX(Symboles!$G$6:$G$101,MOD(66+$C32+(-2),$B$3)+1)*G32+INDEX(Symboles!$G$6:$G$101,MOD(66+$C32+(-1),$B$3)+1)*H32+INDEX(Symboles!$G$6:$G$101,MOD(66+$C32+(0),$B$3)+1)*I32+INDEX(Symboles!$G$6:$G$101,MOD(66+$C32+(1),$B$3)+1)*J32+INDEX(Symboles!$G$6:$G$101,MOD(66+$C32+(2),$B$3)+1)*K32+INDEX(Symboles!$G$6:$G$101,MOD(66+$C32+(3),$B$3)+1)*L32+INDEX(Symboles!$G$6:$G$101,MOD(66+$C32+(4),$B$3)+1)*M32+IF($B$6=0,0,$B$6*NORMSINV(0.000001+0.999998*RAND())))</f>
        <v/>
      </c>
      <c r="CE32" s="30">
        <f>IF(68&gt;$B$3,99,INDEX(Symboles!$G$6:$G$101,MOD(67+$C32+(-4),$B$3)+1)*E32+INDEX(Symboles!$G$6:$G$101,MOD(67+$C32+(-3),$B$3)+1)*F32+INDEX(Symboles!$G$6:$G$101,MOD(67+$C32+(-2),$B$3)+1)*G32+INDEX(Symboles!$G$6:$G$101,MOD(67+$C32+(-1),$B$3)+1)*H32+INDEX(Symboles!$G$6:$G$101,MOD(67+$C32+(0),$B$3)+1)*I32+INDEX(Symboles!$G$6:$G$101,MOD(67+$C32+(1),$B$3)+1)*J32+INDEX(Symboles!$G$6:$G$101,MOD(67+$C32+(2),$B$3)+1)*K32+INDEX(Symboles!$G$6:$G$101,MOD(67+$C32+(3),$B$3)+1)*L32+INDEX(Symboles!$G$6:$G$101,MOD(67+$C32+(4),$B$3)+1)*M32+IF($B$6=0,0,$B$6*NORMSINV(0.000001+0.999998*RAND())))</f>
        <v/>
      </c>
      <c r="CF32" s="30">
        <f>IF(69&gt;$B$3,99,INDEX(Symboles!$G$6:$G$101,MOD(68+$C32+(-4),$B$3)+1)*E32+INDEX(Symboles!$G$6:$G$101,MOD(68+$C32+(-3),$B$3)+1)*F32+INDEX(Symboles!$G$6:$G$101,MOD(68+$C32+(-2),$B$3)+1)*G32+INDEX(Symboles!$G$6:$G$101,MOD(68+$C32+(-1),$B$3)+1)*H32+INDEX(Symboles!$G$6:$G$101,MOD(68+$C32+(0),$B$3)+1)*I32+INDEX(Symboles!$G$6:$G$101,MOD(68+$C32+(1),$B$3)+1)*J32+INDEX(Symboles!$G$6:$G$101,MOD(68+$C32+(2),$B$3)+1)*K32+INDEX(Symboles!$G$6:$G$101,MOD(68+$C32+(3),$B$3)+1)*L32+INDEX(Symboles!$G$6:$G$101,MOD(68+$C32+(4),$B$3)+1)*M32+IF($B$6=0,0,$B$6*NORMSINV(0.000001+0.999998*RAND())))</f>
        <v/>
      </c>
      <c r="CG32" s="30">
        <f>IF(70&gt;$B$3,99,INDEX(Symboles!$G$6:$G$101,MOD(69+$C32+(-4),$B$3)+1)*E32+INDEX(Symboles!$G$6:$G$101,MOD(69+$C32+(-3),$B$3)+1)*F32+INDEX(Symboles!$G$6:$G$101,MOD(69+$C32+(-2),$B$3)+1)*G32+INDEX(Symboles!$G$6:$G$101,MOD(69+$C32+(-1),$B$3)+1)*H32+INDEX(Symboles!$G$6:$G$101,MOD(69+$C32+(0),$B$3)+1)*I32+INDEX(Symboles!$G$6:$G$101,MOD(69+$C32+(1),$B$3)+1)*J32+INDEX(Symboles!$G$6:$G$101,MOD(69+$C32+(2),$B$3)+1)*K32+INDEX(Symboles!$G$6:$G$101,MOD(69+$C32+(3),$B$3)+1)*L32+INDEX(Symboles!$G$6:$G$101,MOD(69+$C32+(4),$B$3)+1)*M32+IF($B$6=0,0,$B$6*NORMSINV(0.000001+0.999998*RAND())))</f>
        <v/>
      </c>
      <c r="CH32" s="30">
        <f>IF(71&gt;$B$3,99,INDEX(Symboles!$G$6:$G$101,MOD(70+$C32+(-4),$B$3)+1)*E32+INDEX(Symboles!$G$6:$G$101,MOD(70+$C32+(-3),$B$3)+1)*F32+INDEX(Symboles!$G$6:$G$101,MOD(70+$C32+(-2),$B$3)+1)*G32+INDEX(Symboles!$G$6:$G$101,MOD(70+$C32+(-1),$B$3)+1)*H32+INDEX(Symboles!$G$6:$G$101,MOD(70+$C32+(0),$B$3)+1)*I32+INDEX(Symboles!$G$6:$G$101,MOD(70+$C32+(1),$B$3)+1)*J32+INDEX(Symboles!$G$6:$G$101,MOD(70+$C32+(2),$B$3)+1)*K32+INDEX(Symboles!$G$6:$G$101,MOD(70+$C32+(3),$B$3)+1)*L32+INDEX(Symboles!$G$6:$G$101,MOD(70+$C32+(4),$B$3)+1)*M32+IF($B$6=0,0,$B$6*NORMSINV(0.000001+0.999998*RAND())))</f>
        <v/>
      </c>
      <c r="CI32" s="30">
        <f>IF(72&gt;$B$3,99,INDEX(Symboles!$G$6:$G$101,MOD(71+$C32+(-4),$B$3)+1)*E32+INDEX(Symboles!$G$6:$G$101,MOD(71+$C32+(-3),$B$3)+1)*F32+INDEX(Symboles!$G$6:$G$101,MOD(71+$C32+(-2),$B$3)+1)*G32+INDEX(Symboles!$G$6:$G$101,MOD(71+$C32+(-1),$B$3)+1)*H32+INDEX(Symboles!$G$6:$G$101,MOD(71+$C32+(0),$B$3)+1)*I32+INDEX(Symboles!$G$6:$G$101,MOD(71+$C32+(1),$B$3)+1)*J32+INDEX(Symboles!$G$6:$G$101,MOD(71+$C32+(2),$B$3)+1)*K32+INDEX(Symboles!$G$6:$G$101,MOD(71+$C32+(3),$B$3)+1)*L32+INDEX(Symboles!$G$6:$G$101,MOD(71+$C32+(4),$B$3)+1)*M32+IF($B$6=0,0,$B$6*NORMSINV(0.000001+0.999998*RAND())))</f>
        <v/>
      </c>
      <c r="CJ32" s="30">
        <f>IF(73&gt;$B$3,99,INDEX(Symboles!$G$6:$G$101,MOD(72+$C32+(-4),$B$3)+1)*E32+INDEX(Symboles!$G$6:$G$101,MOD(72+$C32+(-3),$B$3)+1)*F32+INDEX(Symboles!$G$6:$G$101,MOD(72+$C32+(-2),$B$3)+1)*G32+INDEX(Symboles!$G$6:$G$101,MOD(72+$C32+(-1),$B$3)+1)*H32+INDEX(Symboles!$G$6:$G$101,MOD(72+$C32+(0),$B$3)+1)*I32+INDEX(Symboles!$G$6:$G$101,MOD(72+$C32+(1),$B$3)+1)*J32+INDEX(Symboles!$G$6:$G$101,MOD(72+$C32+(2),$B$3)+1)*K32+INDEX(Symboles!$G$6:$G$101,MOD(72+$C32+(3),$B$3)+1)*L32+INDEX(Symboles!$G$6:$G$101,MOD(72+$C32+(4),$B$3)+1)*M32+IF($B$6=0,0,$B$6*NORMSINV(0.000001+0.999998*RAND())))</f>
        <v/>
      </c>
      <c r="CK32" s="30">
        <f>IF(74&gt;$B$3,99,INDEX(Symboles!$G$6:$G$101,MOD(73+$C32+(-4),$B$3)+1)*E32+INDEX(Symboles!$G$6:$G$101,MOD(73+$C32+(-3),$B$3)+1)*F32+INDEX(Symboles!$G$6:$G$101,MOD(73+$C32+(-2),$B$3)+1)*G32+INDEX(Symboles!$G$6:$G$101,MOD(73+$C32+(-1),$B$3)+1)*H32+INDEX(Symboles!$G$6:$G$101,MOD(73+$C32+(0),$B$3)+1)*I32+INDEX(Symboles!$G$6:$G$101,MOD(73+$C32+(1),$B$3)+1)*J32+INDEX(Symboles!$G$6:$G$101,MOD(73+$C32+(2),$B$3)+1)*K32+INDEX(Symboles!$G$6:$G$101,MOD(73+$C32+(3),$B$3)+1)*L32+INDEX(Symboles!$G$6:$G$101,MOD(73+$C32+(4),$B$3)+1)*M32+IF($B$6=0,0,$B$6*NORMSINV(0.000001+0.999998*RAND())))</f>
        <v/>
      </c>
      <c r="CL32" s="30">
        <f>IF(75&gt;$B$3,99,INDEX(Symboles!$G$6:$G$101,MOD(74+$C32+(-4),$B$3)+1)*E32+INDEX(Symboles!$G$6:$G$101,MOD(74+$C32+(-3),$B$3)+1)*F32+INDEX(Symboles!$G$6:$G$101,MOD(74+$C32+(-2),$B$3)+1)*G32+INDEX(Symboles!$G$6:$G$101,MOD(74+$C32+(-1),$B$3)+1)*H32+INDEX(Symboles!$G$6:$G$101,MOD(74+$C32+(0),$B$3)+1)*I32+INDEX(Symboles!$G$6:$G$101,MOD(74+$C32+(1),$B$3)+1)*J32+INDEX(Symboles!$G$6:$G$101,MOD(74+$C32+(2),$B$3)+1)*K32+INDEX(Symboles!$G$6:$G$101,MOD(74+$C32+(3),$B$3)+1)*L32+INDEX(Symboles!$G$6:$G$101,MOD(74+$C32+(4),$B$3)+1)*M32+IF($B$6=0,0,$B$6*NORMSINV(0.000001+0.999998*RAND())))</f>
        <v/>
      </c>
      <c r="CM32" s="30">
        <f>IF(76&gt;$B$3,99,INDEX(Symboles!$G$6:$G$101,MOD(75+$C32+(-4),$B$3)+1)*E32+INDEX(Symboles!$G$6:$G$101,MOD(75+$C32+(-3),$B$3)+1)*F32+INDEX(Symboles!$G$6:$G$101,MOD(75+$C32+(-2),$B$3)+1)*G32+INDEX(Symboles!$G$6:$G$101,MOD(75+$C32+(-1),$B$3)+1)*H32+INDEX(Symboles!$G$6:$G$101,MOD(75+$C32+(0),$B$3)+1)*I32+INDEX(Symboles!$G$6:$G$101,MOD(75+$C32+(1),$B$3)+1)*J32+INDEX(Symboles!$G$6:$G$101,MOD(75+$C32+(2),$B$3)+1)*K32+INDEX(Symboles!$G$6:$G$101,MOD(75+$C32+(3),$B$3)+1)*L32+INDEX(Symboles!$G$6:$G$101,MOD(75+$C32+(4),$B$3)+1)*M32+IF($B$6=0,0,$B$6*NORMSINV(0.000001+0.999998*RAND())))</f>
        <v/>
      </c>
      <c r="CN32" s="30">
        <f>IF(77&gt;$B$3,99,INDEX(Symboles!$G$6:$G$101,MOD(76+$C32+(-4),$B$3)+1)*E32+INDEX(Symboles!$G$6:$G$101,MOD(76+$C32+(-3),$B$3)+1)*F32+INDEX(Symboles!$G$6:$G$101,MOD(76+$C32+(-2),$B$3)+1)*G32+INDEX(Symboles!$G$6:$G$101,MOD(76+$C32+(-1),$B$3)+1)*H32+INDEX(Symboles!$G$6:$G$101,MOD(76+$C32+(0),$B$3)+1)*I32+INDEX(Symboles!$G$6:$G$101,MOD(76+$C32+(1),$B$3)+1)*J32+INDEX(Symboles!$G$6:$G$101,MOD(76+$C32+(2),$B$3)+1)*K32+INDEX(Symboles!$G$6:$G$101,MOD(76+$C32+(3),$B$3)+1)*L32+INDEX(Symboles!$G$6:$G$101,MOD(76+$C32+(4),$B$3)+1)*M32+IF($B$6=0,0,$B$6*NORMSINV(0.000001+0.999998*RAND())))</f>
        <v/>
      </c>
      <c r="CO32" s="30">
        <f>IF(78&gt;$B$3,99,INDEX(Symboles!$G$6:$G$101,MOD(77+$C32+(-4),$B$3)+1)*E32+INDEX(Symboles!$G$6:$G$101,MOD(77+$C32+(-3),$B$3)+1)*F32+INDEX(Symboles!$G$6:$G$101,MOD(77+$C32+(-2),$B$3)+1)*G32+INDEX(Symboles!$G$6:$G$101,MOD(77+$C32+(-1),$B$3)+1)*H32+INDEX(Symboles!$G$6:$G$101,MOD(77+$C32+(0),$B$3)+1)*I32+INDEX(Symboles!$G$6:$G$101,MOD(77+$C32+(1),$B$3)+1)*J32+INDEX(Symboles!$G$6:$G$101,MOD(77+$C32+(2),$B$3)+1)*K32+INDEX(Symboles!$G$6:$G$101,MOD(77+$C32+(3),$B$3)+1)*L32+INDEX(Symboles!$G$6:$G$101,MOD(77+$C32+(4),$B$3)+1)*M32+IF($B$6=0,0,$B$6*NORMSINV(0.000001+0.999998*RAND())))</f>
        <v/>
      </c>
      <c r="CP32" s="30">
        <f>IF(79&gt;$B$3,99,INDEX(Symboles!$G$6:$G$101,MOD(78+$C32+(-4),$B$3)+1)*E32+INDEX(Symboles!$G$6:$G$101,MOD(78+$C32+(-3),$B$3)+1)*F32+INDEX(Symboles!$G$6:$G$101,MOD(78+$C32+(-2),$B$3)+1)*G32+INDEX(Symboles!$G$6:$G$101,MOD(78+$C32+(-1),$B$3)+1)*H32+INDEX(Symboles!$G$6:$G$101,MOD(78+$C32+(0),$B$3)+1)*I32+INDEX(Symboles!$G$6:$G$101,MOD(78+$C32+(1),$B$3)+1)*J32+INDEX(Symboles!$G$6:$G$101,MOD(78+$C32+(2),$B$3)+1)*K32+INDEX(Symboles!$G$6:$G$101,MOD(78+$C32+(3),$B$3)+1)*L32+INDEX(Symboles!$G$6:$G$101,MOD(78+$C32+(4),$B$3)+1)*M32+IF($B$6=0,0,$B$6*NORMSINV(0.000001+0.999998*RAND())))</f>
        <v/>
      </c>
      <c r="CQ32" s="30">
        <f>IF(80&gt;$B$3,99,INDEX(Symboles!$G$6:$G$101,MOD(79+$C32+(-4),$B$3)+1)*E32+INDEX(Symboles!$G$6:$G$101,MOD(79+$C32+(-3),$B$3)+1)*F32+INDEX(Symboles!$G$6:$G$101,MOD(79+$C32+(-2),$B$3)+1)*G32+INDEX(Symboles!$G$6:$G$101,MOD(79+$C32+(-1),$B$3)+1)*H32+INDEX(Symboles!$G$6:$G$101,MOD(79+$C32+(0),$B$3)+1)*I32+INDEX(Symboles!$G$6:$G$101,MOD(79+$C32+(1),$B$3)+1)*J32+INDEX(Symboles!$G$6:$G$101,MOD(79+$C32+(2),$B$3)+1)*K32+INDEX(Symboles!$G$6:$G$101,MOD(79+$C32+(3),$B$3)+1)*L32+INDEX(Symboles!$G$6:$G$101,MOD(79+$C32+(4),$B$3)+1)*M32+IF($B$6=0,0,$B$6*NORMSINV(0.000001+0.999998*RAND())))</f>
        <v/>
      </c>
      <c r="CR32" s="30">
        <f>IF(81&gt;$B$3,99,INDEX(Symboles!$G$6:$G$101,MOD(80+$C32+(-4),$B$3)+1)*E32+INDEX(Symboles!$G$6:$G$101,MOD(80+$C32+(-3),$B$3)+1)*F32+INDEX(Symboles!$G$6:$G$101,MOD(80+$C32+(-2),$B$3)+1)*G32+INDEX(Symboles!$G$6:$G$101,MOD(80+$C32+(-1),$B$3)+1)*H32+INDEX(Symboles!$G$6:$G$101,MOD(80+$C32+(0),$B$3)+1)*I32+INDEX(Symboles!$G$6:$G$101,MOD(80+$C32+(1),$B$3)+1)*J32+INDEX(Symboles!$G$6:$G$101,MOD(80+$C32+(2),$B$3)+1)*K32+INDEX(Symboles!$G$6:$G$101,MOD(80+$C32+(3),$B$3)+1)*L32+INDEX(Symboles!$G$6:$G$101,MOD(80+$C32+(4),$B$3)+1)*M32+IF($B$6=0,0,$B$6*NORMSINV(0.000001+0.999998*RAND())))</f>
        <v/>
      </c>
      <c r="CS32" s="30">
        <f>IF(82&gt;$B$3,99,INDEX(Symboles!$G$6:$G$101,MOD(81+$C32+(-4),$B$3)+1)*E32+INDEX(Symboles!$G$6:$G$101,MOD(81+$C32+(-3),$B$3)+1)*F32+INDEX(Symboles!$G$6:$G$101,MOD(81+$C32+(-2),$B$3)+1)*G32+INDEX(Symboles!$G$6:$G$101,MOD(81+$C32+(-1),$B$3)+1)*H32+INDEX(Symboles!$G$6:$G$101,MOD(81+$C32+(0),$B$3)+1)*I32+INDEX(Symboles!$G$6:$G$101,MOD(81+$C32+(1),$B$3)+1)*J32+INDEX(Symboles!$G$6:$G$101,MOD(81+$C32+(2),$B$3)+1)*K32+INDEX(Symboles!$G$6:$G$101,MOD(81+$C32+(3),$B$3)+1)*L32+INDEX(Symboles!$G$6:$G$101,MOD(81+$C32+(4),$B$3)+1)*M32+IF($B$6=0,0,$B$6*NORMSINV(0.000001+0.999998*RAND())))</f>
        <v/>
      </c>
      <c r="CT32" s="30">
        <f>IF(83&gt;$B$3,99,INDEX(Symboles!$G$6:$G$101,MOD(82+$C32+(-4),$B$3)+1)*E32+INDEX(Symboles!$G$6:$G$101,MOD(82+$C32+(-3),$B$3)+1)*F32+INDEX(Symboles!$G$6:$G$101,MOD(82+$C32+(-2),$B$3)+1)*G32+INDEX(Symboles!$G$6:$G$101,MOD(82+$C32+(-1),$B$3)+1)*H32+INDEX(Symboles!$G$6:$G$101,MOD(82+$C32+(0),$B$3)+1)*I32+INDEX(Symboles!$G$6:$G$101,MOD(82+$C32+(1),$B$3)+1)*J32+INDEX(Symboles!$G$6:$G$101,MOD(82+$C32+(2),$B$3)+1)*K32+INDEX(Symboles!$G$6:$G$101,MOD(82+$C32+(3),$B$3)+1)*L32+INDEX(Symboles!$G$6:$G$101,MOD(82+$C32+(4),$B$3)+1)*M32+IF($B$6=0,0,$B$6*NORMSINV(0.000001+0.999998*RAND())))</f>
        <v/>
      </c>
      <c r="CU32" s="30">
        <f>IF(84&gt;$B$3,99,INDEX(Symboles!$G$6:$G$101,MOD(83+$C32+(-4),$B$3)+1)*E32+INDEX(Symboles!$G$6:$G$101,MOD(83+$C32+(-3),$B$3)+1)*F32+INDEX(Symboles!$G$6:$G$101,MOD(83+$C32+(-2),$B$3)+1)*G32+INDEX(Symboles!$G$6:$G$101,MOD(83+$C32+(-1),$B$3)+1)*H32+INDEX(Symboles!$G$6:$G$101,MOD(83+$C32+(0),$B$3)+1)*I32+INDEX(Symboles!$G$6:$G$101,MOD(83+$C32+(1),$B$3)+1)*J32+INDEX(Symboles!$G$6:$G$101,MOD(83+$C32+(2),$B$3)+1)*K32+INDEX(Symboles!$G$6:$G$101,MOD(83+$C32+(3),$B$3)+1)*L32+INDEX(Symboles!$G$6:$G$101,MOD(83+$C32+(4),$B$3)+1)*M32+IF($B$6=0,0,$B$6*NORMSINV(0.000001+0.999998*RAND())))</f>
        <v/>
      </c>
      <c r="CV32" s="30">
        <f>IF(85&gt;$B$3,99,INDEX(Symboles!$G$6:$G$101,MOD(84+$C32+(-4),$B$3)+1)*E32+INDEX(Symboles!$G$6:$G$101,MOD(84+$C32+(-3),$B$3)+1)*F32+INDEX(Symboles!$G$6:$G$101,MOD(84+$C32+(-2),$B$3)+1)*G32+INDEX(Symboles!$G$6:$G$101,MOD(84+$C32+(-1),$B$3)+1)*H32+INDEX(Symboles!$G$6:$G$101,MOD(84+$C32+(0),$B$3)+1)*I32+INDEX(Symboles!$G$6:$G$101,MOD(84+$C32+(1),$B$3)+1)*J32+INDEX(Symboles!$G$6:$G$101,MOD(84+$C32+(2),$B$3)+1)*K32+INDEX(Symboles!$G$6:$G$101,MOD(84+$C32+(3),$B$3)+1)*L32+INDEX(Symboles!$G$6:$G$101,MOD(84+$C32+(4),$B$3)+1)*M32+IF($B$6=0,0,$B$6*NORMSINV(0.000001+0.999998*RAND())))</f>
        <v/>
      </c>
      <c r="CW32" s="30">
        <f>IF(86&gt;$B$3,99,INDEX(Symboles!$G$6:$G$101,MOD(85+$C32+(-4),$B$3)+1)*E32+INDEX(Symboles!$G$6:$G$101,MOD(85+$C32+(-3),$B$3)+1)*F32+INDEX(Symboles!$G$6:$G$101,MOD(85+$C32+(-2),$B$3)+1)*G32+INDEX(Symboles!$G$6:$G$101,MOD(85+$C32+(-1),$B$3)+1)*H32+INDEX(Symboles!$G$6:$G$101,MOD(85+$C32+(0),$B$3)+1)*I32+INDEX(Symboles!$G$6:$G$101,MOD(85+$C32+(1),$B$3)+1)*J32+INDEX(Symboles!$G$6:$G$101,MOD(85+$C32+(2),$B$3)+1)*K32+INDEX(Symboles!$G$6:$G$101,MOD(85+$C32+(3),$B$3)+1)*L32+INDEX(Symboles!$G$6:$G$101,MOD(85+$C32+(4),$B$3)+1)*M32+IF($B$6=0,0,$B$6*NORMSINV(0.000001+0.999998*RAND())))</f>
        <v/>
      </c>
      <c r="CX32" s="30">
        <f>IF(87&gt;$B$3,99,INDEX(Symboles!$G$6:$G$101,MOD(86+$C32+(-4),$B$3)+1)*E32+INDEX(Symboles!$G$6:$G$101,MOD(86+$C32+(-3),$B$3)+1)*F32+INDEX(Symboles!$G$6:$G$101,MOD(86+$C32+(-2),$B$3)+1)*G32+INDEX(Symboles!$G$6:$G$101,MOD(86+$C32+(-1),$B$3)+1)*H32+INDEX(Symboles!$G$6:$G$101,MOD(86+$C32+(0),$B$3)+1)*I32+INDEX(Symboles!$G$6:$G$101,MOD(86+$C32+(1),$B$3)+1)*J32+INDEX(Symboles!$G$6:$G$101,MOD(86+$C32+(2),$B$3)+1)*K32+INDEX(Symboles!$G$6:$G$101,MOD(86+$C32+(3),$B$3)+1)*L32+INDEX(Symboles!$G$6:$G$101,MOD(86+$C32+(4),$B$3)+1)*M32+IF($B$6=0,0,$B$6*NORMSINV(0.000001+0.999998*RAND())))</f>
        <v/>
      </c>
      <c r="CY32" s="30">
        <f>IF(88&gt;$B$3,99,INDEX(Symboles!$G$6:$G$101,MOD(87+$C32+(-4),$B$3)+1)*E32+INDEX(Symboles!$G$6:$G$101,MOD(87+$C32+(-3),$B$3)+1)*F32+INDEX(Symboles!$G$6:$G$101,MOD(87+$C32+(-2),$B$3)+1)*G32+INDEX(Symboles!$G$6:$G$101,MOD(87+$C32+(-1),$B$3)+1)*H32+INDEX(Symboles!$G$6:$G$101,MOD(87+$C32+(0),$B$3)+1)*I32+INDEX(Symboles!$G$6:$G$101,MOD(87+$C32+(1),$B$3)+1)*J32+INDEX(Symboles!$G$6:$G$101,MOD(87+$C32+(2),$B$3)+1)*K32+INDEX(Symboles!$G$6:$G$101,MOD(87+$C32+(3),$B$3)+1)*L32+INDEX(Symboles!$G$6:$G$101,MOD(87+$C32+(4),$B$3)+1)*M32+IF($B$6=0,0,$B$6*NORMSINV(0.000001+0.999998*RAND())))</f>
        <v/>
      </c>
      <c r="CZ32" s="30">
        <f>IF(89&gt;$B$3,99,INDEX(Symboles!$G$6:$G$101,MOD(88+$C32+(-4),$B$3)+1)*E32+INDEX(Symboles!$G$6:$G$101,MOD(88+$C32+(-3),$B$3)+1)*F32+INDEX(Symboles!$G$6:$G$101,MOD(88+$C32+(-2),$B$3)+1)*G32+INDEX(Symboles!$G$6:$G$101,MOD(88+$C32+(-1),$B$3)+1)*H32+INDEX(Symboles!$G$6:$G$101,MOD(88+$C32+(0),$B$3)+1)*I32+INDEX(Symboles!$G$6:$G$101,MOD(88+$C32+(1),$B$3)+1)*J32+INDEX(Symboles!$G$6:$G$101,MOD(88+$C32+(2),$B$3)+1)*K32+INDEX(Symboles!$G$6:$G$101,MOD(88+$C32+(3),$B$3)+1)*L32+INDEX(Symboles!$G$6:$G$101,MOD(88+$C32+(4),$B$3)+1)*M32+IF($B$6=0,0,$B$6*NORMSINV(0.000001+0.999998*RAND())))</f>
        <v/>
      </c>
      <c r="DA32" s="30">
        <f>IF(90&gt;$B$3,99,INDEX(Symboles!$G$6:$G$101,MOD(89+$C32+(-4),$B$3)+1)*E32+INDEX(Symboles!$G$6:$G$101,MOD(89+$C32+(-3),$B$3)+1)*F32+INDEX(Symboles!$G$6:$G$101,MOD(89+$C32+(-2),$B$3)+1)*G32+INDEX(Symboles!$G$6:$G$101,MOD(89+$C32+(-1),$B$3)+1)*H32+INDEX(Symboles!$G$6:$G$101,MOD(89+$C32+(0),$B$3)+1)*I32+INDEX(Symboles!$G$6:$G$101,MOD(89+$C32+(1),$B$3)+1)*J32+INDEX(Symboles!$G$6:$G$101,MOD(89+$C32+(2),$B$3)+1)*K32+INDEX(Symboles!$G$6:$G$101,MOD(89+$C32+(3),$B$3)+1)*L32+INDEX(Symboles!$G$6:$G$101,MOD(89+$C32+(4),$B$3)+1)*M32+IF($B$6=0,0,$B$6*NORMSINV(0.000001+0.999998*RAND())))</f>
        <v/>
      </c>
      <c r="DB32" s="30">
        <f>IF(91&gt;$B$3,99,INDEX(Symboles!$G$6:$G$101,MOD(90+$C32+(-4),$B$3)+1)*E32+INDEX(Symboles!$G$6:$G$101,MOD(90+$C32+(-3),$B$3)+1)*F32+INDEX(Symboles!$G$6:$G$101,MOD(90+$C32+(-2),$B$3)+1)*G32+INDEX(Symboles!$G$6:$G$101,MOD(90+$C32+(-1),$B$3)+1)*H32+INDEX(Symboles!$G$6:$G$101,MOD(90+$C32+(0),$B$3)+1)*I32+INDEX(Symboles!$G$6:$G$101,MOD(90+$C32+(1),$B$3)+1)*J32+INDEX(Symboles!$G$6:$G$101,MOD(90+$C32+(2),$B$3)+1)*K32+INDEX(Symboles!$G$6:$G$101,MOD(90+$C32+(3),$B$3)+1)*L32+INDEX(Symboles!$G$6:$G$101,MOD(90+$C32+(4),$B$3)+1)*M32+IF($B$6=0,0,$B$6*NORMSINV(0.000001+0.999998*RAND())))</f>
        <v/>
      </c>
      <c r="DC32" s="30">
        <f>IF(92&gt;$B$3,99,INDEX(Symboles!$G$6:$G$101,MOD(91+$C32+(-4),$B$3)+1)*E32+INDEX(Symboles!$G$6:$G$101,MOD(91+$C32+(-3),$B$3)+1)*F32+INDEX(Symboles!$G$6:$G$101,MOD(91+$C32+(-2),$B$3)+1)*G32+INDEX(Symboles!$G$6:$G$101,MOD(91+$C32+(-1),$B$3)+1)*H32+INDEX(Symboles!$G$6:$G$101,MOD(91+$C32+(0),$B$3)+1)*I32+INDEX(Symboles!$G$6:$G$101,MOD(91+$C32+(1),$B$3)+1)*J32+INDEX(Symboles!$G$6:$G$101,MOD(91+$C32+(2),$B$3)+1)*K32+INDEX(Symboles!$G$6:$G$101,MOD(91+$C32+(3),$B$3)+1)*L32+INDEX(Symboles!$G$6:$G$101,MOD(91+$C32+(4),$B$3)+1)*M32+IF($B$6=0,0,$B$6*NORMSINV(0.000001+0.999998*RAND())))</f>
        <v/>
      </c>
      <c r="DD32" s="30">
        <f>IF(93&gt;$B$3,99,INDEX(Symboles!$G$6:$G$101,MOD(92+$C32+(-4),$B$3)+1)*E32+INDEX(Symboles!$G$6:$G$101,MOD(92+$C32+(-3),$B$3)+1)*F32+INDEX(Symboles!$G$6:$G$101,MOD(92+$C32+(-2),$B$3)+1)*G32+INDEX(Symboles!$G$6:$G$101,MOD(92+$C32+(-1),$B$3)+1)*H32+INDEX(Symboles!$G$6:$G$101,MOD(92+$C32+(0),$B$3)+1)*I32+INDEX(Symboles!$G$6:$G$101,MOD(92+$C32+(1),$B$3)+1)*J32+INDEX(Symboles!$G$6:$G$101,MOD(92+$C32+(2),$B$3)+1)*K32+INDEX(Symboles!$G$6:$G$101,MOD(92+$C32+(3),$B$3)+1)*L32+INDEX(Symboles!$G$6:$G$101,MOD(92+$C32+(4),$B$3)+1)*M32+IF($B$6=0,0,$B$6*NORMSINV(0.000001+0.999998*RAND())))</f>
        <v/>
      </c>
      <c r="DE32" s="30">
        <f>IF(94&gt;$B$3,99,INDEX(Symboles!$G$6:$G$101,MOD(93+$C32+(-4),$B$3)+1)*E32+INDEX(Symboles!$G$6:$G$101,MOD(93+$C32+(-3),$B$3)+1)*F32+INDEX(Symboles!$G$6:$G$101,MOD(93+$C32+(-2),$B$3)+1)*G32+INDEX(Symboles!$G$6:$G$101,MOD(93+$C32+(-1),$B$3)+1)*H32+INDEX(Symboles!$G$6:$G$101,MOD(93+$C32+(0),$B$3)+1)*I32+INDEX(Symboles!$G$6:$G$101,MOD(93+$C32+(1),$B$3)+1)*J32+INDEX(Symboles!$G$6:$G$101,MOD(93+$C32+(2),$B$3)+1)*K32+INDEX(Symboles!$G$6:$G$101,MOD(93+$C32+(3),$B$3)+1)*L32+INDEX(Symboles!$G$6:$G$101,MOD(93+$C32+(4),$B$3)+1)*M32+IF($B$6=0,0,$B$6*NORMSINV(0.000001+0.999998*RAND())))</f>
        <v/>
      </c>
      <c r="DF32" s="30">
        <f>IF(95&gt;$B$3,99,INDEX(Symboles!$G$6:$G$101,MOD(94+$C32+(-4),$B$3)+1)*E32+INDEX(Symboles!$G$6:$G$101,MOD(94+$C32+(-3),$B$3)+1)*F32+INDEX(Symboles!$G$6:$G$101,MOD(94+$C32+(-2),$B$3)+1)*G32+INDEX(Symboles!$G$6:$G$101,MOD(94+$C32+(-1),$B$3)+1)*H32+INDEX(Symboles!$G$6:$G$101,MOD(94+$C32+(0),$B$3)+1)*I32+INDEX(Symboles!$G$6:$G$101,MOD(94+$C32+(1),$B$3)+1)*J32+INDEX(Symboles!$G$6:$G$101,MOD(94+$C32+(2),$B$3)+1)*K32+INDEX(Symboles!$G$6:$G$101,MOD(94+$C32+(3),$B$3)+1)*L32+INDEX(Symboles!$G$6:$G$101,MOD(94+$C32+(4),$B$3)+1)*M32+IF($B$6=0,0,$B$6*NORMSINV(0.000001+0.999998*RAND())))</f>
        <v/>
      </c>
      <c r="DG32" s="30">
        <f>IF(96&gt;$B$3,99,INDEX(Symboles!$G$6:$G$101,MOD(95+$C32+(-4),$B$3)+1)*E32+INDEX(Symboles!$G$6:$G$101,MOD(95+$C32+(-3),$B$3)+1)*F32+INDEX(Symboles!$G$6:$G$101,MOD(95+$C32+(-2),$B$3)+1)*G32+INDEX(Symboles!$G$6:$G$101,MOD(95+$C32+(-1),$B$3)+1)*H32+INDEX(Symboles!$G$6:$G$101,MOD(95+$C32+(0),$B$3)+1)*I32+INDEX(Symboles!$G$6:$G$101,MOD(95+$C32+(1),$B$3)+1)*J32+INDEX(Symboles!$G$6:$G$101,MOD(95+$C32+(2),$B$3)+1)*K32+INDEX(Symboles!$G$6:$G$101,MOD(95+$C32+(3),$B$3)+1)*L32+INDEX(Symboles!$G$6:$G$101,MOD(95+$C32+(4),$B$3)+1)*M32+IF($B$6=0,0,$B$6*NORMSINV(0.000001+0.999998*RAND())))</f>
        <v/>
      </c>
      <c r="DI32" s="30">
        <f>IF(1&gt;$B$3,99,INDEX(Symboles!$H$6:$H$101,MOD(0+$C32+(-4),$B$3)+1)*E32+INDEX(Symboles!$H$6:$H$101,MOD(0+$C32+(-3),$B$3)+1)*F32+INDEX(Symboles!$H$6:$H$101,MOD(0+$C32+(-2),$B$3)+1)*G32+INDEX(Symboles!$H$6:$H$101,MOD(0+$C32+(-1),$B$3)+1)*H32+INDEX(Symboles!$H$6:$H$101,MOD(0+$C32+(0),$B$3)+1)*I32+INDEX(Symboles!$H$6:$H$101,MOD(0+$C32+(1),$B$3)+1)*J32+INDEX(Symboles!$H$6:$H$101,MOD(0+$C32+(2),$B$3)+1)*K32+INDEX(Symboles!$H$6:$H$101,MOD(0+$C32+(3),$B$3)+1)*L32+INDEX(Symboles!$H$6:$H$101,MOD(0+$C32+(4),$B$3)+1)*M32+IF($B$6=0,0,$B$6*NORMSINV(0.000001+0.999998*RAND())))</f>
        <v/>
      </c>
      <c r="DJ32" s="30">
        <f>IF(2&gt;$B$3,99,INDEX(Symboles!$H$6:$H$101,MOD(1+$C32+(-4),$B$3)+1)*E32+INDEX(Symboles!$H$6:$H$101,MOD(1+$C32+(-3),$B$3)+1)*F32+INDEX(Symboles!$H$6:$H$101,MOD(1+$C32+(-2),$B$3)+1)*G32+INDEX(Symboles!$H$6:$H$101,MOD(1+$C32+(-1),$B$3)+1)*H32+INDEX(Symboles!$H$6:$H$101,MOD(1+$C32+(0),$B$3)+1)*I32+INDEX(Symboles!$H$6:$H$101,MOD(1+$C32+(1),$B$3)+1)*J32+INDEX(Symboles!$H$6:$H$101,MOD(1+$C32+(2),$B$3)+1)*K32+INDEX(Symboles!$H$6:$H$101,MOD(1+$C32+(3),$B$3)+1)*L32+INDEX(Symboles!$H$6:$H$101,MOD(1+$C32+(4),$B$3)+1)*M32+IF($B$6=0,0,$B$6*NORMSINV(0.000001+0.999998*RAND())))</f>
        <v/>
      </c>
      <c r="DK32" s="30">
        <f>IF(3&gt;$B$3,99,INDEX(Symboles!$H$6:$H$101,MOD(2+$C32+(-4),$B$3)+1)*E32+INDEX(Symboles!$H$6:$H$101,MOD(2+$C32+(-3),$B$3)+1)*F32+INDEX(Symboles!$H$6:$H$101,MOD(2+$C32+(-2),$B$3)+1)*G32+INDEX(Symboles!$H$6:$H$101,MOD(2+$C32+(-1),$B$3)+1)*H32+INDEX(Symboles!$H$6:$H$101,MOD(2+$C32+(0),$B$3)+1)*I32+INDEX(Symboles!$H$6:$H$101,MOD(2+$C32+(1),$B$3)+1)*J32+INDEX(Symboles!$H$6:$H$101,MOD(2+$C32+(2),$B$3)+1)*K32+INDEX(Symboles!$H$6:$H$101,MOD(2+$C32+(3),$B$3)+1)*L32+INDEX(Symboles!$H$6:$H$101,MOD(2+$C32+(4),$B$3)+1)*M32+IF($B$6=0,0,$B$6*NORMSINV(0.000001+0.999998*RAND())))</f>
        <v/>
      </c>
      <c r="DL32" s="30">
        <f>IF(4&gt;$B$3,99,INDEX(Symboles!$H$6:$H$101,MOD(3+$C32+(-4),$B$3)+1)*E32+INDEX(Symboles!$H$6:$H$101,MOD(3+$C32+(-3),$B$3)+1)*F32+INDEX(Symboles!$H$6:$H$101,MOD(3+$C32+(-2),$B$3)+1)*G32+INDEX(Symboles!$H$6:$H$101,MOD(3+$C32+(-1),$B$3)+1)*H32+INDEX(Symboles!$H$6:$H$101,MOD(3+$C32+(0),$B$3)+1)*I32+INDEX(Symboles!$H$6:$H$101,MOD(3+$C32+(1),$B$3)+1)*J32+INDEX(Symboles!$H$6:$H$101,MOD(3+$C32+(2),$B$3)+1)*K32+INDEX(Symboles!$H$6:$H$101,MOD(3+$C32+(3),$B$3)+1)*L32+INDEX(Symboles!$H$6:$H$101,MOD(3+$C32+(4),$B$3)+1)*M32+IF($B$6=0,0,$B$6*NORMSINV(0.000001+0.999998*RAND())))</f>
        <v/>
      </c>
      <c r="DM32" s="30">
        <f>IF(5&gt;$B$3,99,INDEX(Symboles!$H$6:$H$101,MOD(4+$C32+(-4),$B$3)+1)*E32+INDEX(Symboles!$H$6:$H$101,MOD(4+$C32+(-3),$B$3)+1)*F32+INDEX(Symboles!$H$6:$H$101,MOD(4+$C32+(-2),$B$3)+1)*G32+INDEX(Symboles!$H$6:$H$101,MOD(4+$C32+(-1),$B$3)+1)*H32+INDEX(Symboles!$H$6:$H$101,MOD(4+$C32+(0),$B$3)+1)*I32+INDEX(Symboles!$H$6:$H$101,MOD(4+$C32+(1),$B$3)+1)*J32+INDEX(Symboles!$H$6:$H$101,MOD(4+$C32+(2),$B$3)+1)*K32+INDEX(Symboles!$H$6:$H$101,MOD(4+$C32+(3),$B$3)+1)*L32+INDEX(Symboles!$H$6:$H$101,MOD(4+$C32+(4),$B$3)+1)*M32+IF($B$6=0,0,$B$6*NORMSINV(0.000001+0.999998*RAND())))</f>
        <v/>
      </c>
      <c r="DN32" s="30">
        <f>IF(6&gt;$B$3,99,INDEX(Symboles!$H$6:$H$101,MOD(5+$C32+(-4),$B$3)+1)*E32+INDEX(Symboles!$H$6:$H$101,MOD(5+$C32+(-3),$B$3)+1)*F32+INDEX(Symboles!$H$6:$H$101,MOD(5+$C32+(-2),$B$3)+1)*G32+INDEX(Symboles!$H$6:$H$101,MOD(5+$C32+(-1),$B$3)+1)*H32+INDEX(Symboles!$H$6:$H$101,MOD(5+$C32+(0),$B$3)+1)*I32+INDEX(Symboles!$H$6:$H$101,MOD(5+$C32+(1),$B$3)+1)*J32+INDEX(Symboles!$H$6:$H$101,MOD(5+$C32+(2),$B$3)+1)*K32+INDEX(Symboles!$H$6:$H$101,MOD(5+$C32+(3),$B$3)+1)*L32+INDEX(Symboles!$H$6:$H$101,MOD(5+$C32+(4),$B$3)+1)*M32+IF($B$6=0,0,$B$6*NORMSINV(0.000001+0.999998*RAND())))</f>
        <v/>
      </c>
      <c r="DO32" s="30">
        <f>IF(7&gt;$B$3,99,INDEX(Symboles!$H$6:$H$101,MOD(6+$C32+(-4),$B$3)+1)*E32+INDEX(Symboles!$H$6:$H$101,MOD(6+$C32+(-3),$B$3)+1)*F32+INDEX(Symboles!$H$6:$H$101,MOD(6+$C32+(-2),$B$3)+1)*G32+INDEX(Symboles!$H$6:$H$101,MOD(6+$C32+(-1),$B$3)+1)*H32+INDEX(Symboles!$H$6:$H$101,MOD(6+$C32+(0),$B$3)+1)*I32+INDEX(Symboles!$H$6:$H$101,MOD(6+$C32+(1),$B$3)+1)*J32+INDEX(Symboles!$H$6:$H$101,MOD(6+$C32+(2),$B$3)+1)*K32+INDEX(Symboles!$H$6:$H$101,MOD(6+$C32+(3),$B$3)+1)*L32+INDEX(Symboles!$H$6:$H$101,MOD(6+$C32+(4),$B$3)+1)*M32+IF($B$6=0,0,$B$6*NORMSINV(0.000001+0.999998*RAND())))</f>
        <v/>
      </c>
      <c r="DP32" s="30">
        <f>IF(8&gt;$B$3,99,INDEX(Symboles!$H$6:$H$101,MOD(7+$C32+(-4),$B$3)+1)*E32+INDEX(Symboles!$H$6:$H$101,MOD(7+$C32+(-3),$B$3)+1)*F32+INDEX(Symboles!$H$6:$H$101,MOD(7+$C32+(-2),$B$3)+1)*G32+INDEX(Symboles!$H$6:$H$101,MOD(7+$C32+(-1),$B$3)+1)*H32+INDEX(Symboles!$H$6:$H$101,MOD(7+$C32+(0),$B$3)+1)*I32+INDEX(Symboles!$H$6:$H$101,MOD(7+$C32+(1),$B$3)+1)*J32+INDEX(Symboles!$H$6:$H$101,MOD(7+$C32+(2),$B$3)+1)*K32+INDEX(Symboles!$H$6:$H$101,MOD(7+$C32+(3),$B$3)+1)*L32+INDEX(Symboles!$H$6:$H$101,MOD(7+$C32+(4),$B$3)+1)*M32+IF($B$6=0,0,$B$6*NORMSINV(0.000001+0.999998*RAND())))</f>
        <v/>
      </c>
      <c r="DQ32" s="30">
        <f>IF(9&gt;$B$3,99,INDEX(Symboles!$H$6:$H$101,MOD(8+$C32+(-4),$B$3)+1)*E32+INDEX(Symboles!$H$6:$H$101,MOD(8+$C32+(-3),$B$3)+1)*F32+INDEX(Symboles!$H$6:$H$101,MOD(8+$C32+(-2),$B$3)+1)*G32+INDEX(Symboles!$H$6:$H$101,MOD(8+$C32+(-1),$B$3)+1)*H32+INDEX(Symboles!$H$6:$H$101,MOD(8+$C32+(0),$B$3)+1)*I32+INDEX(Symboles!$H$6:$H$101,MOD(8+$C32+(1),$B$3)+1)*J32+INDEX(Symboles!$H$6:$H$101,MOD(8+$C32+(2),$B$3)+1)*K32+INDEX(Symboles!$H$6:$H$101,MOD(8+$C32+(3),$B$3)+1)*L32+INDEX(Symboles!$H$6:$H$101,MOD(8+$C32+(4),$B$3)+1)*M32+IF($B$6=0,0,$B$6*NORMSINV(0.000001+0.999998*RAND())))</f>
        <v/>
      </c>
      <c r="DR32" s="30">
        <f>IF(10&gt;$B$3,99,INDEX(Symboles!$H$6:$H$101,MOD(9+$C32+(-4),$B$3)+1)*E32+INDEX(Symboles!$H$6:$H$101,MOD(9+$C32+(-3),$B$3)+1)*F32+INDEX(Symboles!$H$6:$H$101,MOD(9+$C32+(-2),$B$3)+1)*G32+INDEX(Symboles!$H$6:$H$101,MOD(9+$C32+(-1),$B$3)+1)*H32+INDEX(Symboles!$H$6:$H$101,MOD(9+$C32+(0),$B$3)+1)*I32+INDEX(Symboles!$H$6:$H$101,MOD(9+$C32+(1),$B$3)+1)*J32+INDEX(Symboles!$H$6:$H$101,MOD(9+$C32+(2),$B$3)+1)*K32+INDEX(Symboles!$H$6:$H$101,MOD(9+$C32+(3),$B$3)+1)*L32+INDEX(Symboles!$H$6:$H$101,MOD(9+$C32+(4),$B$3)+1)*M32+IF($B$6=0,0,$B$6*NORMSINV(0.000001+0.999998*RAND())))</f>
        <v/>
      </c>
      <c r="DS32" s="30">
        <f>IF(11&gt;$B$3,99,INDEX(Symboles!$H$6:$H$101,MOD(10+$C32+(-4),$B$3)+1)*E32+INDEX(Symboles!$H$6:$H$101,MOD(10+$C32+(-3),$B$3)+1)*F32+INDEX(Symboles!$H$6:$H$101,MOD(10+$C32+(-2),$B$3)+1)*G32+INDEX(Symboles!$H$6:$H$101,MOD(10+$C32+(-1),$B$3)+1)*H32+INDEX(Symboles!$H$6:$H$101,MOD(10+$C32+(0),$B$3)+1)*I32+INDEX(Symboles!$H$6:$H$101,MOD(10+$C32+(1),$B$3)+1)*J32+INDEX(Symboles!$H$6:$H$101,MOD(10+$C32+(2),$B$3)+1)*K32+INDEX(Symboles!$H$6:$H$101,MOD(10+$C32+(3),$B$3)+1)*L32+INDEX(Symboles!$H$6:$H$101,MOD(10+$C32+(4),$B$3)+1)*M32+IF($B$6=0,0,$B$6*NORMSINV(0.000001+0.999998*RAND())))</f>
        <v/>
      </c>
      <c r="DT32" s="30">
        <f>IF(12&gt;$B$3,99,INDEX(Symboles!$H$6:$H$101,MOD(11+$C32+(-4),$B$3)+1)*E32+INDEX(Symboles!$H$6:$H$101,MOD(11+$C32+(-3),$B$3)+1)*F32+INDEX(Symboles!$H$6:$H$101,MOD(11+$C32+(-2),$B$3)+1)*G32+INDEX(Symboles!$H$6:$H$101,MOD(11+$C32+(-1),$B$3)+1)*H32+INDEX(Symboles!$H$6:$H$101,MOD(11+$C32+(0),$B$3)+1)*I32+INDEX(Symboles!$H$6:$H$101,MOD(11+$C32+(1),$B$3)+1)*J32+INDEX(Symboles!$H$6:$H$101,MOD(11+$C32+(2),$B$3)+1)*K32+INDEX(Symboles!$H$6:$H$101,MOD(11+$C32+(3),$B$3)+1)*L32+INDEX(Symboles!$H$6:$H$101,MOD(11+$C32+(4),$B$3)+1)*M32+IF($B$6=0,0,$B$6*NORMSINV(0.000001+0.999998*RAND())))</f>
        <v/>
      </c>
      <c r="DU32" s="30">
        <f>IF(13&gt;$B$3,99,INDEX(Symboles!$H$6:$H$101,MOD(12+$C32+(-4),$B$3)+1)*E32+INDEX(Symboles!$H$6:$H$101,MOD(12+$C32+(-3),$B$3)+1)*F32+INDEX(Symboles!$H$6:$H$101,MOD(12+$C32+(-2),$B$3)+1)*G32+INDEX(Symboles!$H$6:$H$101,MOD(12+$C32+(-1),$B$3)+1)*H32+INDEX(Symboles!$H$6:$H$101,MOD(12+$C32+(0),$B$3)+1)*I32+INDEX(Symboles!$H$6:$H$101,MOD(12+$C32+(1),$B$3)+1)*J32+INDEX(Symboles!$H$6:$H$101,MOD(12+$C32+(2),$B$3)+1)*K32+INDEX(Symboles!$H$6:$H$101,MOD(12+$C32+(3),$B$3)+1)*L32+INDEX(Symboles!$H$6:$H$101,MOD(12+$C32+(4),$B$3)+1)*M32+IF($B$6=0,0,$B$6*NORMSINV(0.000001+0.999998*RAND())))</f>
        <v/>
      </c>
      <c r="DV32" s="30">
        <f>IF(14&gt;$B$3,99,INDEX(Symboles!$H$6:$H$101,MOD(13+$C32+(-4),$B$3)+1)*E32+INDEX(Symboles!$H$6:$H$101,MOD(13+$C32+(-3),$B$3)+1)*F32+INDEX(Symboles!$H$6:$H$101,MOD(13+$C32+(-2),$B$3)+1)*G32+INDEX(Symboles!$H$6:$H$101,MOD(13+$C32+(-1),$B$3)+1)*H32+INDEX(Symboles!$H$6:$H$101,MOD(13+$C32+(0),$B$3)+1)*I32+INDEX(Symboles!$H$6:$H$101,MOD(13+$C32+(1),$B$3)+1)*J32+INDEX(Symboles!$H$6:$H$101,MOD(13+$C32+(2),$B$3)+1)*K32+INDEX(Symboles!$H$6:$H$101,MOD(13+$C32+(3),$B$3)+1)*L32+INDEX(Symboles!$H$6:$H$101,MOD(13+$C32+(4),$B$3)+1)*M32+IF($B$6=0,0,$B$6*NORMSINV(0.000001+0.999998*RAND())))</f>
        <v/>
      </c>
      <c r="DW32" s="30">
        <f>IF(15&gt;$B$3,99,INDEX(Symboles!$H$6:$H$101,MOD(14+$C32+(-4),$B$3)+1)*E32+INDEX(Symboles!$H$6:$H$101,MOD(14+$C32+(-3),$B$3)+1)*F32+INDEX(Symboles!$H$6:$H$101,MOD(14+$C32+(-2),$B$3)+1)*G32+INDEX(Symboles!$H$6:$H$101,MOD(14+$C32+(-1),$B$3)+1)*H32+INDEX(Symboles!$H$6:$H$101,MOD(14+$C32+(0),$B$3)+1)*I32+INDEX(Symboles!$H$6:$H$101,MOD(14+$C32+(1),$B$3)+1)*J32+INDEX(Symboles!$H$6:$H$101,MOD(14+$C32+(2),$B$3)+1)*K32+INDEX(Symboles!$H$6:$H$101,MOD(14+$C32+(3),$B$3)+1)*L32+INDEX(Symboles!$H$6:$H$101,MOD(14+$C32+(4),$B$3)+1)*M32+IF($B$6=0,0,$B$6*NORMSINV(0.000001+0.999998*RAND())))</f>
        <v/>
      </c>
      <c r="DX32" s="30">
        <f>IF(16&gt;$B$3,99,INDEX(Symboles!$H$6:$H$101,MOD(15+$C32+(-4),$B$3)+1)*E32+INDEX(Symboles!$H$6:$H$101,MOD(15+$C32+(-3),$B$3)+1)*F32+INDEX(Symboles!$H$6:$H$101,MOD(15+$C32+(-2),$B$3)+1)*G32+INDEX(Symboles!$H$6:$H$101,MOD(15+$C32+(-1),$B$3)+1)*H32+INDEX(Symboles!$H$6:$H$101,MOD(15+$C32+(0),$B$3)+1)*I32+INDEX(Symboles!$H$6:$H$101,MOD(15+$C32+(1),$B$3)+1)*J32+INDEX(Symboles!$H$6:$H$101,MOD(15+$C32+(2),$B$3)+1)*K32+INDEX(Symboles!$H$6:$H$101,MOD(15+$C32+(3),$B$3)+1)*L32+INDEX(Symboles!$H$6:$H$101,MOD(15+$C32+(4),$B$3)+1)*M32+IF($B$6=0,0,$B$6*NORMSINV(0.000001+0.999998*RAND())))</f>
        <v/>
      </c>
      <c r="DY32" s="30">
        <f>IF(17&gt;$B$3,99,INDEX(Symboles!$H$6:$H$101,MOD(16+$C32+(-4),$B$3)+1)*E32+INDEX(Symboles!$H$6:$H$101,MOD(16+$C32+(-3),$B$3)+1)*F32+INDEX(Symboles!$H$6:$H$101,MOD(16+$C32+(-2),$B$3)+1)*G32+INDEX(Symboles!$H$6:$H$101,MOD(16+$C32+(-1),$B$3)+1)*H32+INDEX(Symboles!$H$6:$H$101,MOD(16+$C32+(0),$B$3)+1)*I32+INDEX(Symboles!$H$6:$H$101,MOD(16+$C32+(1),$B$3)+1)*J32+INDEX(Symboles!$H$6:$H$101,MOD(16+$C32+(2),$B$3)+1)*K32+INDEX(Symboles!$H$6:$H$101,MOD(16+$C32+(3),$B$3)+1)*L32+INDEX(Symboles!$H$6:$H$101,MOD(16+$C32+(4),$B$3)+1)*M32+IF($B$6=0,0,$B$6*NORMSINV(0.000001+0.999998*RAND())))</f>
        <v/>
      </c>
      <c r="DZ32" s="30">
        <f>IF(18&gt;$B$3,99,INDEX(Symboles!$H$6:$H$101,MOD(17+$C32+(-4),$B$3)+1)*E32+INDEX(Symboles!$H$6:$H$101,MOD(17+$C32+(-3),$B$3)+1)*F32+INDEX(Symboles!$H$6:$H$101,MOD(17+$C32+(-2),$B$3)+1)*G32+INDEX(Symboles!$H$6:$H$101,MOD(17+$C32+(-1),$B$3)+1)*H32+INDEX(Symboles!$H$6:$H$101,MOD(17+$C32+(0),$B$3)+1)*I32+INDEX(Symboles!$H$6:$H$101,MOD(17+$C32+(1),$B$3)+1)*J32+INDEX(Symboles!$H$6:$H$101,MOD(17+$C32+(2),$B$3)+1)*K32+INDEX(Symboles!$H$6:$H$101,MOD(17+$C32+(3),$B$3)+1)*L32+INDEX(Symboles!$H$6:$H$101,MOD(17+$C32+(4),$B$3)+1)*M32+IF($B$6=0,0,$B$6*NORMSINV(0.000001+0.999998*RAND())))</f>
        <v/>
      </c>
      <c r="EA32" s="30">
        <f>IF(19&gt;$B$3,99,INDEX(Symboles!$H$6:$H$101,MOD(18+$C32+(-4),$B$3)+1)*E32+INDEX(Symboles!$H$6:$H$101,MOD(18+$C32+(-3),$B$3)+1)*F32+INDEX(Symboles!$H$6:$H$101,MOD(18+$C32+(-2),$B$3)+1)*G32+INDEX(Symboles!$H$6:$H$101,MOD(18+$C32+(-1),$B$3)+1)*H32+INDEX(Symboles!$H$6:$H$101,MOD(18+$C32+(0),$B$3)+1)*I32+INDEX(Symboles!$H$6:$H$101,MOD(18+$C32+(1),$B$3)+1)*J32+INDEX(Symboles!$H$6:$H$101,MOD(18+$C32+(2),$B$3)+1)*K32+INDEX(Symboles!$H$6:$H$101,MOD(18+$C32+(3),$B$3)+1)*L32+INDEX(Symboles!$H$6:$H$101,MOD(18+$C32+(4),$B$3)+1)*M32+IF($B$6=0,0,$B$6*NORMSINV(0.000001+0.999998*RAND())))</f>
        <v/>
      </c>
      <c r="EB32" s="30">
        <f>IF(20&gt;$B$3,99,INDEX(Symboles!$H$6:$H$101,MOD(19+$C32+(-4),$B$3)+1)*E32+INDEX(Symboles!$H$6:$H$101,MOD(19+$C32+(-3),$B$3)+1)*F32+INDEX(Symboles!$H$6:$H$101,MOD(19+$C32+(-2),$B$3)+1)*G32+INDEX(Symboles!$H$6:$H$101,MOD(19+$C32+(-1),$B$3)+1)*H32+INDEX(Symboles!$H$6:$H$101,MOD(19+$C32+(0),$B$3)+1)*I32+INDEX(Symboles!$H$6:$H$101,MOD(19+$C32+(1),$B$3)+1)*J32+INDEX(Symboles!$H$6:$H$101,MOD(19+$C32+(2),$B$3)+1)*K32+INDEX(Symboles!$H$6:$H$101,MOD(19+$C32+(3),$B$3)+1)*L32+INDEX(Symboles!$H$6:$H$101,MOD(19+$C32+(4),$B$3)+1)*M32+IF($B$6=0,0,$B$6*NORMSINV(0.000001+0.999998*RAND())))</f>
        <v/>
      </c>
      <c r="EC32" s="30">
        <f>IF(21&gt;$B$3,99,INDEX(Symboles!$H$6:$H$101,MOD(20+$C32+(-4),$B$3)+1)*E32+INDEX(Symboles!$H$6:$H$101,MOD(20+$C32+(-3),$B$3)+1)*F32+INDEX(Symboles!$H$6:$H$101,MOD(20+$C32+(-2),$B$3)+1)*G32+INDEX(Symboles!$H$6:$H$101,MOD(20+$C32+(-1),$B$3)+1)*H32+INDEX(Symboles!$H$6:$H$101,MOD(20+$C32+(0),$B$3)+1)*I32+INDEX(Symboles!$H$6:$H$101,MOD(20+$C32+(1),$B$3)+1)*J32+INDEX(Symboles!$H$6:$H$101,MOD(20+$C32+(2),$B$3)+1)*K32+INDEX(Symboles!$H$6:$H$101,MOD(20+$C32+(3),$B$3)+1)*L32+INDEX(Symboles!$H$6:$H$101,MOD(20+$C32+(4),$B$3)+1)*M32+IF($B$6=0,0,$B$6*NORMSINV(0.000001+0.999998*RAND())))</f>
        <v/>
      </c>
      <c r="ED32" s="30">
        <f>IF(22&gt;$B$3,99,INDEX(Symboles!$H$6:$H$101,MOD(21+$C32+(-4),$B$3)+1)*E32+INDEX(Symboles!$H$6:$H$101,MOD(21+$C32+(-3),$B$3)+1)*F32+INDEX(Symboles!$H$6:$H$101,MOD(21+$C32+(-2),$B$3)+1)*G32+INDEX(Symboles!$H$6:$H$101,MOD(21+$C32+(-1),$B$3)+1)*H32+INDEX(Symboles!$H$6:$H$101,MOD(21+$C32+(0),$B$3)+1)*I32+INDEX(Symboles!$H$6:$H$101,MOD(21+$C32+(1),$B$3)+1)*J32+INDEX(Symboles!$H$6:$H$101,MOD(21+$C32+(2),$B$3)+1)*K32+INDEX(Symboles!$H$6:$H$101,MOD(21+$C32+(3),$B$3)+1)*L32+INDEX(Symboles!$H$6:$H$101,MOD(21+$C32+(4),$B$3)+1)*M32+IF($B$6=0,0,$B$6*NORMSINV(0.000001+0.999998*RAND())))</f>
        <v/>
      </c>
      <c r="EE32" s="30">
        <f>IF(23&gt;$B$3,99,INDEX(Symboles!$H$6:$H$101,MOD(22+$C32+(-4),$B$3)+1)*E32+INDEX(Symboles!$H$6:$H$101,MOD(22+$C32+(-3),$B$3)+1)*F32+INDEX(Symboles!$H$6:$H$101,MOD(22+$C32+(-2),$B$3)+1)*G32+INDEX(Symboles!$H$6:$H$101,MOD(22+$C32+(-1),$B$3)+1)*H32+INDEX(Symboles!$H$6:$H$101,MOD(22+$C32+(0),$B$3)+1)*I32+INDEX(Symboles!$H$6:$H$101,MOD(22+$C32+(1),$B$3)+1)*J32+INDEX(Symboles!$H$6:$H$101,MOD(22+$C32+(2),$B$3)+1)*K32+INDEX(Symboles!$H$6:$H$101,MOD(22+$C32+(3),$B$3)+1)*L32+INDEX(Symboles!$H$6:$H$101,MOD(22+$C32+(4),$B$3)+1)*M32+IF($B$6=0,0,$B$6*NORMSINV(0.000001+0.999998*RAND())))</f>
        <v/>
      </c>
      <c r="EF32" s="30">
        <f>IF(24&gt;$B$3,99,INDEX(Symboles!$H$6:$H$101,MOD(23+$C32+(-4),$B$3)+1)*E32+INDEX(Symboles!$H$6:$H$101,MOD(23+$C32+(-3),$B$3)+1)*F32+INDEX(Symboles!$H$6:$H$101,MOD(23+$C32+(-2),$B$3)+1)*G32+INDEX(Symboles!$H$6:$H$101,MOD(23+$C32+(-1),$B$3)+1)*H32+INDEX(Symboles!$H$6:$H$101,MOD(23+$C32+(0),$B$3)+1)*I32+INDEX(Symboles!$H$6:$H$101,MOD(23+$C32+(1),$B$3)+1)*J32+INDEX(Symboles!$H$6:$H$101,MOD(23+$C32+(2),$B$3)+1)*K32+INDEX(Symboles!$H$6:$H$101,MOD(23+$C32+(3),$B$3)+1)*L32+INDEX(Symboles!$H$6:$H$101,MOD(23+$C32+(4),$B$3)+1)*M32+IF($B$6=0,0,$B$6*NORMSINV(0.000001+0.999998*RAND())))</f>
        <v/>
      </c>
      <c r="EG32" s="30">
        <f>IF(25&gt;$B$3,99,INDEX(Symboles!$H$6:$H$101,MOD(24+$C32+(-4),$B$3)+1)*E32+INDEX(Symboles!$H$6:$H$101,MOD(24+$C32+(-3),$B$3)+1)*F32+INDEX(Symboles!$H$6:$H$101,MOD(24+$C32+(-2),$B$3)+1)*G32+INDEX(Symboles!$H$6:$H$101,MOD(24+$C32+(-1),$B$3)+1)*H32+INDEX(Symboles!$H$6:$H$101,MOD(24+$C32+(0),$B$3)+1)*I32+INDEX(Symboles!$H$6:$H$101,MOD(24+$C32+(1),$B$3)+1)*J32+INDEX(Symboles!$H$6:$H$101,MOD(24+$C32+(2),$B$3)+1)*K32+INDEX(Symboles!$H$6:$H$101,MOD(24+$C32+(3),$B$3)+1)*L32+INDEX(Symboles!$H$6:$H$101,MOD(24+$C32+(4),$B$3)+1)*M32+IF($B$6=0,0,$B$6*NORMSINV(0.000001+0.999998*RAND())))</f>
        <v/>
      </c>
      <c r="EH32" s="30">
        <f>IF(26&gt;$B$3,99,INDEX(Symboles!$H$6:$H$101,MOD(25+$C32+(-4),$B$3)+1)*E32+INDEX(Symboles!$H$6:$H$101,MOD(25+$C32+(-3),$B$3)+1)*F32+INDEX(Symboles!$H$6:$H$101,MOD(25+$C32+(-2),$B$3)+1)*G32+INDEX(Symboles!$H$6:$H$101,MOD(25+$C32+(-1),$B$3)+1)*H32+INDEX(Symboles!$H$6:$H$101,MOD(25+$C32+(0),$B$3)+1)*I32+INDEX(Symboles!$H$6:$H$101,MOD(25+$C32+(1),$B$3)+1)*J32+INDEX(Symboles!$H$6:$H$101,MOD(25+$C32+(2),$B$3)+1)*K32+INDEX(Symboles!$H$6:$H$101,MOD(25+$C32+(3),$B$3)+1)*L32+INDEX(Symboles!$H$6:$H$101,MOD(25+$C32+(4),$B$3)+1)*M32+IF($B$6=0,0,$B$6*NORMSINV(0.000001+0.999998*RAND())))</f>
        <v/>
      </c>
      <c r="EI32" s="30">
        <f>IF(27&gt;$B$3,99,INDEX(Symboles!$H$6:$H$101,MOD(26+$C32+(-4),$B$3)+1)*E32+INDEX(Symboles!$H$6:$H$101,MOD(26+$C32+(-3),$B$3)+1)*F32+INDEX(Symboles!$H$6:$H$101,MOD(26+$C32+(-2),$B$3)+1)*G32+INDEX(Symboles!$H$6:$H$101,MOD(26+$C32+(-1),$B$3)+1)*H32+INDEX(Symboles!$H$6:$H$101,MOD(26+$C32+(0),$B$3)+1)*I32+INDEX(Symboles!$H$6:$H$101,MOD(26+$C32+(1),$B$3)+1)*J32+INDEX(Symboles!$H$6:$H$101,MOD(26+$C32+(2),$B$3)+1)*K32+INDEX(Symboles!$H$6:$H$101,MOD(26+$C32+(3),$B$3)+1)*L32+INDEX(Symboles!$H$6:$H$101,MOD(26+$C32+(4),$B$3)+1)*M32+IF($B$6=0,0,$B$6*NORMSINV(0.000001+0.999998*RAND())))</f>
        <v/>
      </c>
      <c r="EJ32" s="30">
        <f>IF(28&gt;$B$3,99,INDEX(Symboles!$H$6:$H$101,MOD(27+$C32+(-4),$B$3)+1)*E32+INDEX(Symboles!$H$6:$H$101,MOD(27+$C32+(-3),$B$3)+1)*F32+INDEX(Symboles!$H$6:$H$101,MOD(27+$C32+(-2),$B$3)+1)*G32+INDEX(Symboles!$H$6:$H$101,MOD(27+$C32+(-1),$B$3)+1)*H32+INDEX(Symboles!$H$6:$H$101,MOD(27+$C32+(0),$B$3)+1)*I32+INDEX(Symboles!$H$6:$H$101,MOD(27+$C32+(1),$B$3)+1)*J32+INDEX(Symboles!$H$6:$H$101,MOD(27+$C32+(2),$B$3)+1)*K32+INDEX(Symboles!$H$6:$H$101,MOD(27+$C32+(3),$B$3)+1)*L32+INDEX(Symboles!$H$6:$H$101,MOD(27+$C32+(4),$B$3)+1)*M32+IF($B$6=0,0,$B$6*NORMSINV(0.000001+0.999998*RAND())))</f>
        <v/>
      </c>
      <c r="EK32" s="30">
        <f>IF(29&gt;$B$3,99,INDEX(Symboles!$H$6:$H$101,MOD(28+$C32+(-4),$B$3)+1)*E32+INDEX(Symboles!$H$6:$H$101,MOD(28+$C32+(-3),$B$3)+1)*F32+INDEX(Symboles!$H$6:$H$101,MOD(28+$C32+(-2),$B$3)+1)*G32+INDEX(Symboles!$H$6:$H$101,MOD(28+$C32+(-1),$B$3)+1)*H32+INDEX(Symboles!$H$6:$H$101,MOD(28+$C32+(0),$B$3)+1)*I32+INDEX(Symboles!$H$6:$H$101,MOD(28+$C32+(1),$B$3)+1)*J32+INDEX(Symboles!$H$6:$H$101,MOD(28+$C32+(2),$B$3)+1)*K32+INDEX(Symboles!$H$6:$H$101,MOD(28+$C32+(3),$B$3)+1)*L32+INDEX(Symboles!$H$6:$H$101,MOD(28+$C32+(4),$B$3)+1)*M32+IF($B$6=0,0,$B$6*NORMSINV(0.000001+0.999998*RAND())))</f>
        <v/>
      </c>
      <c r="EL32" s="30">
        <f>IF(30&gt;$B$3,99,INDEX(Symboles!$H$6:$H$101,MOD(29+$C32+(-4),$B$3)+1)*E32+INDEX(Symboles!$H$6:$H$101,MOD(29+$C32+(-3),$B$3)+1)*F32+INDEX(Symboles!$H$6:$H$101,MOD(29+$C32+(-2),$B$3)+1)*G32+INDEX(Symboles!$H$6:$H$101,MOD(29+$C32+(-1),$B$3)+1)*H32+INDEX(Symboles!$H$6:$H$101,MOD(29+$C32+(0),$B$3)+1)*I32+INDEX(Symboles!$H$6:$H$101,MOD(29+$C32+(1),$B$3)+1)*J32+INDEX(Symboles!$H$6:$H$101,MOD(29+$C32+(2),$B$3)+1)*K32+INDEX(Symboles!$H$6:$H$101,MOD(29+$C32+(3),$B$3)+1)*L32+INDEX(Symboles!$H$6:$H$101,MOD(29+$C32+(4),$B$3)+1)*M32+IF($B$6=0,0,$B$6*NORMSINV(0.000001+0.999998*RAND())))</f>
        <v/>
      </c>
      <c r="EM32" s="30">
        <f>IF(31&gt;$B$3,99,INDEX(Symboles!$H$6:$H$101,MOD(30+$C32+(-4),$B$3)+1)*E32+INDEX(Symboles!$H$6:$H$101,MOD(30+$C32+(-3),$B$3)+1)*F32+INDEX(Symboles!$H$6:$H$101,MOD(30+$C32+(-2),$B$3)+1)*G32+INDEX(Symboles!$H$6:$H$101,MOD(30+$C32+(-1),$B$3)+1)*H32+INDEX(Symboles!$H$6:$H$101,MOD(30+$C32+(0),$B$3)+1)*I32+INDEX(Symboles!$H$6:$H$101,MOD(30+$C32+(1),$B$3)+1)*J32+INDEX(Symboles!$H$6:$H$101,MOD(30+$C32+(2),$B$3)+1)*K32+INDEX(Symboles!$H$6:$H$101,MOD(30+$C32+(3),$B$3)+1)*L32+INDEX(Symboles!$H$6:$H$101,MOD(30+$C32+(4),$B$3)+1)*M32+IF($B$6=0,0,$B$6*NORMSINV(0.000001+0.999998*RAND())))</f>
        <v/>
      </c>
      <c r="EN32" s="30">
        <f>IF(32&gt;$B$3,99,INDEX(Symboles!$H$6:$H$101,MOD(31+$C32+(-4),$B$3)+1)*E32+INDEX(Symboles!$H$6:$H$101,MOD(31+$C32+(-3),$B$3)+1)*F32+INDEX(Symboles!$H$6:$H$101,MOD(31+$C32+(-2),$B$3)+1)*G32+INDEX(Symboles!$H$6:$H$101,MOD(31+$C32+(-1),$B$3)+1)*H32+INDEX(Symboles!$H$6:$H$101,MOD(31+$C32+(0),$B$3)+1)*I32+INDEX(Symboles!$H$6:$H$101,MOD(31+$C32+(1),$B$3)+1)*J32+INDEX(Symboles!$H$6:$H$101,MOD(31+$C32+(2),$B$3)+1)*K32+INDEX(Symboles!$H$6:$H$101,MOD(31+$C32+(3),$B$3)+1)*L32+INDEX(Symboles!$H$6:$H$101,MOD(31+$C32+(4),$B$3)+1)*M32+IF($B$6=0,0,$B$6*NORMSINV(0.000001+0.999998*RAND())))</f>
        <v/>
      </c>
      <c r="EO32" s="30">
        <f>IF(33&gt;$B$3,99,INDEX(Symboles!$H$6:$H$101,MOD(32+$C32+(-4),$B$3)+1)*E32+INDEX(Symboles!$H$6:$H$101,MOD(32+$C32+(-3),$B$3)+1)*F32+INDEX(Symboles!$H$6:$H$101,MOD(32+$C32+(-2),$B$3)+1)*G32+INDEX(Symboles!$H$6:$H$101,MOD(32+$C32+(-1),$B$3)+1)*H32+INDEX(Symboles!$H$6:$H$101,MOD(32+$C32+(0),$B$3)+1)*I32+INDEX(Symboles!$H$6:$H$101,MOD(32+$C32+(1),$B$3)+1)*J32+INDEX(Symboles!$H$6:$H$101,MOD(32+$C32+(2),$B$3)+1)*K32+INDEX(Symboles!$H$6:$H$101,MOD(32+$C32+(3),$B$3)+1)*L32+INDEX(Symboles!$H$6:$H$101,MOD(32+$C32+(4),$B$3)+1)*M32+IF($B$6=0,0,$B$6*NORMSINV(0.000001+0.999998*RAND())))</f>
        <v/>
      </c>
      <c r="EP32" s="30">
        <f>IF(34&gt;$B$3,99,INDEX(Symboles!$H$6:$H$101,MOD(33+$C32+(-4),$B$3)+1)*E32+INDEX(Symboles!$H$6:$H$101,MOD(33+$C32+(-3),$B$3)+1)*F32+INDEX(Symboles!$H$6:$H$101,MOD(33+$C32+(-2),$B$3)+1)*G32+INDEX(Symboles!$H$6:$H$101,MOD(33+$C32+(-1),$B$3)+1)*H32+INDEX(Symboles!$H$6:$H$101,MOD(33+$C32+(0),$B$3)+1)*I32+INDEX(Symboles!$H$6:$H$101,MOD(33+$C32+(1),$B$3)+1)*J32+INDEX(Symboles!$H$6:$H$101,MOD(33+$C32+(2),$B$3)+1)*K32+INDEX(Symboles!$H$6:$H$101,MOD(33+$C32+(3),$B$3)+1)*L32+INDEX(Symboles!$H$6:$H$101,MOD(33+$C32+(4),$B$3)+1)*M32+IF($B$6=0,0,$B$6*NORMSINV(0.000001+0.999998*RAND())))</f>
        <v/>
      </c>
      <c r="EQ32" s="30">
        <f>IF(35&gt;$B$3,99,INDEX(Symboles!$H$6:$H$101,MOD(34+$C32+(-4),$B$3)+1)*E32+INDEX(Symboles!$H$6:$H$101,MOD(34+$C32+(-3),$B$3)+1)*F32+INDEX(Symboles!$H$6:$H$101,MOD(34+$C32+(-2),$B$3)+1)*G32+INDEX(Symboles!$H$6:$H$101,MOD(34+$C32+(-1),$B$3)+1)*H32+INDEX(Symboles!$H$6:$H$101,MOD(34+$C32+(0),$B$3)+1)*I32+INDEX(Symboles!$H$6:$H$101,MOD(34+$C32+(1),$B$3)+1)*J32+INDEX(Symboles!$H$6:$H$101,MOD(34+$C32+(2),$B$3)+1)*K32+INDEX(Symboles!$H$6:$H$101,MOD(34+$C32+(3),$B$3)+1)*L32+INDEX(Symboles!$H$6:$H$101,MOD(34+$C32+(4),$B$3)+1)*M32+IF($B$6=0,0,$B$6*NORMSINV(0.000001+0.999998*RAND())))</f>
        <v/>
      </c>
      <c r="ER32" s="30">
        <f>IF(36&gt;$B$3,99,INDEX(Symboles!$H$6:$H$101,MOD(35+$C32+(-4),$B$3)+1)*E32+INDEX(Symboles!$H$6:$H$101,MOD(35+$C32+(-3),$B$3)+1)*F32+INDEX(Symboles!$H$6:$H$101,MOD(35+$C32+(-2),$B$3)+1)*G32+INDEX(Symboles!$H$6:$H$101,MOD(35+$C32+(-1),$B$3)+1)*H32+INDEX(Symboles!$H$6:$H$101,MOD(35+$C32+(0),$B$3)+1)*I32+INDEX(Symboles!$H$6:$H$101,MOD(35+$C32+(1),$B$3)+1)*J32+INDEX(Symboles!$H$6:$H$101,MOD(35+$C32+(2),$B$3)+1)*K32+INDEX(Symboles!$H$6:$H$101,MOD(35+$C32+(3),$B$3)+1)*L32+INDEX(Symboles!$H$6:$H$101,MOD(35+$C32+(4),$B$3)+1)*M32+IF($B$6=0,0,$B$6*NORMSINV(0.000001+0.999998*RAND())))</f>
        <v/>
      </c>
      <c r="ES32" s="30">
        <f>IF(37&gt;$B$3,99,INDEX(Symboles!$H$6:$H$101,MOD(36+$C32+(-4),$B$3)+1)*E32+INDEX(Symboles!$H$6:$H$101,MOD(36+$C32+(-3),$B$3)+1)*F32+INDEX(Symboles!$H$6:$H$101,MOD(36+$C32+(-2),$B$3)+1)*G32+INDEX(Symboles!$H$6:$H$101,MOD(36+$C32+(-1),$B$3)+1)*H32+INDEX(Symboles!$H$6:$H$101,MOD(36+$C32+(0),$B$3)+1)*I32+INDEX(Symboles!$H$6:$H$101,MOD(36+$C32+(1),$B$3)+1)*J32+INDEX(Symboles!$H$6:$H$101,MOD(36+$C32+(2),$B$3)+1)*K32+INDEX(Symboles!$H$6:$H$101,MOD(36+$C32+(3),$B$3)+1)*L32+INDEX(Symboles!$H$6:$H$101,MOD(36+$C32+(4),$B$3)+1)*M32+IF($B$6=0,0,$B$6*NORMSINV(0.000001+0.999998*RAND())))</f>
        <v/>
      </c>
      <c r="ET32" s="30">
        <f>IF(38&gt;$B$3,99,INDEX(Symboles!$H$6:$H$101,MOD(37+$C32+(-4),$B$3)+1)*E32+INDEX(Symboles!$H$6:$H$101,MOD(37+$C32+(-3),$B$3)+1)*F32+INDEX(Symboles!$H$6:$H$101,MOD(37+$C32+(-2),$B$3)+1)*G32+INDEX(Symboles!$H$6:$H$101,MOD(37+$C32+(-1),$B$3)+1)*H32+INDEX(Symboles!$H$6:$H$101,MOD(37+$C32+(0),$B$3)+1)*I32+INDEX(Symboles!$H$6:$H$101,MOD(37+$C32+(1),$B$3)+1)*J32+INDEX(Symboles!$H$6:$H$101,MOD(37+$C32+(2),$B$3)+1)*K32+INDEX(Symboles!$H$6:$H$101,MOD(37+$C32+(3),$B$3)+1)*L32+INDEX(Symboles!$H$6:$H$101,MOD(37+$C32+(4),$B$3)+1)*M32+IF($B$6=0,0,$B$6*NORMSINV(0.000001+0.999998*RAND())))</f>
        <v/>
      </c>
      <c r="EU32" s="30">
        <f>IF(39&gt;$B$3,99,INDEX(Symboles!$H$6:$H$101,MOD(38+$C32+(-4),$B$3)+1)*E32+INDEX(Symboles!$H$6:$H$101,MOD(38+$C32+(-3),$B$3)+1)*F32+INDEX(Symboles!$H$6:$H$101,MOD(38+$C32+(-2),$B$3)+1)*G32+INDEX(Symboles!$H$6:$H$101,MOD(38+$C32+(-1),$B$3)+1)*H32+INDEX(Symboles!$H$6:$H$101,MOD(38+$C32+(0),$B$3)+1)*I32+INDEX(Symboles!$H$6:$H$101,MOD(38+$C32+(1),$B$3)+1)*J32+INDEX(Symboles!$H$6:$H$101,MOD(38+$C32+(2),$B$3)+1)*K32+INDEX(Symboles!$H$6:$H$101,MOD(38+$C32+(3),$B$3)+1)*L32+INDEX(Symboles!$H$6:$H$101,MOD(38+$C32+(4),$B$3)+1)*M32+IF($B$6=0,0,$B$6*NORMSINV(0.000001+0.999998*RAND())))</f>
        <v/>
      </c>
      <c r="EV32" s="30">
        <f>IF(40&gt;$B$3,99,INDEX(Symboles!$H$6:$H$101,MOD(39+$C32+(-4),$B$3)+1)*E32+INDEX(Symboles!$H$6:$H$101,MOD(39+$C32+(-3),$B$3)+1)*F32+INDEX(Symboles!$H$6:$H$101,MOD(39+$C32+(-2),$B$3)+1)*G32+INDEX(Symboles!$H$6:$H$101,MOD(39+$C32+(-1),$B$3)+1)*H32+INDEX(Symboles!$H$6:$H$101,MOD(39+$C32+(0),$B$3)+1)*I32+INDEX(Symboles!$H$6:$H$101,MOD(39+$C32+(1),$B$3)+1)*J32+INDEX(Symboles!$H$6:$H$101,MOD(39+$C32+(2),$B$3)+1)*K32+INDEX(Symboles!$H$6:$H$101,MOD(39+$C32+(3),$B$3)+1)*L32+INDEX(Symboles!$H$6:$H$101,MOD(39+$C32+(4),$B$3)+1)*M32+IF($B$6=0,0,$B$6*NORMSINV(0.000001+0.999998*RAND())))</f>
        <v/>
      </c>
      <c r="EW32" s="30">
        <f>IF(41&gt;$B$3,99,INDEX(Symboles!$H$6:$H$101,MOD(40+$C32+(-4),$B$3)+1)*E32+INDEX(Symboles!$H$6:$H$101,MOD(40+$C32+(-3),$B$3)+1)*F32+INDEX(Symboles!$H$6:$H$101,MOD(40+$C32+(-2),$B$3)+1)*G32+INDEX(Symboles!$H$6:$H$101,MOD(40+$C32+(-1),$B$3)+1)*H32+INDEX(Symboles!$H$6:$H$101,MOD(40+$C32+(0),$B$3)+1)*I32+INDEX(Symboles!$H$6:$H$101,MOD(40+$C32+(1),$B$3)+1)*J32+INDEX(Symboles!$H$6:$H$101,MOD(40+$C32+(2),$B$3)+1)*K32+INDEX(Symboles!$H$6:$H$101,MOD(40+$C32+(3),$B$3)+1)*L32+INDEX(Symboles!$H$6:$H$101,MOD(40+$C32+(4),$B$3)+1)*M32+IF($B$6=0,0,$B$6*NORMSINV(0.000001+0.999998*RAND())))</f>
        <v/>
      </c>
      <c r="EX32" s="30">
        <f>IF(42&gt;$B$3,99,INDEX(Symboles!$H$6:$H$101,MOD(41+$C32+(-4),$B$3)+1)*E32+INDEX(Symboles!$H$6:$H$101,MOD(41+$C32+(-3),$B$3)+1)*F32+INDEX(Symboles!$H$6:$H$101,MOD(41+$C32+(-2),$B$3)+1)*G32+INDEX(Symboles!$H$6:$H$101,MOD(41+$C32+(-1),$B$3)+1)*H32+INDEX(Symboles!$H$6:$H$101,MOD(41+$C32+(0),$B$3)+1)*I32+INDEX(Symboles!$H$6:$H$101,MOD(41+$C32+(1),$B$3)+1)*J32+INDEX(Symboles!$H$6:$H$101,MOD(41+$C32+(2),$B$3)+1)*K32+INDEX(Symboles!$H$6:$H$101,MOD(41+$C32+(3),$B$3)+1)*L32+INDEX(Symboles!$H$6:$H$101,MOD(41+$C32+(4),$B$3)+1)*M32+IF($B$6=0,0,$B$6*NORMSINV(0.000001+0.999998*RAND())))</f>
        <v/>
      </c>
      <c r="EY32" s="30">
        <f>IF(43&gt;$B$3,99,INDEX(Symboles!$H$6:$H$101,MOD(42+$C32+(-4),$B$3)+1)*E32+INDEX(Symboles!$H$6:$H$101,MOD(42+$C32+(-3),$B$3)+1)*F32+INDEX(Symboles!$H$6:$H$101,MOD(42+$C32+(-2),$B$3)+1)*G32+INDEX(Symboles!$H$6:$H$101,MOD(42+$C32+(-1),$B$3)+1)*H32+INDEX(Symboles!$H$6:$H$101,MOD(42+$C32+(0),$B$3)+1)*I32+INDEX(Symboles!$H$6:$H$101,MOD(42+$C32+(1),$B$3)+1)*J32+INDEX(Symboles!$H$6:$H$101,MOD(42+$C32+(2),$B$3)+1)*K32+INDEX(Symboles!$H$6:$H$101,MOD(42+$C32+(3),$B$3)+1)*L32+INDEX(Symboles!$H$6:$H$101,MOD(42+$C32+(4),$B$3)+1)*M32+IF($B$6=0,0,$B$6*NORMSINV(0.000001+0.999998*RAND())))</f>
        <v/>
      </c>
      <c r="EZ32" s="30">
        <f>IF(44&gt;$B$3,99,INDEX(Symboles!$H$6:$H$101,MOD(43+$C32+(-4),$B$3)+1)*E32+INDEX(Symboles!$H$6:$H$101,MOD(43+$C32+(-3),$B$3)+1)*F32+INDEX(Symboles!$H$6:$H$101,MOD(43+$C32+(-2),$B$3)+1)*G32+INDEX(Symboles!$H$6:$H$101,MOD(43+$C32+(-1),$B$3)+1)*H32+INDEX(Symboles!$H$6:$H$101,MOD(43+$C32+(0),$B$3)+1)*I32+INDEX(Symboles!$H$6:$H$101,MOD(43+$C32+(1),$B$3)+1)*J32+INDEX(Symboles!$H$6:$H$101,MOD(43+$C32+(2),$B$3)+1)*K32+INDEX(Symboles!$H$6:$H$101,MOD(43+$C32+(3),$B$3)+1)*L32+INDEX(Symboles!$H$6:$H$101,MOD(43+$C32+(4),$B$3)+1)*M32+IF($B$6=0,0,$B$6*NORMSINV(0.000001+0.999998*RAND())))</f>
        <v/>
      </c>
      <c r="FA32" s="30">
        <f>IF(45&gt;$B$3,99,INDEX(Symboles!$H$6:$H$101,MOD(44+$C32+(-4),$B$3)+1)*E32+INDEX(Symboles!$H$6:$H$101,MOD(44+$C32+(-3),$B$3)+1)*F32+INDEX(Symboles!$H$6:$H$101,MOD(44+$C32+(-2),$B$3)+1)*G32+INDEX(Symboles!$H$6:$H$101,MOD(44+$C32+(-1),$B$3)+1)*H32+INDEX(Symboles!$H$6:$H$101,MOD(44+$C32+(0),$B$3)+1)*I32+INDEX(Symboles!$H$6:$H$101,MOD(44+$C32+(1),$B$3)+1)*J32+INDEX(Symboles!$H$6:$H$101,MOD(44+$C32+(2),$B$3)+1)*K32+INDEX(Symboles!$H$6:$H$101,MOD(44+$C32+(3),$B$3)+1)*L32+INDEX(Symboles!$H$6:$H$101,MOD(44+$C32+(4),$B$3)+1)*M32+IF($B$6=0,0,$B$6*NORMSINV(0.000001+0.999998*RAND())))</f>
        <v/>
      </c>
      <c r="FB32" s="30">
        <f>IF(46&gt;$B$3,99,INDEX(Symboles!$H$6:$H$101,MOD(45+$C32+(-4),$B$3)+1)*E32+INDEX(Symboles!$H$6:$H$101,MOD(45+$C32+(-3),$B$3)+1)*F32+INDEX(Symboles!$H$6:$H$101,MOD(45+$C32+(-2),$B$3)+1)*G32+INDEX(Symboles!$H$6:$H$101,MOD(45+$C32+(-1),$B$3)+1)*H32+INDEX(Symboles!$H$6:$H$101,MOD(45+$C32+(0),$B$3)+1)*I32+INDEX(Symboles!$H$6:$H$101,MOD(45+$C32+(1),$B$3)+1)*J32+INDEX(Symboles!$H$6:$H$101,MOD(45+$C32+(2),$B$3)+1)*K32+INDEX(Symboles!$H$6:$H$101,MOD(45+$C32+(3),$B$3)+1)*L32+INDEX(Symboles!$H$6:$H$101,MOD(45+$C32+(4),$B$3)+1)*M32+IF($B$6=0,0,$B$6*NORMSINV(0.000001+0.999998*RAND())))</f>
        <v/>
      </c>
      <c r="FC32" s="30">
        <f>IF(47&gt;$B$3,99,INDEX(Symboles!$H$6:$H$101,MOD(46+$C32+(-4),$B$3)+1)*E32+INDEX(Symboles!$H$6:$H$101,MOD(46+$C32+(-3),$B$3)+1)*F32+INDEX(Symboles!$H$6:$H$101,MOD(46+$C32+(-2),$B$3)+1)*G32+INDEX(Symboles!$H$6:$H$101,MOD(46+$C32+(-1),$B$3)+1)*H32+INDEX(Symboles!$H$6:$H$101,MOD(46+$C32+(0),$B$3)+1)*I32+INDEX(Symboles!$H$6:$H$101,MOD(46+$C32+(1),$B$3)+1)*J32+INDEX(Symboles!$H$6:$H$101,MOD(46+$C32+(2),$B$3)+1)*K32+INDEX(Symboles!$H$6:$H$101,MOD(46+$C32+(3),$B$3)+1)*L32+INDEX(Symboles!$H$6:$H$101,MOD(46+$C32+(4),$B$3)+1)*M32+IF($B$6=0,0,$B$6*NORMSINV(0.000001+0.999998*RAND())))</f>
        <v/>
      </c>
      <c r="FD32" s="30">
        <f>IF(48&gt;$B$3,99,INDEX(Symboles!$H$6:$H$101,MOD(47+$C32+(-4),$B$3)+1)*E32+INDEX(Symboles!$H$6:$H$101,MOD(47+$C32+(-3),$B$3)+1)*F32+INDEX(Symboles!$H$6:$H$101,MOD(47+$C32+(-2),$B$3)+1)*G32+INDEX(Symboles!$H$6:$H$101,MOD(47+$C32+(-1),$B$3)+1)*H32+INDEX(Symboles!$H$6:$H$101,MOD(47+$C32+(0),$B$3)+1)*I32+INDEX(Symboles!$H$6:$H$101,MOD(47+$C32+(1),$B$3)+1)*J32+INDEX(Symboles!$H$6:$H$101,MOD(47+$C32+(2),$B$3)+1)*K32+INDEX(Symboles!$H$6:$H$101,MOD(47+$C32+(3),$B$3)+1)*L32+INDEX(Symboles!$H$6:$H$101,MOD(47+$C32+(4),$B$3)+1)*M32+IF($B$6=0,0,$B$6*NORMSINV(0.000001+0.999998*RAND())))</f>
        <v/>
      </c>
      <c r="FE32" s="30">
        <f>IF(49&gt;$B$3,99,INDEX(Symboles!$H$6:$H$101,MOD(48+$C32+(-4),$B$3)+1)*E32+INDEX(Symboles!$H$6:$H$101,MOD(48+$C32+(-3),$B$3)+1)*F32+INDEX(Symboles!$H$6:$H$101,MOD(48+$C32+(-2),$B$3)+1)*G32+INDEX(Symboles!$H$6:$H$101,MOD(48+$C32+(-1),$B$3)+1)*H32+INDEX(Symboles!$H$6:$H$101,MOD(48+$C32+(0),$B$3)+1)*I32+INDEX(Symboles!$H$6:$H$101,MOD(48+$C32+(1),$B$3)+1)*J32+INDEX(Symboles!$H$6:$H$101,MOD(48+$C32+(2),$B$3)+1)*K32+INDEX(Symboles!$H$6:$H$101,MOD(48+$C32+(3),$B$3)+1)*L32+INDEX(Symboles!$H$6:$H$101,MOD(48+$C32+(4),$B$3)+1)*M32+IF($B$6=0,0,$B$6*NORMSINV(0.000001+0.999998*RAND())))</f>
        <v/>
      </c>
      <c r="FF32" s="30">
        <f>IF(50&gt;$B$3,99,INDEX(Symboles!$H$6:$H$101,MOD(49+$C32+(-4),$B$3)+1)*E32+INDEX(Symboles!$H$6:$H$101,MOD(49+$C32+(-3),$B$3)+1)*F32+INDEX(Symboles!$H$6:$H$101,MOD(49+$C32+(-2),$B$3)+1)*G32+INDEX(Symboles!$H$6:$H$101,MOD(49+$C32+(-1),$B$3)+1)*H32+INDEX(Symboles!$H$6:$H$101,MOD(49+$C32+(0),$B$3)+1)*I32+INDEX(Symboles!$H$6:$H$101,MOD(49+$C32+(1),$B$3)+1)*J32+INDEX(Symboles!$H$6:$H$101,MOD(49+$C32+(2),$B$3)+1)*K32+INDEX(Symboles!$H$6:$H$101,MOD(49+$C32+(3),$B$3)+1)*L32+INDEX(Symboles!$H$6:$H$101,MOD(49+$C32+(4),$B$3)+1)*M32+IF($B$6=0,0,$B$6*NORMSINV(0.000001+0.999998*RAND())))</f>
        <v/>
      </c>
      <c r="FG32" s="30">
        <f>IF(51&gt;$B$3,99,INDEX(Symboles!$H$6:$H$101,MOD(50+$C32+(-4),$B$3)+1)*E32+INDEX(Symboles!$H$6:$H$101,MOD(50+$C32+(-3),$B$3)+1)*F32+INDEX(Symboles!$H$6:$H$101,MOD(50+$C32+(-2),$B$3)+1)*G32+INDEX(Symboles!$H$6:$H$101,MOD(50+$C32+(-1),$B$3)+1)*H32+INDEX(Symboles!$H$6:$H$101,MOD(50+$C32+(0),$B$3)+1)*I32+INDEX(Symboles!$H$6:$H$101,MOD(50+$C32+(1),$B$3)+1)*J32+INDEX(Symboles!$H$6:$H$101,MOD(50+$C32+(2),$B$3)+1)*K32+INDEX(Symboles!$H$6:$H$101,MOD(50+$C32+(3),$B$3)+1)*L32+INDEX(Symboles!$H$6:$H$101,MOD(50+$C32+(4),$B$3)+1)*M32+IF($B$6=0,0,$B$6*NORMSINV(0.000001+0.999998*RAND())))</f>
        <v/>
      </c>
      <c r="FH32" s="30">
        <f>IF(52&gt;$B$3,99,INDEX(Symboles!$H$6:$H$101,MOD(51+$C32+(-4),$B$3)+1)*E32+INDEX(Symboles!$H$6:$H$101,MOD(51+$C32+(-3),$B$3)+1)*F32+INDEX(Symboles!$H$6:$H$101,MOD(51+$C32+(-2),$B$3)+1)*G32+INDEX(Symboles!$H$6:$H$101,MOD(51+$C32+(-1),$B$3)+1)*H32+INDEX(Symboles!$H$6:$H$101,MOD(51+$C32+(0),$B$3)+1)*I32+INDEX(Symboles!$H$6:$H$101,MOD(51+$C32+(1),$B$3)+1)*J32+INDEX(Symboles!$H$6:$H$101,MOD(51+$C32+(2),$B$3)+1)*K32+INDEX(Symboles!$H$6:$H$101,MOD(51+$C32+(3),$B$3)+1)*L32+INDEX(Symboles!$H$6:$H$101,MOD(51+$C32+(4),$B$3)+1)*M32+IF($B$6=0,0,$B$6*NORMSINV(0.000001+0.999998*RAND())))</f>
        <v/>
      </c>
      <c r="FI32" s="30">
        <f>IF(53&gt;$B$3,99,INDEX(Symboles!$H$6:$H$101,MOD(52+$C32+(-4),$B$3)+1)*E32+INDEX(Symboles!$H$6:$H$101,MOD(52+$C32+(-3),$B$3)+1)*F32+INDEX(Symboles!$H$6:$H$101,MOD(52+$C32+(-2),$B$3)+1)*G32+INDEX(Symboles!$H$6:$H$101,MOD(52+$C32+(-1),$B$3)+1)*H32+INDEX(Symboles!$H$6:$H$101,MOD(52+$C32+(0),$B$3)+1)*I32+INDEX(Symboles!$H$6:$H$101,MOD(52+$C32+(1),$B$3)+1)*J32+INDEX(Symboles!$H$6:$H$101,MOD(52+$C32+(2),$B$3)+1)*K32+INDEX(Symboles!$H$6:$H$101,MOD(52+$C32+(3),$B$3)+1)*L32+INDEX(Symboles!$H$6:$H$101,MOD(52+$C32+(4),$B$3)+1)*M32+IF($B$6=0,0,$B$6*NORMSINV(0.000001+0.999998*RAND())))</f>
        <v/>
      </c>
      <c r="FJ32" s="30">
        <f>IF(54&gt;$B$3,99,INDEX(Symboles!$H$6:$H$101,MOD(53+$C32+(-4),$B$3)+1)*E32+INDEX(Symboles!$H$6:$H$101,MOD(53+$C32+(-3),$B$3)+1)*F32+INDEX(Symboles!$H$6:$H$101,MOD(53+$C32+(-2),$B$3)+1)*G32+INDEX(Symboles!$H$6:$H$101,MOD(53+$C32+(-1),$B$3)+1)*H32+INDEX(Symboles!$H$6:$H$101,MOD(53+$C32+(0),$B$3)+1)*I32+INDEX(Symboles!$H$6:$H$101,MOD(53+$C32+(1),$B$3)+1)*J32+INDEX(Symboles!$H$6:$H$101,MOD(53+$C32+(2),$B$3)+1)*K32+INDEX(Symboles!$H$6:$H$101,MOD(53+$C32+(3),$B$3)+1)*L32+INDEX(Symboles!$H$6:$H$101,MOD(53+$C32+(4),$B$3)+1)*M32+IF($B$6=0,0,$B$6*NORMSINV(0.000001+0.999998*RAND())))</f>
        <v/>
      </c>
      <c r="FK32" s="30">
        <f>IF(55&gt;$B$3,99,INDEX(Symboles!$H$6:$H$101,MOD(54+$C32+(-4),$B$3)+1)*E32+INDEX(Symboles!$H$6:$H$101,MOD(54+$C32+(-3),$B$3)+1)*F32+INDEX(Symboles!$H$6:$H$101,MOD(54+$C32+(-2),$B$3)+1)*G32+INDEX(Symboles!$H$6:$H$101,MOD(54+$C32+(-1),$B$3)+1)*H32+INDEX(Symboles!$H$6:$H$101,MOD(54+$C32+(0),$B$3)+1)*I32+INDEX(Symboles!$H$6:$H$101,MOD(54+$C32+(1),$B$3)+1)*J32+INDEX(Symboles!$H$6:$H$101,MOD(54+$C32+(2),$B$3)+1)*K32+INDEX(Symboles!$H$6:$H$101,MOD(54+$C32+(3),$B$3)+1)*L32+INDEX(Symboles!$H$6:$H$101,MOD(54+$C32+(4),$B$3)+1)*M32+IF($B$6=0,0,$B$6*NORMSINV(0.000001+0.999998*RAND())))</f>
        <v/>
      </c>
      <c r="FL32" s="30">
        <f>IF(56&gt;$B$3,99,INDEX(Symboles!$H$6:$H$101,MOD(55+$C32+(-4),$B$3)+1)*E32+INDEX(Symboles!$H$6:$H$101,MOD(55+$C32+(-3),$B$3)+1)*F32+INDEX(Symboles!$H$6:$H$101,MOD(55+$C32+(-2),$B$3)+1)*G32+INDEX(Symboles!$H$6:$H$101,MOD(55+$C32+(-1),$B$3)+1)*H32+INDEX(Symboles!$H$6:$H$101,MOD(55+$C32+(0),$B$3)+1)*I32+INDEX(Symboles!$H$6:$H$101,MOD(55+$C32+(1),$B$3)+1)*J32+INDEX(Symboles!$H$6:$H$101,MOD(55+$C32+(2),$B$3)+1)*K32+INDEX(Symboles!$H$6:$H$101,MOD(55+$C32+(3),$B$3)+1)*L32+INDEX(Symboles!$H$6:$H$101,MOD(55+$C32+(4),$B$3)+1)*M32+IF($B$6=0,0,$B$6*NORMSINV(0.000001+0.999998*RAND())))</f>
        <v/>
      </c>
      <c r="FM32" s="30">
        <f>IF(57&gt;$B$3,99,INDEX(Symboles!$H$6:$H$101,MOD(56+$C32+(-4),$B$3)+1)*E32+INDEX(Symboles!$H$6:$H$101,MOD(56+$C32+(-3),$B$3)+1)*F32+INDEX(Symboles!$H$6:$H$101,MOD(56+$C32+(-2),$B$3)+1)*G32+INDEX(Symboles!$H$6:$H$101,MOD(56+$C32+(-1),$B$3)+1)*H32+INDEX(Symboles!$H$6:$H$101,MOD(56+$C32+(0),$B$3)+1)*I32+INDEX(Symboles!$H$6:$H$101,MOD(56+$C32+(1),$B$3)+1)*J32+INDEX(Symboles!$H$6:$H$101,MOD(56+$C32+(2),$B$3)+1)*K32+INDEX(Symboles!$H$6:$H$101,MOD(56+$C32+(3),$B$3)+1)*L32+INDEX(Symboles!$H$6:$H$101,MOD(56+$C32+(4),$B$3)+1)*M32+IF($B$6=0,0,$B$6*NORMSINV(0.000001+0.999998*RAND())))</f>
        <v/>
      </c>
      <c r="FN32" s="30">
        <f>IF(58&gt;$B$3,99,INDEX(Symboles!$H$6:$H$101,MOD(57+$C32+(-4),$B$3)+1)*E32+INDEX(Symboles!$H$6:$H$101,MOD(57+$C32+(-3),$B$3)+1)*F32+INDEX(Symboles!$H$6:$H$101,MOD(57+$C32+(-2),$B$3)+1)*G32+INDEX(Symboles!$H$6:$H$101,MOD(57+$C32+(-1),$B$3)+1)*H32+INDEX(Symboles!$H$6:$H$101,MOD(57+$C32+(0),$B$3)+1)*I32+INDEX(Symboles!$H$6:$H$101,MOD(57+$C32+(1),$B$3)+1)*J32+INDEX(Symboles!$H$6:$H$101,MOD(57+$C32+(2),$B$3)+1)*K32+INDEX(Symboles!$H$6:$H$101,MOD(57+$C32+(3),$B$3)+1)*L32+INDEX(Symboles!$H$6:$H$101,MOD(57+$C32+(4),$B$3)+1)*M32+IF($B$6=0,0,$B$6*NORMSINV(0.000001+0.999998*RAND())))</f>
        <v/>
      </c>
      <c r="FO32" s="30">
        <f>IF(59&gt;$B$3,99,INDEX(Symboles!$H$6:$H$101,MOD(58+$C32+(-4),$B$3)+1)*E32+INDEX(Symboles!$H$6:$H$101,MOD(58+$C32+(-3),$B$3)+1)*F32+INDEX(Symboles!$H$6:$H$101,MOD(58+$C32+(-2),$B$3)+1)*G32+INDEX(Symboles!$H$6:$H$101,MOD(58+$C32+(-1),$B$3)+1)*H32+INDEX(Symboles!$H$6:$H$101,MOD(58+$C32+(0),$B$3)+1)*I32+INDEX(Symboles!$H$6:$H$101,MOD(58+$C32+(1),$B$3)+1)*J32+INDEX(Symboles!$H$6:$H$101,MOD(58+$C32+(2),$B$3)+1)*K32+INDEX(Symboles!$H$6:$H$101,MOD(58+$C32+(3),$B$3)+1)*L32+INDEX(Symboles!$H$6:$H$101,MOD(58+$C32+(4),$B$3)+1)*M32+IF($B$6=0,0,$B$6*NORMSINV(0.000001+0.999998*RAND())))</f>
        <v/>
      </c>
      <c r="FP32" s="30">
        <f>IF(60&gt;$B$3,99,INDEX(Symboles!$H$6:$H$101,MOD(59+$C32+(-4),$B$3)+1)*E32+INDEX(Symboles!$H$6:$H$101,MOD(59+$C32+(-3),$B$3)+1)*F32+INDEX(Symboles!$H$6:$H$101,MOD(59+$C32+(-2),$B$3)+1)*G32+INDEX(Symboles!$H$6:$H$101,MOD(59+$C32+(-1),$B$3)+1)*H32+INDEX(Symboles!$H$6:$H$101,MOD(59+$C32+(0),$B$3)+1)*I32+INDEX(Symboles!$H$6:$H$101,MOD(59+$C32+(1),$B$3)+1)*J32+INDEX(Symboles!$H$6:$H$101,MOD(59+$C32+(2),$B$3)+1)*K32+INDEX(Symboles!$H$6:$H$101,MOD(59+$C32+(3),$B$3)+1)*L32+INDEX(Symboles!$H$6:$H$101,MOD(59+$C32+(4),$B$3)+1)*M32+IF($B$6=0,0,$B$6*NORMSINV(0.000001+0.999998*RAND())))</f>
        <v/>
      </c>
      <c r="FQ32" s="30">
        <f>IF(61&gt;$B$3,99,INDEX(Symboles!$H$6:$H$101,MOD(60+$C32+(-4),$B$3)+1)*E32+INDEX(Symboles!$H$6:$H$101,MOD(60+$C32+(-3),$B$3)+1)*F32+INDEX(Symboles!$H$6:$H$101,MOD(60+$C32+(-2),$B$3)+1)*G32+INDEX(Symboles!$H$6:$H$101,MOD(60+$C32+(-1),$B$3)+1)*H32+INDEX(Symboles!$H$6:$H$101,MOD(60+$C32+(0),$B$3)+1)*I32+INDEX(Symboles!$H$6:$H$101,MOD(60+$C32+(1),$B$3)+1)*J32+INDEX(Symboles!$H$6:$H$101,MOD(60+$C32+(2),$B$3)+1)*K32+INDEX(Symboles!$H$6:$H$101,MOD(60+$C32+(3),$B$3)+1)*L32+INDEX(Symboles!$H$6:$H$101,MOD(60+$C32+(4),$B$3)+1)*M32+IF($B$6=0,0,$B$6*NORMSINV(0.000001+0.999998*RAND())))</f>
        <v/>
      </c>
      <c r="FR32" s="30">
        <f>IF(62&gt;$B$3,99,INDEX(Symboles!$H$6:$H$101,MOD(61+$C32+(-4),$B$3)+1)*E32+INDEX(Symboles!$H$6:$H$101,MOD(61+$C32+(-3),$B$3)+1)*F32+INDEX(Symboles!$H$6:$H$101,MOD(61+$C32+(-2),$B$3)+1)*G32+INDEX(Symboles!$H$6:$H$101,MOD(61+$C32+(-1),$B$3)+1)*H32+INDEX(Symboles!$H$6:$H$101,MOD(61+$C32+(0),$B$3)+1)*I32+INDEX(Symboles!$H$6:$H$101,MOD(61+$C32+(1),$B$3)+1)*J32+INDEX(Symboles!$H$6:$H$101,MOD(61+$C32+(2),$B$3)+1)*K32+INDEX(Symboles!$H$6:$H$101,MOD(61+$C32+(3),$B$3)+1)*L32+INDEX(Symboles!$H$6:$H$101,MOD(61+$C32+(4),$B$3)+1)*M32+IF($B$6=0,0,$B$6*NORMSINV(0.000001+0.999998*RAND())))</f>
        <v/>
      </c>
      <c r="FS32" s="30">
        <f>IF(63&gt;$B$3,99,INDEX(Symboles!$H$6:$H$101,MOD(62+$C32+(-4),$B$3)+1)*E32+INDEX(Symboles!$H$6:$H$101,MOD(62+$C32+(-3),$B$3)+1)*F32+INDEX(Symboles!$H$6:$H$101,MOD(62+$C32+(-2),$B$3)+1)*G32+INDEX(Symboles!$H$6:$H$101,MOD(62+$C32+(-1),$B$3)+1)*H32+INDEX(Symboles!$H$6:$H$101,MOD(62+$C32+(0),$B$3)+1)*I32+INDEX(Symboles!$H$6:$H$101,MOD(62+$C32+(1),$B$3)+1)*J32+INDEX(Symboles!$H$6:$H$101,MOD(62+$C32+(2),$B$3)+1)*K32+INDEX(Symboles!$H$6:$H$101,MOD(62+$C32+(3),$B$3)+1)*L32+INDEX(Symboles!$H$6:$H$101,MOD(62+$C32+(4),$B$3)+1)*M32+IF($B$6=0,0,$B$6*NORMSINV(0.000001+0.999998*RAND())))</f>
        <v/>
      </c>
      <c r="FT32" s="30">
        <f>IF(64&gt;$B$3,99,INDEX(Symboles!$H$6:$H$101,MOD(63+$C32+(-4),$B$3)+1)*E32+INDEX(Symboles!$H$6:$H$101,MOD(63+$C32+(-3),$B$3)+1)*F32+INDEX(Symboles!$H$6:$H$101,MOD(63+$C32+(-2),$B$3)+1)*G32+INDEX(Symboles!$H$6:$H$101,MOD(63+$C32+(-1),$B$3)+1)*H32+INDEX(Symboles!$H$6:$H$101,MOD(63+$C32+(0),$B$3)+1)*I32+INDEX(Symboles!$H$6:$H$101,MOD(63+$C32+(1),$B$3)+1)*J32+INDEX(Symboles!$H$6:$H$101,MOD(63+$C32+(2),$B$3)+1)*K32+INDEX(Symboles!$H$6:$H$101,MOD(63+$C32+(3),$B$3)+1)*L32+INDEX(Symboles!$H$6:$H$101,MOD(63+$C32+(4),$B$3)+1)*M32+IF($B$6=0,0,$B$6*NORMSINV(0.000001+0.999998*RAND())))</f>
        <v/>
      </c>
      <c r="FU32" s="30">
        <f>IF(65&gt;$B$3,99,INDEX(Symboles!$H$6:$H$101,MOD(64+$C32+(-4),$B$3)+1)*E32+INDEX(Symboles!$H$6:$H$101,MOD(64+$C32+(-3),$B$3)+1)*F32+INDEX(Symboles!$H$6:$H$101,MOD(64+$C32+(-2),$B$3)+1)*G32+INDEX(Symboles!$H$6:$H$101,MOD(64+$C32+(-1),$B$3)+1)*H32+INDEX(Symboles!$H$6:$H$101,MOD(64+$C32+(0),$B$3)+1)*I32+INDEX(Symboles!$H$6:$H$101,MOD(64+$C32+(1),$B$3)+1)*J32+INDEX(Symboles!$H$6:$H$101,MOD(64+$C32+(2),$B$3)+1)*K32+INDEX(Symboles!$H$6:$H$101,MOD(64+$C32+(3),$B$3)+1)*L32+INDEX(Symboles!$H$6:$H$101,MOD(64+$C32+(4),$B$3)+1)*M32+IF($B$6=0,0,$B$6*NORMSINV(0.000001+0.999998*RAND())))</f>
        <v/>
      </c>
      <c r="FV32" s="30">
        <f>IF(66&gt;$B$3,99,INDEX(Symboles!$H$6:$H$101,MOD(65+$C32+(-4),$B$3)+1)*E32+INDEX(Symboles!$H$6:$H$101,MOD(65+$C32+(-3),$B$3)+1)*F32+INDEX(Symboles!$H$6:$H$101,MOD(65+$C32+(-2),$B$3)+1)*G32+INDEX(Symboles!$H$6:$H$101,MOD(65+$C32+(-1),$B$3)+1)*H32+INDEX(Symboles!$H$6:$H$101,MOD(65+$C32+(0),$B$3)+1)*I32+INDEX(Symboles!$H$6:$H$101,MOD(65+$C32+(1),$B$3)+1)*J32+INDEX(Symboles!$H$6:$H$101,MOD(65+$C32+(2),$B$3)+1)*K32+INDEX(Symboles!$H$6:$H$101,MOD(65+$C32+(3),$B$3)+1)*L32+INDEX(Symboles!$H$6:$H$101,MOD(65+$C32+(4),$B$3)+1)*M32+IF($B$6=0,0,$B$6*NORMSINV(0.000001+0.999998*RAND())))</f>
        <v/>
      </c>
      <c r="FW32" s="30">
        <f>IF(67&gt;$B$3,99,INDEX(Symboles!$H$6:$H$101,MOD(66+$C32+(-4),$B$3)+1)*E32+INDEX(Symboles!$H$6:$H$101,MOD(66+$C32+(-3),$B$3)+1)*F32+INDEX(Symboles!$H$6:$H$101,MOD(66+$C32+(-2),$B$3)+1)*G32+INDEX(Symboles!$H$6:$H$101,MOD(66+$C32+(-1),$B$3)+1)*H32+INDEX(Symboles!$H$6:$H$101,MOD(66+$C32+(0),$B$3)+1)*I32+INDEX(Symboles!$H$6:$H$101,MOD(66+$C32+(1),$B$3)+1)*J32+INDEX(Symboles!$H$6:$H$101,MOD(66+$C32+(2),$B$3)+1)*K32+INDEX(Symboles!$H$6:$H$101,MOD(66+$C32+(3),$B$3)+1)*L32+INDEX(Symboles!$H$6:$H$101,MOD(66+$C32+(4),$B$3)+1)*M32+IF($B$6=0,0,$B$6*NORMSINV(0.000001+0.999998*RAND())))</f>
        <v/>
      </c>
      <c r="FX32" s="30">
        <f>IF(68&gt;$B$3,99,INDEX(Symboles!$H$6:$H$101,MOD(67+$C32+(-4),$B$3)+1)*E32+INDEX(Symboles!$H$6:$H$101,MOD(67+$C32+(-3),$B$3)+1)*F32+INDEX(Symboles!$H$6:$H$101,MOD(67+$C32+(-2),$B$3)+1)*G32+INDEX(Symboles!$H$6:$H$101,MOD(67+$C32+(-1),$B$3)+1)*H32+INDEX(Symboles!$H$6:$H$101,MOD(67+$C32+(0),$B$3)+1)*I32+INDEX(Symboles!$H$6:$H$101,MOD(67+$C32+(1),$B$3)+1)*J32+INDEX(Symboles!$H$6:$H$101,MOD(67+$C32+(2),$B$3)+1)*K32+INDEX(Symboles!$H$6:$H$101,MOD(67+$C32+(3),$B$3)+1)*L32+INDEX(Symboles!$H$6:$H$101,MOD(67+$C32+(4),$B$3)+1)*M32+IF($B$6=0,0,$B$6*NORMSINV(0.000001+0.999998*RAND())))</f>
        <v/>
      </c>
      <c r="FY32" s="30">
        <f>IF(69&gt;$B$3,99,INDEX(Symboles!$H$6:$H$101,MOD(68+$C32+(-4),$B$3)+1)*E32+INDEX(Symboles!$H$6:$H$101,MOD(68+$C32+(-3),$B$3)+1)*F32+INDEX(Symboles!$H$6:$H$101,MOD(68+$C32+(-2),$B$3)+1)*G32+INDEX(Symboles!$H$6:$H$101,MOD(68+$C32+(-1),$B$3)+1)*H32+INDEX(Symboles!$H$6:$H$101,MOD(68+$C32+(0),$B$3)+1)*I32+INDEX(Symboles!$H$6:$H$101,MOD(68+$C32+(1),$B$3)+1)*J32+INDEX(Symboles!$H$6:$H$101,MOD(68+$C32+(2),$B$3)+1)*K32+INDEX(Symboles!$H$6:$H$101,MOD(68+$C32+(3),$B$3)+1)*L32+INDEX(Symboles!$H$6:$H$101,MOD(68+$C32+(4),$B$3)+1)*M32+IF($B$6=0,0,$B$6*NORMSINV(0.000001+0.999998*RAND())))</f>
        <v/>
      </c>
      <c r="FZ32" s="30">
        <f>IF(70&gt;$B$3,99,INDEX(Symboles!$H$6:$H$101,MOD(69+$C32+(-4),$B$3)+1)*E32+INDEX(Symboles!$H$6:$H$101,MOD(69+$C32+(-3),$B$3)+1)*F32+INDEX(Symboles!$H$6:$H$101,MOD(69+$C32+(-2),$B$3)+1)*G32+INDEX(Symboles!$H$6:$H$101,MOD(69+$C32+(-1),$B$3)+1)*H32+INDEX(Symboles!$H$6:$H$101,MOD(69+$C32+(0),$B$3)+1)*I32+INDEX(Symboles!$H$6:$H$101,MOD(69+$C32+(1),$B$3)+1)*J32+INDEX(Symboles!$H$6:$H$101,MOD(69+$C32+(2),$B$3)+1)*K32+INDEX(Symboles!$H$6:$H$101,MOD(69+$C32+(3),$B$3)+1)*L32+INDEX(Symboles!$H$6:$H$101,MOD(69+$C32+(4),$B$3)+1)*M32+IF($B$6=0,0,$B$6*NORMSINV(0.000001+0.999998*RAND())))</f>
        <v/>
      </c>
      <c r="GA32" s="30">
        <f>IF(71&gt;$B$3,99,INDEX(Symboles!$H$6:$H$101,MOD(70+$C32+(-4),$B$3)+1)*E32+INDEX(Symboles!$H$6:$H$101,MOD(70+$C32+(-3),$B$3)+1)*F32+INDEX(Symboles!$H$6:$H$101,MOD(70+$C32+(-2),$B$3)+1)*G32+INDEX(Symboles!$H$6:$H$101,MOD(70+$C32+(-1),$B$3)+1)*H32+INDEX(Symboles!$H$6:$H$101,MOD(70+$C32+(0),$B$3)+1)*I32+INDEX(Symboles!$H$6:$H$101,MOD(70+$C32+(1),$B$3)+1)*J32+INDEX(Symboles!$H$6:$H$101,MOD(70+$C32+(2),$B$3)+1)*K32+INDEX(Symboles!$H$6:$H$101,MOD(70+$C32+(3),$B$3)+1)*L32+INDEX(Symboles!$H$6:$H$101,MOD(70+$C32+(4),$B$3)+1)*M32+IF($B$6=0,0,$B$6*NORMSINV(0.000001+0.999998*RAND())))</f>
        <v/>
      </c>
      <c r="GB32" s="30">
        <f>IF(72&gt;$B$3,99,INDEX(Symboles!$H$6:$H$101,MOD(71+$C32+(-4),$B$3)+1)*E32+INDEX(Symboles!$H$6:$H$101,MOD(71+$C32+(-3),$B$3)+1)*F32+INDEX(Symboles!$H$6:$H$101,MOD(71+$C32+(-2),$B$3)+1)*G32+INDEX(Symboles!$H$6:$H$101,MOD(71+$C32+(-1),$B$3)+1)*H32+INDEX(Symboles!$H$6:$H$101,MOD(71+$C32+(0),$B$3)+1)*I32+INDEX(Symboles!$H$6:$H$101,MOD(71+$C32+(1),$B$3)+1)*J32+INDEX(Symboles!$H$6:$H$101,MOD(71+$C32+(2),$B$3)+1)*K32+INDEX(Symboles!$H$6:$H$101,MOD(71+$C32+(3),$B$3)+1)*L32+INDEX(Symboles!$H$6:$H$101,MOD(71+$C32+(4),$B$3)+1)*M32+IF($B$6=0,0,$B$6*NORMSINV(0.000001+0.999998*RAND())))</f>
        <v/>
      </c>
      <c r="GC32" s="30">
        <f>IF(73&gt;$B$3,99,INDEX(Symboles!$H$6:$H$101,MOD(72+$C32+(-4),$B$3)+1)*E32+INDEX(Symboles!$H$6:$H$101,MOD(72+$C32+(-3),$B$3)+1)*F32+INDEX(Symboles!$H$6:$H$101,MOD(72+$C32+(-2),$B$3)+1)*G32+INDEX(Symboles!$H$6:$H$101,MOD(72+$C32+(-1),$B$3)+1)*H32+INDEX(Symboles!$H$6:$H$101,MOD(72+$C32+(0),$B$3)+1)*I32+INDEX(Symboles!$H$6:$H$101,MOD(72+$C32+(1),$B$3)+1)*J32+INDEX(Symboles!$H$6:$H$101,MOD(72+$C32+(2),$B$3)+1)*K32+INDEX(Symboles!$H$6:$H$101,MOD(72+$C32+(3),$B$3)+1)*L32+INDEX(Symboles!$H$6:$H$101,MOD(72+$C32+(4),$B$3)+1)*M32+IF($B$6=0,0,$B$6*NORMSINV(0.000001+0.999998*RAND())))</f>
        <v/>
      </c>
      <c r="GD32" s="30">
        <f>IF(74&gt;$B$3,99,INDEX(Symboles!$H$6:$H$101,MOD(73+$C32+(-4),$B$3)+1)*E32+INDEX(Symboles!$H$6:$H$101,MOD(73+$C32+(-3),$B$3)+1)*F32+INDEX(Symboles!$H$6:$H$101,MOD(73+$C32+(-2),$B$3)+1)*G32+INDEX(Symboles!$H$6:$H$101,MOD(73+$C32+(-1),$B$3)+1)*H32+INDEX(Symboles!$H$6:$H$101,MOD(73+$C32+(0),$B$3)+1)*I32+INDEX(Symboles!$H$6:$H$101,MOD(73+$C32+(1),$B$3)+1)*J32+INDEX(Symboles!$H$6:$H$101,MOD(73+$C32+(2),$B$3)+1)*K32+INDEX(Symboles!$H$6:$H$101,MOD(73+$C32+(3),$B$3)+1)*L32+INDEX(Symboles!$H$6:$H$101,MOD(73+$C32+(4),$B$3)+1)*M32+IF($B$6=0,0,$B$6*NORMSINV(0.000001+0.999998*RAND())))</f>
        <v/>
      </c>
      <c r="GE32" s="30">
        <f>IF(75&gt;$B$3,99,INDEX(Symboles!$H$6:$H$101,MOD(74+$C32+(-4),$B$3)+1)*E32+INDEX(Symboles!$H$6:$H$101,MOD(74+$C32+(-3),$B$3)+1)*F32+INDEX(Symboles!$H$6:$H$101,MOD(74+$C32+(-2),$B$3)+1)*G32+INDEX(Symboles!$H$6:$H$101,MOD(74+$C32+(-1),$B$3)+1)*H32+INDEX(Symboles!$H$6:$H$101,MOD(74+$C32+(0),$B$3)+1)*I32+INDEX(Symboles!$H$6:$H$101,MOD(74+$C32+(1),$B$3)+1)*J32+INDEX(Symboles!$H$6:$H$101,MOD(74+$C32+(2),$B$3)+1)*K32+INDEX(Symboles!$H$6:$H$101,MOD(74+$C32+(3),$B$3)+1)*L32+INDEX(Symboles!$H$6:$H$101,MOD(74+$C32+(4),$B$3)+1)*M32+IF($B$6=0,0,$B$6*NORMSINV(0.000001+0.999998*RAND())))</f>
        <v/>
      </c>
      <c r="GF32" s="30">
        <f>IF(76&gt;$B$3,99,INDEX(Symboles!$H$6:$H$101,MOD(75+$C32+(-4),$B$3)+1)*E32+INDEX(Symboles!$H$6:$H$101,MOD(75+$C32+(-3),$B$3)+1)*F32+INDEX(Symboles!$H$6:$H$101,MOD(75+$C32+(-2),$B$3)+1)*G32+INDEX(Symboles!$H$6:$H$101,MOD(75+$C32+(-1),$B$3)+1)*H32+INDEX(Symboles!$H$6:$H$101,MOD(75+$C32+(0),$B$3)+1)*I32+INDEX(Symboles!$H$6:$H$101,MOD(75+$C32+(1),$B$3)+1)*J32+INDEX(Symboles!$H$6:$H$101,MOD(75+$C32+(2),$B$3)+1)*K32+INDEX(Symboles!$H$6:$H$101,MOD(75+$C32+(3),$B$3)+1)*L32+INDEX(Symboles!$H$6:$H$101,MOD(75+$C32+(4),$B$3)+1)*M32+IF($B$6=0,0,$B$6*NORMSINV(0.000001+0.999998*RAND())))</f>
        <v/>
      </c>
      <c r="GG32" s="30">
        <f>IF(77&gt;$B$3,99,INDEX(Symboles!$H$6:$H$101,MOD(76+$C32+(-4),$B$3)+1)*E32+INDEX(Symboles!$H$6:$H$101,MOD(76+$C32+(-3),$B$3)+1)*F32+INDEX(Symboles!$H$6:$H$101,MOD(76+$C32+(-2),$B$3)+1)*G32+INDEX(Symboles!$H$6:$H$101,MOD(76+$C32+(-1),$B$3)+1)*H32+INDEX(Symboles!$H$6:$H$101,MOD(76+$C32+(0),$B$3)+1)*I32+INDEX(Symboles!$H$6:$H$101,MOD(76+$C32+(1),$B$3)+1)*J32+INDEX(Symboles!$H$6:$H$101,MOD(76+$C32+(2),$B$3)+1)*K32+INDEX(Symboles!$H$6:$H$101,MOD(76+$C32+(3),$B$3)+1)*L32+INDEX(Symboles!$H$6:$H$101,MOD(76+$C32+(4),$B$3)+1)*M32+IF($B$6=0,0,$B$6*NORMSINV(0.000001+0.999998*RAND())))</f>
        <v/>
      </c>
      <c r="GH32" s="30">
        <f>IF(78&gt;$B$3,99,INDEX(Symboles!$H$6:$H$101,MOD(77+$C32+(-4),$B$3)+1)*E32+INDEX(Symboles!$H$6:$H$101,MOD(77+$C32+(-3),$B$3)+1)*F32+INDEX(Symboles!$H$6:$H$101,MOD(77+$C32+(-2),$B$3)+1)*G32+INDEX(Symboles!$H$6:$H$101,MOD(77+$C32+(-1),$B$3)+1)*H32+INDEX(Symboles!$H$6:$H$101,MOD(77+$C32+(0),$B$3)+1)*I32+INDEX(Symboles!$H$6:$H$101,MOD(77+$C32+(1),$B$3)+1)*J32+INDEX(Symboles!$H$6:$H$101,MOD(77+$C32+(2),$B$3)+1)*K32+INDEX(Symboles!$H$6:$H$101,MOD(77+$C32+(3),$B$3)+1)*L32+INDEX(Symboles!$H$6:$H$101,MOD(77+$C32+(4),$B$3)+1)*M32+IF($B$6=0,0,$B$6*NORMSINV(0.000001+0.999998*RAND())))</f>
        <v/>
      </c>
      <c r="GI32" s="30">
        <f>IF(79&gt;$B$3,99,INDEX(Symboles!$H$6:$H$101,MOD(78+$C32+(-4),$B$3)+1)*E32+INDEX(Symboles!$H$6:$H$101,MOD(78+$C32+(-3),$B$3)+1)*F32+INDEX(Symboles!$H$6:$H$101,MOD(78+$C32+(-2),$B$3)+1)*G32+INDEX(Symboles!$H$6:$H$101,MOD(78+$C32+(-1),$B$3)+1)*H32+INDEX(Symboles!$H$6:$H$101,MOD(78+$C32+(0),$B$3)+1)*I32+INDEX(Symboles!$H$6:$H$101,MOD(78+$C32+(1),$B$3)+1)*J32+INDEX(Symboles!$H$6:$H$101,MOD(78+$C32+(2),$B$3)+1)*K32+INDEX(Symboles!$H$6:$H$101,MOD(78+$C32+(3),$B$3)+1)*L32+INDEX(Symboles!$H$6:$H$101,MOD(78+$C32+(4),$B$3)+1)*M32+IF($B$6=0,0,$B$6*NORMSINV(0.000001+0.999998*RAND())))</f>
        <v/>
      </c>
      <c r="GJ32" s="30">
        <f>IF(80&gt;$B$3,99,INDEX(Symboles!$H$6:$H$101,MOD(79+$C32+(-4),$B$3)+1)*E32+INDEX(Symboles!$H$6:$H$101,MOD(79+$C32+(-3),$B$3)+1)*F32+INDEX(Symboles!$H$6:$H$101,MOD(79+$C32+(-2),$B$3)+1)*G32+INDEX(Symboles!$H$6:$H$101,MOD(79+$C32+(-1),$B$3)+1)*H32+INDEX(Symboles!$H$6:$H$101,MOD(79+$C32+(0),$B$3)+1)*I32+INDEX(Symboles!$H$6:$H$101,MOD(79+$C32+(1),$B$3)+1)*J32+INDEX(Symboles!$H$6:$H$101,MOD(79+$C32+(2),$B$3)+1)*K32+INDEX(Symboles!$H$6:$H$101,MOD(79+$C32+(3),$B$3)+1)*L32+INDEX(Symboles!$H$6:$H$101,MOD(79+$C32+(4),$B$3)+1)*M32+IF($B$6=0,0,$B$6*NORMSINV(0.000001+0.999998*RAND())))</f>
        <v/>
      </c>
      <c r="GK32" s="30">
        <f>IF(81&gt;$B$3,99,INDEX(Symboles!$H$6:$H$101,MOD(80+$C32+(-4),$B$3)+1)*E32+INDEX(Symboles!$H$6:$H$101,MOD(80+$C32+(-3),$B$3)+1)*F32+INDEX(Symboles!$H$6:$H$101,MOD(80+$C32+(-2),$B$3)+1)*G32+INDEX(Symboles!$H$6:$H$101,MOD(80+$C32+(-1),$B$3)+1)*H32+INDEX(Symboles!$H$6:$H$101,MOD(80+$C32+(0),$B$3)+1)*I32+INDEX(Symboles!$H$6:$H$101,MOD(80+$C32+(1),$B$3)+1)*J32+INDEX(Symboles!$H$6:$H$101,MOD(80+$C32+(2),$B$3)+1)*K32+INDEX(Symboles!$H$6:$H$101,MOD(80+$C32+(3),$B$3)+1)*L32+INDEX(Symboles!$H$6:$H$101,MOD(80+$C32+(4),$B$3)+1)*M32+IF($B$6=0,0,$B$6*NORMSINV(0.000001+0.999998*RAND())))</f>
        <v/>
      </c>
      <c r="GL32" s="30">
        <f>IF(82&gt;$B$3,99,INDEX(Symboles!$H$6:$H$101,MOD(81+$C32+(-4),$B$3)+1)*E32+INDEX(Symboles!$H$6:$H$101,MOD(81+$C32+(-3),$B$3)+1)*F32+INDEX(Symboles!$H$6:$H$101,MOD(81+$C32+(-2),$B$3)+1)*G32+INDEX(Symboles!$H$6:$H$101,MOD(81+$C32+(-1),$B$3)+1)*H32+INDEX(Symboles!$H$6:$H$101,MOD(81+$C32+(0),$B$3)+1)*I32+INDEX(Symboles!$H$6:$H$101,MOD(81+$C32+(1),$B$3)+1)*J32+INDEX(Symboles!$H$6:$H$101,MOD(81+$C32+(2),$B$3)+1)*K32+INDEX(Symboles!$H$6:$H$101,MOD(81+$C32+(3),$B$3)+1)*L32+INDEX(Symboles!$H$6:$H$101,MOD(81+$C32+(4),$B$3)+1)*M32+IF($B$6=0,0,$B$6*NORMSINV(0.000001+0.999998*RAND())))</f>
        <v/>
      </c>
      <c r="GM32" s="30">
        <f>IF(83&gt;$B$3,99,INDEX(Symboles!$H$6:$H$101,MOD(82+$C32+(-4),$B$3)+1)*E32+INDEX(Symboles!$H$6:$H$101,MOD(82+$C32+(-3),$B$3)+1)*F32+INDEX(Symboles!$H$6:$H$101,MOD(82+$C32+(-2),$B$3)+1)*G32+INDEX(Symboles!$H$6:$H$101,MOD(82+$C32+(-1),$B$3)+1)*H32+INDEX(Symboles!$H$6:$H$101,MOD(82+$C32+(0),$B$3)+1)*I32+INDEX(Symboles!$H$6:$H$101,MOD(82+$C32+(1),$B$3)+1)*J32+INDEX(Symboles!$H$6:$H$101,MOD(82+$C32+(2),$B$3)+1)*K32+INDEX(Symboles!$H$6:$H$101,MOD(82+$C32+(3),$B$3)+1)*L32+INDEX(Symboles!$H$6:$H$101,MOD(82+$C32+(4),$B$3)+1)*M32+IF($B$6=0,0,$B$6*NORMSINV(0.000001+0.999998*RAND())))</f>
        <v/>
      </c>
      <c r="GN32" s="30">
        <f>IF(84&gt;$B$3,99,INDEX(Symboles!$H$6:$H$101,MOD(83+$C32+(-4),$B$3)+1)*E32+INDEX(Symboles!$H$6:$H$101,MOD(83+$C32+(-3),$B$3)+1)*F32+INDEX(Symboles!$H$6:$H$101,MOD(83+$C32+(-2),$B$3)+1)*G32+INDEX(Symboles!$H$6:$H$101,MOD(83+$C32+(-1),$B$3)+1)*H32+INDEX(Symboles!$H$6:$H$101,MOD(83+$C32+(0),$B$3)+1)*I32+INDEX(Symboles!$H$6:$H$101,MOD(83+$C32+(1),$B$3)+1)*J32+INDEX(Symboles!$H$6:$H$101,MOD(83+$C32+(2),$B$3)+1)*K32+INDEX(Symboles!$H$6:$H$101,MOD(83+$C32+(3),$B$3)+1)*L32+INDEX(Symboles!$H$6:$H$101,MOD(83+$C32+(4),$B$3)+1)*M32+IF($B$6=0,0,$B$6*NORMSINV(0.000001+0.999998*RAND())))</f>
        <v/>
      </c>
      <c r="GO32" s="30">
        <f>IF(85&gt;$B$3,99,INDEX(Symboles!$H$6:$H$101,MOD(84+$C32+(-4),$B$3)+1)*E32+INDEX(Symboles!$H$6:$H$101,MOD(84+$C32+(-3),$B$3)+1)*F32+INDEX(Symboles!$H$6:$H$101,MOD(84+$C32+(-2),$B$3)+1)*G32+INDEX(Symboles!$H$6:$H$101,MOD(84+$C32+(-1),$B$3)+1)*H32+INDEX(Symboles!$H$6:$H$101,MOD(84+$C32+(0),$B$3)+1)*I32+INDEX(Symboles!$H$6:$H$101,MOD(84+$C32+(1),$B$3)+1)*J32+INDEX(Symboles!$H$6:$H$101,MOD(84+$C32+(2),$B$3)+1)*K32+INDEX(Symboles!$H$6:$H$101,MOD(84+$C32+(3),$B$3)+1)*L32+INDEX(Symboles!$H$6:$H$101,MOD(84+$C32+(4),$B$3)+1)*M32+IF($B$6=0,0,$B$6*NORMSINV(0.000001+0.999998*RAND())))</f>
        <v/>
      </c>
      <c r="GP32" s="30">
        <f>IF(86&gt;$B$3,99,INDEX(Symboles!$H$6:$H$101,MOD(85+$C32+(-4),$B$3)+1)*E32+INDEX(Symboles!$H$6:$H$101,MOD(85+$C32+(-3),$B$3)+1)*F32+INDEX(Symboles!$H$6:$H$101,MOD(85+$C32+(-2),$B$3)+1)*G32+INDEX(Symboles!$H$6:$H$101,MOD(85+$C32+(-1),$B$3)+1)*H32+INDEX(Symboles!$H$6:$H$101,MOD(85+$C32+(0),$B$3)+1)*I32+INDEX(Symboles!$H$6:$H$101,MOD(85+$C32+(1),$B$3)+1)*J32+INDEX(Symboles!$H$6:$H$101,MOD(85+$C32+(2),$B$3)+1)*K32+INDEX(Symboles!$H$6:$H$101,MOD(85+$C32+(3),$B$3)+1)*L32+INDEX(Symboles!$H$6:$H$101,MOD(85+$C32+(4),$B$3)+1)*M32+IF($B$6=0,0,$B$6*NORMSINV(0.000001+0.999998*RAND())))</f>
        <v/>
      </c>
      <c r="GQ32" s="30">
        <f>IF(87&gt;$B$3,99,INDEX(Symboles!$H$6:$H$101,MOD(86+$C32+(-4),$B$3)+1)*E32+INDEX(Symboles!$H$6:$H$101,MOD(86+$C32+(-3),$B$3)+1)*F32+INDEX(Symboles!$H$6:$H$101,MOD(86+$C32+(-2),$B$3)+1)*G32+INDEX(Symboles!$H$6:$H$101,MOD(86+$C32+(-1),$B$3)+1)*H32+INDEX(Symboles!$H$6:$H$101,MOD(86+$C32+(0),$B$3)+1)*I32+INDEX(Symboles!$H$6:$H$101,MOD(86+$C32+(1),$B$3)+1)*J32+INDEX(Symboles!$H$6:$H$101,MOD(86+$C32+(2),$B$3)+1)*K32+INDEX(Symboles!$H$6:$H$101,MOD(86+$C32+(3),$B$3)+1)*L32+INDEX(Symboles!$H$6:$H$101,MOD(86+$C32+(4),$B$3)+1)*M32+IF($B$6=0,0,$B$6*NORMSINV(0.000001+0.999998*RAND())))</f>
        <v/>
      </c>
      <c r="GR32" s="30">
        <f>IF(88&gt;$B$3,99,INDEX(Symboles!$H$6:$H$101,MOD(87+$C32+(-4),$B$3)+1)*E32+INDEX(Symboles!$H$6:$H$101,MOD(87+$C32+(-3),$B$3)+1)*F32+INDEX(Symboles!$H$6:$H$101,MOD(87+$C32+(-2),$B$3)+1)*G32+INDEX(Symboles!$H$6:$H$101,MOD(87+$C32+(-1),$B$3)+1)*H32+INDEX(Symboles!$H$6:$H$101,MOD(87+$C32+(0),$B$3)+1)*I32+INDEX(Symboles!$H$6:$H$101,MOD(87+$C32+(1),$B$3)+1)*J32+INDEX(Symboles!$H$6:$H$101,MOD(87+$C32+(2),$B$3)+1)*K32+INDEX(Symboles!$H$6:$H$101,MOD(87+$C32+(3),$B$3)+1)*L32+INDEX(Symboles!$H$6:$H$101,MOD(87+$C32+(4),$B$3)+1)*M32+IF($B$6=0,0,$B$6*NORMSINV(0.000001+0.999998*RAND())))</f>
        <v/>
      </c>
      <c r="GS32" s="30">
        <f>IF(89&gt;$B$3,99,INDEX(Symboles!$H$6:$H$101,MOD(88+$C32+(-4),$B$3)+1)*E32+INDEX(Symboles!$H$6:$H$101,MOD(88+$C32+(-3),$B$3)+1)*F32+INDEX(Symboles!$H$6:$H$101,MOD(88+$C32+(-2),$B$3)+1)*G32+INDEX(Symboles!$H$6:$H$101,MOD(88+$C32+(-1),$B$3)+1)*H32+INDEX(Symboles!$H$6:$H$101,MOD(88+$C32+(0),$B$3)+1)*I32+INDEX(Symboles!$H$6:$H$101,MOD(88+$C32+(1),$B$3)+1)*J32+INDEX(Symboles!$H$6:$H$101,MOD(88+$C32+(2),$B$3)+1)*K32+INDEX(Symboles!$H$6:$H$101,MOD(88+$C32+(3),$B$3)+1)*L32+INDEX(Symboles!$H$6:$H$101,MOD(88+$C32+(4),$B$3)+1)*M32+IF($B$6=0,0,$B$6*NORMSINV(0.000001+0.999998*RAND())))</f>
        <v/>
      </c>
      <c r="GT32" s="30">
        <f>IF(90&gt;$B$3,99,INDEX(Symboles!$H$6:$H$101,MOD(89+$C32+(-4),$B$3)+1)*E32+INDEX(Symboles!$H$6:$H$101,MOD(89+$C32+(-3),$B$3)+1)*F32+INDEX(Symboles!$H$6:$H$101,MOD(89+$C32+(-2),$B$3)+1)*G32+INDEX(Symboles!$H$6:$H$101,MOD(89+$C32+(-1),$B$3)+1)*H32+INDEX(Symboles!$H$6:$H$101,MOD(89+$C32+(0),$B$3)+1)*I32+INDEX(Symboles!$H$6:$H$101,MOD(89+$C32+(1),$B$3)+1)*J32+INDEX(Symboles!$H$6:$H$101,MOD(89+$C32+(2),$B$3)+1)*K32+INDEX(Symboles!$H$6:$H$101,MOD(89+$C32+(3),$B$3)+1)*L32+INDEX(Symboles!$H$6:$H$101,MOD(89+$C32+(4),$B$3)+1)*M32+IF($B$6=0,0,$B$6*NORMSINV(0.000001+0.999998*RAND())))</f>
        <v/>
      </c>
      <c r="GU32" s="30">
        <f>IF(91&gt;$B$3,99,INDEX(Symboles!$H$6:$H$101,MOD(90+$C32+(-4),$B$3)+1)*E32+INDEX(Symboles!$H$6:$H$101,MOD(90+$C32+(-3),$B$3)+1)*F32+INDEX(Symboles!$H$6:$H$101,MOD(90+$C32+(-2),$B$3)+1)*G32+INDEX(Symboles!$H$6:$H$101,MOD(90+$C32+(-1),$B$3)+1)*H32+INDEX(Symboles!$H$6:$H$101,MOD(90+$C32+(0),$B$3)+1)*I32+INDEX(Symboles!$H$6:$H$101,MOD(90+$C32+(1),$B$3)+1)*J32+INDEX(Symboles!$H$6:$H$101,MOD(90+$C32+(2),$B$3)+1)*K32+INDEX(Symboles!$H$6:$H$101,MOD(90+$C32+(3),$B$3)+1)*L32+INDEX(Symboles!$H$6:$H$101,MOD(90+$C32+(4),$B$3)+1)*M32+IF($B$6=0,0,$B$6*NORMSINV(0.000001+0.999998*RAND())))</f>
        <v/>
      </c>
      <c r="GV32" s="30">
        <f>IF(92&gt;$B$3,99,INDEX(Symboles!$H$6:$H$101,MOD(91+$C32+(-4),$B$3)+1)*E32+INDEX(Symboles!$H$6:$H$101,MOD(91+$C32+(-3),$B$3)+1)*F32+INDEX(Symboles!$H$6:$H$101,MOD(91+$C32+(-2),$B$3)+1)*G32+INDEX(Symboles!$H$6:$H$101,MOD(91+$C32+(-1),$B$3)+1)*H32+INDEX(Symboles!$H$6:$H$101,MOD(91+$C32+(0),$B$3)+1)*I32+INDEX(Symboles!$H$6:$H$101,MOD(91+$C32+(1),$B$3)+1)*J32+INDEX(Symboles!$H$6:$H$101,MOD(91+$C32+(2),$B$3)+1)*K32+INDEX(Symboles!$H$6:$H$101,MOD(91+$C32+(3),$B$3)+1)*L32+INDEX(Symboles!$H$6:$H$101,MOD(91+$C32+(4),$B$3)+1)*M32+IF($B$6=0,0,$B$6*NORMSINV(0.000001+0.999998*RAND())))</f>
        <v/>
      </c>
      <c r="GW32" s="30">
        <f>IF(93&gt;$B$3,99,INDEX(Symboles!$H$6:$H$101,MOD(92+$C32+(-4),$B$3)+1)*E32+INDEX(Symboles!$H$6:$H$101,MOD(92+$C32+(-3),$B$3)+1)*F32+INDEX(Symboles!$H$6:$H$101,MOD(92+$C32+(-2),$B$3)+1)*G32+INDEX(Symboles!$H$6:$H$101,MOD(92+$C32+(-1),$B$3)+1)*H32+INDEX(Symboles!$H$6:$H$101,MOD(92+$C32+(0),$B$3)+1)*I32+INDEX(Symboles!$H$6:$H$101,MOD(92+$C32+(1),$B$3)+1)*J32+INDEX(Symboles!$H$6:$H$101,MOD(92+$C32+(2),$B$3)+1)*K32+INDEX(Symboles!$H$6:$H$101,MOD(92+$C32+(3),$B$3)+1)*L32+INDEX(Symboles!$H$6:$H$101,MOD(92+$C32+(4),$B$3)+1)*M32+IF($B$6=0,0,$B$6*NORMSINV(0.000001+0.999998*RAND())))</f>
        <v/>
      </c>
      <c r="GX32" s="30">
        <f>IF(94&gt;$B$3,99,INDEX(Symboles!$H$6:$H$101,MOD(93+$C32+(-4),$B$3)+1)*E32+INDEX(Symboles!$H$6:$H$101,MOD(93+$C32+(-3),$B$3)+1)*F32+INDEX(Symboles!$H$6:$H$101,MOD(93+$C32+(-2),$B$3)+1)*G32+INDEX(Symboles!$H$6:$H$101,MOD(93+$C32+(-1),$B$3)+1)*H32+INDEX(Symboles!$H$6:$H$101,MOD(93+$C32+(0),$B$3)+1)*I32+INDEX(Symboles!$H$6:$H$101,MOD(93+$C32+(1),$B$3)+1)*J32+INDEX(Symboles!$H$6:$H$101,MOD(93+$C32+(2),$B$3)+1)*K32+INDEX(Symboles!$H$6:$H$101,MOD(93+$C32+(3),$B$3)+1)*L32+INDEX(Symboles!$H$6:$H$101,MOD(93+$C32+(4),$B$3)+1)*M32+IF($B$6=0,0,$B$6*NORMSINV(0.000001+0.999998*RAND())))</f>
        <v/>
      </c>
      <c r="GY32" s="30">
        <f>IF(95&gt;$B$3,99,INDEX(Symboles!$H$6:$H$101,MOD(94+$C32+(-4),$B$3)+1)*E32+INDEX(Symboles!$H$6:$H$101,MOD(94+$C32+(-3),$B$3)+1)*F32+INDEX(Symboles!$H$6:$H$101,MOD(94+$C32+(-2),$B$3)+1)*G32+INDEX(Symboles!$H$6:$H$101,MOD(94+$C32+(-1),$B$3)+1)*H32+INDEX(Symboles!$H$6:$H$101,MOD(94+$C32+(0),$B$3)+1)*I32+INDEX(Symboles!$H$6:$H$101,MOD(94+$C32+(1),$B$3)+1)*J32+INDEX(Symboles!$H$6:$H$101,MOD(94+$C32+(2),$B$3)+1)*K32+INDEX(Symboles!$H$6:$H$101,MOD(94+$C32+(3),$B$3)+1)*L32+INDEX(Symboles!$H$6:$H$101,MOD(94+$C32+(4),$B$3)+1)*M32+IF($B$6=0,0,$B$6*NORMSINV(0.000001+0.999998*RAND())))</f>
        <v/>
      </c>
      <c r="GZ32" s="30">
        <f>IF(96&gt;$B$3,99,INDEX(Symboles!$H$6:$H$101,MOD(95+$C32+(-4),$B$3)+1)*E32+INDEX(Symboles!$H$6:$H$101,MOD(95+$C32+(-3),$B$3)+1)*F32+INDEX(Symboles!$H$6:$H$101,MOD(95+$C32+(-2),$B$3)+1)*G32+INDEX(Symboles!$H$6:$H$101,MOD(95+$C32+(-1),$B$3)+1)*H32+INDEX(Symboles!$H$6:$H$101,MOD(95+$C32+(0),$B$3)+1)*I32+INDEX(Symboles!$H$6:$H$101,MOD(95+$C32+(1),$B$3)+1)*J32+INDEX(Symboles!$H$6:$H$101,MOD(95+$C32+(2),$B$3)+1)*K32+INDEX(Symboles!$H$6:$H$101,MOD(95+$C32+(3),$B$3)+1)*L32+INDEX(Symboles!$H$6:$H$101,MOD(95+$C32+(4),$B$3)+1)*M32+IF($B$6=0,0,$B$6*NORMSINV(0.000001+0.999998*RAND())))</f>
        <v/>
      </c>
    </row>
    <row r="33">
      <c r="A33" s="28" t="n">
        <v>23</v>
      </c>
      <c r="B33" s="28" t="n">
        <v>0.4375</v>
      </c>
      <c r="C33" s="28" t="n">
        <v>0</v>
      </c>
      <c r="D33" s="28" t="n">
        <v>15</v>
      </c>
      <c r="E33" s="29">
        <f>IF($B$4=1,0,IF(ABS(1-(2*$B$5*4.4375)^2)&lt;0.000001,PI()/4*SIN(PI()/(2*$B$5))/(PI()/(2*$B$5)),SIN(PI()*4.4375)/(PI()*4.4375)*COS(PI()*$B$5*4.4375)/(1-(2*$B$5*4.4375)^2)))</f>
        <v/>
      </c>
      <c r="F33" s="29">
        <f>IF($B$4=1,0,IF(ABS(1-(2*$B$5*3.4375)^2)&lt;0.000001,PI()/4*SIN(PI()/(2*$B$5))/(PI()/(2*$B$5)),SIN(PI()*3.4375)/(PI()*3.4375)*COS(PI()*$B$5*3.4375)/(1-(2*$B$5*3.4375)^2)))</f>
        <v/>
      </c>
      <c r="G33" s="29">
        <f>IF($B$4=1,0,IF(ABS(1-(2*$B$5*2.4375)^2)&lt;0.000001,PI()/4*SIN(PI()/(2*$B$5))/(PI()/(2*$B$5)),SIN(PI()*2.4375)/(PI()*2.4375)*COS(PI()*$B$5*2.4375)/(1-(2*$B$5*2.4375)^2)))</f>
        <v/>
      </c>
      <c r="H33" s="29">
        <f>IF($B$4=1,0,IF(ABS(1-(2*$B$5*1.4375)^2)&lt;0.000001,PI()/4*SIN(PI()/(2*$B$5))/(PI()/(2*$B$5)),SIN(PI()*1.4375)/(PI()*1.4375)*COS(PI()*$B$5*1.4375)/(1-(2*$B$5*1.4375)^2)))</f>
        <v/>
      </c>
      <c r="I33" s="29">
        <f>IF($B$4=1,1,IF(ABS(1-(2*$B$5*0.4375)^2)&lt;0.000001,PI()/4*SIN(PI()/(2*$B$5))/(PI()/(2*$B$5)),SIN(PI()*0.4375)/(PI()*0.4375)*COS(PI()*$B$5*0.4375)/(1-(2*$B$5*0.4375)^2)))</f>
        <v/>
      </c>
      <c r="J33" s="29">
        <f>IF($B$4=1,0,IF(ABS(1-(2*$B$5*-0.5625)^2)&lt;0.000001,PI()/4*SIN(PI()/(2*$B$5))/(PI()/(2*$B$5)),SIN(PI()*-0.5625)/(PI()*-0.5625)*COS(PI()*$B$5*-0.5625)/(1-(2*$B$5*-0.5625)^2)))</f>
        <v/>
      </c>
      <c r="K33" s="29">
        <f>IF($B$4=1,0,IF(ABS(1-(2*$B$5*-1.5625)^2)&lt;0.000001,PI()/4*SIN(PI()/(2*$B$5))/(PI()/(2*$B$5)),SIN(PI()*-1.5625)/(PI()*-1.5625)*COS(PI()*$B$5*-1.5625)/(1-(2*$B$5*-1.5625)^2)))</f>
        <v/>
      </c>
      <c r="L33" s="29">
        <f>IF($B$4=1,0,IF(ABS(1-(2*$B$5*-2.5625)^2)&lt;0.000001,PI()/4*SIN(PI()/(2*$B$5))/(PI()/(2*$B$5)),SIN(PI()*-2.5625)/(PI()*-2.5625)*COS(PI()*$B$5*-2.5625)/(1-(2*$B$5*-2.5625)^2)))</f>
        <v/>
      </c>
      <c r="M33" s="29">
        <f>IF($B$4=1,0,IF(ABS(1-(2*$B$5*-3.5625)^2)&lt;0.000001,PI()/4*SIN(PI()/(2*$B$5))/(PI()/(2*$B$5)),SIN(PI()*-3.5625)/(PI()*-3.5625)*COS(PI()*$B$5*-3.5625)/(1-(2*$B$5*-3.5625)^2)))</f>
        <v/>
      </c>
      <c r="P33" s="30">
        <f>IF(1&gt;$B$3,99,INDEX(Symboles!$G$6:$G$101,MOD(0+$C33+(-4),$B$3)+1)*E33+INDEX(Symboles!$G$6:$G$101,MOD(0+$C33+(-3),$B$3)+1)*F33+INDEX(Symboles!$G$6:$G$101,MOD(0+$C33+(-2),$B$3)+1)*G33+INDEX(Symboles!$G$6:$G$101,MOD(0+$C33+(-1),$B$3)+1)*H33+INDEX(Symboles!$G$6:$G$101,MOD(0+$C33+(0),$B$3)+1)*I33+INDEX(Symboles!$G$6:$G$101,MOD(0+$C33+(1),$B$3)+1)*J33+INDEX(Symboles!$G$6:$G$101,MOD(0+$C33+(2),$B$3)+1)*K33+INDEX(Symboles!$G$6:$G$101,MOD(0+$C33+(3),$B$3)+1)*L33+INDEX(Symboles!$G$6:$G$101,MOD(0+$C33+(4),$B$3)+1)*M33+IF($B$6=0,0,$B$6*NORMSINV(0.000001+0.999998*RAND())))</f>
        <v/>
      </c>
      <c r="Q33" s="30">
        <f>IF(2&gt;$B$3,99,INDEX(Symboles!$G$6:$G$101,MOD(1+$C33+(-4),$B$3)+1)*E33+INDEX(Symboles!$G$6:$G$101,MOD(1+$C33+(-3),$B$3)+1)*F33+INDEX(Symboles!$G$6:$G$101,MOD(1+$C33+(-2),$B$3)+1)*G33+INDEX(Symboles!$G$6:$G$101,MOD(1+$C33+(-1),$B$3)+1)*H33+INDEX(Symboles!$G$6:$G$101,MOD(1+$C33+(0),$B$3)+1)*I33+INDEX(Symboles!$G$6:$G$101,MOD(1+$C33+(1),$B$3)+1)*J33+INDEX(Symboles!$G$6:$G$101,MOD(1+$C33+(2),$B$3)+1)*K33+INDEX(Symboles!$G$6:$G$101,MOD(1+$C33+(3),$B$3)+1)*L33+INDEX(Symboles!$G$6:$G$101,MOD(1+$C33+(4),$B$3)+1)*M33+IF($B$6=0,0,$B$6*NORMSINV(0.000001+0.999998*RAND())))</f>
        <v/>
      </c>
      <c r="R33" s="30">
        <f>IF(3&gt;$B$3,99,INDEX(Symboles!$G$6:$G$101,MOD(2+$C33+(-4),$B$3)+1)*E33+INDEX(Symboles!$G$6:$G$101,MOD(2+$C33+(-3),$B$3)+1)*F33+INDEX(Symboles!$G$6:$G$101,MOD(2+$C33+(-2),$B$3)+1)*G33+INDEX(Symboles!$G$6:$G$101,MOD(2+$C33+(-1),$B$3)+1)*H33+INDEX(Symboles!$G$6:$G$101,MOD(2+$C33+(0),$B$3)+1)*I33+INDEX(Symboles!$G$6:$G$101,MOD(2+$C33+(1),$B$3)+1)*J33+INDEX(Symboles!$G$6:$G$101,MOD(2+$C33+(2),$B$3)+1)*K33+INDEX(Symboles!$G$6:$G$101,MOD(2+$C33+(3),$B$3)+1)*L33+INDEX(Symboles!$G$6:$G$101,MOD(2+$C33+(4),$B$3)+1)*M33+IF($B$6=0,0,$B$6*NORMSINV(0.000001+0.999998*RAND())))</f>
        <v/>
      </c>
      <c r="S33" s="30">
        <f>IF(4&gt;$B$3,99,INDEX(Symboles!$G$6:$G$101,MOD(3+$C33+(-4),$B$3)+1)*E33+INDEX(Symboles!$G$6:$G$101,MOD(3+$C33+(-3),$B$3)+1)*F33+INDEX(Symboles!$G$6:$G$101,MOD(3+$C33+(-2),$B$3)+1)*G33+INDEX(Symboles!$G$6:$G$101,MOD(3+$C33+(-1),$B$3)+1)*H33+INDEX(Symboles!$G$6:$G$101,MOD(3+$C33+(0),$B$3)+1)*I33+INDEX(Symboles!$G$6:$G$101,MOD(3+$C33+(1),$B$3)+1)*J33+INDEX(Symboles!$G$6:$G$101,MOD(3+$C33+(2),$B$3)+1)*K33+INDEX(Symboles!$G$6:$G$101,MOD(3+$C33+(3),$B$3)+1)*L33+INDEX(Symboles!$G$6:$G$101,MOD(3+$C33+(4),$B$3)+1)*M33+IF($B$6=0,0,$B$6*NORMSINV(0.000001+0.999998*RAND())))</f>
        <v/>
      </c>
      <c r="T33" s="30">
        <f>IF(5&gt;$B$3,99,INDEX(Symboles!$G$6:$G$101,MOD(4+$C33+(-4),$B$3)+1)*E33+INDEX(Symboles!$G$6:$G$101,MOD(4+$C33+(-3),$B$3)+1)*F33+INDEX(Symboles!$G$6:$G$101,MOD(4+$C33+(-2),$B$3)+1)*G33+INDEX(Symboles!$G$6:$G$101,MOD(4+$C33+(-1),$B$3)+1)*H33+INDEX(Symboles!$G$6:$G$101,MOD(4+$C33+(0),$B$3)+1)*I33+INDEX(Symboles!$G$6:$G$101,MOD(4+$C33+(1),$B$3)+1)*J33+INDEX(Symboles!$G$6:$G$101,MOD(4+$C33+(2),$B$3)+1)*K33+INDEX(Symboles!$G$6:$G$101,MOD(4+$C33+(3),$B$3)+1)*L33+INDEX(Symboles!$G$6:$G$101,MOD(4+$C33+(4),$B$3)+1)*M33+IF($B$6=0,0,$B$6*NORMSINV(0.000001+0.999998*RAND())))</f>
        <v/>
      </c>
      <c r="U33" s="30">
        <f>IF(6&gt;$B$3,99,INDEX(Symboles!$G$6:$G$101,MOD(5+$C33+(-4),$B$3)+1)*E33+INDEX(Symboles!$G$6:$G$101,MOD(5+$C33+(-3),$B$3)+1)*F33+INDEX(Symboles!$G$6:$G$101,MOD(5+$C33+(-2),$B$3)+1)*G33+INDEX(Symboles!$G$6:$G$101,MOD(5+$C33+(-1),$B$3)+1)*H33+INDEX(Symboles!$G$6:$G$101,MOD(5+$C33+(0),$B$3)+1)*I33+INDEX(Symboles!$G$6:$G$101,MOD(5+$C33+(1),$B$3)+1)*J33+INDEX(Symboles!$G$6:$G$101,MOD(5+$C33+(2),$B$3)+1)*K33+INDEX(Symboles!$G$6:$G$101,MOD(5+$C33+(3),$B$3)+1)*L33+INDEX(Symboles!$G$6:$G$101,MOD(5+$C33+(4),$B$3)+1)*M33+IF($B$6=0,0,$B$6*NORMSINV(0.000001+0.999998*RAND())))</f>
        <v/>
      </c>
      <c r="V33" s="30">
        <f>IF(7&gt;$B$3,99,INDEX(Symboles!$G$6:$G$101,MOD(6+$C33+(-4),$B$3)+1)*E33+INDEX(Symboles!$G$6:$G$101,MOD(6+$C33+(-3),$B$3)+1)*F33+INDEX(Symboles!$G$6:$G$101,MOD(6+$C33+(-2),$B$3)+1)*G33+INDEX(Symboles!$G$6:$G$101,MOD(6+$C33+(-1),$B$3)+1)*H33+INDEX(Symboles!$G$6:$G$101,MOD(6+$C33+(0),$B$3)+1)*I33+INDEX(Symboles!$G$6:$G$101,MOD(6+$C33+(1),$B$3)+1)*J33+INDEX(Symboles!$G$6:$G$101,MOD(6+$C33+(2),$B$3)+1)*K33+INDEX(Symboles!$G$6:$G$101,MOD(6+$C33+(3),$B$3)+1)*L33+INDEX(Symboles!$G$6:$G$101,MOD(6+$C33+(4),$B$3)+1)*M33+IF($B$6=0,0,$B$6*NORMSINV(0.000001+0.999998*RAND())))</f>
        <v/>
      </c>
      <c r="W33" s="30">
        <f>IF(8&gt;$B$3,99,INDEX(Symboles!$G$6:$G$101,MOD(7+$C33+(-4),$B$3)+1)*E33+INDEX(Symboles!$G$6:$G$101,MOD(7+$C33+(-3),$B$3)+1)*F33+INDEX(Symboles!$G$6:$G$101,MOD(7+$C33+(-2),$B$3)+1)*G33+INDEX(Symboles!$G$6:$G$101,MOD(7+$C33+(-1),$B$3)+1)*H33+INDEX(Symboles!$G$6:$G$101,MOD(7+$C33+(0),$B$3)+1)*I33+INDEX(Symboles!$G$6:$G$101,MOD(7+$C33+(1),$B$3)+1)*J33+INDEX(Symboles!$G$6:$G$101,MOD(7+$C33+(2),$B$3)+1)*K33+INDEX(Symboles!$G$6:$G$101,MOD(7+$C33+(3),$B$3)+1)*L33+INDEX(Symboles!$G$6:$G$101,MOD(7+$C33+(4),$B$3)+1)*M33+IF($B$6=0,0,$B$6*NORMSINV(0.000001+0.999998*RAND())))</f>
        <v/>
      </c>
      <c r="X33" s="30">
        <f>IF(9&gt;$B$3,99,INDEX(Symboles!$G$6:$G$101,MOD(8+$C33+(-4),$B$3)+1)*E33+INDEX(Symboles!$G$6:$G$101,MOD(8+$C33+(-3),$B$3)+1)*F33+INDEX(Symboles!$G$6:$G$101,MOD(8+$C33+(-2),$B$3)+1)*G33+INDEX(Symboles!$G$6:$G$101,MOD(8+$C33+(-1),$B$3)+1)*H33+INDEX(Symboles!$G$6:$G$101,MOD(8+$C33+(0),$B$3)+1)*I33+INDEX(Symboles!$G$6:$G$101,MOD(8+$C33+(1),$B$3)+1)*J33+INDEX(Symboles!$G$6:$G$101,MOD(8+$C33+(2),$B$3)+1)*K33+INDEX(Symboles!$G$6:$G$101,MOD(8+$C33+(3),$B$3)+1)*L33+INDEX(Symboles!$G$6:$G$101,MOD(8+$C33+(4),$B$3)+1)*M33+IF($B$6=0,0,$B$6*NORMSINV(0.000001+0.999998*RAND())))</f>
        <v/>
      </c>
      <c r="Y33" s="30">
        <f>IF(10&gt;$B$3,99,INDEX(Symboles!$G$6:$G$101,MOD(9+$C33+(-4),$B$3)+1)*E33+INDEX(Symboles!$G$6:$G$101,MOD(9+$C33+(-3),$B$3)+1)*F33+INDEX(Symboles!$G$6:$G$101,MOD(9+$C33+(-2),$B$3)+1)*G33+INDEX(Symboles!$G$6:$G$101,MOD(9+$C33+(-1),$B$3)+1)*H33+INDEX(Symboles!$G$6:$G$101,MOD(9+$C33+(0),$B$3)+1)*I33+INDEX(Symboles!$G$6:$G$101,MOD(9+$C33+(1),$B$3)+1)*J33+INDEX(Symboles!$G$6:$G$101,MOD(9+$C33+(2),$B$3)+1)*K33+INDEX(Symboles!$G$6:$G$101,MOD(9+$C33+(3),$B$3)+1)*L33+INDEX(Symboles!$G$6:$G$101,MOD(9+$C33+(4),$B$3)+1)*M33+IF($B$6=0,0,$B$6*NORMSINV(0.000001+0.999998*RAND())))</f>
        <v/>
      </c>
      <c r="Z33" s="30">
        <f>IF(11&gt;$B$3,99,INDEX(Symboles!$G$6:$G$101,MOD(10+$C33+(-4),$B$3)+1)*E33+INDEX(Symboles!$G$6:$G$101,MOD(10+$C33+(-3),$B$3)+1)*F33+INDEX(Symboles!$G$6:$G$101,MOD(10+$C33+(-2),$B$3)+1)*G33+INDEX(Symboles!$G$6:$G$101,MOD(10+$C33+(-1),$B$3)+1)*H33+INDEX(Symboles!$G$6:$G$101,MOD(10+$C33+(0),$B$3)+1)*I33+INDEX(Symboles!$G$6:$G$101,MOD(10+$C33+(1),$B$3)+1)*J33+INDEX(Symboles!$G$6:$G$101,MOD(10+$C33+(2),$B$3)+1)*K33+INDEX(Symboles!$G$6:$G$101,MOD(10+$C33+(3),$B$3)+1)*L33+INDEX(Symboles!$G$6:$G$101,MOD(10+$C33+(4),$B$3)+1)*M33+IF($B$6=0,0,$B$6*NORMSINV(0.000001+0.999998*RAND())))</f>
        <v/>
      </c>
      <c r="AA33" s="30">
        <f>IF(12&gt;$B$3,99,INDEX(Symboles!$G$6:$G$101,MOD(11+$C33+(-4),$B$3)+1)*E33+INDEX(Symboles!$G$6:$G$101,MOD(11+$C33+(-3),$B$3)+1)*F33+INDEX(Symboles!$G$6:$G$101,MOD(11+$C33+(-2),$B$3)+1)*G33+INDEX(Symboles!$G$6:$G$101,MOD(11+$C33+(-1),$B$3)+1)*H33+INDEX(Symboles!$G$6:$G$101,MOD(11+$C33+(0),$B$3)+1)*I33+INDEX(Symboles!$G$6:$G$101,MOD(11+$C33+(1),$B$3)+1)*J33+INDEX(Symboles!$G$6:$G$101,MOD(11+$C33+(2),$B$3)+1)*K33+INDEX(Symboles!$G$6:$G$101,MOD(11+$C33+(3),$B$3)+1)*L33+INDEX(Symboles!$G$6:$G$101,MOD(11+$C33+(4),$B$3)+1)*M33+IF($B$6=0,0,$B$6*NORMSINV(0.000001+0.999998*RAND())))</f>
        <v/>
      </c>
      <c r="AB33" s="30">
        <f>IF(13&gt;$B$3,99,INDEX(Symboles!$G$6:$G$101,MOD(12+$C33+(-4),$B$3)+1)*E33+INDEX(Symboles!$G$6:$G$101,MOD(12+$C33+(-3),$B$3)+1)*F33+INDEX(Symboles!$G$6:$G$101,MOD(12+$C33+(-2),$B$3)+1)*G33+INDEX(Symboles!$G$6:$G$101,MOD(12+$C33+(-1),$B$3)+1)*H33+INDEX(Symboles!$G$6:$G$101,MOD(12+$C33+(0),$B$3)+1)*I33+INDEX(Symboles!$G$6:$G$101,MOD(12+$C33+(1),$B$3)+1)*J33+INDEX(Symboles!$G$6:$G$101,MOD(12+$C33+(2),$B$3)+1)*K33+INDEX(Symboles!$G$6:$G$101,MOD(12+$C33+(3),$B$3)+1)*L33+INDEX(Symboles!$G$6:$G$101,MOD(12+$C33+(4),$B$3)+1)*M33+IF($B$6=0,0,$B$6*NORMSINV(0.000001+0.999998*RAND())))</f>
        <v/>
      </c>
      <c r="AC33" s="30">
        <f>IF(14&gt;$B$3,99,INDEX(Symboles!$G$6:$G$101,MOD(13+$C33+(-4),$B$3)+1)*E33+INDEX(Symboles!$G$6:$G$101,MOD(13+$C33+(-3),$B$3)+1)*F33+INDEX(Symboles!$G$6:$G$101,MOD(13+$C33+(-2),$B$3)+1)*G33+INDEX(Symboles!$G$6:$G$101,MOD(13+$C33+(-1),$B$3)+1)*H33+INDEX(Symboles!$G$6:$G$101,MOD(13+$C33+(0),$B$3)+1)*I33+INDEX(Symboles!$G$6:$G$101,MOD(13+$C33+(1),$B$3)+1)*J33+INDEX(Symboles!$G$6:$G$101,MOD(13+$C33+(2),$B$3)+1)*K33+INDEX(Symboles!$G$6:$G$101,MOD(13+$C33+(3),$B$3)+1)*L33+INDEX(Symboles!$G$6:$G$101,MOD(13+$C33+(4),$B$3)+1)*M33+IF($B$6=0,0,$B$6*NORMSINV(0.000001+0.999998*RAND())))</f>
        <v/>
      </c>
      <c r="AD33" s="30">
        <f>IF(15&gt;$B$3,99,INDEX(Symboles!$G$6:$G$101,MOD(14+$C33+(-4),$B$3)+1)*E33+INDEX(Symboles!$G$6:$G$101,MOD(14+$C33+(-3),$B$3)+1)*F33+INDEX(Symboles!$G$6:$G$101,MOD(14+$C33+(-2),$B$3)+1)*G33+INDEX(Symboles!$G$6:$G$101,MOD(14+$C33+(-1),$B$3)+1)*H33+INDEX(Symboles!$G$6:$G$101,MOD(14+$C33+(0),$B$3)+1)*I33+INDEX(Symboles!$G$6:$G$101,MOD(14+$C33+(1),$B$3)+1)*J33+INDEX(Symboles!$G$6:$G$101,MOD(14+$C33+(2),$B$3)+1)*K33+INDEX(Symboles!$G$6:$G$101,MOD(14+$C33+(3),$B$3)+1)*L33+INDEX(Symboles!$G$6:$G$101,MOD(14+$C33+(4),$B$3)+1)*M33+IF($B$6=0,0,$B$6*NORMSINV(0.000001+0.999998*RAND())))</f>
        <v/>
      </c>
      <c r="AE33" s="30">
        <f>IF(16&gt;$B$3,99,INDEX(Symboles!$G$6:$G$101,MOD(15+$C33+(-4),$B$3)+1)*E33+INDEX(Symboles!$G$6:$G$101,MOD(15+$C33+(-3),$B$3)+1)*F33+INDEX(Symboles!$G$6:$G$101,MOD(15+$C33+(-2),$B$3)+1)*G33+INDEX(Symboles!$G$6:$G$101,MOD(15+$C33+(-1),$B$3)+1)*H33+INDEX(Symboles!$G$6:$G$101,MOD(15+$C33+(0),$B$3)+1)*I33+INDEX(Symboles!$G$6:$G$101,MOD(15+$C33+(1),$B$3)+1)*J33+INDEX(Symboles!$G$6:$G$101,MOD(15+$C33+(2),$B$3)+1)*K33+INDEX(Symboles!$G$6:$G$101,MOD(15+$C33+(3),$B$3)+1)*L33+INDEX(Symboles!$G$6:$G$101,MOD(15+$C33+(4),$B$3)+1)*M33+IF($B$6=0,0,$B$6*NORMSINV(0.000001+0.999998*RAND())))</f>
        <v/>
      </c>
      <c r="AF33" s="30">
        <f>IF(17&gt;$B$3,99,INDEX(Symboles!$G$6:$G$101,MOD(16+$C33+(-4),$B$3)+1)*E33+INDEX(Symboles!$G$6:$G$101,MOD(16+$C33+(-3),$B$3)+1)*F33+INDEX(Symboles!$G$6:$G$101,MOD(16+$C33+(-2),$B$3)+1)*G33+INDEX(Symboles!$G$6:$G$101,MOD(16+$C33+(-1),$B$3)+1)*H33+INDEX(Symboles!$G$6:$G$101,MOD(16+$C33+(0),$B$3)+1)*I33+INDEX(Symboles!$G$6:$G$101,MOD(16+$C33+(1),$B$3)+1)*J33+INDEX(Symboles!$G$6:$G$101,MOD(16+$C33+(2),$B$3)+1)*K33+INDEX(Symboles!$G$6:$G$101,MOD(16+$C33+(3),$B$3)+1)*L33+INDEX(Symboles!$G$6:$G$101,MOD(16+$C33+(4),$B$3)+1)*M33+IF($B$6=0,0,$B$6*NORMSINV(0.000001+0.999998*RAND())))</f>
        <v/>
      </c>
      <c r="AG33" s="30">
        <f>IF(18&gt;$B$3,99,INDEX(Symboles!$G$6:$G$101,MOD(17+$C33+(-4),$B$3)+1)*E33+INDEX(Symboles!$G$6:$G$101,MOD(17+$C33+(-3),$B$3)+1)*F33+INDEX(Symboles!$G$6:$G$101,MOD(17+$C33+(-2),$B$3)+1)*G33+INDEX(Symboles!$G$6:$G$101,MOD(17+$C33+(-1),$B$3)+1)*H33+INDEX(Symboles!$G$6:$G$101,MOD(17+$C33+(0),$B$3)+1)*I33+INDEX(Symboles!$G$6:$G$101,MOD(17+$C33+(1),$B$3)+1)*J33+INDEX(Symboles!$G$6:$G$101,MOD(17+$C33+(2),$B$3)+1)*K33+INDEX(Symboles!$G$6:$G$101,MOD(17+$C33+(3),$B$3)+1)*L33+INDEX(Symboles!$G$6:$G$101,MOD(17+$C33+(4),$B$3)+1)*M33+IF($B$6=0,0,$B$6*NORMSINV(0.000001+0.999998*RAND())))</f>
        <v/>
      </c>
      <c r="AH33" s="30">
        <f>IF(19&gt;$B$3,99,INDEX(Symboles!$G$6:$G$101,MOD(18+$C33+(-4),$B$3)+1)*E33+INDEX(Symboles!$G$6:$G$101,MOD(18+$C33+(-3),$B$3)+1)*F33+INDEX(Symboles!$G$6:$G$101,MOD(18+$C33+(-2),$B$3)+1)*G33+INDEX(Symboles!$G$6:$G$101,MOD(18+$C33+(-1),$B$3)+1)*H33+INDEX(Symboles!$G$6:$G$101,MOD(18+$C33+(0),$B$3)+1)*I33+INDEX(Symboles!$G$6:$G$101,MOD(18+$C33+(1),$B$3)+1)*J33+INDEX(Symboles!$G$6:$G$101,MOD(18+$C33+(2),$B$3)+1)*K33+INDEX(Symboles!$G$6:$G$101,MOD(18+$C33+(3),$B$3)+1)*L33+INDEX(Symboles!$G$6:$G$101,MOD(18+$C33+(4),$B$3)+1)*M33+IF($B$6=0,0,$B$6*NORMSINV(0.000001+0.999998*RAND())))</f>
        <v/>
      </c>
      <c r="AI33" s="30">
        <f>IF(20&gt;$B$3,99,INDEX(Symboles!$G$6:$G$101,MOD(19+$C33+(-4),$B$3)+1)*E33+INDEX(Symboles!$G$6:$G$101,MOD(19+$C33+(-3),$B$3)+1)*F33+INDEX(Symboles!$G$6:$G$101,MOD(19+$C33+(-2),$B$3)+1)*G33+INDEX(Symboles!$G$6:$G$101,MOD(19+$C33+(-1),$B$3)+1)*H33+INDEX(Symboles!$G$6:$G$101,MOD(19+$C33+(0),$B$3)+1)*I33+INDEX(Symboles!$G$6:$G$101,MOD(19+$C33+(1),$B$3)+1)*J33+INDEX(Symboles!$G$6:$G$101,MOD(19+$C33+(2),$B$3)+1)*K33+INDEX(Symboles!$G$6:$G$101,MOD(19+$C33+(3),$B$3)+1)*L33+INDEX(Symboles!$G$6:$G$101,MOD(19+$C33+(4),$B$3)+1)*M33+IF($B$6=0,0,$B$6*NORMSINV(0.000001+0.999998*RAND())))</f>
        <v/>
      </c>
      <c r="AJ33" s="30">
        <f>IF(21&gt;$B$3,99,INDEX(Symboles!$G$6:$G$101,MOD(20+$C33+(-4),$B$3)+1)*E33+INDEX(Symboles!$G$6:$G$101,MOD(20+$C33+(-3),$B$3)+1)*F33+INDEX(Symboles!$G$6:$G$101,MOD(20+$C33+(-2),$B$3)+1)*G33+INDEX(Symboles!$G$6:$G$101,MOD(20+$C33+(-1),$B$3)+1)*H33+INDEX(Symboles!$G$6:$G$101,MOD(20+$C33+(0),$B$3)+1)*I33+INDEX(Symboles!$G$6:$G$101,MOD(20+$C33+(1),$B$3)+1)*J33+INDEX(Symboles!$G$6:$G$101,MOD(20+$C33+(2),$B$3)+1)*K33+INDEX(Symboles!$G$6:$G$101,MOD(20+$C33+(3),$B$3)+1)*L33+INDEX(Symboles!$G$6:$G$101,MOD(20+$C33+(4),$B$3)+1)*M33+IF($B$6=0,0,$B$6*NORMSINV(0.000001+0.999998*RAND())))</f>
        <v/>
      </c>
      <c r="AK33" s="30">
        <f>IF(22&gt;$B$3,99,INDEX(Symboles!$G$6:$G$101,MOD(21+$C33+(-4),$B$3)+1)*E33+INDEX(Symboles!$G$6:$G$101,MOD(21+$C33+(-3),$B$3)+1)*F33+INDEX(Symboles!$G$6:$G$101,MOD(21+$C33+(-2),$B$3)+1)*G33+INDEX(Symboles!$G$6:$G$101,MOD(21+$C33+(-1),$B$3)+1)*H33+INDEX(Symboles!$G$6:$G$101,MOD(21+$C33+(0),$B$3)+1)*I33+INDEX(Symboles!$G$6:$G$101,MOD(21+$C33+(1),$B$3)+1)*J33+INDEX(Symboles!$G$6:$G$101,MOD(21+$C33+(2),$B$3)+1)*K33+INDEX(Symboles!$G$6:$G$101,MOD(21+$C33+(3),$B$3)+1)*L33+INDEX(Symboles!$G$6:$G$101,MOD(21+$C33+(4),$B$3)+1)*M33+IF($B$6=0,0,$B$6*NORMSINV(0.000001+0.999998*RAND())))</f>
        <v/>
      </c>
      <c r="AL33" s="30">
        <f>IF(23&gt;$B$3,99,INDEX(Symboles!$G$6:$G$101,MOD(22+$C33+(-4),$B$3)+1)*E33+INDEX(Symboles!$G$6:$G$101,MOD(22+$C33+(-3),$B$3)+1)*F33+INDEX(Symboles!$G$6:$G$101,MOD(22+$C33+(-2),$B$3)+1)*G33+INDEX(Symboles!$G$6:$G$101,MOD(22+$C33+(-1),$B$3)+1)*H33+INDEX(Symboles!$G$6:$G$101,MOD(22+$C33+(0),$B$3)+1)*I33+INDEX(Symboles!$G$6:$G$101,MOD(22+$C33+(1),$B$3)+1)*J33+INDEX(Symboles!$G$6:$G$101,MOD(22+$C33+(2),$B$3)+1)*K33+INDEX(Symboles!$G$6:$G$101,MOD(22+$C33+(3),$B$3)+1)*L33+INDEX(Symboles!$G$6:$G$101,MOD(22+$C33+(4),$B$3)+1)*M33+IF($B$6=0,0,$B$6*NORMSINV(0.000001+0.999998*RAND())))</f>
        <v/>
      </c>
      <c r="AM33" s="30">
        <f>IF(24&gt;$B$3,99,INDEX(Symboles!$G$6:$G$101,MOD(23+$C33+(-4),$B$3)+1)*E33+INDEX(Symboles!$G$6:$G$101,MOD(23+$C33+(-3),$B$3)+1)*F33+INDEX(Symboles!$G$6:$G$101,MOD(23+$C33+(-2),$B$3)+1)*G33+INDEX(Symboles!$G$6:$G$101,MOD(23+$C33+(-1),$B$3)+1)*H33+INDEX(Symboles!$G$6:$G$101,MOD(23+$C33+(0),$B$3)+1)*I33+INDEX(Symboles!$G$6:$G$101,MOD(23+$C33+(1),$B$3)+1)*J33+INDEX(Symboles!$G$6:$G$101,MOD(23+$C33+(2),$B$3)+1)*K33+INDEX(Symboles!$G$6:$G$101,MOD(23+$C33+(3),$B$3)+1)*L33+INDEX(Symboles!$G$6:$G$101,MOD(23+$C33+(4),$B$3)+1)*M33+IF($B$6=0,0,$B$6*NORMSINV(0.000001+0.999998*RAND())))</f>
        <v/>
      </c>
      <c r="AN33" s="30">
        <f>IF(25&gt;$B$3,99,INDEX(Symboles!$G$6:$G$101,MOD(24+$C33+(-4),$B$3)+1)*E33+INDEX(Symboles!$G$6:$G$101,MOD(24+$C33+(-3),$B$3)+1)*F33+INDEX(Symboles!$G$6:$G$101,MOD(24+$C33+(-2),$B$3)+1)*G33+INDEX(Symboles!$G$6:$G$101,MOD(24+$C33+(-1),$B$3)+1)*H33+INDEX(Symboles!$G$6:$G$101,MOD(24+$C33+(0),$B$3)+1)*I33+INDEX(Symboles!$G$6:$G$101,MOD(24+$C33+(1),$B$3)+1)*J33+INDEX(Symboles!$G$6:$G$101,MOD(24+$C33+(2),$B$3)+1)*K33+INDEX(Symboles!$G$6:$G$101,MOD(24+$C33+(3),$B$3)+1)*L33+INDEX(Symboles!$G$6:$G$101,MOD(24+$C33+(4),$B$3)+1)*M33+IF($B$6=0,0,$B$6*NORMSINV(0.000001+0.999998*RAND())))</f>
        <v/>
      </c>
      <c r="AO33" s="30">
        <f>IF(26&gt;$B$3,99,INDEX(Symboles!$G$6:$G$101,MOD(25+$C33+(-4),$B$3)+1)*E33+INDEX(Symboles!$G$6:$G$101,MOD(25+$C33+(-3),$B$3)+1)*F33+INDEX(Symboles!$G$6:$G$101,MOD(25+$C33+(-2),$B$3)+1)*G33+INDEX(Symboles!$G$6:$G$101,MOD(25+$C33+(-1),$B$3)+1)*H33+INDEX(Symboles!$G$6:$G$101,MOD(25+$C33+(0),$B$3)+1)*I33+INDEX(Symboles!$G$6:$G$101,MOD(25+$C33+(1),$B$3)+1)*J33+INDEX(Symboles!$G$6:$G$101,MOD(25+$C33+(2),$B$3)+1)*K33+INDEX(Symboles!$G$6:$G$101,MOD(25+$C33+(3),$B$3)+1)*L33+INDEX(Symboles!$G$6:$G$101,MOD(25+$C33+(4),$B$3)+1)*M33+IF($B$6=0,0,$B$6*NORMSINV(0.000001+0.999998*RAND())))</f>
        <v/>
      </c>
      <c r="AP33" s="30">
        <f>IF(27&gt;$B$3,99,INDEX(Symboles!$G$6:$G$101,MOD(26+$C33+(-4),$B$3)+1)*E33+INDEX(Symboles!$G$6:$G$101,MOD(26+$C33+(-3),$B$3)+1)*F33+INDEX(Symboles!$G$6:$G$101,MOD(26+$C33+(-2),$B$3)+1)*G33+INDEX(Symboles!$G$6:$G$101,MOD(26+$C33+(-1),$B$3)+1)*H33+INDEX(Symboles!$G$6:$G$101,MOD(26+$C33+(0),$B$3)+1)*I33+INDEX(Symboles!$G$6:$G$101,MOD(26+$C33+(1),$B$3)+1)*J33+INDEX(Symboles!$G$6:$G$101,MOD(26+$C33+(2),$B$3)+1)*K33+INDEX(Symboles!$G$6:$G$101,MOD(26+$C33+(3),$B$3)+1)*L33+INDEX(Symboles!$G$6:$G$101,MOD(26+$C33+(4),$B$3)+1)*M33+IF($B$6=0,0,$B$6*NORMSINV(0.000001+0.999998*RAND())))</f>
        <v/>
      </c>
      <c r="AQ33" s="30">
        <f>IF(28&gt;$B$3,99,INDEX(Symboles!$G$6:$G$101,MOD(27+$C33+(-4),$B$3)+1)*E33+INDEX(Symboles!$G$6:$G$101,MOD(27+$C33+(-3),$B$3)+1)*F33+INDEX(Symboles!$G$6:$G$101,MOD(27+$C33+(-2),$B$3)+1)*G33+INDEX(Symboles!$G$6:$G$101,MOD(27+$C33+(-1),$B$3)+1)*H33+INDEX(Symboles!$G$6:$G$101,MOD(27+$C33+(0),$B$3)+1)*I33+INDEX(Symboles!$G$6:$G$101,MOD(27+$C33+(1),$B$3)+1)*J33+INDEX(Symboles!$G$6:$G$101,MOD(27+$C33+(2),$B$3)+1)*K33+INDEX(Symboles!$G$6:$G$101,MOD(27+$C33+(3),$B$3)+1)*L33+INDEX(Symboles!$G$6:$G$101,MOD(27+$C33+(4),$B$3)+1)*M33+IF($B$6=0,0,$B$6*NORMSINV(0.000001+0.999998*RAND())))</f>
        <v/>
      </c>
      <c r="AR33" s="30">
        <f>IF(29&gt;$B$3,99,INDEX(Symboles!$G$6:$G$101,MOD(28+$C33+(-4),$B$3)+1)*E33+INDEX(Symboles!$G$6:$G$101,MOD(28+$C33+(-3),$B$3)+1)*F33+INDEX(Symboles!$G$6:$G$101,MOD(28+$C33+(-2),$B$3)+1)*G33+INDEX(Symboles!$G$6:$G$101,MOD(28+$C33+(-1),$B$3)+1)*H33+INDEX(Symboles!$G$6:$G$101,MOD(28+$C33+(0),$B$3)+1)*I33+INDEX(Symboles!$G$6:$G$101,MOD(28+$C33+(1),$B$3)+1)*J33+INDEX(Symboles!$G$6:$G$101,MOD(28+$C33+(2),$B$3)+1)*K33+INDEX(Symboles!$G$6:$G$101,MOD(28+$C33+(3),$B$3)+1)*L33+INDEX(Symboles!$G$6:$G$101,MOD(28+$C33+(4),$B$3)+1)*M33+IF($B$6=0,0,$B$6*NORMSINV(0.000001+0.999998*RAND())))</f>
        <v/>
      </c>
      <c r="AS33" s="30">
        <f>IF(30&gt;$B$3,99,INDEX(Symboles!$G$6:$G$101,MOD(29+$C33+(-4),$B$3)+1)*E33+INDEX(Symboles!$G$6:$G$101,MOD(29+$C33+(-3),$B$3)+1)*F33+INDEX(Symboles!$G$6:$G$101,MOD(29+$C33+(-2),$B$3)+1)*G33+INDEX(Symboles!$G$6:$G$101,MOD(29+$C33+(-1),$B$3)+1)*H33+INDEX(Symboles!$G$6:$G$101,MOD(29+$C33+(0),$B$3)+1)*I33+INDEX(Symboles!$G$6:$G$101,MOD(29+$C33+(1),$B$3)+1)*J33+INDEX(Symboles!$G$6:$G$101,MOD(29+$C33+(2),$B$3)+1)*K33+INDEX(Symboles!$G$6:$G$101,MOD(29+$C33+(3),$B$3)+1)*L33+INDEX(Symboles!$G$6:$G$101,MOD(29+$C33+(4),$B$3)+1)*M33+IF($B$6=0,0,$B$6*NORMSINV(0.000001+0.999998*RAND())))</f>
        <v/>
      </c>
      <c r="AT33" s="30">
        <f>IF(31&gt;$B$3,99,INDEX(Symboles!$G$6:$G$101,MOD(30+$C33+(-4),$B$3)+1)*E33+INDEX(Symboles!$G$6:$G$101,MOD(30+$C33+(-3),$B$3)+1)*F33+INDEX(Symboles!$G$6:$G$101,MOD(30+$C33+(-2),$B$3)+1)*G33+INDEX(Symboles!$G$6:$G$101,MOD(30+$C33+(-1),$B$3)+1)*H33+INDEX(Symboles!$G$6:$G$101,MOD(30+$C33+(0),$B$3)+1)*I33+INDEX(Symboles!$G$6:$G$101,MOD(30+$C33+(1),$B$3)+1)*J33+INDEX(Symboles!$G$6:$G$101,MOD(30+$C33+(2),$B$3)+1)*K33+INDEX(Symboles!$G$6:$G$101,MOD(30+$C33+(3),$B$3)+1)*L33+INDEX(Symboles!$G$6:$G$101,MOD(30+$C33+(4),$B$3)+1)*M33+IF($B$6=0,0,$B$6*NORMSINV(0.000001+0.999998*RAND())))</f>
        <v/>
      </c>
      <c r="AU33" s="30">
        <f>IF(32&gt;$B$3,99,INDEX(Symboles!$G$6:$G$101,MOD(31+$C33+(-4),$B$3)+1)*E33+INDEX(Symboles!$G$6:$G$101,MOD(31+$C33+(-3),$B$3)+1)*F33+INDEX(Symboles!$G$6:$G$101,MOD(31+$C33+(-2),$B$3)+1)*G33+INDEX(Symboles!$G$6:$G$101,MOD(31+$C33+(-1),$B$3)+1)*H33+INDEX(Symboles!$G$6:$G$101,MOD(31+$C33+(0),$B$3)+1)*I33+INDEX(Symboles!$G$6:$G$101,MOD(31+$C33+(1),$B$3)+1)*J33+INDEX(Symboles!$G$6:$G$101,MOD(31+$C33+(2),$B$3)+1)*K33+INDEX(Symboles!$G$6:$G$101,MOD(31+$C33+(3),$B$3)+1)*L33+INDEX(Symboles!$G$6:$G$101,MOD(31+$C33+(4),$B$3)+1)*M33+IF($B$6=0,0,$B$6*NORMSINV(0.000001+0.999998*RAND())))</f>
        <v/>
      </c>
      <c r="AV33" s="30">
        <f>IF(33&gt;$B$3,99,INDEX(Symboles!$G$6:$G$101,MOD(32+$C33+(-4),$B$3)+1)*E33+INDEX(Symboles!$G$6:$G$101,MOD(32+$C33+(-3),$B$3)+1)*F33+INDEX(Symboles!$G$6:$G$101,MOD(32+$C33+(-2),$B$3)+1)*G33+INDEX(Symboles!$G$6:$G$101,MOD(32+$C33+(-1),$B$3)+1)*H33+INDEX(Symboles!$G$6:$G$101,MOD(32+$C33+(0),$B$3)+1)*I33+INDEX(Symboles!$G$6:$G$101,MOD(32+$C33+(1),$B$3)+1)*J33+INDEX(Symboles!$G$6:$G$101,MOD(32+$C33+(2),$B$3)+1)*K33+INDEX(Symboles!$G$6:$G$101,MOD(32+$C33+(3),$B$3)+1)*L33+INDEX(Symboles!$G$6:$G$101,MOD(32+$C33+(4),$B$3)+1)*M33+IF($B$6=0,0,$B$6*NORMSINV(0.000001+0.999998*RAND())))</f>
        <v/>
      </c>
      <c r="AW33" s="30">
        <f>IF(34&gt;$B$3,99,INDEX(Symboles!$G$6:$G$101,MOD(33+$C33+(-4),$B$3)+1)*E33+INDEX(Symboles!$G$6:$G$101,MOD(33+$C33+(-3),$B$3)+1)*F33+INDEX(Symboles!$G$6:$G$101,MOD(33+$C33+(-2),$B$3)+1)*G33+INDEX(Symboles!$G$6:$G$101,MOD(33+$C33+(-1),$B$3)+1)*H33+INDEX(Symboles!$G$6:$G$101,MOD(33+$C33+(0),$B$3)+1)*I33+INDEX(Symboles!$G$6:$G$101,MOD(33+$C33+(1),$B$3)+1)*J33+INDEX(Symboles!$G$6:$G$101,MOD(33+$C33+(2),$B$3)+1)*K33+INDEX(Symboles!$G$6:$G$101,MOD(33+$C33+(3),$B$3)+1)*L33+INDEX(Symboles!$G$6:$G$101,MOD(33+$C33+(4),$B$3)+1)*M33+IF($B$6=0,0,$B$6*NORMSINV(0.000001+0.999998*RAND())))</f>
        <v/>
      </c>
      <c r="AX33" s="30">
        <f>IF(35&gt;$B$3,99,INDEX(Symboles!$G$6:$G$101,MOD(34+$C33+(-4),$B$3)+1)*E33+INDEX(Symboles!$G$6:$G$101,MOD(34+$C33+(-3),$B$3)+1)*F33+INDEX(Symboles!$G$6:$G$101,MOD(34+$C33+(-2),$B$3)+1)*G33+INDEX(Symboles!$G$6:$G$101,MOD(34+$C33+(-1),$B$3)+1)*H33+INDEX(Symboles!$G$6:$G$101,MOD(34+$C33+(0),$B$3)+1)*I33+INDEX(Symboles!$G$6:$G$101,MOD(34+$C33+(1),$B$3)+1)*J33+INDEX(Symboles!$G$6:$G$101,MOD(34+$C33+(2),$B$3)+1)*K33+INDEX(Symboles!$G$6:$G$101,MOD(34+$C33+(3),$B$3)+1)*L33+INDEX(Symboles!$G$6:$G$101,MOD(34+$C33+(4),$B$3)+1)*M33+IF($B$6=0,0,$B$6*NORMSINV(0.000001+0.999998*RAND())))</f>
        <v/>
      </c>
      <c r="AY33" s="30">
        <f>IF(36&gt;$B$3,99,INDEX(Symboles!$G$6:$G$101,MOD(35+$C33+(-4),$B$3)+1)*E33+INDEX(Symboles!$G$6:$G$101,MOD(35+$C33+(-3),$B$3)+1)*F33+INDEX(Symboles!$G$6:$G$101,MOD(35+$C33+(-2),$B$3)+1)*G33+INDEX(Symboles!$G$6:$G$101,MOD(35+$C33+(-1),$B$3)+1)*H33+INDEX(Symboles!$G$6:$G$101,MOD(35+$C33+(0),$B$3)+1)*I33+INDEX(Symboles!$G$6:$G$101,MOD(35+$C33+(1),$B$3)+1)*J33+INDEX(Symboles!$G$6:$G$101,MOD(35+$C33+(2),$B$3)+1)*K33+INDEX(Symboles!$G$6:$G$101,MOD(35+$C33+(3),$B$3)+1)*L33+INDEX(Symboles!$G$6:$G$101,MOD(35+$C33+(4),$B$3)+1)*M33+IF($B$6=0,0,$B$6*NORMSINV(0.000001+0.999998*RAND())))</f>
        <v/>
      </c>
      <c r="AZ33" s="30">
        <f>IF(37&gt;$B$3,99,INDEX(Symboles!$G$6:$G$101,MOD(36+$C33+(-4),$B$3)+1)*E33+INDEX(Symboles!$G$6:$G$101,MOD(36+$C33+(-3),$B$3)+1)*F33+INDEX(Symboles!$G$6:$G$101,MOD(36+$C33+(-2),$B$3)+1)*G33+INDEX(Symboles!$G$6:$G$101,MOD(36+$C33+(-1),$B$3)+1)*H33+INDEX(Symboles!$G$6:$G$101,MOD(36+$C33+(0),$B$3)+1)*I33+INDEX(Symboles!$G$6:$G$101,MOD(36+$C33+(1),$B$3)+1)*J33+INDEX(Symboles!$G$6:$G$101,MOD(36+$C33+(2),$B$3)+1)*K33+INDEX(Symboles!$G$6:$G$101,MOD(36+$C33+(3),$B$3)+1)*L33+INDEX(Symboles!$G$6:$G$101,MOD(36+$C33+(4),$B$3)+1)*M33+IF($B$6=0,0,$B$6*NORMSINV(0.000001+0.999998*RAND())))</f>
        <v/>
      </c>
      <c r="BA33" s="30">
        <f>IF(38&gt;$B$3,99,INDEX(Symboles!$G$6:$G$101,MOD(37+$C33+(-4),$B$3)+1)*E33+INDEX(Symboles!$G$6:$G$101,MOD(37+$C33+(-3),$B$3)+1)*F33+INDEX(Symboles!$G$6:$G$101,MOD(37+$C33+(-2),$B$3)+1)*G33+INDEX(Symboles!$G$6:$G$101,MOD(37+$C33+(-1),$B$3)+1)*H33+INDEX(Symboles!$G$6:$G$101,MOD(37+$C33+(0),$B$3)+1)*I33+INDEX(Symboles!$G$6:$G$101,MOD(37+$C33+(1),$B$3)+1)*J33+INDEX(Symboles!$G$6:$G$101,MOD(37+$C33+(2),$B$3)+1)*K33+INDEX(Symboles!$G$6:$G$101,MOD(37+$C33+(3),$B$3)+1)*L33+INDEX(Symboles!$G$6:$G$101,MOD(37+$C33+(4),$B$3)+1)*M33+IF($B$6=0,0,$B$6*NORMSINV(0.000001+0.999998*RAND())))</f>
        <v/>
      </c>
      <c r="BB33" s="30">
        <f>IF(39&gt;$B$3,99,INDEX(Symboles!$G$6:$G$101,MOD(38+$C33+(-4),$B$3)+1)*E33+INDEX(Symboles!$G$6:$G$101,MOD(38+$C33+(-3),$B$3)+1)*F33+INDEX(Symboles!$G$6:$G$101,MOD(38+$C33+(-2),$B$3)+1)*G33+INDEX(Symboles!$G$6:$G$101,MOD(38+$C33+(-1),$B$3)+1)*H33+INDEX(Symboles!$G$6:$G$101,MOD(38+$C33+(0),$B$3)+1)*I33+INDEX(Symboles!$G$6:$G$101,MOD(38+$C33+(1),$B$3)+1)*J33+INDEX(Symboles!$G$6:$G$101,MOD(38+$C33+(2),$B$3)+1)*K33+INDEX(Symboles!$G$6:$G$101,MOD(38+$C33+(3),$B$3)+1)*L33+INDEX(Symboles!$G$6:$G$101,MOD(38+$C33+(4),$B$3)+1)*M33+IF($B$6=0,0,$B$6*NORMSINV(0.000001+0.999998*RAND())))</f>
        <v/>
      </c>
      <c r="BC33" s="30">
        <f>IF(40&gt;$B$3,99,INDEX(Symboles!$G$6:$G$101,MOD(39+$C33+(-4),$B$3)+1)*E33+INDEX(Symboles!$G$6:$G$101,MOD(39+$C33+(-3),$B$3)+1)*F33+INDEX(Symboles!$G$6:$G$101,MOD(39+$C33+(-2),$B$3)+1)*G33+INDEX(Symboles!$G$6:$G$101,MOD(39+$C33+(-1),$B$3)+1)*H33+INDEX(Symboles!$G$6:$G$101,MOD(39+$C33+(0),$B$3)+1)*I33+INDEX(Symboles!$G$6:$G$101,MOD(39+$C33+(1),$B$3)+1)*J33+INDEX(Symboles!$G$6:$G$101,MOD(39+$C33+(2),$B$3)+1)*K33+INDEX(Symboles!$G$6:$G$101,MOD(39+$C33+(3),$B$3)+1)*L33+INDEX(Symboles!$G$6:$G$101,MOD(39+$C33+(4),$B$3)+1)*M33+IF($B$6=0,0,$B$6*NORMSINV(0.000001+0.999998*RAND())))</f>
        <v/>
      </c>
      <c r="BD33" s="30">
        <f>IF(41&gt;$B$3,99,INDEX(Symboles!$G$6:$G$101,MOD(40+$C33+(-4),$B$3)+1)*E33+INDEX(Symboles!$G$6:$G$101,MOD(40+$C33+(-3),$B$3)+1)*F33+INDEX(Symboles!$G$6:$G$101,MOD(40+$C33+(-2),$B$3)+1)*G33+INDEX(Symboles!$G$6:$G$101,MOD(40+$C33+(-1),$B$3)+1)*H33+INDEX(Symboles!$G$6:$G$101,MOD(40+$C33+(0),$B$3)+1)*I33+INDEX(Symboles!$G$6:$G$101,MOD(40+$C33+(1),$B$3)+1)*J33+INDEX(Symboles!$G$6:$G$101,MOD(40+$C33+(2),$B$3)+1)*K33+INDEX(Symboles!$G$6:$G$101,MOD(40+$C33+(3),$B$3)+1)*L33+INDEX(Symboles!$G$6:$G$101,MOD(40+$C33+(4),$B$3)+1)*M33+IF($B$6=0,0,$B$6*NORMSINV(0.000001+0.999998*RAND())))</f>
        <v/>
      </c>
      <c r="BE33" s="30">
        <f>IF(42&gt;$B$3,99,INDEX(Symboles!$G$6:$G$101,MOD(41+$C33+(-4),$B$3)+1)*E33+INDEX(Symboles!$G$6:$G$101,MOD(41+$C33+(-3),$B$3)+1)*F33+INDEX(Symboles!$G$6:$G$101,MOD(41+$C33+(-2),$B$3)+1)*G33+INDEX(Symboles!$G$6:$G$101,MOD(41+$C33+(-1),$B$3)+1)*H33+INDEX(Symboles!$G$6:$G$101,MOD(41+$C33+(0),$B$3)+1)*I33+INDEX(Symboles!$G$6:$G$101,MOD(41+$C33+(1),$B$3)+1)*J33+INDEX(Symboles!$G$6:$G$101,MOD(41+$C33+(2),$B$3)+1)*K33+INDEX(Symboles!$G$6:$G$101,MOD(41+$C33+(3),$B$3)+1)*L33+INDEX(Symboles!$G$6:$G$101,MOD(41+$C33+(4),$B$3)+1)*M33+IF($B$6=0,0,$B$6*NORMSINV(0.000001+0.999998*RAND())))</f>
        <v/>
      </c>
      <c r="BF33" s="30">
        <f>IF(43&gt;$B$3,99,INDEX(Symboles!$G$6:$G$101,MOD(42+$C33+(-4),$B$3)+1)*E33+INDEX(Symboles!$G$6:$G$101,MOD(42+$C33+(-3),$B$3)+1)*F33+INDEX(Symboles!$G$6:$G$101,MOD(42+$C33+(-2),$B$3)+1)*G33+INDEX(Symboles!$G$6:$G$101,MOD(42+$C33+(-1),$B$3)+1)*H33+INDEX(Symboles!$G$6:$G$101,MOD(42+$C33+(0),$B$3)+1)*I33+INDEX(Symboles!$G$6:$G$101,MOD(42+$C33+(1),$B$3)+1)*J33+INDEX(Symboles!$G$6:$G$101,MOD(42+$C33+(2),$B$3)+1)*K33+INDEX(Symboles!$G$6:$G$101,MOD(42+$C33+(3),$B$3)+1)*L33+INDEX(Symboles!$G$6:$G$101,MOD(42+$C33+(4),$B$3)+1)*M33+IF($B$6=0,0,$B$6*NORMSINV(0.000001+0.999998*RAND())))</f>
        <v/>
      </c>
      <c r="BG33" s="30">
        <f>IF(44&gt;$B$3,99,INDEX(Symboles!$G$6:$G$101,MOD(43+$C33+(-4),$B$3)+1)*E33+INDEX(Symboles!$G$6:$G$101,MOD(43+$C33+(-3),$B$3)+1)*F33+INDEX(Symboles!$G$6:$G$101,MOD(43+$C33+(-2),$B$3)+1)*G33+INDEX(Symboles!$G$6:$G$101,MOD(43+$C33+(-1),$B$3)+1)*H33+INDEX(Symboles!$G$6:$G$101,MOD(43+$C33+(0),$B$3)+1)*I33+INDEX(Symboles!$G$6:$G$101,MOD(43+$C33+(1),$B$3)+1)*J33+INDEX(Symboles!$G$6:$G$101,MOD(43+$C33+(2),$B$3)+1)*K33+INDEX(Symboles!$G$6:$G$101,MOD(43+$C33+(3),$B$3)+1)*L33+INDEX(Symboles!$G$6:$G$101,MOD(43+$C33+(4),$B$3)+1)*M33+IF($B$6=0,0,$B$6*NORMSINV(0.000001+0.999998*RAND())))</f>
        <v/>
      </c>
      <c r="BH33" s="30">
        <f>IF(45&gt;$B$3,99,INDEX(Symboles!$G$6:$G$101,MOD(44+$C33+(-4),$B$3)+1)*E33+INDEX(Symboles!$G$6:$G$101,MOD(44+$C33+(-3),$B$3)+1)*F33+INDEX(Symboles!$G$6:$G$101,MOD(44+$C33+(-2),$B$3)+1)*G33+INDEX(Symboles!$G$6:$G$101,MOD(44+$C33+(-1),$B$3)+1)*H33+INDEX(Symboles!$G$6:$G$101,MOD(44+$C33+(0),$B$3)+1)*I33+INDEX(Symboles!$G$6:$G$101,MOD(44+$C33+(1),$B$3)+1)*J33+INDEX(Symboles!$G$6:$G$101,MOD(44+$C33+(2),$B$3)+1)*K33+INDEX(Symboles!$G$6:$G$101,MOD(44+$C33+(3),$B$3)+1)*L33+INDEX(Symboles!$G$6:$G$101,MOD(44+$C33+(4),$B$3)+1)*M33+IF($B$6=0,0,$B$6*NORMSINV(0.000001+0.999998*RAND())))</f>
        <v/>
      </c>
      <c r="BI33" s="30">
        <f>IF(46&gt;$B$3,99,INDEX(Symboles!$G$6:$G$101,MOD(45+$C33+(-4),$B$3)+1)*E33+INDEX(Symboles!$G$6:$G$101,MOD(45+$C33+(-3),$B$3)+1)*F33+INDEX(Symboles!$G$6:$G$101,MOD(45+$C33+(-2),$B$3)+1)*G33+INDEX(Symboles!$G$6:$G$101,MOD(45+$C33+(-1),$B$3)+1)*H33+INDEX(Symboles!$G$6:$G$101,MOD(45+$C33+(0),$B$3)+1)*I33+INDEX(Symboles!$G$6:$G$101,MOD(45+$C33+(1),$B$3)+1)*J33+INDEX(Symboles!$G$6:$G$101,MOD(45+$C33+(2),$B$3)+1)*K33+INDEX(Symboles!$G$6:$G$101,MOD(45+$C33+(3),$B$3)+1)*L33+INDEX(Symboles!$G$6:$G$101,MOD(45+$C33+(4),$B$3)+1)*M33+IF($B$6=0,0,$B$6*NORMSINV(0.000001+0.999998*RAND())))</f>
        <v/>
      </c>
      <c r="BJ33" s="30">
        <f>IF(47&gt;$B$3,99,INDEX(Symboles!$G$6:$G$101,MOD(46+$C33+(-4),$B$3)+1)*E33+INDEX(Symboles!$G$6:$G$101,MOD(46+$C33+(-3),$B$3)+1)*F33+INDEX(Symboles!$G$6:$G$101,MOD(46+$C33+(-2),$B$3)+1)*G33+INDEX(Symboles!$G$6:$G$101,MOD(46+$C33+(-1),$B$3)+1)*H33+INDEX(Symboles!$G$6:$G$101,MOD(46+$C33+(0),$B$3)+1)*I33+INDEX(Symboles!$G$6:$G$101,MOD(46+$C33+(1),$B$3)+1)*J33+INDEX(Symboles!$G$6:$G$101,MOD(46+$C33+(2),$B$3)+1)*K33+INDEX(Symboles!$G$6:$G$101,MOD(46+$C33+(3),$B$3)+1)*L33+INDEX(Symboles!$G$6:$G$101,MOD(46+$C33+(4),$B$3)+1)*M33+IF($B$6=0,0,$B$6*NORMSINV(0.000001+0.999998*RAND())))</f>
        <v/>
      </c>
      <c r="BK33" s="30">
        <f>IF(48&gt;$B$3,99,INDEX(Symboles!$G$6:$G$101,MOD(47+$C33+(-4),$B$3)+1)*E33+INDEX(Symboles!$G$6:$G$101,MOD(47+$C33+(-3),$B$3)+1)*F33+INDEX(Symboles!$G$6:$G$101,MOD(47+$C33+(-2),$B$3)+1)*G33+INDEX(Symboles!$G$6:$G$101,MOD(47+$C33+(-1),$B$3)+1)*H33+INDEX(Symboles!$G$6:$G$101,MOD(47+$C33+(0),$B$3)+1)*I33+INDEX(Symboles!$G$6:$G$101,MOD(47+$C33+(1),$B$3)+1)*J33+INDEX(Symboles!$G$6:$G$101,MOD(47+$C33+(2),$B$3)+1)*K33+INDEX(Symboles!$G$6:$G$101,MOD(47+$C33+(3),$B$3)+1)*L33+INDEX(Symboles!$G$6:$G$101,MOD(47+$C33+(4),$B$3)+1)*M33+IF($B$6=0,0,$B$6*NORMSINV(0.000001+0.999998*RAND())))</f>
        <v/>
      </c>
      <c r="BL33" s="30">
        <f>IF(49&gt;$B$3,99,INDEX(Symboles!$G$6:$G$101,MOD(48+$C33+(-4),$B$3)+1)*E33+INDEX(Symboles!$G$6:$G$101,MOD(48+$C33+(-3),$B$3)+1)*F33+INDEX(Symboles!$G$6:$G$101,MOD(48+$C33+(-2),$B$3)+1)*G33+INDEX(Symboles!$G$6:$G$101,MOD(48+$C33+(-1),$B$3)+1)*H33+INDEX(Symboles!$G$6:$G$101,MOD(48+$C33+(0),$B$3)+1)*I33+INDEX(Symboles!$G$6:$G$101,MOD(48+$C33+(1),$B$3)+1)*J33+INDEX(Symboles!$G$6:$G$101,MOD(48+$C33+(2),$B$3)+1)*K33+INDEX(Symboles!$G$6:$G$101,MOD(48+$C33+(3),$B$3)+1)*L33+INDEX(Symboles!$G$6:$G$101,MOD(48+$C33+(4),$B$3)+1)*M33+IF($B$6=0,0,$B$6*NORMSINV(0.000001+0.999998*RAND())))</f>
        <v/>
      </c>
      <c r="BM33" s="30">
        <f>IF(50&gt;$B$3,99,INDEX(Symboles!$G$6:$G$101,MOD(49+$C33+(-4),$B$3)+1)*E33+INDEX(Symboles!$G$6:$G$101,MOD(49+$C33+(-3),$B$3)+1)*F33+INDEX(Symboles!$G$6:$G$101,MOD(49+$C33+(-2),$B$3)+1)*G33+INDEX(Symboles!$G$6:$G$101,MOD(49+$C33+(-1),$B$3)+1)*H33+INDEX(Symboles!$G$6:$G$101,MOD(49+$C33+(0),$B$3)+1)*I33+INDEX(Symboles!$G$6:$G$101,MOD(49+$C33+(1),$B$3)+1)*J33+INDEX(Symboles!$G$6:$G$101,MOD(49+$C33+(2),$B$3)+1)*K33+INDEX(Symboles!$G$6:$G$101,MOD(49+$C33+(3),$B$3)+1)*L33+INDEX(Symboles!$G$6:$G$101,MOD(49+$C33+(4),$B$3)+1)*M33+IF($B$6=0,0,$B$6*NORMSINV(0.000001+0.999998*RAND())))</f>
        <v/>
      </c>
      <c r="BN33" s="30">
        <f>IF(51&gt;$B$3,99,INDEX(Symboles!$G$6:$G$101,MOD(50+$C33+(-4),$B$3)+1)*E33+INDEX(Symboles!$G$6:$G$101,MOD(50+$C33+(-3),$B$3)+1)*F33+INDEX(Symboles!$G$6:$G$101,MOD(50+$C33+(-2),$B$3)+1)*G33+INDEX(Symboles!$G$6:$G$101,MOD(50+$C33+(-1),$B$3)+1)*H33+INDEX(Symboles!$G$6:$G$101,MOD(50+$C33+(0),$B$3)+1)*I33+INDEX(Symboles!$G$6:$G$101,MOD(50+$C33+(1),$B$3)+1)*J33+INDEX(Symboles!$G$6:$G$101,MOD(50+$C33+(2),$B$3)+1)*K33+INDEX(Symboles!$G$6:$G$101,MOD(50+$C33+(3),$B$3)+1)*L33+INDEX(Symboles!$G$6:$G$101,MOD(50+$C33+(4),$B$3)+1)*M33+IF($B$6=0,0,$B$6*NORMSINV(0.000001+0.999998*RAND())))</f>
        <v/>
      </c>
      <c r="BO33" s="30">
        <f>IF(52&gt;$B$3,99,INDEX(Symboles!$G$6:$G$101,MOD(51+$C33+(-4),$B$3)+1)*E33+INDEX(Symboles!$G$6:$G$101,MOD(51+$C33+(-3),$B$3)+1)*F33+INDEX(Symboles!$G$6:$G$101,MOD(51+$C33+(-2),$B$3)+1)*G33+INDEX(Symboles!$G$6:$G$101,MOD(51+$C33+(-1),$B$3)+1)*H33+INDEX(Symboles!$G$6:$G$101,MOD(51+$C33+(0),$B$3)+1)*I33+INDEX(Symboles!$G$6:$G$101,MOD(51+$C33+(1),$B$3)+1)*J33+INDEX(Symboles!$G$6:$G$101,MOD(51+$C33+(2),$B$3)+1)*K33+INDEX(Symboles!$G$6:$G$101,MOD(51+$C33+(3),$B$3)+1)*L33+INDEX(Symboles!$G$6:$G$101,MOD(51+$C33+(4),$B$3)+1)*M33+IF($B$6=0,0,$B$6*NORMSINV(0.000001+0.999998*RAND())))</f>
        <v/>
      </c>
      <c r="BP33" s="30">
        <f>IF(53&gt;$B$3,99,INDEX(Symboles!$G$6:$G$101,MOD(52+$C33+(-4),$B$3)+1)*E33+INDEX(Symboles!$G$6:$G$101,MOD(52+$C33+(-3),$B$3)+1)*F33+INDEX(Symboles!$G$6:$G$101,MOD(52+$C33+(-2),$B$3)+1)*G33+INDEX(Symboles!$G$6:$G$101,MOD(52+$C33+(-1),$B$3)+1)*H33+INDEX(Symboles!$G$6:$G$101,MOD(52+$C33+(0),$B$3)+1)*I33+INDEX(Symboles!$G$6:$G$101,MOD(52+$C33+(1),$B$3)+1)*J33+INDEX(Symboles!$G$6:$G$101,MOD(52+$C33+(2),$B$3)+1)*K33+INDEX(Symboles!$G$6:$G$101,MOD(52+$C33+(3),$B$3)+1)*L33+INDEX(Symboles!$G$6:$G$101,MOD(52+$C33+(4),$B$3)+1)*M33+IF($B$6=0,0,$B$6*NORMSINV(0.000001+0.999998*RAND())))</f>
        <v/>
      </c>
      <c r="BQ33" s="30">
        <f>IF(54&gt;$B$3,99,INDEX(Symboles!$G$6:$G$101,MOD(53+$C33+(-4),$B$3)+1)*E33+INDEX(Symboles!$G$6:$G$101,MOD(53+$C33+(-3),$B$3)+1)*F33+INDEX(Symboles!$G$6:$G$101,MOD(53+$C33+(-2),$B$3)+1)*G33+INDEX(Symboles!$G$6:$G$101,MOD(53+$C33+(-1),$B$3)+1)*H33+INDEX(Symboles!$G$6:$G$101,MOD(53+$C33+(0),$B$3)+1)*I33+INDEX(Symboles!$G$6:$G$101,MOD(53+$C33+(1),$B$3)+1)*J33+INDEX(Symboles!$G$6:$G$101,MOD(53+$C33+(2),$B$3)+1)*K33+INDEX(Symboles!$G$6:$G$101,MOD(53+$C33+(3),$B$3)+1)*L33+INDEX(Symboles!$G$6:$G$101,MOD(53+$C33+(4),$B$3)+1)*M33+IF($B$6=0,0,$B$6*NORMSINV(0.000001+0.999998*RAND())))</f>
        <v/>
      </c>
      <c r="BR33" s="30">
        <f>IF(55&gt;$B$3,99,INDEX(Symboles!$G$6:$G$101,MOD(54+$C33+(-4),$B$3)+1)*E33+INDEX(Symboles!$G$6:$G$101,MOD(54+$C33+(-3),$B$3)+1)*F33+INDEX(Symboles!$G$6:$G$101,MOD(54+$C33+(-2),$B$3)+1)*G33+INDEX(Symboles!$G$6:$G$101,MOD(54+$C33+(-1),$B$3)+1)*H33+INDEX(Symboles!$G$6:$G$101,MOD(54+$C33+(0),$B$3)+1)*I33+INDEX(Symboles!$G$6:$G$101,MOD(54+$C33+(1),$B$3)+1)*J33+INDEX(Symboles!$G$6:$G$101,MOD(54+$C33+(2),$B$3)+1)*K33+INDEX(Symboles!$G$6:$G$101,MOD(54+$C33+(3),$B$3)+1)*L33+INDEX(Symboles!$G$6:$G$101,MOD(54+$C33+(4),$B$3)+1)*M33+IF($B$6=0,0,$B$6*NORMSINV(0.000001+0.999998*RAND())))</f>
        <v/>
      </c>
      <c r="BS33" s="30">
        <f>IF(56&gt;$B$3,99,INDEX(Symboles!$G$6:$G$101,MOD(55+$C33+(-4),$B$3)+1)*E33+INDEX(Symboles!$G$6:$G$101,MOD(55+$C33+(-3),$B$3)+1)*F33+INDEX(Symboles!$G$6:$G$101,MOD(55+$C33+(-2),$B$3)+1)*G33+INDEX(Symboles!$G$6:$G$101,MOD(55+$C33+(-1),$B$3)+1)*H33+INDEX(Symboles!$G$6:$G$101,MOD(55+$C33+(0),$B$3)+1)*I33+INDEX(Symboles!$G$6:$G$101,MOD(55+$C33+(1),$B$3)+1)*J33+INDEX(Symboles!$G$6:$G$101,MOD(55+$C33+(2),$B$3)+1)*K33+INDEX(Symboles!$G$6:$G$101,MOD(55+$C33+(3),$B$3)+1)*L33+INDEX(Symboles!$G$6:$G$101,MOD(55+$C33+(4),$B$3)+1)*M33+IF($B$6=0,0,$B$6*NORMSINV(0.000001+0.999998*RAND())))</f>
        <v/>
      </c>
      <c r="BT33" s="30">
        <f>IF(57&gt;$B$3,99,INDEX(Symboles!$G$6:$G$101,MOD(56+$C33+(-4),$B$3)+1)*E33+INDEX(Symboles!$G$6:$G$101,MOD(56+$C33+(-3),$B$3)+1)*F33+INDEX(Symboles!$G$6:$G$101,MOD(56+$C33+(-2),$B$3)+1)*G33+INDEX(Symboles!$G$6:$G$101,MOD(56+$C33+(-1),$B$3)+1)*H33+INDEX(Symboles!$G$6:$G$101,MOD(56+$C33+(0),$B$3)+1)*I33+INDEX(Symboles!$G$6:$G$101,MOD(56+$C33+(1),$B$3)+1)*J33+INDEX(Symboles!$G$6:$G$101,MOD(56+$C33+(2),$B$3)+1)*K33+INDEX(Symboles!$G$6:$G$101,MOD(56+$C33+(3),$B$3)+1)*L33+INDEX(Symboles!$G$6:$G$101,MOD(56+$C33+(4),$B$3)+1)*M33+IF($B$6=0,0,$B$6*NORMSINV(0.000001+0.999998*RAND())))</f>
        <v/>
      </c>
      <c r="BU33" s="30">
        <f>IF(58&gt;$B$3,99,INDEX(Symboles!$G$6:$G$101,MOD(57+$C33+(-4),$B$3)+1)*E33+INDEX(Symboles!$G$6:$G$101,MOD(57+$C33+(-3),$B$3)+1)*F33+INDEX(Symboles!$G$6:$G$101,MOD(57+$C33+(-2),$B$3)+1)*G33+INDEX(Symboles!$G$6:$G$101,MOD(57+$C33+(-1),$B$3)+1)*H33+INDEX(Symboles!$G$6:$G$101,MOD(57+$C33+(0),$B$3)+1)*I33+INDEX(Symboles!$G$6:$G$101,MOD(57+$C33+(1),$B$3)+1)*J33+INDEX(Symboles!$G$6:$G$101,MOD(57+$C33+(2),$B$3)+1)*K33+INDEX(Symboles!$G$6:$G$101,MOD(57+$C33+(3),$B$3)+1)*L33+INDEX(Symboles!$G$6:$G$101,MOD(57+$C33+(4),$B$3)+1)*M33+IF($B$6=0,0,$B$6*NORMSINV(0.000001+0.999998*RAND())))</f>
        <v/>
      </c>
      <c r="BV33" s="30">
        <f>IF(59&gt;$B$3,99,INDEX(Symboles!$G$6:$G$101,MOD(58+$C33+(-4),$B$3)+1)*E33+INDEX(Symboles!$G$6:$G$101,MOD(58+$C33+(-3),$B$3)+1)*F33+INDEX(Symboles!$G$6:$G$101,MOD(58+$C33+(-2),$B$3)+1)*G33+INDEX(Symboles!$G$6:$G$101,MOD(58+$C33+(-1),$B$3)+1)*H33+INDEX(Symboles!$G$6:$G$101,MOD(58+$C33+(0),$B$3)+1)*I33+INDEX(Symboles!$G$6:$G$101,MOD(58+$C33+(1),$B$3)+1)*J33+INDEX(Symboles!$G$6:$G$101,MOD(58+$C33+(2),$B$3)+1)*K33+INDEX(Symboles!$G$6:$G$101,MOD(58+$C33+(3),$B$3)+1)*L33+INDEX(Symboles!$G$6:$G$101,MOD(58+$C33+(4),$B$3)+1)*M33+IF($B$6=0,0,$B$6*NORMSINV(0.000001+0.999998*RAND())))</f>
        <v/>
      </c>
      <c r="BW33" s="30">
        <f>IF(60&gt;$B$3,99,INDEX(Symboles!$G$6:$G$101,MOD(59+$C33+(-4),$B$3)+1)*E33+INDEX(Symboles!$G$6:$G$101,MOD(59+$C33+(-3),$B$3)+1)*F33+INDEX(Symboles!$G$6:$G$101,MOD(59+$C33+(-2),$B$3)+1)*G33+INDEX(Symboles!$G$6:$G$101,MOD(59+$C33+(-1),$B$3)+1)*H33+INDEX(Symboles!$G$6:$G$101,MOD(59+$C33+(0),$B$3)+1)*I33+INDEX(Symboles!$G$6:$G$101,MOD(59+$C33+(1),$B$3)+1)*J33+INDEX(Symboles!$G$6:$G$101,MOD(59+$C33+(2),$B$3)+1)*K33+INDEX(Symboles!$G$6:$G$101,MOD(59+$C33+(3),$B$3)+1)*L33+INDEX(Symboles!$G$6:$G$101,MOD(59+$C33+(4),$B$3)+1)*M33+IF($B$6=0,0,$B$6*NORMSINV(0.000001+0.999998*RAND())))</f>
        <v/>
      </c>
      <c r="BX33" s="30">
        <f>IF(61&gt;$B$3,99,INDEX(Symboles!$G$6:$G$101,MOD(60+$C33+(-4),$B$3)+1)*E33+INDEX(Symboles!$G$6:$G$101,MOD(60+$C33+(-3),$B$3)+1)*F33+INDEX(Symboles!$G$6:$G$101,MOD(60+$C33+(-2),$B$3)+1)*G33+INDEX(Symboles!$G$6:$G$101,MOD(60+$C33+(-1),$B$3)+1)*H33+INDEX(Symboles!$G$6:$G$101,MOD(60+$C33+(0),$B$3)+1)*I33+INDEX(Symboles!$G$6:$G$101,MOD(60+$C33+(1),$B$3)+1)*J33+INDEX(Symboles!$G$6:$G$101,MOD(60+$C33+(2),$B$3)+1)*K33+INDEX(Symboles!$G$6:$G$101,MOD(60+$C33+(3),$B$3)+1)*L33+INDEX(Symboles!$G$6:$G$101,MOD(60+$C33+(4),$B$3)+1)*M33+IF($B$6=0,0,$B$6*NORMSINV(0.000001+0.999998*RAND())))</f>
        <v/>
      </c>
      <c r="BY33" s="30">
        <f>IF(62&gt;$B$3,99,INDEX(Symboles!$G$6:$G$101,MOD(61+$C33+(-4),$B$3)+1)*E33+INDEX(Symboles!$G$6:$G$101,MOD(61+$C33+(-3),$B$3)+1)*F33+INDEX(Symboles!$G$6:$G$101,MOD(61+$C33+(-2),$B$3)+1)*G33+INDEX(Symboles!$G$6:$G$101,MOD(61+$C33+(-1),$B$3)+1)*H33+INDEX(Symboles!$G$6:$G$101,MOD(61+$C33+(0),$B$3)+1)*I33+INDEX(Symboles!$G$6:$G$101,MOD(61+$C33+(1),$B$3)+1)*J33+INDEX(Symboles!$G$6:$G$101,MOD(61+$C33+(2),$B$3)+1)*K33+INDEX(Symboles!$G$6:$G$101,MOD(61+$C33+(3),$B$3)+1)*L33+INDEX(Symboles!$G$6:$G$101,MOD(61+$C33+(4),$B$3)+1)*M33+IF($B$6=0,0,$B$6*NORMSINV(0.000001+0.999998*RAND())))</f>
        <v/>
      </c>
      <c r="BZ33" s="30">
        <f>IF(63&gt;$B$3,99,INDEX(Symboles!$G$6:$G$101,MOD(62+$C33+(-4),$B$3)+1)*E33+INDEX(Symboles!$G$6:$G$101,MOD(62+$C33+(-3),$B$3)+1)*F33+INDEX(Symboles!$G$6:$G$101,MOD(62+$C33+(-2),$B$3)+1)*G33+INDEX(Symboles!$G$6:$G$101,MOD(62+$C33+(-1),$B$3)+1)*H33+INDEX(Symboles!$G$6:$G$101,MOD(62+$C33+(0),$B$3)+1)*I33+INDEX(Symboles!$G$6:$G$101,MOD(62+$C33+(1),$B$3)+1)*J33+INDEX(Symboles!$G$6:$G$101,MOD(62+$C33+(2),$B$3)+1)*K33+INDEX(Symboles!$G$6:$G$101,MOD(62+$C33+(3),$B$3)+1)*L33+INDEX(Symboles!$G$6:$G$101,MOD(62+$C33+(4),$B$3)+1)*M33+IF($B$6=0,0,$B$6*NORMSINV(0.000001+0.999998*RAND())))</f>
        <v/>
      </c>
      <c r="CA33" s="30">
        <f>IF(64&gt;$B$3,99,INDEX(Symboles!$G$6:$G$101,MOD(63+$C33+(-4),$B$3)+1)*E33+INDEX(Symboles!$G$6:$G$101,MOD(63+$C33+(-3),$B$3)+1)*F33+INDEX(Symboles!$G$6:$G$101,MOD(63+$C33+(-2),$B$3)+1)*G33+INDEX(Symboles!$G$6:$G$101,MOD(63+$C33+(-1),$B$3)+1)*H33+INDEX(Symboles!$G$6:$G$101,MOD(63+$C33+(0),$B$3)+1)*I33+INDEX(Symboles!$G$6:$G$101,MOD(63+$C33+(1),$B$3)+1)*J33+INDEX(Symboles!$G$6:$G$101,MOD(63+$C33+(2),$B$3)+1)*K33+INDEX(Symboles!$G$6:$G$101,MOD(63+$C33+(3),$B$3)+1)*L33+INDEX(Symboles!$G$6:$G$101,MOD(63+$C33+(4),$B$3)+1)*M33+IF($B$6=0,0,$B$6*NORMSINV(0.000001+0.999998*RAND())))</f>
        <v/>
      </c>
      <c r="CB33" s="30">
        <f>IF(65&gt;$B$3,99,INDEX(Symboles!$G$6:$G$101,MOD(64+$C33+(-4),$B$3)+1)*E33+INDEX(Symboles!$G$6:$G$101,MOD(64+$C33+(-3),$B$3)+1)*F33+INDEX(Symboles!$G$6:$G$101,MOD(64+$C33+(-2),$B$3)+1)*G33+INDEX(Symboles!$G$6:$G$101,MOD(64+$C33+(-1),$B$3)+1)*H33+INDEX(Symboles!$G$6:$G$101,MOD(64+$C33+(0),$B$3)+1)*I33+INDEX(Symboles!$G$6:$G$101,MOD(64+$C33+(1),$B$3)+1)*J33+INDEX(Symboles!$G$6:$G$101,MOD(64+$C33+(2),$B$3)+1)*K33+INDEX(Symboles!$G$6:$G$101,MOD(64+$C33+(3),$B$3)+1)*L33+INDEX(Symboles!$G$6:$G$101,MOD(64+$C33+(4),$B$3)+1)*M33+IF($B$6=0,0,$B$6*NORMSINV(0.000001+0.999998*RAND())))</f>
        <v/>
      </c>
      <c r="CC33" s="30">
        <f>IF(66&gt;$B$3,99,INDEX(Symboles!$G$6:$G$101,MOD(65+$C33+(-4),$B$3)+1)*E33+INDEX(Symboles!$G$6:$G$101,MOD(65+$C33+(-3),$B$3)+1)*F33+INDEX(Symboles!$G$6:$G$101,MOD(65+$C33+(-2),$B$3)+1)*G33+INDEX(Symboles!$G$6:$G$101,MOD(65+$C33+(-1),$B$3)+1)*H33+INDEX(Symboles!$G$6:$G$101,MOD(65+$C33+(0),$B$3)+1)*I33+INDEX(Symboles!$G$6:$G$101,MOD(65+$C33+(1),$B$3)+1)*J33+INDEX(Symboles!$G$6:$G$101,MOD(65+$C33+(2),$B$3)+1)*K33+INDEX(Symboles!$G$6:$G$101,MOD(65+$C33+(3),$B$3)+1)*L33+INDEX(Symboles!$G$6:$G$101,MOD(65+$C33+(4),$B$3)+1)*M33+IF($B$6=0,0,$B$6*NORMSINV(0.000001+0.999998*RAND())))</f>
        <v/>
      </c>
      <c r="CD33" s="30">
        <f>IF(67&gt;$B$3,99,INDEX(Symboles!$G$6:$G$101,MOD(66+$C33+(-4),$B$3)+1)*E33+INDEX(Symboles!$G$6:$G$101,MOD(66+$C33+(-3),$B$3)+1)*F33+INDEX(Symboles!$G$6:$G$101,MOD(66+$C33+(-2),$B$3)+1)*G33+INDEX(Symboles!$G$6:$G$101,MOD(66+$C33+(-1),$B$3)+1)*H33+INDEX(Symboles!$G$6:$G$101,MOD(66+$C33+(0),$B$3)+1)*I33+INDEX(Symboles!$G$6:$G$101,MOD(66+$C33+(1),$B$3)+1)*J33+INDEX(Symboles!$G$6:$G$101,MOD(66+$C33+(2),$B$3)+1)*K33+INDEX(Symboles!$G$6:$G$101,MOD(66+$C33+(3),$B$3)+1)*L33+INDEX(Symboles!$G$6:$G$101,MOD(66+$C33+(4),$B$3)+1)*M33+IF($B$6=0,0,$B$6*NORMSINV(0.000001+0.999998*RAND())))</f>
        <v/>
      </c>
      <c r="CE33" s="30">
        <f>IF(68&gt;$B$3,99,INDEX(Symboles!$G$6:$G$101,MOD(67+$C33+(-4),$B$3)+1)*E33+INDEX(Symboles!$G$6:$G$101,MOD(67+$C33+(-3),$B$3)+1)*F33+INDEX(Symboles!$G$6:$G$101,MOD(67+$C33+(-2),$B$3)+1)*G33+INDEX(Symboles!$G$6:$G$101,MOD(67+$C33+(-1),$B$3)+1)*H33+INDEX(Symboles!$G$6:$G$101,MOD(67+$C33+(0),$B$3)+1)*I33+INDEX(Symboles!$G$6:$G$101,MOD(67+$C33+(1),$B$3)+1)*J33+INDEX(Symboles!$G$6:$G$101,MOD(67+$C33+(2),$B$3)+1)*K33+INDEX(Symboles!$G$6:$G$101,MOD(67+$C33+(3),$B$3)+1)*L33+INDEX(Symboles!$G$6:$G$101,MOD(67+$C33+(4),$B$3)+1)*M33+IF($B$6=0,0,$B$6*NORMSINV(0.000001+0.999998*RAND())))</f>
        <v/>
      </c>
      <c r="CF33" s="30">
        <f>IF(69&gt;$B$3,99,INDEX(Symboles!$G$6:$G$101,MOD(68+$C33+(-4),$B$3)+1)*E33+INDEX(Symboles!$G$6:$G$101,MOD(68+$C33+(-3),$B$3)+1)*F33+INDEX(Symboles!$G$6:$G$101,MOD(68+$C33+(-2),$B$3)+1)*G33+INDEX(Symboles!$G$6:$G$101,MOD(68+$C33+(-1),$B$3)+1)*H33+INDEX(Symboles!$G$6:$G$101,MOD(68+$C33+(0),$B$3)+1)*I33+INDEX(Symboles!$G$6:$G$101,MOD(68+$C33+(1),$B$3)+1)*J33+INDEX(Symboles!$G$6:$G$101,MOD(68+$C33+(2),$B$3)+1)*K33+INDEX(Symboles!$G$6:$G$101,MOD(68+$C33+(3),$B$3)+1)*L33+INDEX(Symboles!$G$6:$G$101,MOD(68+$C33+(4),$B$3)+1)*M33+IF($B$6=0,0,$B$6*NORMSINV(0.000001+0.999998*RAND())))</f>
        <v/>
      </c>
      <c r="CG33" s="30">
        <f>IF(70&gt;$B$3,99,INDEX(Symboles!$G$6:$G$101,MOD(69+$C33+(-4),$B$3)+1)*E33+INDEX(Symboles!$G$6:$G$101,MOD(69+$C33+(-3),$B$3)+1)*F33+INDEX(Symboles!$G$6:$G$101,MOD(69+$C33+(-2),$B$3)+1)*G33+INDEX(Symboles!$G$6:$G$101,MOD(69+$C33+(-1),$B$3)+1)*H33+INDEX(Symboles!$G$6:$G$101,MOD(69+$C33+(0),$B$3)+1)*I33+INDEX(Symboles!$G$6:$G$101,MOD(69+$C33+(1),$B$3)+1)*J33+INDEX(Symboles!$G$6:$G$101,MOD(69+$C33+(2),$B$3)+1)*K33+INDEX(Symboles!$G$6:$G$101,MOD(69+$C33+(3),$B$3)+1)*L33+INDEX(Symboles!$G$6:$G$101,MOD(69+$C33+(4),$B$3)+1)*M33+IF($B$6=0,0,$B$6*NORMSINV(0.000001+0.999998*RAND())))</f>
        <v/>
      </c>
      <c r="CH33" s="30">
        <f>IF(71&gt;$B$3,99,INDEX(Symboles!$G$6:$G$101,MOD(70+$C33+(-4),$B$3)+1)*E33+INDEX(Symboles!$G$6:$G$101,MOD(70+$C33+(-3),$B$3)+1)*F33+INDEX(Symboles!$G$6:$G$101,MOD(70+$C33+(-2),$B$3)+1)*G33+INDEX(Symboles!$G$6:$G$101,MOD(70+$C33+(-1),$B$3)+1)*H33+INDEX(Symboles!$G$6:$G$101,MOD(70+$C33+(0),$B$3)+1)*I33+INDEX(Symboles!$G$6:$G$101,MOD(70+$C33+(1),$B$3)+1)*J33+INDEX(Symboles!$G$6:$G$101,MOD(70+$C33+(2),$B$3)+1)*K33+INDEX(Symboles!$G$6:$G$101,MOD(70+$C33+(3),$B$3)+1)*L33+INDEX(Symboles!$G$6:$G$101,MOD(70+$C33+(4),$B$3)+1)*M33+IF($B$6=0,0,$B$6*NORMSINV(0.000001+0.999998*RAND())))</f>
        <v/>
      </c>
      <c r="CI33" s="30">
        <f>IF(72&gt;$B$3,99,INDEX(Symboles!$G$6:$G$101,MOD(71+$C33+(-4),$B$3)+1)*E33+INDEX(Symboles!$G$6:$G$101,MOD(71+$C33+(-3),$B$3)+1)*F33+INDEX(Symboles!$G$6:$G$101,MOD(71+$C33+(-2),$B$3)+1)*G33+INDEX(Symboles!$G$6:$G$101,MOD(71+$C33+(-1),$B$3)+1)*H33+INDEX(Symboles!$G$6:$G$101,MOD(71+$C33+(0),$B$3)+1)*I33+INDEX(Symboles!$G$6:$G$101,MOD(71+$C33+(1),$B$3)+1)*J33+INDEX(Symboles!$G$6:$G$101,MOD(71+$C33+(2),$B$3)+1)*K33+INDEX(Symboles!$G$6:$G$101,MOD(71+$C33+(3),$B$3)+1)*L33+INDEX(Symboles!$G$6:$G$101,MOD(71+$C33+(4),$B$3)+1)*M33+IF($B$6=0,0,$B$6*NORMSINV(0.000001+0.999998*RAND())))</f>
        <v/>
      </c>
      <c r="CJ33" s="30">
        <f>IF(73&gt;$B$3,99,INDEX(Symboles!$G$6:$G$101,MOD(72+$C33+(-4),$B$3)+1)*E33+INDEX(Symboles!$G$6:$G$101,MOD(72+$C33+(-3),$B$3)+1)*F33+INDEX(Symboles!$G$6:$G$101,MOD(72+$C33+(-2),$B$3)+1)*G33+INDEX(Symboles!$G$6:$G$101,MOD(72+$C33+(-1),$B$3)+1)*H33+INDEX(Symboles!$G$6:$G$101,MOD(72+$C33+(0),$B$3)+1)*I33+INDEX(Symboles!$G$6:$G$101,MOD(72+$C33+(1),$B$3)+1)*J33+INDEX(Symboles!$G$6:$G$101,MOD(72+$C33+(2),$B$3)+1)*K33+INDEX(Symboles!$G$6:$G$101,MOD(72+$C33+(3),$B$3)+1)*L33+INDEX(Symboles!$G$6:$G$101,MOD(72+$C33+(4),$B$3)+1)*M33+IF($B$6=0,0,$B$6*NORMSINV(0.000001+0.999998*RAND())))</f>
        <v/>
      </c>
      <c r="CK33" s="30">
        <f>IF(74&gt;$B$3,99,INDEX(Symboles!$G$6:$G$101,MOD(73+$C33+(-4),$B$3)+1)*E33+INDEX(Symboles!$G$6:$G$101,MOD(73+$C33+(-3),$B$3)+1)*F33+INDEX(Symboles!$G$6:$G$101,MOD(73+$C33+(-2),$B$3)+1)*G33+INDEX(Symboles!$G$6:$G$101,MOD(73+$C33+(-1),$B$3)+1)*H33+INDEX(Symboles!$G$6:$G$101,MOD(73+$C33+(0),$B$3)+1)*I33+INDEX(Symboles!$G$6:$G$101,MOD(73+$C33+(1),$B$3)+1)*J33+INDEX(Symboles!$G$6:$G$101,MOD(73+$C33+(2),$B$3)+1)*K33+INDEX(Symboles!$G$6:$G$101,MOD(73+$C33+(3),$B$3)+1)*L33+INDEX(Symboles!$G$6:$G$101,MOD(73+$C33+(4),$B$3)+1)*M33+IF($B$6=0,0,$B$6*NORMSINV(0.000001+0.999998*RAND())))</f>
        <v/>
      </c>
      <c r="CL33" s="30">
        <f>IF(75&gt;$B$3,99,INDEX(Symboles!$G$6:$G$101,MOD(74+$C33+(-4),$B$3)+1)*E33+INDEX(Symboles!$G$6:$G$101,MOD(74+$C33+(-3),$B$3)+1)*F33+INDEX(Symboles!$G$6:$G$101,MOD(74+$C33+(-2),$B$3)+1)*G33+INDEX(Symboles!$G$6:$G$101,MOD(74+$C33+(-1),$B$3)+1)*H33+INDEX(Symboles!$G$6:$G$101,MOD(74+$C33+(0),$B$3)+1)*I33+INDEX(Symboles!$G$6:$G$101,MOD(74+$C33+(1),$B$3)+1)*J33+INDEX(Symboles!$G$6:$G$101,MOD(74+$C33+(2),$B$3)+1)*K33+INDEX(Symboles!$G$6:$G$101,MOD(74+$C33+(3),$B$3)+1)*L33+INDEX(Symboles!$G$6:$G$101,MOD(74+$C33+(4),$B$3)+1)*M33+IF($B$6=0,0,$B$6*NORMSINV(0.000001+0.999998*RAND())))</f>
        <v/>
      </c>
      <c r="CM33" s="30">
        <f>IF(76&gt;$B$3,99,INDEX(Symboles!$G$6:$G$101,MOD(75+$C33+(-4),$B$3)+1)*E33+INDEX(Symboles!$G$6:$G$101,MOD(75+$C33+(-3),$B$3)+1)*F33+INDEX(Symboles!$G$6:$G$101,MOD(75+$C33+(-2),$B$3)+1)*G33+INDEX(Symboles!$G$6:$G$101,MOD(75+$C33+(-1),$B$3)+1)*H33+INDEX(Symboles!$G$6:$G$101,MOD(75+$C33+(0),$B$3)+1)*I33+INDEX(Symboles!$G$6:$G$101,MOD(75+$C33+(1),$B$3)+1)*J33+INDEX(Symboles!$G$6:$G$101,MOD(75+$C33+(2),$B$3)+1)*K33+INDEX(Symboles!$G$6:$G$101,MOD(75+$C33+(3),$B$3)+1)*L33+INDEX(Symboles!$G$6:$G$101,MOD(75+$C33+(4),$B$3)+1)*M33+IF($B$6=0,0,$B$6*NORMSINV(0.000001+0.999998*RAND())))</f>
        <v/>
      </c>
      <c r="CN33" s="30">
        <f>IF(77&gt;$B$3,99,INDEX(Symboles!$G$6:$G$101,MOD(76+$C33+(-4),$B$3)+1)*E33+INDEX(Symboles!$G$6:$G$101,MOD(76+$C33+(-3),$B$3)+1)*F33+INDEX(Symboles!$G$6:$G$101,MOD(76+$C33+(-2),$B$3)+1)*G33+INDEX(Symboles!$G$6:$G$101,MOD(76+$C33+(-1),$B$3)+1)*H33+INDEX(Symboles!$G$6:$G$101,MOD(76+$C33+(0),$B$3)+1)*I33+INDEX(Symboles!$G$6:$G$101,MOD(76+$C33+(1),$B$3)+1)*J33+INDEX(Symboles!$G$6:$G$101,MOD(76+$C33+(2),$B$3)+1)*K33+INDEX(Symboles!$G$6:$G$101,MOD(76+$C33+(3),$B$3)+1)*L33+INDEX(Symboles!$G$6:$G$101,MOD(76+$C33+(4),$B$3)+1)*M33+IF($B$6=0,0,$B$6*NORMSINV(0.000001+0.999998*RAND())))</f>
        <v/>
      </c>
      <c r="CO33" s="30">
        <f>IF(78&gt;$B$3,99,INDEX(Symboles!$G$6:$G$101,MOD(77+$C33+(-4),$B$3)+1)*E33+INDEX(Symboles!$G$6:$G$101,MOD(77+$C33+(-3),$B$3)+1)*F33+INDEX(Symboles!$G$6:$G$101,MOD(77+$C33+(-2),$B$3)+1)*G33+INDEX(Symboles!$G$6:$G$101,MOD(77+$C33+(-1),$B$3)+1)*H33+INDEX(Symboles!$G$6:$G$101,MOD(77+$C33+(0),$B$3)+1)*I33+INDEX(Symboles!$G$6:$G$101,MOD(77+$C33+(1),$B$3)+1)*J33+INDEX(Symboles!$G$6:$G$101,MOD(77+$C33+(2),$B$3)+1)*K33+INDEX(Symboles!$G$6:$G$101,MOD(77+$C33+(3),$B$3)+1)*L33+INDEX(Symboles!$G$6:$G$101,MOD(77+$C33+(4),$B$3)+1)*M33+IF($B$6=0,0,$B$6*NORMSINV(0.000001+0.999998*RAND())))</f>
        <v/>
      </c>
      <c r="CP33" s="30">
        <f>IF(79&gt;$B$3,99,INDEX(Symboles!$G$6:$G$101,MOD(78+$C33+(-4),$B$3)+1)*E33+INDEX(Symboles!$G$6:$G$101,MOD(78+$C33+(-3),$B$3)+1)*F33+INDEX(Symboles!$G$6:$G$101,MOD(78+$C33+(-2),$B$3)+1)*G33+INDEX(Symboles!$G$6:$G$101,MOD(78+$C33+(-1),$B$3)+1)*H33+INDEX(Symboles!$G$6:$G$101,MOD(78+$C33+(0),$B$3)+1)*I33+INDEX(Symboles!$G$6:$G$101,MOD(78+$C33+(1),$B$3)+1)*J33+INDEX(Symboles!$G$6:$G$101,MOD(78+$C33+(2),$B$3)+1)*K33+INDEX(Symboles!$G$6:$G$101,MOD(78+$C33+(3),$B$3)+1)*L33+INDEX(Symboles!$G$6:$G$101,MOD(78+$C33+(4),$B$3)+1)*M33+IF($B$6=0,0,$B$6*NORMSINV(0.000001+0.999998*RAND())))</f>
        <v/>
      </c>
      <c r="CQ33" s="30">
        <f>IF(80&gt;$B$3,99,INDEX(Symboles!$G$6:$G$101,MOD(79+$C33+(-4),$B$3)+1)*E33+INDEX(Symboles!$G$6:$G$101,MOD(79+$C33+(-3),$B$3)+1)*F33+INDEX(Symboles!$G$6:$G$101,MOD(79+$C33+(-2),$B$3)+1)*G33+INDEX(Symboles!$G$6:$G$101,MOD(79+$C33+(-1),$B$3)+1)*H33+INDEX(Symboles!$G$6:$G$101,MOD(79+$C33+(0),$B$3)+1)*I33+INDEX(Symboles!$G$6:$G$101,MOD(79+$C33+(1),$B$3)+1)*J33+INDEX(Symboles!$G$6:$G$101,MOD(79+$C33+(2),$B$3)+1)*K33+INDEX(Symboles!$G$6:$G$101,MOD(79+$C33+(3),$B$3)+1)*L33+INDEX(Symboles!$G$6:$G$101,MOD(79+$C33+(4),$B$3)+1)*M33+IF($B$6=0,0,$B$6*NORMSINV(0.000001+0.999998*RAND())))</f>
        <v/>
      </c>
      <c r="CR33" s="30">
        <f>IF(81&gt;$B$3,99,INDEX(Symboles!$G$6:$G$101,MOD(80+$C33+(-4),$B$3)+1)*E33+INDEX(Symboles!$G$6:$G$101,MOD(80+$C33+(-3),$B$3)+1)*F33+INDEX(Symboles!$G$6:$G$101,MOD(80+$C33+(-2),$B$3)+1)*G33+INDEX(Symboles!$G$6:$G$101,MOD(80+$C33+(-1),$B$3)+1)*H33+INDEX(Symboles!$G$6:$G$101,MOD(80+$C33+(0),$B$3)+1)*I33+INDEX(Symboles!$G$6:$G$101,MOD(80+$C33+(1),$B$3)+1)*J33+INDEX(Symboles!$G$6:$G$101,MOD(80+$C33+(2),$B$3)+1)*K33+INDEX(Symboles!$G$6:$G$101,MOD(80+$C33+(3),$B$3)+1)*L33+INDEX(Symboles!$G$6:$G$101,MOD(80+$C33+(4),$B$3)+1)*M33+IF($B$6=0,0,$B$6*NORMSINV(0.000001+0.999998*RAND())))</f>
        <v/>
      </c>
      <c r="CS33" s="30">
        <f>IF(82&gt;$B$3,99,INDEX(Symboles!$G$6:$G$101,MOD(81+$C33+(-4),$B$3)+1)*E33+INDEX(Symboles!$G$6:$G$101,MOD(81+$C33+(-3),$B$3)+1)*F33+INDEX(Symboles!$G$6:$G$101,MOD(81+$C33+(-2),$B$3)+1)*G33+INDEX(Symboles!$G$6:$G$101,MOD(81+$C33+(-1),$B$3)+1)*H33+INDEX(Symboles!$G$6:$G$101,MOD(81+$C33+(0),$B$3)+1)*I33+INDEX(Symboles!$G$6:$G$101,MOD(81+$C33+(1),$B$3)+1)*J33+INDEX(Symboles!$G$6:$G$101,MOD(81+$C33+(2),$B$3)+1)*K33+INDEX(Symboles!$G$6:$G$101,MOD(81+$C33+(3),$B$3)+1)*L33+INDEX(Symboles!$G$6:$G$101,MOD(81+$C33+(4),$B$3)+1)*M33+IF($B$6=0,0,$B$6*NORMSINV(0.000001+0.999998*RAND())))</f>
        <v/>
      </c>
      <c r="CT33" s="30">
        <f>IF(83&gt;$B$3,99,INDEX(Symboles!$G$6:$G$101,MOD(82+$C33+(-4),$B$3)+1)*E33+INDEX(Symboles!$G$6:$G$101,MOD(82+$C33+(-3),$B$3)+1)*F33+INDEX(Symboles!$G$6:$G$101,MOD(82+$C33+(-2),$B$3)+1)*G33+INDEX(Symboles!$G$6:$G$101,MOD(82+$C33+(-1),$B$3)+1)*H33+INDEX(Symboles!$G$6:$G$101,MOD(82+$C33+(0),$B$3)+1)*I33+INDEX(Symboles!$G$6:$G$101,MOD(82+$C33+(1),$B$3)+1)*J33+INDEX(Symboles!$G$6:$G$101,MOD(82+$C33+(2),$B$3)+1)*K33+INDEX(Symboles!$G$6:$G$101,MOD(82+$C33+(3),$B$3)+1)*L33+INDEX(Symboles!$G$6:$G$101,MOD(82+$C33+(4),$B$3)+1)*M33+IF($B$6=0,0,$B$6*NORMSINV(0.000001+0.999998*RAND())))</f>
        <v/>
      </c>
      <c r="CU33" s="30">
        <f>IF(84&gt;$B$3,99,INDEX(Symboles!$G$6:$G$101,MOD(83+$C33+(-4),$B$3)+1)*E33+INDEX(Symboles!$G$6:$G$101,MOD(83+$C33+(-3),$B$3)+1)*F33+INDEX(Symboles!$G$6:$G$101,MOD(83+$C33+(-2),$B$3)+1)*G33+INDEX(Symboles!$G$6:$G$101,MOD(83+$C33+(-1),$B$3)+1)*H33+INDEX(Symboles!$G$6:$G$101,MOD(83+$C33+(0),$B$3)+1)*I33+INDEX(Symboles!$G$6:$G$101,MOD(83+$C33+(1),$B$3)+1)*J33+INDEX(Symboles!$G$6:$G$101,MOD(83+$C33+(2),$B$3)+1)*K33+INDEX(Symboles!$G$6:$G$101,MOD(83+$C33+(3),$B$3)+1)*L33+INDEX(Symboles!$G$6:$G$101,MOD(83+$C33+(4),$B$3)+1)*M33+IF($B$6=0,0,$B$6*NORMSINV(0.000001+0.999998*RAND())))</f>
        <v/>
      </c>
      <c r="CV33" s="30">
        <f>IF(85&gt;$B$3,99,INDEX(Symboles!$G$6:$G$101,MOD(84+$C33+(-4),$B$3)+1)*E33+INDEX(Symboles!$G$6:$G$101,MOD(84+$C33+(-3),$B$3)+1)*F33+INDEX(Symboles!$G$6:$G$101,MOD(84+$C33+(-2),$B$3)+1)*G33+INDEX(Symboles!$G$6:$G$101,MOD(84+$C33+(-1),$B$3)+1)*H33+INDEX(Symboles!$G$6:$G$101,MOD(84+$C33+(0),$B$3)+1)*I33+INDEX(Symboles!$G$6:$G$101,MOD(84+$C33+(1),$B$3)+1)*J33+INDEX(Symboles!$G$6:$G$101,MOD(84+$C33+(2),$B$3)+1)*K33+INDEX(Symboles!$G$6:$G$101,MOD(84+$C33+(3),$B$3)+1)*L33+INDEX(Symboles!$G$6:$G$101,MOD(84+$C33+(4),$B$3)+1)*M33+IF($B$6=0,0,$B$6*NORMSINV(0.000001+0.999998*RAND())))</f>
        <v/>
      </c>
      <c r="CW33" s="30">
        <f>IF(86&gt;$B$3,99,INDEX(Symboles!$G$6:$G$101,MOD(85+$C33+(-4),$B$3)+1)*E33+INDEX(Symboles!$G$6:$G$101,MOD(85+$C33+(-3),$B$3)+1)*F33+INDEX(Symboles!$G$6:$G$101,MOD(85+$C33+(-2),$B$3)+1)*G33+INDEX(Symboles!$G$6:$G$101,MOD(85+$C33+(-1),$B$3)+1)*H33+INDEX(Symboles!$G$6:$G$101,MOD(85+$C33+(0),$B$3)+1)*I33+INDEX(Symboles!$G$6:$G$101,MOD(85+$C33+(1),$B$3)+1)*J33+INDEX(Symboles!$G$6:$G$101,MOD(85+$C33+(2),$B$3)+1)*K33+INDEX(Symboles!$G$6:$G$101,MOD(85+$C33+(3),$B$3)+1)*L33+INDEX(Symboles!$G$6:$G$101,MOD(85+$C33+(4),$B$3)+1)*M33+IF($B$6=0,0,$B$6*NORMSINV(0.000001+0.999998*RAND())))</f>
        <v/>
      </c>
      <c r="CX33" s="30">
        <f>IF(87&gt;$B$3,99,INDEX(Symboles!$G$6:$G$101,MOD(86+$C33+(-4),$B$3)+1)*E33+INDEX(Symboles!$G$6:$G$101,MOD(86+$C33+(-3),$B$3)+1)*F33+INDEX(Symboles!$G$6:$G$101,MOD(86+$C33+(-2),$B$3)+1)*G33+INDEX(Symboles!$G$6:$G$101,MOD(86+$C33+(-1),$B$3)+1)*H33+INDEX(Symboles!$G$6:$G$101,MOD(86+$C33+(0),$B$3)+1)*I33+INDEX(Symboles!$G$6:$G$101,MOD(86+$C33+(1),$B$3)+1)*J33+INDEX(Symboles!$G$6:$G$101,MOD(86+$C33+(2),$B$3)+1)*K33+INDEX(Symboles!$G$6:$G$101,MOD(86+$C33+(3),$B$3)+1)*L33+INDEX(Symboles!$G$6:$G$101,MOD(86+$C33+(4),$B$3)+1)*M33+IF($B$6=0,0,$B$6*NORMSINV(0.000001+0.999998*RAND())))</f>
        <v/>
      </c>
      <c r="CY33" s="30">
        <f>IF(88&gt;$B$3,99,INDEX(Symboles!$G$6:$G$101,MOD(87+$C33+(-4),$B$3)+1)*E33+INDEX(Symboles!$G$6:$G$101,MOD(87+$C33+(-3),$B$3)+1)*F33+INDEX(Symboles!$G$6:$G$101,MOD(87+$C33+(-2),$B$3)+1)*G33+INDEX(Symboles!$G$6:$G$101,MOD(87+$C33+(-1),$B$3)+1)*H33+INDEX(Symboles!$G$6:$G$101,MOD(87+$C33+(0),$B$3)+1)*I33+INDEX(Symboles!$G$6:$G$101,MOD(87+$C33+(1),$B$3)+1)*J33+INDEX(Symboles!$G$6:$G$101,MOD(87+$C33+(2),$B$3)+1)*K33+INDEX(Symboles!$G$6:$G$101,MOD(87+$C33+(3),$B$3)+1)*L33+INDEX(Symboles!$G$6:$G$101,MOD(87+$C33+(4),$B$3)+1)*M33+IF($B$6=0,0,$B$6*NORMSINV(0.000001+0.999998*RAND())))</f>
        <v/>
      </c>
      <c r="CZ33" s="30">
        <f>IF(89&gt;$B$3,99,INDEX(Symboles!$G$6:$G$101,MOD(88+$C33+(-4),$B$3)+1)*E33+INDEX(Symboles!$G$6:$G$101,MOD(88+$C33+(-3),$B$3)+1)*F33+INDEX(Symboles!$G$6:$G$101,MOD(88+$C33+(-2),$B$3)+1)*G33+INDEX(Symboles!$G$6:$G$101,MOD(88+$C33+(-1),$B$3)+1)*H33+INDEX(Symboles!$G$6:$G$101,MOD(88+$C33+(0),$B$3)+1)*I33+INDEX(Symboles!$G$6:$G$101,MOD(88+$C33+(1),$B$3)+1)*J33+INDEX(Symboles!$G$6:$G$101,MOD(88+$C33+(2),$B$3)+1)*K33+INDEX(Symboles!$G$6:$G$101,MOD(88+$C33+(3),$B$3)+1)*L33+INDEX(Symboles!$G$6:$G$101,MOD(88+$C33+(4),$B$3)+1)*M33+IF($B$6=0,0,$B$6*NORMSINV(0.000001+0.999998*RAND())))</f>
        <v/>
      </c>
      <c r="DA33" s="30">
        <f>IF(90&gt;$B$3,99,INDEX(Symboles!$G$6:$G$101,MOD(89+$C33+(-4),$B$3)+1)*E33+INDEX(Symboles!$G$6:$G$101,MOD(89+$C33+(-3),$B$3)+1)*F33+INDEX(Symboles!$G$6:$G$101,MOD(89+$C33+(-2),$B$3)+1)*G33+INDEX(Symboles!$G$6:$G$101,MOD(89+$C33+(-1),$B$3)+1)*H33+INDEX(Symboles!$G$6:$G$101,MOD(89+$C33+(0),$B$3)+1)*I33+INDEX(Symboles!$G$6:$G$101,MOD(89+$C33+(1),$B$3)+1)*J33+INDEX(Symboles!$G$6:$G$101,MOD(89+$C33+(2),$B$3)+1)*K33+INDEX(Symboles!$G$6:$G$101,MOD(89+$C33+(3),$B$3)+1)*L33+INDEX(Symboles!$G$6:$G$101,MOD(89+$C33+(4),$B$3)+1)*M33+IF($B$6=0,0,$B$6*NORMSINV(0.000001+0.999998*RAND())))</f>
        <v/>
      </c>
      <c r="DB33" s="30">
        <f>IF(91&gt;$B$3,99,INDEX(Symboles!$G$6:$G$101,MOD(90+$C33+(-4),$B$3)+1)*E33+INDEX(Symboles!$G$6:$G$101,MOD(90+$C33+(-3),$B$3)+1)*F33+INDEX(Symboles!$G$6:$G$101,MOD(90+$C33+(-2),$B$3)+1)*G33+INDEX(Symboles!$G$6:$G$101,MOD(90+$C33+(-1),$B$3)+1)*H33+INDEX(Symboles!$G$6:$G$101,MOD(90+$C33+(0),$B$3)+1)*I33+INDEX(Symboles!$G$6:$G$101,MOD(90+$C33+(1),$B$3)+1)*J33+INDEX(Symboles!$G$6:$G$101,MOD(90+$C33+(2),$B$3)+1)*K33+INDEX(Symboles!$G$6:$G$101,MOD(90+$C33+(3),$B$3)+1)*L33+INDEX(Symboles!$G$6:$G$101,MOD(90+$C33+(4),$B$3)+1)*M33+IF($B$6=0,0,$B$6*NORMSINV(0.000001+0.999998*RAND())))</f>
        <v/>
      </c>
      <c r="DC33" s="30">
        <f>IF(92&gt;$B$3,99,INDEX(Symboles!$G$6:$G$101,MOD(91+$C33+(-4),$B$3)+1)*E33+INDEX(Symboles!$G$6:$G$101,MOD(91+$C33+(-3),$B$3)+1)*F33+INDEX(Symboles!$G$6:$G$101,MOD(91+$C33+(-2),$B$3)+1)*G33+INDEX(Symboles!$G$6:$G$101,MOD(91+$C33+(-1),$B$3)+1)*H33+INDEX(Symboles!$G$6:$G$101,MOD(91+$C33+(0),$B$3)+1)*I33+INDEX(Symboles!$G$6:$G$101,MOD(91+$C33+(1),$B$3)+1)*J33+INDEX(Symboles!$G$6:$G$101,MOD(91+$C33+(2),$B$3)+1)*K33+INDEX(Symboles!$G$6:$G$101,MOD(91+$C33+(3),$B$3)+1)*L33+INDEX(Symboles!$G$6:$G$101,MOD(91+$C33+(4),$B$3)+1)*M33+IF($B$6=0,0,$B$6*NORMSINV(0.000001+0.999998*RAND())))</f>
        <v/>
      </c>
      <c r="DD33" s="30">
        <f>IF(93&gt;$B$3,99,INDEX(Symboles!$G$6:$G$101,MOD(92+$C33+(-4),$B$3)+1)*E33+INDEX(Symboles!$G$6:$G$101,MOD(92+$C33+(-3),$B$3)+1)*F33+INDEX(Symboles!$G$6:$G$101,MOD(92+$C33+(-2),$B$3)+1)*G33+INDEX(Symboles!$G$6:$G$101,MOD(92+$C33+(-1),$B$3)+1)*H33+INDEX(Symboles!$G$6:$G$101,MOD(92+$C33+(0),$B$3)+1)*I33+INDEX(Symboles!$G$6:$G$101,MOD(92+$C33+(1),$B$3)+1)*J33+INDEX(Symboles!$G$6:$G$101,MOD(92+$C33+(2),$B$3)+1)*K33+INDEX(Symboles!$G$6:$G$101,MOD(92+$C33+(3),$B$3)+1)*L33+INDEX(Symboles!$G$6:$G$101,MOD(92+$C33+(4),$B$3)+1)*M33+IF($B$6=0,0,$B$6*NORMSINV(0.000001+0.999998*RAND())))</f>
        <v/>
      </c>
      <c r="DE33" s="30">
        <f>IF(94&gt;$B$3,99,INDEX(Symboles!$G$6:$G$101,MOD(93+$C33+(-4),$B$3)+1)*E33+INDEX(Symboles!$G$6:$G$101,MOD(93+$C33+(-3),$B$3)+1)*F33+INDEX(Symboles!$G$6:$G$101,MOD(93+$C33+(-2),$B$3)+1)*G33+INDEX(Symboles!$G$6:$G$101,MOD(93+$C33+(-1),$B$3)+1)*H33+INDEX(Symboles!$G$6:$G$101,MOD(93+$C33+(0),$B$3)+1)*I33+INDEX(Symboles!$G$6:$G$101,MOD(93+$C33+(1),$B$3)+1)*J33+INDEX(Symboles!$G$6:$G$101,MOD(93+$C33+(2),$B$3)+1)*K33+INDEX(Symboles!$G$6:$G$101,MOD(93+$C33+(3),$B$3)+1)*L33+INDEX(Symboles!$G$6:$G$101,MOD(93+$C33+(4),$B$3)+1)*M33+IF($B$6=0,0,$B$6*NORMSINV(0.000001+0.999998*RAND())))</f>
        <v/>
      </c>
      <c r="DF33" s="30">
        <f>IF(95&gt;$B$3,99,INDEX(Symboles!$G$6:$G$101,MOD(94+$C33+(-4),$B$3)+1)*E33+INDEX(Symboles!$G$6:$G$101,MOD(94+$C33+(-3),$B$3)+1)*F33+INDEX(Symboles!$G$6:$G$101,MOD(94+$C33+(-2),$B$3)+1)*G33+INDEX(Symboles!$G$6:$G$101,MOD(94+$C33+(-1),$B$3)+1)*H33+INDEX(Symboles!$G$6:$G$101,MOD(94+$C33+(0),$B$3)+1)*I33+INDEX(Symboles!$G$6:$G$101,MOD(94+$C33+(1),$B$3)+1)*J33+INDEX(Symboles!$G$6:$G$101,MOD(94+$C33+(2),$B$3)+1)*K33+INDEX(Symboles!$G$6:$G$101,MOD(94+$C33+(3),$B$3)+1)*L33+INDEX(Symboles!$G$6:$G$101,MOD(94+$C33+(4),$B$3)+1)*M33+IF($B$6=0,0,$B$6*NORMSINV(0.000001+0.999998*RAND())))</f>
        <v/>
      </c>
      <c r="DG33" s="30">
        <f>IF(96&gt;$B$3,99,INDEX(Symboles!$G$6:$G$101,MOD(95+$C33+(-4),$B$3)+1)*E33+INDEX(Symboles!$G$6:$G$101,MOD(95+$C33+(-3),$B$3)+1)*F33+INDEX(Symboles!$G$6:$G$101,MOD(95+$C33+(-2),$B$3)+1)*G33+INDEX(Symboles!$G$6:$G$101,MOD(95+$C33+(-1),$B$3)+1)*H33+INDEX(Symboles!$G$6:$G$101,MOD(95+$C33+(0),$B$3)+1)*I33+INDEX(Symboles!$G$6:$G$101,MOD(95+$C33+(1),$B$3)+1)*J33+INDEX(Symboles!$G$6:$G$101,MOD(95+$C33+(2),$B$3)+1)*K33+INDEX(Symboles!$G$6:$G$101,MOD(95+$C33+(3),$B$3)+1)*L33+INDEX(Symboles!$G$6:$G$101,MOD(95+$C33+(4),$B$3)+1)*M33+IF($B$6=0,0,$B$6*NORMSINV(0.000001+0.999998*RAND())))</f>
        <v/>
      </c>
      <c r="DI33" s="30">
        <f>IF(1&gt;$B$3,99,INDEX(Symboles!$H$6:$H$101,MOD(0+$C33+(-4),$B$3)+1)*E33+INDEX(Symboles!$H$6:$H$101,MOD(0+$C33+(-3),$B$3)+1)*F33+INDEX(Symboles!$H$6:$H$101,MOD(0+$C33+(-2),$B$3)+1)*G33+INDEX(Symboles!$H$6:$H$101,MOD(0+$C33+(-1),$B$3)+1)*H33+INDEX(Symboles!$H$6:$H$101,MOD(0+$C33+(0),$B$3)+1)*I33+INDEX(Symboles!$H$6:$H$101,MOD(0+$C33+(1),$B$3)+1)*J33+INDEX(Symboles!$H$6:$H$101,MOD(0+$C33+(2),$B$3)+1)*K33+INDEX(Symboles!$H$6:$H$101,MOD(0+$C33+(3),$B$3)+1)*L33+INDEX(Symboles!$H$6:$H$101,MOD(0+$C33+(4),$B$3)+1)*M33+IF($B$6=0,0,$B$6*NORMSINV(0.000001+0.999998*RAND())))</f>
        <v/>
      </c>
      <c r="DJ33" s="30">
        <f>IF(2&gt;$B$3,99,INDEX(Symboles!$H$6:$H$101,MOD(1+$C33+(-4),$B$3)+1)*E33+INDEX(Symboles!$H$6:$H$101,MOD(1+$C33+(-3),$B$3)+1)*F33+INDEX(Symboles!$H$6:$H$101,MOD(1+$C33+(-2),$B$3)+1)*G33+INDEX(Symboles!$H$6:$H$101,MOD(1+$C33+(-1),$B$3)+1)*H33+INDEX(Symboles!$H$6:$H$101,MOD(1+$C33+(0),$B$3)+1)*I33+INDEX(Symboles!$H$6:$H$101,MOD(1+$C33+(1),$B$3)+1)*J33+INDEX(Symboles!$H$6:$H$101,MOD(1+$C33+(2),$B$3)+1)*K33+INDEX(Symboles!$H$6:$H$101,MOD(1+$C33+(3),$B$3)+1)*L33+INDEX(Symboles!$H$6:$H$101,MOD(1+$C33+(4),$B$3)+1)*M33+IF($B$6=0,0,$B$6*NORMSINV(0.000001+0.999998*RAND())))</f>
        <v/>
      </c>
      <c r="DK33" s="30">
        <f>IF(3&gt;$B$3,99,INDEX(Symboles!$H$6:$H$101,MOD(2+$C33+(-4),$B$3)+1)*E33+INDEX(Symboles!$H$6:$H$101,MOD(2+$C33+(-3),$B$3)+1)*F33+INDEX(Symboles!$H$6:$H$101,MOD(2+$C33+(-2),$B$3)+1)*G33+INDEX(Symboles!$H$6:$H$101,MOD(2+$C33+(-1),$B$3)+1)*H33+INDEX(Symboles!$H$6:$H$101,MOD(2+$C33+(0),$B$3)+1)*I33+INDEX(Symboles!$H$6:$H$101,MOD(2+$C33+(1),$B$3)+1)*J33+INDEX(Symboles!$H$6:$H$101,MOD(2+$C33+(2),$B$3)+1)*K33+INDEX(Symboles!$H$6:$H$101,MOD(2+$C33+(3),$B$3)+1)*L33+INDEX(Symboles!$H$6:$H$101,MOD(2+$C33+(4),$B$3)+1)*M33+IF($B$6=0,0,$B$6*NORMSINV(0.000001+0.999998*RAND())))</f>
        <v/>
      </c>
      <c r="DL33" s="30">
        <f>IF(4&gt;$B$3,99,INDEX(Symboles!$H$6:$H$101,MOD(3+$C33+(-4),$B$3)+1)*E33+INDEX(Symboles!$H$6:$H$101,MOD(3+$C33+(-3),$B$3)+1)*F33+INDEX(Symboles!$H$6:$H$101,MOD(3+$C33+(-2),$B$3)+1)*G33+INDEX(Symboles!$H$6:$H$101,MOD(3+$C33+(-1),$B$3)+1)*H33+INDEX(Symboles!$H$6:$H$101,MOD(3+$C33+(0),$B$3)+1)*I33+INDEX(Symboles!$H$6:$H$101,MOD(3+$C33+(1),$B$3)+1)*J33+INDEX(Symboles!$H$6:$H$101,MOD(3+$C33+(2),$B$3)+1)*K33+INDEX(Symboles!$H$6:$H$101,MOD(3+$C33+(3),$B$3)+1)*L33+INDEX(Symboles!$H$6:$H$101,MOD(3+$C33+(4),$B$3)+1)*M33+IF($B$6=0,0,$B$6*NORMSINV(0.000001+0.999998*RAND())))</f>
        <v/>
      </c>
      <c r="DM33" s="30">
        <f>IF(5&gt;$B$3,99,INDEX(Symboles!$H$6:$H$101,MOD(4+$C33+(-4),$B$3)+1)*E33+INDEX(Symboles!$H$6:$H$101,MOD(4+$C33+(-3),$B$3)+1)*F33+INDEX(Symboles!$H$6:$H$101,MOD(4+$C33+(-2),$B$3)+1)*G33+INDEX(Symboles!$H$6:$H$101,MOD(4+$C33+(-1),$B$3)+1)*H33+INDEX(Symboles!$H$6:$H$101,MOD(4+$C33+(0),$B$3)+1)*I33+INDEX(Symboles!$H$6:$H$101,MOD(4+$C33+(1),$B$3)+1)*J33+INDEX(Symboles!$H$6:$H$101,MOD(4+$C33+(2),$B$3)+1)*K33+INDEX(Symboles!$H$6:$H$101,MOD(4+$C33+(3),$B$3)+1)*L33+INDEX(Symboles!$H$6:$H$101,MOD(4+$C33+(4),$B$3)+1)*M33+IF($B$6=0,0,$B$6*NORMSINV(0.000001+0.999998*RAND())))</f>
        <v/>
      </c>
      <c r="DN33" s="30">
        <f>IF(6&gt;$B$3,99,INDEX(Symboles!$H$6:$H$101,MOD(5+$C33+(-4),$B$3)+1)*E33+INDEX(Symboles!$H$6:$H$101,MOD(5+$C33+(-3),$B$3)+1)*F33+INDEX(Symboles!$H$6:$H$101,MOD(5+$C33+(-2),$B$3)+1)*G33+INDEX(Symboles!$H$6:$H$101,MOD(5+$C33+(-1),$B$3)+1)*H33+INDEX(Symboles!$H$6:$H$101,MOD(5+$C33+(0),$B$3)+1)*I33+INDEX(Symboles!$H$6:$H$101,MOD(5+$C33+(1),$B$3)+1)*J33+INDEX(Symboles!$H$6:$H$101,MOD(5+$C33+(2),$B$3)+1)*K33+INDEX(Symboles!$H$6:$H$101,MOD(5+$C33+(3),$B$3)+1)*L33+INDEX(Symboles!$H$6:$H$101,MOD(5+$C33+(4),$B$3)+1)*M33+IF($B$6=0,0,$B$6*NORMSINV(0.000001+0.999998*RAND())))</f>
        <v/>
      </c>
      <c r="DO33" s="30">
        <f>IF(7&gt;$B$3,99,INDEX(Symboles!$H$6:$H$101,MOD(6+$C33+(-4),$B$3)+1)*E33+INDEX(Symboles!$H$6:$H$101,MOD(6+$C33+(-3),$B$3)+1)*F33+INDEX(Symboles!$H$6:$H$101,MOD(6+$C33+(-2),$B$3)+1)*G33+INDEX(Symboles!$H$6:$H$101,MOD(6+$C33+(-1),$B$3)+1)*H33+INDEX(Symboles!$H$6:$H$101,MOD(6+$C33+(0),$B$3)+1)*I33+INDEX(Symboles!$H$6:$H$101,MOD(6+$C33+(1),$B$3)+1)*J33+INDEX(Symboles!$H$6:$H$101,MOD(6+$C33+(2),$B$3)+1)*K33+INDEX(Symboles!$H$6:$H$101,MOD(6+$C33+(3),$B$3)+1)*L33+INDEX(Symboles!$H$6:$H$101,MOD(6+$C33+(4),$B$3)+1)*M33+IF($B$6=0,0,$B$6*NORMSINV(0.000001+0.999998*RAND())))</f>
        <v/>
      </c>
      <c r="DP33" s="30">
        <f>IF(8&gt;$B$3,99,INDEX(Symboles!$H$6:$H$101,MOD(7+$C33+(-4),$B$3)+1)*E33+INDEX(Symboles!$H$6:$H$101,MOD(7+$C33+(-3),$B$3)+1)*F33+INDEX(Symboles!$H$6:$H$101,MOD(7+$C33+(-2),$B$3)+1)*G33+INDEX(Symboles!$H$6:$H$101,MOD(7+$C33+(-1),$B$3)+1)*H33+INDEX(Symboles!$H$6:$H$101,MOD(7+$C33+(0),$B$3)+1)*I33+INDEX(Symboles!$H$6:$H$101,MOD(7+$C33+(1),$B$3)+1)*J33+INDEX(Symboles!$H$6:$H$101,MOD(7+$C33+(2),$B$3)+1)*K33+INDEX(Symboles!$H$6:$H$101,MOD(7+$C33+(3),$B$3)+1)*L33+INDEX(Symboles!$H$6:$H$101,MOD(7+$C33+(4),$B$3)+1)*M33+IF($B$6=0,0,$B$6*NORMSINV(0.000001+0.999998*RAND())))</f>
        <v/>
      </c>
      <c r="DQ33" s="30">
        <f>IF(9&gt;$B$3,99,INDEX(Symboles!$H$6:$H$101,MOD(8+$C33+(-4),$B$3)+1)*E33+INDEX(Symboles!$H$6:$H$101,MOD(8+$C33+(-3),$B$3)+1)*F33+INDEX(Symboles!$H$6:$H$101,MOD(8+$C33+(-2),$B$3)+1)*G33+INDEX(Symboles!$H$6:$H$101,MOD(8+$C33+(-1),$B$3)+1)*H33+INDEX(Symboles!$H$6:$H$101,MOD(8+$C33+(0),$B$3)+1)*I33+INDEX(Symboles!$H$6:$H$101,MOD(8+$C33+(1),$B$3)+1)*J33+INDEX(Symboles!$H$6:$H$101,MOD(8+$C33+(2),$B$3)+1)*K33+INDEX(Symboles!$H$6:$H$101,MOD(8+$C33+(3),$B$3)+1)*L33+INDEX(Symboles!$H$6:$H$101,MOD(8+$C33+(4),$B$3)+1)*M33+IF($B$6=0,0,$B$6*NORMSINV(0.000001+0.999998*RAND())))</f>
        <v/>
      </c>
      <c r="DR33" s="30">
        <f>IF(10&gt;$B$3,99,INDEX(Symboles!$H$6:$H$101,MOD(9+$C33+(-4),$B$3)+1)*E33+INDEX(Symboles!$H$6:$H$101,MOD(9+$C33+(-3),$B$3)+1)*F33+INDEX(Symboles!$H$6:$H$101,MOD(9+$C33+(-2),$B$3)+1)*G33+INDEX(Symboles!$H$6:$H$101,MOD(9+$C33+(-1),$B$3)+1)*H33+INDEX(Symboles!$H$6:$H$101,MOD(9+$C33+(0),$B$3)+1)*I33+INDEX(Symboles!$H$6:$H$101,MOD(9+$C33+(1),$B$3)+1)*J33+INDEX(Symboles!$H$6:$H$101,MOD(9+$C33+(2),$B$3)+1)*K33+INDEX(Symboles!$H$6:$H$101,MOD(9+$C33+(3),$B$3)+1)*L33+INDEX(Symboles!$H$6:$H$101,MOD(9+$C33+(4),$B$3)+1)*M33+IF($B$6=0,0,$B$6*NORMSINV(0.000001+0.999998*RAND())))</f>
        <v/>
      </c>
      <c r="DS33" s="30">
        <f>IF(11&gt;$B$3,99,INDEX(Symboles!$H$6:$H$101,MOD(10+$C33+(-4),$B$3)+1)*E33+INDEX(Symboles!$H$6:$H$101,MOD(10+$C33+(-3),$B$3)+1)*F33+INDEX(Symboles!$H$6:$H$101,MOD(10+$C33+(-2),$B$3)+1)*G33+INDEX(Symboles!$H$6:$H$101,MOD(10+$C33+(-1),$B$3)+1)*H33+INDEX(Symboles!$H$6:$H$101,MOD(10+$C33+(0),$B$3)+1)*I33+INDEX(Symboles!$H$6:$H$101,MOD(10+$C33+(1),$B$3)+1)*J33+INDEX(Symboles!$H$6:$H$101,MOD(10+$C33+(2),$B$3)+1)*K33+INDEX(Symboles!$H$6:$H$101,MOD(10+$C33+(3),$B$3)+1)*L33+INDEX(Symboles!$H$6:$H$101,MOD(10+$C33+(4),$B$3)+1)*M33+IF($B$6=0,0,$B$6*NORMSINV(0.000001+0.999998*RAND())))</f>
        <v/>
      </c>
      <c r="DT33" s="30">
        <f>IF(12&gt;$B$3,99,INDEX(Symboles!$H$6:$H$101,MOD(11+$C33+(-4),$B$3)+1)*E33+INDEX(Symboles!$H$6:$H$101,MOD(11+$C33+(-3),$B$3)+1)*F33+INDEX(Symboles!$H$6:$H$101,MOD(11+$C33+(-2),$B$3)+1)*G33+INDEX(Symboles!$H$6:$H$101,MOD(11+$C33+(-1),$B$3)+1)*H33+INDEX(Symboles!$H$6:$H$101,MOD(11+$C33+(0),$B$3)+1)*I33+INDEX(Symboles!$H$6:$H$101,MOD(11+$C33+(1),$B$3)+1)*J33+INDEX(Symboles!$H$6:$H$101,MOD(11+$C33+(2),$B$3)+1)*K33+INDEX(Symboles!$H$6:$H$101,MOD(11+$C33+(3),$B$3)+1)*L33+INDEX(Symboles!$H$6:$H$101,MOD(11+$C33+(4),$B$3)+1)*M33+IF($B$6=0,0,$B$6*NORMSINV(0.000001+0.999998*RAND())))</f>
        <v/>
      </c>
      <c r="DU33" s="30">
        <f>IF(13&gt;$B$3,99,INDEX(Symboles!$H$6:$H$101,MOD(12+$C33+(-4),$B$3)+1)*E33+INDEX(Symboles!$H$6:$H$101,MOD(12+$C33+(-3),$B$3)+1)*F33+INDEX(Symboles!$H$6:$H$101,MOD(12+$C33+(-2),$B$3)+1)*G33+INDEX(Symboles!$H$6:$H$101,MOD(12+$C33+(-1),$B$3)+1)*H33+INDEX(Symboles!$H$6:$H$101,MOD(12+$C33+(0),$B$3)+1)*I33+INDEX(Symboles!$H$6:$H$101,MOD(12+$C33+(1),$B$3)+1)*J33+INDEX(Symboles!$H$6:$H$101,MOD(12+$C33+(2),$B$3)+1)*K33+INDEX(Symboles!$H$6:$H$101,MOD(12+$C33+(3),$B$3)+1)*L33+INDEX(Symboles!$H$6:$H$101,MOD(12+$C33+(4),$B$3)+1)*M33+IF($B$6=0,0,$B$6*NORMSINV(0.000001+0.999998*RAND())))</f>
        <v/>
      </c>
      <c r="DV33" s="30">
        <f>IF(14&gt;$B$3,99,INDEX(Symboles!$H$6:$H$101,MOD(13+$C33+(-4),$B$3)+1)*E33+INDEX(Symboles!$H$6:$H$101,MOD(13+$C33+(-3),$B$3)+1)*F33+INDEX(Symboles!$H$6:$H$101,MOD(13+$C33+(-2),$B$3)+1)*G33+INDEX(Symboles!$H$6:$H$101,MOD(13+$C33+(-1),$B$3)+1)*H33+INDEX(Symboles!$H$6:$H$101,MOD(13+$C33+(0),$B$3)+1)*I33+INDEX(Symboles!$H$6:$H$101,MOD(13+$C33+(1),$B$3)+1)*J33+INDEX(Symboles!$H$6:$H$101,MOD(13+$C33+(2),$B$3)+1)*K33+INDEX(Symboles!$H$6:$H$101,MOD(13+$C33+(3),$B$3)+1)*L33+INDEX(Symboles!$H$6:$H$101,MOD(13+$C33+(4),$B$3)+1)*M33+IF($B$6=0,0,$B$6*NORMSINV(0.000001+0.999998*RAND())))</f>
        <v/>
      </c>
      <c r="DW33" s="30">
        <f>IF(15&gt;$B$3,99,INDEX(Symboles!$H$6:$H$101,MOD(14+$C33+(-4),$B$3)+1)*E33+INDEX(Symboles!$H$6:$H$101,MOD(14+$C33+(-3),$B$3)+1)*F33+INDEX(Symboles!$H$6:$H$101,MOD(14+$C33+(-2),$B$3)+1)*G33+INDEX(Symboles!$H$6:$H$101,MOD(14+$C33+(-1),$B$3)+1)*H33+INDEX(Symboles!$H$6:$H$101,MOD(14+$C33+(0),$B$3)+1)*I33+INDEX(Symboles!$H$6:$H$101,MOD(14+$C33+(1),$B$3)+1)*J33+INDEX(Symboles!$H$6:$H$101,MOD(14+$C33+(2),$B$3)+1)*K33+INDEX(Symboles!$H$6:$H$101,MOD(14+$C33+(3),$B$3)+1)*L33+INDEX(Symboles!$H$6:$H$101,MOD(14+$C33+(4),$B$3)+1)*M33+IF($B$6=0,0,$B$6*NORMSINV(0.000001+0.999998*RAND())))</f>
        <v/>
      </c>
      <c r="DX33" s="30">
        <f>IF(16&gt;$B$3,99,INDEX(Symboles!$H$6:$H$101,MOD(15+$C33+(-4),$B$3)+1)*E33+INDEX(Symboles!$H$6:$H$101,MOD(15+$C33+(-3),$B$3)+1)*F33+INDEX(Symboles!$H$6:$H$101,MOD(15+$C33+(-2),$B$3)+1)*G33+INDEX(Symboles!$H$6:$H$101,MOD(15+$C33+(-1),$B$3)+1)*H33+INDEX(Symboles!$H$6:$H$101,MOD(15+$C33+(0),$B$3)+1)*I33+INDEX(Symboles!$H$6:$H$101,MOD(15+$C33+(1),$B$3)+1)*J33+INDEX(Symboles!$H$6:$H$101,MOD(15+$C33+(2),$B$3)+1)*K33+INDEX(Symboles!$H$6:$H$101,MOD(15+$C33+(3),$B$3)+1)*L33+INDEX(Symboles!$H$6:$H$101,MOD(15+$C33+(4),$B$3)+1)*M33+IF($B$6=0,0,$B$6*NORMSINV(0.000001+0.999998*RAND())))</f>
        <v/>
      </c>
      <c r="DY33" s="30">
        <f>IF(17&gt;$B$3,99,INDEX(Symboles!$H$6:$H$101,MOD(16+$C33+(-4),$B$3)+1)*E33+INDEX(Symboles!$H$6:$H$101,MOD(16+$C33+(-3),$B$3)+1)*F33+INDEX(Symboles!$H$6:$H$101,MOD(16+$C33+(-2),$B$3)+1)*G33+INDEX(Symboles!$H$6:$H$101,MOD(16+$C33+(-1),$B$3)+1)*H33+INDEX(Symboles!$H$6:$H$101,MOD(16+$C33+(0),$B$3)+1)*I33+INDEX(Symboles!$H$6:$H$101,MOD(16+$C33+(1),$B$3)+1)*J33+INDEX(Symboles!$H$6:$H$101,MOD(16+$C33+(2),$B$3)+1)*K33+INDEX(Symboles!$H$6:$H$101,MOD(16+$C33+(3),$B$3)+1)*L33+INDEX(Symboles!$H$6:$H$101,MOD(16+$C33+(4),$B$3)+1)*M33+IF($B$6=0,0,$B$6*NORMSINV(0.000001+0.999998*RAND())))</f>
        <v/>
      </c>
      <c r="DZ33" s="30">
        <f>IF(18&gt;$B$3,99,INDEX(Symboles!$H$6:$H$101,MOD(17+$C33+(-4),$B$3)+1)*E33+INDEX(Symboles!$H$6:$H$101,MOD(17+$C33+(-3),$B$3)+1)*F33+INDEX(Symboles!$H$6:$H$101,MOD(17+$C33+(-2),$B$3)+1)*G33+INDEX(Symboles!$H$6:$H$101,MOD(17+$C33+(-1),$B$3)+1)*H33+INDEX(Symboles!$H$6:$H$101,MOD(17+$C33+(0),$B$3)+1)*I33+INDEX(Symboles!$H$6:$H$101,MOD(17+$C33+(1),$B$3)+1)*J33+INDEX(Symboles!$H$6:$H$101,MOD(17+$C33+(2),$B$3)+1)*K33+INDEX(Symboles!$H$6:$H$101,MOD(17+$C33+(3),$B$3)+1)*L33+INDEX(Symboles!$H$6:$H$101,MOD(17+$C33+(4),$B$3)+1)*M33+IF($B$6=0,0,$B$6*NORMSINV(0.000001+0.999998*RAND())))</f>
        <v/>
      </c>
      <c r="EA33" s="30">
        <f>IF(19&gt;$B$3,99,INDEX(Symboles!$H$6:$H$101,MOD(18+$C33+(-4),$B$3)+1)*E33+INDEX(Symboles!$H$6:$H$101,MOD(18+$C33+(-3),$B$3)+1)*F33+INDEX(Symboles!$H$6:$H$101,MOD(18+$C33+(-2),$B$3)+1)*G33+INDEX(Symboles!$H$6:$H$101,MOD(18+$C33+(-1),$B$3)+1)*H33+INDEX(Symboles!$H$6:$H$101,MOD(18+$C33+(0),$B$3)+1)*I33+INDEX(Symboles!$H$6:$H$101,MOD(18+$C33+(1),$B$3)+1)*J33+INDEX(Symboles!$H$6:$H$101,MOD(18+$C33+(2),$B$3)+1)*K33+INDEX(Symboles!$H$6:$H$101,MOD(18+$C33+(3),$B$3)+1)*L33+INDEX(Symboles!$H$6:$H$101,MOD(18+$C33+(4),$B$3)+1)*M33+IF($B$6=0,0,$B$6*NORMSINV(0.000001+0.999998*RAND())))</f>
        <v/>
      </c>
      <c r="EB33" s="30">
        <f>IF(20&gt;$B$3,99,INDEX(Symboles!$H$6:$H$101,MOD(19+$C33+(-4),$B$3)+1)*E33+INDEX(Symboles!$H$6:$H$101,MOD(19+$C33+(-3),$B$3)+1)*F33+INDEX(Symboles!$H$6:$H$101,MOD(19+$C33+(-2),$B$3)+1)*G33+INDEX(Symboles!$H$6:$H$101,MOD(19+$C33+(-1),$B$3)+1)*H33+INDEX(Symboles!$H$6:$H$101,MOD(19+$C33+(0),$B$3)+1)*I33+INDEX(Symboles!$H$6:$H$101,MOD(19+$C33+(1),$B$3)+1)*J33+INDEX(Symboles!$H$6:$H$101,MOD(19+$C33+(2),$B$3)+1)*K33+INDEX(Symboles!$H$6:$H$101,MOD(19+$C33+(3),$B$3)+1)*L33+INDEX(Symboles!$H$6:$H$101,MOD(19+$C33+(4),$B$3)+1)*M33+IF($B$6=0,0,$B$6*NORMSINV(0.000001+0.999998*RAND())))</f>
        <v/>
      </c>
      <c r="EC33" s="30">
        <f>IF(21&gt;$B$3,99,INDEX(Symboles!$H$6:$H$101,MOD(20+$C33+(-4),$B$3)+1)*E33+INDEX(Symboles!$H$6:$H$101,MOD(20+$C33+(-3),$B$3)+1)*F33+INDEX(Symboles!$H$6:$H$101,MOD(20+$C33+(-2),$B$3)+1)*G33+INDEX(Symboles!$H$6:$H$101,MOD(20+$C33+(-1),$B$3)+1)*H33+INDEX(Symboles!$H$6:$H$101,MOD(20+$C33+(0),$B$3)+1)*I33+INDEX(Symboles!$H$6:$H$101,MOD(20+$C33+(1),$B$3)+1)*J33+INDEX(Symboles!$H$6:$H$101,MOD(20+$C33+(2),$B$3)+1)*K33+INDEX(Symboles!$H$6:$H$101,MOD(20+$C33+(3),$B$3)+1)*L33+INDEX(Symboles!$H$6:$H$101,MOD(20+$C33+(4),$B$3)+1)*M33+IF($B$6=0,0,$B$6*NORMSINV(0.000001+0.999998*RAND())))</f>
        <v/>
      </c>
      <c r="ED33" s="30">
        <f>IF(22&gt;$B$3,99,INDEX(Symboles!$H$6:$H$101,MOD(21+$C33+(-4),$B$3)+1)*E33+INDEX(Symboles!$H$6:$H$101,MOD(21+$C33+(-3),$B$3)+1)*F33+INDEX(Symboles!$H$6:$H$101,MOD(21+$C33+(-2),$B$3)+1)*G33+INDEX(Symboles!$H$6:$H$101,MOD(21+$C33+(-1),$B$3)+1)*H33+INDEX(Symboles!$H$6:$H$101,MOD(21+$C33+(0),$B$3)+1)*I33+INDEX(Symboles!$H$6:$H$101,MOD(21+$C33+(1),$B$3)+1)*J33+INDEX(Symboles!$H$6:$H$101,MOD(21+$C33+(2),$B$3)+1)*K33+INDEX(Symboles!$H$6:$H$101,MOD(21+$C33+(3),$B$3)+1)*L33+INDEX(Symboles!$H$6:$H$101,MOD(21+$C33+(4),$B$3)+1)*M33+IF($B$6=0,0,$B$6*NORMSINV(0.000001+0.999998*RAND())))</f>
        <v/>
      </c>
      <c r="EE33" s="30">
        <f>IF(23&gt;$B$3,99,INDEX(Symboles!$H$6:$H$101,MOD(22+$C33+(-4),$B$3)+1)*E33+INDEX(Symboles!$H$6:$H$101,MOD(22+$C33+(-3),$B$3)+1)*F33+INDEX(Symboles!$H$6:$H$101,MOD(22+$C33+(-2),$B$3)+1)*G33+INDEX(Symboles!$H$6:$H$101,MOD(22+$C33+(-1),$B$3)+1)*H33+INDEX(Symboles!$H$6:$H$101,MOD(22+$C33+(0),$B$3)+1)*I33+INDEX(Symboles!$H$6:$H$101,MOD(22+$C33+(1),$B$3)+1)*J33+INDEX(Symboles!$H$6:$H$101,MOD(22+$C33+(2),$B$3)+1)*K33+INDEX(Symboles!$H$6:$H$101,MOD(22+$C33+(3),$B$3)+1)*L33+INDEX(Symboles!$H$6:$H$101,MOD(22+$C33+(4),$B$3)+1)*M33+IF($B$6=0,0,$B$6*NORMSINV(0.000001+0.999998*RAND())))</f>
        <v/>
      </c>
      <c r="EF33" s="30">
        <f>IF(24&gt;$B$3,99,INDEX(Symboles!$H$6:$H$101,MOD(23+$C33+(-4),$B$3)+1)*E33+INDEX(Symboles!$H$6:$H$101,MOD(23+$C33+(-3),$B$3)+1)*F33+INDEX(Symboles!$H$6:$H$101,MOD(23+$C33+(-2),$B$3)+1)*G33+INDEX(Symboles!$H$6:$H$101,MOD(23+$C33+(-1),$B$3)+1)*H33+INDEX(Symboles!$H$6:$H$101,MOD(23+$C33+(0),$B$3)+1)*I33+INDEX(Symboles!$H$6:$H$101,MOD(23+$C33+(1),$B$3)+1)*J33+INDEX(Symboles!$H$6:$H$101,MOD(23+$C33+(2),$B$3)+1)*K33+INDEX(Symboles!$H$6:$H$101,MOD(23+$C33+(3),$B$3)+1)*L33+INDEX(Symboles!$H$6:$H$101,MOD(23+$C33+(4),$B$3)+1)*M33+IF($B$6=0,0,$B$6*NORMSINV(0.000001+0.999998*RAND())))</f>
        <v/>
      </c>
      <c r="EG33" s="30">
        <f>IF(25&gt;$B$3,99,INDEX(Symboles!$H$6:$H$101,MOD(24+$C33+(-4),$B$3)+1)*E33+INDEX(Symboles!$H$6:$H$101,MOD(24+$C33+(-3),$B$3)+1)*F33+INDEX(Symboles!$H$6:$H$101,MOD(24+$C33+(-2),$B$3)+1)*G33+INDEX(Symboles!$H$6:$H$101,MOD(24+$C33+(-1),$B$3)+1)*H33+INDEX(Symboles!$H$6:$H$101,MOD(24+$C33+(0),$B$3)+1)*I33+INDEX(Symboles!$H$6:$H$101,MOD(24+$C33+(1),$B$3)+1)*J33+INDEX(Symboles!$H$6:$H$101,MOD(24+$C33+(2),$B$3)+1)*K33+INDEX(Symboles!$H$6:$H$101,MOD(24+$C33+(3),$B$3)+1)*L33+INDEX(Symboles!$H$6:$H$101,MOD(24+$C33+(4),$B$3)+1)*M33+IF($B$6=0,0,$B$6*NORMSINV(0.000001+0.999998*RAND())))</f>
        <v/>
      </c>
      <c r="EH33" s="30">
        <f>IF(26&gt;$B$3,99,INDEX(Symboles!$H$6:$H$101,MOD(25+$C33+(-4),$B$3)+1)*E33+INDEX(Symboles!$H$6:$H$101,MOD(25+$C33+(-3),$B$3)+1)*F33+INDEX(Symboles!$H$6:$H$101,MOD(25+$C33+(-2),$B$3)+1)*G33+INDEX(Symboles!$H$6:$H$101,MOD(25+$C33+(-1),$B$3)+1)*H33+INDEX(Symboles!$H$6:$H$101,MOD(25+$C33+(0),$B$3)+1)*I33+INDEX(Symboles!$H$6:$H$101,MOD(25+$C33+(1),$B$3)+1)*J33+INDEX(Symboles!$H$6:$H$101,MOD(25+$C33+(2),$B$3)+1)*K33+INDEX(Symboles!$H$6:$H$101,MOD(25+$C33+(3),$B$3)+1)*L33+INDEX(Symboles!$H$6:$H$101,MOD(25+$C33+(4),$B$3)+1)*M33+IF($B$6=0,0,$B$6*NORMSINV(0.000001+0.999998*RAND())))</f>
        <v/>
      </c>
      <c r="EI33" s="30">
        <f>IF(27&gt;$B$3,99,INDEX(Symboles!$H$6:$H$101,MOD(26+$C33+(-4),$B$3)+1)*E33+INDEX(Symboles!$H$6:$H$101,MOD(26+$C33+(-3),$B$3)+1)*F33+INDEX(Symboles!$H$6:$H$101,MOD(26+$C33+(-2),$B$3)+1)*G33+INDEX(Symboles!$H$6:$H$101,MOD(26+$C33+(-1),$B$3)+1)*H33+INDEX(Symboles!$H$6:$H$101,MOD(26+$C33+(0),$B$3)+1)*I33+INDEX(Symboles!$H$6:$H$101,MOD(26+$C33+(1),$B$3)+1)*J33+INDEX(Symboles!$H$6:$H$101,MOD(26+$C33+(2),$B$3)+1)*K33+INDEX(Symboles!$H$6:$H$101,MOD(26+$C33+(3),$B$3)+1)*L33+INDEX(Symboles!$H$6:$H$101,MOD(26+$C33+(4),$B$3)+1)*M33+IF($B$6=0,0,$B$6*NORMSINV(0.000001+0.999998*RAND())))</f>
        <v/>
      </c>
      <c r="EJ33" s="30">
        <f>IF(28&gt;$B$3,99,INDEX(Symboles!$H$6:$H$101,MOD(27+$C33+(-4),$B$3)+1)*E33+INDEX(Symboles!$H$6:$H$101,MOD(27+$C33+(-3),$B$3)+1)*F33+INDEX(Symboles!$H$6:$H$101,MOD(27+$C33+(-2),$B$3)+1)*G33+INDEX(Symboles!$H$6:$H$101,MOD(27+$C33+(-1),$B$3)+1)*H33+INDEX(Symboles!$H$6:$H$101,MOD(27+$C33+(0),$B$3)+1)*I33+INDEX(Symboles!$H$6:$H$101,MOD(27+$C33+(1),$B$3)+1)*J33+INDEX(Symboles!$H$6:$H$101,MOD(27+$C33+(2),$B$3)+1)*K33+INDEX(Symboles!$H$6:$H$101,MOD(27+$C33+(3),$B$3)+1)*L33+INDEX(Symboles!$H$6:$H$101,MOD(27+$C33+(4),$B$3)+1)*M33+IF($B$6=0,0,$B$6*NORMSINV(0.000001+0.999998*RAND())))</f>
        <v/>
      </c>
      <c r="EK33" s="30">
        <f>IF(29&gt;$B$3,99,INDEX(Symboles!$H$6:$H$101,MOD(28+$C33+(-4),$B$3)+1)*E33+INDEX(Symboles!$H$6:$H$101,MOD(28+$C33+(-3),$B$3)+1)*F33+INDEX(Symboles!$H$6:$H$101,MOD(28+$C33+(-2),$B$3)+1)*G33+INDEX(Symboles!$H$6:$H$101,MOD(28+$C33+(-1),$B$3)+1)*H33+INDEX(Symboles!$H$6:$H$101,MOD(28+$C33+(0),$B$3)+1)*I33+INDEX(Symboles!$H$6:$H$101,MOD(28+$C33+(1),$B$3)+1)*J33+INDEX(Symboles!$H$6:$H$101,MOD(28+$C33+(2),$B$3)+1)*K33+INDEX(Symboles!$H$6:$H$101,MOD(28+$C33+(3),$B$3)+1)*L33+INDEX(Symboles!$H$6:$H$101,MOD(28+$C33+(4),$B$3)+1)*M33+IF($B$6=0,0,$B$6*NORMSINV(0.000001+0.999998*RAND())))</f>
        <v/>
      </c>
      <c r="EL33" s="30">
        <f>IF(30&gt;$B$3,99,INDEX(Symboles!$H$6:$H$101,MOD(29+$C33+(-4),$B$3)+1)*E33+INDEX(Symboles!$H$6:$H$101,MOD(29+$C33+(-3),$B$3)+1)*F33+INDEX(Symboles!$H$6:$H$101,MOD(29+$C33+(-2),$B$3)+1)*G33+INDEX(Symboles!$H$6:$H$101,MOD(29+$C33+(-1),$B$3)+1)*H33+INDEX(Symboles!$H$6:$H$101,MOD(29+$C33+(0),$B$3)+1)*I33+INDEX(Symboles!$H$6:$H$101,MOD(29+$C33+(1),$B$3)+1)*J33+INDEX(Symboles!$H$6:$H$101,MOD(29+$C33+(2),$B$3)+1)*K33+INDEX(Symboles!$H$6:$H$101,MOD(29+$C33+(3),$B$3)+1)*L33+INDEX(Symboles!$H$6:$H$101,MOD(29+$C33+(4),$B$3)+1)*M33+IF($B$6=0,0,$B$6*NORMSINV(0.000001+0.999998*RAND())))</f>
        <v/>
      </c>
      <c r="EM33" s="30">
        <f>IF(31&gt;$B$3,99,INDEX(Symboles!$H$6:$H$101,MOD(30+$C33+(-4),$B$3)+1)*E33+INDEX(Symboles!$H$6:$H$101,MOD(30+$C33+(-3),$B$3)+1)*F33+INDEX(Symboles!$H$6:$H$101,MOD(30+$C33+(-2),$B$3)+1)*G33+INDEX(Symboles!$H$6:$H$101,MOD(30+$C33+(-1),$B$3)+1)*H33+INDEX(Symboles!$H$6:$H$101,MOD(30+$C33+(0),$B$3)+1)*I33+INDEX(Symboles!$H$6:$H$101,MOD(30+$C33+(1),$B$3)+1)*J33+INDEX(Symboles!$H$6:$H$101,MOD(30+$C33+(2),$B$3)+1)*K33+INDEX(Symboles!$H$6:$H$101,MOD(30+$C33+(3),$B$3)+1)*L33+INDEX(Symboles!$H$6:$H$101,MOD(30+$C33+(4),$B$3)+1)*M33+IF($B$6=0,0,$B$6*NORMSINV(0.000001+0.999998*RAND())))</f>
        <v/>
      </c>
      <c r="EN33" s="30">
        <f>IF(32&gt;$B$3,99,INDEX(Symboles!$H$6:$H$101,MOD(31+$C33+(-4),$B$3)+1)*E33+INDEX(Symboles!$H$6:$H$101,MOD(31+$C33+(-3),$B$3)+1)*F33+INDEX(Symboles!$H$6:$H$101,MOD(31+$C33+(-2),$B$3)+1)*G33+INDEX(Symboles!$H$6:$H$101,MOD(31+$C33+(-1),$B$3)+1)*H33+INDEX(Symboles!$H$6:$H$101,MOD(31+$C33+(0),$B$3)+1)*I33+INDEX(Symboles!$H$6:$H$101,MOD(31+$C33+(1),$B$3)+1)*J33+INDEX(Symboles!$H$6:$H$101,MOD(31+$C33+(2),$B$3)+1)*K33+INDEX(Symboles!$H$6:$H$101,MOD(31+$C33+(3),$B$3)+1)*L33+INDEX(Symboles!$H$6:$H$101,MOD(31+$C33+(4),$B$3)+1)*M33+IF($B$6=0,0,$B$6*NORMSINV(0.000001+0.999998*RAND())))</f>
        <v/>
      </c>
      <c r="EO33" s="30">
        <f>IF(33&gt;$B$3,99,INDEX(Symboles!$H$6:$H$101,MOD(32+$C33+(-4),$B$3)+1)*E33+INDEX(Symboles!$H$6:$H$101,MOD(32+$C33+(-3),$B$3)+1)*F33+INDEX(Symboles!$H$6:$H$101,MOD(32+$C33+(-2),$B$3)+1)*G33+INDEX(Symboles!$H$6:$H$101,MOD(32+$C33+(-1),$B$3)+1)*H33+INDEX(Symboles!$H$6:$H$101,MOD(32+$C33+(0),$B$3)+1)*I33+INDEX(Symboles!$H$6:$H$101,MOD(32+$C33+(1),$B$3)+1)*J33+INDEX(Symboles!$H$6:$H$101,MOD(32+$C33+(2),$B$3)+1)*K33+INDEX(Symboles!$H$6:$H$101,MOD(32+$C33+(3),$B$3)+1)*L33+INDEX(Symboles!$H$6:$H$101,MOD(32+$C33+(4),$B$3)+1)*M33+IF($B$6=0,0,$B$6*NORMSINV(0.000001+0.999998*RAND())))</f>
        <v/>
      </c>
      <c r="EP33" s="30">
        <f>IF(34&gt;$B$3,99,INDEX(Symboles!$H$6:$H$101,MOD(33+$C33+(-4),$B$3)+1)*E33+INDEX(Symboles!$H$6:$H$101,MOD(33+$C33+(-3),$B$3)+1)*F33+INDEX(Symboles!$H$6:$H$101,MOD(33+$C33+(-2),$B$3)+1)*G33+INDEX(Symboles!$H$6:$H$101,MOD(33+$C33+(-1),$B$3)+1)*H33+INDEX(Symboles!$H$6:$H$101,MOD(33+$C33+(0),$B$3)+1)*I33+INDEX(Symboles!$H$6:$H$101,MOD(33+$C33+(1),$B$3)+1)*J33+INDEX(Symboles!$H$6:$H$101,MOD(33+$C33+(2),$B$3)+1)*K33+INDEX(Symboles!$H$6:$H$101,MOD(33+$C33+(3),$B$3)+1)*L33+INDEX(Symboles!$H$6:$H$101,MOD(33+$C33+(4),$B$3)+1)*M33+IF($B$6=0,0,$B$6*NORMSINV(0.000001+0.999998*RAND())))</f>
        <v/>
      </c>
      <c r="EQ33" s="30">
        <f>IF(35&gt;$B$3,99,INDEX(Symboles!$H$6:$H$101,MOD(34+$C33+(-4),$B$3)+1)*E33+INDEX(Symboles!$H$6:$H$101,MOD(34+$C33+(-3),$B$3)+1)*F33+INDEX(Symboles!$H$6:$H$101,MOD(34+$C33+(-2),$B$3)+1)*G33+INDEX(Symboles!$H$6:$H$101,MOD(34+$C33+(-1),$B$3)+1)*H33+INDEX(Symboles!$H$6:$H$101,MOD(34+$C33+(0),$B$3)+1)*I33+INDEX(Symboles!$H$6:$H$101,MOD(34+$C33+(1),$B$3)+1)*J33+INDEX(Symboles!$H$6:$H$101,MOD(34+$C33+(2),$B$3)+1)*K33+INDEX(Symboles!$H$6:$H$101,MOD(34+$C33+(3),$B$3)+1)*L33+INDEX(Symboles!$H$6:$H$101,MOD(34+$C33+(4),$B$3)+1)*M33+IF($B$6=0,0,$B$6*NORMSINV(0.000001+0.999998*RAND())))</f>
        <v/>
      </c>
      <c r="ER33" s="30">
        <f>IF(36&gt;$B$3,99,INDEX(Symboles!$H$6:$H$101,MOD(35+$C33+(-4),$B$3)+1)*E33+INDEX(Symboles!$H$6:$H$101,MOD(35+$C33+(-3),$B$3)+1)*F33+INDEX(Symboles!$H$6:$H$101,MOD(35+$C33+(-2),$B$3)+1)*G33+INDEX(Symboles!$H$6:$H$101,MOD(35+$C33+(-1),$B$3)+1)*H33+INDEX(Symboles!$H$6:$H$101,MOD(35+$C33+(0),$B$3)+1)*I33+INDEX(Symboles!$H$6:$H$101,MOD(35+$C33+(1),$B$3)+1)*J33+INDEX(Symboles!$H$6:$H$101,MOD(35+$C33+(2),$B$3)+1)*K33+INDEX(Symboles!$H$6:$H$101,MOD(35+$C33+(3),$B$3)+1)*L33+INDEX(Symboles!$H$6:$H$101,MOD(35+$C33+(4),$B$3)+1)*M33+IF($B$6=0,0,$B$6*NORMSINV(0.000001+0.999998*RAND())))</f>
        <v/>
      </c>
      <c r="ES33" s="30">
        <f>IF(37&gt;$B$3,99,INDEX(Symboles!$H$6:$H$101,MOD(36+$C33+(-4),$B$3)+1)*E33+INDEX(Symboles!$H$6:$H$101,MOD(36+$C33+(-3),$B$3)+1)*F33+INDEX(Symboles!$H$6:$H$101,MOD(36+$C33+(-2),$B$3)+1)*G33+INDEX(Symboles!$H$6:$H$101,MOD(36+$C33+(-1),$B$3)+1)*H33+INDEX(Symboles!$H$6:$H$101,MOD(36+$C33+(0),$B$3)+1)*I33+INDEX(Symboles!$H$6:$H$101,MOD(36+$C33+(1),$B$3)+1)*J33+INDEX(Symboles!$H$6:$H$101,MOD(36+$C33+(2),$B$3)+1)*K33+INDEX(Symboles!$H$6:$H$101,MOD(36+$C33+(3),$B$3)+1)*L33+INDEX(Symboles!$H$6:$H$101,MOD(36+$C33+(4),$B$3)+1)*M33+IF($B$6=0,0,$B$6*NORMSINV(0.000001+0.999998*RAND())))</f>
        <v/>
      </c>
      <c r="ET33" s="30">
        <f>IF(38&gt;$B$3,99,INDEX(Symboles!$H$6:$H$101,MOD(37+$C33+(-4),$B$3)+1)*E33+INDEX(Symboles!$H$6:$H$101,MOD(37+$C33+(-3),$B$3)+1)*F33+INDEX(Symboles!$H$6:$H$101,MOD(37+$C33+(-2),$B$3)+1)*G33+INDEX(Symboles!$H$6:$H$101,MOD(37+$C33+(-1),$B$3)+1)*H33+INDEX(Symboles!$H$6:$H$101,MOD(37+$C33+(0),$B$3)+1)*I33+INDEX(Symboles!$H$6:$H$101,MOD(37+$C33+(1),$B$3)+1)*J33+INDEX(Symboles!$H$6:$H$101,MOD(37+$C33+(2),$B$3)+1)*K33+INDEX(Symboles!$H$6:$H$101,MOD(37+$C33+(3),$B$3)+1)*L33+INDEX(Symboles!$H$6:$H$101,MOD(37+$C33+(4),$B$3)+1)*M33+IF($B$6=0,0,$B$6*NORMSINV(0.000001+0.999998*RAND())))</f>
        <v/>
      </c>
      <c r="EU33" s="30">
        <f>IF(39&gt;$B$3,99,INDEX(Symboles!$H$6:$H$101,MOD(38+$C33+(-4),$B$3)+1)*E33+INDEX(Symboles!$H$6:$H$101,MOD(38+$C33+(-3),$B$3)+1)*F33+INDEX(Symboles!$H$6:$H$101,MOD(38+$C33+(-2),$B$3)+1)*G33+INDEX(Symboles!$H$6:$H$101,MOD(38+$C33+(-1),$B$3)+1)*H33+INDEX(Symboles!$H$6:$H$101,MOD(38+$C33+(0),$B$3)+1)*I33+INDEX(Symboles!$H$6:$H$101,MOD(38+$C33+(1),$B$3)+1)*J33+INDEX(Symboles!$H$6:$H$101,MOD(38+$C33+(2),$B$3)+1)*K33+INDEX(Symboles!$H$6:$H$101,MOD(38+$C33+(3),$B$3)+1)*L33+INDEX(Symboles!$H$6:$H$101,MOD(38+$C33+(4),$B$3)+1)*M33+IF($B$6=0,0,$B$6*NORMSINV(0.000001+0.999998*RAND())))</f>
        <v/>
      </c>
      <c r="EV33" s="30">
        <f>IF(40&gt;$B$3,99,INDEX(Symboles!$H$6:$H$101,MOD(39+$C33+(-4),$B$3)+1)*E33+INDEX(Symboles!$H$6:$H$101,MOD(39+$C33+(-3),$B$3)+1)*F33+INDEX(Symboles!$H$6:$H$101,MOD(39+$C33+(-2),$B$3)+1)*G33+INDEX(Symboles!$H$6:$H$101,MOD(39+$C33+(-1),$B$3)+1)*H33+INDEX(Symboles!$H$6:$H$101,MOD(39+$C33+(0),$B$3)+1)*I33+INDEX(Symboles!$H$6:$H$101,MOD(39+$C33+(1),$B$3)+1)*J33+INDEX(Symboles!$H$6:$H$101,MOD(39+$C33+(2),$B$3)+1)*K33+INDEX(Symboles!$H$6:$H$101,MOD(39+$C33+(3),$B$3)+1)*L33+INDEX(Symboles!$H$6:$H$101,MOD(39+$C33+(4),$B$3)+1)*M33+IF($B$6=0,0,$B$6*NORMSINV(0.000001+0.999998*RAND())))</f>
        <v/>
      </c>
      <c r="EW33" s="30">
        <f>IF(41&gt;$B$3,99,INDEX(Symboles!$H$6:$H$101,MOD(40+$C33+(-4),$B$3)+1)*E33+INDEX(Symboles!$H$6:$H$101,MOD(40+$C33+(-3),$B$3)+1)*F33+INDEX(Symboles!$H$6:$H$101,MOD(40+$C33+(-2),$B$3)+1)*G33+INDEX(Symboles!$H$6:$H$101,MOD(40+$C33+(-1),$B$3)+1)*H33+INDEX(Symboles!$H$6:$H$101,MOD(40+$C33+(0),$B$3)+1)*I33+INDEX(Symboles!$H$6:$H$101,MOD(40+$C33+(1),$B$3)+1)*J33+INDEX(Symboles!$H$6:$H$101,MOD(40+$C33+(2),$B$3)+1)*K33+INDEX(Symboles!$H$6:$H$101,MOD(40+$C33+(3),$B$3)+1)*L33+INDEX(Symboles!$H$6:$H$101,MOD(40+$C33+(4),$B$3)+1)*M33+IF($B$6=0,0,$B$6*NORMSINV(0.000001+0.999998*RAND())))</f>
        <v/>
      </c>
      <c r="EX33" s="30">
        <f>IF(42&gt;$B$3,99,INDEX(Symboles!$H$6:$H$101,MOD(41+$C33+(-4),$B$3)+1)*E33+INDEX(Symboles!$H$6:$H$101,MOD(41+$C33+(-3),$B$3)+1)*F33+INDEX(Symboles!$H$6:$H$101,MOD(41+$C33+(-2),$B$3)+1)*G33+INDEX(Symboles!$H$6:$H$101,MOD(41+$C33+(-1),$B$3)+1)*H33+INDEX(Symboles!$H$6:$H$101,MOD(41+$C33+(0),$B$3)+1)*I33+INDEX(Symboles!$H$6:$H$101,MOD(41+$C33+(1),$B$3)+1)*J33+INDEX(Symboles!$H$6:$H$101,MOD(41+$C33+(2),$B$3)+1)*K33+INDEX(Symboles!$H$6:$H$101,MOD(41+$C33+(3),$B$3)+1)*L33+INDEX(Symboles!$H$6:$H$101,MOD(41+$C33+(4),$B$3)+1)*M33+IF($B$6=0,0,$B$6*NORMSINV(0.000001+0.999998*RAND())))</f>
        <v/>
      </c>
      <c r="EY33" s="30">
        <f>IF(43&gt;$B$3,99,INDEX(Symboles!$H$6:$H$101,MOD(42+$C33+(-4),$B$3)+1)*E33+INDEX(Symboles!$H$6:$H$101,MOD(42+$C33+(-3),$B$3)+1)*F33+INDEX(Symboles!$H$6:$H$101,MOD(42+$C33+(-2),$B$3)+1)*G33+INDEX(Symboles!$H$6:$H$101,MOD(42+$C33+(-1),$B$3)+1)*H33+INDEX(Symboles!$H$6:$H$101,MOD(42+$C33+(0),$B$3)+1)*I33+INDEX(Symboles!$H$6:$H$101,MOD(42+$C33+(1),$B$3)+1)*J33+INDEX(Symboles!$H$6:$H$101,MOD(42+$C33+(2),$B$3)+1)*K33+INDEX(Symboles!$H$6:$H$101,MOD(42+$C33+(3),$B$3)+1)*L33+INDEX(Symboles!$H$6:$H$101,MOD(42+$C33+(4),$B$3)+1)*M33+IF($B$6=0,0,$B$6*NORMSINV(0.000001+0.999998*RAND())))</f>
        <v/>
      </c>
      <c r="EZ33" s="30">
        <f>IF(44&gt;$B$3,99,INDEX(Symboles!$H$6:$H$101,MOD(43+$C33+(-4),$B$3)+1)*E33+INDEX(Symboles!$H$6:$H$101,MOD(43+$C33+(-3),$B$3)+1)*F33+INDEX(Symboles!$H$6:$H$101,MOD(43+$C33+(-2),$B$3)+1)*G33+INDEX(Symboles!$H$6:$H$101,MOD(43+$C33+(-1),$B$3)+1)*H33+INDEX(Symboles!$H$6:$H$101,MOD(43+$C33+(0),$B$3)+1)*I33+INDEX(Symboles!$H$6:$H$101,MOD(43+$C33+(1),$B$3)+1)*J33+INDEX(Symboles!$H$6:$H$101,MOD(43+$C33+(2),$B$3)+1)*K33+INDEX(Symboles!$H$6:$H$101,MOD(43+$C33+(3),$B$3)+1)*L33+INDEX(Symboles!$H$6:$H$101,MOD(43+$C33+(4),$B$3)+1)*M33+IF($B$6=0,0,$B$6*NORMSINV(0.000001+0.999998*RAND())))</f>
        <v/>
      </c>
      <c r="FA33" s="30">
        <f>IF(45&gt;$B$3,99,INDEX(Symboles!$H$6:$H$101,MOD(44+$C33+(-4),$B$3)+1)*E33+INDEX(Symboles!$H$6:$H$101,MOD(44+$C33+(-3),$B$3)+1)*F33+INDEX(Symboles!$H$6:$H$101,MOD(44+$C33+(-2),$B$3)+1)*G33+INDEX(Symboles!$H$6:$H$101,MOD(44+$C33+(-1),$B$3)+1)*H33+INDEX(Symboles!$H$6:$H$101,MOD(44+$C33+(0),$B$3)+1)*I33+INDEX(Symboles!$H$6:$H$101,MOD(44+$C33+(1),$B$3)+1)*J33+INDEX(Symboles!$H$6:$H$101,MOD(44+$C33+(2),$B$3)+1)*K33+INDEX(Symboles!$H$6:$H$101,MOD(44+$C33+(3),$B$3)+1)*L33+INDEX(Symboles!$H$6:$H$101,MOD(44+$C33+(4),$B$3)+1)*M33+IF($B$6=0,0,$B$6*NORMSINV(0.000001+0.999998*RAND())))</f>
        <v/>
      </c>
      <c r="FB33" s="30">
        <f>IF(46&gt;$B$3,99,INDEX(Symboles!$H$6:$H$101,MOD(45+$C33+(-4),$B$3)+1)*E33+INDEX(Symboles!$H$6:$H$101,MOD(45+$C33+(-3),$B$3)+1)*F33+INDEX(Symboles!$H$6:$H$101,MOD(45+$C33+(-2),$B$3)+1)*G33+INDEX(Symboles!$H$6:$H$101,MOD(45+$C33+(-1),$B$3)+1)*H33+INDEX(Symboles!$H$6:$H$101,MOD(45+$C33+(0),$B$3)+1)*I33+INDEX(Symboles!$H$6:$H$101,MOD(45+$C33+(1),$B$3)+1)*J33+INDEX(Symboles!$H$6:$H$101,MOD(45+$C33+(2),$B$3)+1)*K33+INDEX(Symboles!$H$6:$H$101,MOD(45+$C33+(3),$B$3)+1)*L33+INDEX(Symboles!$H$6:$H$101,MOD(45+$C33+(4),$B$3)+1)*M33+IF($B$6=0,0,$B$6*NORMSINV(0.000001+0.999998*RAND())))</f>
        <v/>
      </c>
      <c r="FC33" s="30">
        <f>IF(47&gt;$B$3,99,INDEX(Symboles!$H$6:$H$101,MOD(46+$C33+(-4),$B$3)+1)*E33+INDEX(Symboles!$H$6:$H$101,MOD(46+$C33+(-3),$B$3)+1)*F33+INDEX(Symboles!$H$6:$H$101,MOD(46+$C33+(-2),$B$3)+1)*G33+INDEX(Symboles!$H$6:$H$101,MOD(46+$C33+(-1),$B$3)+1)*H33+INDEX(Symboles!$H$6:$H$101,MOD(46+$C33+(0),$B$3)+1)*I33+INDEX(Symboles!$H$6:$H$101,MOD(46+$C33+(1),$B$3)+1)*J33+INDEX(Symboles!$H$6:$H$101,MOD(46+$C33+(2),$B$3)+1)*K33+INDEX(Symboles!$H$6:$H$101,MOD(46+$C33+(3),$B$3)+1)*L33+INDEX(Symboles!$H$6:$H$101,MOD(46+$C33+(4),$B$3)+1)*M33+IF($B$6=0,0,$B$6*NORMSINV(0.000001+0.999998*RAND())))</f>
        <v/>
      </c>
      <c r="FD33" s="30">
        <f>IF(48&gt;$B$3,99,INDEX(Symboles!$H$6:$H$101,MOD(47+$C33+(-4),$B$3)+1)*E33+INDEX(Symboles!$H$6:$H$101,MOD(47+$C33+(-3),$B$3)+1)*F33+INDEX(Symboles!$H$6:$H$101,MOD(47+$C33+(-2),$B$3)+1)*G33+INDEX(Symboles!$H$6:$H$101,MOD(47+$C33+(-1),$B$3)+1)*H33+INDEX(Symboles!$H$6:$H$101,MOD(47+$C33+(0),$B$3)+1)*I33+INDEX(Symboles!$H$6:$H$101,MOD(47+$C33+(1),$B$3)+1)*J33+INDEX(Symboles!$H$6:$H$101,MOD(47+$C33+(2),$B$3)+1)*K33+INDEX(Symboles!$H$6:$H$101,MOD(47+$C33+(3),$B$3)+1)*L33+INDEX(Symboles!$H$6:$H$101,MOD(47+$C33+(4),$B$3)+1)*M33+IF($B$6=0,0,$B$6*NORMSINV(0.000001+0.999998*RAND())))</f>
        <v/>
      </c>
      <c r="FE33" s="30">
        <f>IF(49&gt;$B$3,99,INDEX(Symboles!$H$6:$H$101,MOD(48+$C33+(-4),$B$3)+1)*E33+INDEX(Symboles!$H$6:$H$101,MOD(48+$C33+(-3),$B$3)+1)*F33+INDEX(Symboles!$H$6:$H$101,MOD(48+$C33+(-2),$B$3)+1)*G33+INDEX(Symboles!$H$6:$H$101,MOD(48+$C33+(-1),$B$3)+1)*H33+INDEX(Symboles!$H$6:$H$101,MOD(48+$C33+(0),$B$3)+1)*I33+INDEX(Symboles!$H$6:$H$101,MOD(48+$C33+(1),$B$3)+1)*J33+INDEX(Symboles!$H$6:$H$101,MOD(48+$C33+(2),$B$3)+1)*K33+INDEX(Symboles!$H$6:$H$101,MOD(48+$C33+(3),$B$3)+1)*L33+INDEX(Symboles!$H$6:$H$101,MOD(48+$C33+(4),$B$3)+1)*M33+IF($B$6=0,0,$B$6*NORMSINV(0.000001+0.999998*RAND())))</f>
        <v/>
      </c>
      <c r="FF33" s="30">
        <f>IF(50&gt;$B$3,99,INDEX(Symboles!$H$6:$H$101,MOD(49+$C33+(-4),$B$3)+1)*E33+INDEX(Symboles!$H$6:$H$101,MOD(49+$C33+(-3),$B$3)+1)*F33+INDEX(Symboles!$H$6:$H$101,MOD(49+$C33+(-2),$B$3)+1)*G33+INDEX(Symboles!$H$6:$H$101,MOD(49+$C33+(-1),$B$3)+1)*H33+INDEX(Symboles!$H$6:$H$101,MOD(49+$C33+(0),$B$3)+1)*I33+INDEX(Symboles!$H$6:$H$101,MOD(49+$C33+(1),$B$3)+1)*J33+INDEX(Symboles!$H$6:$H$101,MOD(49+$C33+(2),$B$3)+1)*K33+INDEX(Symboles!$H$6:$H$101,MOD(49+$C33+(3),$B$3)+1)*L33+INDEX(Symboles!$H$6:$H$101,MOD(49+$C33+(4),$B$3)+1)*M33+IF($B$6=0,0,$B$6*NORMSINV(0.000001+0.999998*RAND())))</f>
        <v/>
      </c>
      <c r="FG33" s="30">
        <f>IF(51&gt;$B$3,99,INDEX(Symboles!$H$6:$H$101,MOD(50+$C33+(-4),$B$3)+1)*E33+INDEX(Symboles!$H$6:$H$101,MOD(50+$C33+(-3),$B$3)+1)*F33+INDEX(Symboles!$H$6:$H$101,MOD(50+$C33+(-2),$B$3)+1)*G33+INDEX(Symboles!$H$6:$H$101,MOD(50+$C33+(-1),$B$3)+1)*H33+INDEX(Symboles!$H$6:$H$101,MOD(50+$C33+(0),$B$3)+1)*I33+INDEX(Symboles!$H$6:$H$101,MOD(50+$C33+(1),$B$3)+1)*J33+INDEX(Symboles!$H$6:$H$101,MOD(50+$C33+(2),$B$3)+1)*K33+INDEX(Symboles!$H$6:$H$101,MOD(50+$C33+(3),$B$3)+1)*L33+INDEX(Symboles!$H$6:$H$101,MOD(50+$C33+(4),$B$3)+1)*M33+IF($B$6=0,0,$B$6*NORMSINV(0.000001+0.999998*RAND())))</f>
        <v/>
      </c>
      <c r="FH33" s="30">
        <f>IF(52&gt;$B$3,99,INDEX(Symboles!$H$6:$H$101,MOD(51+$C33+(-4),$B$3)+1)*E33+INDEX(Symboles!$H$6:$H$101,MOD(51+$C33+(-3),$B$3)+1)*F33+INDEX(Symboles!$H$6:$H$101,MOD(51+$C33+(-2),$B$3)+1)*G33+INDEX(Symboles!$H$6:$H$101,MOD(51+$C33+(-1),$B$3)+1)*H33+INDEX(Symboles!$H$6:$H$101,MOD(51+$C33+(0),$B$3)+1)*I33+INDEX(Symboles!$H$6:$H$101,MOD(51+$C33+(1),$B$3)+1)*J33+INDEX(Symboles!$H$6:$H$101,MOD(51+$C33+(2),$B$3)+1)*K33+INDEX(Symboles!$H$6:$H$101,MOD(51+$C33+(3),$B$3)+1)*L33+INDEX(Symboles!$H$6:$H$101,MOD(51+$C33+(4),$B$3)+1)*M33+IF($B$6=0,0,$B$6*NORMSINV(0.000001+0.999998*RAND())))</f>
        <v/>
      </c>
      <c r="FI33" s="30">
        <f>IF(53&gt;$B$3,99,INDEX(Symboles!$H$6:$H$101,MOD(52+$C33+(-4),$B$3)+1)*E33+INDEX(Symboles!$H$6:$H$101,MOD(52+$C33+(-3),$B$3)+1)*F33+INDEX(Symboles!$H$6:$H$101,MOD(52+$C33+(-2),$B$3)+1)*G33+INDEX(Symboles!$H$6:$H$101,MOD(52+$C33+(-1),$B$3)+1)*H33+INDEX(Symboles!$H$6:$H$101,MOD(52+$C33+(0),$B$3)+1)*I33+INDEX(Symboles!$H$6:$H$101,MOD(52+$C33+(1),$B$3)+1)*J33+INDEX(Symboles!$H$6:$H$101,MOD(52+$C33+(2),$B$3)+1)*K33+INDEX(Symboles!$H$6:$H$101,MOD(52+$C33+(3),$B$3)+1)*L33+INDEX(Symboles!$H$6:$H$101,MOD(52+$C33+(4),$B$3)+1)*M33+IF($B$6=0,0,$B$6*NORMSINV(0.000001+0.999998*RAND())))</f>
        <v/>
      </c>
      <c r="FJ33" s="30">
        <f>IF(54&gt;$B$3,99,INDEX(Symboles!$H$6:$H$101,MOD(53+$C33+(-4),$B$3)+1)*E33+INDEX(Symboles!$H$6:$H$101,MOD(53+$C33+(-3),$B$3)+1)*F33+INDEX(Symboles!$H$6:$H$101,MOD(53+$C33+(-2),$B$3)+1)*G33+INDEX(Symboles!$H$6:$H$101,MOD(53+$C33+(-1),$B$3)+1)*H33+INDEX(Symboles!$H$6:$H$101,MOD(53+$C33+(0),$B$3)+1)*I33+INDEX(Symboles!$H$6:$H$101,MOD(53+$C33+(1),$B$3)+1)*J33+INDEX(Symboles!$H$6:$H$101,MOD(53+$C33+(2),$B$3)+1)*K33+INDEX(Symboles!$H$6:$H$101,MOD(53+$C33+(3),$B$3)+1)*L33+INDEX(Symboles!$H$6:$H$101,MOD(53+$C33+(4),$B$3)+1)*M33+IF($B$6=0,0,$B$6*NORMSINV(0.000001+0.999998*RAND())))</f>
        <v/>
      </c>
      <c r="FK33" s="30">
        <f>IF(55&gt;$B$3,99,INDEX(Symboles!$H$6:$H$101,MOD(54+$C33+(-4),$B$3)+1)*E33+INDEX(Symboles!$H$6:$H$101,MOD(54+$C33+(-3),$B$3)+1)*F33+INDEX(Symboles!$H$6:$H$101,MOD(54+$C33+(-2),$B$3)+1)*G33+INDEX(Symboles!$H$6:$H$101,MOD(54+$C33+(-1),$B$3)+1)*H33+INDEX(Symboles!$H$6:$H$101,MOD(54+$C33+(0),$B$3)+1)*I33+INDEX(Symboles!$H$6:$H$101,MOD(54+$C33+(1),$B$3)+1)*J33+INDEX(Symboles!$H$6:$H$101,MOD(54+$C33+(2),$B$3)+1)*K33+INDEX(Symboles!$H$6:$H$101,MOD(54+$C33+(3),$B$3)+1)*L33+INDEX(Symboles!$H$6:$H$101,MOD(54+$C33+(4),$B$3)+1)*M33+IF($B$6=0,0,$B$6*NORMSINV(0.000001+0.999998*RAND())))</f>
        <v/>
      </c>
      <c r="FL33" s="30">
        <f>IF(56&gt;$B$3,99,INDEX(Symboles!$H$6:$H$101,MOD(55+$C33+(-4),$B$3)+1)*E33+INDEX(Symboles!$H$6:$H$101,MOD(55+$C33+(-3),$B$3)+1)*F33+INDEX(Symboles!$H$6:$H$101,MOD(55+$C33+(-2),$B$3)+1)*G33+INDEX(Symboles!$H$6:$H$101,MOD(55+$C33+(-1),$B$3)+1)*H33+INDEX(Symboles!$H$6:$H$101,MOD(55+$C33+(0),$B$3)+1)*I33+INDEX(Symboles!$H$6:$H$101,MOD(55+$C33+(1),$B$3)+1)*J33+INDEX(Symboles!$H$6:$H$101,MOD(55+$C33+(2),$B$3)+1)*K33+INDEX(Symboles!$H$6:$H$101,MOD(55+$C33+(3),$B$3)+1)*L33+INDEX(Symboles!$H$6:$H$101,MOD(55+$C33+(4),$B$3)+1)*M33+IF($B$6=0,0,$B$6*NORMSINV(0.000001+0.999998*RAND())))</f>
        <v/>
      </c>
      <c r="FM33" s="30">
        <f>IF(57&gt;$B$3,99,INDEX(Symboles!$H$6:$H$101,MOD(56+$C33+(-4),$B$3)+1)*E33+INDEX(Symboles!$H$6:$H$101,MOD(56+$C33+(-3),$B$3)+1)*F33+INDEX(Symboles!$H$6:$H$101,MOD(56+$C33+(-2),$B$3)+1)*G33+INDEX(Symboles!$H$6:$H$101,MOD(56+$C33+(-1),$B$3)+1)*H33+INDEX(Symboles!$H$6:$H$101,MOD(56+$C33+(0),$B$3)+1)*I33+INDEX(Symboles!$H$6:$H$101,MOD(56+$C33+(1),$B$3)+1)*J33+INDEX(Symboles!$H$6:$H$101,MOD(56+$C33+(2),$B$3)+1)*K33+INDEX(Symboles!$H$6:$H$101,MOD(56+$C33+(3),$B$3)+1)*L33+INDEX(Symboles!$H$6:$H$101,MOD(56+$C33+(4),$B$3)+1)*M33+IF($B$6=0,0,$B$6*NORMSINV(0.000001+0.999998*RAND())))</f>
        <v/>
      </c>
      <c r="FN33" s="30">
        <f>IF(58&gt;$B$3,99,INDEX(Symboles!$H$6:$H$101,MOD(57+$C33+(-4),$B$3)+1)*E33+INDEX(Symboles!$H$6:$H$101,MOD(57+$C33+(-3),$B$3)+1)*F33+INDEX(Symboles!$H$6:$H$101,MOD(57+$C33+(-2),$B$3)+1)*G33+INDEX(Symboles!$H$6:$H$101,MOD(57+$C33+(-1),$B$3)+1)*H33+INDEX(Symboles!$H$6:$H$101,MOD(57+$C33+(0),$B$3)+1)*I33+INDEX(Symboles!$H$6:$H$101,MOD(57+$C33+(1),$B$3)+1)*J33+INDEX(Symboles!$H$6:$H$101,MOD(57+$C33+(2),$B$3)+1)*K33+INDEX(Symboles!$H$6:$H$101,MOD(57+$C33+(3),$B$3)+1)*L33+INDEX(Symboles!$H$6:$H$101,MOD(57+$C33+(4),$B$3)+1)*M33+IF($B$6=0,0,$B$6*NORMSINV(0.000001+0.999998*RAND())))</f>
        <v/>
      </c>
      <c r="FO33" s="30">
        <f>IF(59&gt;$B$3,99,INDEX(Symboles!$H$6:$H$101,MOD(58+$C33+(-4),$B$3)+1)*E33+INDEX(Symboles!$H$6:$H$101,MOD(58+$C33+(-3),$B$3)+1)*F33+INDEX(Symboles!$H$6:$H$101,MOD(58+$C33+(-2),$B$3)+1)*G33+INDEX(Symboles!$H$6:$H$101,MOD(58+$C33+(-1),$B$3)+1)*H33+INDEX(Symboles!$H$6:$H$101,MOD(58+$C33+(0),$B$3)+1)*I33+INDEX(Symboles!$H$6:$H$101,MOD(58+$C33+(1),$B$3)+1)*J33+INDEX(Symboles!$H$6:$H$101,MOD(58+$C33+(2),$B$3)+1)*K33+INDEX(Symboles!$H$6:$H$101,MOD(58+$C33+(3),$B$3)+1)*L33+INDEX(Symboles!$H$6:$H$101,MOD(58+$C33+(4),$B$3)+1)*M33+IF($B$6=0,0,$B$6*NORMSINV(0.000001+0.999998*RAND())))</f>
        <v/>
      </c>
      <c r="FP33" s="30">
        <f>IF(60&gt;$B$3,99,INDEX(Symboles!$H$6:$H$101,MOD(59+$C33+(-4),$B$3)+1)*E33+INDEX(Symboles!$H$6:$H$101,MOD(59+$C33+(-3),$B$3)+1)*F33+INDEX(Symboles!$H$6:$H$101,MOD(59+$C33+(-2),$B$3)+1)*G33+INDEX(Symboles!$H$6:$H$101,MOD(59+$C33+(-1),$B$3)+1)*H33+INDEX(Symboles!$H$6:$H$101,MOD(59+$C33+(0),$B$3)+1)*I33+INDEX(Symboles!$H$6:$H$101,MOD(59+$C33+(1),$B$3)+1)*J33+INDEX(Symboles!$H$6:$H$101,MOD(59+$C33+(2),$B$3)+1)*K33+INDEX(Symboles!$H$6:$H$101,MOD(59+$C33+(3),$B$3)+1)*L33+INDEX(Symboles!$H$6:$H$101,MOD(59+$C33+(4),$B$3)+1)*M33+IF($B$6=0,0,$B$6*NORMSINV(0.000001+0.999998*RAND())))</f>
        <v/>
      </c>
      <c r="FQ33" s="30">
        <f>IF(61&gt;$B$3,99,INDEX(Symboles!$H$6:$H$101,MOD(60+$C33+(-4),$B$3)+1)*E33+INDEX(Symboles!$H$6:$H$101,MOD(60+$C33+(-3),$B$3)+1)*F33+INDEX(Symboles!$H$6:$H$101,MOD(60+$C33+(-2),$B$3)+1)*G33+INDEX(Symboles!$H$6:$H$101,MOD(60+$C33+(-1),$B$3)+1)*H33+INDEX(Symboles!$H$6:$H$101,MOD(60+$C33+(0),$B$3)+1)*I33+INDEX(Symboles!$H$6:$H$101,MOD(60+$C33+(1),$B$3)+1)*J33+INDEX(Symboles!$H$6:$H$101,MOD(60+$C33+(2),$B$3)+1)*K33+INDEX(Symboles!$H$6:$H$101,MOD(60+$C33+(3),$B$3)+1)*L33+INDEX(Symboles!$H$6:$H$101,MOD(60+$C33+(4),$B$3)+1)*M33+IF($B$6=0,0,$B$6*NORMSINV(0.000001+0.999998*RAND())))</f>
        <v/>
      </c>
      <c r="FR33" s="30">
        <f>IF(62&gt;$B$3,99,INDEX(Symboles!$H$6:$H$101,MOD(61+$C33+(-4),$B$3)+1)*E33+INDEX(Symboles!$H$6:$H$101,MOD(61+$C33+(-3),$B$3)+1)*F33+INDEX(Symboles!$H$6:$H$101,MOD(61+$C33+(-2),$B$3)+1)*G33+INDEX(Symboles!$H$6:$H$101,MOD(61+$C33+(-1),$B$3)+1)*H33+INDEX(Symboles!$H$6:$H$101,MOD(61+$C33+(0),$B$3)+1)*I33+INDEX(Symboles!$H$6:$H$101,MOD(61+$C33+(1),$B$3)+1)*J33+INDEX(Symboles!$H$6:$H$101,MOD(61+$C33+(2),$B$3)+1)*K33+INDEX(Symboles!$H$6:$H$101,MOD(61+$C33+(3),$B$3)+1)*L33+INDEX(Symboles!$H$6:$H$101,MOD(61+$C33+(4),$B$3)+1)*M33+IF($B$6=0,0,$B$6*NORMSINV(0.000001+0.999998*RAND())))</f>
        <v/>
      </c>
      <c r="FS33" s="30">
        <f>IF(63&gt;$B$3,99,INDEX(Symboles!$H$6:$H$101,MOD(62+$C33+(-4),$B$3)+1)*E33+INDEX(Symboles!$H$6:$H$101,MOD(62+$C33+(-3),$B$3)+1)*F33+INDEX(Symboles!$H$6:$H$101,MOD(62+$C33+(-2),$B$3)+1)*G33+INDEX(Symboles!$H$6:$H$101,MOD(62+$C33+(-1),$B$3)+1)*H33+INDEX(Symboles!$H$6:$H$101,MOD(62+$C33+(0),$B$3)+1)*I33+INDEX(Symboles!$H$6:$H$101,MOD(62+$C33+(1),$B$3)+1)*J33+INDEX(Symboles!$H$6:$H$101,MOD(62+$C33+(2),$B$3)+1)*K33+INDEX(Symboles!$H$6:$H$101,MOD(62+$C33+(3),$B$3)+1)*L33+INDEX(Symboles!$H$6:$H$101,MOD(62+$C33+(4),$B$3)+1)*M33+IF($B$6=0,0,$B$6*NORMSINV(0.000001+0.999998*RAND())))</f>
        <v/>
      </c>
      <c r="FT33" s="30">
        <f>IF(64&gt;$B$3,99,INDEX(Symboles!$H$6:$H$101,MOD(63+$C33+(-4),$B$3)+1)*E33+INDEX(Symboles!$H$6:$H$101,MOD(63+$C33+(-3),$B$3)+1)*F33+INDEX(Symboles!$H$6:$H$101,MOD(63+$C33+(-2),$B$3)+1)*G33+INDEX(Symboles!$H$6:$H$101,MOD(63+$C33+(-1),$B$3)+1)*H33+INDEX(Symboles!$H$6:$H$101,MOD(63+$C33+(0),$B$3)+1)*I33+INDEX(Symboles!$H$6:$H$101,MOD(63+$C33+(1),$B$3)+1)*J33+INDEX(Symboles!$H$6:$H$101,MOD(63+$C33+(2),$B$3)+1)*K33+INDEX(Symboles!$H$6:$H$101,MOD(63+$C33+(3),$B$3)+1)*L33+INDEX(Symboles!$H$6:$H$101,MOD(63+$C33+(4),$B$3)+1)*M33+IF($B$6=0,0,$B$6*NORMSINV(0.000001+0.999998*RAND())))</f>
        <v/>
      </c>
      <c r="FU33" s="30">
        <f>IF(65&gt;$B$3,99,INDEX(Symboles!$H$6:$H$101,MOD(64+$C33+(-4),$B$3)+1)*E33+INDEX(Symboles!$H$6:$H$101,MOD(64+$C33+(-3),$B$3)+1)*F33+INDEX(Symboles!$H$6:$H$101,MOD(64+$C33+(-2),$B$3)+1)*G33+INDEX(Symboles!$H$6:$H$101,MOD(64+$C33+(-1),$B$3)+1)*H33+INDEX(Symboles!$H$6:$H$101,MOD(64+$C33+(0),$B$3)+1)*I33+INDEX(Symboles!$H$6:$H$101,MOD(64+$C33+(1),$B$3)+1)*J33+INDEX(Symboles!$H$6:$H$101,MOD(64+$C33+(2),$B$3)+1)*K33+INDEX(Symboles!$H$6:$H$101,MOD(64+$C33+(3),$B$3)+1)*L33+INDEX(Symboles!$H$6:$H$101,MOD(64+$C33+(4),$B$3)+1)*M33+IF($B$6=0,0,$B$6*NORMSINV(0.000001+0.999998*RAND())))</f>
        <v/>
      </c>
      <c r="FV33" s="30">
        <f>IF(66&gt;$B$3,99,INDEX(Symboles!$H$6:$H$101,MOD(65+$C33+(-4),$B$3)+1)*E33+INDEX(Symboles!$H$6:$H$101,MOD(65+$C33+(-3),$B$3)+1)*F33+INDEX(Symboles!$H$6:$H$101,MOD(65+$C33+(-2),$B$3)+1)*G33+INDEX(Symboles!$H$6:$H$101,MOD(65+$C33+(-1),$B$3)+1)*H33+INDEX(Symboles!$H$6:$H$101,MOD(65+$C33+(0),$B$3)+1)*I33+INDEX(Symboles!$H$6:$H$101,MOD(65+$C33+(1),$B$3)+1)*J33+INDEX(Symboles!$H$6:$H$101,MOD(65+$C33+(2),$B$3)+1)*K33+INDEX(Symboles!$H$6:$H$101,MOD(65+$C33+(3),$B$3)+1)*L33+INDEX(Symboles!$H$6:$H$101,MOD(65+$C33+(4),$B$3)+1)*M33+IF($B$6=0,0,$B$6*NORMSINV(0.000001+0.999998*RAND())))</f>
        <v/>
      </c>
      <c r="FW33" s="30">
        <f>IF(67&gt;$B$3,99,INDEX(Symboles!$H$6:$H$101,MOD(66+$C33+(-4),$B$3)+1)*E33+INDEX(Symboles!$H$6:$H$101,MOD(66+$C33+(-3),$B$3)+1)*F33+INDEX(Symboles!$H$6:$H$101,MOD(66+$C33+(-2),$B$3)+1)*G33+INDEX(Symboles!$H$6:$H$101,MOD(66+$C33+(-1),$B$3)+1)*H33+INDEX(Symboles!$H$6:$H$101,MOD(66+$C33+(0),$B$3)+1)*I33+INDEX(Symboles!$H$6:$H$101,MOD(66+$C33+(1),$B$3)+1)*J33+INDEX(Symboles!$H$6:$H$101,MOD(66+$C33+(2),$B$3)+1)*K33+INDEX(Symboles!$H$6:$H$101,MOD(66+$C33+(3),$B$3)+1)*L33+INDEX(Symboles!$H$6:$H$101,MOD(66+$C33+(4),$B$3)+1)*M33+IF($B$6=0,0,$B$6*NORMSINV(0.000001+0.999998*RAND())))</f>
        <v/>
      </c>
      <c r="FX33" s="30">
        <f>IF(68&gt;$B$3,99,INDEX(Symboles!$H$6:$H$101,MOD(67+$C33+(-4),$B$3)+1)*E33+INDEX(Symboles!$H$6:$H$101,MOD(67+$C33+(-3),$B$3)+1)*F33+INDEX(Symboles!$H$6:$H$101,MOD(67+$C33+(-2),$B$3)+1)*G33+INDEX(Symboles!$H$6:$H$101,MOD(67+$C33+(-1),$B$3)+1)*H33+INDEX(Symboles!$H$6:$H$101,MOD(67+$C33+(0),$B$3)+1)*I33+INDEX(Symboles!$H$6:$H$101,MOD(67+$C33+(1),$B$3)+1)*J33+INDEX(Symboles!$H$6:$H$101,MOD(67+$C33+(2),$B$3)+1)*K33+INDEX(Symboles!$H$6:$H$101,MOD(67+$C33+(3),$B$3)+1)*L33+INDEX(Symboles!$H$6:$H$101,MOD(67+$C33+(4),$B$3)+1)*M33+IF($B$6=0,0,$B$6*NORMSINV(0.000001+0.999998*RAND())))</f>
        <v/>
      </c>
      <c r="FY33" s="30">
        <f>IF(69&gt;$B$3,99,INDEX(Symboles!$H$6:$H$101,MOD(68+$C33+(-4),$B$3)+1)*E33+INDEX(Symboles!$H$6:$H$101,MOD(68+$C33+(-3),$B$3)+1)*F33+INDEX(Symboles!$H$6:$H$101,MOD(68+$C33+(-2),$B$3)+1)*G33+INDEX(Symboles!$H$6:$H$101,MOD(68+$C33+(-1),$B$3)+1)*H33+INDEX(Symboles!$H$6:$H$101,MOD(68+$C33+(0),$B$3)+1)*I33+INDEX(Symboles!$H$6:$H$101,MOD(68+$C33+(1),$B$3)+1)*J33+INDEX(Symboles!$H$6:$H$101,MOD(68+$C33+(2),$B$3)+1)*K33+INDEX(Symboles!$H$6:$H$101,MOD(68+$C33+(3),$B$3)+1)*L33+INDEX(Symboles!$H$6:$H$101,MOD(68+$C33+(4),$B$3)+1)*M33+IF($B$6=0,0,$B$6*NORMSINV(0.000001+0.999998*RAND())))</f>
        <v/>
      </c>
      <c r="FZ33" s="30">
        <f>IF(70&gt;$B$3,99,INDEX(Symboles!$H$6:$H$101,MOD(69+$C33+(-4),$B$3)+1)*E33+INDEX(Symboles!$H$6:$H$101,MOD(69+$C33+(-3),$B$3)+1)*F33+INDEX(Symboles!$H$6:$H$101,MOD(69+$C33+(-2),$B$3)+1)*G33+INDEX(Symboles!$H$6:$H$101,MOD(69+$C33+(-1),$B$3)+1)*H33+INDEX(Symboles!$H$6:$H$101,MOD(69+$C33+(0),$B$3)+1)*I33+INDEX(Symboles!$H$6:$H$101,MOD(69+$C33+(1),$B$3)+1)*J33+INDEX(Symboles!$H$6:$H$101,MOD(69+$C33+(2),$B$3)+1)*K33+INDEX(Symboles!$H$6:$H$101,MOD(69+$C33+(3),$B$3)+1)*L33+INDEX(Symboles!$H$6:$H$101,MOD(69+$C33+(4),$B$3)+1)*M33+IF($B$6=0,0,$B$6*NORMSINV(0.000001+0.999998*RAND())))</f>
        <v/>
      </c>
      <c r="GA33" s="30">
        <f>IF(71&gt;$B$3,99,INDEX(Symboles!$H$6:$H$101,MOD(70+$C33+(-4),$B$3)+1)*E33+INDEX(Symboles!$H$6:$H$101,MOD(70+$C33+(-3),$B$3)+1)*F33+INDEX(Symboles!$H$6:$H$101,MOD(70+$C33+(-2),$B$3)+1)*G33+INDEX(Symboles!$H$6:$H$101,MOD(70+$C33+(-1),$B$3)+1)*H33+INDEX(Symboles!$H$6:$H$101,MOD(70+$C33+(0),$B$3)+1)*I33+INDEX(Symboles!$H$6:$H$101,MOD(70+$C33+(1),$B$3)+1)*J33+INDEX(Symboles!$H$6:$H$101,MOD(70+$C33+(2),$B$3)+1)*K33+INDEX(Symboles!$H$6:$H$101,MOD(70+$C33+(3),$B$3)+1)*L33+INDEX(Symboles!$H$6:$H$101,MOD(70+$C33+(4),$B$3)+1)*M33+IF($B$6=0,0,$B$6*NORMSINV(0.000001+0.999998*RAND())))</f>
        <v/>
      </c>
      <c r="GB33" s="30">
        <f>IF(72&gt;$B$3,99,INDEX(Symboles!$H$6:$H$101,MOD(71+$C33+(-4),$B$3)+1)*E33+INDEX(Symboles!$H$6:$H$101,MOD(71+$C33+(-3),$B$3)+1)*F33+INDEX(Symboles!$H$6:$H$101,MOD(71+$C33+(-2),$B$3)+1)*G33+INDEX(Symboles!$H$6:$H$101,MOD(71+$C33+(-1),$B$3)+1)*H33+INDEX(Symboles!$H$6:$H$101,MOD(71+$C33+(0),$B$3)+1)*I33+INDEX(Symboles!$H$6:$H$101,MOD(71+$C33+(1),$B$3)+1)*J33+INDEX(Symboles!$H$6:$H$101,MOD(71+$C33+(2),$B$3)+1)*K33+INDEX(Symboles!$H$6:$H$101,MOD(71+$C33+(3),$B$3)+1)*L33+INDEX(Symboles!$H$6:$H$101,MOD(71+$C33+(4),$B$3)+1)*M33+IF($B$6=0,0,$B$6*NORMSINV(0.000001+0.999998*RAND())))</f>
        <v/>
      </c>
      <c r="GC33" s="30">
        <f>IF(73&gt;$B$3,99,INDEX(Symboles!$H$6:$H$101,MOD(72+$C33+(-4),$B$3)+1)*E33+INDEX(Symboles!$H$6:$H$101,MOD(72+$C33+(-3),$B$3)+1)*F33+INDEX(Symboles!$H$6:$H$101,MOD(72+$C33+(-2),$B$3)+1)*G33+INDEX(Symboles!$H$6:$H$101,MOD(72+$C33+(-1),$B$3)+1)*H33+INDEX(Symboles!$H$6:$H$101,MOD(72+$C33+(0),$B$3)+1)*I33+INDEX(Symboles!$H$6:$H$101,MOD(72+$C33+(1),$B$3)+1)*J33+INDEX(Symboles!$H$6:$H$101,MOD(72+$C33+(2),$B$3)+1)*K33+INDEX(Symboles!$H$6:$H$101,MOD(72+$C33+(3),$B$3)+1)*L33+INDEX(Symboles!$H$6:$H$101,MOD(72+$C33+(4),$B$3)+1)*M33+IF($B$6=0,0,$B$6*NORMSINV(0.000001+0.999998*RAND())))</f>
        <v/>
      </c>
      <c r="GD33" s="30">
        <f>IF(74&gt;$B$3,99,INDEX(Symboles!$H$6:$H$101,MOD(73+$C33+(-4),$B$3)+1)*E33+INDEX(Symboles!$H$6:$H$101,MOD(73+$C33+(-3),$B$3)+1)*F33+INDEX(Symboles!$H$6:$H$101,MOD(73+$C33+(-2),$B$3)+1)*G33+INDEX(Symboles!$H$6:$H$101,MOD(73+$C33+(-1),$B$3)+1)*H33+INDEX(Symboles!$H$6:$H$101,MOD(73+$C33+(0),$B$3)+1)*I33+INDEX(Symboles!$H$6:$H$101,MOD(73+$C33+(1),$B$3)+1)*J33+INDEX(Symboles!$H$6:$H$101,MOD(73+$C33+(2),$B$3)+1)*K33+INDEX(Symboles!$H$6:$H$101,MOD(73+$C33+(3),$B$3)+1)*L33+INDEX(Symboles!$H$6:$H$101,MOD(73+$C33+(4),$B$3)+1)*M33+IF($B$6=0,0,$B$6*NORMSINV(0.000001+0.999998*RAND())))</f>
        <v/>
      </c>
      <c r="GE33" s="30">
        <f>IF(75&gt;$B$3,99,INDEX(Symboles!$H$6:$H$101,MOD(74+$C33+(-4),$B$3)+1)*E33+INDEX(Symboles!$H$6:$H$101,MOD(74+$C33+(-3),$B$3)+1)*F33+INDEX(Symboles!$H$6:$H$101,MOD(74+$C33+(-2),$B$3)+1)*G33+INDEX(Symboles!$H$6:$H$101,MOD(74+$C33+(-1),$B$3)+1)*H33+INDEX(Symboles!$H$6:$H$101,MOD(74+$C33+(0),$B$3)+1)*I33+INDEX(Symboles!$H$6:$H$101,MOD(74+$C33+(1),$B$3)+1)*J33+INDEX(Symboles!$H$6:$H$101,MOD(74+$C33+(2),$B$3)+1)*K33+INDEX(Symboles!$H$6:$H$101,MOD(74+$C33+(3),$B$3)+1)*L33+INDEX(Symboles!$H$6:$H$101,MOD(74+$C33+(4),$B$3)+1)*M33+IF($B$6=0,0,$B$6*NORMSINV(0.000001+0.999998*RAND())))</f>
        <v/>
      </c>
      <c r="GF33" s="30">
        <f>IF(76&gt;$B$3,99,INDEX(Symboles!$H$6:$H$101,MOD(75+$C33+(-4),$B$3)+1)*E33+INDEX(Symboles!$H$6:$H$101,MOD(75+$C33+(-3),$B$3)+1)*F33+INDEX(Symboles!$H$6:$H$101,MOD(75+$C33+(-2),$B$3)+1)*G33+INDEX(Symboles!$H$6:$H$101,MOD(75+$C33+(-1),$B$3)+1)*H33+INDEX(Symboles!$H$6:$H$101,MOD(75+$C33+(0),$B$3)+1)*I33+INDEX(Symboles!$H$6:$H$101,MOD(75+$C33+(1),$B$3)+1)*J33+INDEX(Symboles!$H$6:$H$101,MOD(75+$C33+(2),$B$3)+1)*K33+INDEX(Symboles!$H$6:$H$101,MOD(75+$C33+(3),$B$3)+1)*L33+INDEX(Symboles!$H$6:$H$101,MOD(75+$C33+(4),$B$3)+1)*M33+IF($B$6=0,0,$B$6*NORMSINV(0.000001+0.999998*RAND())))</f>
        <v/>
      </c>
      <c r="GG33" s="30">
        <f>IF(77&gt;$B$3,99,INDEX(Symboles!$H$6:$H$101,MOD(76+$C33+(-4),$B$3)+1)*E33+INDEX(Symboles!$H$6:$H$101,MOD(76+$C33+(-3),$B$3)+1)*F33+INDEX(Symboles!$H$6:$H$101,MOD(76+$C33+(-2),$B$3)+1)*G33+INDEX(Symboles!$H$6:$H$101,MOD(76+$C33+(-1),$B$3)+1)*H33+INDEX(Symboles!$H$6:$H$101,MOD(76+$C33+(0),$B$3)+1)*I33+INDEX(Symboles!$H$6:$H$101,MOD(76+$C33+(1),$B$3)+1)*J33+INDEX(Symboles!$H$6:$H$101,MOD(76+$C33+(2),$B$3)+1)*K33+INDEX(Symboles!$H$6:$H$101,MOD(76+$C33+(3),$B$3)+1)*L33+INDEX(Symboles!$H$6:$H$101,MOD(76+$C33+(4),$B$3)+1)*M33+IF($B$6=0,0,$B$6*NORMSINV(0.000001+0.999998*RAND())))</f>
        <v/>
      </c>
      <c r="GH33" s="30">
        <f>IF(78&gt;$B$3,99,INDEX(Symboles!$H$6:$H$101,MOD(77+$C33+(-4),$B$3)+1)*E33+INDEX(Symboles!$H$6:$H$101,MOD(77+$C33+(-3),$B$3)+1)*F33+INDEX(Symboles!$H$6:$H$101,MOD(77+$C33+(-2),$B$3)+1)*G33+INDEX(Symboles!$H$6:$H$101,MOD(77+$C33+(-1),$B$3)+1)*H33+INDEX(Symboles!$H$6:$H$101,MOD(77+$C33+(0),$B$3)+1)*I33+INDEX(Symboles!$H$6:$H$101,MOD(77+$C33+(1),$B$3)+1)*J33+INDEX(Symboles!$H$6:$H$101,MOD(77+$C33+(2),$B$3)+1)*K33+INDEX(Symboles!$H$6:$H$101,MOD(77+$C33+(3),$B$3)+1)*L33+INDEX(Symboles!$H$6:$H$101,MOD(77+$C33+(4),$B$3)+1)*M33+IF($B$6=0,0,$B$6*NORMSINV(0.000001+0.999998*RAND())))</f>
        <v/>
      </c>
      <c r="GI33" s="30">
        <f>IF(79&gt;$B$3,99,INDEX(Symboles!$H$6:$H$101,MOD(78+$C33+(-4),$B$3)+1)*E33+INDEX(Symboles!$H$6:$H$101,MOD(78+$C33+(-3),$B$3)+1)*F33+INDEX(Symboles!$H$6:$H$101,MOD(78+$C33+(-2),$B$3)+1)*G33+INDEX(Symboles!$H$6:$H$101,MOD(78+$C33+(-1),$B$3)+1)*H33+INDEX(Symboles!$H$6:$H$101,MOD(78+$C33+(0),$B$3)+1)*I33+INDEX(Symboles!$H$6:$H$101,MOD(78+$C33+(1),$B$3)+1)*J33+INDEX(Symboles!$H$6:$H$101,MOD(78+$C33+(2),$B$3)+1)*K33+INDEX(Symboles!$H$6:$H$101,MOD(78+$C33+(3),$B$3)+1)*L33+INDEX(Symboles!$H$6:$H$101,MOD(78+$C33+(4),$B$3)+1)*M33+IF($B$6=0,0,$B$6*NORMSINV(0.000001+0.999998*RAND())))</f>
        <v/>
      </c>
      <c r="GJ33" s="30">
        <f>IF(80&gt;$B$3,99,INDEX(Symboles!$H$6:$H$101,MOD(79+$C33+(-4),$B$3)+1)*E33+INDEX(Symboles!$H$6:$H$101,MOD(79+$C33+(-3),$B$3)+1)*F33+INDEX(Symboles!$H$6:$H$101,MOD(79+$C33+(-2),$B$3)+1)*G33+INDEX(Symboles!$H$6:$H$101,MOD(79+$C33+(-1),$B$3)+1)*H33+INDEX(Symboles!$H$6:$H$101,MOD(79+$C33+(0),$B$3)+1)*I33+INDEX(Symboles!$H$6:$H$101,MOD(79+$C33+(1),$B$3)+1)*J33+INDEX(Symboles!$H$6:$H$101,MOD(79+$C33+(2),$B$3)+1)*K33+INDEX(Symboles!$H$6:$H$101,MOD(79+$C33+(3),$B$3)+1)*L33+INDEX(Symboles!$H$6:$H$101,MOD(79+$C33+(4),$B$3)+1)*M33+IF($B$6=0,0,$B$6*NORMSINV(0.000001+0.999998*RAND())))</f>
        <v/>
      </c>
      <c r="GK33" s="30">
        <f>IF(81&gt;$B$3,99,INDEX(Symboles!$H$6:$H$101,MOD(80+$C33+(-4),$B$3)+1)*E33+INDEX(Symboles!$H$6:$H$101,MOD(80+$C33+(-3),$B$3)+1)*F33+INDEX(Symboles!$H$6:$H$101,MOD(80+$C33+(-2),$B$3)+1)*G33+INDEX(Symboles!$H$6:$H$101,MOD(80+$C33+(-1),$B$3)+1)*H33+INDEX(Symboles!$H$6:$H$101,MOD(80+$C33+(0),$B$3)+1)*I33+INDEX(Symboles!$H$6:$H$101,MOD(80+$C33+(1),$B$3)+1)*J33+INDEX(Symboles!$H$6:$H$101,MOD(80+$C33+(2),$B$3)+1)*K33+INDEX(Symboles!$H$6:$H$101,MOD(80+$C33+(3),$B$3)+1)*L33+INDEX(Symboles!$H$6:$H$101,MOD(80+$C33+(4),$B$3)+1)*M33+IF($B$6=0,0,$B$6*NORMSINV(0.000001+0.999998*RAND())))</f>
        <v/>
      </c>
      <c r="GL33" s="30">
        <f>IF(82&gt;$B$3,99,INDEX(Symboles!$H$6:$H$101,MOD(81+$C33+(-4),$B$3)+1)*E33+INDEX(Symboles!$H$6:$H$101,MOD(81+$C33+(-3),$B$3)+1)*F33+INDEX(Symboles!$H$6:$H$101,MOD(81+$C33+(-2),$B$3)+1)*G33+INDEX(Symboles!$H$6:$H$101,MOD(81+$C33+(-1),$B$3)+1)*H33+INDEX(Symboles!$H$6:$H$101,MOD(81+$C33+(0),$B$3)+1)*I33+INDEX(Symboles!$H$6:$H$101,MOD(81+$C33+(1),$B$3)+1)*J33+INDEX(Symboles!$H$6:$H$101,MOD(81+$C33+(2),$B$3)+1)*K33+INDEX(Symboles!$H$6:$H$101,MOD(81+$C33+(3),$B$3)+1)*L33+INDEX(Symboles!$H$6:$H$101,MOD(81+$C33+(4),$B$3)+1)*M33+IF($B$6=0,0,$B$6*NORMSINV(0.000001+0.999998*RAND())))</f>
        <v/>
      </c>
      <c r="GM33" s="30">
        <f>IF(83&gt;$B$3,99,INDEX(Symboles!$H$6:$H$101,MOD(82+$C33+(-4),$B$3)+1)*E33+INDEX(Symboles!$H$6:$H$101,MOD(82+$C33+(-3),$B$3)+1)*F33+INDEX(Symboles!$H$6:$H$101,MOD(82+$C33+(-2),$B$3)+1)*G33+INDEX(Symboles!$H$6:$H$101,MOD(82+$C33+(-1),$B$3)+1)*H33+INDEX(Symboles!$H$6:$H$101,MOD(82+$C33+(0),$B$3)+1)*I33+INDEX(Symboles!$H$6:$H$101,MOD(82+$C33+(1),$B$3)+1)*J33+INDEX(Symboles!$H$6:$H$101,MOD(82+$C33+(2),$B$3)+1)*K33+INDEX(Symboles!$H$6:$H$101,MOD(82+$C33+(3),$B$3)+1)*L33+INDEX(Symboles!$H$6:$H$101,MOD(82+$C33+(4),$B$3)+1)*M33+IF($B$6=0,0,$B$6*NORMSINV(0.000001+0.999998*RAND())))</f>
        <v/>
      </c>
      <c r="GN33" s="30">
        <f>IF(84&gt;$B$3,99,INDEX(Symboles!$H$6:$H$101,MOD(83+$C33+(-4),$B$3)+1)*E33+INDEX(Symboles!$H$6:$H$101,MOD(83+$C33+(-3),$B$3)+1)*F33+INDEX(Symboles!$H$6:$H$101,MOD(83+$C33+(-2),$B$3)+1)*G33+INDEX(Symboles!$H$6:$H$101,MOD(83+$C33+(-1),$B$3)+1)*H33+INDEX(Symboles!$H$6:$H$101,MOD(83+$C33+(0),$B$3)+1)*I33+INDEX(Symboles!$H$6:$H$101,MOD(83+$C33+(1),$B$3)+1)*J33+INDEX(Symboles!$H$6:$H$101,MOD(83+$C33+(2),$B$3)+1)*K33+INDEX(Symboles!$H$6:$H$101,MOD(83+$C33+(3),$B$3)+1)*L33+INDEX(Symboles!$H$6:$H$101,MOD(83+$C33+(4),$B$3)+1)*M33+IF($B$6=0,0,$B$6*NORMSINV(0.000001+0.999998*RAND())))</f>
        <v/>
      </c>
      <c r="GO33" s="30">
        <f>IF(85&gt;$B$3,99,INDEX(Symboles!$H$6:$H$101,MOD(84+$C33+(-4),$B$3)+1)*E33+INDEX(Symboles!$H$6:$H$101,MOD(84+$C33+(-3),$B$3)+1)*F33+INDEX(Symboles!$H$6:$H$101,MOD(84+$C33+(-2),$B$3)+1)*G33+INDEX(Symboles!$H$6:$H$101,MOD(84+$C33+(-1),$B$3)+1)*H33+INDEX(Symboles!$H$6:$H$101,MOD(84+$C33+(0),$B$3)+1)*I33+INDEX(Symboles!$H$6:$H$101,MOD(84+$C33+(1),$B$3)+1)*J33+INDEX(Symboles!$H$6:$H$101,MOD(84+$C33+(2),$B$3)+1)*K33+INDEX(Symboles!$H$6:$H$101,MOD(84+$C33+(3),$B$3)+1)*L33+INDEX(Symboles!$H$6:$H$101,MOD(84+$C33+(4),$B$3)+1)*M33+IF($B$6=0,0,$B$6*NORMSINV(0.000001+0.999998*RAND())))</f>
        <v/>
      </c>
      <c r="GP33" s="30">
        <f>IF(86&gt;$B$3,99,INDEX(Symboles!$H$6:$H$101,MOD(85+$C33+(-4),$B$3)+1)*E33+INDEX(Symboles!$H$6:$H$101,MOD(85+$C33+(-3),$B$3)+1)*F33+INDEX(Symboles!$H$6:$H$101,MOD(85+$C33+(-2),$B$3)+1)*G33+INDEX(Symboles!$H$6:$H$101,MOD(85+$C33+(-1),$B$3)+1)*H33+INDEX(Symboles!$H$6:$H$101,MOD(85+$C33+(0),$B$3)+1)*I33+INDEX(Symboles!$H$6:$H$101,MOD(85+$C33+(1),$B$3)+1)*J33+INDEX(Symboles!$H$6:$H$101,MOD(85+$C33+(2),$B$3)+1)*K33+INDEX(Symboles!$H$6:$H$101,MOD(85+$C33+(3),$B$3)+1)*L33+INDEX(Symboles!$H$6:$H$101,MOD(85+$C33+(4),$B$3)+1)*M33+IF($B$6=0,0,$B$6*NORMSINV(0.000001+0.999998*RAND())))</f>
        <v/>
      </c>
      <c r="GQ33" s="30">
        <f>IF(87&gt;$B$3,99,INDEX(Symboles!$H$6:$H$101,MOD(86+$C33+(-4),$B$3)+1)*E33+INDEX(Symboles!$H$6:$H$101,MOD(86+$C33+(-3),$B$3)+1)*F33+INDEX(Symboles!$H$6:$H$101,MOD(86+$C33+(-2),$B$3)+1)*G33+INDEX(Symboles!$H$6:$H$101,MOD(86+$C33+(-1),$B$3)+1)*H33+INDEX(Symboles!$H$6:$H$101,MOD(86+$C33+(0),$B$3)+1)*I33+INDEX(Symboles!$H$6:$H$101,MOD(86+$C33+(1),$B$3)+1)*J33+INDEX(Symboles!$H$6:$H$101,MOD(86+$C33+(2),$B$3)+1)*K33+INDEX(Symboles!$H$6:$H$101,MOD(86+$C33+(3),$B$3)+1)*L33+INDEX(Symboles!$H$6:$H$101,MOD(86+$C33+(4),$B$3)+1)*M33+IF($B$6=0,0,$B$6*NORMSINV(0.000001+0.999998*RAND())))</f>
        <v/>
      </c>
      <c r="GR33" s="30">
        <f>IF(88&gt;$B$3,99,INDEX(Symboles!$H$6:$H$101,MOD(87+$C33+(-4),$B$3)+1)*E33+INDEX(Symboles!$H$6:$H$101,MOD(87+$C33+(-3),$B$3)+1)*F33+INDEX(Symboles!$H$6:$H$101,MOD(87+$C33+(-2),$B$3)+1)*G33+INDEX(Symboles!$H$6:$H$101,MOD(87+$C33+(-1),$B$3)+1)*H33+INDEX(Symboles!$H$6:$H$101,MOD(87+$C33+(0),$B$3)+1)*I33+INDEX(Symboles!$H$6:$H$101,MOD(87+$C33+(1),$B$3)+1)*J33+INDEX(Symboles!$H$6:$H$101,MOD(87+$C33+(2),$B$3)+1)*K33+INDEX(Symboles!$H$6:$H$101,MOD(87+$C33+(3),$B$3)+1)*L33+INDEX(Symboles!$H$6:$H$101,MOD(87+$C33+(4),$B$3)+1)*M33+IF($B$6=0,0,$B$6*NORMSINV(0.000001+0.999998*RAND())))</f>
        <v/>
      </c>
      <c r="GS33" s="30">
        <f>IF(89&gt;$B$3,99,INDEX(Symboles!$H$6:$H$101,MOD(88+$C33+(-4),$B$3)+1)*E33+INDEX(Symboles!$H$6:$H$101,MOD(88+$C33+(-3),$B$3)+1)*F33+INDEX(Symboles!$H$6:$H$101,MOD(88+$C33+(-2),$B$3)+1)*G33+INDEX(Symboles!$H$6:$H$101,MOD(88+$C33+(-1),$B$3)+1)*H33+INDEX(Symboles!$H$6:$H$101,MOD(88+$C33+(0),$B$3)+1)*I33+INDEX(Symboles!$H$6:$H$101,MOD(88+$C33+(1),$B$3)+1)*J33+INDEX(Symboles!$H$6:$H$101,MOD(88+$C33+(2),$B$3)+1)*K33+INDEX(Symboles!$H$6:$H$101,MOD(88+$C33+(3),$B$3)+1)*L33+INDEX(Symboles!$H$6:$H$101,MOD(88+$C33+(4),$B$3)+1)*M33+IF($B$6=0,0,$B$6*NORMSINV(0.000001+0.999998*RAND())))</f>
        <v/>
      </c>
      <c r="GT33" s="30">
        <f>IF(90&gt;$B$3,99,INDEX(Symboles!$H$6:$H$101,MOD(89+$C33+(-4),$B$3)+1)*E33+INDEX(Symboles!$H$6:$H$101,MOD(89+$C33+(-3),$B$3)+1)*F33+INDEX(Symboles!$H$6:$H$101,MOD(89+$C33+(-2),$B$3)+1)*G33+INDEX(Symboles!$H$6:$H$101,MOD(89+$C33+(-1),$B$3)+1)*H33+INDEX(Symboles!$H$6:$H$101,MOD(89+$C33+(0),$B$3)+1)*I33+INDEX(Symboles!$H$6:$H$101,MOD(89+$C33+(1),$B$3)+1)*J33+INDEX(Symboles!$H$6:$H$101,MOD(89+$C33+(2),$B$3)+1)*K33+INDEX(Symboles!$H$6:$H$101,MOD(89+$C33+(3),$B$3)+1)*L33+INDEX(Symboles!$H$6:$H$101,MOD(89+$C33+(4),$B$3)+1)*M33+IF($B$6=0,0,$B$6*NORMSINV(0.000001+0.999998*RAND())))</f>
        <v/>
      </c>
      <c r="GU33" s="30">
        <f>IF(91&gt;$B$3,99,INDEX(Symboles!$H$6:$H$101,MOD(90+$C33+(-4),$B$3)+1)*E33+INDEX(Symboles!$H$6:$H$101,MOD(90+$C33+(-3),$B$3)+1)*F33+INDEX(Symboles!$H$6:$H$101,MOD(90+$C33+(-2),$B$3)+1)*G33+INDEX(Symboles!$H$6:$H$101,MOD(90+$C33+(-1),$B$3)+1)*H33+INDEX(Symboles!$H$6:$H$101,MOD(90+$C33+(0),$B$3)+1)*I33+INDEX(Symboles!$H$6:$H$101,MOD(90+$C33+(1),$B$3)+1)*J33+INDEX(Symboles!$H$6:$H$101,MOD(90+$C33+(2),$B$3)+1)*K33+INDEX(Symboles!$H$6:$H$101,MOD(90+$C33+(3),$B$3)+1)*L33+INDEX(Symboles!$H$6:$H$101,MOD(90+$C33+(4),$B$3)+1)*M33+IF($B$6=0,0,$B$6*NORMSINV(0.000001+0.999998*RAND())))</f>
        <v/>
      </c>
      <c r="GV33" s="30">
        <f>IF(92&gt;$B$3,99,INDEX(Symboles!$H$6:$H$101,MOD(91+$C33+(-4),$B$3)+1)*E33+INDEX(Symboles!$H$6:$H$101,MOD(91+$C33+(-3),$B$3)+1)*F33+INDEX(Symboles!$H$6:$H$101,MOD(91+$C33+(-2),$B$3)+1)*G33+INDEX(Symboles!$H$6:$H$101,MOD(91+$C33+(-1),$B$3)+1)*H33+INDEX(Symboles!$H$6:$H$101,MOD(91+$C33+(0),$B$3)+1)*I33+INDEX(Symboles!$H$6:$H$101,MOD(91+$C33+(1),$B$3)+1)*J33+INDEX(Symboles!$H$6:$H$101,MOD(91+$C33+(2),$B$3)+1)*K33+INDEX(Symboles!$H$6:$H$101,MOD(91+$C33+(3),$B$3)+1)*L33+INDEX(Symboles!$H$6:$H$101,MOD(91+$C33+(4),$B$3)+1)*M33+IF($B$6=0,0,$B$6*NORMSINV(0.000001+0.999998*RAND())))</f>
        <v/>
      </c>
      <c r="GW33" s="30">
        <f>IF(93&gt;$B$3,99,INDEX(Symboles!$H$6:$H$101,MOD(92+$C33+(-4),$B$3)+1)*E33+INDEX(Symboles!$H$6:$H$101,MOD(92+$C33+(-3),$B$3)+1)*F33+INDEX(Symboles!$H$6:$H$101,MOD(92+$C33+(-2),$B$3)+1)*G33+INDEX(Symboles!$H$6:$H$101,MOD(92+$C33+(-1),$B$3)+1)*H33+INDEX(Symboles!$H$6:$H$101,MOD(92+$C33+(0),$B$3)+1)*I33+INDEX(Symboles!$H$6:$H$101,MOD(92+$C33+(1),$B$3)+1)*J33+INDEX(Symboles!$H$6:$H$101,MOD(92+$C33+(2),$B$3)+1)*K33+INDEX(Symboles!$H$6:$H$101,MOD(92+$C33+(3),$B$3)+1)*L33+INDEX(Symboles!$H$6:$H$101,MOD(92+$C33+(4),$B$3)+1)*M33+IF($B$6=0,0,$B$6*NORMSINV(0.000001+0.999998*RAND())))</f>
        <v/>
      </c>
      <c r="GX33" s="30">
        <f>IF(94&gt;$B$3,99,INDEX(Symboles!$H$6:$H$101,MOD(93+$C33+(-4),$B$3)+1)*E33+INDEX(Symboles!$H$6:$H$101,MOD(93+$C33+(-3),$B$3)+1)*F33+INDEX(Symboles!$H$6:$H$101,MOD(93+$C33+(-2),$B$3)+1)*G33+INDEX(Symboles!$H$6:$H$101,MOD(93+$C33+(-1),$B$3)+1)*H33+INDEX(Symboles!$H$6:$H$101,MOD(93+$C33+(0),$B$3)+1)*I33+INDEX(Symboles!$H$6:$H$101,MOD(93+$C33+(1),$B$3)+1)*J33+INDEX(Symboles!$H$6:$H$101,MOD(93+$C33+(2),$B$3)+1)*K33+INDEX(Symboles!$H$6:$H$101,MOD(93+$C33+(3),$B$3)+1)*L33+INDEX(Symboles!$H$6:$H$101,MOD(93+$C33+(4),$B$3)+1)*M33+IF($B$6=0,0,$B$6*NORMSINV(0.000001+0.999998*RAND())))</f>
        <v/>
      </c>
      <c r="GY33" s="30">
        <f>IF(95&gt;$B$3,99,INDEX(Symboles!$H$6:$H$101,MOD(94+$C33+(-4),$B$3)+1)*E33+INDEX(Symboles!$H$6:$H$101,MOD(94+$C33+(-3),$B$3)+1)*F33+INDEX(Symboles!$H$6:$H$101,MOD(94+$C33+(-2),$B$3)+1)*G33+INDEX(Symboles!$H$6:$H$101,MOD(94+$C33+(-1),$B$3)+1)*H33+INDEX(Symboles!$H$6:$H$101,MOD(94+$C33+(0),$B$3)+1)*I33+INDEX(Symboles!$H$6:$H$101,MOD(94+$C33+(1),$B$3)+1)*J33+INDEX(Symboles!$H$6:$H$101,MOD(94+$C33+(2),$B$3)+1)*K33+INDEX(Symboles!$H$6:$H$101,MOD(94+$C33+(3),$B$3)+1)*L33+INDEX(Symboles!$H$6:$H$101,MOD(94+$C33+(4),$B$3)+1)*M33+IF($B$6=0,0,$B$6*NORMSINV(0.000001+0.999998*RAND())))</f>
        <v/>
      </c>
      <c r="GZ33" s="30">
        <f>IF(96&gt;$B$3,99,INDEX(Symboles!$H$6:$H$101,MOD(95+$C33+(-4),$B$3)+1)*E33+INDEX(Symboles!$H$6:$H$101,MOD(95+$C33+(-3),$B$3)+1)*F33+INDEX(Symboles!$H$6:$H$101,MOD(95+$C33+(-2),$B$3)+1)*G33+INDEX(Symboles!$H$6:$H$101,MOD(95+$C33+(-1),$B$3)+1)*H33+INDEX(Symboles!$H$6:$H$101,MOD(95+$C33+(0),$B$3)+1)*I33+INDEX(Symboles!$H$6:$H$101,MOD(95+$C33+(1),$B$3)+1)*J33+INDEX(Symboles!$H$6:$H$101,MOD(95+$C33+(2),$B$3)+1)*K33+INDEX(Symboles!$H$6:$H$101,MOD(95+$C33+(3),$B$3)+1)*L33+INDEX(Symboles!$H$6:$H$101,MOD(95+$C33+(4),$B$3)+1)*M33+IF($B$6=0,0,$B$6*NORMSINV(0.000001+0.999998*RAND())))</f>
        <v/>
      </c>
    </row>
    <row r="34">
      <c r="A34" s="28" t="n">
        <v>24</v>
      </c>
      <c r="B34" s="28" t="n">
        <v>0.5</v>
      </c>
      <c r="C34" s="28" t="n">
        <v>1</v>
      </c>
      <c r="D34" s="28" t="n">
        <v>0</v>
      </c>
      <c r="E34" s="29">
        <f>IF($B$4=1,0,IF(ABS(1-(2*$B$5*3.5)^2)&lt;0.000001,PI()/4*SIN(PI()/(2*$B$5))/(PI()/(2*$B$5)),SIN(PI()*3.5)/(PI()*3.5)*COS(PI()*$B$5*3.5)/(1-(2*$B$5*3.5)^2)))</f>
        <v/>
      </c>
      <c r="F34" s="29">
        <f>IF($B$4=1,0,IF(ABS(1-(2*$B$5*2.5)^2)&lt;0.000001,PI()/4*SIN(PI()/(2*$B$5))/(PI()/(2*$B$5)),SIN(PI()*2.5)/(PI()*2.5)*COS(PI()*$B$5*2.5)/(1-(2*$B$5*2.5)^2)))</f>
        <v/>
      </c>
      <c r="G34" s="29">
        <f>IF($B$4=1,0,IF(ABS(1-(2*$B$5*1.5)^2)&lt;0.000001,PI()/4*SIN(PI()/(2*$B$5))/(PI()/(2*$B$5)),SIN(PI()*1.5)/(PI()*1.5)*COS(PI()*$B$5*1.5)/(1-(2*$B$5*1.5)^2)))</f>
        <v/>
      </c>
      <c r="H34" s="29">
        <f>IF($B$4=1,0,IF(ABS(1-(2*$B$5*0.5)^2)&lt;0.000001,PI()/4*SIN(PI()/(2*$B$5))/(PI()/(2*$B$5)),SIN(PI()*0.5)/(PI()*0.5)*COS(PI()*$B$5*0.5)/(1-(2*$B$5*0.5)^2)))</f>
        <v/>
      </c>
      <c r="I34" s="29">
        <f>IF($B$4=1,1,IF(ABS(1-(2*$B$5*-0.5)^2)&lt;0.000001,PI()/4*SIN(PI()/(2*$B$5))/(PI()/(2*$B$5)),SIN(PI()*-0.5)/(PI()*-0.5)*COS(PI()*$B$5*-0.5)/(1-(2*$B$5*-0.5)^2)))</f>
        <v/>
      </c>
      <c r="J34" s="29">
        <f>IF($B$4=1,0,IF(ABS(1-(2*$B$5*-1.5)^2)&lt;0.000001,PI()/4*SIN(PI()/(2*$B$5))/(PI()/(2*$B$5)),SIN(PI()*-1.5)/(PI()*-1.5)*COS(PI()*$B$5*-1.5)/(1-(2*$B$5*-1.5)^2)))</f>
        <v/>
      </c>
      <c r="K34" s="29">
        <f>IF($B$4=1,0,IF(ABS(1-(2*$B$5*-2.5)^2)&lt;0.000001,PI()/4*SIN(PI()/(2*$B$5))/(PI()/(2*$B$5)),SIN(PI()*-2.5)/(PI()*-2.5)*COS(PI()*$B$5*-2.5)/(1-(2*$B$5*-2.5)^2)))</f>
        <v/>
      </c>
      <c r="L34" s="29">
        <f>IF($B$4=1,0,IF(ABS(1-(2*$B$5*-3.5)^2)&lt;0.000001,PI()/4*SIN(PI()/(2*$B$5))/(PI()/(2*$B$5)),SIN(PI()*-3.5)/(PI()*-3.5)*COS(PI()*$B$5*-3.5)/(1-(2*$B$5*-3.5)^2)))</f>
        <v/>
      </c>
      <c r="M34" s="29">
        <f>IF($B$4=1,0,IF(ABS(1-(2*$B$5*-4.5)^2)&lt;0.000001,PI()/4*SIN(PI()/(2*$B$5))/(PI()/(2*$B$5)),SIN(PI()*-4.5)/(PI()*-4.5)*COS(PI()*$B$5*-4.5)/(1-(2*$B$5*-4.5)^2)))</f>
        <v/>
      </c>
      <c r="P34" s="30">
        <f>IF(1&gt;$B$3,99,INDEX(Symboles!$G$6:$G$101,MOD(0+$C34+(-4),$B$3)+1)*E34+INDEX(Symboles!$G$6:$G$101,MOD(0+$C34+(-3),$B$3)+1)*F34+INDEX(Symboles!$G$6:$G$101,MOD(0+$C34+(-2),$B$3)+1)*G34+INDEX(Symboles!$G$6:$G$101,MOD(0+$C34+(-1),$B$3)+1)*H34+INDEX(Symboles!$G$6:$G$101,MOD(0+$C34+(0),$B$3)+1)*I34+INDEX(Symboles!$G$6:$G$101,MOD(0+$C34+(1),$B$3)+1)*J34+INDEX(Symboles!$G$6:$G$101,MOD(0+$C34+(2),$B$3)+1)*K34+INDEX(Symboles!$G$6:$G$101,MOD(0+$C34+(3),$B$3)+1)*L34+INDEX(Symboles!$G$6:$G$101,MOD(0+$C34+(4),$B$3)+1)*M34+IF($B$6=0,0,$B$6*NORMSINV(0.000001+0.999998*RAND())))</f>
        <v/>
      </c>
      <c r="Q34" s="30">
        <f>IF(2&gt;$B$3,99,INDEX(Symboles!$G$6:$G$101,MOD(1+$C34+(-4),$B$3)+1)*E34+INDEX(Symboles!$G$6:$G$101,MOD(1+$C34+(-3),$B$3)+1)*F34+INDEX(Symboles!$G$6:$G$101,MOD(1+$C34+(-2),$B$3)+1)*G34+INDEX(Symboles!$G$6:$G$101,MOD(1+$C34+(-1),$B$3)+1)*H34+INDEX(Symboles!$G$6:$G$101,MOD(1+$C34+(0),$B$3)+1)*I34+INDEX(Symboles!$G$6:$G$101,MOD(1+$C34+(1),$B$3)+1)*J34+INDEX(Symboles!$G$6:$G$101,MOD(1+$C34+(2),$B$3)+1)*K34+INDEX(Symboles!$G$6:$G$101,MOD(1+$C34+(3),$B$3)+1)*L34+INDEX(Symboles!$G$6:$G$101,MOD(1+$C34+(4),$B$3)+1)*M34+IF($B$6=0,0,$B$6*NORMSINV(0.000001+0.999998*RAND())))</f>
        <v/>
      </c>
      <c r="R34" s="30">
        <f>IF(3&gt;$B$3,99,INDEX(Symboles!$G$6:$G$101,MOD(2+$C34+(-4),$B$3)+1)*E34+INDEX(Symboles!$G$6:$G$101,MOD(2+$C34+(-3),$B$3)+1)*F34+INDEX(Symboles!$G$6:$G$101,MOD(2+$C34+(-2),$B$3)+1)*G34+INDEX(Symboles!$G$6:$G$101,MOD(2+$C34+(-1),$B$3)+1)*H34+INDEX(Symboles!$G$6:$G$101,MOD(2+$C34+(0),$B$3)+1)*I34+INDEX(Symboles!$G$6:$G$101,MOD(2+$C34+(1),$B$3)+1)*J34+INDEX(Symboles!$G$6:$G$101,MOD(2+$C34+(2),$B$3)+1)*K34+INDEX(Symboles!$G$6:$G$101,MOD(2+$C34+(3),$B$3)+1)*L34+INDEX(Symboles!$G$6:$G$101,MOD(2+$C34+(4),$B$3)+1)*M34+IF($B$6=0,0,$B$6*NORMSINV(0.000001+0.999998*RAND())))</f>
        <v/>
      </c>
      <c r="S34" s="30">
        <f>IF(4&gt;$B$3,99,INDEX(Symboles!$G$6:$G$101,MOD(3+$C34+(-4),$B$3)+1)*E34+INDEX(Symboles!$G$6:$G$101,MOD(3+$C34+(-3),$B$3)+1)*F34+INDEX(Symboles!$G$6:$G$101,MOD(3+$C34+(-2),$B$3)+1)*G34+INDEX(Symboles!$G$6:$G$101,MOD(3+$C34+(-1),$B$3)+1)*H34+INDEX(Symboles!$G$6:$G$101,MOD(3+$C34+(0),$B$3)+1)*I34+INDEX(Symboles!$G$6:$G$101,MOD(3+$C34+(1),$B$3)+1)*J34+INDEX(Symboles!$G$6:$G$101,MOD(3+$C34+(2),$B$3)+1)*K34+INDEX(Symboles!$G$6:$G$101,MOD(3+$C34+(3),$B$3)+1)*L34+INDEX(Symboles!$G$6:$G$101,MOD(3+$C34+(4),$B$3)+1)*M34+IF($B$6=0,0,$B$6*NORMSINV(0.000001+0.999998*RAND())))</f>
        <v/>
      </c>
      <c r="T34" s="30">
        <f>IF(5&gt;$B$3,99,INDEX(Symboles!$G$6:$G$101,MOD(4+$C34+(-4),$B$3)+1)*E34+INDEX(Symboles!$G$6:$G$101,MOD(4+$C34+(-3),$B$3)+1)*F34+INDEX(Symboles!$G$6:$G$101,MOD(4+$C34+(-2),$B$3)+1)*G34+INDEX(Symboles!$G$6:$G$101,MOD(4+$C34+(-1),$B$3)+1)*H34+INDEX(Symboles!$G$6:$G$101,MOD(4+$C34+(0),$B$3)+1)*I34+INDEX(Symboles!$G$6:$G$101,MOD(4+$C34+(1),$B$3)+1)*J34+INDEX(Symboles!$G$6:$G$101,MOD(4+$C34+(2),$B$3)+1)*K34+INDEX(Symboles!$G$6:$G$101,MOD(4+$C34+(3),$B$3)+1)*L34+INDEX(Symboles!$G$6:$G$101,MOD(4+$C34+(4),$B$3)+1)*M34+IF($B$6=0,0,$B$6*NORMSINV(0.000001+0.999998*RAND())))</f>
        <v/>
      </c>
      <c r="U34" s="30">
        <f>IF(6&gt;$B$3,99,INDEX(Symboles!$G$6:$G$101,MOD(5+$C34+(-4),$B$3)+1)*E34+INDEX(Symboles!$G$6:$G$101,MOD(5+$C34+(-3),$B$3)+1)*F34+INDEX(Symboles!$G$6:$G$101,MOD(5+$C34+(-2),$B$3)+1)*G34+INDEX(Symboles!$G$6:$G$101,MOD(5+$C34+(-1),$B$3)+1)*H34+INDEX(Symboles!$G$6:$G$101,MOD(5+$C34+(0),$B$3)+1)*I34+INDEX(Symboles!$G$6:$G$101,MOD(5+$C34+(1),$B$3)+1)*J34+INDEX(Symboles!$G$6:$G$101,MOD(5+$C34+(2),$B$3)+1)*K34+INDEX(Symboles!$G$6:$G$101,MOD(5+$C34+(3),$B$3)+1)*L34+INDEX(Symboles!$G$6:$G$101,MOD(5+$C34+(4),$B$3)+1)*M34+IF($B$6=0,0,$B$6*NORMSINV(0.000001+0.999998*RAND())))</f>
        <v/>
      </c>
      <c r="V34" s="30">
        <f>IF(7&gt;$B$3,99,INDEX(Symboles!$G$6:$G$101,MOD(6+$C34+(-4),$B$3)+1)*E34+INDEX(Symboles!$G$6:$G$101,MOD(6+$C34+(-3),$B$3)+1)*F34+INDEX(Symboles!$G$6:$G$101,MOD(6+$C34+(-2),$B$3)+1)*G34+INDEX(Symboles!$G$6:$G$101,MOD(6+$C34+(-1),$B$3)+1)*H34+INDEX(Symboles!$G$6:$G$101,MOD(6+$C34+(0),$B$3)+1)*I34+INDEX(Symboles!$G$6:$G$101,MOD(6+$C34+(1),$B$3)+1)*J34+INDEX(Symboles!$G$6:$G$101,MOD(6+$C34+(2),$B$3)+1)*K34+INDEX(Symboles!$G$6:$G$101,MOD(6+$C34+(3),$B$3)+1)*L34+INDEX(Symboles!$G$6:$G$101,MOD(6+$C34+(4),$B$3)+1)*M34+IF($B$6=0,0,$B$6*NORMSINV(0.000001+0.999998*RAND())))</f>
        <v/>
      </c>
      <c r="W34" s="30">
        <f>IF(8&gt;$B$3,99,INDEX(Symboles!$G$6:$G$101,MOD(7+$C34+(-4),$B$3)+1)*E34+INDEX(Symboles!$G$6:$G$101,MOD(7+$C34+(-3),$B$3)+1)*F34+INDEX(Symboles!$G$6:$G$101,MOD(7+$C34+(-2),$B$3)+1)*G34+INDEX(Symboles!$G$6:$G$101,MOD(7+$C34+(-1),$B$3)+1)*H34+INDEX(Symboles!$G$6:$G$101,MOD(7+$C34+(0),$B$3)+1)*I34+INDEX(Symboles!$G$6:$G$101,MOD(7+$C34+(1),$B$3)+1)*J34+INDEX(Symboles!$G$6:$G$101,MOD(7+$C34+(2),$B$3)+1)*K34+INDEX(Symboles!$G$6:$G$101,MOD(7+$C34+(3),$B$3)+1)*L34+INDEX(Symboles!$G$6:$G$101,MOD(7+$C34+(4),$B$3)+1)*M34+IF($B$6=0,0,$B$6*NORMSINV(0.000001+0.999998*RAND())))</f>
        <v/>
      </c>
      <c r="X34" s="30">
        <f>IF(9&gt;$B$3,99,INDEX(Symboles!$G$6:$G$101,MOD(8+$C34+(-4),$B$3)+1)*E34+INDEX(Symboles!$G$6:$G$101,MOD(8+$C34+(-3),$B$3)+1)*F34+INDEX(Symboles!$G$6:$G$101,MOD(8+$C34+(-2),$B$3)+1)*G34+INDEX(Symboles!$G$6:$G$101,MOD(8+$C34+(-1),$B$3)+1)*H34+INDEX(Symboles!$G$6:$G$101,MOD(8+$C34+(0),$B$3)+1)*I34+INDEX(Symboles!$G$6:$G$101,MOD(8+$C34+(1),$B$3)+1)*J34+INDEX(Symboles!$G$6:$G$101,MOD(8+$C34+(2),$B$3)+1)*K34+INDEX(Symboles!$G$6:$G$101,MOD(8+$C34+(3),$B$3)+1)*L34+INDEX(Symboles!$G$6:$G$101,MOD(8+$C34+(4),$B$3)+1)*M34+IF($B$6=0,0,$B$6*NORMSINV(0.000001+0.999998*RAND())))</f>
        <v/>
      </c>
      <c r="Y34" s="30">
        <f>IF(10&gt;$B$3,99,INDEX(Symboles!$G$6:$G$101,MOD(9+$C34+(-4),$B$3)+1)*E34+INDEX(Symboles!$G$6:$G$101,MOD(9+$C34+(-3),$B$3)+1)*F34+INDEX(Symboles!$G$6:$G$101,MOD(9+$C34+(-2),$B$3)+1)*G34+INDEX(Symboles!$G$6:$G$101,MOD(9+$C34+(-1),$B$3)+1)*H34+INDEX(Symboles!$G$6:$G$101,MOD(9+$C34+(0),$B$3)+1)*I34+INDEX(Symboles!$G$6:$G$101,MOD(9+$C34+(1),$B$3)+1)*J34+INDEX(Symboles!$G$6:$G$101,MOD(9+$C34+(2),$B$3)+1)*K34+INDEX(Symboles!$G$6:$G$101,MOD(9+$C34+(3),$B$3)+1)*L34+INDEX(Symboles!$G$6:$G$101,MOD(9+$C34+(4),$B$3)+1)*M34+IF($B$6=0,0,$B$6*NORMSINV(0.000001+0.999998*RAND())))</f>
        <v/>
      </c>
      <c r="Z34" s="30">
        <f>IF(11&gt;$B$3,99,INDEX(Symboles!$G$6:$G$101,MOD(10+$C34+(-4),$B$3)+1)*E34+INDEX(Symboles!$G$6:$G$101,MOD(10+$C34+(-3),$B$3)+1)*F34+INDEX(Symboles!$G$6:$G$101,MOD(10+$C34+(-2),$B$3)+1)*G34+INDEX(Symboles!$G$6:$G$101,MOD(10+$C34+(-1),$B$3)+1)*H34+INDEX(Symboles!$G$6:$G$101,MOD(10+$C34+(0),$B$3)+1)*I34+INDEX(Symboles!$G$6:$G$101,MOD(10+$C34+(1),$B$3)+1)*J34+INDEX(Symboles!$G$6:$G$101,MOD(10+$C34+(2),$B$3)+1)*K34+INDEX(Symboles!$G$6:$G$101,MOD(10+$C34+(3),$B$3)+1)*L34+INDEX(Symboles!$G$6:$G$101,MOD(10+$C34+(4),$B$3)+1)*M34+IF($B$6=0,0,$B$6*NORMSINV(0.000001+0.999998*RAND())))</f>
        <v/>
      </c>
      <c r="AA34" s="30">
        <f>IF(12&gt;$B$3,99,INDEX(Symboles!$G$6:$G$101,MOD(11+$C34+(-4),$B$3)+1)*E34+INDEX(Symboles!$G$6:$G$101,MOD(11+$C34+(-3),$B$3)+1)*F34+INDEX(Symboles!$G$6:$G$101,MOD(11+$C34+(-2),$B$3)+1)*G34+INDEX(Symboles!$G$6:$G$101,MOD(11+$C34+(-1),$B$3)+1)*H34+INDEX(Symboles!$G$6:$G$101,MOD(11+$C34+(0),$B$3)+1)*I34+INDEX(Symboles!$G$6:$G$101,MOD(11+$C34+(1),$B$3)+1)*J34+INDEX(Symboles!$G$6:$G$101,MOD(11+$C34+(2),$B$3)+1)*K34+INDEX(Symboles!$G$6:$G$101,MOD(11+$C34+(3),$B$3)+1)*L34+INDEX(Symboles!$G$6:$G$101,MOD(11+$C34+(4),$B$3)+1)*M34+IF($B$6=0,0,$B$6*NORMSINV(0.000001+0.999998*RAND())))</f>
        <v/>
      </c>
      <c r="AB34" s="30">
        <f>IF(13&gt;$B$3,99,INDEX(Symboles!$G$6:$G$101,MOD(12+$C34+(-4),$B$3)+1)*E34+INDEX(Symboles!$G$6:$G$101,MOD(12+$C34+(-3),$B$3)+1)*F34+INDEX(Symboles!$G$6:$G$101,MOD(12+$C34+(-2),$B$3)+1)*G34+INDEX(Symboles!$G$6:$G$101,MOD(12+$C34+(-1),$B$3)+1)*H34+INDEX(Symboles!$G$6:$G$101,MOD(12+$C34+(0),$B$3)+1)*I34+INDEX(Symboles!$G$6:$G$101,MOD(12+$C34+(1),$B$3)+1)*J34+INDEX(Symboles!$G$6:$G$101,MOD(12+$C34+(2),$B$3)+1)*K34+INDEX(Symboles!$G$6:$G$101,MOD(12+$C34+(3),$B$3)+1)*L34+INDEX(Symboles!$G$6:$G$101,MOD(12+$C34+(4),$B$3)+1)*M34+IF($B$6=0,0,$B$6*NORMSINV(0.000001+0.999998*RAND())))</f>
        <v/>
      </c>
      <c r="AC34" s="30">
        <f>IF(14&gt;$B$3,99,INDEX(Symboles!$G$6:$G$101,MOD(13+$C34+(-4),$B$3)+1)*E34+INDEX(Symboles!$G$6:$G$101,MOD(13+$C34+(-3),$B$3)+1)*F34+INDEX(Symboles!$G$6:$G$101,MOD(13+$C34+(-2),$B$3)+1)*G34+INDEX(Symboles!$G$6:$G$101,MOD(13+$C34+(-1),$B$3)+1)*H34+INDEX(Symboles!$G$6:$G$101,MOD(13+$C34+(0),$B$3)+1)*I34+INDEX(Symboles!$G$6:$G$101,MOD(13+$C34+(1),$B$3)+1)*J34+INDEX(Symboles!$G$6:$G$101,MOD(13+$C34+(2),$B$3)+1)*K34+INDEX(Symboles!$G$6:$G$101,MOD(13+$C34+(3),$B$3)+1)*L34+INDEX(Symboles!$G$6:$G$101,MOD(13+$C34+(4),$B$3)+1)*M34+IF($B$6=0,0,$B$6*NORMSINV(0.000001+0.999998*RAND())))</f>
        <v/>
      </c>
      <c r="AD34" s="30">
        <f>IF(15&gt;$B$3,99,INDEX(Symboles!$G$6:$G$101,MOD(14+$C34+(-4),$B$3)+1)*E34+INDEX(Symboles!$G$6:$G$101,MOD(14+$C34+(-3),$B$3)+1)*F34+INDEX(Symboles!$G$6:$G$101,MOD(14+$C34+(-2),$B$3)+1)*G34+INDEX(Symboles!$G$6:$G$101,MOD(14+$C34+(-1),$B$3)+1)*H34+INDEX(Symboles!$G$6:$G$101,MOD(14+$C34+(0),$B$3)+1)*I34+INDEX(Symboles!$G$6:$G$101,MOD(14+$C34+(1),$B$3)+1)*J34+INDEX(Symboles!$G$6:$G$101,MOD(14+$C34+(2),$B$3)+1)*K34+INDEX(Symboles!$G$6:$G$101,MOD(14+$C34+(3),$B$3)+1)*L34+INDEX(Symboles!$G$6:$G$101,MOD(14+$C34+(4),$B$3)+1)*M34+IF($B$6=0,0,$B$6*NORMSINV(0.000001+0.999998*RAND())))</f>
        <v/>
      </c>
      <c r="AE34" s="30">
        <f>IF(16&gt;$B$3,99,INDEX(Symboles!$G$6:$G$101,MOD(15+$C34+(-4),$B$3)+1)*E34+INDEX(Symboles!$G$6:$G$101,MOD(15+$C34+(-3),$B$3)+1)*F34+INDEX(Symboles!$G$6:$G$101,MOD(15+$C34+(-2),$B$3)+1)*G34+INDEX(Symboles!$G$6:$G$101,MOD(15+$C34+(-1),$B$3)+1)*H34+INDEX(Symboles!$G$6:$G$101,MOD(15+$C34+(0),$B$3)+1)*I34+INDEX(Symboles!$G$6:$G$101,MOD(15+$C34+(1),$B$3)+1)*J34+INDEX(Symboles!$G$6:$G$101,MOD(15+$C34+(2),$B$3)+1)*K34+INDEX(Symboles!$G$6:$G$101,MOD(15+$C34+(3),$B$3)+1)*L34+INDEX(Symboles!$G$6:$G$101,MOD(15+$C34+(4),$B$3)+1)*M34+IF($B$6=0,0,$B$6*NORMSINV(0.000001+0.999998*RAND())))</f>
        <v/>
      </c>
      <c r="AF34" s="30">
        <f>IF(17&gt;$B$3,99,INDEX(Symboles!$G$6:$G$101,MOD(16+$C34+(-4),$B$3)+1)*E34+INDEX(Symboles!$G$6:$G$101,MOD(16+$C34+(-3),$B$3)+1)*F34+INDEX(Symboles!$G$6:$G$101,MOD(16+$C34+(-2),$B$3)+1)*G34+INDEX(Symboles!$G$6:$G$101,MOD(16+$C34+(-1),$B$3)+1)*H34+INDEX(Symboles!$G$6:$G$101,MOD(16+$C34+(0),$B$3)+1)*I34+INDEX(Symboles!$G$6:$G$101,MOD(16+$C34+(1),$B$3)+1)*J34+INDEX(Symboles!$G$6:$G$101,MOD(16+$C34+(2),$B$3)+1)*K34+INDEX(Symboles!$G$6:$G$101,MOD(16+$C34+(3),$B$3)+1)*L34+INDEX(Symboles!$G$6:$G$101,MOD(16+$C34+(4),$B$3)+1)*M34+IF($B$6=0,0,$B$6*NORMSINV(0.000001+0.999998*RAND())))</f>
        <v/>
      </c>
      <c r="AG34" s="30">
        <f>IF(18&gt;$B$3,99,INDEX(Symboles!$G$6:$G$101,MOD(17+$C34+(-4),$B$3)+1)*E34+INDEX(Symboles!$G$6:$G$101,MOD(17+$C34+(-3),$B$3)+1)*F34+INDEX(Symboles!$G$6:$G$101,MOD(17+$C34+(-2),$B$3)+1)*G34+INDEX(Symboles!$G$6:$G$101,MOD(17+$C34+(-1),$B$3)+1)*H34+INDEX(Symboles!$G$6:$G$101,MOD(17+$C34+(0),$B$3)+1)*I34+INDEX(Symboles!$G$6:$G$101,MOD(17+$C34+(1),$B$3)+1)*J34+INDEX(Symboles!$G$6:$G$101,MOD(17+$C34+(2),$B$3)+1)*K34+INDEX(Symboles!$G$6:$G$101,MOD(17+$C34+(3),$B$3)+1)*L34+INDEX(Symboles!$G$6:$G$101,MOD(17+$C34+(4),$B$3)+1)*M34+IF($B$6=0,0,$B$6*NORMSINV(0.000001+0.999998*RAND())))</f>
        <v/>
      </c>
      <c r="AH34" s="30">
        <f>IF(19&gt;$B$3,99,INDEX(Symboles!$G$6:$G$101,MOD(18+$C34+(-4),$B$3)+1)*E34+INDEX(Symboles!$G$6:$G$101,MOD(18+$C34+(-3),$B$3)+1)*F34+INDEX(Symboles!$G$6:$G$101,MOD(18+$C34+(-2),$B$3)+1)*G34+INDEX(Symboles!$G$6:$G$101,MOD(18+$C34+(-1),$B$3)+1)*H34+INDEX(Symboles!$G$6:$G$101,MOD(18+$C34+(0),$B$3)+1)*I34+INDEX(Symboles!$G$6:$G$101,MOD(18+$C34+(1),$B$3)+1)*J34+INDEX(Symboles!$G$6:$G$101,MOD(18+$C34+(2),$B$3)+1)*K34+INDEX(Symboles!$G$6:$G$101,MOD(18+$C34+(3),$B$3)+1)*L34+INDEX(Symboles!$G$6:$G$101,MOD(18+$C34+(4),$B$3)+1)*M34+IF($B$6=0,0,$B$6*NORMSINV(0.000001+0.999998*RAND())))</f>
        <v/>
      </c>
      <c r="AI34" s="30">
        <f>IF(20&gt;$B$3,99,INDEX(Symboles!$G$6:$G$101,MOD(19+$C34+(-4),$B$3)+1)*E34+INDEX(Symboles!$G$6:$G$101,MOD(19+$C34+(-3),$B$3)+1)*F34+INDEX(Symboles!$G$6:$G$101,MOD(19+$C34+(-2),$B$3)+1)*G34+INDEX(Symboles!$G$6:$G$101,MOD(19+$C34+(-1),$B$3)+1)*H34+INDEX(Symboles!$G$6:$G$101,MOD(19+$C34+(0),$B$3)+1)*I34+INDEX(Symboles!$G$6:$G$101,MOD(19+$C34+(1),$B$3)+1)*J34+INDEX(Symboles!$G$6:$G$101,MOD(19+$C34+(2),$B$3)+1)*K34+INDEX(Symboles!$G$6:$G$101,MOD(19+$C34+(3),$B$3)+1)*L34+INDEX(Symboles!$G$6:$G$101,MOD(19+$C34+(4),$B$3)+1)*M34+IF($B$6=0,0,$B$6*NORMSINV(0.000001+0.999998*RAND())))</f>
        <v/>
      </c>
      <c r="AJ34" s="30">
        <f>IF(21&gt;$B$3,99,INDEX(Symboles!$G$6:$G$101,MOD(20+$C34+(-4),$B$3)+1)*E34+INDEX(Symboles!$G$6:$G$101,MOD(20+$C34+(-3),$B$3)+1)*F34+INDEX(Symboles!$G$6:$G$101,MOD(20+$C34+(-2),$B$3)+1)*G34+INDEX(Symboles!$G$6:$G$101,MOD(20+$C34+(-1),$B$3)+1)*H34+INDEX(Symboles!$G$6:$G$101,MOD(20+$C34+(0),$B$3)+1)*I34+INDEX(Symboles!$G$6:$G$101,MOD(20+$C34+(1),$B$3)+1)*J34+INDEX(Symboles!$G$6:$G$101,MOD(20+$C34+(2),$B$3)+1)*K34+INDEX(Symboles!$G$6:$G$101,MOD(20+$C34+(3),$B$3)+1)*L34+INDEX(Symboles!$G$6:$G$101,MOD(20+$C34+(4),$B$3)+1)*M34+IF($B$6=0,0,$B$6*NORMSINV(0.000001+0.999998*RAND())))</f>
        <v/>
      </c>
      <c r="AK34" s="30">
        <f>IF(22&gt;$B$3,99,INDEX(Symboles!$G$6:$G$101,MOD(21+$C34+(-4),$B$3)+1)*E34+INDEX(Symboles!$G$6:$G$101,MOD(21+$C34+(-3),$B$3)+1)*F34+INDEX(Symboles!$G$6:$G$101,MOD(21+$C34+(-2),$B$3)+1)*G34+INDEX(Symboles!$G$6:$G$101,MOD(21+$C34+(-1),$B$3)+1)*H34+INDEX(Symboles!$G$6:$G$101,MOD(21+$C34+(0),$B$3)+1)*I34+INDEX(Symboles!$G$6:$G$101,MOD(21+$C34+(1),$B$3)+1)*J34+INDEX(Symboles!$G$6:$G$101,MOD(21+$C34+(2),$B$3)+1)*K34+INDEX(Symboles!$G$6:$G$101,MOD(21+$C34+(3),$B$3)+1)*L34+INDEX(Symboles!$G$6:$G$101,MOD(21+$C34+(4),$B$3)+1)*M34+IF($B$6=0,0,$B$6*NORMSINV(0.000001+0.999998*RAND())))</f>
        <v/>
      </c>
      <c r="AL34" s="30">
        <f>IF(23&gt;$B$3,99,INDEX(Symboles!$G$6:$G$101,MOD(22+$C34+(-4),$B$3)+1)*E34+INDEX(Symboles!$G$6:$G$101,MOD(22+$C34+(-3),$B$3)+1)*F34+INDEX(Symboles!$G$6:$G$101,MOD(22+$C34+(-2),$B$3)+1)*G34+INDEX(Symboles!$G$6:$G$101,MOD(22+$C34+(-1),$B$3)+1)*H34+INDEX(Symboles!$G$6:$G$101,MOD(22+$C34+(0),$B$3)+1)*I34+INDEX(Symboles!$G$6:$G$101,MOD(22+$C34+(1),$B$3)+1)*J34+INDEX(Symboles!$G$6:$G$101,MOD(22+$C34+(2),$B$3)+1)*K34+INDEX(Symboles!$G$6:$G$101,MOD(22+$C34+(3),$B$3)+1)*L34+INDEX(Symboles!$G$6:$G$101,MOD(22+$C34+(4),$B$3)+1)*M34+IF($B$6=0,0,$B$6*NORMSINV(0.000001+0.999998*RAND())))</f>
        <v/>
      </c>
      <c r="AM34" s="30">
        <f>IF(24&gt;$B$3,99,INDEX(Symboles!$G$6:$G$101,MOD(23+$C34+(-4),$B$3)+1)*E34+INDEX(Symboles!$G$6:$G$101,MOD(23+$C34+(-3),$B$3)+1)*F34+INDEX(Symboles!$G$6:$G$101,MOD(23+$C34+(-2),$B$3)+1)*G34+INDEX(Symboles!$G$6:$G$101,MOD(23+$C34+(-1),$B$3)+1)*H34+INDEX(Symboles!$G$6:$G$101,MOD(23+$C34+(0),$B$3)+1)*I34+INDEX(Symboles!$G$6:$G$101,MOD(23+$C34+(1),$B$3)+1)*J34+INDEX(Symboles!$G$6:$G$101,MOD(23+$C34+(2),$B$3)+1)*K34+INDEX(Symboles!$G$6:$G$101,MOD(23+$C34+(3),$B$3)+1)*L34+INDEX(Symboles!$G$6:$G$101,MOD(23+$C34+(4),$B$3)+1)*M34+IF($B$6=0,0,$B$6*NORMSINV(0.000001+0.999998*RAND())))</f>
        <v/>
      </c>
      <c r="AN34" s="30">
        <f>IF(25&gt;$B$3,99,INDEX(Symboles!$G$6:$G$101,MOD(24+$C34+(-4),$B$3)+1)*E34+INDEX(Symboles!$G$6:$G$101,MOD(24+$C34+(-3),$B$3)+1)*F34+INDEX(Symboles!$G$6:$G$101,MOD(24+$C34+(-2),$B$3)+1)*G34+INDEX(Symboles!$G$6:$G$101,MOD(24+$C34+(-1),$B$3)+1)*H34+INDEX(Symboles!$G$6:$G$101,MOD(24+$C34+(0),$B$3)+1)*I34+INDEX(Symboles!$G$6:$G$101,MOD(24+$C34+(1),$B$3)+1)*J34+INDEX(Symboles!$G$6:$G$101,MOD(24+$C34+(2),$B$3)+1)*K34+INDEX(Symboles!$G$6:$G$101,MOD(24+$C34+(3),$B$3)+1)*L34+INDEX(Symboles!$G$6:$G$101,MOD(24+$C34+(4),$B$3)+1)*M34+IF($B$6=0,0,$B$6*NORMSINV(0.000001+0.999998*RAND())))</f>
        <v/>
      </c>
      <c r="AO34" s="30">
        <f>IF(26&gt;$B$3,99,INDEX(Symboles!$G$6:$G$101,MOD(25+$C34+(-4),$B$3)+1)*E34+INDEX(Symboles!$G$6:$G$101,MOD(25+$C34+(-3),$B$3)+1)*F34+INDEX(Symboles!$G$6:$G$101,MOD(25+$C34+(-2),$B$3)+1)*G34+INDEX(Symboles!$G$6:$G$101,MOD(25+$C34+(-1),$B$3)+1)*H34+INDEX(Symboles!$G$6:$G$101,MOD(25+$C34+(0),$B$3)+1)*I34+INDEX(Symboles!$G$6:$G$101,MOD(25+$C34+(1),$B$3)+1)*J34+INDEX(Symboles!$G$6:$G$101,MOD(25+$C34+(2),$B$3)+1)*K34+INDEX(Symboles!$G$6:$G$101,MOD(25+$C34+(3),$B$3)+1)*L34+INDEX(Symboles!$G$6:$G$101,MOD(25+$C34+(4),$B$3)+1)*M34+IF($B$6=0,0,$B$6*NORMSINV(0.000001+0.999998*RAND())))</f>
        <v/>
      </c>
      <c r="AP34" s="30">
        <f>IF(27&gt;$B$3,99,INDEX(Symboles!$G$6:$G$101,MOD(26+$C34+(-4),$B$3)+1)*E34+INDEX(Symboles!$G$6:$G$101,MOD(26+$C34+(-3),$B$3)+1)*F34+INDEX(Symboles!$G$6:$G$101,MOD(26+$C34+(-2),$B$3)+1)*G34+INDEX(Symboles!$G$6:$G$101,MOD(26+$C34+(-1),$B$3)+1)*H34+INDEX(Symboles!$G$6:$G$101,MOD(26+$C34+(0),$B$3)+1)*I34+INDEX(Symboles!$G$6:$G$101,MOD(26+$C34+(1),$B$3)+1)*J34+INDEX(Symboles!$G$6:$G$101,MOD(26+$C34+(2),$B$3)+1)*K34+INDEX(Symboles!$G$6:$G$101,MOD(26+$C34+(3),$B$3)+1)*L34+INDEX(Symboles!$G$6:$G$101,MOD(26+$C34+(4),$B$3)+1)*M34+IF($B$6=0,0,$B$6*NORMSINV(0.000001+0.999998*RAND())))</f>
        <v/>
      </c>
      <c r="AQ34" s="30">
        <f>IF(28&gt;$B$3,99,INDEX(Symboles!$G$6:$G$101,MOD(27+$C34+(-4),$B$3)+1)*E34+INDEX(Symboles!$G$6:$G$101,MOD(27+$C34+(-3),$B$3)+1)*F34+INDEX(Symboles!$G$6:$G$101,MOD(27+$C34+(-2),$B$3)+1)*G34+INDEX(Symboles!$G$6:$G$101,MOD(27+$C34+(-1),$B$3)+1)*H34+INDEX(Symboles!$G$6:$G$101,MOD(27+$C34+(0),$B$3)+1)*I34+INDEX(Symboles!$G$6:$G$101,MOD(27+$C34+(1),$B$3)+1)*J34+INDEX(Symboles!$G$6:$G$101,MOD(27+$C34+(2),$B$3)+1)*K34+INDEX(Symboles!$G$6:$G$101,MOD(27+$C34+(3),$B$3)+1)*L34+INDEX(Symboles!$G$6:$G$101,MOD(27+$C34+(4),$B$3)+1)*M34+IF($B$6=0,0,$B$6*NORMSINV(0.000001+0.999998*RAND())))</f>
        <v/>
      </c>
      <c r="AR34" s="30">
        <f>IF(29&gt;$B$3,99,INDEX(Symboles!$G$6:$G$101,MOD(28+$C34+(-4),$B$3)+1)*E34+INDEX(Symboles!$G$6:$G$101,MOD(28+$C34+(-3),$B$3)+1)*F34+INDEX(Symboles!$G$6:$G$101,MOD(28+$C34+(-2),$B$3)+1)*G34+INDEX(Symboles!$G$6:$G$101,MOD(28+$C34+(-1),$B$3)+1)*H34+INDEX(Symboles!$G$6:$G$101,MOD(28+$C34+(0),$B$3)+1)*I34+INDEX(Symboles!$G$6:$G$101,MOD(28+$C34+(1),$B$3)+1)*J34+INDEX(Symboles!$G$6:$G$101,MOD(28+$C34+(2),$B$3)+1)*K34+INDEX(Symboles!$G$6:$G$101,MOD(28+$C34+(3),$B$3)+1)*L34+INDEX(Symboles!$G$6:$G$101,MOD(28+$C34+(4),$B$3)+1)*M34+IF($B$6=0,0,$B$6*NORMSINV(0.000001+0.999998*RAND())))</f>
        <v/>
      </c>
      <c r="AS34" s="30">
        <f>IF(30&gt;$B$3,99,INDEX(Symboles!$G$6:$G$101,MOD(29+$C34+(-4),$B$3)+1)*E34+INDEX(Symboles!$G$6:$G$101,MOD(29+$C34+(-3),$B$3)+1)*F34+INDEX(Symboles!$G$6:$G$101,MOD(29+$C34+(-2),$B$3)+1)*G34+INDEX(Symboles!$G$6:$G$101,MOD(29+$C34+(-1),$B$3)+1)*H34+INDEX(Symboles!$G$6:$G$101,MOD(29+$C34+(0),$B$3)+1)*I34+INDEX(Symboles!$G$6:$G$101,MOD(29+$C34+(1),$B$3)+1)*J34+INDEX(Symboles!$G$6:$G$101,MOD(29+$C34+(2),$B$3)+1)*K34+INDEX(Symboles!$G$6:$G$101,MOD(29+$C34+(3),$B$3)+1)*L34+INDEX(Symboles!$G$6:$G$101,MOD(29+$C34+(4),$B$3)+1)*M34+IF($B$6=0,0,$B$6*NORMSINV(0.000001+0.999998*RAND())))</f>
        <v/>
      </c>
      <c r="AT34" s="30">
        <f>IF(31&gt;$B$3,99,INDEX(Symboles!$G$6:$G$101,MOD(30+$C34+(-4),$B$3)+1)*E34+INDEX(Symboles!$G$6:$G$101,MOD(30+$C34+(-3),$B$3)+1)*F34+INDEX(Symboles!$G$6:$G$101,MOD(30+$C34+(-2),$B$3)+1)*G34+INDEX(Symboles!$G$6:$G$101,MOD(30+$C34+(-1),$B$3)+1)*H34+INDEX(Symboles!$G$6:$G$101,MOD(30+$C34+(0),$B$3)+1)*I34+INDEX(Symboles!$G$6:$G$101,MOD(30+$C34+(1),$B$3)+1)*J34+INDEX(Symboles!$G$6:$G$101,MOD(30+$C34+(2),$B$3)+1)*K34+INDEX(Symboles!$G$6:$G$101,MOD(30+$C34+(3),$B$3)+1)*L34+INDEX(Symboles!$G$6:$G$101,MOD(30+$C34+(4),$B$3)+1)*M34+IF($B$6=0,0,$B$6*NORMSINV(0.000001+0.999998*RAND())))</f>
        <v/>
      </c>
      <c r="AU34" s="30">
        <f>IF(32&gt;$B$3,99,INDEX(Symboles!$G$6:$G$101,MOD(31+$C34+(-4),$B$3)+1)*E34+INDEX(Symboles!$G$6:$G$101,MOD(31+$C34+(-3),$B$3)+1)*F34+INDEX(Symboles!$G$6:$G$101,MOD(31+$C34+(-2),$B$3)+1)*G34+INDEX(Symboles!$G$6:$G$101,MOD(31+$C34+(-1),$B$3)+1)*H34+INDEX(Symboles!$G$6:$G$101,MOD(31+$C34+(0),$B$3)+1)*I34+INDEX(Symboles!$G$6:$G$101,MOD(31+$C34+(1),$B$3)+1)*J34+INDEX(Symboles!$G$6:$G$101,MOD(31+$C34+(2),$B$3)+1)*K34+INDEX(Symboles!$G$6:$G$101,MOD(31+$C34+(3),$B$3)+1)*L34+INDEX(Symboles!$G$6:$G$101,MOD(31+$C34+(4),$B$3)+1)*M34+IF($B$6=0,0,$B$6*NORMSINV(0.000001+0.999998*RAND())))</f>
        <v/>
      </c>
      <c r="AV34" s="30">
        <f>IF(33&gt;$B$3,99,INDEX(Symboles!$G$6:$G$101,MOD(32+$C34+(-4),$B$3)+1)*E34+INDEX(Symboles!$G$6:$G$101,MOD(32+$C34+(-3),$B$3)+1)*F34+INDEX(Symboles!$G$6:$G$101,MOD(32+$C34+(-2),$B$3)+1)*G34+INDEX(Symboles!$G$6:$G$101,MOD(32+$C34+(-1),$B$3)+1)*H34+INDEX(Symboles!$G$6:$G$101,MOD(32+$C34+(0),$B$3)+1)*I34+INDEX(Symboles!$G$6:$G$101,MOD(32+$C34+(1),$B$3)+1)*J34+INDEX(Symboles!$G$6:$G$101,MOD(32+$C34+(2),$B$3)+1)*K34+INDEX(Symboles!$G$6:$G$101,MOD(32+$C34+(3),$B$3)+1)*L34+INDEX(Symboles!$G$6:$G$101,MOD(32+$C34+(4),$B$3)+1)*M34+IF($B$6=0,0,$B$6*NORMSINV(0.000001+0.999998*RAND())))</f>
        <v/>
      </c>
      <c r="AW34" s="30">
        <f>IF(34&gt;$B$3,99,INDEX(Symboles!$G$6:$G$101,MOD(33+$C34+(-4),$B$3)+1)*E34+INDEX(Symboles!$G$6:$G$101,MOD(33+$C34+(-3),$B$3)+1)*F34+INDEX(Symboles!$G$6:$G$101,MOD(33+$C34+(-2),$B$3)+1)*G34+INDEX(Symboles!$G$6:$G$101,MOD(33+$C34+(-1),$B$3)+1)*H34+INDEX(Symboles!$G$6:$G$101,MOD(33+$C34+(0),$B$3)+1)*I34+INDEX(Symboles!$G$6:$G$101,MOD(33+$C34+(1),$B$3)+1)*J34+INDEX(Symboles!$G$6:$G$101,MOD(33+$C34+(2),$B$3)+1)*K34+INDEX(Symboles!$G$6:$G$101,MOD(33+$C34+(3),$B$3)+1)*L34+INDEX(Symboles!$G$6:$G$101,MOD(33+$C34+(4),$B$3)+1)*M34+IF($B$6=0,0,$B$6*NORMSINV(0.000001+0.999998*RAND())))</f>
        <v/>
      </c>
      <c r="AX34" s="30">
        <f>IF(35&gt;$B$3,99,INDEX(Symboles!$G$6:$G$101,MOD(34+$C34+(-4),$B$3)+1)*E34+INDEX(Symboles!$G$6:$G$101,MOD(34+$C34+(-3),$B$3)+1)*F34+INDEX(Symboles!$G$6:$G$101,MOD(34+$C34+(-2),$B$3)+1)*G34+INDEX(Symboles!$G$6:$G$101,MOD(34+$C34+(-1),$B$3)+1)*H34+INDEX(Symboles!$G$6:$G$101,MOD(34+$C34+(0),$B$3)+1)*I34+INDEX(Symboles!$G$6:$G$101,MOD(34+$C34+(1),$B$3)+1)*J34+INDEX(Symboles!$G$6:$G$101,MOD(34+$C34+(2),$B$3)+1)*K34+INDEX(Symboles!$G$6:$G$101,MOD(34+$C34+(3),$B$3)+1)*L34+INDEX(Symboles!$G$6:$G$101,MOD(34+$C34+(4),$B$3)+1)*M34+IF($B$6=0,0,$B$6*NORMSINV(0.000001+0.999998*RAND())))</f>
        <v/>
      </c>
      <c r="AY34" s="30">
        <f>IF(36&gt;$B$3,99,INDEX(Symboles!$G$6:$G$101,MOD(35+$C34+(-4),$B$3)+1)*E34+INDEX(Symboles!$G$6:$G$101,MOD(35+$C34+(-3),$B$3)+1)*F34+INDEX(Symboles!$G$6:$G$101,MOD(35+$C34+(-2),$B$3)+1)*G34+INDEX(Symboles!$G$6:$G$101,MOD(35+$C34+(-1),$B$3)+1)*H34+INDEX(Symboles!$G$6:$G$101,MOD(35+$C34+(0),$B$3)+1)*I34+INDEX(Symboles!$G$6:$G$101,MOD(35+$C34+(1),$B$3)+1)*J34+INDEX(Symboles!$G$6:$G$101,MOD(35+$C34+(2),$B$3)+1)*K34+INDEX(Symboles!$G$6:$G$101,MOD(35+$C34+(3),$B$3)+1)*L34+INDEX(Symboles!$G$6:$G$101,MOD(35+$C34+(4),$B$3)+1)*M34+IF($B$6=0,0,$B$6*NORMSINV(0.000001+0.999998*RAND())))</f>
        <v/>
      </c>
      <c r="AZ34" s="30">
        <f>IF(37&gt;$B$3,99,INDEX(Symboles!$G$6:$G$101,MOD(36+$C34+(-4),$B$3)+1)*E34+INDEX(Symboles!$G$6:$G$101,MOD(36+$C34+(-3),$B$3)+1)*F34+INDEX(Symboles!$G$6:$G$101,MOD(36+$C34+(-2),$B$3)+1)*G34+INDEX(Symboles!$G$6:$G$101,MOD(36+$C34+(-1),$B$3)+1)*H34+INDEX(Symboles!$G$6:$G$101,MOD(36+$C34+(0),$B$3)+1)*I34+INDEX(Symboles!$G$6:$G$101,MOD(36+$C34+(1),$B$3)+1)*J34+INDEX(Symboles!$G$6:$G$101,MOD(36+$C34+(2),$B$3)+1)*K34+INDEX(Symboles!$G$6:$G$101,MOD(36+$C34+(3),$B$3)+1)*L34+INDEX(Symboles!$G$6:$G$101,MOD(36+$C34+(4),$B$3)+1)*M34+IF($B$6=0,0,$B$6*NORMSINV(0.000001+0.999998*RAND())))</f>
        <v/>
      </c>
      <c r="BA34" s="30">
        <f>IF(38&gt;$B$3,99,INDEX(Symboles!$G$6:$G$101,MOD(37+$C34+(-4),$B$3)+1)*E34+INDEX(Symboles!$G$6:$G$101,MOD(37+$C34+(-3),$B$3)+1)*F34+INDEX(Symboles!$G$6:$G$101,MOD(37+$C34+(-2),$B$3)+1)*G34+INDEX(Symboles!$G$6:$G$101,MOD(37+$C34+(-1),$B$3)+1)*H34+INDEX(Symboles!$G$6:$G$101,MOD(37+$C34+(0),$B$3)+1)*I34+INDEX(Symboles!$G$6:$G$101,MOD(37+$C34+(1),$B$3)+1)*J34+INDEX(Symboles!$G$6:$G$101,MOD(37+$C34+(2),$B$3)+1)*K34+INDEX(Symboles!$G$6:$G$101,MOD(37+$C34+(3),$B$3)+1)*L34+INDEX(Symboles!$G$6:$G$101,MOD(37+$C34+(4),$B$3)+1)*M34+IF($B$6=0,0,$B$6*NORMSINV(0.000001+0.999998*RAND())))</f>
        <v/>
      </c>
      <c r="BB34" s="30">
        <f>IF(39&gt;$B$3,99,INDEX(Symboles!$G$6:$G$101,MOD(38+$C34+(-4),$B$3)+1)*E34+INDEX(Symboles!$G$6:$G$101,MOD(38+$C34+(-3),$B$3)+1)*F34+INDEX(Symboles!$G$6:$G$101,MOD(38+$C34+(-2),$B$3)+1)*G34+INDEX(Symboles!$G$6:$G$101,MOD(38+$C34+(-1),$B$3)+1)*H34+INDEX(Symboles!$G$6:$G$101,MOD(38+$C34+(0),$B$3)+1)*I34+INDEX(Symboles!$G$6:$G$101,MOD(38+$C34+(1),$B$3)+1)*J34+INDEX(Symboles!$G$6:$G$101,MOD(38+$C34+(2),$B$3)+1)*K34+INDEX(Symboles!$G$6:$G$101,MOD(38+$C34+(3),$B$3)+1)*L34+INDEX(Symboles!$G$6:$G$101,MOD(38+$C34+(4),$B$3)+1)*M34+IF($B$6=0,0,$B$6*NORMSINV(0.000001+0.999998*RAND())))</f>
        <v/>
      </c>
      <c r="BC34" s="30">
        <f>IF(40&gt;$B$3,99,INDEX(Symboles!$G$6:$G$101,MOD(39+$C34+(-4),$B$3)+1)*E34+INDEX(Symboles!$G$6:$G$101,MOD(39+$C34+(-3),$B$3)+1)*F34+INDEX(Symboles!$G$6:$G$101,MOD(39+$C34+(-2),$B$3)+1)*G34+INDEX(Symboles!$G$6:$G$101,MOD(39+$C34+(-1),$B$3)+1)*H34+INDEX(Symboles!$G$6:$G$101,MOD(39+$C34+(0),$B$3)+1)*I34+INDEX(Symboles!$G$6:$G$101,MOD(39+$C34+(1),$B$3)+1)*J34+INDEX(Symboles!$G$6:$G$101,MOD(39+$C34+(2),$B$3)+1)*K34+INDEX(Symboles!$G$6:$G$101,MOD(39+$C34+(3),$B$3)+1)*L34+INDEX(Symboles!$G$6:$G$101,MOD(39+$C34+(4),$B$3)+1)*M34+IF($B$6=0,0,$B$6*NORMSINV(0.000001+0.999998*RAND())))</f>
        <v/>
      </c>
      <c r="BD34" s="30">
        <f>IF(41&gt;$B$3,99,INDEX(Symboles!$G$6:$G$101,MOD(40+$C34+(-4),$B$3)+1)*E34+INDEX(Symboles!$G$6:$G$101,MOD(40+$C34+(-3),$B$3)+1)*F34+INDEX(Symboles!$G$6:$G$101,MOD(40+$C34+(-2),$B$3)+1)*G34+INDEX(Symboles!$G$6:$G$101,MOD(40+$C34+(-1),$B$3)+1)*H34+INDEX(Symboles!$G$6:$G$101,MOD(40+$C34+(0),$B$3)+1)*I34+INDEX(Symboles!$G$6:$G$101,MOD(40+$C34+(1),$B$3)+1)*J34+INDEX(Symboles!$G$6:$G$101,MOD(40+$C34+(2),$B$3)+1)*K34+INDEX(Symboles!$G$6:$G$101,MOD(40+$C34+(3),$B$3)+1)*L34+INDEX(Symboles!$G$6:$G$101,MOD(40+$C34+(4),$B$3)+1)*M34+IF($B$6=0,0,$B$6*NORMSINV(0.000001+0.999998*RAND())))</f>
        <v/>
      </c>
      <c r="BE34" s="30">
        <f>IF(42&gt;$B$3,99,INDEX(Symboles!$G$6:$G$101,MOD(41+$C34+(-4),$B$3)+1)*E34+INDEX(Symboles!$G$6:$G$101,MOD(41+$C34+(-3),$B$3)+1)*F34+INDEX(Symboles!$G$6:$G$101,MOD(41+$C34+(-2),$B$3)+1)*G34+INDEX(Symboles!$G$6:$G$101,MOD(41+$C34+(-1),$B$3)+1)*H34+INDEX(Symboles!$G$6:$G$101,MOD(41+$C34+(0),$B$3)+1)*I34+INDEX(Symboles!$G$6:$G$101,MOD(41+$C34+(1),$B$3)+1)*J34+INDEX(Symboles!$G$6:$G$101,MOD(41+$C34+(2),$B$3)+1)*K34+INDEX(Symboles!$G$6:$G$101,MOD(41+$C34+(3),$B$3)+1)*L34+INDEX(Symboles!$G$6:$G$101,MOD(41+$C34+(4),$B$3)+1)*M34+IF($B$6=0,0,$B$6*NORMSINV(0.000001+0.999998*RAND())))</f>
        <v/>
      </c>
      <c r="BF34" s="30">
        <f>IF(43&gt;$B$3,99,INDEX(Symboles!$G$6:$G$101,MOD(42+$C34+(-4),$B$3)+1)*E34+INDEX(Symboles!$G$6:$G$101,MOD(42+$C34+(-3),$B$3)+1)*F34+INDEX(Symboles!$G$6:$G$101,MOD(42+$C34+(-2),$B$3)+1)*G34+INDEX(Symboles!$G$6:$G$101,MOD(42+$C34+(-1),$B$3)+1)*H34+INDEX(Symboles!$G$6:$G$101,MOD(42+$C34+(0),$B$3)+1)*I34+INDEX(Symboles!$G$6:$G$101,MOD(42+$C34+(1),$B$3)+1)*J34+INDEX(Symboles!$G$6:$G$101,MOD(42+$C34+(2),$B$3)+1)*K34+INDEX(Symboles!$G$6:$G$101,MOD(42+$C34+(3),$B$3)+1)*L34+INDEX(Symboles!$G$6:$G$101,MOD(42+$C34+(4),$B$3)+1)*M34+IF($B$6=0,0,$B$6*NORMSINV(0.000001+0.999998*RAND())))</f>
        <v/>
      </c>
      <c r="BG34" s="30">
        <f>IF(44&gt;$B$3,99,INDEX(Symboles!$G$6:$G$101,MOD(43+$C34+(-4),$B$3)+1)*E34+INDEX(Symboles!$G$6:$G$101,MOD(43+$C34+(-3),$B$3)+1)*F34+INDEX(Symboles!$G$6:$G$101,MOD(43+$C34+(-2),$B$3)+1)*G34+INDEX(Symboles!$G$6:$G$101,MOD(43+$C34+(-1),$B$3)+1)*H34+INDEX(Symboles!$G$6:$G$101,MOD(43+$C34+(0),$B$3)+1)*I34+INDEX(Symboles!$G$6:$G$101,MOD(43+$C34+(1),$B$3)+1)*J34+INDEX(Symboles!$G$6:$G$101,MOD(43+$C34+(2),$B$3)+1)*K34+INDEX(Symboles!$G$6:$G$101,MOD(43+$C34+(3),$B$3)+1)*L34+INDEX(Symboles!$G$6:$G$101,MOD(43+$C34+(4),$B$3)+1)*M34+IF($B$6=0,0,$B$6*NORMSINV(0.000001+0.999998*RAND())))</f>
        <v/>
      </c>
      <c r="BH34" s="30">
        <f>IF(45&gt;$B$3,99,INDEX(Symboles!$G$6:$G$101,MOD(44+$C34+(-4),$B$3)+1)*E34+INDEX(Symboles!$G$6:$G$101,MOD(44+$C34+(-3),$B$3)+1)*F34+INDEX(Symboles!$G$6:$G$101,MOD(44+$C34+(-2),$B$3)+1)*G34+INDEX(Symboles!$G$6:$G$101,MOD(44+$C34+(-1),$B$3)+1)*H34+INDEX(Symboles!$G$6:$G$101,MOD(44+$C34+(0),$B$3)+1)*I34+INDEX(Symboles!$G$6:$G$101,MOD(44+$C34+(1),$B$3)+1)*J34+INDEX(Symboles!$G$6:$G$101,MOD(44+$C34+(2),$B$3)+1)*K34+INDEX(Symboles!$G$6:$G$101,MOD(44+$C34+(3),$B$3)+1)*L34+INDEX(Symboles!$G$6:$G$101,MOD(44+$C34+(4),$B$3)+1)*M34+IF($B$6=0,0,$B$6*NORMSINV(0.000001+0.999998*RAND())))</f>
        <v/>
      </c>
      <c r="BI34" s="30">
        <f>IF(46&gt;$B$3,99,INDEX(Symboles!$G$6:$G$101,MOD(45+$C34+(-4),$B$3)+1)*E34+INDEX(Symboles!$G$6:$G$101,MOD(45+$C34+(-3),$B$3)+1)*F34+INDEX(Symboles!$G$6:$G$101,MOD(45+$C34+(-2),$B$3)+1)*G34+INDEX(Symboles!$G$6:$G$101,MOD(45+$C34+(-1),$B$3)+1)*H34+INDEX(Symboles!$G$6:$G$101,MOD(45+$C34+(0),$B$3)+1)*I34+INDEX(Symboles!$G$6:$G$101,MOD(45+$C34+(1),$B$3)+1)*J34+INDEX(Symboles!$G$6:$G$101,MOD(45+$C34+(2),$B$3)+1)*K34+INDEX(Symboles!$G$6:$G$101,MOD(45+$C34+(3),$B$3)+1)*L34+INDEX(Symboles!$G$6:$G$101,MOD(45+$C34+(4),$B$3)+1)*M34+IF($B$6=0,0,$B$6*NORMSINV(0.000001+0.999998*RAND())))</f>
        <v/>
      </c>
      <c r="BJ34" s="30">
        <f>IF(47&gt;$B$3,99,INDEX(Symboles!$G$6:$G$101,MOD(46+$C34+(-4),$B$3)+1)*E34+INDEX(Symboles!$G$6:$G$101,MOD(46+$C34+(-3),$B$3)+1)*F34+INDEX(Symboles!$G$6:$G$101,MOD(46+$C34+(-2),$B$3)+1)*G34+INDEX(Symboles!$G$6:$G$101,MOD(46+$C34+(-1),$B$3)+1)*H34+INDEX(Symboles!$G$6:$G$101,MOD(46+$C34+(0),$B$3)+1)*I34+INDEX(Symboles!$G$6:$G$101,MOD(46+$C34+(1),$B$3)+1)*J34+INDEX(Symboles!$G$6:$G$101,MOD(46+$C34+(2),$B$3)+1)*K34+INDEX(Symboles!$G$6:$G$101,MOD(46+$C34+(3),$B$3)+1)*L34+INDEX(Symboles!$G$6:$G$101,MOD(46+$C34+(4),$B$3)+1)*M34+IF($B$6=0,0,$B$6*NORMSINV(0.000001+0.999998*RAND())))</f>
        <v/>
      </c>
      <c r="BK34" s="30">
        <f>IF(48&gt;$B$3,99,INDEX(Symboles!$G$6:$G$101,MOD(47+$C34+(-4),$B$3)+1)*E34+INDEX(Symboles!$G$6:$G$101,MOD(47+$C34+(-3),$B$3)+1)*F34+INDEX(Symboles!$G$6:$G$101,MOD(47+$C34+(-2),$B$3)+1)*G34+INDEX(Symboles!$G$6:$G$101,MOD(47+$C34+(-1),$B$3)+1)*H34+INDEX(Symboles!$G$6:$G$101,MOD(47+$C34+(0),$B$3)+1)*I34+INDEX(Symboles!$G$6:$G$101,MOD(47+$C34+(1),$B$3)+1)*J34+INDEX(Symboles!$G$6:$G$101,MOD(47+$C34+(2),$B$3)+1)*K34+INDEX(Symboles!$G$6:$G$101,MOD(47+$C34+(3),$B$3)+1)*L34+INDEX(Symboles!$G$6:$G$101,MOD(47+$C34+(4),$B$3)+1)*M34+IF($B$6=0,0,$B$6*NORMSINV(0.000001+0.999998*RAND())))</f>
        <v/>
      </c>
      <c r="BL34" s="30">
        <f>IF(49&gt;$B$3,99,INDEX(Symboles!$G$6:$G$101,MOD(48+$C34+(-4),$B$3)+1)*E34+INDEX(Symboles!$G$6:$G$101,MOD(48+$C34+(-3),$B$3)+1)*F34+INDEX(Symboles!$G$6:$G$101,MOD(48+$C34+(-2),$B$3)+1)*G34+INDEX(Symboles!$G$6:$G$101,MOD(48+$C34+(-1),$B$3)+1)*H34+INDEX(Symboles!$G$6:$G$101,MOD(48+$C34+(0),$B$3)+1)*I34+INDEX(Symboles!$G$6:$G$101,MOD(48+$C34+(1),$B$3)+1)*J34+INDEX(Symboles!$G$6:$G$101,MOD(48+$C34+(2),$B$3)+1)*K34+INDEX(Symboles!$G$6:$G$101,MOD(48+$C34+(3),$B$3)+1)*L34+INDEX(Symboles!$G$6:$G$101,MOD(48+$C34+(4),$B$3)+1)*M34+IF($B$6=0,0,$B$6*NORMSINV(0.000001+0.999998*RAND())))</f>
        <v/>
      </c>
      <c r="BM34" s="30">
        <f>IF(50&gt;$B$3,99,INDEX(Symboles!$G$6:$G$101,MOD(49+$C34+(-4),$B$3)+1)*E34+INDEX(Symboles!$G$6:$G$101,MOD(49+$C34+(-3),$B$3)+1)*F34+INDEX(Symboles!$G$6:$G$101,MOD(49+$C34+(-2),$B$3)+1)*G34+INDEX(Symboles!$G$6:$G$101,MOD(49+$C34+(-1),$B$3)+1)*H34+INDEX(Symboles!$G$6:$G$101,MOD(49+$C34+(0),$B$3)+1)*I34+INDEX(Symboles!$G$6:$G$101,MOD(49+$C34+(1),$B$3)+1)*J34+INDEX(Symboles!$G$6:$G$101,MOD(49+$C34+(2),$B$3)+1)*K34+INDEX(Symboles!$G$6:$G$101,MOD(49+$C34+(3),$B$3)+1)*L34+INDEX(Symboles!$G$6:$G$101,MOD(49+$C34+(4),$B$3)+1)*M34+IF($B$6=0,0,$B$6*NORMSINV(0.000001+0.999998*RAND())))</f>
        <v/>
      </c>
      <c r="BN34" s="30">
        <f>IF(51&gt;$B$3,99,INDEX(Symboles!$G$6:$G$101,MOD(50+$C34+(-4),$B$3)+1)*E34+INDEX(Symboles!$G$6:$G$101,MOD(50+$C34+(-3),$B$3)+1)*F34+INDEX(Symboles!$G$6:$G$101,MOD(50+$C34+(-2),$B$3)+1)*G34+INDEX(Symboles!$G$6:$G$101,MOD(50+$C34+(-1),$B$3)+1)*H34+INDEX(Symboles!$G$6:$G$101,MOD(50+$C34+(0),$B$3)+1)*I34+INDEX(Symboles!$G$6:$G$101,MOD(50+$C34+(1),$B$3)+1)*J34+INDEX(Symboles!$G$6:$G$101,MOD(50+$C34+(2),$B$3)+1)*K34+INDEX(Symboles!$G$6:$G$101,MOD(50+$C34+(3),$B$3)+1)*L34+INDEX(Symboles!$G$6:$G$101,MOD(50+$C34+(4),$B$3)+1)*M34+IF($B$6=0,0,$B$6*NORMSINV(0.000001+0.999998*RAND())))</f>
        <v/>
      </c>
      <c r="BO34" s="30">
        <f>IF(52&gt;$B$3,99,INDEX(Symboles!$G$6:$G$101,MOD(51+$C34+(-4),$B$3)+1)*E34+INDEX(Symboles!$G$6:$G$101,MOD(51+$C34+(-3),$B$3)+1)*F34+INDEX(Symboles!$G$6:$G$101,MOD(51+$C34+(-2),$B$3)+1)*G34+INDEX(Symboles!$G$6:$G$101,MOD(51+$C34+(-1),$B$3)+1)*H34+INDEX(Symboles!$G$6:$G$101,MOD(51+$C34+(0),$B$3)+1)*I34+INDEX(Symboles!$G$6:$G$101,MOD(51+$C34+(1),$B$3)+1)*J34+INDEX(Symboles!$G$6:$G$101,MOD(51+$C34+(2),$B$3)+1)*K34+INDEX(Symboles!$G$6:$G$101,MOD(51+$C34+(3),$B$3)+1)*L34+INDEX(Symboles!$G$6:$G$101,MOD(51+$C34+(4),$B$3)+1)*M34+IF($B$6=0,0,$B$6*NORMSINV(0.000001+0.999998*RAND())))</f>
        <v/>
      </c>
      <c r="BP34" s="30">
        <f>IF(53&gt;$B$3,99,INDEX(Symboles!$G$6:$G$101,MOD(52+$C34+(-4),$B$3)+1)*E34+INDEX(Symboles!$G$6:$G$101,MOD(52+$C34+(-3),$B$3)+1)*F34+INDEX(Symboles!$G$6:$G$101,MOD(52+$C34+(-2),$B$3)+1)*G34+INDEX(Symboles!$G$6:$G$101,MOD(52+$C34+(-1),$B$3)+1)*H34+INDEX(Symboles!$G$6:$G$101,MOD(52+$C34+(0),$B$3)+1)*I34+INDEX(Symboles!$G$6:$G$101,MOD(52+$C34+(1),$B$3)+1)*J34+INDEX(Symboles!$G$6:$G$101,MOD(52+$C34+(2),$B$3)+1)*K34+INDEX(Symboles!$G$6:$G$101,MOD(52+$C34+(3),$B$3)+1)*L34+INDEX(Symboles!$G$6:$G$101,MOD(52+$C34+(4),$B$3)+1)*M34+IF($B$6=0,0,$B$6*NORMSINV(0.000001+0.999998*RAND())))</f>
        <v/>
      </c>
      <c r="BQ34" s="30">
        <f>IF(54&gt;$B$3,99,INDEX(Symboles!$G$6:$G$101,MOD(53+$C34+(-4),$B$3)+1)*E34+INDEX(Symboles!$G$6:$G$101,MOD(53+$C34+(-3),$B$3)+1)*F34+INDEX(Symboles!$G$6:$G$101,MOD(53+$C34+(-2),$B$3)+1)*G34+INDEX(Symboles!$G$6:$G$101,MOD(53+$C34+(-1),$B$3)+1)*H34+INDEX(Symboles!$G$6:$G$101,MOD(53+$C34+(0),$B$3)+1)*I34+INDEX(Symboles!$G$6:$G$101,MOD(53+$C34+(1),$B$3)+1)*J34+INDEX(Symboles!$G$6:$G$101,MOD(53+$C34+(2),$B$3)+1)*K34+INDEX(Symboles!$G$6:$G$101,MOD(53+$C34+(3),$B$3)+1)*L34+INDEX(Symboles!$G$6:$G$101,MOD(53+$C34+(4),$B$3)+1)*M34+IF($B$6=0,0,$B$6*NORMSINV(0.000001+0.999998*RAND())))</f>
        <v/>
      </c>
      <c r="BR34" s="30">
        <f>IF(55&gt;$B$3,99,INDEX(Symboles!$G$6:$G$101,MOD(54+$C34+(-4),$B$3)+1)*E34+INDEX(Symboles!$G$6:$G$101,MOD(54+$C34+(-3),$B$3)+1)*F34+INDEX(Symboles!$G$6:$G$101,MOD(54+$C34+(-2),$B$3)+1)*G34+INDEX(Symboles!$G$6:$G$101,MOD(54+$C34+(-1),$B$3)+1)*H34+INDEX(Symboles!$G$6:$G$101,MOD(54+$C34+(0),$B$3)+1)*I34+INDEX(Symboles!$G$6:$G$101,MOD(54+$C34+(1),$B$3)+1)*J34+INDEX(Symboles!$G$6:$G$101,MOD(54+$C34+(2),$B$3)+1)*K34+INDEX(Symboles!$G$6:$G$101,MOD(54+$C34+(3),$B$3)+1)*L34+INDEX(Symboles!$G$6:$G$101,MOD(54+$C34+(4),$B$3)+1)*M34+IF($B$6=0,0,$B$6*NORMSINV(0.000001+0.999998*RAND())))</f>
        <v/>
      </c>
      <c r="BS34" s="30">
        <f>IF(56&gt;$B$3,99,INDEX(Symboles!$G$6:$G$101,MOD(55+$C34+(-4),$B$3)+1)*E34+INDEX(Symboles!$G$6:$G$101,MOD(55+$C34+(-3),$B$3)+1)*F34+INDEX(Symboles!$G$6:$G$101,MOD(55+$C34+(-2),$B$3)+1)*G34+INDEX(Symboles!$G$6:$G$101,MOD(55+$C34+(-1),$B$3)+1)*H34+INDEX(Symboles!$G$6:$G$101,MOD(55+$C34+(0),$B$3)+1)*I34+INDEX(Symboles!$G$6:$G$101,MOD(55+$C34+(1),$B$3)+1)*J34+INDEX(Symboles!$G$6:$G$101,MOD(55+$C34+(2),$B$3)+1)*K34+INDEX(Symboles!$G$6:$G$101,MOD(55+$C34+(3),$B$3)+1)*L34+INDEX(Symboles!$G$6:$G$101,MOD(55+$C34+(4),$B$3)+1)*M34+IF($B$6=0,0,$B$6*NORMSINV(0.000001+0.999998*RAND())))</f>
        <v/>
      </c>
      <c r="BT34" s="30">
        <f>IF(57&gt;$B$3,99,INDEX(Symboles!$G$6:$G$101,MOD(56+$C34+(-4),$B$3)+1)*E34+INDEX(Symboles!$G$6:$G$101,MOD(56+$C34+(-3),$B$3)+1)*F34+INDEX(Symboles!$G$6:$G$101,MOD(56+$C34+(-2),$B$3)+1)*G34+INDEX(Symboles!$G$6:$G$101,MOD(56+$C34+(-1),$B$3)+1)*H34+INDEX(Symboles!$G$6:$G$101,MOD(56+$C34+(0),$B$3)+1)*I34+INDEX(Symboles!$G$6:$G$101,MOD(56+$C34+(1),$B$3)+1)*J34+INDEX(Symboles!$G$6:$G$101,MOD(56+$C34+(2),$B$3)+1)*K34+INDEX(Symboles!$G$6:$G$101,MOD(56+$C34+(3),$B$3)+1)*L34+INDEX(Symboles!$G$6:$G$101,MOD(56+$C34+(4),$B$3)+1)*M34+IF($B$6=0,0,$B$6*NORMSINV(0.000001+0.999998*RAND())))</f>
        <v/>
      </c>
      <c r="BU34" s="30">
        <f>IF(58&gt;$B$3,99,INDEX(Symboles!$G$6:$G$101,MOD(57+$C34+(-4),$B$3)+1)*E34+INDEX(Symboles!$G$6:$G$101,MOD(57+$C34+(-3),$B$3)+1)*F34+INDEX(Symboles!$G$6:$G$101,MOD(57+$C34+(-2),$B$3)+1)*G34+INDEX(Symboles!$G$6:$G$101,MOD(57+$C34+(-1),$B$3)+1)*H34+INDEX(Symboles!$G$6:$G$101,MOD(57+$C34+(0),$B$3)+1)*I34+INDEX(Symboles!$G$6:$G$101,MOD(57+$C34+(1),$B$3)+1)*J34+INDEX(Symboles!$G$6:$G$101,MOD(57+$C34+(2),$B$3)+1)*K34+INDEX(Symboles!$G$6:$G$101,MOD(57+$C34+(3),$B$3)+1)*L34+INDEX(Symboles!$G$6:$G$101,MOD(57+$C34+(4),$B$3)+1)*M34+IF($B$6=0,0,$B$6*NORMSINV(0.000001+0.999998*RAND())))</f>
        <v/>
      </c>
      <c r="BV34" s="30">
        <f>IF(59&gt;$B$3,99,INDEX(Symboles!$G$6:$G$101,MOD(58+$C34+(-4),$B$3)+1)*E34+INDEX(Symboles!$G$6:$G$101,MOD(58+$C34+(-3),$B$3)+1)*F34+INDEX(Symboles!$G$6:$G$101,MOD(58+$C34+(-2),$B$3)+1)*G34+INDEX(Symboles!$G$6:$G$101,MOD(58+$C34+(-1),$B$3)+1)*H34+INDEX(Symboles!$G$6:$G$101,MOD(58+$C34+(0),$B$3)+1)*I34+INDEX(Symboles!$G$6:$G$101,MOD(58+$C34+(1),$B$3)+1)*J34+INDEX(Symboles!$G$6:$G$101,MOD(58+$C34+(2),$B$3)+1)*K34+INDEX(Symboles!$G$6:$G$101,MOD(58+$C34+(3),$B$3)+1)*L34+INDEX(Symboles!$G$6:$G$101,MOD(58+$C34+(4),$B$3)+1)*M34+IF($B$6=0,0,$B$6*NORMSINV(0.000001+0.999998*RAND())))</f>
        <v/>
      </c>
      <c r="BW34" s="30">
        <f>IF(60&gt;$B$3,99,INDEX(Symboles!$G$6:$G$101,MOD(59+$C34+(-4),$B$3)+1)*E34+INDEX(Symboles!$G$6:$G$101,MOD(59+$C34+(-3),$B$3)+1)*F34+INDEX(Symboles!$G$6:$G$101,MOD(59+$C34+(-2),$B$3)+1)*G34+INDEX(Symboles!$G$6:$G$101,MOD(59+$C34+(-1),$B$3)+1)*H34+INDEX(Symboles!$G$6:$G$101,MOD(59+$C34+(0),$B$3)+1)*I34+INDEX(Symboles!$G$6:$G$101,MOD(59+$C34+(1),$B$3)+1)*J34+INDEX(Symboles!$G$6:$G$101,MOD(59+$C34+(2),$B$3)+1)*K34+INDEX(Symboles!$G$6:$G$101,MOD(59+$C34+(3),$B$3)+1)*L34+INDEX(Symboles!$G$6:$G$101,MOD(59+$C34+(4),$B$3)+1)*M34+IF($B$6=0,0,$B$6*NORMSINV(0.000001+0.999998*RAND())))</f>
        <v/>
      </c>
      <c r="BX34" s="30">
        <f>IF(61&gt;$B$3,99,INDEX(Symboles!$G$6:$G$101,MOD(60+$C34+(-4),$B$3)+1)*E34+INDEX(Symboles!$G$6:$G$101,MOD(60+$C34+(-3),$B$3)+1)*F34+INDEX(Symboles!$G$6:$G$101,MOD(60+$C34+(-2),$B$3)+1)*G34+INDEX(Symboles!$G$6:$G$101,MOD(60+$C34+(-1),$B$3)+1)*H34+INDEX(Symboles!$G$6:$G$101,MOD(60+$C34+(0),$B$3)+1)*I34+INDEX(Symboles!$G$6:$G$101,MOD(60+$C34+(1),$B$3)+1)*J34+INDEX(Symboles!$G$6:$G$101,MOD(60+$C34+(2),$B$3)+1)*K34+INDEX(Symboles!$G$6:$G$101,MOD(60+$C34+(3),$B$3)+1)*L34+INDEX(Symboles!$G$6:$G$101,MOD(60+$C34+(4),$B$3)+1)*M34+IF($B$6=0,0,$B$6*NORMSINV(0.000001+0.999998*RAND())))</f>
        <v/>
      </c>
      <c r="BY34" s="30">
        <f>IF(62&gt;$B$3,99,INDEX(Symboles!$G$6:$G$101,MOD(61+$C34+(-4),$B$3)+1)*E34+INDEX(Symboles!$G$6:$G$101,MOD(61+$C34+(-3),$B$3)+1)*F34+INDEX(Symboles!$G$6:$G$101,MOD(61+$C34+(-2),$B$3)+1)*G34+INDEX(Symboles!$G$6:$G$101,MOD(61+$C34+(-1),$B$3)+1)*H34+INDEX(Symboles!$G$6:$G$101,MOD(61+$C34+(0),$B$3)+1)*I34+INDEX(Symboles!$G$6:$G$101,MOD(61+$C34+(1),$B$3)+1)*J34+INDEX(Symboles!$G$6:$G$101,MOD(61+$C34+(2),$B$3)+1)*K34+INDEX(Symboles!$G$6:$G$101,MOD(61+$C34+(3),$B$3)+1)*L34+INDEX(Symboles!$G$6:$G$101,MOD(61+$C34+(4),$B$3)+1)*M34+IF($B$6=0,0,$B$6*NORMSINV(0.000001+0.999998*RAND())))</f>
        <v/>
      </c>
      <c r="BZ34" s="30">
        <f>IF(63&gt;$B$3,99,INDEX(Symboles!$G$6:$G$101,MOD(62+$C34+(-4),$B$3)+1)*E34+INDEX(Symboles!$G$6:$G$101,MOD(62+$C34+(-3),$B$3)+1)*F34+INDEX(Symboles!$G$6:$G$101,MOD(62+$C34+(-2),$B$3)+1)*G34+INDEX(Symboles!$G$6:$G$101,MOD(62+$C34+(-1),$B$3)+1)*H34+INDEX(Symboles!$G$6:$G$101,MOD(62+$C34+(0),$B$3)+1)*I34+INDEX(Symboles!$G$6:$G$101,MOD(62+$C34+(1),$B$3)+1)*J34+INDEX(Symboles!$G$6:$G$101,MOD(62+$C34+(2),$B$3)+1)*K34+INDEX(Symboles!$G$6:$G$101,MOD(62+$C34+(3),$B$3)+1)*L34+INDEX(Symboles!$G$6:$G$101,MOD(62+$C34+(4),$B$3)+1)*M34+IF($B$6=0,0,$B$6*NORMSINV(0.000001+0.999998*RAND())))</f>
        <v/>
      </c>
      <c r="CA34" s="30">
        <f>IF(64&gt;$B$3,99,INDEX(Symboles!$G$6:$G$101,MOD(63+$C34+(-4),$B$3)+1)*E34+INDEX(Symboles!$G$6:$G$101,MOD(63+$C34+(-3),$B$3)+1)*F34+INDEX(Symboles!$G$6:$G$101,MOD(63+$C34+(-2),$B$3)+1)*G34+INDEX(Symboles!$G$6:$G$101,MOD(63+$C34+(-1),$B$3)+1)*H34+INDEX(Symboles!$G$6:$G$101,MOD(63+$C34+(0),$B$3)+1)*I34+INDEX(Symboles!$G$6:$G$101,MOD(63+$C34+(1),$B$3)+1)*J34+INDEX(Symboles!$G$6:$G$101,MOD(63+$C34+(2),$B$3)+1)*K34+INDEX(Symboles!$G$6:$G$101,MOD(63+$C34+(3),$B$3)+1)*L34+INDEX(Symboles!$G$6:$G$101,MOD(63+$C34+(4),$B$3)+1)*M34+IF($B$6=0,0,$B$6*NORMSINV(0.000001+0.999998*RAND())))</f>
        <v/>
      </c>
      <c r="CB34" s="30">
        <f>IF(65&gt;$B$3,99,INDEX(Symboles!$G$6:$G$101,MOD(64+$C34+(-4),$B$3)+1)*E34+INDEX(Symboles!$G$6:$G$101,MOD(64+$C34+(-3),$B$3)+1)*F34+INDEX(Symboles!$G$6:$G$101,MOD(64+$C34+(-2),$B$3)+1)*G34+INDEX(Symboles!$G$6:$G$101,MOD(64+$C34+(-1),$B$3)+1)*H34+INDEX(Symboles!$G$6:$G$101,MOD(64+$C34+(0),$B$3)+1)*I34+INDEX(Symboles!$G$6:$G$101,MOD(64+$C34+(1),$B$3)+1)*J34+INDEX(Symboles!$G$6:$G$101,MOD(64+$C34+(2),$B$3)+1)*K34+INDEX(Symboles!$G$6:$G$101,MOD(64+$C34+(3),$B$3)+1)*L34+INDEX(Symboles!$G$6:$G$101,MOD(64+$C34+(4),$B$3)+1)*M34+IF($B$6=0,0,$B$6*NORMSINV(0.000001+0.999998*RAND())))</f>
        <v/>
      </c>
      <c r="CC34" s="30">
        <f>IF(66&gt;$B$3,99,INDEX(Symboles!$G$6:$G$101,MOD(65+$C34+(-4),$B$3)+1)*E34+INDEX(Symboles!$G$6:$G$101,MOD(65+$C34+(-3),$B$3)+1)*F34+INDEX(Symboles!$G$6:$G$101,MOD(65+$C34+(-2),$B$3)+1)*G34+INDEX(Symboles!$G$6:$G$101,MOD(65+$C34+(-1),$B$3)+1)*H34+INDEX(Symboles!$G$6:$G$101,MOD(65+$C34+(0),$B$3)+1)*I34+INDEX(Symboles!$G$6:$G$101,MOD(65+$C34+(1),$B$3)+1)*J34+INDEX(Symboles!$G$6:$G$101,MOD(65+$C34+(2),$B$3)+1)*K34+INDEX(Symboles!$G$6:$G$101,MOD(65+$C34+(3),$B$3)+1)*L34+INDEX(Symboles!$G$6:$G$101,MOD(65+$C34+(4),$B$3)+1)*M34+IF($B$6=0,0,$B$6*NORMSINV(0.000001+0.999998*RAND())))</f>
        <v/>
      </c>
      <c r="CD34" s="30">
        <f>IF(67&gt;$B$3,99,INDEX(Symboles!$G$6:$G$101,MOD(66+$C34+(-4),$B$3)+1)*E34+INDEX(Symboles!$G$6:$G$101,MOD(66+$C34+(-3),$B$3)+1)*F34+INDEX(Symboles!$G$6:$G$101,MOD(66+$C34+(-2),$B$3)+1)*G34+INDEX(Symboles!$G$6:$G$101,MOD(66+$C34+(-1),$B$3)+1)*H34+INDEX(Symboles!$G$6:$G$101,MOD(66+$C34+(0),$B$3)+1)*I34+INDEX(Symboles!$G$6:$G$101,MOD(66+$C34+(1),$B$3)+1)*J34+INDEX(Symboles!$G$6:$G$101,MOD(66+$C34+(2),$B$3)+1)*K34+INDEX(Symboles!$G$6:$G$101,MOD(66+$C34+(3),$B$3)+1)*L34+INDEX(Symboles!$G$6:$G$101,MOD(66+$C34+(4),$B$3)+1)*M34+IF($B$6=0,0,$B$6*NORMSINV(0.000001+0.999998*RAND())))</f>
        <v/>
      </c>
      <c r="CE34" s="30">
        <f>IF(68&gt;$B$3,99,INDEX(Symboles!$G$6:$G$101,MOD(67+$C34+(-4),$B$3)+1)*E34+INDEX(Symboles!$G$6:$G$101,MOD(67+$C34+(-3),$B$3)+1)*F34+INDEX(Symboles!$G$6:$G$101,MOD(67+$C34+(-2),$B$3)+1)*G34+INDEX(Symboles!$G$6:$G$101,MOD(67+$C34+(-1),$B$3)+1)*H34+INDEX(Symboles!$G$6:$G$101,MOD(67+$C34+(0),$B$3)+1)*I34+INDEX(Symboles!$G$6:$G$101,MOD(67+$C34+(1),$B$3)+1)*J34+INDEX(Symboles!$G$6:$G$101,MOD(67+$C34+(2),$B$3)+1)*K34+INDEX(Symboles!$G$6:$G$101,MOD(67+$C34+(3),$B$3)+1)*L34+INDEX(Symboles!$G$6:$G$101,MOD(67+$C34+(4),$B$3)+1)*M34+IF($B$6=0,0,$B$6*NORMSINV(0.000001+0.999998*RAND())))</f>
        <v/>
      </c>
      <c r="CF34" s="30">
        <f>IF(69&gt;$B$3,99,INDEX(Symboles!$G$6:$G$101,MOD(68+$C34+(-4),$B$3)+1)*E34+INDEX(Symboles!$G$6:$G$101,MOD(68+$C34+(-3),$B$3)+1)*F34+INDEX(Symboles!$G$6:$G$101,MOD(68+$C34+(-2),$B$3)+1)*G34+INDEX(Symboles!$G$6:$G$101,MOD(68+$C34+(-1),$B$3)+1)*H34+INDEX(Symboles!$G$6:$G$101,MOD(68+$C34+(0),$B$3)+1)*I34+INDEX(Symboles!$G$6:$G$101,MOD(68+$C34+(1),$B$3)+1)*J34+INDEX(Symboles!$G$6:$G$101,MOD(68+$C34+(2),$B$3)+1)*K34+INDEX(Symboles!$G$6:$G$101,MOD(68+$C34+(3),$B$3)+1)*L34+INDEX(Symboles!$G$6:$G$101,MOD(68+$C34+(4),$B$3)+1)*M34+IF($B$6=0,0,$B$6*NORMSINV(0.000001+0.999998*RAND())))</f>
        <v/>
      </c>
      <c r="CG34" s="30">
        <f>IF(70&gt;$B$3,99,INDEX(Symboles!$G$6:$G$101,MOD(69+$C34+(-4),$B$3)+1)*E34+INDEX(Symboles!$G$6:$G$101,MOD(69+$C34+(-3),$B$3)+1)*F34+INDEX(Symboles!$G$6:$G$101,MOD(69+$C34+(-2),$B$3)+1)*G34+INDEX(Symboles!$G$6:$G$101,MOD(69+$C34+(-1),$B$3)+1)*H34+INDEX(Symboles!$G$6:$G$101,MOD(69+$C34+(0),$B$3)+1)*I34+INDEX(Symboles!$G$6:$G$101,MOD(69+$C34+(1),$B$3)+1)*J34+INDEX(Symboles!$G$6:$G$101,MOD(69+$C34+(2),$B$3)+1)*K34+INDEX(Symboles!$G$6:$G$101,MOD(69+$C34+(3),$B$3)+1)*L34+INDEX(Symboles!$G$6:$G$101,MOD(69+$C34+(4),$B$3)+1)*M34+IF($B$6=0,0,$B$6*NORMSINV(0.000001+0.999998*RAND())))</f>
        <v/>
      </c>
      <c r="CH34" s="30">
        <f>IF(71&gt;$B$3,99,INDEX(Symboles!$G$6:$G$101,MOD(70+$C34+(-4),$B$3)+1)*E34+INDEX(Symboles!$G$6:$G$101,MOD(70+$C34+(-3),$B$3)+1)*F34+INDEX(Symboles!$G$6:$G$101,MOD(70+$C34+(-2),$B$3)+1)*G34+INDEX(Symboles!$G$6:$G$101,MOD(70+$C34+(-1),$B$3)+1)*H34+INDEX(Symboles!$G$6:$G$101,MOD(70+$C34+(0),$B$3)+1)*I34+INDEX(Symboles!$G$6:$G$101,MOD(70+$C34+(1),$B$3)+1)*J34+INDEX(Symboles!$G$6:$G$101,MOD(70+$C34+(2),$B$3)+1)*K34+INDEX(Symboles!$G$6:$G$101,MOD(70+$C34+(3),$B$3)+1)*L34+INDEX(Symboles!$G$6:$G$101,MOD(70+$C34+(4),$B$3)+1)*M34+IF($B$6=0,0,$B$6*NORMSINV(0.000001+0.999998*RAND())))</f>
        <v/>
      </c>
      <c r="CI34" s="30">
        <f>IF(72&gt;$B$3,99,INDEX(Symboles!$G$6:$G$101,MOD(71+$C34+(-4),$B$3)+1)*E34+INDEX(Symboles!$G$6:$G$101,MOD(71+$C34+(-3),$B$3)+1)*F34+INDEX(Symboles!$G$6:$G$101,MOD(71+$C34+(-2),$B$3)+1)*G34+INDEX(Symboles!$G$6:$G$101,MOD(71+$C34+(-1),$B$3)+1)*H34+INDEX(Symboles!$G$6:$G$101,MOD(71+$C34+(0),$B$3)+1)*I34+INDEX(Symboles!$G$6:$G$101,MOD(71+$C34+(1),$B$3)+1)*J34+INDEX(Symboles!$G$6:$G$101,MOD(71+$C34+(2),$B$3)+1)*K34+INDEX(Symboles!$G$6:$G$101,MOD(71+$C34+(3),$B$3)+1)*L34+INDEX(Symboles!$G$6:$G$101,MOD(71+$C34+(4),$B$3)+1)*M34+IF($B$6=0,0,$B$6*NORMSINV(0.000001+0.999998*RAND())))</f>
        <v/>
      </c>
      <c r="CJ34" s="30">
        <f>IF(73&gt;$B$3,99,INDEX(Symboles!$G$6:$G$101,MOD(72+$C34+(-4),$B$3)+1)*E34+INDEX(Symboles!$G$6:$G$101,MOD(72+$C34+(-3),$B$3)+1)*F34+INDEX(Symboles!$G$6:$G$101,MOD(72+$C34+(-2),$B$3)+1)*G34+INDEX(Symboles!$G$6:$G$101,MOD(72+$C34+(-1),$B$3)+1)*H34+INDEX(Symboles!$G$6:$G$101,MOD(72+$C34+(0),$B$3)+1)*I34+INDEX(Symboles!$G$6:$G$101,MOD(72+$C34+(1),$B$3)+1)*J34+INDEX(Symboles!$G$6:$G$101,MOD(72+$C34+(2),$B$3)+1)*K34+INDEX(Symboles!$G$6:$G$101,MOD(72+$C34+(3),$B$3)+1)*L34+INDEX(Symboles!$G$6:$G$101,MOD(72+$C34+(4),$B$3)+1)*M34+IF($B$6=0,0,$B$6*NORMSINV(0.000001+0.999998*RAND())))</f>
        <v/>
      </c>
      <c r="CK34" s="30">
        <f>IF(74&gt;$B$3,99,INDEX(Symboles!$G$6:$G$101,MOD(73+$C34+(-4),$B$3)+1)*E34+INDEX(Symboles!$G$6:$G$101,MOD(73+$C34+(-3),$B$3)+1)*F34+INDEX(Symboles!$G$6:$G$101,MOD(73+$C34+(-2),$B$3)+1)*G34+INDEX(Symboles!$G$6:$G$101,MOD(73+$C34+(-1),$B$3)+1)*H34+INDEX(Symboles!$G$6:$G$101,MOD(73+$C34+(0),$B$3)+1)*I34+INDEX(Symboles!$G$6:$G$101,MOD(73+$C34+(1),$B$3)+1)*J34+INDEX(Symboles!$G$6:$G$101,MOD(73+$C34+(2),$B$3)+1)*K34+INDEX(Symboles!$G$6:$G$101,MOD(73+$C34+(3),$B$3)+1)*L34+INDEX(Symboles!$G$6:$G$101,MOD(73+$C34+(4),$B$3)+1)*M34+IF($B$6=0,0,$B$6*NORMSINV(0.000001+0.999998*RAND())))</f>
        <v/>
      </c>
      <c r="CL34" s="30">
        <f>IF(75&gt;$B$3,99,INDEX(Symboles!$G$6:$G$101,MOD(74+$C34+(-4),$B$3)+1)*E34+INDEX(Symboles!$G$6:$G$101,MOD(74+$C34+(-3),$B$3)+1)*F34+INDEX(Symboles!$G$6:$G$101,MOD(74+$C34+(-2),$B$3)+1)*G34+INDEX(Symboles!$G$6:$G$101,MOD(74+$C34+(-1),$B$3)+1)*H34+INDEX(Symboles!$G$6:$G$101,MOD(74+$C34+(0),$B$3)+1)*I34+INDEX(Symboles!$G$6:$G$101,MOD(74+$C34+(1),$B$3)+1)*J34+INDEX(Symboles!$G$6:$G$101,MOD(74+$C34+(2),$B$3)+1)*K34+INDEX(Symboles!$G$6:$G$101,MOD(74+$C34+(3),$B$3)+1)*L34+INDEX(Symboles!$G$6:$G$101,MOD(74+$C34+(4),$B$3)+1)*M34+IF($B$6=0,0,$B$6*NORMSINV(0.000001+0.999998*RAND())))</f>
        <v/>
      </c>
      <c r="CM34" s="30">
        <f>IF(76&gt;$B$3,99,INDEX(Symboles!$G$6:$G$101,MOD(75+$C34+(-4),$B$3)+1)*E34+INDEX(Symboles!$G$6:$G$101,MOD(75+$C34+(-3),$B$3)+1)*F34+INDEX(Symboles!$G$6:$G$101,MOD(75+$C34+(-2),$B$3)+1)*G34+INDEX(Symboles!$G$6:$G$101,MOD(75+$C34+(-1),$B$3)+1)*H34+INDEX(Symboles!$G$6:$G$101,MOD(75+$C34+(0),$B$3)+1)*I34+INDEX(Symboles!$G$6:$G$101,MOD(75+$C34+(1),$B$3)+1)*J34+INDEX(Symboles!$G$6:$G$101,MOD(75+$C34+(2),$B$3)+1)*K34+INDEX(Symboles!$G$6:$G$101,MOD(75+$C34+(3),$B$3)+1)*L34+INDEX(Symboles!$G$6:$G$101,MOD(75+$C34+(4),$B$3)+1)*M34+IF($B$6=0,0,$B$6*NORMSINV(0.000001+0.999998*RAND())))</f>
        <v/>
      </c>
      <c r="CN34" s="30">
        <f>IF(77&gt;$B$3,99,INDEX(Symboles!$G$6:$G$101,MOD(76+$C34+(-4),$B$3)+1)*E34+INDEX(Symboles!$G$6:$G$101,MOD(76+$C34+(-3),$B$3)+1)*F34+INDEX(Symboles!$G$6:$G$101,MOD(76+$C34+(-2),$B$3)+1)*G34+INDEX(Symboles!$G$6:$G$101,MOD(76+$C34+(-1),$B$3)+1)*H34+INDEX(Symboles!$G$6:$G$101,MOD(76+$C34+(0),$B$3)+1)*I34+INDEX(Symboles!$G$6:$G$101,MOD(76+$C34+(1),$B$3)+1)*J34+INDEX(Symboles!$G$6:$G$101,MOD(76+$C34+(2),$B$3)+1)*K34+INDEX(Symboles!$G$6:$G$101,MOD(76+$C34+(3),$B$3)+1)*L34+INDEX(Symboles!$G$6:$G$101,MOD(76+$C34+(4),$B$3)+1)*M34+IF($B$6=0,0,$B$6*NORMSINV(0.000001+0.999998*RAND())))</f>
        <v/>
      </c>
      <c r="CO34" s="30">
        <f>IF(78&gt;$B$3,99,INDEX(Symboles!$G$6:$G$101,MOD(77+$C34+(-4),$B$3)+1)*E34+INDEX(Symboles!$G$6:$G$101,MOD(77+$C34+(-3),$B$3)+1)*F34+INDEX(Symboles!$G$6:$G$101,MOD(77+$C34+(-2),$B$3)+1)*G34+INDEX(Symboles!$G$6:$G$101,MOD(77+$C34+(-1),$B$3)+1)*H34+INDEX(Symboles!$G$6:$G$101,MOD(77+$C34+(0),$B$3)+1)*I34+INDEX(Symboles!$G$6:$G$101,MOD(77+$C34+(1),$B$3)+1)*J34+INDEX(Symboles!$G$6:$G$101,MOD(77+$C34+(2),$B$3)+1)*K34+INDEX(Symboles!$G$6:$G$101,MOD(77+$C34+(3),$B$3)+1)*L34+INDEX(Symboles!$G$6:$G$101,MOD(77+$C34+(4),$B$3)+1)*M34+IF($B$6=0,0,$B$6*NORMSINV(0.000001+0.999998*RAND())))</f>
        <v/>
      </c>
      <c r="CP34" s="30">
        <f>IF(79&gt;$B$3,99,INDEX(Symboles!$G$6:$G$101,MOD(78+$C34+(-4),$B$3)+1)*E34+INDEX(Symboles!$G$6:$G$101,MOD(78+$C34+(-3),$B$3)+1)*F34+INDEX(Symboles!$G$6:$G$101,MOD(78+$C34+(-2),$B$3)+1)*G34+INDEX(Symboles!$G$6:$G$101,MOD(78+$C34+(-1),$B$3)+1)*H34+INDEX(Symboles!$G$6:$G$101,MOD(78+$C34+(0),$B$3)+1)*I34+INDEX(Symboles!$G$6:$G$101,MOD(78+$C34+(1),$B$3)+1)*J34+INDEX(Symboles!$G$6:$G$101,MOD(78+$C34+(2),$B$3)+1)*K34+INDEX(Symboles!$G$6:$G$101,MOD(78+$C34+(3),$B$3)+1)*L34+INDEX(Symboles!$G$6:$G$101,MOD(78+$C34+(4),$B$3)+1)*M34+IF($B$6=0,0,$B$6*NORMSINV(0.000001+0.999998*RAND())))</f>
        <v/>
      </c>
      <c r="CQ34" s="30">
        <f>IF(80&gt;$B$3,99,INDEX(Symboles!$G$6:$G$101,MOD(79+$C34+(-4),$B$3)+1)*E34+INDEX(Symboles!$G$6:$G$101,MOD(79+$C34+(-3),$B$3)+1)*F34+INDEX(Symboles!$G$6:$G$101,MOD(79+$C34+(-2),$B$3)+1)*G34+INDEX(Symboles!$G$6:$G$101,MOD(79+$C34+(-1),$B$3)+1)*H34+INDEX(Symboles!$G$6:$G$101,MOD(79+$C34+(0),$B$3)+1)*I34+INDEX(Symboles!$G$6:$G$101,MOD(79+$C34+(1),$B$3)+1)*J34+INDEX(Symboles!$G$6:$G$101,MOD(79+$C34+(2),$B$3)+1)*K34+INDEX(Symboles!$G$6:$G$101,MOD(79+$C34+(3),$B$3)+1)*L34+INDEX(Symboles!$G$6:$G$101,MOD(79+$C34+(4),$B$3)+1)*M34+IF($B$6=0,0,$B$6*NORMSINV(0.000001+0.999998*RAND())))</f>
        <v/>
      </c>
      <c r="CR34" s="30">
        <f>IF(81&gt;$B$3,99,INDEX(Symboles!$G$6:$G$101,MOD(80+$C34+(-4),$B$3)+1)*E34+INDEX(Symboles!$G$6:$G$101,MOD(80+$C34+(-3),$B$3)+1)*F34+INDEX(Symboles!$G$6:$G$101,MOD(80+$C34+(-2),$B$3)+1)*G34+INDEX(Symboles!$G$6:$G$101,MOD(80+$C34+(-1),$B$3)+1)*H34+INDEX(Symboles!$G$6:$G$101,MOD(80+$C34+(0),$B$3)+1)*I34+INDEX(Symboles!$G$6:$G$101,MOD(80+$C34+(1),$B$3)+1)*J34+INDEX(Symboles!$G$6:$G$101,MOD(80+$C34+(2),$B$3)+1)*K34+INDEX(Symboles!$G$6:$G$101,MOD(80+$C34+(3),$B$3)+1)*L34+INDEX(Symboles!$G$6:$G$101,MOD(80+$C34+(4),$B$3)+1)*M34+IF($B$6=0,0,$B$6*NORMSINV(0.000001+0.999998*RAND())))</f>
        <v/>
      </c>
      <c r="CS34" s="30">
        <f>IF(82&gt;$B$3,99,INDEX(Symboles!$G$6:$G$101,MOD(81+$C34+(-4),$B$3)+1)*E34+INDEX(Symboles!$G$6:$G$101,MOD(81+$C34+(-3),$B$3)+1)*F34+INDEX(Symboles!$G$6:$G$101,MOD(81+$C34+(-2),$B$3)+1)*G34+INDEX(Symboles!$G$6:$G$101,MOD(81+$C34+(-1),$B$3)+1)*H34+INDEX(Symboles!$G$6:$G$101,MOD(81+$C34+(0),$B$3)+1)*I34+INDEX(Symboles!$G$6:$G$101,MOD(81+$C34+(1),$B$3)+1)*J34+INDEX(Symboles!$G$6:$G$101,MOD(81+$C34+(2),$B$3)+1)*K34+INDEX(Symboles!$G$6:$G$101,MOD(81+$C34+(3),$B$3)+1)*L34+INDEX(Symboles!$G$6:$G$101,MOD(81+$C34+(4),$B$3)+1)*M34+IF($B$6=0,0,$B$6*NORMSINV(0.000001+0.999998*RAND())))</f>
        <v/>
      </c>
      <c r="CT34" s="30">
        <f>IF(83&gt;$B$3,99,INDEX(Symboles!$G$6:$G$101,MOD(82+$C34+(-4),$B$3)+1)*E34+INDEX(Symboles!$G$6:$G$101,MOD(82+$C34+(-3),$B$3)+1)*F34+INDEX(Symboles!$G$6:$G$101,MOD(82+$C34+(-2),$B$3)+1)*G34+INDEX(Symboles!$G$6:$G$101,MOD(82+$C34+(-1),$B$3)+1)*H34+INDEX(Symboles!$G$6:$G$101,MOD(82+$C34+(0),$B$3)+1)*I34+INDEX(Symboles!$G$6:$G$101,MOD(82+$C34+(1),$B$3)+1)*J34+INDEX(Symboles!$G$6:$G$101,MOD(82+$C34+(2),$B$3)+1)*K34+INDEX(Symboles!$G$6:$G$101,MOD(82+$C34+(3),$B$3)+1)*L34+INDEX(Symboles!$G$6:$G$101,MOD(82+$C34+(4),$B$3)+1)*M34+IF($B$6=0,0,$B$6*NORMSINV(0.000001+0.999998*RAND())))</f>
        <v/>
      </c>
      <c r="CU34" s="30">
        <f>IF(84&gt;$B$3,99,INDEX(Symboles!$G$6:$G$101,MOD(83+$C34+(-4),$B$3)+1)*E34+INDEX(Symboles!$G$6:$G$101,MOD(83+$C34+(-3),$B$3)+1)*F34+INDEX(Symboles!$G$6:$G$101,MOD(83+$C34+(-2),$B$3)+1)*G34+INDEX(Symboles!$G$6:$G$101,MOD(83+$C34+(-1),$B$3)+1)*H34+INDEX(Symboles!$G$6:$G$101,MOD(83+$C34+(0),$B$3)+1)*I34+INDEX(Symboles!$G$6:$G$101,MOD(83+$C34+(1),$B$3)+1)*J34+INDEX(Symboles!$G$6:$G$101,MOD(83+$C34+(2),$B$3)+1)*K34+INDEX(Symboles!$G$6:$G$101,MOD(83+$C34+(3),$B$3)+1)*L34+INDEX(Symboles!$G$6:$G$101,MOD(83+$C34+(4),$B$3)+1)*M34+IF($B$6=0,0,$B$6*NORMSINV(0.000001+0.999998*RAND())))</f>
        <v/>
      </c>
      <c r="CV34" s="30">
        <f>IF(85&gt;$B$3,99,INDEX(Symboles!$G$6:$G$101,MOD(84+$C34+(-4),$B$3)+1)*E34+INDEX(Symboles!$G$6:$G$101,MOD(84+$C34+(-3),$B$3)+1)*F34+INDEX(Symboles!$G$6:$G$101,MOD(84+$C34+(-2),$B$3)+1)*G34+INDEX(Symboles!$G$6:$G$101,MOD(84+$C34+(-1),$B$3)+1)*H34+INDEX(Symboles!$G$6:$G$101,MOD(84+$C34+(0),$B$3)+1)*I34+INDEX(Symboles!$G$6:$G$101,MOD(84+$C34+(1),$B$3)+1)*J34+INDEX(Symboles!$G$6:$G$101,MOD(84+$C34+(2),$B$3)+1)*K34+INDEX(Symboles!$G$6:$G$101,MOD(84+$C34+(3),$B$3)+1)*L34+INDEX(Symboles!$G$6:$G$101,MOD(84+$C34+(4),$B$3)+1)*M34+IF($B$6=0,0,$B$6*NORMSINV(0.000001+0.999998*RAND())))</f>
        <v/>
      </c>
      <c r="CW34" s="30">
        <f>IF(86&gt;$B$3,99,INDEX(Symboles!$G$6:$G$101,MOD(85+$C34+(-4),$B$3)+1)*E34+INDEX(Symboles!$G$6:$G$101,MOD(85+$C34+(-3),$B$3)+1)*F34+INDEX(Symboles!$G$6:$G$101,MOD(85+$C34+(-2),$B$3)+1)*G34+INDEX(Symboles!$G$6:$G$101,MOD(85+$C34+(-1),$B$3)+1)*H34+INDEX(Symboles!$G$6:$G$101,MOD(85+$C34+(0),$B$3)+1)*I34+INDEX(Symboles!$G$6:$G$101,MOD(85+$C34+(1),$B$3)+1)*J34+INDEX(Symboles!$G$6:$G$101,MOD(85+$C34+(2),$B$3)+1)*K34+INDEX(Symboles!$G$6:$G$101,MOD(85+$C34+(3),$B$3)+1)*L34+INDEX(Symboles!$G$6:$G$101,MOD(85+$C34+(4),$B$3)+1)*M34+IF($B$6=0,0,$B$6*NORMSINV(0.000001+0.999998*RAND())))</f>
        <v/>
      </c>
      <c r="CX34" s="30">
        <f>IF(87&gt;$B$3,99,INDEX(Symboles!$G$6:$G$101,MOD(86+$C34+(-4),$B$3)+1)*E34+INDEX(Symboles!$G$6:$G$101,MOD(86+$C34+(-3),$B$3)+1)*F34+INDEX(Symboles!$G$6:$G$101,MOD(86+$C34+(-2),$B$3)+1)*G34+INDEX(Symboles!$G$6:$G$101,MOD(86+$C34+(-1),$B$3)+1)*H34+INDEX(Symboles!$G$6:$G$101,MOD(86+$C34+(0),$B$3)+1)*I34+INDEX(Symboles!$G$6:$G$101,MOD(86+$C34+(1),$B$3)+1)*J34+INDEX(Symboles!$G$6:$G$101,MOD(86+$C34+(2),$B$3)+1)*K34+INDEX(Symboles!$G$6:$G$101,MOD(86+$C34+(3),$B$3)+1)*L34+INDEX(Symboles!$G$6:$G$101,MOD(86+$C34+(4),$B$3)+1)*M34+IF($B$6=0,0,$B$6*NORMSINV(0.000001+0.999998*RAND())))</f>
        <v/>
      </c>
      <c r="CY34" s="30">
        <f>IF(88&gt;$B$3,99,INDEX(Symboles!$G$6:$G$101,MOD(87+$C34+(-4),$B$3)+1)*E34+INDEX(Symboles!$G$6:$G$101,MOD(87+$C34+(-3),$B$3)+1)*F34+INDEX(Symboles!$G$6:$G$101,MOD(87+$C34+(-2),$B$3)+1)*G34+INDEX(Symboles!$G$6:$G$101,MOD(87+$C34+(-1),$B$3)+1)*H34+INDEX(Symboles!$G$6:$G$101,MOD(87+$C34+(0),$B$3)+1)*I34+INDEX(Symboles!$G$6:$G$101,MOD(87+$C34+(1),$B$3)+1)*J34+INDEX(Symboles!$G$6:$G$101,MOD(87+$C34+(2),$B$3)+1)*K34+INDEX(Symboles!$G$6:$G$101,MOD(87+$C34+(3),$B$3)+1)*L34+INDEX(Symboles!$G$6:$G$101,MOD(87+$C34+(4),$B$3)+1)*M34+IF($B$6=0,0,$B$6*NORMSINV(0.000001+0.999998*RAND())))</f>
        <v/>
      </c>
      <c r="CZ34" s="30">
        <f>IF(89&gt;$B$3,99,INDEX(Symboles!$G$6:$G$101,MOD(88+$C34+(-4),$B$3)+1)*E34+INDEX(Symboles!$G$6:$G$101,MOD(88+$C34+(-3),$B$3)+1)*F34+INDEX(Symboles!$G$6:$G$101,MOD(88+$C34+(-2),$B$3)+1)*G34+INDEX(Symboles!$G$6:$G$101,MOD(88+$C34+(-1),$B$3)+1)*H34+INDEX(Symboles!$G$6:$G$101,MOD(88+$C34+(0),$B$3)+1)*I34+INDEX(Symboles!$G$6:$G$101,MOD(88+$C34+(1),$B$3)+1)*J34+INDEX(Symboles!$G$6:$G$101,MOD(88+$C34+(2),$B$3)+1)*K34+INDEX(Symboles!$G$6:$G$101,MOD(88+$C34+(3),$B$3)+1)*L34+INDEX(Symboles!$G$6:$G$101,MOD(88+$C34+(4),$B$3)+1)*M34+IF($B$6=0,0,$B$6*NORMSINV(0.000001+0.999998*RAND())))</f>
        <v/>
      </c>
      <c r="DA34" s="30">
        <f>IF(90&gt;$B$3,99,INDEX(Symboles!$G$6:$G$101,MOD(89+$C34+(-4),$B$3)+1)*E34+INDEX(Symboles!$G$6:$G$101,MOD(89+$C34+(-3),$B$3)+1)*F34+INDEX(Symboles!$G$6:$G$101,MOD(89+$C34+(-2),$B$3)+1)*G34+INDEX(Symboles!$G$6:$G$101,MOD(89+$C34+(-1),$B$3)+1)*H34+INDEX(Symboles!$G$6:$G$101,MOD(89+$C34+(0),$B$3)+1)*I34+INDEX(Symboles!$G$6:$G$101,MOD(89+$C34+(1),$B$3)+1)*J34+INDEX(Symboles!$G$6:$G$101,MOD(89+$C34+(2),$B$3)+1)*K34+INDEX(Symboles!$G$6:$G$101,MOD(89+$C34+(3),$B$3)+1)*L34+INDEX(Symboles!$G$6:$G$101,MOD(89+$C34+(4),$B$3)+1)*M34+IF($B$6=0,0,$B$6*NORMSINV(0.000001+0.999998*RAND())))</f>
        <v/>
      </c>
      <c r="DB34" s="30">
        <f>IF(91&gt;$B$3,99,INDEX(Symboles!$G$6:$G$101,MOD(90+$C34+(-4),$B$3)+1)*E34+INDEX(Symboles!$G$6:$G$101,MOD(90+$C34+(-3),$B$3)+1)*F34+INDEX(Symboles!$G$6:$G$101,MOD(90+$C34+(-2),$B$3)+1)*G34+INDEX(Symboles!$G$6:$G$101,MOD(90+$C34+(-1),$B$3)+1)*H34+INDEX(Symboles!$G$6:$G$101,MOD(90+$C34+(0),$B$3)+1)*I34+INDEX(Symboles!$G$6:$G$101,MOD(90+$C34+(1),$B$3)+1)*J34+INDEX(Symboles!$G$6:$G$101,MOD(90+$C34+(2),$B$3)+1)*K34+INDEX(Symboles!$G$6:$G$101,MOD(90+$C34+(3),$B$3)+1)*L34+INDEX(Symboles!$G$6:$G$101,MOD(90+$C34+(4),$B$3)+1)*M34+IF($B$6=0,0,$B$6*NORMSINV(0.000001+0.999998*RAND())))</f>
        <v/>
      </c>
      <c r="DC34" s="30">
        <f>IF(92&gt;$B$3,99,INDEX(Symboles!$G$6:$G$101,MOD(91+$C34+(-4),$B$3)+1)*E34+INDEX(Symboles!$G$6:$G$101,MOD(91+$C34+(-3),$B$3)+1)*F34+INDEX(Symboles!$G$6:$G$101,MOD(91+$C34+(-2),$B$3)+1)*G34+INDEX(Symboles!$G$6:$G$101,MOD(91+$C34+(-1),$B$3)+1)*H34+INDEX(Symboles!$G$6:$G$101,MOD(91+$C34+(0),$B$3)+1)*I34+INDEX(Symboles!$G$6:$G$101,MOD(91+$C34+(1),$B$3)+1)*J34+INDEX(Symboles!$G$6:$G$101,MOD(91+$C34+(2),$B$3)+1)*K34+INDEX(Symboles!$G$6:$G$101,MOD(91+$C34+(3),$B$3)+1)*L34+INDEX(Symboles!$G$6:$G$101,MOD(91+$C34+(4),$B$3)+1)*M34+IF($B$6=0,0,$B$6*NORMSINV(0.000001+0.999998*RAND())))</f>
        <v/>
      </c>
      <c r="DD34" s="30">
        <f>IF(93&gt;$B$3,99,INDEX(Symboles!$G$6:$G$101,MOD(92+$C34+(-4),$B$3)+1)*E34+INDEX(Symboles!$G$6:$G$101,MOD(92+$C34+(-3),$B$3)+1)*F34+INDEX(Symboles!$G$6:$G$101,MOD(92+$C34+(-2),$B$3)+1)*G34+INDEX(Symboles!$G$6:$G$101,MOD(92+$C34+(-1),$B$3)+1)*H34+INDEX(Symboles!$G$6:$G$101,MOD(92+$C34+(0),$B$3)+1)*I34+INDEX(Symboles!$G$6:$G$101,MOD(92+$C34+(1),$B$3)+1)*J34+INDEX(Symboles!$G$6:$G$101,MOD(92+$C34+(2),$B$3)+1)*K34+INDEX(Symboles!$G$6:$G$101,MOD(92+$C34+(3),$B$3)+1)*L34+INDEX(Symboles!$G$6:$G$101,MOD(92+$C34+(4),$B$3)+1)*M34+IF($B$6=0,0,$B$6*NORMSINV(0.000001+0.999998*RAND())))</f>
        <v/>
      </c>
      <c r="DE34" s="30">
        <f>IF(94&gt;$B$3,99,INDEX(Symboles!$G$6:$G$101,MOD(93+$C34+(-4),$B$3)+1)*E34+INDEX(Symboles!$G$6:$G$101,MOD(93+$C34+(-3),$B$3)+1)*F34+INDEX(Symboles!$G$6:$G$101,MOD(93+$C34+(-2),$B$3)+1)*G34+INDEX(Symboles!$G$6:$G$101,MOD(93+$C34+(-1),$B$3)+1)*H34+INDEX(Symboles!$G$6:$G$101,MOD(93+$C34+(0),$B$3)+1)*I34+INDEX(Symboles!$G$6:$G$101,MOD(93+$C34+(1),$B$3)+1)*J34+INDEX(Symboles!$G$6:$G$101,MOD(93+$C34+(2),$B$3)+1)*K34+INDEX(Symboles!$G$6:$G$101,MOD(93+$C34+(3),$B$3)+1)*L34+INDEX(Symboles!$G$6:$G$101,MOD(93+$C34+(4),$B$3)+1)*M34+IF($B$6=0,0,$B$6*NORMSINV(0.000001+0.999998*RAND())))</f>
        <v/>
      </c>
      <c r="DF34" s="30">
        <f>IF(95&gt;$B$3,99,INDEX(Symboles!$G$6:$G$101,MOD(94+$C34+(-4),$B$3)+1)*E34+INDEX(Symboles!$G$6:$G$101,MOD(94+$C34+(-3),$B$3)+1)*F34+INDEX(Symboles!$G$6:$G$101,MOD(94+$C34+(-2),$B$3)+1)*G34+INDEX(Symboles!$G$6:$G$101,MOD(94+$C34+(-1),$B$3)+1)*H34+INDEX(Symboles!$G$6:$G$101,MOD(94+$C34+(0),$B$3)+1)*I34+INDEX(Symboles!$G$6:$G$101,MOD(94+$C34+(1),$B$3)+1)*J34+INDEX(Symboles!$G$6:$G$101,MOD(94+$C34+(2),$B$3)+1)*K34+INDEX(Symboles!$G$6:$G$101,MOD(94+$C34+(3),$B$3)+1)*L34+INDEX(Symboles!$G$6:$G$101,MOD(94+$C34+(4),$B$3)+1)*M34+IF($B$6=0,0,$B$6*NORMSINV(0.000001+0.999998*RAND())))</f>
        <v/>
      </c>
      <c r="DG34" s="30">
        <f>IF(96&gt;$B$3,99,INDEX(Symboles!$G$6:$G$101,MOD(95+$C34+(-4),$B$3)+1)*E34+INDEX(Symboles!$G$6:$G$101,MOD(95+$C34+(-3),$B$3)+1)*F34+INDEX(Symboles!$G$6:$G$101,MOD(95+$C34+(-2),$B$3)+1)*G34+INDEX(Symboles!$G$6:$G$101,MOD(95+$C34+(-1),$B$3)+1)*H34+INDEX(Symboles!$G$6:$G$101,MOD(95+$C34+(0),$B$3)+1)*I34+INDEX(Symboles!$G$6:$G$101,MOD(95+$C34+(1),$B$3)+1)*J34+INDEX(Symboles!$G$6:$G$101,MOD(95+$C34+(2),$B$3)+1)*K34+INDEX(Symboles!$G$6:$G$101,MOD(95+$C34+(3),$B$3)+1)*L34+INDEX(Symboles!$G$6:$G$101,MOD(95+$C34+(4),$B$3)+1)*M34+IF($B$6=0,0,$B$6*NORMSINV(0.000001+0.999998*RAND())))</f>
        <v/>
      </c>
      <c r="DI34" s="30">
        <f>IF(1&gt;$B$3,99,INDEX(Symboles!$H$6:$H$101,MOD(0+$C34+(-4),$B$3)+1)*E34+INDEX(Symboles!$H$6:$H$101,MOD(0+$C34+(-3),$B$3)+1)*F34+INDEX(Symboles!$H$6:$H$101,MOD(0+$C34+(-2),$B$3)+1)*G34+INDEX(Symboles!$H$6:$H$101,MOD(0+$C34+(-1),$B$3)+1)*H34+INDEX(Symboles!$H$6:$H$101,MOD(0+$C34+(0),$B$3)+1)*I34+INDEX(Symboles!$H$6:$H$101,MOD(0+$C34+(1),$B$3)+1)*J34+INDEX(Symboles!$H$6:$H$101,MOD(0+$C34+(2),$B$3)+1)*K34+INDEX(Symboles!$H$6:$H$101,MOD(0+$C34+(3),$B$3)+1)*L34+INDEX(Symboles!$H$6:$H$101,MOD(0+$C34+(4),$B$3)+1)*M34+IF($B$6=0,0,$B$6*NORMSINV(0.000001+0.999998*RAND())))</f>
        <v/>
      </c>
      <c r="DJ34" s="30">
        <f>IF(2&gt;$B$3,99,INDEX(Symboles!$H$6:$H$101,MOD(1+$C34+(-4),$B$3)+1)*E34+INDEX(Symboles!$H$6:$H$101,MOD(1+$C34+(-3),$B$3)+1)*F34+INDEX(Symboles!$H$6:$H$101,MOD(1+$C34+(-2),$B$3)+1)*G34+INDEX(Symboles!$H$6:$H$101,MOD(1+$C34+(-1),$B$3)+1)*H34+INDEX(Symboles!$H$6:$H$101,MOD(1+$C34+(0),$B$3)+1)*I34+INDEX(Symboles!$H$6:$H$101,MOD(1+$C34+(1),$B$3)+1)*J34+INDEX(Symboles!$H$6:$H$101,MOD(1+$C34+(2),$B$3)+1)*K34+INDEX(Symboles!$H$6:$H$101,MOD(1+$C34+(3),$B$3)+1)*L34+INDEX(Symboles!$H$6:$H$101,MOD(1+$C34+(4),$B$3)+1)*M34+IF($B$6=0,0,$B$6*NORMSINV(0.000001+0.999998*RAND())))</f>
        <v/>
      </c>
      <c r="DK34" s="30">
        <f>IF(3&gt;$B$3,99,INDEX(Symboles!$H$6:$H$101,MOD(2+$C34+(-4),$B$3)+1)*E34+INDEX(Symboles!$H$6:$H$101,MOD(2+$C34+(-3),$B$3)+1)*F34+INDEX(Symboles!$H$6:$H$101,MOD(2+$C34+(-2),$B$3)+1)*G34+INDEX(Symboles!$H$6:$H$101,MOD(2+$C34+(-1),$B$3)+1)*H34+INDEX(Symboles!$H$6:$H$101,MOD(2+$C34+(0),$B$3)+1)*I34+INDEX(Symboles!$H$6:$H$101,MOD(2+$C34+(1),$B$3)+1)*J34+INDEX(Symboles!$H$6:$H$101,MOD(2+$C34+(2),$B$3)+1)*K34+INDEX(Symboles!$H$6:$H$101,MOD(2+$C34+(3),$B$3)+1)*L34+INDEX(Symboles!$H$6:$H$101,MOD(2+$C34+(4),$B$3)+1)*M34+IF($B$6=0,0,$B$6*NORMSINV(0.000001+0.999998*RAND())))</f>
        <v/>
      </c>
      <c r="DL34" s="30">
        <f>IF(4&gt;$B$3,99,INDEX(Symboles!$H$6:$H$101,MOD(3+$C34+(-4),$B$3)+1)*E34+INDEX(Symboles!$H$6:$H$101,MOD(3+$C34+(-3),$B$3)+1)*F34+INDEX(Symboles!$H$6:$H$101,MOD(3+$C34+(-2),$B$3)+1)*G34+INDEX(Symboles!$H$6:$H$101,MOD(3+$C34+(-1),$B$3)+1)*H34+INDEX(Symboles!$H$6:$H$101,MOD(3+$C34+(0),$B$3)+1)*I34+INDEX(Symboles!$H$6:$H$101,MOD(3+$C34+(1),$B$3)+1)*J34+INDEX(Symboles!$H$6:$H$101,MOD(3+$C34+(2),$B$3)+1)*K34+INDEX(Symboles!$H$6:$H$101,MOD(3+$C34+(3),$B$3)+1)*L34+INDEX(Symboles!$H$6:$H$101,MOD(3+$C34+(4),$B$3)+1)*M34+IF($B$6=0,0,$B$6*NORMSINV(0.000001+0.999998*RAND())))</f>
        <v/>
      </c>
      <c r="DM34" s="30">
        <f>IF(5&gt;$B$3,99,INDEX(Symboles!$H$6:$H$101,MOD(4+$C34+(-4),$B$3)+1)*E34+INDEX(Symboles!$H$6:$H$101,MOD(4+$C34+(-3),$B$3)+1)*F34+INDEX(Symboles!$H$6:$H$101,MOD(4+$C34+(-2),$B$3)+1)*G34+INDEX(Symboles!$H$6:$H$101,MOD(4+$C34+(-1),$B$3)+1)*H34+INDEX(Symboles!$H$6:$H$101,MOD(4+$C34+(0),$B$3)+1)*I34+INDEX(Symboles!$H$6:$H$101,MOD(4+$C34+(1),$B$3)+1)*J34+INDEX(Symboles!$H$6:$H$101,MOD(4+$C34+(2),$B$3)+1)*K34+INDEX(Symboles!$H$6:$H$101,MOD(4+$C34+(3),$B$3)+1)*L34+INDEX(Symboles!$H$6:$H$101,MOD(4+$C34+(4),$B$3)+1)*M34+IF($B$6=0,0,$B$6*NORMSINV(0.000001+0.999998*RAND())))</f>
        <v/>
      </c>
      <c r="DN34" s="30">
        <f>IF(6&gt;$B$3,99,INDEX(Symboles!$H$6:$H$101,MOD(5+$C34+(-4),$B$3)+1)*E34+INDEX(Symboles!$H$6:$H$101,MOD(5+$C34+(-3),$B$3)+1)*F34+INDEX(Symboles!$H$6:$H$101,MOD(5+$C34+(-2),$B$3)+1)*G34+INDEX(Symboles!$H$6:$H$101,MOD(5+$C34+(-1),$B$3)+1)*H34+INDEX(Symboles!$H$6:$H$101,MOD(5+$C34+(0),$B$3)+1)*I34+INDEX(Symboles!$H$6:$H$101,MOD(5+$C34+(1),$B$3)+1)*J34+INDEX(Symboles!$H$6:$H$101,MOD(5+$C34+(2),$B$3)+1)*K34+INDEX(Symboles!$H$6:$H$101,MOD(5+$C34+(3),$B$3)+1)*L34+INDEX(Symboles!$H$6:$H$101,MOD(5+$C34+(4),$B$3)+1)*M34+IF($B$6=0,0,$B$6*NORMSINV(0.000001+0.999998*RAND())))</f>
        <v/>
      </c>
      <c r="DO34" s="30">
        <f>IF(7&gt;$B$3,99,INDEX(Symboles!$H$6:$H$101,MOD(6+$C34+(-4),$B$3)+1)*E34+INDEX(Symboles!$H$6:$H$101,MOD(6+$C34+(-3),$B$3)+1)*F34+INDEX(Symboles!$H$6:$H$101,MOD(6+$C34+(-2),$B$3)+1)*G34+INDEX(Symboles!$H$6:$H$101,MOD(6+$C34+(-1),$B$3)+1)*H34+INDEX(Symboles!$H$6:$H$101,MOD(6+$C34+(0),$B$3)+1)*I34+INDEX(Symboles!$H$6:$H$101,MOD(6+$C34+(1),$B$3)+1)*J34+INDEX(Symboles!$H$6:$H$101,MOD(6+$C34+(2),$B$3)+1)*K34+INDEX(Symboles!$H$6:$H$101,MOD(6+$C34+(3),$B$3)+1)*L34+INDEX(Symboles!$H$6:$H$101,MOD(6+$C34+(4),$B$3)+1)*M34+IF($B$6=0,0,$B$6*NORMSINV(0.000001+0.999998*RAND())))</f>
        <v/>
      </c>
      <c r="DP34" s="30">
        <f>IF(8&gt;$B$3,99,INDEX(Symboles!$H$6:$H$101,MOD(7+$C34+(-4),$B$3)+1)*E34+INDEX(Symboles!$H$6:$H$101,MOD(7+$C34+(-3),$B$3)+1)*F34+INDEX(Symboles!$H$6:$H$101,MOD(7+$C34+(-2),$B$3)+1)*G34+INDEX(Symboles!$H$6:$H$101,MOD(7+$C34+(-1),$B$3)+1)*H34+INDEX(Symboles!$H$6:$H$101,MOD(7+$C34+(0),$B$3)+1)*I34+INDEX(Symboles!$H$6:$H$101,MOD(7+$C34+(1),$B$3)+1)*J34+INDEX(Symboles!$H$6:$H$101,MOD(7+$C34+(2),$B$3)+1)*K34+INDEX(Symboles!$H$6:$H$101,MOD(7+$C34+(3),$B$3)+1)*L34+INDEX(Symboles!$H$6:$H$101,MOD(7+$C34+(4),$B$3)+1)*M34+IF($B$6=0,0,$B$6*NORMSINV(0.000001+0.999998*RAND())))</f>
        <v/>
      </c>
      <c r="DQ34" s="30">
        <f>IF(9&gt;$B$3,99,INDEX(Symboles!$H$6:$H$101,MOD(8+$C34+(-4),$B$3)+1)*E34+INDEX(Symboles!$H$6:$H$101,MOD(8+$C34+(-3),$B$3)+1)*F34+INDEX(Symboles!$H$6:$H$101,MOD(8+$C34+(-2),$B$3)+1)*G34+INDEX(Symboles!$H$6:$H$101,MOD(8+$C34+(-1),$B$3)+1)*H34+INDEX(Symboles!$H$6:$H$101,MOD(8+$C34+(0),$B$3)+1)*I34+INDEX(Symboles!$H$6:$H$101,MOD(8+$C34+(1),$B$3)+1)*J34+INDEX(Symboles!$H$6:$H$101,MOD(8+$C34+(2),$B$3)+1)*K34+INDEX(Symboles!$H$6:$H$101,MOD(8+$C34+(3),$B$3)+1)*L34+INDEX(Symboles!$H$6:$H$101,MOD(8+$C34+(4),$B$3)+1)*M34+IF($B$6=0,0,$B$6*NORMSINV(0.000001+0.999998*RAND())))</f>
        <v/>
      </c>
      <c r="DR34" s="30">
        <f>IF(10&gt;$B$3,99,INDEX(Symboles!$H$6:$H$101,MOD(9+$C34+(-4),$B$3)+1)*E34+INDEX(Symboles!$H$6:$H$101,MOD(9+$C34+(-3),$B$3)+1)*F34+INDEX(Symboles!$H$6:$H$101,MOD(9+$C34+(-2),$B$3)+1)*G34+INDEX(Symboles!$H$6:$H$101,MOD(9+$C34+(-1),$B$3)+1)*H34+INDEX(Symboles!$H$6:$H$101,MOD(9+$C34+(0),$B$3)+1)*I34+INDEX(Symboles!$H$6:$H$101,MOD(9+$C34+(1),$B$3)+1)*J34+INDEX(Symboles!$H$6:$H$101,MOD(9+$C34+(2),$B$3)+1)*K34+INDEX(Symboles!$H$6:$H$101,MOD(9+$C34+(3),$B$3)+1)*L34+INDEX(Symboles!$H$6:$H$101,MOD(9+$C34+(4),$B$3)+1)*M34+IF($B$6=0,0,$B$6*NORMSINV(0.000001+0.999998*RAND())))</f>
        <v/>
      </c>
      <c r="DS34" s="30">
        <f>IF(11&gt;$B$3,99,INDEX(Symboles!$H$6:$H$101,MOD(10+$C34+(-4),$B$3)+1)*E34+INDEX(Symboles!$H$6:$H$101,MOD(10+$C34+(-3),$B$3)+1)*F34+INDEX(Symboles!$H$6:$H$101,MOD(10+$C34+(-2),$B$3)+1)*G34+INDEX(Symboles!$H$6:$H$101,MOD(10+$C34+(-1),$B$3)+1)*H34+INDEX(Symboles!$H$6:$H$101,MOD(10+$C34+(0),$B$3)+1)*I34+INDEX(Symboles!$H$6:$H$101,MOD(10+$C34+(1),$B$3)+1)*J34+INDEX(Symboles!$H$6:$H$101,MOD(10+$C34+(2),$B$3)+1)*K34+INDEX(Symboles!$H$6:$H$101,MOD(10+$C34+(3),$B$3)+1)*L34+INDEX(Symboles!$H$6:$H$101,MOD(10+$C34+(4),$B$3)+1)*M34+IF($B$6=0,0,$B$6*NORMSINV(0.000001+0.999998*RAND())))</f>
        <v/>
      </c>
      <c r="DT34" s="30">
        <f>IF(12&gt;$B$3,99,INDEX(Symboles!$H$6:$H$101,MOD(11+$C34+(-4),$B$3)+1)*E34+INDEX(Symboles!$H$6:$H$101,MOD(11+$C34+(-3),$B$3)+1)*F34+INDEX(Symboles!$H$6:$H$101,MOD(11+$C34+(-2),$B$3)+1)*G34+INDEX(Symboles!$H$6:$H$101,MOD(11+$C34+(-1),$B$3)+1)*H34+INDEX(Symboles!$H$6:$H$101,MOD(11+$C34+(0),$B$3)+1)*I34+INDEX(Symboles!$H$6:$H$101,MOD(11+$C34+(1),$B$3)+1)*J34+INDEX(Symboles!$H$6:$H$101,MOD(11+$C34+(2),$B$3)+1)*K34+INDEX(Symboles!$H$6:$H$101,MOD(11+$C34+(3),$B$3)+1)*L34+INDEX(Symboles!$H$6:$H$101,MOD(11+$C34+(4),$B$3)+1)*M34+IF($B$6=0,0,$B$6*NORMSINV(0.000001+0.999998*RAND())))</f>
        <v/>
      </c>
      <c r="DU34" s="30">
        <f>IF(13&gt;$B$3,99,INDEX(Symboles!$H$6:$H$101,MOD(12+$C34+(-4),$B$3)+1)*E34+INDEX(Symboles!$H$6:$H$101,MOD(12+$C34+(-3),$B$3)+1)*F34+INDEX(Symboles!$H$6:$H$101,MOD(12+$C34+(-2),$B$3)+1)*G34+INDEX(Symboles!$H$6:$H$101,MOD(12+$C34+(-1),$B$3)+1)*H34+INDEX(Symboles!$H$6:$H$101,MOD(12+$C34+(0),$B$3)+1)*I34+INDEX(Symboles!$H$6:$H$101,MOD(12+$C34+(1),$B$3)+1)*J34+INDEX(Symboles!$H$6:$H$101,MOD(12+$C34+(2),$B$3)+1)*K34+INDEX(Symboles!$H$6:$H$101,MOD(12+$C34+(3),$B$3)+1)*L34+INDEX(Symboles!$H$6:$H$101,MOD(12+$C34+(4),$B$3)+1)*M34+IF($B$6=0,0,$B$6*NORMSINV(0.000001+0.999998*RAND())))</f>
        <v/>
      </c>
      <c r="DV34" s="30">
        <f>IF(14&gt;$B$3,99,INDEX(Symboles!$H$6:$H$101,MOD(13+$C34+(-4),$B$3)+1)*E34+INDEX(Symboles!$H$6:$H$101,MOD(13+$C34+(-3),$B$3)+1)*F34+INDEX(Symboles!$H$6:$H$101,MOD(13+$C34+(-2),$B$3)+1)*G34+INDEX(Symboles!$H$6:$H$101,MOD(13+$C34+(-1),$B$3)+1)*H34+INDEX(Symboles!$H$6:$H$101,MOD(13+$C34+(0),$B$3)+1)*I34+INDEX(Symboles!$H$6:$H$101,MOD(13+$C34+(1),$B$3)+1)*J34+INDEX(Symboles!$H$6:$H$101,MOD(13+$C34+(2),$B$3)+1)*K34+INDEX(Symboles!$H$6:$H$101,MOD(13+$C34+(3),$B$3)+1)*L34+INDEX(Symboles!$H$6:$H$101,MOD(13+$C34+(4),$B$3)+1)*M34+IF($B$6=0,0,$B$6*NORMSINV(0.000001+0.999998*RAND())))</f>
        <v/>
      </c>
      <c r="DW34" s="30">
        <f>IF(15&gt;$B$3,99,INDEX(Symboles!$H$6:$H$101,MOD(14+$C34+(-4),$B$3)+1)*E34+INDEX(Symboles!$H$6:$H$101,MOD(14+$C34+(-3),$B$3)+1)*F34+INDEX(Symboles!$H$6:$H$101,MOD(14+$C34+(-2),$B$3)+1)*G34+INDEX(Symboles!$H$6:$H$101,MOD(14+$C34+(-1),$B$3)+1)*H34+INDEX(Symboles!$H$6:$H$101,MOD(14+$C34+(0),$B$3)+1)*I34+INDEX(Symboles!$H$6:$H$101,MOD(14+$C34+(1),$B$3)+1)*J34+INDEX(Symboles!$H$6:$H$101,MOD(14+$C34+(2),$B$3)+1)*K34+INDEX(Symboles!$H$6:$H$101,MOD(14+$C34+(3),$B$3)+1)*L34+INDEX(Symboles!$H$6:$H$101,MOD(14+$C34+(4),$B$3)+1)*M34+IF($B$6=0,0,$B$6*NORMSINV(0.000001+0.999998*RAND())))</f>
        <v/>
      </c>
      <c r="DX34" s="30">
        <f>IF(16&gt;$B$3,99,INDEX(Symboles!$H$6:$H$101,MOD(15+$C34+(-4),$B$3)+1)*E34+INDEX(Symboles!$H$6:$H$101,MOD(15+$C34+(-3),$B$3)+1)*F34+INDEX(Symboles!$H$6:$H$101,MOD(15+$C34+(-2),$B$3)+1)*G34+INDEX(Symboles!$H$6:$H$101,MOD(15+$C34+(-1),$B$3)+1)*H34+INDEX(Symboles!$H$6:$H$101,MOD(15+$C34+(0),$B$3)+1)*I34+INDEX(Symboles!$H$6:$H$101,MOD(15+$C34+(1),$B$3)+1)*J34+INDEX(Symboles!$H$6:$H$101,MOD(15+$C34+(2),$B$3)+1)*K34+INDEX(Symboles!$H$6:$H$101,MOD(15+$C34+(3),$B$3)+1)*L34+INDEX(Symboles!$H$6:$H$101,MOD(15+$C34+(4),$B$3)+1)*M34+IF($B$6=0,0,$B$6*NORMSINV(0.000001+0.999998*RAND())))</f>
        <v/>
      </c>
      <c r="DY34" s="30">
        <f>IF(17&gt;$B$3,99,INDEX(Symboles!$H$6:$H$101,MOD(16+$C34+(-4),$B$3)+1)*E34+INDEX(Symboles!$H$6:$H$101,MOD(16+$C34+(-3),$B$3)+1)*F34+INDEX(Symboles!$H$6:$H$101,MOD(16+$C34+(-2),$B$3)+1)*G34+INDEX(Symboles!$H$6:$H$101,MOD(16+$C34+(-1),$B$3)+1)*H34+INDEX(Symboles!$H$6:$H$101,MOD(16+$C34+(0),$B$3)+1)*I34+INDEX(Symboles!$H$6:$H$101,MOD(16+$C34+(1),$B$3)+1)*J34+INDEX(Symboles!$H$6:$H$101,MOD(16+$C34+(2),$B$3)+1)*K34+INDEX(Symboles!$H$6:$H$101,MOD(16+$C34+(3),$B$3)+1)*L34+INDEX(Symboles!$H$6:$H$101,MOD(16+$C34+(4),$B$3)+1)*M34+IF($B$6=0,0,$B$6*NORMSINV(0.000001+0.999998*RAND())))</f>
        <v/>
      </c>
      <c r="DZ34" s="30">
        <f>IF(18&gt;$B$3,99,INDEX(Symboles!$H$6:$H$101,MOD(17+$C34+(-4),$B$3)+1)*E34+INDEX(Symboles!$H$6:$H$101,MOD(17+$C34+(-3),$B$3)+1)*F34+INDEX(Symboles!$H$6:$H$101,MOD(17+$C34+(-2),$B$3)+1)*G34+INDEX(Symboles!$H$6:$H$101,MOD(17+$C34+(-1),$B$3)+1)*H34+INDEX(Symboles!$H$6:$H$101,MOD(17+$C34+(0),$B$3)+1)*I34+INDEX(Symboles!$H$6:$H$101,MOD(17+$C34+(1),$B$3)+1)*J34+INDEX(Symboles!$H$6:$H$101,MOD(17+$C34+(2),$B$3)+1)*K34+INDEX(Symboles!$H$6:$H$101,MOD(17+$C34+(3),$B$3)+1)*L34+INDEX(Symboles!$H$6:$H$101,MOD(17+$C34+(4),$B$3)+1)*M34+IF($B$6=0,0,$B$6*NORMSINV(0.000001+0.999998*RAND())))</f>
        <v/>
      </c>
      <c r="EA34" s="30">
        <f>IF(19&gt;$B$3,99,INDEX(Symboles!$H$6:$H$101,MOD(18+$C34+(-4),$B$3)+1)*E34+INDEX(Symboles!$H$6:$H$101,MOD(18+$C34+(-3),$B$3)+1)*F34+INDEX(Symboles!$H$6:$H$101,MOD(18+$C34+(-2),$B$3)+1)*G34+INDEX(Symboles!$H$6:$H$101,MOD(18+$C34+(-1),$B$3)+1)*H34+INDEX(Symboles!$H$6:$H$101,MOD(18+$C34+(0),$B$3)+1)*I34+INDEX(Symboles!$H$6:$H$101,MOD(18+$C34+(1),$B$3)+1)*J34+INDEX(Symboles!$H$6:$H$101,MOD(18+$C34+(2),$B$3)+1)*K34+INDEX(Symboles!$H$6:$H$101,MOD(18+$C34+(3),$B$3)+1)*L34+INDEX(Symboles!$H$6:$H$101,MOD(18+$C34+(4),$B$3)+1)*M34+IF($B$6=0,0,$B$6*NORMSINV(0.000001+0.999998*RAND())))</f>
        <v/>
      </c>
      <c r="EB34" s="30">
        <f>IF(20&gt;$B$3,99,INDEX(Symboles!$H$6:$H$101,MOD(19+$C34+(-4),$B$3)+1)*E34+INDEX(Symboles!$H$6:$H$101,MOD(19+$C34+(-3),$B$3)+1)*F34+INDEX(Symboles!$H$6:$H$101,MOD(19+$C34+(-2),$B$3)+1)*G34+INDEX(Symboles!$H$6:$H$101,MOD(19+$C34+(-1),$B$3)+1)*H34+INDEX(Symboles!$H$6:$H$101,MOD(19+$C34+(0),$B$3)+1)*I34+INDEX(Symboles!$H$6:$H$101,MOD(19+$C34+(1),$B$3)+1)*J34+INDEX(Symboles!$H$6:$H$101,MOD(19+$C34+(2),$B$3)+1)*K34+INDEX(Symboles!$H$6:$H$101,MOD(19+$C34+(3),$B$3)+1)*L34+INDEX(Symboles!$H$6:$H$101,MOD(19+$C34+(4),$B$3)+1)*M34+IF($B$6=0,0,$B$6*NORMSINV(0.000001+0.999998*RAND())))</f>
        <v/>
      </c>
      <c r="EC34" s="30">
        <f>IF(21&gt;$B$3,99,INDEX(Symboles!$H$6:$H$101,MOD(20+$C34+(-4),$B$3)+1)*E34+INDEX(Symboles!$H$6:$H$101,MOD(20+$C34+(-3),$B$3)+1)*F34+INDEX(Symboles!$H$6:$H$101,MOD(20+$C34+(-2),$B$3)+1)*G34+INDEX(Symboles!$H$6:$H$101,MOD(20+$C34+(-1),$B$3)+1)*H34+INDEX(Symboles!$H$6:$H$101,MOD(20+$C34+(0),$B$3)+1)*I34+INDEX(Symboles!$H$6:$H$101,MOD(20+$C34+(1),$B$3)+1)*J34+INDEX(Symboles!$H$6:$H$101,MOD(20+$C34+(2),$B$3)+1)*K34+INDEX(Symboles!$H$6:$H$101,MOD(20+$C34+(3),$B$3)+1)*L34+INDEX(Symboles!$H$6:$H$101,MOD(20+$C34+(4),$B$3)+1)*M34+IF($B$6=0,0,$B$6*NORMSINV(0.000001+0.999998*RAND())))</f>
        <v/>
      </c>
      <c r="ED34" s="30">
        <f>IF(22&gt;$B$3,99,INDEX(Symboles!$H$6:$H$101,MOD(21+$C34+(-4),$B$3)+1)*E34+INDEX(Symboles!$H$6:$H$101,MOD(21+$C34+(-3),$B$3)+1)*F34+INDEX(Symboles!$H$6:$H$101,MOD(21+$C34+(-2),$B$3)+1)*G34+INDEX(Symboles!$H$6:$H$101,MOD(21+$C34+(-1),$B$3)+1)*H34+INDEX(Symboles!$H$6:$H$101,MOD(21+$C34+(0),$B$3)+1)*I34+INDEX(Symboles!$H$6:$H$101,MOD(21+$C34+(1),$B$3)+1)*J34+INDEX(Symboles!$H$6:$H$101,MOD(21+$C34+(2),$B$3)+1)*K34+INDEX(Symboles!$H$6:$H$101,MOD(21+$C34+(3),$B$3)+1)*L34+INDEX(Symboles!$H$6:$H$101,MOD(21+$C34+(4),$B$3)+1)*M34+IF($B$6=0,0,$B$6*NORMSINV(0.000001+0.999998*RAND())))</f>
        <v/>
      </c>
      <c r="EE34" s="30">
        <f>IF(23&gt;$B$3,99,INDEX(Symboles!$H$6:$H$101,MOD(22+$C34+(-4),$B$3)+1)*E34+INDEX(Symboles!$H$6:$H$101,MOD(22+$C34+(-3),$B$3)+1)*F34+INDEX(Symboles!$H$6:$H$101,MOD(22+$C34+(-2),$B$3)+1)*G34+INDEX(Symboles!$H$6:$H$101,MOD(22+$C34+(-1),$B$3)+1)*H34+INDEX(Symboles!$H$6:$H$101,MOD(22+$C34+(0),$B$3)+1)*I34+INDEX(Symboles!$H$6:$H$101,MOD(22+$C34+(1),$B$3)+1)*J34+INDEX(Symboles!$H$6:$H$101,MOD(22+$C34+(2),$B$3)+1)*K34+INDEX(Symboles!$H$6:$H$101,MOD(22+$C34+(3),$B$3)+1)*L34+INDEX(Symboles!$H$6:$H$101,MOD(22+$C34+(4),$B$3)+1)*M34+IF($B$6=0,0,$B$6*NORMSINV(0.000001+0.999998*RAND())))</f>
        <v/>
      </c>
      <c r="EF34" s="30">
        <f>IF(24&gt;$B$3,99,INDEX(Symboles!$H$6:$H$101,MOD(23+$C34+(-4),$B$3)+1)*E34+INDEX(Symboles!$H$6:$H$101,MOD(23+$C34+(-3),$B$3)+1)*F34+INDEX(Symboles!$H$6:$H$101,MOD(23+$C34+(-2),$B$3)+1)*G34+INDEX(Symboles!$H$6:$H$101,MOD(23+$C34+(-1),$B$3)+1)*H34+INDEX(Symboles!$H$6:$H$101,MOD(23+$C34+(0),$B$3)+1)*I34+INDEX(Symboles!$H$6:$H$101,MOD(23+$C34+(1),$B$3)+1)*J34+INDEX(Symboles!$H$6:$H$101,MOD(23+$C34+(2),$B$3)+1)*K34+INDEX(Symboles!$H$6:$H$101,MOD(23+$C34+(3),$B$3)+1)*L34+INDEX(Symboles!$H$6:$H$101,MOD(23+$C34+(4),$B$3)+1)*M34+IF($B$6=0,0,$B$6*NORMSINV(0.000001+0.999998*RAND())))</f>
        <v/>
      </c>
      <c r="EG34" s="30">
        <f>IF(25&gt;$B$3,99,INDEX(Symboles!$H$6:$H$101,MOD(24+$C34+(-4),$B$3)+1)*E34+INDEX(Symboles!$H$6:$H$101,MOD(24+$C34+(-3),$B$3)+1)*F34+INDEX(Symboles!$H$6:$H$101,MOD(24+$C34+(-2),$B$3)+1)*G34+INDEX(Symboles!$H$6:$H$101,MOD(24+$C34+(-1),$B$3)+1)*H34+INDEX(Symboles!$H$6:$H$101,MOD(24+$C34+(0),$B$3)+1)*I34+INDEX(Symboles!$H$6:$H$101,MOD(24+$C34+(1),$B$3)+1)*J34+INDEX(Symboles!$H$6:$H$101,MOD(24+$C34+(2),$B$3)+1)*K34+INDEX(Symboles!$H$6:$H$101,MOD(24+$C34+(3),$B$3)+1)*L34+INDEX(Symboles!$H$6:$H$101,MOD(24+$C34+(4),$B$3)+1)*M34+IF($B$6=0,0,$B$6*NORMSINV(0.000001+0.999998*RAND())))</f>
        <v/>
      </c>
      <c r="EH34" s="30">
        <f>IF(26&gt;$B$3,99,INDEX(Symboles!$H$6:$H$101,MOD(25+$C34+(-4),$B$3)+1)*E34+INDEX(Symboles!$H$6:$H$101,MOD(25+$C34+(-3),$B$3)+1)*F34+INDEX(Symboles!$H$6:$H$101,MOD(25+$C34+(-2),$B$3)+1)*G34+INDEX(Symboles!$H$6:$H$101,MOD(25+$C34+(-1),$B$3)+1)*H34+INDEX(Symboles!$H$6:$H$101,MOD(25+$C34+(0),$B$3)+1)*I34+INDEX(Symboles!$H$6:$H$101,MOD(25+$C34+(1),$B$3)+1)*J34+INDEX(Symboles!$H$6:$H$101,MOD(25+$C34+(2),$B$3)+1)*K34+INDEX(Symboles!$H$6:$H$101,MOD(25+$C34+(3),$B$3)+1)*L34+INDEX(Symboles!$H$6:$H$101,MOD(25+$C34+(4),$B$3)+1)*M34+IF($B$6=0,0,$B$6*NORMSINV(0.000001+0.999998*RAND())))</f>
        <v/>
      </c>
      <c r="EI34" s="30">
        <f>IF(27&gt;$B$3,99,INDEX(Symboles!$H$6:$H$101,MOD(26+$C34+(-4),$B$3)+1)*E34+INDEX(Symboles!$H$6:$H$101,MOD(26+$C34+(-3),$B$3)+1)*F34+INDEX(Symboles!$H$6:$H$101,MOD(26+$C34+(-2),$B$3)+1)*G34+INDEX(Symboles!$H$6:$H$101,MOD(26+$C34+(-1),$B$3)+1)*H34+INDEX(Symboles!$H$6:$H$101,MOD(26+$C34+(0),$B$3)+1)*I34+INDEX(Symboles!$H$6:$H$101,MOD(26+$C34+(1),$B$3)+1)*J34+INDEX(Symboles!$H$6:$H$101,MOD(26+$C34+(2),$B$3)+1)*K34+INDEX(Symboles!$H$6:$H$101,MOD(26+$C34+(3),$B$3)+1)*L34+INDEX(Symboles!$H$6:$H$101,MOD(26+$C34+(4),$B$3)+1)*M34+IF($B$6=0,0,$B$6*NORMSINV(0.000001+0.999998*RAND())))</f>
        <v/>
      </c>
      <c r="EJ34" s="30">
        <f>IF(28&gt;$B$3,99,INDEX(Symboles!$H$6:$H$101,MOD(27+$C34+(-4),$B$3)+1)*E34+INDEX(Symboles!$H$6:$H$101,MOD(27+$C34+(-3),$B$3)+1)*F34+INDEX(Symboles!$H$6:$H$101,MOD(27+$C34+(-2),$B$3)+1)*G34+INDEX(Symboles!$H$6:$H$101,MOD(27+$C34+(-1),$B$3)+1)*H34+INDEX(Symboles!$H$6:$H$101,MOD(27+$C34+(0),$B$3)+1)*I34+INDEX(Symboles!$H$6:$H$101,MOD(27+$C34+(1),$B$3)+1)*J34+INDEX(Symboles!$H$6:$H$101,MOD(27+$C34+(2),$B$3)+1)*K34+INDEX(Symboles!$H$6:$H$101,MOD(27+$C34+(3),$B$3)+1)*L34+INDEX(Symboles!$H$6:$H$101,MOD(27+$C34+(4),$B$3)+1)*M34+IF($B$6=0,0,$B$6*NORMSINV(0.000001+0.999998*RAND())))</f>
        <v/>
      </c>
      <c r="EK34" s="30">
        <f>IF(29&gt;$B$3,99,INDEX(Symboles!$H$6:$H$101,MOD(28+$C34+(-4),$B$3)+1)*E34+INDEX(Symboles!$H$6:$H$101,MOD(28+$C34+(-3),$B$3)+1)*F34+INDEX(Symboles!$H$6:$H$101,MOD(28+$C34+(-2),$B$3)+1)*G34+INDEX(Symboles!$H$6:$H$101,MOD(28+$C34+(-1),$B$3)+1)*H34+INDEX(Symboles!$H$6:$H$101,MOD(28+$C34+(0),$B$3)+1)*I34+INDEX(Symboles!$H$6:$H$101,MOD(28+$C34+(1),$B$3)+1)*J34+INDEX(Symboles!$H$6:$H$101,MOD(28+$C34+(2),$B$3)+1)*K34+INDEX(Symboles!$H$6:$H$101,MOD(28+$C34+(3),$B$3)+1)*L34+INDEX(Symboles!$H$6:$H$101,MOD(28+$C34+(4),$B$3)+1)*M34+IF($B$6=0,0,$B$6*NORMSINV(0.000001+0.999998*RAND())))</f>
        <v/>
      </c>
      <c r="EL34" s="30">
        <f>IF(30&gt;$B$3,99,INDEX(Symboles!$H$6:$H$101,MOD(29+$C34+(-4),$B$3)+1)*E34+INDEX(Symboles!$H$6:$H$101,MOD(29+$C34+(-3),$B$3)+1)*F34+INDEX(Symboles!$H$6:$H$101,MOD(29+$C34+(-2),$B$3)+1)*G34+INDEX(Symboles!$H$6:$H$101,MOD(29+$C34+(-1),$B$3)+1)*H34+INDEX(Symboles!$H$6:$H$101,MOD(29+$C34+(0),$B$3)+1)*I34+INDEX(Symboles!$H$6:$H$101,MOD(29+$C34+(1),$B$3)+1)*J34+INDEX(Symboles!$H$6:$H$101,MOD(29+$C34+(2),$B$3)+1)*K34+INDEX(Symboles!$H$6:$H$101,MOD(29+$C34+(3),$B$3)+1)*L34+INDEX(Symboles!$H$6:$H$101,MOD(29+$C34+(4),$B$3)+1)*M34+IF($B$6=0,0,$B$6*NORMSINV(0.000001+0.999998*RAND())))</f>
        <v/>
      </c>
      <c r="EM34" s="30">
        <f>IF(31&gt;$B$3,99,INDEX(Symboles!$H$6:$H$101,MOD(30+$C34+(-4),$B$3)+1)*E34+INDEX(Symboles!$H$6:$H$101,MOD(30+$C34+(-3),$B$3)+1)*F34+INDEX(Symboles!$H$6:$H$101,MOD(30+$C34+(-2),$B$3)+1)*G34+INDEX(Symboles!$H$6:$H$101,MOD(30+$C34+(-1),$B$3)+1)*H34+INDEX(Symboles!$H$6:$H$101,MOD(30+$C34+(0),$B$3)+1)*I34+INDEX(Symboles!$H$6:$H$101,MOD(30+$C34+(1),$B$3)+1)*J34+INDEX(Symboles!$H$6:$H$101,MOD(30+$C34+(2),$B$3)+1)*K34+INDEX(Symboles!$H$6:$H$101,MOD(30+$C34+(3),$B$3)+1)*L34+INDEX(Symboles!$H$6:$H$101,MOD(30+$C34+(4),$B$3)+1)*M34+IF($B$6=0,0,$B$6*NORMSINV(0.000001+0.999998*RAND())))</f>
        <v/>
      </c>
      <c r="EN34" s="30">
        <f>IF(32&gt;$B$3,99,INDEX(Symboles!$H$6:$H$101,MOD(31+$C34+(-4),$B$3)+1)*E34+INDEX(Symboles!$H$6:$H$101,MOD(31+$C34+(-3),$B$3)+1)*F34+INDEX(Symboles!$H$6:$H$101,MOD(31+$C34+(-2),$B$3)+1)*G34+INDEX(Symboles!$H$6:$H$101,MOD(31+$C34+(-1),$B$3)+1)*H34+INDEX(Symboles!$H$6:$H$101,MOD(31+$C34+(0),$B$3)+1)*I34+INDEX(Symboles!$H$6:$H$101,MOD(31+$C34+(1),$B$3)+1)*J34+INDEX(Symboles!$H$6:$H$101,MOD(31+$C34+(2),$B$3)+1)*K34+INDEX(Symboles!$H$6:$H$101,MOD(31+$C34+(3),$B$3)+1)*L34+INDEX(Symboles!$H$6:$H$101,MOD(31+$C34+(4),$B$3)+1)*M34+IF($B$6=0,0,$B$6*NORMSINV(0.000001+0.999998*RAND())))</f>
        <v/>
      </c>
      <c r="EO34" s="30">
        <f>IF(33&gt;$B$3,99,INDEX(Symboles!$H$6:$H$101,MOD(32+$C34+(-4),$B$3)+1)*E34+INDEX(Symboles!$H$6:$H$101,MOD(32+$C34+(-3),$B$3)+1)*F34+INDEX(Symboles!$H$6:$H$101,MOD(32+$C34+(-2),$B$3)+1)*G34+INDEX(Symboles!$H$6:$H$101,MOD(32+$C34+(-1),$B$3)+1)*H34+INDEX(Symboles!$H$6:$H$101,MOD(32+$C34+(0),$B$3)+1)*I34+INDEX(Symboles!$H$6:$H$101,MOD(32+$C34+(1),$B$3)+1)*J34+INDEX(Symboles!$H$6:$H$101,MOD(32+$C34+(2),$B$3)+1)*K34+INDEX(Symboles!$H$6:$H$101,MOD(32+$C34+(3),$B$3)+1)*L34+INDEX(Symboles!$H$6:$H$101,MOD(32+$C34+(4),$B$3)+1)*M34+IF($B$6=0,0,$B$6*NORMSINV(0.000001+0.999998*RAND())))</f>
        <v/>
      </c>
      <c r="EP34" s="30">
        <f>IF(34&gt;$B$3,99,INDEX(Symboles!$H$6:$H$101,MOD(33+$C34+(-4),$B$3)+1)*E34+INDEX(Symboles!$H$6:$H$101,MOD(33+$C34+(-3),$B$3)+1)*F34+INDEX(Symboles!$H$6:$H$101,MOD(33+$C34+(-2),$B$3)+1)*G34+INDEX(Symboles!$H$6:$H$101,MOD(33+$C34+(-1),$B$3)+1)*H34+INDEX(Symboles!$H$6:$H$101,MOD(33+$C34+(0),$B$3)+1)*I34+INDEX(Symboles!$H$6:$H$101,MOD(33+$C34+(1),$B$3)+1)*J34+INDEX(Symboles!$H$6:$H$101,MOD(33+$C34+(2),$B$3)+1)*K34+INDEX(Symboles!$H$6:$H$101,MOD(33+$C34+(3),$B$3)+1)*L34+INDEX(Symboles!$H$6:$H$101,MOD(33+$C34+(4),$B$3)+1)*M34+IF($B$6=0,0,$B$6*NORMSINV(0.000001+0.999998*RAND())))</f>
        <v/>
      </c>
      <c r="EQ34" s="30">
        <f>IF(35&gt;$B$3,99,INDEX(Symboles!$H$6:$H$101,MOD(34+$C34+(-4),$B$3)+1)*E34+INDEX(Symboles!$H$6:$H$101,MOD(34+$C34+(-3),$B$3)+1)*F34+INDEX(Symboles!$H$6:$H$101,MOD(34+$C34+(-2),$B$3)+1)*G34+INDEX(Symboles!$H$6:$H$101,MOD(34+$C34+(-1),$B$3)+1)*H34+INDEX(Symboles!$H$6:$H$101,MOD(34+$C34+(0),$B$3)+1)*I34+INDEX(Symboles!$H$6:$H$101,MOD(34+$C34+(1),$B$3)+1)*J34+INDEX(Symboles!$H$6:$H$101,MOD(34+$C34+(2),$B$3)+1)*K34+INDEX(Symboles!$H$6:$H$101,MOD(34+$C34+(3),$B$3)+1)*L34+INDEX(Symboles!$H$6:$H$101,MOD(34+$C34+(4),$B$3)+1)*M34+IF($B$6=0,0,$B$6*NORMSINV(0.000001+0.999998*RAND())))</f>
        <v/>
      </c>
      <c r="ER34" s="30">
        <f>IF(36&gt;$B$3,99,INDEX(Symboles!$H$6:$H$101,MOD(35+$C34+(-4),$B$3)+1)*E34+INDEX(Symboles!$H$6:$H$101,MOD(35+$C34+(-3),$B$3)+1)*F34+INDEX(Symboles!$H$6:$H$101,MOD(35+$C34+(-2),$B$3)+1)*G34+INDEX(Symboles!$H$6:$H$101,MOD(35+$C34+(-1),$B$3)+1)*H34+INDEX(Symboles!$H$6:$H$101,MOD(35+$C34+(0),$B$3)+1)*I34+INDEX(Symboles!$H$6:$H$101,MOD(35+$C34+(1),$B$3)+1)*J34+INDEX(Symboles!$H$6:$H$101,MOD(35+$C34+(2),$B$3)+1)*K34+INDEX(Symboles!$H$6:$H$101,MOD(35+$C34+(3),$B$3)+1)*L34+INDEX(Symboles!$H$6:$H$101,MOD(35+$C34+(4),$B$3)+1)*M34+IF($B$6=0,0,$B$6*NORMSINV(0.000001+0.999998*RAND())))</f>
        <v/>
      </c>
      <c r="ES34" s="30">
        <f>IF(37&gt;$B$3,99,INDEX(Symboles!$H$6:$H$101,MOD(36+$C34+(-4),$B$3)+1)*E34+INDEX(Symboles!$H$6:$H$101,MOD(36+$C34+(-3),$B$3)+1)*F34+INDEX(Symboles!$H$6:$H$101,MOD(36+$C34+(-2),$B$3)+1)*G34+INDEX(Symboles!$H$6:$H$101,MOD(36+$C34+(-1),$B$3)+1)*H34+INDEX(Symboles!$H$6:$H$101,MOD(36+$C34+(0),$B$3)+1)*I34+INDEX(Symboles!$H$6:$H$101,MOD(36+$C34+(1),$B$3)+1)*J34+INDEX(Symboles!$H$6:$H$101,MOD(36+$C34+(2),$B$3)+1)*K34+INDEX(Symboles!$H$6:$H$101,MOD(36+$C34+(3),$B$3)+1)*L34+INDEX(Symboles!$H$6:$H$101,MOD(36+$C34+(4),$B$3)+1)*M34+IF($B$6=0,0,$B$6*NORMSINV(0.000001+0.999998*RAND())))</f>
        <v/>
      </c>
      <c r="ET34" s="30">
        <f>IF(38&gt;$B$3,99,INDEX(Symboles!$H$6:$H$101,MOD(37+$C34+(-4),$B$3)+1)*E34+INDEX(Symboles!$H$6:$H$101,MOD(37+$C34+(-3),$B$3)+1)*F34+INDEX(Symboles!$H$6:$H$101,MOD(37+$C34+(-2),$B$3)+1)*G34+INDEX(Symboles!$H$6:$H$101,MOD(37+$C34+(-1),$B$3)+1)*H34+INDEX(Symboles!$H$6:$H$101,MOD(37+$C34+(0),$B$3)+1)*I34+INDEX(Symboles!$H$6:$H$101,MOD(37+$C34+(1),$B$3)+1)*J34+INDEX(Symboles!$H$6:$H$101,MOD(37+$C34+(2),$B$3)+1)*K34+INDEX(Symboles!$H$6:$H$101,MOD(37+$C34+(3),$B$3)+1)*L34+INDEX(Symboles!$H$6:$H$101,MOD(37+$C34+(4),$B$3)+1)*M34+IF($B$6=0,0,$B$6*NORMSINV(0.000001+0.999998*RAND())))</f>
        <v/>
      </c>
      <c r="EU34" s="30">
        <f>IF(39&gt;$B$3,99,INDEX(Symboles!$H$6:$H$101,MOD(38+$C34+(-4),$B$3)+1)*E34+INDEX(Symboles!$H$6:$H$101,MOD(38+$C34+(-3),$B$3)+1)*F34+INDEX(Symboles!$H$6:$H$101,MOD(38+$C34+(-2),$B$3)+1)*G34+INDEX(Symboles!$H$6:$H$101,MOD(38+$C34+(-1),$B$3)+1)*H34+INDEX(Symboles!$H$6:$H$101,MOD(38+$C34+(0),$B$3)+1)*I34+INDEX(Symboles!$H$6:$H$101,MOD(38+$C34+(1),$B$3)+1)*J34+INDEX(Symboles!$H$6:$H$101,MOD(38+$C34+(2),$B$3)+1)*K34+INDEX(Symboles!$H$6:$H$101,MOD(38+$C34+(3),$B$3)+1)*L34+INDEX(Symboles!$H$6:$H$101,MOD(38+$C34+(4),$B$3)+1)*M34+IF($B$6=0,0,$B$6*NORMSINV(0.000001+0.999998*RAND())))</f>
        <v/>
      </c>
      <c r="EV34" s="30">
        <f>IF(40&gt;$B$3,99,INDEX(Symboles!$H$6:$H$101,MOD(39+$C34+(-4),$B$3)+1)*E34+INDEX(Symboles!$H$6:$H$101,MOD(39+$C34+(-3),$B$3)+1)*F34+INDEX(Symboles!$H$6:$H$101,MOD(39+$C34+(-2),$B$3)+1)*G34+INDEX(Symboles!$H$6:$H$101,MOD(39+$C34+(-1),$B$3)+1)*H34+INDEX(Symboles!$H$6:$H$101,MOD(39+$C34+(0),$B$3)+1)*I34+INDEX(Symboles!$H$6:$H$101,MOD(39+$C34+(1),$B$3)+1)*J34+INDEX(Symboles!$H$6:$H$101,MOD(39+$C34+(2),$B$3)+1)*K34+INDEX(Symboles!$H$6:$H$101,MOD(39+$C34+(3),$B$3)+1)*L34+INDEX(Symboles!$H$6:$H$101,MOD(39+$C34+(4),$B$3)+1)*M34+IF($B$6=0,0,$B$6*NORMSINV(0.000001+0.999998*RAND())))</f>
        <v/>
      </c>
      <c r="EW34" s="30">
        <f>IF(41&gt;$B$3,99,INDEX(Symboles!$H$6:$H$101,MOD(40+$C34+(-4),$B$3)+1)*E34+INDEX(Symboles!$H$6:$H$101,MOD(40+$C34+(-3),$B$3)+1)*F34+INDEX(Symboles!$H$6:$H$101,MOD(40+$C34+(-2),$B$3)+1)*G34+INDEX(Symboles!$H$6:$H$101,MOD(40+$C34+(-1),$B$3)+1)*H34+INDEX(Symboles!$H$6:$H$101,MOD(40+$C34+(0),$B$3)+1)*I34+INDEX(Symboles!$H$6:$H$101,MOD(40+$C34+(1),$B$3)+1)*J34+INDEX(Symboles!$H$6:$H$101,MOD(40+$C34+(2),$B$3)+1)*K34+INDEX(Symboles!$H$6:$H$101,MOD(40+$C34+(3),$B$3)+1)*L34+INDEX(Symboles!$H$6:$H$101,MOD(40+$C34+(4),$B$3)+1)*M34+IF($B$6=0,0,$B$6*NORMSINV(0.000001+0.999998*RAND())))</f>
        <v/>
      </c>
      <c r="EX34" s="30">
        <f>IF(42&gt;$B$3,99,INDEX(Symboles!$H$6:$H$101,MOD(41+$C34+(-4),$B$3)+1)*E34+INDEX(Symboles!$H$6:$H$101,MOD(41+$C34+(-3),$B$3)+1)*F34+INDEX(Symboles!$H$6:$H$101,MOD(41+$C34+(-2),$B$3)+1)*G34+INDEX(Symboles!$H$6:$H$101,MOD(41+$C34+(-1),$B$3)+1)*H34+INDEX(Symboles!$H$6:$H$101,MOD(41+$C34+(0),$B$3)+1)*I34+INDEX(Symboles!$H$6:$H$101,MOD(41+$C34+(1),$B$3)+1)*J34+INDEX(Symboles!$H$6:$H$101,MOD(41+$C34+(2),$B$3)+1)*K34+INDEX(Symboles!$H$6:$H$101,MOD(41+$C34+(3),$B$3)+1)*L34+INDEX(Symboles!$H$6:$H$101,MOD(41+$C34+(4),$B$3)+1)*M34+IF($B$6=0,0,$B$6*NORMSINV(0.000001+0.999998*RAND())))</f>
        <v/>
      </c>
      <c r="EY34" s="30">
        <f>IF(43&gt;$B$3,99,INDEX(Symboles!$H$6:$H$101,MOD(42+$C34+(-4),$B$3)+1)*E34+INDEX(Symboles!$H$6:$H$101,MOD(42+$C34+(-3),$B$3)+1)*F34+INDEX(Symboles!$H$6:$H$101,MOD(42+$C34+(-2),$B$3)+1)*G34+INDEX(Symboles!$H$6:$H$101,MOD(42+$C34+(-1),$B$3)+1)*H34+INDEX(Symboles!$H$6:$H$101,MOD(42+$C34+(0),$B$3)+1)*I34+INDEX(Symboles!$H$6:$H$101,MOD(42+$C34+(1),$B$3)+1)*J34+INDEX(Symboles!$H$6:$H$101,MOD(42+$C34+(2),$B$3)+1)*K34+INDEX(Symboles!$H$6:$H$101,MOD(42+$C34+(3),$B$3)+1)*L34+INDEX(Symboles!$H$6:$H$101,MOD(42+$C34+(4),$B$3)+1)*M34+IF($B$6=0,0,$B$6*NORMSINV(0.000001+0.999998*RAND())))</f>
        <v/>
      </c>
      <c r="EZ34" s="30">
        <f>IF(44&gt;$B$3,99,INDEX(Symboles!$H$6:$H$101,MOD(43+$C34+(-4),$B$3)+1)*E34+INDEX(Symboles!$H$6:$H$101,MOD(43+$C34+(-3),$B$3)+1)*F34+INDEX(Symboles!$H$6:$H$101,MOD(43+$C34+(-2),$B$3)+1)*G34+INDEX(Symboles!$H$6:$H$101,MOD(43+$C34+(-1),$B$3)+1)*H34+INDEX(Symboles!$H$6:$H$101,MOD(43+$C34+(0),$B$3)+1)*I34+INDEX(Symboles!$H$6:$H$101,MOD(43+$C34+(1),$B$3)+1)*J34+INDEX(Symboles!$H$6:$H$101,MOD(43+$C34+(2),$B$3)+1)*K34+INDEX(Symboles!$H$6:$H$101,MOD(43+$C34+(3),$B$3)+1)*L34+INDEX(Symboles!$H$6:$H$101,MOD(43+$C34+(4),$B$3)+1)*M34+IF($B$6=0,0,$B$6*NORMSINV(0.000001+0.999998*RAND())))</f>
        <v/>
      </c>
      <c r="FA34" s="30">
        <f>IF(45&gt;$B$3,99,INDEX(Symboles!$H$6:$H$101,MOD(44+$C34+(-4),$B$3)+1)*E34+INDEX(Symboles!$H$6:$H$101,MOD(44+$C34+(-3),$B$3)+1)*F34+INDEX(Symboles!$H$6:$H$101,MOD(44+$C34+(-2),$B$3)+1)*G34+INDEX(Symboles!$H$6:$H$101,MOD(44+$C34+(-1),$B$3)+1)*H34+INDEX(Symboles!$H$6:$H$101,MOD(44+$C34+(0),$B$3)+1)*I34+INDEX(Symboles!$H$6:$H$101,MOD(44+$C34+(1),$B$3)+1)*J34+INDEX(Symboles!$H$6:$H$101,MOD(44+$C34+(2),$B$3)+1)*K34+INDEX(Symboles!$H$6:$H$101,MOD(44+$C34+(3),$B$3)+1)*L34+INDEX(Symboles!$H$6:$H$101,MOD(44+$C34+(4),$B$3)+1)*M34+IF($B$6=0,0,$B$6*NORMSINV(0.000001+0.999998*RAND())))</f>
        <v/>
      </c>
      <c r="FB34" s="30">
        <f>IF(46&gt;$B$3,99,INDEX(Symboles!$H$6:$H$101,MOD(45+$C34+(-4),$B$3)+1)*E34+INDEX(Symboles!$H$6:$H$101,MOD(45+$C34+(-3),$B$3)+1)*F34+INDEX(Symboles!$H$6:$H$101,MOD(45+$C34+(-2),$B$3)+1)*G34+INDEX(Symboles!$H$6:$H$101,MOD(45+$C34+(-1),$B$3)+1)*H34+INDEX(Symboles!$H$6:$H$101,MOD(45+$C34+(0),$B$3)+1)*I34+INDEX(Symboles!$H$6:$H$101,MOD(45+$C34+(1),$B$3)+1)*J34+INDEX(Symboles!$H$6:$H$101,MOD(45+$C34+(2),$B$3)+1)*K34+INDEX(Symboles!$H$6:$H$101,MOD(45+$C34+(3),$B$3)+1)*L34+INDEX(Symboles!$H$6:$H$101,MOD(45+$C34+(4),$B$3)+1)*M34+IF($B$6=0,0,$B$6*NORMSINV(0.000001+0.999998*RAND())))</f>
        <v/>
      </c>
      <c r="FC34" s="30">
        <f>IF(47&gt;$B$3,99,INDEX(Symboles!$H$6:$H$101,MOD(46+$C34+(-4),$B$3)+1)*E34+INDEX(Symboles!$H$6:$H$101,MOD(46+$C34+(-3),$B$3)+1)*F34+INDEX(Symboles!$H$6:$H$101,MOD(46+$C34+(-2),$B$3)+1)*G34+INDEX(Symboles!$H$6:$H$101,MOD(46+$C34+(-1),$B$3)+1)*H34+INDEX(Symboles!$H$6:$H$101,MOD(46+$C34+(0),$B$3)+1)*I34+INDEX(Symboles!$H$6:$H$101,MOD(46+$C34+(1),$B$3)+1)*J34+INDEX(Symboles!$H$6:$H$101,MOD(46+$C34+(2),$B$3)+1)*K34+INDEX(Symboles!$H$6:$H$101,MOD(46+$C34+(3),$B$3)+1)*L34+INDEX(Symboles!$H$6:$H$101,MOD(46+$C34+(4),$B$3)+1)*M34+IF($B$6=0,0,$B$6*NORMSINV(0.000001+0.999998*RAND())))</f>
        <v/>
      </c>
      <c r="FD34" s="30">
        <f>IF(48&gt;$B$3,99,INDEX(Symboles!$H$6:$H$101,MOD(47+$C34+(-4),$B$3)+1)*E34+INDEX(Symboles!$H$6:$H$101,MOD(47+$C34+(-3),$B$3)+1)*F34+INDEX(Symboles!$H$6:$H$101,MOD(47+$C34+(-2),$B$3)+1)*G34+INDEX(Symboles!$H$6:$H$101,MOD(47+$C34+(-1),$B$3)+1)*H34+INDEX(Symboles!$H$6:$H$101,MOD(47+$C34+(0),$B$3)+1)*I34+INDEX(Symboles!$H$6:$H$101,MOD(47+$C34+(1),$B$3)+1)*J34+INDEX(Symboles!$H$6:$H$101,MOD(47+$C34+(2),$B$3)+1)*K34+INDEX(Symboles!$H$6:$H$101,MOD(47+$C34+(3),$B$3)+1)*L34+INDEX(Symboles!$H$6:$H$101,MOD(47+$C34+(4),$B$3)+1)*M34+IF($B$6=0,0,$B$6*NORMSINV(0.000001+0.999998*RAND())))</f>
        <v/>
      </c>
      <c r="FE34" s="30">
        <f>IF(49&gt;$B$3,99,INDEX(Symboles!$H$6:$H$101,MOD(48+$C34+(-4),$B$3)+1)*E34+INDEX(Symboles!$H$6:$H$101,MOD(48+$C34+(-3),$B$3)+1)*F34+INDEX(Symboles!$H$6:$H$101,MOD(48+$C34+(-2),$B$3)+1)*G34+INDEX(Symboles!$H$6:$H$101,MOD(48+$C34+(-1),$B$3)+1)*H34+INDEX(Symboles!$H$6:$H$101,MOD(48+$C34+(0),$B$3)+1)*I34+INDEX(Symboles!$H$6:$H$101,MOD(48+$C34+(1),$B$3)+1)*J34+INDEX(Symboles!$H$6:$H$101,MOD(48+$C34+(2),$B$3)+1)*K34+INDEX(Symboles!$H$6:$H$101,MOD(48+$C34+(3),$B$3)+1)*L34+INDEX(Symboles!$H$6:$H$101,MOD(48+$C34+(4),$B$3)+1)*M34+IF($B$6=0,0,$B$6*NORMSINV(0.000001+0.999998*RAND())))</f>
        <v/>
      </c>
      <c r="FF34" s="30">
        <f>IF(50&gt;$B$3,99,INDEX(Symboles!$H$6:$H$101,MOD(49+$C34+(-4),$B$3)+1)*E34+INDEX(Symboles!$H$6:$H$101,MOD(49+$C34+(-3),$B$3)+1)*F34+INDEX(Symboles!$H$6:$H$101,MOD(49+$C34+(-2),$B$3)+1)*G34+INDEX(Symboles!$H$6:$H$101,MOD(49+$C34+(-1),$B$3)+1)*H34+INDEX(Symboles!$H$6:$H$101,MOD(49+$C34+(0),$B$3)+1)*I34+INDEX(Symboles!$H$6:$H$101,MOD(49+$C34+(1),$B$3)+1)*J34+INDEX(Symboles!$H$6:$H$101,MOD(49+$C34+(2),$B$3)+1)*K34+INDEX(Symboles!$H$6:$H$101,MOD(49+$C34+(3),$B$3)+1)*L34+INDEX(Symboles!$H$6:$H$101,MOD(49+$C34+(4),$B$3)+1)*M34+IF($B$6=0,0,$B$6*NORMSINV(0.000001+0.999998*RAND())))</f>
        <v/>
      </c>
      <c r="FG34" s="30">
        <f>IF(51&gt;$B$3,99,INDEX(Symboles!$H$6:$H$101,MOD(50+$C34+(-4),$B$3)+1)*E34+INDEX(Symboles!$H$6:$H$101,MOD(50+$C34+(-3),$B$3)+1)*F34+INDEX(Symboles!$H$6:$H$101,MOD(50+$C34+(-2),$B$3)+1)*G34+INDEX(Symboles!$H$6:$H$101,MOD(50+$C34+(-1),$B$3)+1)*H34+INDEX(Symboles!$H$6:$H$101,MOD(50+$C34+(0),$B$3)+1)*I34+INDEX(Symboles!$H$6:$H$101,MOD(50+$C34+(1),$B$3)+1)*J34+INDEX(Symboles!$H$6:$H$101,MOD(50+$C34+(2),$B$3)+1)*K34+INDEX(Symboles!$H$6:$H$101,MOD(50+$C34+(3),$B$3)+1)*L34+INDEX(Symboles!$H$6:$H$101,MOD(50+$C34+(4),$B$3)+1)*M34+IF($B$6=0,0,$B$6*NORMSINV(0.000001+0.999998*RAND())))</f>
        <v/>
      </c>
      <c r="FH34" s="30">
        <f>IF(52&gt;$B$3,99,INDEX(Symboles!$H$6:$H$101,MOD(51+$C34+(-4),$B$3)+1)*E34+INDEX(Symboles!$H$6:$H$101,MOD(51+$C34+(-3),$B$3)+1)*F34+INDEX(Symboles!$H$6:$H$101,MOD(51+$C34+(-2),$B$3)+1)*G34+INDEX(Symboles!$H$6:$H$101,MOD(51+$C34+(-1),$B$3)+1)*H34+INDEX(Symboles!$H$6:$H$101,MOD(51+$C34+(0),$B$3)+1)*I34+INDEX(Symboles!$H$6:$H$101,MOD(51+$C34+(1),$B$3)+1)*J34+INDEX(Symboles!$H$6:$H$101,MOD(51+$C34+(2),$B$3)+1)*K34+INDEX(Symboles!$H$6:$H$101,MOD(51+$C34+(3),$B$3)+1)*L34+INDEX(Symboles!$H$6:$H$101,MOD(51+$C34+(4),$B$3)+1)*M34+IF($B$6=0,0,$B$6*NORMSINV(0.000001+0.999998*RAND())))</f>
        <v/>
      </c>
      <c r="FI34" s="30">
        <f>IF(53&gt;$B$3,99,INDEX(Symboles!$H$6:$H$101,MOD(52+$C34+(-4),$B$3)+1)*E34+INDEX(Symboles!$H$6:$H$101,MOD(52+$C34+(-3),$B$3)+1)*F34+INDEX(Symboles!$H$6:$H$101,MOD(52+$C34+(-2),$B$3)+1)*G34+INDEX(Symboles!$H$6:$H$101,MOD(52+$C34+(-1),$B$3)+1)*H34+INDEX(Symboles!$H$6:$H$101,MOD(52+$C34+(0),$B$3)+1)*I34+INDEX(Symboles!$H$6:$H$101,MOD(52+$C34+(1),$B$3)+1)*J34+INDEX(Symboles!$H$6:$H$101,MOD(52+$C34+(2),$B$3)+1)*K34+INDEX(Symboles!$H$6:$H$101,MOD(52+$C34+(3),$B$3)+1)*L34+INDEX(Symboles!$H$6:$H$101,MOD(52+$C34+(4),$B$3)+1)*M34+IF($B$6=0,0,$B$6*NORMSINV(0.000001+0.999998*RAND())))</f>
        <v/>
      </c>
      <c r="FJ34" s="30">
        <f>IF(54&gt;$B$3,99,INDEX(Symboles!$H$6:$H$101,MOD(53+$C34+(-4),$B$3)+1)*E34+INDEX(Symboles!$H$6:$H$101,MOD(53+$C34+(-3),$B$3)+1)*F34+INDEX(Symboles!$H$6:$H$101,MOD(53+$C34+(-2),$B$3)+1)*G34+INDEX(Symboles!$H$6:$H$101,MOD(53+$C34+(-1),$B$3)+1)*H34+INDEX(Symboles!$H$6:$H$101,MOD(53+$C34+(0),$B$3)+1)*I34+INDEX(Symboles!$H$6:$H$101,MOD(53+$C34+(1),$B$3)+1)*J34+INDEX(Symboles!$H$6:$H$101,MOD(53+$C34+(2),$B$3)+1)*K34+INDEX(Symboles!$H$6:$H$101,MOD(53+$C34+(3),$B$3)+1)*L34+INDEX(Symboles!$H$6:$H$101,MOD(53+$C34+(4),$B$3)+1)*M34+IF($B$6=0,0,$B$6*NORMSINV(0.000001+0.999998*RAND())))</f>
        <v/>
      </c>
      <c r="FK34" s="30">
        <f>IF(55&gt;$B$3,99,INDEX(Symboles!$H$6:$H$101,MOD(54+$C34+(-4),$B$3)+1)*E34+INDEX(Symboles!$H$6:$H$101,MOD(54+$C34+(-3),$B$3)+1)*F34+INDEX(Symboles!$H$6:$H$101,MOD(54+$C34+(-2),$B$3)+1)*G34+INDEX(Symboles!$H$6:$H$101,MOD(54+$C34+(-1),$B$3)+1)*H34+INDEX(Symboles!$H$6:$H$101,MOD(54+$C34+(0),$B$3)+1)*I34+INDEX(Symboles!$H$6:$H$101,MOD(54+$C34+(1),$B$3)+1)*J34+INDEX(Symboles!$H$6:$H$101,MOD(54+$C34+(2),$B$3)+1)*K34+INDEX(Symboles!$H$6:$H$101,MOD(54+$C34+(3),$B$3)+1)*L34+INDEX(Symboles!$H$6:$H$101,MOD(54+$C34+(4),$B$3)+1)*M34+IF($B$6=0,0,$B$6*NORMSINV(0.000001+0.999998*RAND())))</f>
        <v/>
      </c>
      <c r="FL34" s="30">
        <f>IF(56&gt;$B$3,99,INDEX(Symboles!$H$6:$H$101,MOD(55+$C34+(-4),$B$3)+1)*E34+INDEX(Symboles!$H$6:$H$101,MOD(55+$C34+(-3),$B$3)+1)*F34+INDEX(Symboles!$H$6:$H$101,MOD(55+$C34+(-2),$B$3)+1)*G34+INDEX(Symboles!$H$6:$H$101,MOD(55+$C34+(-1),$B$3)+1)*H34+INDEX(Symboles!$H$6:$H$101,MOD(55+$C34+(0),$B$3)+1)*I34+INDEX(Symboles!$H$6:$H$101,MOD(55+$C34+(1),$B$3)+1)*J34+INDEX(Symboles!$H$6:$H$101,MOD(55+$C34+(2),$B$3)+1)*K34+INDEX(Symboles!$H$6:$H$101,MOD(55+$C34+(3),$B$3)+1)*L34+INDEX(Symboles!$H$6:$H$101,MOD(55+$C34+(4),$B$3)+1)*M34+IF($B$6=0,0,$B$6*NORMSINV(0.000001+0.999998*RAND())))</f>
        <v/>
      </c>
      <c r="FM34" s="30">
        <f>IF(57&gt;$B$3,99,INDEX(Symboles!$H$6:$H$101,MOD(56+$C34+(-4),$B$3)+1)*E34+INDEX(Symboles!$H$6:$H$101,MOD(56+$C34+(-3),$B$3)+1)*F34+INDEX(Symboles!$H$6:$H$101,MOD(56+$C34+(-2),$B$3)+1)*G34+INDEX(Symboles!$H$6:$H$101,MOD(56+$C34+(-1),$B$3)+1)*H34+INDEX(Symboles!$H$6:$H$101,MOD(56+$C34+(0),$B$3)+1)*I34+INDEX(Symboles!$H$6:$H$101,MOD(56+$C34+(1),$B$3)+1)*J34+INDEX(Symboles!$H$6:$H$101,MOD(56+$C34+(2),$B$3)+1)*K34+INDEX(Symboles!$H$6:$H$101,MOD(56+$C34+(3),$B$3)+1)*L34+INDEX(Symboles!$H$6:$H$101,MOD(56+$C34+(4),$B$3)+1)*M34+IF($B$6=0,0,$B$6*NORMSINV(0.000001+0.999998*RAND())))</f>
        <v/>
      </c>
      <c r="FN34" s="30">
        <f>IF(58&gt;$B$3,99,INDEX(Symboles!$H$6:$H$101,MOD(57+$C34+(-4),$B$3)+1)*E34+INDEX(Symboles!$H$6:$H$101,MOD(57+$C34+(-3),$B$3)+1)*F34+INDEX(Symboles!$H$6:$H$101,MOD(57+$C34+(-2),$B$3)+1)*G34+INDEX(Symboles!$H$6:$H$101,MOD(57+$C34+(-1),$B$3)+1)*H34+INDEX(Symboles!$H$6:$H$101,MOD(57+$C34+(0),$B$3)+1)*I34+INDEX(Symboles!$H$6:$H$101,MOD(57+$C34+(1),$B$3)+1)*J34+INDEX(Symboles!$H$6:$H$101,MOD(57+$C34+(2),$B$3)+1)*K34+INDEX(Symboles!$H$6:$H$101,MOD(57+$C34+(3),$B$3)+1)*L34+INDEX(Symboles!$H$6:$H$101,MOD(57+$C34+(4),$B$3)+1)*M34+IF($B$6=0,0,$B$6*NORMSINV(0.000001+0.999998*RAND())))</f>
        <v/>
      </c>
      <c r="FO34" s="30">
        <f>IF(59&gt;$B$3,99,INDEX(Symboles!$H$6:$H$101,MOD(58+$C34+(-4),$B$3)+1)*E34+INDEX(Symboles!$H$6:$H$101,MOD(58+$C34+(-3),$B$3)+1)*F34+INDEX(Symboles!$H$6:$H$101,MOD(58+$C34+(-2),$B$3)+1)*G34+INDEX(Symboles!$H$6:$H$101,MOD(58+$C34+(-1),$B$3)+1)*H34+INDEX(Symboles!$H$6:$H$101,MOD(58+$C34+(0),$B$3)+1)*I34+INDEX(Symboles!$H$6:$H$101,MOD(58+$C34+(1),$B$3)+1)*J34+INDEX(Symboles!$H$6:$H$101,MOD(58+$C34+(2),$B$3)+1)*K34+INDEX(Symboles!$H$6:$H$101,MOD(58+$C34+(3),$B$3)+1)*L34+INDEX(Symboles!$H$6:$H$101,MOD(58+$C34+(4),$B$3)+1)*M34+IF($B$6=0,0,$B$6*NORMSINV(0.000001+0.999998*RAND())))</f>
        <v/>
      </c>
      <c r="FP34" s="30">
        <f>IF(60&gt;$B$3,99,INDEX(Symboles!$H$6:$H$101,MOD(59+$C34+(-4),$B$3)+1)*E34+INDEX(Symboles!$H$6:$H$101,MOD(59+$C34+(-3),$B$3)+1)*F34+INDEX(Symboles!$H$6:$H$101,MOD(59+$C34+(-2),$B$3)+1)*G34+INDEX(Symboles!$H$6:$H$101,MOD(59+$C34+(-1),$B$3)+1)*H34+INDEX(Symboles!$H$6:$H$101,MOD(59+$C34+(0),$B$3)+1)*I34+INDEX(Symboles!$H$6:$H$101,MOD(59+$C34+(1),$B$3)+1)*J34+INDEX(Symboles!$H$6:$H$101,MOD(59+$C34+(2),$B$3)+1)*K34+INDEX(Symboles!$H$6:$H$101,MOD(59+$C34+(3),$B$3)+1)*L34+INDEX(Symboles!$H$6:$H$101,MOD(59+$C34+(4),$B$3)+1)*M34+IF($B$6=0,0,$B$6*NORMSINV(0.000001+0.999998*RAND())))</f>
        <v/>
      </c>
      <c r="FQ34" s="30">
        <f>IF(61&gt;$B$3,99,INDEX(Symboles!$H$6:$H$101,MOD(60+$C34+(-4),$B$3)+1)*E34+INDEX(Symboles!$H$6:$H$101,MOD(60+$C34+(-3),$B$3)+1)*F34+INDEX(Symboles!$H$6:$H$101,MOD(60+$C34+(-2),$B$3)+1)*G34+INDEX(Symboles!$H$6:$H$101,MOD(60+$C34+(-1),$B$3)+1)*H34+INDEX(Symboles!$H$6:$H$101,MOD(60+$C34+(0),$B$3)+1)*I34+INDEX(Symboles!$H$6:$H$101,MOD(60+$C34+(1),$B$3)+1)*J34+INDEX(Symboles!$H$6:$H$101,MOD(60+$C34+(2),$B$3)+1)*K34+INDEX(Symboles!$H$6:$H$101,MOD(60+$C34+(3),$B$3)+1)*L34+INDEX(Symboles!$H$6:$H$101,MOD(60+$C34+(4),$B$3)+1)*M34+IF($B$6=0,0,$B$6*NORMSINV(0.000001+0.999998*RAND())))</f>
        <v/>
      </c>
      <c r="FR34" s="30">
        <f>IF(62&gt;$B$3,99,INDEX(Symboles!$H$6:$H$101,MOD(61+$C34+(-4),$B$3)+1)*E34+INDEX(Symboles!$H$6:$H$101,MOD(61+$C34+(-3),$B$3)+1)*F34+INDEX(Symboles!$H$6:$H$101,MOD(61+$C34+(-2),$B$3)+1)*G34+INDEX(Symboles!$H$6:$H$101,MOD(61+$C34+(-1),$B$3)+1)*H34+INDEX(Symboles!$H$6:$H$101,MOD(61+$C34+(0),$B$3)+1)*I34+INDEX(Symboles!$H$6:$H$101,MOD(61+$C34+(1),$B$3)+1)*J34+INDEX(Symboles!$H$6:$H$101,MOD(61+$C34+(2),$B$3)+1)*K34+INDEX(Symboles!$H$6:$H$101,MOD(61+$C34+(3),$B$3)+1)*L34+INDEX(Symboles!$H$6:$H$101,MOD(61+$C34+(4),$B$3)+1)*M34+IF($B$6=0,0,$B$6*NORMSINV(0.000001+0.999998*RAND())))</f>
        <v/>
      </c>
      <c r="FS34" s="30">
        <f>IF(63&gt;$B$3,99,INDEX(Symboles!$H$6:$H$101,MOD(62+$C34+(-4),$B$3)+1)*E34+INDEX(Symboles!$H$6:$H$101,MOD(62+$C34+(-3),$B$3)+1)*F34+INDEX(Symboles!$H$6:$H$101,MOD(62+$C34+(-2),$B$3)+1)*G34+INDEX(Symboles!$H$6:$H$101,MOD(62+$C34+(-1),$B$3)+1)*H34+INDEX(Symboles!$H$6:$H$101,MOD(62+$C34+(0),$B$3)+1)*I34+INDEX(Symboles!$H$6:$H$101,MOD(62+$C34+(1),$B$3)+1)*J34+INDEX(Symboles!$H$6:$H$101,MOD(62+$C34+(2),$B$3)+1)*K34+INDEX(Symboles!$H$6:$H$101,MOD(62+$C34+(3),$B$3)+1)*L34+INDEX(Symboles!$H$6:$H$101,MOD(62+$C34+(4),$B$3)+1)*M34+IF($B$6=0,0,$B$6*NORMSINV(0.000001+0.999998*RAND())))</f>
        <v/>
      </c>
      <c r="FT34" s="30">
        <f>IF(64&gt;$B$3,99,INDEX(Symboles!$H$6:$H$101,MOD(63+$C34+(-4),$B$3)+1)*E34+INDEX(Symboles!$H$6:$H$101,MOD(63+$C34+(-3),$B$3)+1)*F34+INDEX(Symboles!$H$6:$H$101,MOD(63+$C34+(-2),$B$3)+1)*G34+INDEX(Symboles!$H$6:$H$101,MOD(63+$C34+(-1),$B$3)+1)*H34+INDEX(Symboles!$H$6:$H$101,MOD(63+$C34+(0),$B$3)+1)*I34+INDEX(Symboles!$H$6:$H$101,MOD(63+$C34+(1),$B$3)+1)*J34+INDEX(Symboles!$H$6:$H$101,MOD(63+$C34+(2),$B$3)+1)*K34+INDEX(Symboles!$H$6:$H$101,MOD(63+$C34+(3),$B$3)+1)*L34+INDEX(Symboles!$H$6:$H$101,MOD(63+$C34+(4),$B$3)+1)*M34+IF($B$6=0,0,$B$6*NORMSINV(0.000001+0.999998*RAND())))</f>
        <v/>
      </c>
      <c r="FU34" s="30">
        <f>IF(65&gt;$B$3,99,INDEX(Symboles!$H$6:$H$101,MOD(64+$C34+(-4),$B$3)+1)*E34+INDEX(Symboles!$H$6:$H$101,MOD(64+$C34+(-3),$B$3)+1)*F34+INDEX(Symboles!$H$6:$H$101,MOD(64+$C34+(-2),$B$3)+1)*G34+INDEX(Symboles!$H$6:$H$101,MOD(64+$C34+(-1),$B$3)+1)*H34+INDEX(Symboles!$H$6:$H$101,MOD(64+$C34+(0),$B$3)+1)*I34+INDEX(Symboles!$H$6:$H$101,MOD(64+$C34+(1),$B$3)+1)*J34+INDEX(Symboles!$H$6:$H$101,MOD(64+$C34+(2),$B$3)+1)*K34+INDEX(Symboles!$H$6:$H$101,MOD(64+$C34+(3),$B$3)+1)*L34+INDEX(Symboles!$H$6:$H$101,MOD(64+$C34+(4),$B$3)+1)*M34+IF($B$6=0,0,$B$6*NORMSINV(0.000001+0.999998*RAND())))</f>
        <v/>
      </c>
      <c r="FV34" s="30">
        <f>IF(66&gt;$B$3,99,INDEX(Symboles!$H$6:$H$101,MOD(65+$C34+(-4),$B$3)+1)*E34+INDEX(Symboles!$H$6:$H$101,MOD(65+$C34+(-3),$B$3)+1)*F34+INDEX(Symboles!$H$6:$H$101,MOD(65+$C34+(-2),$B$3)+1)*G34+INDEX(Symboles!$H$6:$H$101,MOD(65+$C34+(-1),$B$3)+1)*H34+INDEX(Symboles!$H$6:$H$101,MOD(65+$C34+(0),$B$3)+1)*I34+INDEX(Symboles!$H$6:$H$101,MOD(65+$C34+(1),$B$3)+1)*J34+INDEX(Symboles!$H$6:$H$101,MOD(65+$C34+(2),$B$3)+1)*K34+INDEX(Symboles!$H$6:$H$101,MOD(65+$C34+(3),$B$3)+1)*L34+INDEX(Symboles!$H$6:$H$101,MOD(65+$C34+(4),$B$3)+1)*M34+IF($B$6=0,0,$B$6*NORMSINV(0.000001+0.999998*RAND())))</f>
        <v/>
      </c>
      <c r="FW34" s="30">
        <f>IF(67&gt;$B$3,99,INDEX(Symboles!$H$6:$H$101,MOD(66+$C34+(-4),$B$3)+1)*E34+INDEX(Symboles!$H$6:$H$101,MOD(66+$C34+(-3),$B$3)+1)*F34+INDEX(Symboles!$H$6:$H$101,MOD(66+$C34+(-2),$B$3)+1)*G34+INDEX(Symboles!$H$6:$H$101,MOD(66+$C34+(-1),$B$3)+1)*H34+INDEX(Symboles!$H$6:$H$101,MOD(66+$C34+(0),$B$3)+1)*I34+INDEX(Symboles!$H$6:$H$101,MOD(66+$C34+(1),$B$3)+1)*J34+INDEX(Symboles!$H$6:$H$101,MOD(66+$C34+(2),$B$3)+1)*K34+INDEX(Symboles!$H$6:$H$101,MOD(66+$C34+(3),$B$3)+1)*L34+INDEX(Symboles!$H$6:$H$101,MOD(66+$C34+(4),$B$3)+1)*M34+IF($B$6=0,0,$B$6*NORMSINV(0.000001+0.999998*RAND())))</f>
        <v/>
      </c>
      <c r="FX34" s="30">
        <f>IF(68&gt;$B$3,99,INDEX(Symboles!$H$6:$H$101,MOD(67+$C34+(-4),$B$3)+1)*E34+INDEX(Symboles!$H$6:$H$101,MOD(67+$C34+(-3),$B$3)+1)*F34+INDEX(Symboles!$H$6:$H$101,MOD(67+$C34+(-2),$B$3)+1)*G34+INDEX(Symboles!$H$6:$H$101,MOD(67+$C34+(-1),$B$3)+1)*H34+INDEX(Symboles!$H$6:$H$101,MOD(67+$C34+(0),$B$3)+1)*I34+INDEX(Symboles!$H$6:$H$101,MOD(67+$C34+(1),$B$3)+1)*J34+INDEX(Symboles!$H$6:$H$101,MOD(67+$C34+(2),$B$3)+1)*K34+INDEX(Symboles!$H$6:$H$101,MOD(67+$C34+(3),$B$3)+1)*L34+INDEX(Symboles!$H$6:$H$101,MOD(67+$C34+(4),$B$3)+1)*M34+IF($B$6=0,0,$B$6*NORMSINV(0.000001+0.999998*RAND())))</f>
        <v/>
      </c>
      <c r="FY34" s="30">
        <f>IF(69&gt;$B$3,99,INDEX(Symboles!$H$6:$H$101,MOD(68+$C34+(-4),$B$3)+1)*E34+INDEX(Symboles!$H$6:$H$101,MOD(68+$C34+(-3),$B$3)+1)*F34+INDEX(Symboles!$H$6:$H$101,MOD(68+$C34+(-2),$B$3)+1)*G34+INDEX(Symboles!$H$6:$H$101,MOD(68+$C34+(-1),$B$3)+1)*H34+INDEX(Symboles!$H$6:$H$101,MOD(68+$C34+(0),$B$3)+1)*I34+INDEX(Symboles!$H$6:$H$101,MOD(68+$C34+(1),$B$3)+1)*J34+INDEX(Symboles!$H$6:$H$101,MOD(68+$C34+(2),$B$3)+1)*K34+INDEX(Symboles!$H$6:$H$101,MOD(68+$C34+(3),$B$3)+1)*L34+INDEX(Symboles!$H$6:$H$101,MOD(68+$C34+(4),$B$3)+1)*M34+IF($B$6=0,0,$B$6*NORMSINV(0.000001+0.999998*RAND())))</f>
        <v/>
      </c>
      <c r="FZ34" s="30">
        <f>IF(70&gt;$B$3,99,INDEX(Symboles!$H$6:$H$101,MOD(69+$C34+(-4),$B$3)+1)*E34+INDEX(Symboles!$H$6:$H$101,MOD(69+$C34+(-3),$B$3)+1)*F34+INDEX(Symboles!$H$6:$H$101,MOD(69+$C34+(-2),$B$3)+1)*G34+INDEX(Symboles!$H$6:$H$101,MOD(69+$C34+(-1),$B$3)+1)*H34+INDEX(Symboles!$H$6:$H$101,MOD(69+$C34+(0),$B$3)+1)*I34+INDEX(Symboles!$H$6:$H$101,MOD(69+$C34+(1),$B$3)+1)*J34+INDEX(Symboles!$H$6:$H$101,MOD(69+$C34+(2),$B$3)+1)*K34+INDEX(Symboles!$H$6:$H$101,MOD(69+$C34+(3),$B$3)+1)*L34+INDEX(Symboles!$H$6:$H$101,MOD(69+$C34+(4),$B$3)+1)*M34+IF($B$6=0,0,$B$6*NORMSINV(0.000001+0.999998*RAND())))</f>
        <v/>
      </c>
      <c r="GA34" s="30">
        <f>IF(71&gt;$B$3,99,INDEX(Symboles!$H$6:$H$101,MOD(70+$C34+(-4),$B$3)+1)*E34+INDEX(Symboles!$H$6:$H$101,MOD(70+$C34+(-3),$B$3)+1)*F34+INDEX(Symboles!$H$6:$H$101,MOD(70+$C34+(-2),$B$3)+1)*G34+INDEX(Symboles!$H$6:$H$101,MOD(70+$C34+(-1),$B$3)+1)*H34+INDEX(Symboles!$H$6:$H$101,MOD(70+$C34+(0),$B$3)+1)*I34+INDEX(Symboles!$H$6:$H$101,MOD(70+$C34+(1),$B$3)+1)*J34+INDEX(Symboles!$H$6:$H$101,MOD(70+$C34+(2),$B$3)+1)*K34+INDEX(Symboles!$H$6:$H$101,MOD(70+$C34+(3),$B$3)+1)*L34+INDEX(Symboles!$H$6:$H$101,MOD(70+$C34+(4),$B$3)+1)*M34+IF($B$6=0,0,$B$6*NORMSINV(0.000001+0.999998*RAND())))</f>
        <v/>
      </c>
      <c r="GB34" s="30">
        <f>IF(72&gt;$B$3,99,INDEX(Symboles!$H$6:$H$101,MOD(71+$C34+(-4),$B$3)+1)*E34+INDEX(Symboles!$H$6:$H$101,MOD(71+$C34+(-3),$B$3)+1)*F34+INDEX(Symboles!$H$6:$H$101,MOD(71+$C34+(-2),$B$3)+1)*G34+INDEX(Symboles!$H$6:$H$101,MOD(71+$C34+(-1),$B$3)+1)*H34+INDEX(Symboles!$H$6:$H$101,MOD(71+$C34+(0),$B$3)+1)*I34+INDEX(Symboles!$H$6:$H$101,MOD(71+$C34+(1),$B$3)+1)*J34+INDEX(Symboles!$H$6:$H$101,MOD(71+$C34+(2),$B$3)+1)*K34+INDEX(Symboles!$H$6:$H$101,MOD(71+$C34+(3),$B$3)+1)*L34+INDEX(Symboles!$H$6:$H$101,MOD(71+$C34+(4),$B$3)+1)*M34+IF($B$6=0,0,$B$6*NORMSINV(0.000001+0.999998*RAND())))</f>
        <v/>
      </c>
      <c r="GC34" s="30">
        <f>IF(73&gt;$B$3,99,INDEX(Symboles!$H$6:$H$101,MOD(72+$C34+(-4),$B$3)+1)*E34+INDEX(Symboles!$H$6:$H$101,MOD(72+$C34+(-3),$B$3)+1)*F34+INDEX(Symboles!$H$6:$H$101,MOD(72+$C34+(-2),$B$3)+1)*G34+INDEX(Symboles!$H$6:$H$101,MOD(72+$C34+(-1),$B$3)+1)*H34+INDEX(Symboles!$H$6:$H$101,MOD(72+$C34+(0),$B$3)+1)*I34+INDEX(Symboles!$H$6:$H$101,MOD(72+$C34+(1),$B$3)+1)*J34+INDEX(Symboles!$H$6:$H$101,MOD(72+$C34+(2),$B$3)+1)*K34+INDEX(Symboles!$H$6:$H$101,MOD(72+$C34+(3),$B$3)+1)*L34+INDEX(Symboles!$H$6:$H$101,MOD(72+$C34+(4),$B$3)+1)*M34+IF($B$6=0,0,$B$6*NORMSINV(0.000001+0.999998*RAND())))</f>
        <v/>
      </c>
      <c r="GD34" s="30">
        <f>IF(74&gt;$B$3,99,INDEX(Symboles!$H$6:$H$101,MOD(73+$C34+(-4),$B$3)+1)*E34+INDEX(Symboles!$H$6:$H$101,MOD(73+$C34+(-3),$B$3)+1)*F34+INDEX(Symboles!$H$6:$H$101,MOD(73+$C34+(-2),$B$3)+1)*G34+INDEX(Symboles!$H$6:$H$101,MOD(73+$C34+(-1),$B$3)+1)*H34+INDEX(Symboles!$H$6:$H$101,MOD(73+$C34+(0),$B$3)+1)*I34+INDEX(Symboles!$H$6:$H$101,MOD(73+$C34+(1),$B$3)+1)*J34+INDEX(Symboles!$H$6:$H$101,MOD(73+$C34+(2),$B$3)+1)*K34+INDEX(Symboles!$H$6:$H$101,MOD(73+$C34+(3),$B$3)+1)*L34+INDEX(Symboles!$H$6:$H$101,MOD(73+$C34+(4),$B$3)+1)*M34+IF($B$6=0,0,$B$6*NORMSINV(0.000001+0.999998*RAND())))</f>
        <v/>
      </c>
      <c r="GE34" s="30">
        <f>IF(75&gt;$B$3,99,INDEX(Symboles!$H$6:$H$101,MOD(74+$C34+(-4),$B$3)+1)*E34+INDEX(Symboles!$H$6:$H$101,MOD(74+$C34+(-3),$B$3)+1)*F34+INDEX(Symboles!$H$6:$H$101,MOD(74+$C34+(-2),$B$3)+1)*G34+INDEX(Symboles!$H$6:$H$101,MOD(74+$C34+(-1),$B$3)+1)*H34+INDEX(Symboles!$H$6:$H$101,MOD(74+$C34+(0),$B$3)+1)*I34+INDEX(Symboles!$H$6:$H$101,MOD(74+$C34+(1),$B$3)+1)*J34+INDEX(Symboles!$H$6:$H$101,MOD(74+$C34+(2),$B$3)+1)*K34+INDEX(Symboles!$H$6:$H$101,MOD(74+$C34+(3),$B$3)+1)*L34+INDEX(Symboles!$H$6:$H$101,MOD(74+$C34+(4),$B$3)+1)*M34+IF($B$6=0,0,$B$6*NORMSINV(0.000001+0.999998*RAND())))</f>
        <v/>
      </c>
      <c r="GF34" s="30">
        <f>IF(76&gt;$B$3,99,INDEX(Symboles!$H$6:$H$101,MOD(75+$C34+(-4),$B$3)+1)*E34+INDEX(Symboles!$H$6:$H$101,MOD(75+$C34+(-3),$B$3)+1)*F34+INDEX(Symboles!$H$6:$H$101,MOD(75+$C34+(-2),$B$3)+1)*G34+INDEX(Symboles!$H$6:$H$101,MOD(75+$C34+(-1),$B$3)+1)*H34+INDEX(Symboles!$H$6:$H$101,MOD(75+$C34+(0),$B$3)+1)*I34+INDEX(Symboles!$H$6:$H$101,MOD(75+$C34+(1),$B$3)+1)*J34+INDEX(Symboles!$H$6:$H$101,MOD(75+$C34+(2),$B$3)+1)*K34+INDEX(Symboles!$H$6:$H$101,MOD(75+$C34+(3),$B$3)+1)*L34+INDEX(Symboles!$H$6:$H$101,MOD(75+$C34+(4),$B$3)+1)*M34+IF($B$6=0,0,$B$6*NORMSINV(0.000001+0.999998*RAND())))</f>
        <v/>
      </c>
      <c r="GG34" s="30">
        <f>IF(77&gt;$B$3,99,INDEX(Symboles!$H$6:$H$101,MOD(76+$C34+(-4),$B$3)+1)*E34+INDEX(Symboles!$H$6:$H$101,MOD(76+$C34+(-3),$B$3)+1)*F34+INDEX(Symboles!$H$6:$H$101,MOD(76+$C34+(-2),$B$3)+1)*G34+INDEX(Symboles!$H$6:$H$101,MOD(76+$C34+(-1),$B$3)+1)*H34+INDEX(Symboles!$H$6:$H$101,MOD(76+$C34+(0),$B$3)+1)*I34+INDEX(Symboles!$H$6:$H$101,MOD(76+$C34+(1),$B$3)+1)*J34+INDEX(Symboles!$H$6:$H$101,MOD(76+$C34+(2),$B$3)+1)*K34+INDEX(Symboles!$H$6:$H$101,MOD(76+$C34+(3),$B$3)+1)*L34+INDEX(Symboles!$H$6:$H$101,MOD(76+$C34+(4),$B$3)+1)*M34+IF($B$6=0,0,$B$6*NORMSINV(0.000001+0.999998*RAND())))</f>
        <v/>
      </c>
      <c r="GH34" s="30">
        <f>IF(78&gt;$B$3,99,INDEX(Symboles!$H$6:$H$101,MOD(77+$C34+(-4),$B$3)+1)*E34+INDEX(Symboles!$H$6:$H$101,MOD(77+$C34+(-3),$B$3)+1)*F34+INDEX(Symboles!$H$6:$H$101,MOD(77+$C34+(-2),$B$3)+1)*G34+INDEX(Symboles!$H$6:$H$101,MOD(77+$C34+(-1),$B$3)+1)*H34+INDEX(Symboles!$H$6:$H$101,MOD(77+$C34+(0),$B$3)+1)*I34+INDEX(Symboles!$H$6:$H$101,MOD(77+$C34+(1),$B$3)+1)*J34+INDEX(Symboles!$H$6:$H$101,MOD(77+$C34+(2),$B$3)+1)*K34+INDEX(Symboles!$H$6:$H$101,MOD(77+$C34+(3),$B$3)+1)*L34+INDEX(Symboles!$H$6:$H$101,MOD(77+$C34+(4),$B$3)+1)*M34+IF($B$6=0,0,$B$6*NORMSINV(0.000001+0.999998*RAND())))</f>
        <v/>
      </c>
      <c r="GI34" s="30">
        <f>IF(79&gt;$B$3,99,INDEX(Symboles!$H$6:$H$101,MOD(78+$C34+(-4),$B$3)+1)*E34+INDEX(Symboles!$H$6:$H$101,MOD(78+$C34+(-3),$B$3)+1)*F34+INDEX(Symboles!$H$6:$H$101,MOD(78+$C34+(-2),$B$3)+1)*G34+INDEX(Symboles!$H$6:$H$101,MOD(78+$C34+(-1),$B$3)+1)*H34+INDEX(Symboles!$H$6:$H$101,MOD(78+$C34+(0),$B$3)+1)*I34+INDEX(Symboles!$H$6:$H$101,MOD(78+$C34+(1),$B$3)+1)*J34+INDEX(Symboles!$H$6:$H$101,MOD(78+$C34+(2),$B$3)+1)*K34+INDEX(Symboles!$H$6:$H$101,MOD(78+$C34+(3),$B$3)+1)*L34+INDEX(Symboles!$H$6:$H$101,MOD(78+$C34+(4),$B$3)+1)*M34+IF($B$6=0,0,$B$6*NORMSINV(0.000001+0.999998*RAND())))</f>
        <v/>
      </c>
      <c r="GJ34" s="30">
        <f>IF(80&gt;$B$3,99,INDEX(Symboles!$H$6:$H$101,MOD(79+$C34+(-4),$B$3)+1)*E34+INDEX(Symboles!$H$6:$H$101,MOD(79+$C34+(-3),$B$3)+1)*F34+INDEX(Symboles!$H$6:$H$101,MOD(79+$C34+(-2),$B$3)+1)*G34+INDEX(Symboles!$H$6:$H$101,MOD(79+$C34+(-1),$B$3)+1)*H34+INDEX(Symboles!$H$6:$H$101,MOD(79+$C34+(0),$B$3)+1)*I34+INDEX(Symboles!$H$6:$H$101,MOD(79+$C34+(1),$B$3)+1)*J34+INDEX(Symboles!$H$6:$H$101,MOD(79+$C34+(2),$B$3)+1)*K34+INDEX(Symboles!$H$6:$H$101,MOD(79+$C34+(3),$B$3)+1)*L34+INDEX(Symboles!$H$6:$H$101,MOD(79+$C34+(4),$B$3)+1)*M34+IF($B$6=0,0,$B$6*NORMSINV(0.000001+0.999998*RAND())))</f>
        <v/>
      </c>
      <c r="GK34" s="30">
        <f>IF(81&gt;$B$3,99,INDEX(Symboles!$H$6:$H$101,MOD(80+$C34+(-4),$B$3)+1)*E34+INDEX(Symboles!$H$6:$H$101,MOD(80+$C34+(-3),$B$3)+1)*F34+INDEX(Symboles!$H$6:$H$101,MOD(80+$C34+(-2),$B$3)+1)*G34+INDEX(Symboles!$H$6:$H$101,MOD(80+$C34+(-1),$B$3)+1)*H34+INDEX(Symboles!$H$6:$H$101,MOD(80+$C34+(0),$B$3)+1)*I34+INDEX(Symboles!$H$6:$H$101,MOD(80+$C34+(1),$B$3)+1)*J34+INDEX(Symboles!$H$6:$H$101,MOD(80+$C34+(2),$B$3)+1)*K34+INDEX(Symboles!$H$6:$H$101,MOD(80+$C34+(3),$B$3)+1)*L34+INDEX(Symboles!$H$6:$H$101,MOD(80+$C34+(4),$B$3)+1)*M34+IF($B$6=0,0,$B$6*NORMSINV(0.000001+0.999998*RAND())))</f>
        <v/>
      </c>
      <c r="GL34" s="30">
        <f>IF(82&gt;$B$3,99,INDEX(Symboles!$H$6:$H$101,MOD(81+$C34+(-4),$B$3)+1)*E34+INDEX(Symboles!$H$6:$H$101,MOD(81+$C34+(-3),$B$3)+1)*F34+INDEX(Symboles!$H$6:$H$101,MOD(81+$C34+(-2),$B$3)+1)*G34+INDEX(Symboles!$H$6:$H$101,MOD(81+$C34+(-1),$B$3)+1)*H34+INDEX(Symboles!$H$6:$H$101,MOD(81+$C34+(0),$B$3)+1)*I34+INDEX(Symboles!$H$6:$H$101,MOD(81+$C34+(1),$B$3)+1)*J34+INDEX(Symboles!$H$6:$H$101,MOD(81+$C34+(2),$B$3)+1)*K34+INDEX(Symboles!$H$6:$H$101,MOD(81+$C34+(3),$B$3)+1)*L34+INDEX(Symboles!$H$6:$H$101,MOD(81+$C34+(4),$B$3)+1)*M34+IF($B$6=0,0,$B$6*NORMSINV(0.000001+0.999998*RAND())))</f>
        <v/>
      </c>
      <c r="GM34" s="30">
        <f>IF(83&gt;$B$3,99,INDEX(Symboles!$H$6:$H$101,MOD(82+$C34+(-4),$B$3)+1)*E34+INDEX(Symboles!$H$6:$H$101,MOD(82+$C34+(-3),$B$3)+1)*F34+INDEX(Symboles!$H$6:$H$101,MOD(82+$C34+(-2),$B$3)+1)*G34+INDEX(Symboles!$H$6:$H$101,MOD(82+$C34+(-1),$B$3)+1)*H34+INDEX(Symboles!$H$6:$H$101,MOD(82+$C34+(0),$B$3)+1)*I34+INDEX(Symboles!$H$6:$H$101,MOD(82+$C34+(1),$B$3)+1)*J34+INDEX(Symboles!$H$6:$H$101,MOD(82+$C34+(2),$B$3)+1)*K34+INDEX(Symboles!$H$6:$H$101,MOD(82+$C34+(3),$B$3)+1)*L34+INDEX(Symboles!$H$6:$H$101,MOD(82+$C34+(4),$B$3)+1)*M34+IF($B$6=0,0,$B$6*NORMSINV(0.000001+0.999998*RAND())))</f>
        <v/>
      </c>
      <c r="GN34" s="30">
        <f>IF(84&gt;$B$3,99,INDEX(Symboles!$H$6:$H$101,MOD(83+$C34+(-4),$B$3)+1)*E34+INDEX(Symboles!$H$6:$H$101,MOD(83+$C34+(-3),$B$3)+1)*F34+INDEX(Symboles!$H$6:$H$101,MOD(83+$C34+(-2),$B$3)+1)*G34+INDEX(Symboles!$H$6:$H$101,MOD(83+$C34+(-1),$B$3)+1)*H34+INDEX(Symboles!$H$6:$H$101,MOD(83+$C34+(0),$B$3)+1)*I34+INDEX(Symboles!$H$6:$H$101,MOD(83+$C34+(1),$B$3)+1)*J34+INDEX(Symboles!$H$6:$H$101,MOD(83+$C34+(2),$B$3)+1)*K34+INDEX(Symboles!$H$6:$H$101,MOD(83+$C34+(3),$B$3)+1)*L34+INDEX(Symboles!$H$6:$H$101,MOD(83+$C34+(4),$B$3)+1)*M34+IF($B$6=0,0,$B$6*NORMSINV(0.000001+0.999998*RAND())))</f>
        <v/>
      </c>
      <c r="GO34" s="30">
        <f>IF(85&gt;$B$3,99,INDEX(Symboles!$H$6:$H$101,MOD(84+$C34+(-4),$B$3)+1)*E34+INDEX(Symboles!$H$6:$H$101,MOD(84+$C34+(-3),$B$3)+1)*F34+INDEX(Symboles!$H$6:$H$101,MOD(84+$C34+(-2),$B$3)+1)*G34+INDEX(Symboles!$H$6:$H$101,MOD(84+$C34+(-1),$B$3)+1)*H34+INDEX(Symboles!$H$6:$H$101,MOD(84+$C34+(0),$B$3)+1)*I34+INDEX(Symboles!$H$6:$H$101,MOD(84+$C34+(1),$B$3)+1)*J34+INDEX(Symboles!$H$6:$H$101,MOD(84+$C34+(2),$B$3)+1)*K34+INDEX(Symboles!$H$6:$H$101,MOD(84+$C34+(3),$B$3)+1)*L34+INDEX(Symboles!$H$6:$H$101,MOD(84+$C34+(4),$B$3)+1)*M34+IF($B$6=0,0,$B$6*NORMSINV(0.000001+0.999998*RAND())))</f>
        <v/>
      </c>
      <c r="GP34" s="30">
        <f>IF(86&gt;$B$3,99,INDEX(Symboles!$H$6:$H$101,MOD(85+$C34+(-4),$B$3)+1)*E34+INDEX(Symboles!$H$6:$H$101,MOD(85+$C34+(-3),$B$3)+1)*F34+INDEX(Symboles!$H$6:$H$101,MOD(85+$C34+(-2),$B$3)+1)*G34+INDEX(Symboles!$H$6:$H$101,MOD(85+$C34+(-1),$B$3)+1)*H34+INDEX(Symboles!$H$6:$H$101,MOD(85+$C34+(0),$B$3)+1)*I34+INDEX(Symboles!$H$6:$H$101,MOD(85+$C34+(1),$B$3)+1)*J34+INDEX(Symboles!$H$6:$H$101,MOD(85+$C34+(2),$B$3)+1)*K34+INDEX(Symboles!$H$6:$H$101,MOD(85+$C34+(3),$B$3)+1)*L34+INDEX(Symboles!$H$6:$H$101,MOD(85+$C34+(4),$B$3)+1)*M34+IF($B$6=0,0,$B$6*NORMSINV(0.000001+0.999998*RAND())))</f>
        <v/>
      </c>
      <c r="GQ34" s="30">
        <f>IF(87&gt;$B$3,99,INDEX(Symboles!$H$6:$H$101,MOD(86+$C34+(-4),$B$3)+1)*E34+INDEX(Symboles!$H$6:$H$101,MOD(86+$C34+(-3),$B$3)+1)*F34+INDEX(Symboles!$H$6:$H$101,MOD(86+$C34+(-2),$B$3)+1)*G34+INDEX(Symboles!$H$6:$H$101,MOD(86+$C34+(-1),$B$3)+1)*H34+INDEX(Symboles!$H$6:$H$101,MOD(86+$C34+(0),$B$3)+1)*I34+INDEX(Symboles!$H$6:$H$101,MOD(86+$C34+(1),$B$3)+1)*J34+INDEX(Symboles!$H$6:$H$101,MOD(86+$C34+(2),$B$3)+1)*K34+INDEX(Symboles!$H$6:$H$101,MOD(86+$C34+(3),$B$3)+1)*L34+INDEX(Symboles!$H$6:$H$101,MOD(86+$C34+(4),$B$3)+1)*M34+IF($B$6=0,0,$B$6*NORMSINV(0.000001+0.999998*RAND())))</f>
        <v/>
      </c>
      <c r="GR34" s="30">
        <f>IF(88&gt;$B$3,99,INDEX(Symboles!$H$6:$H$101,MOD(87+$C34+(-4),$B$3)+1)*E34+INDEX(Symboles!$H$6:$H$101,MOD(87+$C34+(-3),$B$3)+1)*F34+INDEX(Symboles!$H$6:$H$101,MOD(87+$C34+(-2),$B$3)+1)*G34+INDEX(Symboles!$H$6:$H$101,MOD(87+$C34+(-1),$B$3)+1)*H34+INDEX(Symboles!$H$6:$H$101,MOD(87+$C34+(0),$B$3)+1)*I34+INDEX(Symboles!$H$6:$H$101,MOD(87+$C34+(1),$B$3)+1)*J34+INDEX(Symboles!$H$6:$H$101,MOD(87+$C34+(2),$B$3)+1)*K34+INDEX(Symboles!$H$6:$H$101,MOD(87+$C34+(3),$B$3)+1)*L34+INDEX(Symboles!$H$6:$H$101,MOD(87+$C34+(4),$B$3)+1)*M34+IF($B$6=0,0,$B$6*NORMSINV(0.000001+0.999998*RAND())))</f>
        <v/>
      </c>
      <c r="GS34" s="30">
        <f>IF(89&gt;$B$3,99,INDEX(Symboles!$H$6:$H$101,MOD(88+$C34+(-4),$B$3)+1)*E34+INDEX(Symboles!$H$6:$H$101,MOD(88+$C34+(-3),$B$3)+1)*F34+INDEX(Symboles!$H$6:$H$101,MOD(88+$C34+(-2),$B$3)+1)*G34+INDEX(Symboles!$H$6:$H$101,MOD(88+$C34+(-1),$B$3)+1)*H34+INDEX(Symboles!$H$6:$H$101,MOD(88+$C34+(0),$B$3)+1)*I34+INDEX(Symboles!$H$6:$H$101,MOD(88+$C34+(1),$B$3)+1)*J34+INDEX(Symboles!$H$6:$H$101,MOD(88+$C34+(2),$B$3)+1)*K34+INDEX(Symboles!$H$6:$H$101,MOD(88+$C34+(3),$B$3)+1)*L34+INDEX(Symboles!$H$6:$H$101,MOD(88+$C34+(4),$B$3)+1)*M34+IF($B$6=0,0,$B$6*NORMSINV(0.000001+0.999998*RAND())))</f>
        <v/>
      </c>
      <c r="GT34" s="30">
        <f>IF(90&gt;$B$3,99,INDEX(Symboles!$H$6:$H$101,MOD(89+$C34+(-4),$B$3)+1)*E34+INDEX(Symboles!$H$6:$H$101,MOD(89+$C34+(-3),$B$3)+1)*F34+INDEX(Symboles!$H$6:$H$101,MOD(89+$C34+(-2),$B$3)+1)*G34+INDEX(Symboles!$H$6:$H$101,MOD(89+$C34+(-1),$B$3)+1)*H34+INDEX(Symboles!$H$6:$H$101,MOD(89+$C34+(0),$B$3)+1)*I34+INDEX(Symboles!$H$6:$H$101,MOD(89+$C34+(1),$B$3)+1)*J34+INDEX(Symboles!$H$6:$H$101,MOD(89+$C34+(2),$B$3)+1)*K34+INDEX(Symboles!$H$6:$H$101,MOD(89+$C34+(3),$B$3)+1)*L34+INDEX(Symboles!$H$6:$H$101,MOD(89+$C34+(4),$B$3)+1)*M34+IF($B$6=0,0,$B$6*NORMSINV(0.000001+0.999998*RAND())))</f>
        <v/>
      </c>
      <c r="GU34" s="30">
        <f>IF(91&gt;$B$3,99,INDEX(Symboles!$H$6:$H$101,MOD(90+$C34+(-4),$B$3)+1)*E34+INDEX(Symboles!$H$6:$H$101,MOD(90+$C34+(-3),$B$3)+1)*F34+INDEX(Symboles!$H$6:$H$101,MOD(90+$C34+(-2),$B$3)+1)*G34+INDEX(Symboles!$H$6:$H$101,MOD(90+$C34+(-1),$B$3)+1)*H34+INDEX(Symboles!$H$6:$H$101,MOD(90+$C34+(0),$B$3)+1)*I34+INDEX(Symboles!$H$6:$H$101,MOD(90+$C34+(1),$B$3)+1)*J34+INDEX(Symboles!$H$6:$H$101,MOD(90+$C34+(2),$B$3)+1)*K34+INDEX(Symboles!$H$6:$H$101,MOD(90+$C34+(3),$B$3)+1)*L34+INDEX(Symboles!$H$6:$H$101,MOD(90+$C34+(4),$B$3)+1)*M34+IF($B$6=0,0,$B$6*NORMSINV(0.000001+0.999998*RAND())))</f>
        <v/>
      </c>
      <c r="GV34" s="30">
        <f>IF(92&gt;$B$3,99,INDEX(Symboles!$H$6:$H$101,MOD(91+$C34+(-4),$B$3)+1)*E34+INDEX(Symboles!$H$6:$H$101,MOD(91+$C34+(-3),$B$3)+1)*F34+INDEX(Symboles!$H$6:$H$101,MOD(91+$C34+(-2),$B$3)+1)*G34+INDEX(Symboles!$H$6:$H$101,MOD(91+$C34+(-1),$B$3)+1)*H34+INDEX(Symboles!$H$6:$H$101,MOD(91+$C34+(0),$B$3)+1)*I34+INDEX(Symboles!$H$6:$H$101,MOD(91+$C34+(1),$B$3)+1)*J34+INDEX(Symboles!$H$6:$H$101,MOD(91+$C34+(2),$B$3)+1)*K34+INDEX(Symboles!$H$6:$H$101,MOD(91+$C34+(3),$B$3)+1)*L34+INDEX(Symboles!$H$6:$H$101,MOD(91+$C34+(4),$B$3)+1)*M34+IF($B$6=0,0,$B$6*NORMSINV(0.000001+0.999998*RAND())))</f>
        <v/>
      </c>
      <c r="GW34" s="30">
        <f>IF(93&gt;$B$3,99,INDEX(Symboles!$H$6:$H$101,MOD(92+$C34+(-4),$B$3)+1)*E34+INDEX(Symboles!$H$6:$H$101,MOD(92+$C34+(-3),$B$3)+1)*F34+INDEX(Symboles!$H$6:$H$101,MOD(92+$C34+(-2),$B$3)+1)*G34+INDEX(Symboles!$H$6:$H$101,MOD(92+$C34+(-1),$B$3)+1)*H34+INDEX(Symboles!$H$6:$H$101,MOD(92+$C34+(0),$B$3)+1)*I34+INDEX(Symboles!$H$6:$H$101,MOD(92+$C34+(1),$B$3)+1)*J34+INDEX(Symboles!$H$6:$H$101,MOD(92+$C34+(2),$B$3)+1)*K34+INDEX(Symboles!$H$6:$H$101,MOD(92+$C34+(3),$B$3)+1)*L34+INDEX(Symboles!$H$6:$H$101,MOD(92+$C34+(4),$B$3)+1)*M34+IF($B$6=0,0,$B$6*NORMSINV(0.000001+0.999998*RAND())))</f>
        <v/>
      </c>
      <c r="GX34" s="30">
        <f>IF(94&gt;$B$3,99,INDEX(Symboles!$H$6:$H$101,MOD(93+$C34+(-4),$B$3)+1)*E34+INDEX(Symboles!$H$6:$H$101,MOD(93+$C34+(-3),$B$3)+1)*F34+INDEX(Symboles!$H$6:$H$101,MOD(93+$C34+(-2),$B$3)+1)*G34+INDEX(Symboles!$H$6:$H$101,MOD(93+$C34+(-1),$B$3)+1)*H34+INDEX(Symboles!$H$6:$H$101,MOD(93+$C34+(0),$B$3)+1)*I34+INDEX(Symboles!$H$6:$H$101,MOD(93+$C34+(1),$B$3)+1)*J34+INDEX(Symboles!$H$6:$H$101,MOD(93+$C34+(2),$B$3)+1)*K34+INDEX(Symboles!$H$6:$H$101,MOD(93+$C34+(3),$B$3)+1)*L34+INDEX(Symboles!$H$6:$H$101,MOD(93+$C34+(4),$B$3)+1)*M34+IF($B$6=0,0,$B$6*NORMSINV(0.000001+0.999998*RAND())))</f>
        <v/>
      </c>
      <c r="GY34" s="30">
        <f>IF(95&gt;$B$3,99,INDEX(Symboles!$H$6:$H$101,MOD(94+$C34+(-4),$B$3)+1)*E34+INDEX(Symboles!$H$6:$H$101,MOD(94+$C34+(-3),$B$3)+1)*F34+INDEX(Symboles!$H$6:$H$101,MOD(94+$C34+(-2),$B$3)+1)*G34+INDEX(Symboles!$H$6:$H$101,MOD(94+$C34+(-1),$B$3)+1)*H34+INDEX(Symboles!$H$6:$H$101,MOD(94+$C34+(0),$B$3)+1)*I34+INDEX(Symboles!$H$6:$H$101,MOD(94+$C34+(1),$B$3)+1)*J34+INDEX(Symboles!$H$6:$H$101,MOD(94+$C34+(2),$B$3)+1)*K34+INDEX(Symboles!$H$6:$H$101,MOD(94+$C34+(3),$B$3)+1)*L34+INDEX(Symboles!$H$6:$H$101,MOD(94+$C34+(4),$B$3)+1)*M34+IF($B$6=0,0,$B$6*NORMSINV(0.000001+0.999998*RAND())))</f>
        <v/>
      </c>
      <c r="GZ34" s="30">
        <f>IF(96&gt;$B$3,99,INDEX(Symboles!$H$6:$H$101,MOD(95+$C34+(-4),$B$3)+1)*E34+INDEX(Symboles!$H$6:$H$101,MOD(95+$C34+(-3),$B$3)+1)*F34+INDEX(Symboles!$H$6:$H$101,MOD(95+$C34+(-2),$B$3)+1)*G34+INDEX(Symboles!$H$6:$H$101,MOD(95+$C34+(-1),$B$3)+1)*H34+INDEX(Symboles!$H$6:$H$101,MOD(95+$C34+(0),$B$3)+1)*I34+INDEX(Symboles!$H$6:$H$101,MOD(95+$C34+(1),$B$3)+1)*J34+INDEX(Symboles!$H$6:$H$101,MOD(95+$C34+(2),$B$3)+1)*K34+INDEX(Symboles!$H$6:$H$101,MOD(95+$C34+(3),$B$3)+1)*L34+INDEX(Symboles!$H$6:$H$101,MOD(95+$C34+(4),$B$3)+1)*M34+IF($B$6=0,0,$B$6*NORMSINV(0.000001+0.999998*RAND())))</f>
        <v/>
      </c>
    </row>
    <row r="35">
      <c r="A35" s="28" t="n">
        <v>25</v>
      </c>
      <c r="B35" s="28" t="n">
        <v>0.5625</v>
      </c>
      <c r="C35" s="28" t="n">
        <v>1</v>
      </c>
      <c r="D35" s="28" t="n">
        <v>1</v>
      </c>
      <c r="E35" s="29">
        <f>IF($B$4=1,0,IF(ABS(1-(2*$B$5*3.5625)^2)&lt;0.000001,PI()/4*SIN(PI()/(2*$B$5))/(PI()/(2*$B$5)),SIN(PI()*3.5625)/(PI()*3.5625)*COS(PI()*$B$5*3.5625)/(1-(2*$B$5*3.5625)^2)))</f>
        <v/>
      </c>
      <c r="F35" s="29">
        <f>IF($B$4=1,0,IF(ABS(1-(2*$B$5*2.5625)^2)&lt;0.000001,PI()/4*SIN(PI()/(2*$B$5))/(PI()/(2*$B$5)),SIN(PI()*2.5625)/(PI()*2.5625)*COS(PI()*$B$5*2.5625)/(1-(2*$B$5*2.5625)^2)))</f>
        <v/>
      </c>
      <c r="G35" s="29">
        <f>IF($B$4=1,0,IF(ABS(1-(2*$B$5*1.5625)^2)&lt;0.000001,PI()/4*SIN(PI()/(2*$B$5))/(PI()/(2*$B$5)),SIN(PI()*1.5625)/(PI()*1.5625)*COS(PI()*$B$5*1.5625)/(1-(2*$B$5*1.5625)^2)))</f>
        <v/>
      </c>
      <c r="H35" s="29">
        <f>IF($B$4=1,0,IF(ABS(1-(2*$B$5*0.5625)^2)&lt;0.000001,PI()/4*SIN(PI()/(2*$B$5))/(PI()/(2*$B$5)),SIN(PI()*0.5625)/(PI()*0.5625)*COS(PI()*$B$5*0.5625)/(1-(2*$B$5*0.5625)^2)))</f>
        <v/>
      </c>
      <c r="I35" s="29">
        <f>IF($B$4=1,1,IF(ABS(1-(2*$B$5*-0.4375)^2)&lt;0.000001,PI()/4*SIN(PI()/(2*$B$5))/(PI()/(2*$B$5)),SIN(PI()*-0.4375)/(PI()*-0.4375)*COS(PI()*$B$5*-0.4375)/(1-(2*$B$5*-0.4375)^2)))</f>
        <v/>
      </c>
      <c r="J35" s="29">
        <f>IF($B$4=1,0,IF(ABS(1-(2*$B$5*-1.4375)^2)&lt;0.000001,PI()/4*SIN(PI()/(2*$B$5))/(PI()/(2*$B$5)),SIN(PI()*-1.4375)/(PI()*-1.4375)*COS(PI()*$B$5*-1.4375)/(1-(2*$B$5*-1.4375)^2)))</f>
        <v/>
      </c>
      <c r="K35" s="29">
        <f>IF($B$4=1,0,IF(ABS(1-(2*$B$5*-2.4375)^2)&lt;0.000001,PI()/4*SIN(PI()/(2*$B$5))/(PI()/(2*$B$5)),SIN(PI()*-2.4375)/(PI()*-2.4375)*COS(PI()*$B$5*-2.4375)/(1-(2*$B$5*-2.4375)^2)))</f>
        <v/>
      </c>
      <c r="L35" s="29">
        <f>IF($B$4=1,0,IF(ABS(1-(2*$B$5*-3.4375)^2)&lt;0.000001,PI()/4*SIN(PI()/(2*$B$5))/(PI()/(2*$B$5)),SIN(PI()*-3.4375)/(PI()*-3.4375)*COS(PI()*$B$5*-3.4375)/(1-(2*$B$5*-3.4375)^2)))</f>
        <v/>
      </c>
      <c r="M35" s="29">
        <f>IF($B$4=1,0,IF(ABS(1-(2*$B$5*-4.4375)^2)&lt;0.000001,PI()/4*SIN(PI()/(2*$B$5))/(PI()/(2*$B$5)),SIN(PI()*-4.4375)/(PI()*-4.4375)*COS(PI()*$B$5*-4.4375)/(1-(2*$B$5*-4.4375)^2)))</f>
        <v/>
      </c>
      <c r="P35" s="30">
        <f>IF(1&gt;$B$3,99,INDEX(Symboles!$G$6:$G$101,MOD(0+$C35+(-4),$B$3)+1)*E35+INDEX(Symboles!$G$6:$G$101,MOD(0+$C35+(-3),$B$3)+1)*F35+INDEX(Symboles!$G$6:$G$101,MOD(0+$C35+(-2),$B$3)+1)*G35+INDEX(Symboles!$G$6:$G$101,MOD(0+$C35+(-1),$B$3)+1)*H35+INDEX(Symboles!$G$6:$G$101,MOD(0+$C35+(0),$B$3)+1)*I35+INDEX(Symboles!$G$6:$G$101,MOD(0+$C35+(1),$B$3)+1)*J35+INDEX(Symboles!$G$6:$G$101,MOD(0+$C35+(2),$B$3)+1)*K35+INDEX(Symboles!$G$6:$G$101,MOD(0+$C35+(3),$B$3)+1)*L35+INDEX(Symboles!$G$6:$G$101,MOD(0+$C35+(4),$B$3)+1)*M35+IF($B$6=0,0,$B$6*NORMSINV(0.000001+0.999998*RAND())))</f>
        <v/>
      </c>
      <c r="Q35" s="30">
        <f>IF(2&gt;$B$3,99,INDEX(Symboles!$G$6:$G$101,MOD(1+$C35+(-4),$B$3)+1)*E35+INDEX(Symboles!$G$6:$G$101,MOD(1+$C35+(-3),$B$3)+1)*F35+INDEX(Symboles!$G$6:$G$101,MOD(1+$C35+(-2),$B$3)+1)*G35+INDEX(Symboles!$G$6:$G$101,MOD(1+$C35+(-1),$B$3)+1)*H35+INDEX(Symboles!$G$6:$G$101,MOD(1+$C35+(0),$B$3)+1)*I35+INDEX(Symboles!$G$6:$G$101,MOD(1+$C35+(1),$B$3)+1)*J35+INDEX(Symboles!$G$6:$G$101,MOD(1+$C35+(2),$B$3)+1)*K35+INDEX(Symboles!$G$6:$G$101,MOD(1+$C35+(3),$B$3)+1)*L35+INDEX(Symboles!$G$6:$G$101,MOD(1+$C35+(4),$B$3)+1)*M35+IF($B$6=0,0,$B$6*NORMSINV(0.000001+0.999998*RAND())))</f>
        <v/>
      </c>
      <c r="R35" s="30">
        <f>IF(3&gt;$B$3,99,INDEX(Symboles!$G$6:$G$101,MOD(2+$C35+(-4),$B$3)+1)*E35+INDEX(Symboles!$G$6:$G$101,MOD(2+$C35+(-3),$B$3)+1)*F35+INDEX(Symboles!$G$6:$G$101,MOD(2+$C35+(-2),$B$3)+1)*G35+INDEX(Symboles!$G$6:$G$101,MOD(2+$C35+(-1),$B$3)+1)*H35+INDEX(Symboles!$G$6:$G$101,MOD(2+$C35+(0),$B$3)+1)*I35+INDEX(Symboles!$G$6:$G$101,MOD(2+$C35+(1),$B$3)+1)*J35+INDEX(Symboles!$G$6:$G$101,MOD(2+$C35+(2),$B$3)+1)*K35+INDEX(Symboles!$G$6:$G$101,MOD(2+$C35+(3),$B$3)+1)*L35+INDEX(Symboles!$G$6:$G$101,MOD(2+$C35+(4),$B$3)+1)*M35+IF($B$6=0,0,$B$6*NORMSINV(0.000001+0.999998*RAND())))</f>
        <v/>
      </c>
      <c r="S35" s="30">
        <f>IF(4&gt;$B$3,99,INDEX(Symboles!$G$6:$G$101,MOD(3+$C35+(-4),$B$3)+1)*E35+INDEX(Symboles!$G$6:$G$101,MOD(3+$C35+(-3),$B$3)+1)*F35+INDEX(Symboles!$G$6:$G$101,MOD(3+$C35+(-2),$B$3)+1)*G35+INDEX(Symboles!$G$6:$G$101,MOD(3+$C35+(-1),$B$3)+1)*H35+INDEX(Symboles!$G$6:$G$101,MOD(3+$C35+(0),$B$3)+1)*I35+INDEX(Symboles!$G$6:$G$101,MOD(3+$C35+(1),$B$3)+1)*J35+INDEX(Symboles!$G$6:$G$101,MOD(3+$C35+(2),$B$3)+1)*K35+INDEX(Symboles!$G$6:$G$101,MOD(3+$C35+(3),$B$3)+1)*L35+INDEX(Symboles!$G$6:$G$101,MOD(3+$C35+(4),$B$3)+1)*M35+IF($B$6=0,0,$B$6*NORMSINV(0.000001+0.999998*RAND())))</f>
        <v/>
      </c>
      <c r="T35" s="30">
        <f>IF(5&gt;$B$3,99,INDEX(Symboles!$G$6:$G$101,MOD(4+$C35+(-4),$B$3)+1)*E35+INDEX(Symboles!$G$6:$G$101,MOD(4+$C35+(-3),$B$3)+1)*F35+INDEX(Symboles!$G$6:$G$101,MOD(4+$C35+(-2),$B$3)+1)*G35+INDEX(Symboles!$G$6:$G$101,MOD(4+$C35+(-1),$B$3)+1)*H35+INDEX(Symboles!$G$6:$G$101,MOD(4+$C35+(0),$B$3)+1)*I35+INDEX(Symboles!$G$6:$G$101,MOD(4+$C35+(1),$B$3)+1)*J35+INDEX(Symboles!$G$6:$G$101,MOD(4+$C35+(2),$B$3)+1)*K35+INDEX(Symboles!$G$6:$G$101,MOD(4+$C35+(3),$B$3)+1)*L35+INDEX(Symboles!$G$6:$G$101,MOD(4+$C35+(4),$B$3)+1)*M35+IF($B$6=0,0,$B$6*NORMSINV(0.000001+0.999998*RAND())))</f>
        <v/>
      </c>
      <c r="U35" s="30">
        <f>IF(6&gt;$B$3,99,INDEX(Symboles!$G$6:$G$101,MOD(5+$C35+(-4),$B$3)+1)*E35+INDEX(Symboles!$G$6:$G$101,MOD(5+$C35+(-3),$B$3)+1)*F35+INDEX(Symboles!$G$6:$G$101,MOD(5+$C35+(-2),$B$3)+1)*G35+INDEX(Symboles!$G$6:$G$101,MOD(5+$C35+(-1),$B$3)+1)*H35+INDEX(Symboles!$G$6:$G$101,MOD(5+$C35+(0),$B$3)+1)*I35+INDEX(Symboles!$G$6:$G$101,MOD(5+$C35+(1),$B$3)+1)*J35+INDEX(Symboles!$G$6:$G$101,MOD(5+$C35+(2),$B$3)+1)*K35+INDEX(Symboles!$G$6:$G$101,MOD(5+$C35+(3),$B$3)+1)*L35+INDEX(Symboles!$G$6:$G$101,MOD(5+$C35+(4),$B$3)+1)*M35+IF($B$6=0,0,$B$6*NORMSINV(0.000001+0.999998*RAND())))</f>
        <v/>
      </c>
      <c r="V35" s="30">
        <f>IF(7&gt;$B$3,99,INDEX(Symboles!$G$6:$G$101,MOD(6+$C35+(-4),$B$3)+1)*E35+INDEX(Symboles!$G$6:$G$101,MOD(6+$C35+(-3),$B$3)+1)*F35+INDEX(Symboles!$G$6:$G$101,MOD(6+$C35+(-2),$B$3)+1)*G35+INDEX(Symboles!$G$6:$G$101,MOD(6+$C35+(-1),$B$3)+1)*H35+INDEX(Symboles!$G$6:$G$101,MOD(6+$C35+(0),$B$3)+1)*I35+INDEX(Symboles!$G$6:$G$101,MOD(6+$C35+(1),$B$3)+1)*J35+INDEX(Symboles!$G$6:$G$101,MOD(6+$C35+(2),$B$3)+1)*K35+INDEX(Symboles!$G$6:$G$101,MOD(6+$C35+(3),$B$3)+1)*L35+INDEX(Symboles!$G$6:$G$101,MOD(6+$C35+(4),$B$3)+1)*M35+IF($B$6=0,0,$B$6*NORMSINV(0.000001+0.999998*RAND())))</f>
        <v/>
      </c>
      <c r="W35" s="30">
        <f>IF(8&gt;$B$3,99,INDEX(Symboles!$G$6:$G$101,MOD(7+$C35+(-4),$B$3)+1)*E35+INDEX(Symboles!$G$6:$G$101,MOD(7+$C35+(-3),$B$3)+1)*F35+INDEX(Symboles!$G$6:$G$101,MOD(7+$C35+(-2),$B$3)+1)*G35+INDEX(Symboles!$G$6:$G$101,MOD(7+$C35+(-1),$B$3)+1)*H35+INDEX(Symboles!$G$6:$G$101,MOD(7+$C35+(0),$B$3)+1)*I35+INDEX(Symboles!$G$6:$G$101,MOD(7+$C35+(1),$B$3)+1)*J35+INDEX(Symboles!$G$6:$G$101,MOD(7+$C35+(2),$B$3)+1)*K35+INDEX(Symboles!$G$6:$G$101,MOD(7+$C35+(3),$B$3)+1)*L35+INDEX(Symboles!$G$6:$G$101,MOD(7+$C35+(4),$B$3)+1)*M35+IF($B$6=0,0,$B$6*NORMSINV(0.000001+0.999998*RAND())))</f>
        <v/>
      </c>
      <c r="X35" s="30">
        <f>IF(9&gt;$B$3,99,INDEX(Symboles!$G$6:$G$101,MOD(8+$C35+(-4),$B$3)+1)*E35+INDEX(Symboles!$G$6:$G$101,MOD(8+$C35+(-3),$B$3)+1)*F35+INDEX(Symboles!$G$6:$G$101,MOD(8+$C35+(-2),$B$3)+1)*G35+INDEX(Symboles!$G$6:$G$101,MOD(8+$C35+(-1),$B$3)+1)*H35+INDEX(Symboles!$G$6:$G$101,MOD(8+$C35+(0),$B$3)+1)*I35+INDEX(Symboles!$G$6:$G$101,MOD(8+$C35+(1),$B$3)+1)*J35+INDEX(Symboles!$G$6:$G$101,MOD(8+$C35+(2),$B$3)+1)*K35+INDEX(Symboles!$G$6:$G$101,MOD(8+$C35+(3),$B$3)+1)*L35+INDEX(Symboles!$G$6:$G$101,MOD(8+$C35+(4),$B$3)+1)*M35+IF($B$6=0,0,$B$6*NORMSINV(0.000001+0.999998*RAND())))</f>
        <v/>
      </c>
      <c r="Y35" s="30">
        <f>IF(10&gt;$B$3,99,INDEX(Symboles!$G$6:$G$101,MOD(9+$C35+(-4),$B$3)+1)*E35+INDEX(Symboles!$G$6:$G$101,MOD(9+$C35+(-3),$B$3)+1)*F35+INDEX(Symboles!$G$6:$G$101,MOD(9+$C35+(-2),$B$3)+1)*G35+INDEX(Symboles!$G$6:$G$101,MOD(9+$C35+(-1),$B$3)+1)*H35+INDEX(Symboles!$G$6:$G$101,MOD(9+$C35+(0),$B$3)+1)*I35+INDEX(Symboles!$G$6:$G$101,MOD(9+$C35+(1),$B$3)+1)*J35+INDEX(Symboles!$G$6:$G$101,MOD(9+$C35+(2),$B$3)+1)*K35+INDEX(Symboles!$G$6:$G$101,MOD(9+$C35+(3),$B$3)+1)*L35+INDEX(Symboles!$G$6:$G$101,MOD(9+$C35+(4),$B$3)+1)*M35+IF($B$6=0,0,$B$6*NORMSINV(0.000001+0.999998*RAND())))</f>
        <v/>
      </c>
      <c r="Z35" s="30">
        <f>IF(11&gt;$B$3,99,INDEX(Symboles!$G$6:$G$101,MOD(10+$C35+(-4),$B$3)+1)*E35+INDEX(Symboles!$G$6:$G$101,MOD(10+$C35+(-3),$B$3)+1)*F35+INDEX(Symboles!$G$6:$G$101,MOD(10+$C35+(-2),$B$3)+1)*G35+INDEX(Symboles!$G$6:$G$101,MOD(10+$C35+(-1),$B$3)+1)*H35+INDEX(Symboles!$G$6:$G$101,MOD(10+$C35+(0),$B$3)+1)*I35+INDEX(Symboles!$G$6:$G$101,MOD(10+$C35+(1),$B$3)+1)*J35+INDEX(Symboles!$G$6:$G$101,MOD(10+$C35+(2),$B$3)+1)*K35+INDEX(Symboles!$G$6:$G$101,MOD(10+$C35+(3),$B$3)+1)*L35+INDEX(Symboles!$G$6:$G$101,MOD(10+$C35+(4),$B$3)+1)*M35+IF($B$6=0,0,$B$6*NORMSINV(0.000001+0.999998*RAND())))</f>
        <v/>
      </c>
      <c r="AA35" s="30">
        <f>IF(12&gt;$B$3,99,INDEX(Symboles!$G$6:$G$101,MOD(11+$C35+(-4),$B$3)+1)*E35+INDEX(Symboles!$G$6:$G$101,MOD(11+$C35+(-3),$B$3)+1)*F35+INDEX(Symboles!$G$6:$G$101,MOD(11+$C35+(-2),$B$3)+1)*G35+INDEX(Symboles!$G$6:$G$101,MOD(11+$C35+(-1),$B$3)+1)*H35+INDEX(Symboles!$G$6:$G$101,MOD(11+$C35+(0),$B$3)+1)*I35+INDEX(Symboles!$G$6:$G$101,MOD(11+$C35+(1),$B$3)+1)*J35+INDEX(Symboles!$G$6:$G$101,MOD(11+$C35+(2),$B$3)+1)*K35+INDEX(Symboles!$G$6:$G$101,MOD(11+$C35+(3),$B$3)+1)*L35+INDEX(Symboles!$G$6:$G$101,MOD(11+$C35+(4),$B$3)+1)*M35+IF($B$6=0,0,$B$6*NORMSINV(0.000001+0.999998*RAND())))</f>
        <v/>
      </c>
      <c r="AB35" s="30">
        <f>IF(13&gt;$B$3,99,INDEX(Symboles!$G$6:$G$101,MOD(12+$C35+(-4),$B$3)+1)*E35+INDEX(Symboles!$G$6:$G$101,MOD(12+$C35+(-3),$B$3)+1)*F35+INDEX(Symboles!$G$6:$G$101,MOD(12+$C35+(-2),$B$3)+1)*G35+INDEX(Symboles!$G$6:$G$101,MOD(12+$C35+(-1),$B$3)+1)*H35+INDEX(Symboles!$G$6:$G$101,MOD(12+$C35+(0),$B$3)+1)*I35+INDEX(Symboles!$G$6:$G$101,MOD(12+$C35+(1),$B$3)+1)*J35+INDEX(Symboles!$G$6:$G$101,MOD(12+$C35+(2),$B$3)+1)*K35+INDEX(Symboles!$G$6:$G$101,MOD(12+$C35+(3),$B$3)+1)*L35+INDEX(Symboles!$G$6:$G$101,MOD(12+$C35+(4),$B$3)+1)*M35+IF($B$6=0,0,$B$6*NORMSINV(0.000001+0.999998*RAND())))</f>
        <v/>
      </c>
      <c r="AC35" s="30">
        <f>IF(14&gt;$B$3,99,INDEX(Symboles!$G$6:$G$101,MOD(13+$C35+(-4),$B$3)+1)*E35+INDEX(Symboles!$G$6:$G$101,MOD(13+$C35+(-3),$B$3)+1)*F35+INDEX(Symboles!$G$6:$G$101,MOD(13+$C35+(-2),$B$3)+1)*G35+INDEX(Symboles!$G$6:$G$101,MOD(13+$C35+(-1),$B$3)+1)*H35+INDEX(Symboles!$G$6:$G$101,MOD(13+$C35+(0),$B$3)+1)*I35+INDEX(Symboles!$G$6:$G$101,MOD(13+$C35+(1),$B$3)+1)*J35+INDEX(Symboles!$G$6:$G$101,MOD(13+$C35+(2),$B$3)+1)*K35+INDEX(Symboles!$G$6:$G$101,MOD(13+$C35+(3),$B$3)+1)*L35+INDEX(Symboles!$G$6:$G$101,MOD(13+$C35+(4),$B$3)+1)*M35+IF($B$6=0,0,$B$6*NORMSINV(0.000001+0.999998*RAND())))</f>
        <v/>
      </c>
      <c r="AD35" s="30">
        <f>IF(15&gt;$B$3,99,INDEX(Symboles!$G$6:$G$101,MOD(14+$C35+(-4),$B$3)+1)*E35+INDEX(Symboles!$G$6:$G$101,MOD(14+$C35+(-3),$B$3)+1)*F35+INDEX(Symboles!$G$6:$G$101,MOD(14+$C35+(-2),$B$3)+1)*G35+INDEX(Symboles!$G$6:$G$101,MOD(14+$C35+(-1),$B$3)+1)*H35+INDEX(Symboles!$G$6:$G$101,MOD(14+$C35+(0),$B$3)+1)*I35+INDEX(Symboles!$G$6:$G$101,MOD(14+$C35+(1),$B$3)+1)*J35+INDEX(Symboles!$G$6:$G$101,MOD(14+$C35+(2),$B$3)+1)*K35+INDEX(Symboles!$G$6:$G$101,MOD(14+$C35+(3),$B$3)+1)*L35+INDEX(Symboles!$G$6:$G$101,MOD(14+$C35+(4),$B$3)+1)*M35+IF($B$6=0,0,$B$6*NORMSINV(0.000001+0.999998*RAND())))</f>
        <v/>
      </c>
      <c r="AE35" s="30">
        <f>IF(16&gt;$B$3,99,INDEX(Symboles!$G$6:$G$101,MOD(15+$C35+(-4),$B$3)+1)*E35+INDEX(Symboles!$G$6:$G$101,MOD(15+$C35+(-3),$B$3)+1)*F35+INDEX(Symboles!$G$6:$G$101,MOD(15+$C35+(-2),$B$3)+1)*G35+INDEX(Symboles!$G$6:$G$101,MOD(15+$C35+(-1),$B$3)+1)*H35+INDEX(Symboles!$G$6:$G$101,MOD(15+$C35+(0),$B$3)+1)*I35+INDEX(Symboles!$G$6:$G$101,MOD(15+$C35+(1),$B$3)+1)*J35+INDEX(Symboles!$G$6:$G$101,MOD(15+$C35+(2),$B$3)+1)*K35+INDEX(Symboles!$G$6:$G$101,MOD(15+$C35+(3),$B$3)+1)*L35+INDEX(Symboles!$G$6:$G$101,MOD(15+$C35+(4),$B$3)+1)*M35+IF($B$6=0,0,$B$6*NORMSINV(0.000001+0.999998*RAND())))</f>
        <v/>
      </c>
      <c r="AF35" s="30">
        <f>IF(17&gt;$B$3,99,INDEX(Symboles!$G$6:$G$101,MOD(16+$C35+(-4),$B$3)+1)*E35+INDEX(Symboles!$G$6:$G$101,MOD(16+$C35+(-3),$B$3)+1)*F35+INDEX(Symboles!$G$6:$G$101,MOD(16+$C35+(-2),$B$3)+1)*G35+INDEX(Symboles!$G$6:$G$101,MOD(16+$C35+(-1),$B$3)+1)*H35+INDEX(Symboles!$G$6:$G$101,MOD(16+$C35+(0),$B$3)+1)*I35+INDEX(Symboles!$G$6:$G$101,MOD(16+$C35+(1),$B$3)+1)*J35+INDEX(Symboles!$G$6:$G$101,MOD(16+$C35+(2),$B$3)+1)*K35+INDEX(Symboles!$G$6:$G$101,MOD(16+$C35+(3),$B$3)+1)*L35+INDEX(Symboles!$G$6:$G$101,MOD(16+$C35+(4),$B$3)+1)*M35+IF($B$6=0,0,$B$6*NORMSINV(0.000001+0.999998*RAND())))</f>
        <v/>
      </c>
      <c r="AG35" s="30">
        <f>IF(18&gt;$B$3,99,INDEX(Symboles!$G$6:$G$101,MOD(17+$C35+(-4),$B$3)+1)*E35+INDEX(Symboles!$G$6:$G$101,MOD(17+$C35+(-3),$B$3)+1)*F35+INDEX(Symboles!$G$6:$G$101,MOD(17+$C35+(-2),$B$3)+1)*G35+INDEX(Symboles!$G$6:$G$101,MOD(17+$C35+(-1),$B$3)+1)*H35+INDEX(Symboles!$G$6:$G$101,MOD(17+$C35+(0),$B$3)+1)*I35+INDEX(Symboles!$G$6:$G$101,MOD(17+$C35+(1),$B$3)+1)*J35+INDEX(Symboles!$G$6:$G$101,MOD(17+$C35+(2),$B$3)+1)*K35+INDEX(Symboles!$G$6:$G$101,MOD(17+$C35+(3),$B$3)+1)*L35+INDEX(Symboles!$G$6:$G$101,MOD(17+$C35+(4),$B$3)+1)*M35+IF($B$6=0,0,$B$6*NORMSINV(0.000001+0.999998*RAND())))</f>
        <v/>
      </c>
      <c r="AH35" s="30">
        <f>IF(19&gt;$B$3,99,INDEX(Symboles!$G$6:$G$101,MOD(18+$C35+(-4),$B$3)+1)*E35+INDEX(Symboles!$G$6:$G$101,MOD(18+$C35+(-3),$B$3)+1)*F35+INDEX(Symboles!$G$6:$G$101,MOD(18+$C35+(-2),$B$3)+1)*G35+INDEX(Symboles!$G$6:$G$101,MOD(18+$C35+(-1),$B$3)+1)*H35+INDEX(Symboles!$G$6:$G$101,MOD(18+$C35+(0),$B$3)+1)*I35+INDEX(Symboles!$G$6:$G$101,MOD(18+$C35+(1),$B$3)+1)*J35+INDEX(Symboles!$G$6:$G$101,MOD(18+$C35+(2),$B$3)+1)*K35+INDEX(Symboles!$G$6:$G$101,MOD(18+$C35+(3),$B$3)+1)*L35+INDEX(Symboles!$G$6:$G$101,MOD(18+$C35+(4),$B$3)+1)*M35+IF($B$6=0,0,$B$6*NORMSINV(0.000001+0.999998*RAND())))</f>
        <v/>
      </c>
      <c r="AI35" s="30">
        <f>IF(20&gt;$B$3,99,INDEX(Symboles!$G$6:$G$101,MOD(19+$C35+(-4),$B$3)+1)*E35+INDEX(Symboles!$G$6:$G$101,MOD(19+$C35+(-3),$B$3)+1)*F35+INDEX(Symboles!$G$6:$G$101,MOD(19+$C35+(-2),$B$3)+1)*G35+INDEX(Symboles!$G$6:$G$101,MOD(19+$C35+(-1),$B$3)+1)*H35+INDEX(Symboles!$G$6:$G$101,MOD(19+$C35+(0),$B$3)+1)*I35+INDEX(Symboles!$G$6:$G$101,MOD(19+$C35+(1),$B$3)+1)*J35+INDEX(Symboles!$G$6:$G$101,MOD(19+$C35+(2),$B$3)+1)*K35+INDEX(Symboles!$G$6:$G$101,MOD(19+$C35+(3),$B$3)+1)*L35+INDEX(Symboles!$G$6:$G$101,MOD(19+$C35+(4),$B$3)+1)*M35+IF($B$6=0,0,$B$6*NORMSINV(0.000001+0.999998*RAND())))</f>
        <v/>
      </c>
      <c r="AJ35" s="30">
        <f>IF(21&gt;$B$3,99,INDEX(Symboles!$G$6:$G$101,MOD(20+$C35+(-4),$B$3)+1)*E35+INDEX(Symboles!$G$6:$G$101,MOD(20+$C35+(-3),$B$3)+1)*F35+INDEX(Symboles!$G$6:$G$101,MOD(20+$C35+(-2),$B$3)+1)*G35+INDEX(Symboles!$G$6:$G$101,MOD(20+$C35+(-1),$B$3)+1)*H35+INDEX(Symboles!$G$6:$G$101,MOD(20+$C35+(0),$B$3)+1)*I35+INDEX(Symboles!$G$6:$G$101,MOD(20+$C35+(1),$B$3)+1)*J35+INDEX(Symboles!$G$6:$G$101,MOD(20+$C35+(2),$B$3)+1)*K35+INDEX(Symboles!$G$6:$G$101,MOD(20+$C35+(3),$B$3)+1)*L35+INDEX(Symboles!$G$6:$G$101,MOD(20+$C35+(4),$B$3)+1)*M35+IF($B$6=0,0,$B$6*NORMSINV(0.000001+0.999998*RAND())))</f>
        <v/>
      </c>
      <c r="AK35" s="30">
        <f>IF(22&gt;$B$3,99,INDEX(Symboles!$G$6:$G$101,MOD(21+$C35+(-4),$B$3)+1)*E35+INDEX(Symboles!$G$6:$G$101,MOD(21+$C35+(-3),$B$3)+1)*F35+INDEX(Symboles!$G$6:$G$101,MOD(21+$C35+(-2),$B$3)+1)*G35+INDEX(Symboles!$G$6:$G$101,MOD(21+$C35+(-1),$B$3)+1)*H35+INDEX(Symboles!$G$6:$G$101,MOD(21+$C35+(0),$B$3)+1)*I35+INDEX(Symboles!$G$6:$G$101,MOD(21+$C35+(1),$B$3)+1)*J35+INDEX(Symboles!$G$6:$G$101,MOD(21+$C35+(2),$B$3)+1)*K35+INDEX(Symboles!$G$6:$G$101,MOD(21+$C35+(3),$B$3)+1)*L35+INDEX(Symboles!$G$6:$G$101,MOD(21+$C35+(4),$B$3)+1)*M35+IF($B$6=0,0,$B$6*NORMSINV(0.000001+0.999998*RAND())))</f>
        <v/>
      </c>
      <c r="AL35" s="30">
        <f>IF(23&gt;$B$3,99,INDEX(Symboles!$G$6:$G$101,MOD(22+$C35+(-4),$B$3)+1)*E35+INDEX(Symboles!$G$6:$G$101,MOD(22+$C35+(-3),$B$3)+1)*F35+INDEX(Symboles!$G$6:$G$101,MOD(22+$C35+(-2),$B$3)+1)*G35+INDEX(Symboles!$G$6:$G$101,MOD(22+$C35+(-1),$B$3)+1)*H35+INDEX(Symboles!$G$6:$G$101,MOD(22+$C35+(0),$B$3)+1)*I35+INDEX(Symboles!$G$6:$G$101,MOD(22+$C35+(1),$B$3)+1)*J35+INDEX(Symboles!$G$6:$G$101,MOD(22+$C35+(2),$B$3)+1)*K35+INDEX(Symboles!$G$6:$G$101,MOD(22+$C35+(3),$B$3)+1)*L35+INDEX(Symboles!$G$6:$G$101,MOD(22+$C35+(4),$B$3)+1)*M35+IF($B$6=0,0,$B$6*NORMSINV(0.000001+0.999998*RAND())))</f>
        <v/>
      </c>
      <c r="AM35" s="30">
        <f>IF(24&gt;$B$3,99,INDEX(Symboles!$G$6:$G$101,MOD(23+$C35+(-4),$B$3)+1)*E35+INDEX(Symboles!$G$6:$G$101,MOD(23+$C35+(-3),$B$3)+1)*F35+INDEX(Symboles!$G$6:$G$101,MOD(23+$C35+(-2),$B$3)+1)*G35+INDEX(Symboles!$G$6:$G$101,MOD(23+$C35+(-1),$B$3)+1)*H35+INDEX(Symboles!$G$6:$G$101,MOD(23+$C35+(0),$B$3)+1)*I35+INDEX(Symboles!$G$6:$G$101,MOD(23+$C35+(1),$B$3)+1)*J35+INDEX(Symboles!$G$6:$G$101,MOD(23+$C35+(2),$B$3)+1)*K35+INDEX(Symboles!$G$6:$G$101,MOD(23+$C35+(3),$B$3)+1)*L35+INDEX(Symboles!$G$6:$G$101,MOD(23+$C35+(4),$B$3)+1)*M35+IF($B$6=0,0,$B$6*NORMSINV(0.000001+0.999998*RAND())))</f>
        <v/>
      </c>
      <c r="AN35" s="30">
        <f>IF(25&gt;$B$3,99,INDEX(Symboles!$G$6:$G$101,MOD(24+$C35+(-4),$B$3)+1)*E35+INDEX(Symboles!$G$6:$G$101,MOD(24+$C35+(-3),$B$3)+1)*F35+INDEX(Symboles!$G$6:$G$101,MOD(24+$C35+(-2),$B$3)+1)*G35+INDEX(Symboles!$G$6:$G$101,MOD(24+$C35+(-1),$B$3)+1)*H35+INDEX(Symboles!$G$6:$G$101,MOD(24+$C35+(0),$B$3)+1)*I35+INDEX(Symboles!$G$6:$G$101,MOD(24+$C35+(1),$B$3)+1)*J35+INDEX(Symboles!$G$6:$G$101,MOD(24+$C35+(2),$B$3)+1)*K35+INDEX(Symboles!$G$6:$G$101,MOD(24+$C35+(3),$B$3)+1)*L35+INDEX(Symboles!$G$6:$G$101,MOD(24+$C35+(4),$B$3)+1)*M35+IF($B$6=0,0,$B$6*NORMSINV(0.000001+0.999998*RAND())))</f>
        <v/>
      </c>
      <c r="AO35" s="30">
        <f>IF(26&gt;$B$3,99,INDEX(Symboles!$G$6:$G$101,MOD(25+$C35+(-4),$B$3)+1)*E35+INDEX(Symboles!$G$6:$G$101,MOD(25+$C35+(-3),$B$3)+1)*F35+INDEX(Symboles!$G$6:$G$101,MOD(25+$C35+(-2),$B$3)+1)*G35+INDEX(Symboles!$G$6:$G$101,MOD(25+$C35+(-1),$B$3)+1)*H35+INDEX(Symboles!$G$6:$G$101,MOD(25+$C35+(0),$B$3)+1)*I35+INDEX(Symboles!$G$6:$G$101,MOD(25+$C35+(1),$B$3)+1)*J35+INDEX(Symboles!$G$6:$G$101,MOD(25+$C35+(2),$B$3)+1)*K35+INDEX(Symboles!$G$6:$G$101,MOD(25+$C35+(3),$B$3)+1)*L35+INDEX(Symboles!$G$6:$G$101,MOD(25+$C35+(4),$B$3)+1)*M35+IF($B$6=0,0,$B$6*NORMSINV(0.000001+0.999998*RAND())))</f>
        <v/>
      </c>
      <c r="AP35" s="30">
        <f>IF(27&gt;$B$3,99,INDEX(Symboles!$G$6:$G$101,MOD(26+$C35+(-4),$B$3)+1)*E35+INDEX(Symboles!$G$6:$G$101,MOD(26+$C35+(-3),$B$3)+1)*F35+INDEX(Symboles!$G$6:$G$101,MOD(26+$C35+(-2),$B$3)+1)*G35+INDEX(Symboles!$G$6:$G$101,MOD(26+$C35+(-1),$B$3)+1)*H35+INDEX(Symboles!$G$6:$G$101,MOD(26+$C35+(0),$B$3)+1)*I35+INDEX(Symboles!$G$6:$G$101,MOD(26+$C35+(1),$B$3)+1)*J35+INDEX(Symboles!$G$6:$G$101,MOD(26+$C35+(2),$B$3)+1)*K35+INDEX(Symboles!$G$6:$G$101,MOD(26+$C35+(3),$B$3)+1)*L35+INDEX(Symboles!$G$6:$G$101,MOD(26+$C35+(4),$B$3)+1)*M35+IF($B$6=0,0,$B$6*NORMSINV(0.000001+0.999998*RAND())))</f>
        <v/>
      </c>
      <c r="AQ35" s="30">
        <f>IF(28&gt;$B$3,99,INDEX(Symboles!$G$6:$G$101,MOD(27+$C35+(-4),$B$3)+1)*E35+INDEX(Symboles!$G$6:$G$101,MOD(27+$C35+(-3),$B$3)+1)*F35+INDEX(Symboles!$G$6:$G$101,MOD(27+$C35+(-2),$B$3)+1)*G35+INDEX(Symboles!$G$6:$G$101,MOD(27+$C35+(-1),$B$3)+1)*H35+INDEX(Symboles!$G$6:$G$101,MOD(27+$C35+(0),$B$3)+1)*I35+INDEX(Symboles!$G$6:$G$101,MOD(27+$C35+(1),$B$3)+1)*J35+INDEX(Symboles!$G$6:$G$101,MOD(27+$C35+(2),$B$3)+1)*K35+INDEX(Symboles!$G$6:$G$101,MOD(27+$C35+(3),$B$3)+1)*L35+INDEX(Symboles!$G$6:$G$101,MOD(27+$C35+(4),$B$3)+1)*M35+IF($B$6=0,0,$B$6*NORMSINV(0.000001+0.999998*RAND())))</f>
        <v/>
      </c>
      <c r="AR35" s="30">
        <f>IF(29&gt;$B$3,99,INDEX(Symboles!$G$6:$G$101,MOD(28+$C35+(-4),$B$3)+1)*E35+INDEX(Symboles!$G$6:$G$101,MOD(28+$C35+(-3),$B$3)+1)*F35+INDEX(Symboles!$G$6:$G$101,MOD(28+$C35+(-2),$B$3)+1)*G35+INDEX(Symboles!$G$6:$G$101,MOD(28+$C35+(-1),$B$3)+1)*H35+INDEX(Symboles!$G$6:$G$101,MOD(28+$C35+(0),$B$3)+1)*I35+INDEX(Symboles!$G$6:$G$101,MOD(28+$C35+(1),$B$3)+1)*J35+INDEX(Symboles!$G$6:$G$101,MOD(28+$C35+(2),$B$3)+1)*K35+INDEX(Symboles!$G$6:$G$101,MOD(28+$C35+(3),$B$3)+1)*L35+INDEX(Symboles!$G$6:$G$101,MOD(28+$C35+(4),$B$3)+1)*M35+IF($B$6=0,0,$B$6*NORMSINV(0.000001+0.999998*RAND())))</f>
        <v/>
      </c>
      <c r="AS35" s="30">
        <f>IF(30&gt;$B$3,99,INDEX(Symboles!$G$6:$G$101,MOD(29+$C35+(-4),$B$3)+1)*E35+INDEX(Symboles!$G$6:$G$101,MOD(29+$C35+(-3),$B$3)+1)*F35+INDEX(Symboles!$G$6:$G$101,MOD(29+$C35+(-2),$B$3)+1)*G35+INDEX(Symboles!$G$6:$G$101,MOD(29+$C35+(-1),$B$3)+1)*H35+INDEX(Symboles!$G$6:$G$101,MOD(29+$C35+(0),$B$3)+1)*I35+INDEX(Symboles!$G$6:$G$101,MOD(29+$C35+(1),$B$3)+1)*J35+INDEX(Symboles!$G$6:$G$101,MOD(29+$C35+(2),$B$3)+1)*K35+INDEX(Symboles!$G$6:$G$101,MOD(29+$C35+(3),$B$3)+1)*L35+INDEX(Symboles!$G$6:$G$101,MOD(29+$C35+(4),$B$3)+1)*M35+IF($B$6=0,0,$B$6*NORMSINV(0.000001+0.999998*RAND())))</f>
        <v/>
      </c>
      <c r="AT35" s="30">
        <f>IF(31&gt;$B$3,99,INDEX(Symboles!$G$6:$G$101,MOD(30+$C35+(-4),$B$3)+1)*E35+INDEX(Symboles!$G$6:$G$101,MOD(30+$C35+(-3),$B$3)+1)*F35+INDEX(Symboles!$G$6:$G$101,MOD(30+$C35+(-2),$B$3)+1)*G35+INDEX(Symboles!$G$6:$G$101,MOD(30+$C35+(-1),$B$3)+1)*H35+INDEX(Symboles!$G$6:$G$101,MOD(30+$C35+(0),$B$3)+1)*I35+INDEX(Symboles!$G$6:$G$101,MOD(30+$C35+(1),$B$3)+1)*J35+INDEX(Symboles!$G$6:$G$101,MOD(30+$C35+(2),$B$3)+1)*K35+INDEX(Symboles!$G$6:$G$101,MOD(30+$C35+(3),$B$3)+1)*L35+INDEX(Symboles!$G$6:$G$101,MOD(30+$C35+(4),$B$3)+1)*M35+IF($B$6=0,0,$B$6*NORMSINV(0.000001+0.999998*RAND())))</f>
        <v/>
      </c>
      <c r="AU35" s="30">
        <f>IF(32&gt;$B$3,99,INDEX(Symboles!$G$6:$G$101,MOD(31+$C35+(-4),$B$3)+1)*E35+INDEX(Symboles!$G$6:$G$101,MOD(31+$C35+(-3),$B$3)+1)*F35+INDEX(Symboles!$G$6:$G$101,MOD(31+$C35+(-2),$B$3)+1)*G35+INDEX(Symboles!$G$6:$G$101,MOD(31+$C35+(-1),$B$3)+1)*H35+INDEX(Symboles!$G$6:$G$101,MOD(31+$C35+(0),$B$3)+1)*I35+INDEX(Symboles!$G$6:$G$101,MOD(31+$C35+(1),$B$3)+1)*J35+INDEX(Symboles!$G$6:$G$101,MOD(31+$C35+(2),$B$3)+1)*K35+INDEX(Symboles!$G$6:$G$101,MOD(31+$C35+(3),$B$3)+1)*L35+INDEX(Symboles!$G$6:$G$101,MOD(31+$C35+(4),$B$3)+1)*M35+IF($B$6=0,0,$B$6*NORMSINV(0.000001+0.999998*RAND())))</f>
        <v/>
      </c>
      <c r="AV35" s="30">
        <f>IF(33&gt;$B$3,99,INDEX(Symboles!$G$6:$G$101,MOD(32+$C35+(-4),$B$3)+1)*E35+INDEX(Symboles!$G$6:$G$101,MOD(32+$C35+(-3),$B$3)+1)*F35+INDEX(Symboles!$G$6:$G$101,MOD(32+$C35+(-2),$B$3)+1)*G35+INDEX(Symboles!$G$6:$G$101,MOD(32+$C35+(-1),$B$3)+1)*H35+INDEX(Symboles!$G$6:$G$101,MOD(32+$C35+(0),$B$3)+1)*I35+INDEX(Symboles!$G$6:$G$101,MOD(32+$C35+(1),$B$3)+1)*J35+INDEX(Symboles!$G$6:$G$101,MOD(32+$C35+(2),$B$3)+1)*K35+INDEX(Symboles!$G$6:$G$101,MOD(32+$C35+(3),$B$3)+1)*L35+INDEX(Symboles!$G$6:$G$101,MOD(32+$C35+(4),$B$3)+1)*M35+IF($B$6=0,0,$B$6*NORMSINV(0.000001+0.999998*RAND())))</f>
        <v/>
      </c>
      <c r="AW35" s="30">
        <f>IF(34&gt;$B$3,99,INDEX(Symboles!$G$6:$G$101,MOD(33+$C35+(-4),$B$3)+1)*E35+INDEX(Symboles!$G$6:$G$101,MOD(33+$C35+(-3),$B$3)+1)*F35+INDEX(Symboles!$G$6:$G$101,MOD(33+$C35+(-2),$B$3)+1)*G35+INDEX(Symboles!$G$6:$G$101,MOD(33+$C35+(-1),$B$3)+1)*H35+INDEX(Symboles!$G$6:$G$101,MOD(33+$C35+(0),$B$3)+1)*I35+INDEX(Symboles!$G$6:$G$101,MOD(33+$C35+(1),$B$3)+1)*J35+INDEX(Symboles!$G$6:$G$101,MOD(33+$C35+(2),$B$3)+1)*K35+INDEX(Symboles!$G$6:$G$101,MOD(33+$C35+(3),$B$3)+1)*L35+INDEX(Symboles!$G$6:$G$101,MOD(33+$C35+(4),$B$3)+1)*M35+IF($B$6=0,0,$B$6*NORMSINV(0.000001+0.999998*RAND())))</f>
        <v/>
      </c>
      <c r="AX35" s="30">
        <f>IF(35&gt;$B$3,99,INDEX(Symboles!$G$6:$G$101,MOD(34+$C35+(-4),$B$3)+1)*E35+INDEX(Symboles!$G$6:$G$101,MOD(34+$C35+(-3),$B$3)+1)*F35+INDEX(Symboles!$G$6:$G$101,MOD(34+$C35+(-2),$B$3)+1)*G35+INDEX(Symboles!$G$6:$G$101,MOD(34+$C35+(-1),$B$3)+1)*H35+INDEX(Symboles!$G$6:$G$101,MOD(34+$C35+(0),$B$3)+1)*I35+INDEX(Symboles!$G$6:$G$101,MOD(34+$C35+(1),$B$3)+1)*J35+INDEX(Symboles!$G$6:$G$101,MOD(34+$C35+(2),$B$3)+1)*K35+INDEX(Symboles!$G$6:$G$101,MOD(34+$C35+(3),$B$3)+1)*L35+INDEX(Symboles!$G$6:$G$101,MOD(34+$C35+(4),$B$3)+1)*M35+IF($B$6=0,0,$B$6*NORMSINV(0.000001+0.999998*RAND())))</f>
        <v/>
      </c>
      <c r="AY35" s="30">
        <f>IF(36&gt;$B$3,99,INDEX(Symboles!$G$6:$G$101,MOD(35+$C35+(-4),$B$3)+1)*E35+INDEX(Symboles!$G$6:$G$101,MOD(35+$C35+(-3),$B$3)+1)*F35+INDEX(Symboles!$G$6:$G$101,MOD(35+$C35+(-2),$B$3)+1)*G35+INDEX(Symboles!$G$6:$G$101,MOD(35+$C35+(-1),$B$3)+1)*H35+INDEX(Symboles!$G$6:$G$101,MOD(35+$C35+(0),$B$3)+1)*I35+INDEX(Symboles!$G$6:$G$101,MOD(35+$C35+(1),$B$3)+1)*J35+INDEX(Symboles!$G$6:$G$101,MOD(35+$C35+(2),$B$3)+1)*K35+INDEX(Symboles!$G$6:$G$101,MOD(35+$C35+(3),$B$3)+1)*L35+INDEX(Symboles!$G$6:$G$101,MOD(35+$C35+(4),$B$3)+1)*M35+IF($B$6=0,0,$B$6*NORMSINV(0.000001+0.999998*RAND())))</f>
        <v/>
      </c>
      <c r="AZ35" s="30">
        <f>IF(37&gt;$B$3,99,INDEX(Symboles!$G$6:$G$101,MOD(36+$C35+(-4),$B$3)+1)*E35+INDEX(Symboles!$G$6:$G$101,MOD(36+$C35+(-3),$B$3)+1)*F35+INDEX(Symboles!$G$6:$G$101,MOD(36+$C35+(-2),$B$3)+1)*G35+INDEX(Symboles!$G$6:$G$101,MOD(36+$C35+(-1),$B$3)+1)*H35+INDEX(Symboles!$G$6:$G$101,MOD(36+$C35+(0),$B$3)+1)*I35+INDEX(Symboles!$G$6:$G$101,MOD(36+$C35+(1),$B$3)+1)*J35+INDEX(Symboles!$G$6:$G$101,MOD(36+$C35+(2),$B$3)+1)*K35+INDEX(Symboles!$G$6:$G$101,MOD(36+$C35+(3),$B$3)+1)*L35+INDEX(Symboles!$G$6:$G$101,MOD(36+$C35+(4),$B$3)+1)*M35+IF($B$6=0,0,$B$6*NORMSINV(0.000001+0.999998*RAND())))</f>
        <v/>
      </c>
      <c r="BA35" s="30">
        <f>IF(38&gt;$B$3,99,INDEX(Symboles!$G$6:$G$101,MOD(37+$C35+(-4),$B$3)+1)*E35+INDEX(Symboles!$G$6:$G$101,MOD(37+$C35+(-3),$B$3)+1)*F35+INDEX(Symboles!$G$6:$G$101,MOD(37+$C35+(-2),$B$3)+1)*G35+INDEX(Symboles!$G$6:$G$101,MOD(37+$C35+(-1),$B$3)+1)*H35+INDEX(Symboles!$G$6:$G$101,MOD(37+$C35+(0),$B$3)+1)*I35+INDEX(Symboles!$G$6:$G$101,MOD(37+$C35+(1),$B$3)+1)*J35+INDEX(Symboles!$G$6:$G$101,MOD(37+$C35+(2),$B$3)+1)*K35+INDEX(Symboles!$G$6:$G$101,MOD(37+$C35+(3),$B$3)+1)*L35+INDEX(Symboles!$G$6:$G$101,MOD(37+$C35+(4),$B$3)+1)*M35+IF($B$6=0,0,$B$6*NORMSINV(0.000001+0.999998*RAND())))</f>
        <v/>
      </c>
      <c r="BB35" s="30">
        <f>IF(39&gt;$B$3,99,INDEX(Symboles!$G$6:$G$101,MOD(38+$C35+(-4),$B$3)+1)*E35+INDEX(Symboles!$G$6:$G$101,MOD(38+$C35+(-3),$B$3)+1)*F35+INDEX(Symboles!$G$6:$G$101,MOD(38+$C35+(-2),$B$3)+1)*G35+INDEX(Symboles!$G$6:$G$101,MOD(38+$C35+(-1),$B$3)+1)*H35+INDEX(Symboles!$G$6:$G$101,MOD(38+$C35+(0),$B$3)+1)*I35+INDEX(Symboles!$G$6:$G$101,MOD(38+$C35+(1),$B$3)+1)*J35+INDEX(Symboles!$G$6:$G$101,MOD(38+$C35+(2),$B$3)+1)*K35+INDEX(Symboles!$G$6:$G$101,MOD(38+$C35+(3),$B$3)+1)*L35+INDEX(Symboles!$G$6:$G$101,MOD(38+$C35+(4),$B$3)+1)*M35+IF($B$6=0,0,$B$6*NORMSINV(0.000001+0.999998*RAND())))</f>
        <v/>
      </c>
      <c r="BC35" s="30">
        <f>IF(40&gt;$B$3,99,INDEX(Symboles!$G$6:$G$101,MOD(39+$C35+(-4),$B$3)+1)*E35+INDEX(Symboles!$G$6:$G$101,MOD(39+$C35+(-3),$B$3)+1)*F35+INDEX(Symboles!$G$6:$G$101,MOD(39+$C35+(-2),$B$3)+1)*G35+INDEX(Symboles!$G$6:$G$101,MOD(39+$C35+(-1),$B$3)+1)*H35+INDEX(Symboles!$G$6:$G$101,MOD(39+$C35+(0),$B$3)+1)*I35+INDEX(Symboles!$G$6:$G$101,MOD(39+$C35+(1),$B$3)+1)*J35+INDEX(Symboles!$G$6:$G$101,MOD(39+$C35+(2),$B$3)+1)*K35+INDEX(Symboles!$G$6:$G$101,MOD(39+$C35+(3),$B$3)+1)*L35+INDEX(Symboles!$G$6:$G$101,MOD(39+$C35+(4),$B$3)+1)*M35+IF($B$6=0,0,$B$6*NORMSINV(0.000001+0.999998*RAND())))</f>
        <v/>
      </c>
      <c r="BD35" s="30">
        <f>IF(41&gt;$B$3,99,INDEX(Symboles!$G$6:$G$101,MOD(40+$C35+(-4),$B$3)+1)*E35+INDEX(Symboles!$G$6:$G$101,MOD(40+$C35+(-3),$B$3)+1)*F35+INDEX(Symboles!$G$6:$G$101,MOD(40+$C35+(-2),$B$3)+1)*G35+INDEX(Symboles!$G$6:$G$101,MOD(40+$C35+(-1),$B$3)+1)*H35+INDEX(Symboles!$G$6:$G$101,MOD(40+$C35+(0),$B$3)+1)*I35+INDEX(Symboles!$G$6:$G$101,MOD(40+$C35+(1),$B$3)+1)*J35+INDEX(Symboles!$G$6:$G$101,MOD(40+$C35+(2),$B$3)+1)*K35+INDEX(Symboles!$G$6:$G$101,MOD(40+$C35+(3),$B$3)+1)*L35+INDEX(Symboles!$G$6:$G$101,MOD(40+$C35+(4),$B$3)+1)*M35+IF($B$6=0,0,$B$6*NORMSINV(0.000001+0.999998*RAND())))</f>
        <v/>
      </c>
      <c r="BE35" s="30">
        <f>IF(42&gt;$B$3,99,INDEX(Symboles!$G$6:$G$101,MOD(41+$C35+(-4),$B$3)+1)*E35+INDEX(Symboles!$G$6:$G$101,MOD(41+$C35+(-3),$B$3)+1)*F35+INDEX(Symboles!$G$6:$G$101,MOD(41+$C35+(-2),$B$3)+1)*G35+INDEX(Symboles!$G$6:$G$101,MOD(41+$C35+(-1),$B$3)+1)*H35+INDEX(Symboles!$G$6:$G$101,MOD(41+$C35+(0),$B$3)+1)*I35+INDEX(Symboles!$G$6:$G$101,MOD(41+$C35+(1),$B$3)+1)*J35+INDEX(Symboles!$G$6:$G$101,MOD(41+$C35+(2),$B$3)+1)*K35+INDEX(Symboles!$G$6:$G$101,MOD(41+$C35+(3),$B$3)+1)*L35+INDEX(Symboles!$G$6:$G$101,MOD(41+$C35+(4),$B$3)+1)*M35+IF($B$6=0,0,$B$6*NORMSINV(0.000001+0.999998*RAND())))</f>
        <v/>
      </c>
      <c r="BF35" s="30">
        <f>IF(43&gt;$B$3,99,INDEX(Symboles!$G$6:$G$101,MOD(42+$C35+(-4),$B$3)+1)*E35+INDEX(Symboles!$G$6:$G$101,MOD(42+$C35+(-3),$B$3)+1)*F35+INDEX(Symboles!$G$6:$G$101,MOD(42+$C35+(-2),$B$3)+1)*G35+INDEX(Symboles!$G$6:$G$101,MOD(42+$C35+(-1),$B$3)+1)*H35+INDEX(Symboles!$G$6:$G$101,MOD(42+$C35+(0),$B$3)+1)*I35+INDEX(Symboles!$G$6:$G$101,MOD(42+$C35+(1),$B$3)+1)*J35+INDEX(Symboles!$G$6:$G$101,MOD(42+$C35+(2),$B$3)+1)*K35+INDEX(Symboles!$G$6:$G$101,MOD(42+$C35+(3),$B$3)+1)*L35+INDEX(Symboles!$G$6:$G$101,MOD(42+$C35+(4),$B$3)+1)*M35+IF($B$6=0,0,$B$6*NORMSINV(0.000001+0.999998*RAND())))</f>
        <v/>
      </c>
      <c r="BG35" s="30">
        <f>IF(44&gt;$B$3,99,INDEX(Symboles!$G$6:$G$101,MOD(43+$C35+(-4),$B$3)+1)*E35+INDEX(Symboles!$G$6:$G$101,MOD(43+$C35+(-3),$B$3)+1)*F35+INDEX(Symboles!$G$6:$G$101,MOD(43+$C35+(-2),$B$3)+1)*G35+INDEX(Symboles!$G$6:$G$101,MOD(43+$C35+(-1),$B$3)+1)*H35+INDEX(Symboles!$G$6:$G$101,MOD(43+$C35+(0),$B$3)+1)*I35+INDEX(Symboles!$G$6:$G$101,MOD(43+$C35+(1),$B$3)+1)*J35+INDEX(Symboles!$G$6:$G$101,MOD(43+$C35+(2),$B$3)+1)*K35+INDEX(Symboles!$G$6:$G$101,MOD(43+$C35+(3),$B$3)+1)*L35+INDEX(Symboles!$G$6:$G$101,MOD(43+$C35+(4),$B$3)+1)*M35+IF($B$6=0,0,$B$6*NORMSINV(0.000001+0.999998*RAND())))</f>
        <v/>
      </c>
      <c r="BH35" s="30">
        <f>IF(45&gt;$B$3,99,INDEX(Symboles!$G$6:$G$101,MOD(44+$C35+(-4),$B$3)+1)*E35+INDEX(Symboles!$G$6:$G$101,MOD(44+$C35+(-3),$B$3)+1)*F35+INDEX(Symboles!$G$6:$G$101,MOD(44+$C35+(-2),$B$3)+1)*G35+INDEX(Symboles!$G$6:$G$101,MOD(44+$C35+(-1),$B$3)+1)*H35+INDEX(Symboles!$G$6:$G$101,MOD(44+$C35+(0),$B$3)+1)*I35+INDEX(Symboles!$G$6:$G$101,MOD(44+$C35+(1),$B$3)+1)*J35+INDEX(Symboles!$G$6:$G$101,MOD(44+$C35+(2),$B$3)+1)*K35+INDEX(Symboles!$G$6:$G$101,MOD(44+$C35+(3),$B$3)+1)*L35+INDEX(Symboles!$G$6:$G$101,MOD(44+$C35+(4),$B$3)+1)*M35+IF($B$6=0,0,$B$6*NORMSINV(0.000001+0.999998*RAND())))</f>
        <v/>
      </c>
      <c r="BI35" s="30">
        <f>IF(46&gt;$B$3,99,INDEX(Symboles!$G$6:$G$101,MOD(45+$C35+(-4),$B$3)+1)*E35+INDEX(Symboles!$G$6:$G$101,MOD(45+$C35+(-3),$B$3)+1)*F35+INDEX(Symboles!$G$6:$G$101,MOD(45+$C35+(-2),$B$3)+1)*G35+INDEX(Symboles!$G$6:$G$101,MOD(45+$C35+(-1),$B$3)+1)*H35+INDEX(Symboles!$G$6:$G$101,MOD(45+$C35+(0),$B$3)+1)*I35+INDEX(Symboles!$G$6:$G$101,MOD(45+$C35+(1),$B$3)+1)*J35+INDEX(Symboles!$G$6:$G$101,MOD(45+$C35+(2),$B$3)+1)*K35+INDEX(Symboles!$G$6:$G$101,MOD(45+$C35+(3),$B$3)+1)*L35+INDEX(Symboles!$G$6:$G$101,MOD(45+$C35+(4),$B$3)+1)*M35+IF($B$6=0,0,$B$6*NORMSINV(0.000001+0.999998*RAND())))</f>
        <v/>
      </c>
      <c r="BJ35" s="30">
        <f>IF(47&gt;$B$3,99,INDEX(Symboles!$G$6:$G$101,MOD(46+$C35+(-4),$B$3)+1)*E35+INDEX(Symboles!$G$6:$G$101,MOD(46+$C35+(-3),$B$3)+1)*F35+INDEX(Symboles!$G$6:$G$101,MOD(46+$C35+(-2),$B$3)+1)*G35+INDEX(Symboles!$G$6:$G$101,MOD(46+$C35+(-1),$B$3)+1)*H35+INDEX(Symboles!$G$6:$G$101,MOD(46+$C35+(0),$B$3)+1)*I35+INDEX(Symboles!$G$6:$G$101,MOD(46+$C35+(1),$B$3)+1)*J35+INDEX(Symboles!$G$6:$G$101,MOD(46+$C35+(2),$B$3)+1)*K35+INDEX(Symboles!$G$6:$G$101,MOD(46+$C35+(3),$B$3)+1)*L35+INDEX(Symboles!$G$6:$G$101,MOD(46+$C35+(4),$B$3)+1)*M35+IF($B$6=0,0,$B$6*NORMSINV(0.000001+0.999998*RAND())))</f>
        <v/>
      </c>
      <c r="BK35" s="30">
        <f>IF(48&gt;$B$3,99,INDEX(Symboles!$G$6:$G$101,MOD(47+$C35+(-4),$B$3)+1)*E35+INDEX(Symboles!$G$6:$G$101,MOD(47+$C35+(-3),$B$3)+1)*F35+INDEX(Symboles!$G$6:$G$101,MOD(47+$C35+(-2),$B$3)+1)*G35+INDEX(Symboles!$G$6:$G$101,MOD(47+$C35+(-1),$B$3)+1)*H35+INDEX(Symboles!$G$6:$G$101,MOD(47+$C35+(0),$B$3)+1)*I35+INDEX(Symboles!$G$6:$G$101,MOD(47+$C35+(1),$B$3)+1)*J35+INDEX(Symboles!$G$6:$G$101,MOD(47+$C35+(2),$B$3)+1)*K35+INDEX(Symboles!$G$6:$G$101,MOD(47+$C35+(3),$B$3)+1)*L35+INDEX(Symboles!$G$6:$G$101,MOD(47+$C35+(4),$B$3)+1)*M35+IF($B$6=0,0,$B$6*NORMSINV(0.000001+0.999998*RAND())))</f>
        <v/>
      </c>
      <c r="BL35" s="30">
        <f>IF(49&gt;$B$3,99,INDEX(Symboles!$G$6:$G$101,MOD(48+$C35+(-4),$B$3)+1)*E35+INDEX(Symboles!$G$6:$G$101,MOD(48+$C35+(-3),$B$3)+1)*F35+INDEX(Symboles!$G$6:$G$101,MOD(48+$C35+(-2),$B$3)+1)*G35+INDEX(Symboles!$G$6:$G$101,MOD(48+$C35+(-1),$B$3)+1)*H35+INDEX(Symboles!$G$6:$G$101,MOD(48+$C35+(0),$B$3)+1)*I35+INDEX(Symboles!$G$6:$G$101,MOD(48+$C35+(1),$B$3)+1)*J35+INDEX(Symboles!$G$6:$G$101,MOD(48+$C35+(2),$B$3)+1)*K35+INDEX(Symboles!$G$6:$G$101,MOD(48+$C35+(3),$B$3)+1)*L35+INDEX(Symboles!$G$6:$G$101,MOD(48+$C35+(4),$B$3)+1)*M35+IF($B$6=0,0,$B$6*NORMSINV(0.000001+0.999998*RAND())))</f>
        <v/>
      </c>
      <c r="BM35" s="30">
        <f>IF(50&gt;$B$3,99,INDEX(Symboles!$G$6:$G$101,MOD(49+$C35+(-4),$B$3)+1)*E35+INDEX(Symboles!$G$6:$G$101,MOD(49+$C35+(-3),$B$3)+1)*F35+INDEX(Symboles!$G$6:$G$101,MOD(49+$C35+(-2),$B$3)+1)*G35+INDEX(Symboles!$G$6:$G$101,MOD(49+$C35+(-1),$B$3)+1)*H35+INDEX(Symboles!$G$6:$G$101,MOD(49+$C35+(0),$B$3)+1)*I35+INDEX(Symboles!$G$6:$G$101,MOD(49+$C35+(1),$B$3)+1)*J35+INDEX(Symboles!$G$6:$G$101,MOD(49+$C35+(2),$B$3)+1)*K35+INDEX(Symboles!$G$6:$G$101,MOD(49+$C35+(3),$B$3)+1)*L35+INDEX(Symboles!$G$6:$G$101,MOD(49+$C35+(4),$B$3)+1)*M35+IF($B$6=0,0,$B$6*NORMSINV(0.000001+0.999998*RAND())))</f>
        <v/>
      </c>
      <c r="BN35" s="30">
        <f>IF(51&gt;$B$3,99,INDEX(Symboles!$G$6:$G$101,MOD(50+$C35+(-4),$B$3)+1)*E35+INDEX(Symboles!$G$6:$G$101,MOD(50+$C35+(-3),$B$3)+1)*F35+INDEX(Symboles!$G$6:$G$101,MOD(50+$C35+(-2),$B$3)+1)*G35+INDEX(Symboles!$G$6:$G$101,MOD(50+$C35+(-1),$B$3)+1)*H35+INDEX(Symboles!$G$6:$G$101,MOD(50+$C35+(0),$B$3)+1)*I35+INDEX(Symboles!$G$6:$G$101,MOD(50+$C35+(1),$B$3)+1)*J35+INDEX(Symboles!$G$6:$G$101,MOD(50+$C35+(2),$B$3)+1)*K35+INDEX(Symboles!$G$6:$G$101,MOD(50+$C35+(3),$B$3)+1)*L35+INDEX(Symboles!$G$6:$G$101,MOD(50+$C35+(4),$B$3)+1)*M35+IF($B$6=0,0,$B$6*NORMSINV(0.000001+0.999998*RAND())))</f>
        <v/>
      </c>
      <c r="BO35" s="30">
        <f>IF(52&gt;$B$3,99,INDEX(Symboles!$G$6:$G$101,MOD(51+$C35+(-4),$B$3)+1)*E35+INDEX(Symboles!$G$6:$G$101,MOD(51+$C35+(-3),$B$3)+1)*F35+INDEX(Symboles!$G$6:$G$101,MOD(51+$C35+(-2),$B$3)+1)*G35+INDEX(Symboles!$G$6:$G$101,MOD(51+$C35+(-1),$B$3)+1)*H35+INDEX(Symboles!$G$6:$G$101,MOD(51+$C35+(0),$B$3)+1)*I35+INDEX(Symboles!$G$6:$G$101,MOD(51+$C35+(1),$B$3)+1)*J35+INDEX(Symboles!$G$6:$G$101,MOD(51+$C35+(2),$B$3)+1)*K35+INDEX(Symboles!$G$6:$G$101,MOD(51+$C35+(3),$B$3)+1)*L35+INDEX(Symboles!$G$6:$G$101,MOD(51+$C35+(4),$B$3)+1)*M35+IF($B$6=0,0,$B$6*NORMSINV(0.000001+0.999998*RAND())))</f>
        <v/>
      </c>
      <c r="BP35" s="30">
        <f>IF(53&gt;$B$3,99,INDEX(Symboles!$G$6:$G$101,MOD(52+$C35+(-4),$B$3)+1)*E35+INDEX(Symboles!$G$6:$G$101,MOD(52+$C35+(-3),$B$3)+1)*F35+INDEX(Symboles!$G$6:$G$101,MOD(52+$C35+(-2),$B$3)+1)*G35+INDEX(Symboles!$G$6:$G$101,MOD(52+$C35+(-1),$B$3)+1)*H35+INDEX(Symboles!$G$6:$G$101,MOD(52+$C35+(0),$B$3)+1)*I35+INDEX(Symboles!$G$6:$G$101,MOD(52+$C35+(1),$B$3)+1)*J35+INDEX(Symboles!$G$6:$G$101,MOD(52+$C35+(2),$B$3)+1)*K35+INDEX(Symboles!$G$6:$G$101,MOD(52+$C35+(3),$B$3)+1)*L35+INDEX(Symboles!$G$6:$G$101,MOD(52+$C35+(4),$B$3)+1)*M35+IF($B$6=0,0,$B$6*NORMSINV(0.000001+0.999998*RAND())))</f>
        <v/>
      </c>
      <c r="BQ35" s="30">
        <f>IF(54&gt;$B$3,99,INDEX(Symboles!$G$6:$G$101,MOD(53+$C35+(-4),$B$3)+1)*E35+INDEX(Symboles!$G$6:$G$101,MOD(53+$C35+(-3),$B$3)+1)*F35+INDEX(Symboles!$G$6:$G$101,MOD(53+$C35+(-2),$B$3)+1)*G35+INDEX(Symboles!$G$6:$G$101,MOD(53+$C35+(-1),$B$3)+1)*H35+INDEX(Symboles!$G$6:$G$101,MOD(53+$C35+(0),$B$3)+1)*I35+INDEX(Symboles!$G$6:$G$101,MOD(53+$C35+(1),$B$3)+1)*J35+INDEX(Symboles!$G$6:$G$101,MOD(53+$C35+(2),$B$3)+1)*K35+INDEX(Symboles!$G$6:$G$101,MOD(53+$C35+(3),$B$3)+1)*L35+INDEX(Symboles!$G$6:$G$101,MOD(53+$C35+(4),$B$3)+1)*M35+IF($B$6=0,0,$B$6*NORMSINV(0.000001+0.999998*RAND())))</f>
        <v/>
      </c>
      <c r="BR35" s="30">
        <f>IF(55&gt;$B$3,99,INDEX(Symboles!$G$6:$G$101,MOD(54+$C35+(-4),$B$3)+1)*E35+INDEX(Symboles!$G$6:$G$101,MOD(54+$C35+(-3),$B$3)+1)*F35+INDEX(Symboles!$G$6:$G$101,MOD(54+$C35+(-2),$B$3)+1)*G35+INDEX(Symboles!$G$6:$G$101,MOD(54+$C35+(-1),$B$3)+1)*H35+INDEX(Symboles!$G$6:$G$101,MOD(54+$C35+(0),$B$3)+1)*I35+INDEX(Symboles!$G$6:$G$101,MOD(54+$C35+(1),$B$3)+1)*J35+INDEX(Symboles!$G$6:$G$101,MOD(54+$C35+(2),$B$3)+1)*K35+INDEX(Symboles!$G$6:$G$101,MOD(54+$C35+(3),$B$3)+1)*L35+INDEX(Symboles!$G$6:$G$101,MOD(54+$C35+(4),$B$3)+1)*M35+IF($B$6=0,0,$B$6*NORMSINV(0.000001+0.999998*RAND())))</f>
        <v/>
      </c>
      <c r="BS35" s="30">
        <f>IF(56&gt;$B$3,99,INDEX(Symboles!$G$6:$G$101,MOD(55+$C35+(-4),$B$3)+1)*E35+INDEX(Symboles!$G$6:$G$101,MOD(55+$C35+(-3),$B$3)+1)*F35+INDEX(Symboles!$G$6:$G$101,MOD(55+$C35+(-2),$B$3)+1)*G35+INDEX(Symboles!$G$6:$G$101,MOD(55+$C35+(-1),$B$3)+1)*H35+INDEX(Symboles!$G$6:$G$101,MOD(55+$C35+(0),$B$3)+1)*I35+INDEX(Symboles!$G$6:$G$101,MOD(55+$C35+(1),$B$3)+1)*J35+INDEX(Symboles!$G$6:$G$101,MOD(55+$C35+(2),$B$3)+1)*K35+INDEX(Symboles!$G$6:$G$101,MOD(55+$C35+(3),$B$3)+1)*L35+INDEX(Symboles!$G$6:$G$101,MOD(55+$C35+(4),$B$3)+1)*M35+IF($B$6=0,0,$B$6*NORMSINV(0.000001+0.999998*RAND())))</f>
        <v/>
      </c>
      <c r="BT35" s="30">
        <f>IF(57&gt;$B$3,99,INDEX(Symboles!$G$6:$G$101,MOD(56+$C35+(-4),$B$3)+1)*E35+INDEX(Symboles!$G$6:$G$101,MOD(56+$C35+(-3),$B$3)+1)*F35+INDEX(Symboles!$G$6:$G$101,MOD(56+$C35+(-2),$B$3)+1)*G35+INDEX(Symboles!$G$6:$G$101,MOD(56+$C35+(-1),$B$3)+1)*H35+INDEX(Symboles!$G$6:$G$101,MOD(56+$C35+(0),$B$3)+1)*I35+INDEX(Symboles!$G$6:$G$101,MOD(56+$C35+(1),$B$3)+1)*J35+INDEX(Symboles!$G$6:$G$101,MOD(56+$C35+(2),$B$3)+1)*K35+INDEX(Symboles!$G$6:$G$101,MOD(56+$C35+(3),$B$3)+1)*L35+INDEX(Symboles!$G$6:$G$101,MOD(56+$C35+(4),$B$3)+1)*M35+IF($B$6=0,0,$B$6*NORMSINV(0.000001+0.999998*RAND())))</f>
        <v/>
      </c>
      <c r="BU35" s="30">
        <f>IF(58&gt;$B$3,99,INDEX(Symboles!$G$6:$G$101,MOD(57+$C35+(-4),$B$3)+1)*E35+INDEX(Symboles!$G$6:$G$101,MOD(57+$C35+(-3),$B$3)+1)*F35+INDEX(Symboles!$G$6:$G$101,MOD(57+$C35+(-2),$B$3)+1)*G35+INDEX(Symboles!$G$6:$G$101,MOD(57+$C35+(-1),$B$3)+1)*H35+INDEX(Symboles!$G$6:$G$101,MOD(57+$C35+(0),$B$3)+1)*I35+INDEX(Symboles!$G$6:$G$101,MOD(57+$C35+(1),$B$3)+1)*J35+INDEX(Symboles!$G$6:$G$101,MOD(57+$C35+(2),$B$3)+1)*K35+INDEX(Symboles!$G$6:$G$101,MOD(57+$C35+(3),$B$3)+1)*L35+INDEX(Symboles!$G$6:$G$101,MOD(57+$C35+(4),$B$3)+1)*M35+IF($B$6=0,0,$B$6*NORMSINV(0.000001+0.999998*RAND())))</f>
        <v/>
      </c>
      <c r="BV35" s="30">
        <f>IF(59&gt;$B$3,99,INDEX(Symboles!$G$6:$G$101,MOD(58+$C35+(-4),$B$3)+1)*E35+INDEX(Symboles!$G$6:$G$101,MOD(58+$C35+(-3),$B$3)+1)*F35+INDEX(Symboles!$G$6:$G$101,MOD(58+$C35+(-2),$B$3)+1)*G35+INDEX(Symboles!$G$6:$G$101,MOD(58+$C35+(-1),$B$3)+1)*H35+INDEX(Symboles!$G$6:$G$101,MOD(58+$C35+(0),$B$3)+1)*I35+INDEX(Symboles!$G$6:$G$101,MOD(58+$C35+(1),$B$3)+1)*J35+INDEX(Symboles!$G$6:$G$101,MOD(58+$C35+(2),$B$3)+1)*K35+INDEX(Symboles!$G$6:$G$101,MOD(58+$C35+(3),$B$3)+1)*L35+INDEX(Symboles!$G$6:$G$101,MOD(58+$C35+(4),$B$3)+1)*M35+IF($B$6=0,0,$B$6*NORMSINV(0.000001+0.999998*RAND())))</f>
        <v/>
      </c>
      <c r="BW35" s="30">
        <f>IF(60&gt;$B$3,99,INDEX(Symboles!$G$6:$G$101,MOD(59+$C35+(-4),$B$3)+1)*E35+INDEX(Symboles!$G$6:$G$101,MOD(59+$C35+(-3),$B$3)+1)*F35+INDEX(Symboles!$G$6:$G$101,MOD(59+$C35+(-2),$B$3)+1)*G35+INDEX(Symboles!$G$6:$G$101,MOD(59+$C35+(-1),$B$3)+1)*H35+INDEX(Symboles!$G$6:$G$101,MOD(59+$C35+(0),$B$3)+1)*I35+INDEX(Symboles!$G$6:$G$101,MOD(59+$C35+(1),$B$3)+1)*J35+INDEX(Symboles!$G$6:$G$101,MOD(59+$C35+(2),$B$3)+1)*K35+INDEX(Symboles!$G$6:$G$101,MOD(59+$C35+(3),$B$3)+1)*L35+INDEX(Symboles!$G$6:$G$101,MOD(59+$C35+(4),$B$3)+1)*M35+IF($B$6=0,0,$B$6*NORMSINV(0.000001+0.999998*RAND())))</f>
        <v/>
      </c>
      <c r="BX35" s="30">
        <f>IF(61&gt;$B$3,99,INDEX(Symboles!$G$6:$G$101,MOD(60+$C35+(-4),$B$3)+1)*E35+INDEX(Symboles!$G$6:$G$101,MOD(60+$C35+(-3),$B$3)+1)*F35+INDEX(Symboles!$G$6:$G$101,MOD(60+$C35+(-2),$B$3)+1)*G35+INDEX(Symboles!$G$6:$G$101,MOD(60+$C35+(-1),$B$3)+1)*H35+INDEX(Symboles!$G$6:$G$101,MOD(60+$C35+(0),$B$3)+1)*I35+INDEX(Symboles!$G$6:$G$101,MOD(60+$C35+(1),$B$3)+1)*J35+INDEX(Symboles!$G$6:$G$101,MOD(60+$C35+(2),$B$3)+1)*K35+INDEX(Symboles!$G$6:$G$101,MOD(60+$C35+(3),$B$3)+1)*L35+INDEX(Symboles!$G$6:$G$101,MOD(60+$C35+(4),$B$3)+1)*M35+IF($B$6=0,0,$B$6*NORMSINV(0.000001+0.999998*RAND())))</f>
        <v/>
      </c>
      <c r="BY35" s="30">
        <f>IF(62&gt;$B$3,99,INDEX(Symboles!$G$6:$G$101,MOD(61+$C35+(-4),$B$3)+1)*E35+INDEX(Symboles!$G$6:$G$101,MOD(61+$C35+(-3),$B$3)+1)*F35+INDEX(Symboles!$G$6:$G$101,MOD(61+$C35+(-2),$B$3)+1)*G35+INDEX(Symboles!$G$6:$G$101,MOD(61+$C35+(-1),$B$3)+1)*H35+INDEX(Symboles!$G$6:$G$101,MOD(61+$C35+(0),$B$3)+1)*I35+INDEX(Symboles!$G$6:$G$101,MOD(61+$C35+(1),$B$3)+1)*J35+INDEX(Symboles!$G$6:$G$101,MOD(61+$C35+(2),$B$3)+1)*K35+INDEX(Symboles!$G$6:$G$101,MOD(61+$C35+(3),$B$3)+1)*L35+INDEX(Symboles!$G$6:$G$101,MOD(61+$C35+(4),$B$3)+1)*M35+IF($B$6=0,0,$B$6*NORMSINV(0.000001+0.999998*RAND())))</f>
        <v/>
      </c>
      <c r="BZ35" s="30">
        <f>IF(63&gt;$B$3,99,INDEX(Symboles!$G$6:$G$101,MOD(62+$C35+(-4),$B$3)+1)*E35+INDEX(Symboles!$G$6:$G$101,MOD(62+$C35+(-3),$B$3)+1)*F35+INDEX(Symboles!$G$6:$G$101,MOD(62+$C35+(-2),$B$3)+1)*G35+INDEX(Symboles!$G$6:$G$101,MOD(62+$C35+(-1),$B$3)+1)*H35+INDEX(Symboles!$G$6:$G$101,MOD(62+$C35+(0),$B$3)+1)*I35+INDEX(Symboles!$G$6:$G$101,MOD(62+$C35+(1),$B$3)+1)*J35+INDEX(Symboles!$G$6:$G$101,MOD(62+$C35+(2),$B$3)+1)*K35+INDEX(Symboles!$G$6:$G$101,MOD(62+$C35+(3),$B$3)+1)*L35+INDEX(Symboles!$G$6:$G$101,MOD(62+$C35+(4),$B$3)+1)*M35+IF($B$6=0,0,$B$6*NORMSINV(0.000001+0.999998*RAND())))</f>
        <v/>
      </c>
      <c r="CA35" s="30">
        <f>IF(64&gt;$B$3,99,INDEX(Symboles!$G$6:$G$101,MOD(63+$C35+(-4),$B$3)+1)*E35+INDEX(Symboles!$G$6:$G$101,MOD(63+$C35+(-3),$B$3)+1)*F35+INDEX(Symboles!$G$6:$G$101,MOD(63+$C35+(-2),$B$3)+1)*G35+INDEX(Symboles!$G$6:$G$101,MOD(63+$C35+(-1),$B$3)+1)*H35+INDEX(Symboles!$G$6:$G$101,MOD(63+$C35+(0),$B$3)+1)*I35+INDEX(Symboles!$G$6:$G$101,MOD(63+$C35+(1),$B$3)+1)*J35+INDEX(Symboles!$G$6:$G$101,MOD(63+$C35+(2),$B$3)+1)*K35+INDEX(Symboles!$G$6:$G$101,MOD(63+$C35+(3),$B$3)+1)*L35+INDEX(Symboles!$G$6:$G$101,MOD(63+$C35+(4),$B$3)+1)*M35+IF($B$6=0,0,$B$6*NORMSINV(0.000001+0.999998*RAND())))</f>
        <v/>
      </c>
      <c r="CB35" s="30">
        <f>IF(65&gt;$B$3,99,INDEX(Symboles!$G$6:$G$101,MOD(64+$C35+(-4),$B$3)+1)*E35+INDEX(Symboles!$G$6:$G$101,MOD(64+$C35+(-3),$B$3)+1)*F35+INDEX(Symboles!$G$6:$G$101,MOD(64+$C35+(-2),$B$3)+1)*G35+INDEX(Symboles!$G$6:$G$101,MOD(64+$C35+(-1),$B$3)+1)*H35+INDEX(Symboles!$G$6:$G$101,MOD(64+$C35+(0),$B$3)+1)*I35+INDEX(Symboles!$G$6:$G$101,MOD(64+$C35+(1),$B$3)+1)*J35+INDEX(Symboles!$G$6:$G$101,MOD(64+$C35+(2),$B$3)+1)*K35+INDEX(Symboles!$G$6:$G$101,MOD(64+$C35+(3),$B$3)+1)*L35+INDEX(Symboles!$G$6:$G$101,MOD(64+$C35+(4),$B$3)+1)*M35+IF($B$6=0,0,$B$6*NORMSINV(0.000001+0.999998*RAND())))</f>
        <v/>
      </c>
      <c r="CC35" s="30">
        <f>IF(66&gt;$B$3,99,INDEX(Symboles!$G$6:$G$101,MOD(65+$C35+(-4),$B$3)+1)*E35+INDEX(Symboles!$G$6:$G$101,MOD(65+$C35+(-3),$B$3)+1)*F35+INDEX(Symboles!$G$6:$G$101,MOD(65+$C35+(-2),$B$3)+1)*G35+INDEX(Symboles!$G$6:$G$101,MOD(65+$C35+(-1),$B$3)+1)*H35+INDEX(Symboles!$G$6:$G$101,MOD(65+$C35+(0),$B$3)+1)*I35+INDEX(Symboles!$G$6:$G$101,MOD(65+$C35+(1),$B$3)+1)*J35+INDEX(Symboles!$G$6:$G$101,MOD(65+$C35+(2),$B$3)+1)*K35+INDEX(Symboles!$G$6:$G$101,MOD(65+$C35+(3),$B$3)+1)*L35+INDEX(Symboles!$G$6:$G$101,MOD(65+$C35+(4),$B$3)+1)*M35+IF($B$6=0,0,$B$6*NORMSINV(0.000001+0.999998*RAND())))</f>
        <v/>
      </c>
      <c r="CD35" s="30">
        <f>IF(67&gt;$B$3,99,INDEX(Symboles!$G$6:$G$101,MOD(66+$C35+(-4),$B$3)+1)*E35+INDEX(Symboles!$G$6:$G$101,MOD(66+$C35+(-3),$B$3)+1)*F35+INDEX(Symboles!$G$6:$G$101,MOD(66+$C35+(-2),$B$3)+1)*G35+INDEX(Symboles!$G$6:$G$101,MOD(66+$C35+(-1),$B$3)+1)*H35+INDEX(Symboles!$G$6:$G$101,MOD(66+$C35+(0),$B$3)+1)*I35+INDEX(Symboles!$G$6:$G$101,MOD(66+$C35+(1),$B$3)+1)*J35+INDEX(Symboles!$G$6:$G$101,MOD(66+$C35+(2),$B$3)+1)*K35+INDEX(Symboles!$G$6:$G$101,MOD(66+$C35+(3),$B$3)+1)*L35+INDEX(Symboles!$G$6:$G$101,MOD(66+$C35+(4),$B$3)+1)*M35+IF($B$6=0,0,$B$6*NORMSINV(0.000001+0.999998*RAND())))</f>
        <v/>
      </c>
      <c r="CE35" s="30">
        <f>IF(68&gt;$B$3,99,INDEX(Symboles!$G$6:$G$101,MOD(67+$C35+(-4),$B$3)+1)*E35+INDEX(Symboles!$G$6:$G$101,MOD(67+$C35+(-3),$B$3)+1)*F35+INDEX(Symboles!$G$6:$G$101,MOD(67+$C35+(-2),$B$3)+1)*G35+INDEX(Symboles!$G$6:$G$101,MOD(67+$C35+(-1),$B$3)+1)*H35+INDEX(Symboles!$G$6:$G$101,MOD(67+$C35+(0),$B$3)+1)*I35+INDEX(Symboles!$G$6:$G$101,MOD(67+$C35+(1),$B$3)+1)*J35+INDEX(Symboles!$G$6:$G$101,MOD(67+$C35+(2),$B$3)+1)*K35+INDEX(Symboles!$G$6:$G$101,MOD(67+$C35+(3),$B$3)+1)*L35+INDEX(Symboles!$G$6:$G$101,MOD(67+$C35+(4),$B$3)+1)*M35+IF($B$6=0,0,$B$6*NORMSINV(0.000001+0.999998*RAND())))</f>
        <v/>
      </c>
      <c r="CF35" s="30">
        <f>IF(69&gt;$B$3,99,INDEX(Symboles!$G$6:$G$101,MOD(68+$C35+(-4),$B$3)+1)*E35+INDEX(Symboles!$G$6:$G$101,MOD(68+$C35+(-3),$B$3)+1)*F35+INDEX(Symboles!$G$6:$G$101,MOD(68+$C35+(-2),$B$3)+1)*G35+INDEX(Symboles!$G$6:$G$101,MOD(68+$C35+(-1),$B$3)+1)*H35+INDEX(Symboles!$G$6:$G$101,MOD(68+$C35+(0),$B$3)+1)*I35+INDEX(Symboles!$G$6:$G$101,MOD(68+$C35+(1),$B$3)+1)*J35+INDEX(Symboles!$G$6:$G$101,MOD(68+$C35+(2),$B$3)+1)*K35+INDEX(Symboles!$G$6:$G$101,MOD(68+$C35+(3),$B$3)+1)*L35+INDEX(Symboles!$G$6:$G$101,MOD(68+$C35+(4),$B$3)+1)*M35+IF($B$6=0,0,$B$6*NORMSINV(0.000001+0.999998*RAND())))</f>
        <v/>
      </c>
      <c r="CG35" s="30">
        <f>IF(70&gt;$B$3,99,INDEX(Symboles!$G$6:$G$101,MOD(69+$C35+(-4),$B$3)+1)*E35+INDEX(Symboles!$G$6:$G$101,MOD(69+$C35+(-3),$B$3)+1)*F35+INDEX(Symboles!$G$6:$G$101,MOD(69+$C35+(-2),$B$3)+1)*G35+INDEX(Symboles!$G$6:$G$101,MOD(69+$C35+(-1),$B$3)+1)*H35+INDEX(Symboles!$G$6:$G$101,MOD(69+$C35+(0),$B$3)+1)*I35+INDEX(Symboles!$G$6:$G$101,MOD(69+$C35+(1),$B$3)+1)*J35+INDEX(Symboles!$G$6:$G$101,MOD(69+$C35+(2),$B$3)+1)*K35+INDEX(Symboles!$G$6:$G$101,MOD(69+$C35+(3),$B$3)+1)*L35+INDEX(Symboles!$G$6:$G$101,MOD(69+$C35+(4),$B$3)+1)*M35+IF($B$6=0,0,$B$6*NORMSINV(0.000001+0.999998*RAND())))</f>
        <v/>
      </c>
      <c r="CH35" s="30">
        <f>IF(71&gt;$B$3,99,INDEX(Symboles!$G$6:$G$101,MOD(70+$C35+(-4),$B$3)+1)*E35+INDEX(Symboles!$G$6:$G$101,MOD(70+$C35+(-3),$B$3)+1)*F35+INDEX(Symboles!$G$6:$G$101,MOD(70+$C35+(-2),$B$3)+1)*G35+INDEX(Symboles!$G$6:$G$101,MOD(70+$C35+(-1),$B$3)+1)*H35+INDEX(Symboles!$G$6:$G$101,MOD(70+$C35+(0),$B$3)+1)*I35+INDEX(Symboles!$G$6:$G$101,MOD(70+$C35+(1),$B$3)+1)*J35+INDEX(Symboles!$G$6:$G$101,MOD(70+$C35+(2),$B$3)+1)*K35+INDEX(Symboles!$G$6:$G$101,MOD(70+$C35+(3),$B$3)+1)*L35+INDEX(Symboles!$G$6:$G$101,MOD(70+$C35+(4),$B$3)+1)*M35+IF($B$6=0,0,$B$6*NORMSINV(0.000001+0.999998*RAND())))</f>
        <v/>
      </c>
      <c r="CI35" s="30">
        <f>IF(72&gt;$B$3,99,INDEX(Symboles!$G$6:$G$101,MOD(71+$C35+(-4),$B$3)+1)*E35+INDEX(Symboles!$G$6:$G$101,MOD(71+$C35+(-3),$B$3)+1)*F35+INDEX(Symboles!$G$6:$G$101,MOD(71+$C35+(-2),$B$3)+1)*G35+INDEX(Symboles!$G$6:$G$101,MOD(71+$C35+(-1),$B$3)+1)*H35+INDEX(Symboles!$G$6:$G$101,MOD(71+$C35+(0),$B$3)+1)*I35+INDEX(Symboles!$G$6:$G$101,MOD(71+$C35+(1),$B$3)+1)*J35+INDEX(Symboles!$G$6:$G$101,MOD(71+$C35+(2),$B$3)+1)*K35+INDEX(Symboles!$G$6:$G$101,MOD(71+$C35+(3),$B$3)+1)*L35+INDEX(Symboles!$G$6:$G$101,MOD(71+$C35+(4),$B$3)+1)*M35+IF($B$6=0,0,$B$6*NORMSINV(0.000001+0.999998*RAND())))</f>
        <v/>
      </c>
      <c r="CJ35" s="30">
        <f>IF(73&gt;$B$3,99,INDEX(Symboles!$G$6:$G$101,MOD(72+$C35+(-4),$B$3)+1)*E35+INDEX(Symboles!$G$6:$G$101,MOD(72+$C35+(-3),$B$3)+1)*F35+INDEX(Symboles!$G$6:$G$101,MOD(72+$C35+(-2),$B$3)+1)*G35+INDEX(Symboles!$G$6:$G$101,MOD(72+$C35+(-1),$B$3)+1)*H35+INDEX(Symboles!$G$6:$G$101,MOD(72+$C35+(0),$B$3)+1)*I35+INDEX(Symboles!$G$6:$G$101,MOD(72+$C35+(1),$B$3)+1)*J35+INDEX(Symboles!$G$6:$G$101,MOD(72+$C35+(2),$B$3)+1)*K35+INDEX(Symboles!$G$6:$G$101,MOD(72+$C35+(3),$B$3)+1)*L35+INDEX(Symboles!$G$6:$G$101,MOD(72+$C35+(4),$B$3)+1)*M35+IF($B$6=0,0,$B$6*NORMSINV(0.000001+0.999998*RAND())))</f>
        <v/>
      </c>
      <c r="CK35" s="30">
        <f>IF(74&gt;$B$3,99,INDEX(Symboles!$G$6:$G$101,MOD(73+$C35+(-4),$B$3)+1)*E35+INDEX(Symboles!$G$6:$G$101,MOD(73+$C35+(-3),$B$3)+1)*F35+INDEX(Symboles!$G$6:$G$101,MOD(73+$C35+(-2),$B$3)+1)*G35+INDEX(Symboles!$G$6:$G$101,MOD(73+$C35+(-1),$B$3)+1)*H35+INDEX(Symboles!$G$6:$G$101,MOD(73+$C35+(0),$B$3)+1)*I35+INDEX(Symboles!$G$6:$G$101,MOD(73+$C35+(1),$B$3)+1)*J35+INDEX(Symboles!$G$6:$G$101,MOD(73+$C35+(2),$B$3)+1)*K35+INDEX(Symboles!$G$6:$G$101,MOD(73+$C35+(3),$B$3)+1)*L35+INDEX(Symboles!$G$6:$G$101,MOD(73+$C35+(4),$B$3)+1)*M35+IF($B$6=0,0,$B$6*NORMSINV(0.000001+0.999998*RAND())))</f>
        <v/>
      </c>
      <c r="CL35" s="30">
        <f>IF(75&gt;$B$3,99,INDEX(Symboles!$G$6:$G$101,MOD(74+$C35+(-4),$B$3)+1)*E35+INDEX(Symboles!$G$6:$G$101,MOD(74+$C35+(-3),$B$3)+1)*F35+INDEX(Symboles!$G$6:$G$101,MOD(74+$C35+(-2),$B$3)+1)*G35+INDEX(Symboles!$G$6:$G$101,MOD(74+$C35+(-1),$B$3)+1)*H35+INDEX(Symboles!$G$6:$G$101,MOD(74+$C35+(0),$B$3)+1)*I35+INDEX(Symboles!$G$6:$G$101,MOD(74+$C35+(1),$B$3)+1)*J35+INDEX(Symboles!$G$6:$G$101,MOD(74+$C35+(2),$B$3)+1)*K35+INDEX(Symboles!$G$6:$G$101,MOD(74+$C35+(3),$B$3)+1)*L35+INDEX(Symboles!$G$6:$G$101,MOD(74+$C35+(4),$B$3)+1)*M35+IF($B$6=0,0,$B$6*NORMSINV(0.000001+0.999998*RAND())))</f>
        <v/>
      </c>
      <c r="CM35" s="30">
        <f>IF(76&gt;$B$3,99,INDEX(Symboles!$G$6:$G$101,MOD(75+$C35+(-4),$B$3)+1)*E35+INDEX(Symboles!$G$6:$G$101,MOD(75+$C35+(-3),$B$3)+1)*F35+INDEX(Symboles!$G$6:$G$101,MOD(75+$C35+(-2),$B$3)+1)*G35+INDEX(Symboles!$G$6:$G$101,MOD(75+$C35+(-1),$B$3)+1)*H35+INDEX(Symboles!$G$6:$G$101,MOD(75+$C35+(0),$B$3)+1)*I35+INDEX(Symboles!$G$6:$G$101,MOD(75+$C35+(1),$B$3)+1)*J35+INDEX(Symboles!$G$6:$G$101,MOD(75+$C35+(2),$B$3)+1)*K35+INDEX(Symboles!$G$6:$G$101,MOD(75+$C35+(3),$B$3)+1)*L35+INDEX(Symboles!$G$6:$G$101,MOD(75+$C35+(4),$B$3)+1)*M35+IF($B$6=0,0,$B$6*NORMSINV(0.000001+0.999998*RAND())))</f>
        <v/>
      </c>
      <c r="CN35" s="30">
        <f>IF(77&gt;$B$3,99,INDEX(Symboles!$G$6:$G$101,MOD(76+$C35+(-4),$B$3)+1)*E35+INDEX(Symboles!$G$6:$G$101,MOD(76+$C35+(-3),$B$3)+1)*F35+INDEX(Symboles!$G$6:$G$101,MOD(76+$C35+(-2),$B$3)+1)*G35+INDEX(Symboles!$G$6:$G$101,MOD(76+$C35+(-1),$B$3)+1)*H35+INDEX(Symboles!$G$6:$G$101,MOD(76+$C35+(0),$B$3)+1)*I35+INDEX(Symboles!$G$6:$G$101,MOD(76+$C35+(1),$B$3)+1)*J35+INDEX(Symboles!$G$6:$G$101,MOD(76+$C35+(2),$B$3)+1)*K35+INDEX(Symboles!$G$6:$G$101,MOD(76+$C35+(3),$B$3)+1)*L35+INDEX(Symboles!$G$6:$G$101,MOD(76+$C35+(4),$B$3)+1)*M35+IF($B$6=0,0,$B$6*NORMSINV(0.000001+0.999998*RAND())))</f>
        <v/>
      </c>
      <c r="CO35" s="30">
        <f>IF(78&gt;$B$3,99,INDEX(Symboles!$G$6:$G$101,MOD(77+$C35+(-4),$B$3)+1)*E35+INDEX(Symboles!$G$6:$G$101,MOD(77+$C35+(-3),$B$3)+1)*F35+INDEX(Symboles!$G$6:$G$101,MOD(77+$C35+(-2),$B$3)+1)*G35+INDEX(Symboles!$G$6:$G$101,MOD(77+$C35+(-1),$B$3)+1)*H35+INDEX(Symboles!$G$6:$G$101,MOD(77+$C35+(0),$B$3)+1)*I35+INDEX(Symboles!$G$6:$G$101,MOD(77+$C35+(1),$B$3)+1)*J35+INDEX(Symboles!$G$6:$G$101,MOD(77+$C35+(2),$B$3)+1)*K35+INDEX(Symboles!$G$6:$G$101,MOD(77+$C35+(3),$B$3)+1)*L35+INDEX(Symboles!$G$6:$G$101,MOD(77+$C35+(4),$B$3)+1)*M35+IF($B$6=0,0,$B$6*NORMSINV(0.000001+0.999998*RAND())))</f>
        <v/>
      </c>
      <c r="CP35" s="30">
        <f>IF(79&gt;$B$3,99,INDEX(Symboles!$G$6:$G$101,MOD(78+$C35+(-4),$B$3)+1)*E35+INDEX(Symboles!$G$6:$G$101,MOD(78+$C35+(-3),$B$3)+1)*F35+INDEX(Symboles!$G$6:$G$101,MOD(78+$C35+(-2),$B$3)+1)*G35+INDEX(Symboles!$G$6:$G$101,MOD(78+$C35+(-1),$B$3)+1)*H35+INDEX(Symboles!$G$6:$G$101,MOD(78+$C35+(0),$B$3)+1)*I35+INDEX(Symboles!$G$6:$G$101,MOD(78+$C35+(1),$B$3)+1)*J35+INDEX(Symboles!$G$6:$G$101,MOD(78+$C35+(2),$B$3)+1)*K35+INDEX(Symboles!$G$6:$G$101,MOD(78+$C35+(3),$B$3)+1)*L35+INDEX(Symboles!$G$6:$G$101,MOD(78+$C35+(4),$B$3)+1)*M35+IF($B$6=0,0,$B$6*NORMSINV(0.000001+0.999998*RAND())))</f>
        <v/>
      </c>
      <c r="CQ35" s="30">
        <f>IF(80&gt;$B$3,99,INDEX(Symboles!$G$6:$G$101,MOD(79+$C35+(-4),$B$3)+1)*E35+INDEX(Symboles!$G$6:$G$101,MOD(79+$C35+(-3),$B$3)+1)*F35+INDEX(Symboles!$G$6:$G$101,MOD(79+$C35+(-2),$B$3)+1)*G35+INDEX(Symboles!$G$6:$G$101,MOD(79+$C35+(-1),$B$3)+1)*H35+INDEX(Symboles!$G$6:$G$101,MOD(79+$C35+(0),$B$3)+1)*I35+INDEX(Symboles!$G$6:$G$101,MOD(79+$C35+(1),$B$3)+1)*J35+INDEX(Symboles!$G$6:$G$101,MOD(79+$C35+(2),$B$3)+1)*K35+INDEX(Symboles!$G$6:$G$101,MOD(79+$C35+(3),$B$3)+1)*L35+INDEX(Symboles!$G$6:$G$101,MOD(79+$C35+(4),$B$3)+1)*M35+IF($B$6=0,0,$B$6*NORMSINV(0.000001+0.999998*RAND())))</f>
        <v/>
      </c>
      <c r="CR35" s="30">
        <f>IF(81&gt;$B$3,99,INDEX(Symboles!$G$6:$G$101,MOD(80+$C35+(-4),$B$3)+1)*E35+INDEX(Symboles!$G$6:$G$101,MOD(80+$C35+(-3),$B$3)+1)*F35+INDEX(Symboles!$G$6:$G$101,MOD(80+$C35+(-2),$B$3)+1)*G35+INDEX(Symboles!$G$6:$G$101,MOD(80+$C35+(-1),$B$3)+1)*H35+INDEX(Symboles!$G$6:$G$101,MOD(80+$C35+(0),$B$3)+1)*I35+INDEX(Symboles!$G$6:$G$101,MOD(80+$C35+(1),$B$3)+1)*J35+INDEX(Symboles!$G$6:$G$101,MOD(80+$C35+(2),$B$3)+1)*K35+INDEX(Symboles!$G$6:$G$101,MOD(80+$C35+(3),$B$3)+1)*L35+INDEX(Symboles!$G$6:$G$101,MOD(80+$C35+(4),$B$3)+1)*M35+IF($B$6=0,0,$B$6*NORMSINV(0.000001+0.999998*RAND())))</f>
        <v/>
      </c>
      <c r="CS35" s="30">
        <f>IF(82&gt;$B$3,99,INDEX(Symboles!$G$6:$G$101,MOD(81+$C35+(-4),$B$3)+1)*E35+INDEX(Symboles!$G$6:$G$101,MOD(81+$C35+(-3),$B$3)+1)*F35+INDEX(Symboles!$G$6:$G$101,MOD(81+$C35+(-2),$B$3)+1)*G35+INDEX(Symboles!$G$6:$G$101,MOD(81+$C35+(-1),$B$3)+1)*H35+INDEX(Symboles!$G$6:$G$101,MOD(81+$C35+(0),$B$3)+1)*I35+INDEX(Symboles!$G$6:$G$101,MOD(81+$C35+(1),$B$3)+1)*J35+INDEX(Symboles!$G$6:$G$101,MOD(81+$C35+(2),$B$3)+1)*K35+INDEX(Symboles!$G$6:$G$101,MOD(81+$C35+(3),$B$3)+1)*L35+INDEX(Symboles!$G$6:$G$101,MOD(81+$C35+(4),$B$3)+1)*M35+IF($B$6=0,0,$B$6*NORMSINV(0.000001+0.999998*RAND())))</f>
        <v/>
      </c>
      <c r="CT35" s="30">
        <f>IF(83&gt;$B$3,99,INDEX(Symboles!$G$6:$G$101,MOD(82+$C35+(-4),$B$3)+1)*E35+INDEX(Symboles!$G$6:$G$101,MOD(82+$C35+(-3),$B$3)+1)*F35+INDEX(Symboles!$G$6:$G$101,MOD(82+$C35+(-2),$B$3)+1)*G35+INDEX(Symboles!$G$6:$G$101,MOD(82+$C35+(-1),$B$3)+1)*H35+INDEX(Symboles!$G$6:$G$101,MOD(82+$C35+(0),$B$3)+1)*I35+INDEX(Symboles!$G$6:$G$101,MOD(82+$C35+(1),$B$3)+1)*J35+INDEX(Symboles!$G$6:$G$101,MOD(82+$C35+(2),$B$3)+1)*K35+INDEX(Symboles!$G$6:$G$101,MOD(82+$C35+(3),$B$3)+1)*L35+INDEX(Symboles!$G$6:$G$101,MOD(82+$C35+(4),$B$3)+1)*M35+IF($B$6=0,0,$B$6*NORMSINV(0.000001+0.999998*RAND())))</f>
        <v/>
      </c>
      <c r="CU35" s="30">
        <f>IF(84&gt;$B$3,99,INDEX(Symboles!$G$6:$G$101,MOD(83+$C35+(-4),$B$3)+1)*E35+INDEX(Symboles!$G$6:$G$101,MOD(83+$C35+(-3),$B$3)+1)*F35+INDEX(Symboles!$G$6:$G$101,MOD(83+$C35+(-2),$B$3)+1)*G35+INDEX(Symboles!$G$6:$G$101,MOD(83+$C35+(-1),$B$3)+1)*H35+INDEX(Symboles!$G$6:$G$101,MOD(83+$C35+(0),$B$3)+1)*I35+INDEX(Symboles!$G$6:$G$101,MOD(83+$C35+(1),$B$3)+1)*J35+INDEX(Symboles!$G$6:$G$101,MOD(83+$C35+(2),$B$3)+1)*K35+INDEX(Symboles!$G$6:$G$101,MOD(83+$C35+(3),$B$3)+1)*L35+INDEX(Symboles!$G$6:$G$101,MOD(83+$C35+(4),$B$3)+1)*M35+IF($B$6=0,0,$B$6*NORMSINV(0.000001+0.999998*RAND())))</f>
        <v/>
      </c>
      <c r="CV35" s="30">
        <f>IF(85&gt;$B$3,99,INDEX(Symboles!$G$6:$G$101,MOD(84+$C35+(-4),$B$3)+1)*E35+INDEX(Symboles!$G$6:$G$101,MOD(84+$C35+(-3),$B$3)+1)*F35+INDEX(Symboles!$G$6:$G$101,MOD(84+$C35+(-2),$B$3)+1)*G35+INDEX(Symboles!$G$6:$G$101,MOD(84+$C35+(-1),$B$3)+1)*H35+INDEX(Symboles!$G$6:$G$101,MOD(84+$C35+(0),$B$3)+1)*I35+INDEX(Symboles!$G$6:$G$101,MOD(84+$C35+(1),$B$3)+1)*J35+INDEX(Symboles!$G$6:$G$101,MOD(84+$C35+(2),$B$3)+1)*K35+INDEX(Symboles!$G$6:$G$101,MOD(84+$C35+(3),$B$3)+1)*L35+INDEX(Symboles!$G$6:$G$101,MOD(84+$C35+(4),$B$3)+1)*M35+IF($B$6=0,0,$B$6*NORMSINV(0.000001+0.999998*RAND())))</f>
        <v/>
      </c>
      <c r="CW35" s="30">
        <f>IF(86&gt;$B$3,99,INDEX(Symboles!$G$6:$G$101,MOD(85+$C35+(-4),$B$3)+1)*E35+INDEX(Symboles!$G$6:$G$101,MOD(85+$C35+(-3),$B$3)+1)*F35+INDEX(Symboles!$G$6:$G$101,MOD(85+$C35+(-2),$B$3)+1)*G35+INDEX(Symboles!$G$6:$G$101,MOD(85+$C35+(-1),$B$3)+1)*H35+INDEX(Symboles!$G$6:$G$101,MOD(85+$C35+(0),$B$3)+1)*I35+INDEX(Symboles!$G$6:$G$101,MOD(85+$C35+(1),$B$3)+1)*J35+INDEX(Symboles!$G$6:$G$101,MOD(85+$C35+(2),$B$3)+1)*K35+INDEX(Symboles!$G$6:$G$101,MOD(85+$C35+(3),$B$3)+1)*L35+INDEX(Symboles!$G$6:$G$101,MOD(85+$C35+(4),$B$3)+1)*M35+IF($B$6=0,0,$B$6*NORMSINV(0.000001+0.999998*RAND())))</f>
        <v/>
      </c>
      <c r="CX35" s="30">
        <f>IF(87&gt;$B$3,99,INDEX(Symboles!$G$6:$G$101,MOD(86+$C35+(-4),$B$3)+1)*E35+INDEX(Symboles!$G$6:$G$101,MOD(86+$C35+(-3),$B$3)+1)*F35+INDEX(Symboles!$G$6:$G$101,MOD(86+$C35+(-2),$B$3)+1)*G35+INDEX(Symboles!$G$6:$G$101,MOD(86+$C35+(-1),$B$3)+1)*H35+INDEX(Symboles!$G$6:$G$101,MOD(86+$C35+(0),$B$3)+1)*I35+INDEX(Symboles!$G$6:$G$101,MOD(86+$C35+(1),$B$3)+1)*J35+INDEX(Symboles!$G$6:$G$101,MOD(86+$C35+(2),$B$3)+1)*K35+INDEX(Symboles!$G$6:$G$101,MOD(86+$C35+(3),$B$3)+1)*L35+INDEX(Symboles!$G$6:$G$101,MOD(86+$C35+(4),$B$3)+1)*M35+IF($B$6=0,0,$B$6*NORMSINV(0.000001+0.999998*RAND())))</f>
        <v/>
      </c>
      <c r="CY35" s="30">
        <f>IF(88&gt;$B$3,99,INDEX(Symboles!$G$6:$G$101,MOD(87+$C35+(-4),$B$3)+1)*E35+INDEX(Symboles!$G$6:$G$101,MOD(87+$C35+(-3),$B$3)+1)*F35+INDEX(Symboles!$G$6:$G$101,MOD(87+$C35+(-2),$B$3)+1)*G35+INDEX(Symboles!$G$6:$G$101,MOD(87+$C35+(-1),$B$3)+1)*H35+INDEX(Symboles!$G$6:$G$101,MOD(87+$C35+(0),$B$3)+1)*I35+INDEX(Symboles!$G$6:$G$101,MOD(87+$C35+(1),$B$3)+1)*J35+INDEX(Symboles!$G$6:$G$101,MOD(87+$C35+(2),$B$3)+1)*K35+INDEX(Symboles!$G$6:$G$101,MOD(87+$C35+(3),$B$3)+1)*L35+INDEX(Symboles!$G$6:$G$101,MOD(87+$C35+(4),$B$3)+1)*M35+IF($B$6=0,0,$B$6*NORMSINV(0.000001+0.999998*RAND())))</f>
        <v/>
      </c>
      <c r="CZ35" s="30">
        <f>IF(89&gt;$B$3,99,INDEX(Symboles!$G$6:$G$101,MOD(88+$C35+(-4),$B$3)+1)*E35+INDEX(Symboles!$G$6:$G$101,MOD(88+$C35+(-3),$B$3)+1)*F35+INDEX(Symboles!$G$6:$G$101,MOD(88+$C35+(-2),$B$3)+1)*G35+INDEX(Symboles!$G$6:$G$101,MOD(88+$C35+(-1),$B$3)+1)*H35+INDEX(Symboles!$G$6:$G$101,MOD(88+$C35+(0),$B$3)+1)*I35+INDEX(Symboles!$G$6:$G$101,MOD(88+$C35+(1),$B$3)+1)*J35+INDEX(Symboles!$G$6:$G$101,MOD(88+$C35+(2),$B$3)+1)*K35+INDEX(Symboles!$G$6:$G$101,MOD(88+$C35+(3),$B$3)+1)*L35+INDEX(Symboles!$G$6:$G$101,MOD(88+$C35+(4),$B$3)+1)*M35+IF($B$6=0,0,$B$6*NORMSINV(0.000001+0.999998*RAND())))</f>
        <v/>
      </c>
      <c r="DA35" s="30">
        <f>IF(90&gt;$B$3,99,INDEX(Symboles!$G$6:$G$101,MOD(89+$C35+(-4),$B$3)+1)*E35+INDEX(Symboles!$G$6:$G$101,MOD(89+$C35+(-3),$B$3)+1)*F35+INDEX(Symboles!$G$6:$G$101,MOD(89+$C35+(-2),$B$3)+1)*G35+INDEX(Symboles!$G$6:$G$101,MOD(89+$C35+(-1),$B$3)+1)*H35+INDEX(Symboles!$G$6:$G$101,MOD(89+$C35+(0),$B$3)+1)*I35+INDEX(Symboles!$G$6:$G$101,MOD(89+$C35+(1),$B$3)+1)*J35+INDEX(Symboles!$G$6:$G$101,MOD(89+$C35+(2),$B$3)+1)*K35+INDEX(Symboles!$G$6:$G$101,MOD(89+$C35+(3),$B$3)+1)*L35+INDEX(Symboles!$G$6:$G$101,MOD(89+$C35+(4),$B$3)+1)*M35+IF($B$6=0,0,$B$6*NORMSINV(0.000001+0.999998*RAND())))</f>
        <v/>
      </c>
      <c r="DB35" s="30">
        <f>IF(91&gt;$B$3,99,INDEX(Symboles!$G$6:$G$101,MOD(90+$C35+(-4),$B$3)+1)*E35+INDEX(Symboles!$G$6:$G$101,MOD(90+$C35+(-3),$B$3)+1)*F35+INDEX(Symboles!$G$6:$G$101,MOD(90+$C35+(-2),$B$3)+1)*G35+INDEX(Symboles!$G$6:$G$101,MOD(90+$C35+(-1),$B$3)+1)*H35+INDEX(Symboles!$G$6:$G$101,MOD(90+$C35+(0),$B$3)+1)*I35+INDEX(Symboles!$G$6:$G$101,MOD(90+$C35+(1),$B$3)+1)*J35+INDEX(Symboles!$G$6:$G$101,MOD(90+$C35+(2),$B$3)+1)*K35+INDEX(Symboles!$G$6:$G$101,MOD(90+$C35+(3),$B$3)+1)*L35+INDEX(Symboles!$G$6:$G$101,MOD(90+$C35+(4),$B$3)+1)*M35+IF($B$6=0,0,$B$6*NORMSINV(0.000001+0.999998*RAND())))</f>
        <v/>
      </c>
      <c r="DC35" s="30">
        <f>IF(92&gt;$B$3,99,INDEX(Symboles!$G$6:$G$101,MOD(91+$C35+(-4),$B$3)+1)*E35+INDEX(Symboles!$G$6:$G$101,MOD(91+$C35+(-3),$B$3)+1)*F35+INDEX(Symboles!$G$6:$G$101,MOD(91+$C35+(-2),$B$3)+1)*G35+INDEX(Symboles!$G$6:$G$101,MOD(91+$C35+(-1),$B$3)+1)*H35+INDEX(Symboles!$G$6:$G$101,MOD(91+$C35+(0),$B$3)+1)*I35+INDEX(Symboles!$G$6:$G$101,MOD(91+$C35+(1),$B$3)+1)*J35+INDEX(Symboles!$G$6:$G$101,MOD(91+$C35+(2),$B$3)+1)*K35+INDEX(Symboles!$G$6:$G$101,MOD(91+$C35+(3),$B$3)+1)*L35+INDEX(Symboles!$G$6:$G$101,MOD(91+$C35+(4),$B$3)+1)*M35+IF($B$6=0,0,$B$6*NORMSINV(0.000001+0.999998*RAND())))</f>
        <v/>
      </c>
      <c r="DD35" s="30">
        <f>IF(93&gt;$B$3,99,INDEX(Symboles!$G$6:$G$101,MOD(92+$C35+(-4),$B$3)+1)*E35+INDEX(Symboles!$G$6:$G$101,MOD(92+$C35+(-3),$B$3)+1)*F35+INDEX(Symboles!$G$6:$G$101,MOD(92+$C35+(-2),$B$3)+1)*G35+INDEX(Symboles!$G$6:$G$101,MOD(92+$C35+(-1),$B$3)+1)*H35+INDEX(Symboles!$G$6:$G$101,MOD(92+$C35+(0),$B$3)+1)*I35+INDEX(Symboles!$G$6:$G$101,MOD(92+$C35+(1),$B$3)+1)*J35+INDEX(Symboles!$G$6:$G$101,MOD(92+$C35+(2),$B$3)+1)*K35+INDEX(Symboles!$G$6:$G$101,MOD(92+$C35+(3),$B$3)+1)*L35+INDEX(Symboles!$G$6:$G$101,MOD(92+$C35+(4),$B$3)+1)*M35+IF($B$6=0,0,$B$6*NORMSINV(0.000001+0.999998*RAND())))</f>
        <v/>
      </c>
      <c r="DE35" s="30">
        <f>IF(94&gt;$B$3,99,INDEX(Symboles!$G$6:$G$101,MOD(93+$C35+(-4),$B$3)+1)*E35+INDEX(Symboles!$G$6:$G$101,MOD(93+$C35+(-3),$B$3)+1)*F35+INDEX(Symboles!$G$6:$G$101,MOD(93+$C35+(-2),$B$3)+1)*G35+INDEX(Symboles!$G$6:$G$101,MOD(93+$C35+(-1),$B$3)+1)*H35+INDEX(Symboles!$G$6:$G$101,MOD(93+$C35+(0),$B$3)+1)*I35+INDEX(Symboles!$G$6:$G$101,MOD(93+$C35+(1),$B$3)+1)*J35+INDEX(Symboles!$G$6:$G$101,MOD(93+$C35+(2),$B$3)+1)*K35+INDEX(Symboles!$G$6:$G$101,MOD(93+$C35+(3),$B$3)+1)*L35+INDEX(Symboles!$G$6:$G$101,MOD(93+$C35+(4),$B$3)+1)*M35+IF($B$6=0,0,$B$6*NORMSINV(0.000001+0.999998*RAND())))</f>
        <v/>
      </c>
      <c r="DF35" s="30">
        <f>IF(95&gt;$B$3,99,INDEX(Symboles!$G$6:$G$101,MOD(94+$C35+(-4),$B$3)+1)*E35+INDEX(Symboles!$G$6:$G$101,MOD(94+$C35+(-3),$B$3)+1)*F35+INDEX(Symboles!$G$6:$G$101,MOD(94+$C35+(-2),$B$3)+1)*G35+INDEX(Symboles!$G$6:$G$101,MOD(94+$C35+(-1),$B$3)+1)*H35+INDEX(Symboles!$G$6:$G$101,MOD(94+$C35+(0),$B$3)+1)*I35+INDEX(Symboles!$G$6:$G$101,MOD(94+$C35+(1),$B$3)+1)*J35+INDEX(Symboles!$G$6:$G$101,MOD(94+$C35+(2),$B$3)+1)*K35+INDEX(Symboles!$G$6:$G$101,MOD(94+$C35+(3),$B$3)+1)*L35+INDEX(Symboles!$G$6:$G$101,MOD(94+$C35+(4),$B$3)+1)*M35+IF($B$6=0,0,$B$6*NORMSINV(0.000001+0.999998*RAND())))</f>
        <v/>
      </c>
      <c r="DG35" s="30">
        <f>IF(96&gt;$B$3,99,INDEX(Symboles!$G$6:$G$101,MOD(95+$C35+(-4),$B$3)+1)*E35+INDEX(Symboles!$G$6:$G$101,MOD(95+$C35+(-3),$B$3)+1)*F35+INDEX(Symboles!$G$6:$G$101,MOD(95+$C35+(-2),$B$3)+1)*G35+INDEX(Symboles!$G$6:$G$101,MOD(95+$C35+(-1),$B$3)+1)*H35+INDEX(Symboles!$G$6:$G$101,MOD(95+$C35+(0),$B$3)+1)*I35+INDEX(Symboles!$G$6:$G$101,MOD(95+$C35+(1),$B$3)+1)*J35+INDEX(Symboles!$G$6:$G$101,MOD(95+$C35+(2),$B$3)+1)*K35+INDEX(Symboles!$G$6:$G$101,MOD(95+$C35+(3),$B$3)+1)*L35+INDEX(Symboles!$G$6:$G$101,MOD(95+$C35+(4),$B$3)+1)*M35+IF($B$6=0,0,$B$6*NORMSINV(0.000001+0.999998*RAND())))</f>
        <v/>
      </c>
      <c r="DI35" s="30">
        <f>IF(1&gt;$B$3,99,INDEX(Symboles!$H$6:$H$101,MOD(0+$C35+(-4),$B$3)+1)*E35+INDEX(Symboles!$H$6:$H$101,MOD(0+$C35+(-3),$B$3)+1)*F35+INDEX(Symboles!$H$6:$H$101,MOD(0+$C35+(-2),$B$3)+1)*G35+INDEX(Symboles!$H$6:$H$101,MOD(0+$C35+(-1),$B$3)+1)*H35+INDEX(Symboles!$H$6:$H$101,MOD(0+$C35+(0),$B$3)+1)*I35+INDEX(Symboles!$H$6:$H$101,MOD(0+$C35+(1),$B$3)+1)*J35+INDEX(Symboles!$H$6:$H$101,MOD(0+$C35+(2),$B$3)+1)*K35+INDEX(Symboles!$H$6:$H$101,MOD(0+$C35+(3),$B$3)+1)*L35+INDEX(Symboles!$H$6:$H$101,MOD(0+$C35+(4),$B$3)+1)*M35+IF($B$6=0,0,$B$6*NORMSINV(0.000001+0.999998*RAND())))</f>
        <v/>
      </c>
      <c r="DJ35" s="30">
        <f>IF(2&gt;$B$3,99,INDEX(Symboles!$H$6:$H$101,MOD(1+$C35+(-4),$B$3)+1)*E35+INDEX(Symboles!$H$6:$H$101,MOD(1+$C35+(-3),$B$3)+1)*F35+INDEX(Symboles!$H$6:$H$101,MOD(1+$C35+(-2),$B$3)+1)*G35+INDEX(Symboles!$H$6:$H$101,MOD(1+$C35+(-1),$B$3)+1)*H35+INDEX(Symboles!$H$6:$H$101,MOD(1+$C35+(0),$B$3)+1)*I35+INDEX(Symboles!$H$6:$H$101,MOD(1+$C35+(1),$B$3)+1)*J35+INDEX(Symboles!$H$6:$H$101,MOD(1+$C35+(2),$B$3)+1)*K35+INDEX(Symboles!$H$6:$H$101,MOD(1+$C35+(3),$B$3)+1)*L35+INDEX(Symboles!$H$6:$H$101,MOD(1+$C35+(4),$B$3)+1)*M35+IF($B$6=0,0,$B$6*NORMSINV(0.000001+0.999998*RAND())))</f>
        <v/>
      </c>
      <c r="DK35" s="30">
        <f>IF(3&gt;$B$3,99,INDEX(Symboles!$H$6:$H$101,MOD(2+$C35+(-4),$B$3)+1)*E35+INDEX(Symboles!$H$6:$H$101,MOD(2+$C35+(-3),$B$3)+1)*F35+INDEX(Symboles!$H$6:$H$101,MOD(2+$C35+(-2),$B$3)+1)*G35+INDEX(Symboles!$H$6:$H$101,MOD(2+$C35+(-1),$B$3)+1)*H35+INDEX(Symboles!$H$6:$H$101,MOD(2+$C35+(0),$B$3)+1)*I35+INDEX(Symboles!$H$6:$H$101,MOD(2+$C35+(1),$B$3)+1)*J35+INDEX(Symboles!$H$6:$H$101,MOD(2+$C35+(2),$B$3)+1)*K35+INDEX(Symboles!$H$6:$H$101,MOD(2+$C35+(3),$B$3)+1)*L35+INDEX(Symboles!$H$6:$H$101,MOD(2+$C35+(4),$B$3)+1)*M35+IF($B$6=0,0,$B$6*NORMSINV(0.000001+0.999998*RAND())))</f>
        <v/>
      </c>
      <c r="DL35" s="30">
        <f>IF(4&gt;$B$3,99,INDEX(Symboles!$H$6:$H$101,MOD(3+$C35+(-4),$B$3)+1)*E35+INDEX(Symboles!$H$6:$H$101,MOD(3+$C35+(-3),$B$3)+1)*F35+INDEX(Symboles!$H$6:$H$101,MOD(3+$C35+(-2),$B$3)+1)*G35+INDEX(Symboles!$H$6:$H$101,MOD(3+$C35+(-1),$B$3)+1)*H35+INDEX(Symboles!$H$6:$H$101,MOD(3+$C35+(0),$B$3)+1)*I35+INDEX(Symboles!$H$6:$H$101,MOD(3+$C35+(1),$B$3)+1)*J35+INDEX(Symboles!$H$6:$H$101,MOD(3+$C35+(2),$B$3)+1)*K35+INDEX(Symboles!$H$6:$H$101,MOD(3+$C35+(3),$B$3)+1)*L35+INDEX(Symboles!$H$6:$H$101,MOD(3+$C35+(4),$B$3)+1)*M35+IF($B$6=0,0,$B$6*NORMSINV(0.000001+0.999998*RAND())))</f>
        <v/>
      </c>
      <c r="DM35" s="30">
        <f>IF(5&gt;$B$3,99,INDEX(Symboles!$H$6:$H$101,MOD(4+$C35+(-4),$B$3)+1)*E35+INDEX(Symboles!$H$6:$H$101,MOD(4+$C35+(-3),$B$3)+1)*F35+INDEX(Symboles!$H$6:$H$101,MOD(4+$C35+(-2),$B$3)+1)*G35+INDEX(Symboles!$H$6:$H$101,MOD(4+$C35+(-1),$B$3)+1)*H35+INDEX(Symboles!$H$6:$H$101,MOD(4+$C35+(0),$B$3)+1)*I35+INDEX(Symboles!$H$6:$H$101,MOD(4+$C35+(1),$B$3)+1)*J35+INDEX(Symboles!$H$6:$H$101,MOD(4+$C35+(2),$B$3)+1)*K35+INDEX(Symboles!$H$6:$H$101,MOD(4+$C35+(3),$B$3)+1)*L35+INDEX(Symboles!$H$6:$H$101,MOD(4+$C35+(4),$B$3)+1)*M35+IF($B$6=0,0,$B$6*NORMSINV(0.000001+0.999998*RAND())))</f>
        <v/>
      </c>
      <c r="DN35" s="30">
        <f>IF(6&gt;$B$3,99,INDEX(Symboles!$H$6:$H$101,MOD(5+$C35+(-4),$B$3)+1)*E35+INDEX(Symboles!$H$6:$H$101,MOD(5+$C35+(-3),$B$3)+1)*F35+INDEX(Symboles!$H$6:$H$101,MOD(5+$C35+(-2),$B$3)+1)*G35+INDEX(Symboles!$H$6:$H$101,MOD(5+$C35+(-1),$B$3)+1)*H35+INDEX(Symboles!$H$6:$H$101,MOD(5+$C35+(0),$B$3)+1)*I35+INDEX(Symboles!$H$6:$H$101,MOD(5+$C35+(1),$B$3)+1)*J35+INDEX(Symboles!$H$6:$H$101,MOD(5+$C35+(2),$B$3)+1)*K35+INDEX(Symboles!$H$6:$H$101,MOD(5+$C35+(3),$B$3)+1)*L35+INDEX(Symboles!$H$6:$H$101,MOD(5+$C35+(4),$B$3)+1)*M35+IF($B$6=0,0,$B$6*NORMSINV(0.000001+0.999998*RAND())))</f>
        <v/>
      </c>
      <c r="DO35" s="30">
        <f>IF(7&gt;$B$3,99,INDEX(Symboles!$H$6:$H$101,MOD(6+$C35+(-4),$B$3)+1)*E35+INDEX(Symboles!$H$6:$H$101,MOD(6+$C35+(-3),$B$3)+1)*F35+INDEX(Symboles!$H$6:$H$101,MOD(6+$C35+(-2),$B$3)+1)*G35+INDEX(Symboles!$H$6:$H$101,MOD(6+$C35+(-1),$B$3)+1)*H35+INDEX(Symboles!$H$6:$H$101,MOD(6+$C35+(0),$B$3)+1)*I35+INDEX(Symboles!$H$6:$H$101,MOD(6+$C35+(1),$B$3)+1)*J35+INDEX(Symboles!$H$6:$H$101,MOD(6+$C35+(2),$B$3)+1)*K35+INDEX(Symboles!$H$6:$H$101,MOD(6+$C35+(3),$B$3)+1)*L35+INDEX(Symboles!$H$6:$H$101,MOD(6+$C35+(4),$B$3)+1)*M35+IF($B$6=0,0,$B$6*NORMSINV(0.000001+0.999998*RAND())))</f>
        <v/>
      </c>
      <c r="DP35" s="30">
        <f>IF(8&gt;$B$3,99,INDEX(Symboles!$H$6:$H$101,MOD(7+$C35+(-4),$B$3)+1)*E35+INDEX(Symboles!$H$6:$H$101,MOD(7+$C35+(-3),$B$3)+1)*F35+INDEX(Symboles!$H$6:$H$101,MOD(7+$C35+(-2),$B$3)+1)*G35+INDEX(Symboles!$H$6:$H$101,MOD(7+$C35+(-1),$B$3)+1)*H35+INDEX(Symboles!$H$6:$H$101,MOD(7+$C35+(0),$B$3)+1)*I35+INDEX(Symboles!$H$6:$H$101,MOD(7+$C35+(1),$B$3)+1)*J35+INDEX(Symboles!$H$6:$H$101,MOD(7+$C35+(2),$B$3)+1)*K35+INDEX(Symboles!$H$6:$H$101,MOD(7+$C35+(3),$B$3)+1)*L35+INDEX(Symboles!$H$6:$H$101,MOD(7+$C35+(4),$B$3)+1)*M35+IF($B$6=0,0,$B$6*NORMSINV(0.000001+0.999998*RAND())))</f>
        <v/>
      </c>
      <c r="DQ35" s="30">
        <f>IF(9&gt;$B$3,99,INDEX(Symboles!$H$6:$H$101,MOD(8+$C35+(-4),$B$3)+1)*E35+INDEX(Symboles!$H$6:$H$101,MOD(8+$C35+(-3),$B$3)+1)*F35+INDEX(Symboles!$H$6:$H$101,MOD(8+$C35+(-2),$B$3)+1)*G35+INDEX(Symboles!$H$6:$H$101,MOD(8+$C35+(-1),$B$3)+1)*H35+INDEX(Symboles!$H$6:$H$101,MOD(8+$C35+(0),$B$3)+1)*I35+INDEX(Symboles!$H$6:$H$101,MOD(8+$C35+(1),$B$3)+1)*J35+INDEX(Symboles!$H$6:$H$101,MOD(8+$C35+(2),$B$3)+1)*K35+INDEX(Symboles!$H$6:$H$101,MOD(8+$C35+(3),$B$3)+1)*L35+INDEX(Symboles!$H$6:$H$101,MOD(8+$C35+(4),$B$3)+1)*M35+IF($B$6=0,0,$B$6*NORMSINV(0.000001+0.999998*RAND())))</f>
        <v/>
      </c>
      <c r="DR35" s="30">
        <f>IF(10&gt;$B$3,99,INDEX(Symboles!$H$6:$H$101,MOD(9+$C35+(-4),$B$3)+1)*E35+INDEX(Symboles!$H$6:$H$101,MOD(9+$C35+(-3),$B$3)+1)*F35+INDEX(Symboles!$H$6:$H$101,MOD(9+$C35+(-2),$B$3)+1)*G35+INDEX(Symboles!$H$6:$H$101,MOD(9+$C35+(-1),$B$3)+1)*H35+INDEX(Symboles!$H$6:$H$101,MOD(9+$C35+(0),$B$3)+1)*I35+INDEX(Symboles!$H$6:$H$101,MOD(9+$C35+(1),$B$3)+1)*J35+INDEX(Symboles!$H$6:$H$101,MOD(9+$C35+(2),$B$3)+1)*K35+INDEX(Symboles!$H$6:$H$101,MOD(9+$C35+(3),$B$3)+1)*L35+INDEX(Symboles!$H$6:$H$101,MOD(9+$C35+(4),$B$3)+1)*M35+IF($B$6=0,0,$B$6*NORMSINV(0.000001+0.999998*RAND())))</f>
        <v/>
      </c>
      <c r="DS35" s="30">
        <f>IF(11&gt;$B$3,99,INDEX(Symboles!$H$6:$H$101,MOD(10+$C35+(-4),$B$3)+1)*E35+INDEX(Symboles!$H$6:$H$101,MOD(10+$C35+(-3),$B$3)+1)*F35+INDEX(Symboles!$H$6:$H$101,MOD(10+$C35+(-2),$B$3)+1)*G35+INDEX(Symboles!$H$6:$H$101,MOD(10+$C35+(-1),$B$3)+1)*H35+INDEX(Symboles!$H$6:$H$101,MOD(10+$C35+(0),$B$3)+1)*I35+INDEX(Symboles!$H$6:$H$101,MOD(10+$C35+(1),$B$3)+1)*J35+INDEX(Symboles!$H$6:$H$101,MOD(10+$C35+(2),$B$3)+1)*K35+INDEX(Symboles!$H$6:$H$101,MOD(10+$C35+(3),$B$3)+1)*L35+INDEX(Symboles!$H$6:$H$101,MOD(10+$C35+(4),$B$3)+1)*M35+IF($B$6=0,0,$B$6*NORMSINV(0.000001+0.999998*RAND())))</f>
        <v/>
      </c>
      <c r="DT35" s="30">
        <f>IF(12&gt;$B$3,99,INDEX(Symboles!$H$6:$H$101,MOD(11+$C35+(-4),$B$3)+1)*E35+INDEX(Symboles!$H$6:$H$101,MOD(11+$C35+(-3),$B$3)+1)*F35+INDEX(Symboles!$H$6:$H$101,MOD(11+$C35+(-2),$B$3)+1)*G35+INDEX(Symboles!$H$6:$H$101,MOD(11+$C35+(-1),$B$3)+1)*H35+INDEX(Symboles!$H$6:$H$101,MOD(11+$C35+(0),$B$3)+1)*I35+INDEX(Symboles!$H$6:$H$101,MOD(11+$C35+(1),$B$3)+1)*J35+INDEX(Symboles!$H$6:$H$101,MOD(11+$C35+(2),$B$3)+1)*K35+INDEX(Symboles!$H$6:$H$101,MOD(11+$C35+(3),$B$3)+1)*L35+INDEX(Symboles!$H$6:$H$101,MOD(11+$C35+(4),$B$3)+1)*M35+IF($B$6=0,0,$B$6*NORMSINV(0.000001+0.999998*RAND())))</f>
        <v/>
      </c>
      <c r="DU35" s="30">
        <f>IF(13&gt;$B$3,99,INDEX(Symboles!$H$6:$H$101,MOD(12+$C35+(-4),$B$3)+1)*E35+INDEX(Symboles!$H$6:$H$101,MOD(12+$C35+(-3),$B$3)+1)*F35+INDEX(Symboles!$H$6:$H$101,MOD(12+$C35+(-2),$B$3)+1)*G35+INDEX(Symboles!$H$6:$H$101,MOD(12+$C35+(-1),$B$3)+1)*H35+INDEX(Symboles!$H$6:$H$101,MOD(12+$C35+(0),$B$3)+1)*I35+INDEX(Symboles!$H$6:$H$101,MOD(12+$C35+(1),$B$3)+1)*J35+INDEX(Symboles!$H$6:$H$101,MOD(12+$C35+(2),$B$3)+1)*K35+INDEX(Symboles!$H$6:$H$101,MOD(12+$C35+(3),$B$3)+1)*L35+INDEX(Symboles!$H$6:$H$101,MOD(12+$C35+(4),$B$3)+1)*M35+IF($B$6=0,0,$B$6*NORMSINV(0.000001+0.999998*RAND())))</f>
        <v/>
      </c>
      <c r="DV35" s="30">
        <f>IF(14&gt;$B$3,99,INDEX(Symboles!$H$6:$H$101,MOD(13+$C35+(-4),$B$3)+1)*E35+INDEX(Symboles!$H$6:$H$101,MOD(13+$C35+(-3),$B$3)+1)*F35+INDEX(Symboles!$H$6:$H$101,MOD(13+$C35+(-2),$B$3)+1)*G35+INDEX(Symboles!$H$6:$H$101,MOD(13+$C35+(-1),$B$3)+1)*H35+INDEX(Symboles!$H$6:$H$101,MOD(13+$C35+(0),$B$3)+1)*I35+INDEX(Symboles!$H$6:$H$101,MOD(13+$C35+(1),$B$3)+1)*J35+INDEX(Symboles!$H$6:$H$101,MOD(13+$C35+(2),$B$3)+1)*K35+INDEX(Symboles!$H$6:$H$101,MOD(13+$C35+(3),$B$3)+1)*L35+INDEX(Symboles!$H$6:$H$101,MOD(13+$C35+(4),$B$3)+1)*M35+IF($B$6=0,0,$B$6*NORMSINV(0.000001+0.999998*RAND())))</f>
        <v/>
      </c>
      <c r="DW35" s="30">
        <f>IF(15&gt;$B$3,99,INDEX(Symboles!$H$6:$H$101,MOD(14+$C35+(-4),$B$3)+1)*E35+INDEX(Symboles!$H$6:$H$101,MOD(14+$C35+(-3),$B$3)+1)*F35+INDEX(Symboles!$H$6:$H$101,MOD(14+$C35+(-2),$B$3)+1)*G35+INDEX(Symboles!$H$6:$H$101,MOD(14+$C35+(-1),$B$3)+1)*H35+INDEX(Symboles!$H$6:$H$101,MOD(14+$C35+(0),$B$3)+1)*I35+INDEX(Symboles!$H$6:$H$101,MOD(14+$C35+(1),$B$3)+1)*J35+INDEX(Symboles!$H$6:$H$101,MOD(14+$C35+(2),$B$3)+1)*K35+INDEX(Symboles!$H$6:$H$101,MOD(14+$C35+(3),$B$3)+1)*L35+INDEX(Symboles!$H$6:$H$101,MOD(14+$C35+(4),$B$3)+1)*M35+IF($B$6=0,0,$B$6*NORMSINV(0.000001+0.999998*RAND())))</f>
        <v/>
      </c>
      <c r="DX35" s="30">
        <f>IF(16&gt;$B$3,99,INDEX(Symboles!$H$6:$H$101,MOD(15+$C35+(-4),$B$3)+1)*E35+INDEX(Symboles!$H$6:$H$101,MOD(15+$C35+(-3),$B$3)+1)*F35+INDEX(Symboles!$H$6:$H$101,MOD(15+$C35+(-2),$B$3)+1)*G35+INDEX(Symboles!$H$6:$H$101,MOD(15+$C35+(-1),$B$3)+1)*H35+INDEX(Symboles!$H$6:$H$101,MOD(15+$C35+(0),$B$3)+1)*I35+INDEX(Symboles!$H$6:$H$101,MOD(15+$C35+(1),$B$3)+1)*J35+INDEX(Symboles!$H$6:$H$101,MOD(15+$C35+(2),$B$3)+1)*K35+INDEX(Symboles!$H$6:$H$101,MOD(15+$C35+(3),$B$3)+1)*L35+INDEX(Symboles!$H$6:$H$101,MOD(15+$C35+(4),$B$3)+1)*M35+IF($B$6=0,0,$B$6*NORMSINV(0.000001+0.999998*RAND())))</f>
        <v/>
      </c>
      <c r="DY35" s="30">
        <f>IF(17&gt;$B$3,99,INDEX(Symboles!$H$6:$H$101,MOD(16+$C35+(-4),$B$3)+1)*E35+INDEX(Symboles!$H$6:$H$101,MOD(16+$C35+(-3),$B$3)+1)*F35+INDEX(Symboles!$H$6:$H$101,MOD(16+$C35+(-2),$B$3)+1)*G35+INDEX(Symboles!$H$6:$H$101,MOD(16+$C35+(-1),$B$3)+1)*H35+INDEX(Symboles!$H$6:$H$101,MOD(16+$C35+(0),$B$3)+1)*I35+INDEX(Symboles!$H$6:$H$101,MOD(16+$C35+(1),$B$3)+1)*J35+INDEX(Symboles!$H$6:$H$101,MOD(16+$C35+(2),$B$3)+1)*K35+INDEX(Symboles!$H$6:$H$101,MOD(16+$C35+(3),$B$3)+1)*L35+INDEX(Symboles!$H$6:$H$101,MOD(16+$C35+(4),$B$3)+1)*M35+IF($B$6=0,0,$B$6*NORMSINV(0.000001+0.999998*RAND())))</f>
        <v/>
      </c>
      <c r="DZ35" s="30">
        <f>IF(18&gt;$B$3,99,INDEX(Symboles!$H$6:$H$101,MOD(17+$C35+(-4),$B$3)+1)*E35+INDEX(Symboles!$H$6:$H$101,MOD(17+$C35+(-3),$B$3)+1)*F35+INDEX(Symboles!$H$6:$H$101,MOD(17+$C35+(-2),$B$3)+1)*G35+INDEX(Symboles!$H$6:$H$101,MOD(17+$C35+(-1),$B$3)+1)*H35+INDEX(Symboles!$H$6:$H$101,MOD(17+$C35+(0),$B$3)+1)*I35+INDEX(Symboles!$H$6:$H$101,MOD(17+$C35+(1),$B$3)+1)*J35+INDEX(Symboles!$H$6:$H$101,MOD(17+$C35+(2),$B$3)+1)*K35+INDEX(Symboles!$H$6:$H$101,MOD(17+$C35+(3),$B$3)+1)*L35+INDEX(Symboles!$H$6:$H$101,MOD(17+$C35+(4),$B$3)+1)*M35+IF($B$6=0,0,$B$6*NORMSINV(0.000001+0.999998*RAND())))</f>
        <v/>
      </c>
      <c r="EA35" s="30">
        <f>IF(19&gt;$B$3,99,INDEX(Symboles!$H$6:$H$101,MOD(18+$C35+(-4),$B$3)+1)*E35+INDEX(Symboles!$H$6:$H$101,MOD(18+$C35+(-3),$B$3)+1)*F35+INDEX(Symboles!$H$6:$H$101,MOD(18+$C35+(-2),$B$3)+1)*G35+INDEX(Symboles!$H$6:$H$101,MOD(18+$C35+(-1),$B$3)+1)*H35+INDEX(Symboles!$H$6:$H$101,MOD(18+$C35+(0),$B$3)+1)*I35+INDEX(Symboles!$H$6:$H$101,MOD(18+$C35+(1),$B$3)+1)*J35+INDEX(Symboles!$H$6:$H$101,MOD(18+$C35+(2),$B$3)+1)*K35+INDEX(Symboles!$H$6:$H$101,MOD(18+$C35+(3),$B$3)+1)*L35+INDEX(Symboles!$H$6:$H$101,MOD(18+$C35+(4),$B$3)+1)*M35+IF($B$6=0,0,$B$6*NORMSINV(0.000001+0.999998*RAND())))</f>
        <v/>
      </c>
      <c r="EB35" s="30">
        <f>IF(20&gt;$B$3,99,INDEX(Symboles!$H$6:$H$101,MOD(19+$C35+(-4),$B$3)+1)*E35+INDEX(Symboles!$H$6:$H$101,MOD(19+$C35+(-3),$B$3)+1)*F35+INDEX(Symboles!$H$6:$H$101,MOD(19+$C35+(-2),$B$3)+1)*G35+INDEX(Symboles!$H$6:$H$101,MOD(19+$C35+(-1),$B$3)+1)*H35+INDEX(Symboles!$H$6:$H$101,MOD(19+$C35+(0),$B$3)+1)*I35+INDEX(Symboles!$H$6:$H$101,MOD(19+$C35+(1),$B$3)+1)*J35+INDEX(Symboles!$H$6:$H$101,MOD(19+$C35+(2),$B$3)+1)*K35+INDEX(Symboles!$H$6:$H$101,MOD(19+$C35+(3),$B$3)+1)*L35+INDEX(Symboles!$H$6:$H$101,MOD(19+$C35+(4),$B$3)+1)*M35+IF($B$6=0,0,$B$6*NORMSINV(0.000001+0.999998*RAND())))</f>
        <v/>
      </c>
      <c r="EC35" s="30">
        <f>IF(21&gt;$B$3,99,INDEX(Symboles!$H$6:$H$101,MOD(20+$C35+(-4),$B$3)+1)*E35+INDEX(Symboles!$H$6:$H$101,MOD(20+$C35+(-3),$B$3)+1)*F35+INDEX(Symboles!$H$6:$H$101,MOD(20+$C35+(-2),$B$3)+1)*G35+INDEX(Symboles!$H$6:$H$101,MOD(20+$C35+(-1),$B$3)+1)*H35+INDEX(Symboles!$H$6:$H$101,MOD(20+$C35+(0),$B$3)+1)*I35+INDEX(Symboles!$H$6:$H$101,MOD(20+$C35+(1),$B$3)+1)*J35+INDEX(Symboles!$H$6:$H$101,MOD(20+$C35+(2),$B$3)+1)*K35+INDEX(Symboles!$H$6:$H$101,MOD(20+$C35+(3),$B$3)+1)*L35+INDEX(Symboles!$H$6:$H$101,MOD(20+$C35+(4),$B$3)+1)*M35+IF($B$6=0,0,$B$6*NORMSINV(0.000001+0.999998*RAND())))</f>
        <v/>
      </c>
      <c r="ED35" s="30">
        <f>IF(22&gt;$B$3,99,INDEX(Symboles!$H$6:$H$101,MOD(21+$C35+(-4),$B$3)+1)*E35+INDEX(Symboles!$H$6:$H$101,MOD(21+$C35+(-3),$B$3)+1)*F35+INDEX(Symboles!$H$6:$H$101,MOD(21+$C35+(-2),$B$3)+1)*G35+INDEX(Symboles!$H$6:$H$101,MOD(21+$C35+(-1),$B$3)+1)*H35+INDEX(Symboles!$H$6:$H$101,MOD(21+$C35+(0),$B$3)+1)*I35+INDEX(Symboles!$H$6:$H$101,MOD(21+$C35+(1),$B$3)+1)*J35+INDEX(Symboles!$H$6:$H$101,MOD(21+$C35+(2),$B$3)+1)*K35+INDEX(Symboles!$H$6:$H$101,MOD(21+$C35+(3),$B$3)+1)*L35+INDEX(Symboles!$H$6:$H$101,MOD(21+$C35+(4),$B$3)+1)*M35+IF($B$6=0,0,$B$6*NORMSINV(0.000001+0.999998*RAND())))</f>
        <v/>
      </c>
      <c r="EE35" s="30">
        <f>IF(23&gt;$B$3,99,INDEX(Symboles!$H$6:$H$101,MOD(22+$C35+(-4),$B$3)+1)*E35+INDEX(Symboles!$H$6:$H$101,MOD(22+$C35+(-3),$B$3)+1)*F35+INDEX(Symboles!$H$6:$H$101,MOD(22+$C35+(-2),$B$3)+1)*G35+INDEX(Symboles!$H$6:$H$101,MOD(22+$C35+(-1),$B$3)+1)*H35+INDEX(Symboles!$H$6:$H$101,MOD(22+$C35+(0),$B$3)+1)*I35+INDEX(Symboles!$H$6:$H$101,MOD(22+$C35+(1),$B$3)+1)*J35+INDEX(Symboles!$H$6:$H$101,MOD(22+$C35+(2),$B$3)+1)*K35+INDEX(Symboles!$H$6:$H$101,MOD(22+$C35+(3),$B$3)+1)*L35+INDEX(Symboles!$H$6:$H$101,MOD(22+$C35+(4),$B$3)+1)*M35+IF($B$6=0,0,$B$6*NORMSINV(0.000001+0.999998*RAND())))</f>
        <v/>
      </c>
      <c r="EF35" s="30">
        <f>IF(24&gt;$B$3,99,INDEX(Symboles!$H$6:$H$101,MOD(23+$C35+(-4),$B$3)+1)*E35+INDEX(Symboles!$H$6:$H$101,MOD(23+$C35+(-3),$B$3)+1)*F35+INDEX(Symboles!$H$6:$H$101,MOD(23+$C35+(-2),$B$3)+1)*G35+INDEX(Symboles!$H$6:$H$101,MOD(23+$C35+(-1),$B$3)+1)*H35+INDEX(Symboles!$H$6:$H$101,MOD(23+$C35+(0),$B$3)+1)*I35+INDEX(Symboles!$H$6:$H$101,MOD(23+$C35+(1),$B$3)+1)*J35+INDEX(Symboles!$H$6:$H$101,MOD(23+$C35+(2),$B$3)+1)*K35+INDEX(Symboles!$H$6:$H$101,MOD(23+$C35+(3),$B$3)+1)*L35+INDEX(Symboles!$H$6:$H$101,MOD(23+$C35+(4),$B$3)+1)*M35+IF($B$6=0,0,$B$6*NORMSINV(0.000001+0.999998*RAND())))</f>
        <v/>
      </c>
      <c r="EG35" s="30">
        <f>IF(25&gt;$B$3,99,INDEX(Symboles!$H$6:$H$101,MOD(24+$C35+(-4),$B$3)+1)*E35+INDEX(Symboles!$H$6:$H$101,MOD(24+$C35+(-3),$B$3)+1)*F35+INDEX(Symboles!$H$6:$H$101,MOD(24+$C35+(-2),$B$3)+1)*G35+INDEX(Symboles!$H$6:$H$101,MOD(24+$C35+(-1),$B$3)+1)*H35+INDEX(Symboles!$H$6:$H$101,MOD(24+$C35+(0),$B$3)+1)*I35+INDEX(Symboles!$H$6:$H$101,MOD(24+$C35+(1),$B$3)+1)*J35+INDEX(Symboles!$H$6:$H$101,MOD(24+$C35+(2),$B$3)+1)*K35+INDEX(Symboles!$H$6:$H$101,MOD(24+$C35+(3),$B$3)+1)*L35+INDEX(Symboles!$H$6:$H$101,MOD(24+$C35+(4),$B$3)+1)*M35+IF($B$6=0,0,$B$6*NORMSINV(0.000001+0.999998*RAND())))</f>
        <v/>
      </c>
      <c r="EH35" s="30">
        <f>IF(26&gt;$B$3,99,INDEX(Symboles!$H$6:$H$101,MOD(25+$C35+(-4),$B$3)+1)*E35+INDEX(Symboles!$H$6:$H$101,MOD(25+$C35+(-3),$B$3)+1)*F35+INDEX(Symboles!$H$6:$H$101,MOD(25+$C35+(-2),$B$3)+1)*G35+INDEX(Symboles!$H$6:$H$101,MOD(25+$C35+(-1),$B$3)+1)*H35+INDEX(Symboles!$H$6:$H$101,MOD(25+$C35+(0),$B$3)+1)*I35+INDEX(Symboles!$H$6:$H$101,MOD(25+$C35+(1),$B$3)+1)*J35+INDEX(Symboles!$H$6:$H$101,MOD(25+$C35+(2),$B$3)+1)*K35+INDEX(Symboles!$H$6:$H$101,MOD(25+$C35+(3),$B$3)+1)*L35+INDEX(Symboles!$H$6:$H$101,MOD(25+$C35+(4),$B$3)+1)*M35+IF($B$6=0,0,$B$6*NORMSINV(0.000001+0.999998*RAND())))</f>
        <v/>
      </c>
      <c r="EI35" s="30">
        <f>IF(27&gt;$B$3,99,INDEX(Symboles!$H$6:$H$101,MOD(26+$C35+(-4),$B$3)+1)*E35+INDEX(Symboles!$H$6:$H$101,MOD(26+$C35+(-3),$B$3)+1)*F35+INDEX(Symboles!$H$6:$H$101,MOD(26+$C35+(-2),$B$3)+1)*G35+INDEX(Symboles!$H$6:$H$101,MOD(26+$C35+(-1),$B$3)+1)*H35+INDEX(Symboles!$H$6:$H$101,MOD(26+$C35+(0),$B$3)+1)*I35+INDEX(Symboles!$H$6:$H$101,MOD(26+$C35+(1),$B$3)+1)*J35+INDEX(Symboles!$H$6:$H$101,MOD(26+$C35+(2),$B$3)+1)*K35+INDEX(Symboles!$H$6:$H$101,MOD(26+$C35+(3),$B$3)+1)*L35+INDEX(Symboles!$H$6:$H$101,MOD(26+$C35+(4),$B$3)+1)*M35+IF($B$6=0,0,$B$6*NORMSINV(0.000001+0.999998*RAND())))</f>
        <v/>
      </c>
      <c r="EJ35" s="30">
        <f>IF(28&gt;$B$3,99,INDEX(Symboles!$H$6:$H$101,MOD(27+$C35+(-4),$B$3)+1)*E35+INDEX(Symboles!$H$6:$H$101,MOD(27+$C35+(-3),$B$3)+1)*F35+INDEX(Symboles!$H$6:$H$101,MOD(27+$C35+(-2),$B$3)+1)*G35+INDEX(Symboles!$H$6:$H$101,MOD(27+$C35+(-1),$B$3)+1)*H35+INDEX(Symboles!$H$6:$H$101,MOD(27+$C35+(0),$B$3)+1)*I35+INDEX(Symboles!$H$6:$H$101,MOD(27+$C35+(1),$B$3)+1)*J35+INDEX(Symboles!$H$6:$H$101,MOD(27+$C35+(2),$B$3)+1)*K35+INDEX(Symboles!$H$6:$H$101,MOD(27+$C35+(3),$B$3)+1)*L35+INDEX(Symboles!$H$6:$H$101,MOD(27+$C35+(4),$B$3)+1)*M35+IF($B$6=0,0,$B$6*NORMSINV(0.000001+0.999998*RAND())))</f>
        <v/>
      </c>
      <c r="EK35" s="30">
        <f>IF(29&gt;$B$3,99,INDEX(Symboles!$H$6:$H$101,MOD(28+$C35+(-4),$B$3)+1)*E35+INDEX(Symboles!$H$6:$H$101,MOD(28+$C35+(-3),$B$3)+1)*F35+INDEX(Symboles!$H$6:$H$101,MOD(28+$C35+(-2),$B$3)+1)*G35+INDEX(Symboles!$H$6:$H$101,MOD(28+$C35+(-1),$B$3)+1)*H35+INDEX(Symboles!$H$6:$H$101,MOD(28+$C35+(0),$B$3)+1)*I35+INDEX(Symboles!$H$6:$H$101,MOD(28+$C35+(1),$B$3)+1)*J35+INDEX(Symboles!$H$6:$H$101,MOD(28+$C35+(2),$B$3)+1)*K35+INDEX(Symboles!$H$6:$H$101,MOD(28+$C35+(3),$B$3)+1)*L35+INDEX(Symboles!$H$6:$H$101,MOD(28+$C35+(4),$B$3)+1)*M35+IF($B$6=0,0,$B$6*NORMSINV(0.000001+0.999998*RAND())))</f>
        <v/>
      </c>
      <c r="EL35" s="30">
        <f>IF(30&gt;$B$3,99,INDEX(Symboles!$H$6:$H$101,MOD(29+$C35+(-4),$B$3)+1)*E35+INDEX(Symboles!$H$6:$H$101,MOD(29+$C35+(-3),$B$3)+1)*F35+INDEX(Symboles!$H$6:$H$101,MOD(29+$C35+(-2),$B$3)+1)*G35+INDEX(Symboles!$H$6:$H$101,MOD(29+$C35+(-1),$B$3)+1)*H35+INDEX(Symboles!$H$6:$H$101,MOD(29+$C35+(0),$B$3)+1)*I35+INDEX(Symboles!$H$6:$H$101,MOD(29+$C35+(1),$B$3)+1)*J35+INDEX(Symboles!$H$6:$H$101,MOD(29+$C35+(2),$B$3)+1)*K35+INDEX(Symboles!$H$6:$H$101,MOD(29+$C35+(3),$B$3)+1)*L35+INDEX(Symboles!$H$6:$H$101,MOD(29+$C35+(4),$B$3)+1)*M35+IF($B$6=0,0,$B$6*NORMSINV(0.000001+0.999998*RAND())))</f>
        <v/>
      </c>
      <c r="EM35" s="30">
        <f>IF(31&gt;$B$3,99,INDEX(Symboles!$H$6:$H$101,MOD(30+$C35+(-4),$B$3)+1)*E35+INDEX(Symboles!$H$6:$H$101,MOD(30+$C35+(-3),$B$3)+1)*F35+INDEX(Symboles!$H$6:$H$101,MOD(30+$C35+(-2),$B$3)+1)*G35+INDEX(Symboles!$H$6:$H$101,MOD(30+$C35+(-1),$B$3)+1)*H35+INDEX(Symboles!$H$6:$H$101,MOD(30+$C35+(0),$B$3)+1)*I35+INDEX(Symboles!$H$6:$H$101,MOD(30+$C35+(1),$B$3)+1)*J35+INDEX(Symboles!$H$6:$H$101,MOD(30+$C35+(2),$B$3)+1)*K35+INDEX(Symboles!$H$6:$H$101,MOD(30+$C35+(3),$B$3)+1)*L35+INDEX(Symboles!$H$6:$H$101,MOD(30+$C35+(4),$B$3)+1)*M35+IF($B$6=0,0,$B$6*NORMSINV(0.000001+0.999998*RAND())))</f>
        <v/>
      </c>
      <c r="EN35" s="30">
        <f>IF(32&gt;$B$3,99,INDEX(Symboles!$H$6:$H$101,MOD(31+$C35+(-4),$B$3)+1)*E35+INDEX(Symboles!$H$6:$H$101,MOD(31+$C35+(-3),$B$3)+1)*F35+INDEX(Symboles!$H$6:$H$101,MOD(31+$C35+(-2),$B$3)+1)*G35+INDEX(Symboles!$H$6:$H$101,MOD(31+$C35+(-1),$B$3)+1)*H35+INDEX(Symboles!$H$6:$H$101,MOD(31+$C35+(0),$B$3)+1)*I35+INDEX(Symboles!$H$6:$H$101,MOD(31+$C35+(1),$B$3)+1)*J35+INDEX(Symboles!$H$6:$H$101,MOD(31+$C35+(2),$B$3)+1)*K35+INDEX(Symboles!$H$6:$H$101,MOD(31+$C35+(3),$B$3)+1)*L35+INDEX(Symboles!$H$6:$H$101,MOD(31+$C35+(4),$B$3)+1)*M35+IF($B$6=0,0,$B$6*NORMSINV(0.000001+0.999998*RAND())))</f>
        <v/>
      </c>
      <c r="EO35" s="30">
        <f>IF(33&gt;$B$3,99,INDEX(Symboles!$H$6:$H$101,MOD(32+$C35+(-4),$B$3)+1)*E35+INDEX(Symboles!$H$6:$H$101,MOD(32+$C35+(-3),$B$3)+1)*F35+INDEX(Symboles!$H$6:$H$101,MOD(32+$C35+(-2),$B$3)+1)*G35+INDEX(Symboles!$H$6:$H$101,MOD(32+$C35+(-1),$B$3)+1)*H35+INDEX(Symboles!$H$6:$H$101,MOD(32+$C35+(0),$B$3)+1)*I35+INDEX(Symboles!$H$6:$H$101,MOD(32+$C35+(1),$B$3)+1)*J35+INDEX(Symboles!$H$6:$H$101,MOD(32+$C35+(2),$B$3)+1)*K35+INDEX(Symboles!$H$6:$H$101,MOD(32+$C35+(3),$B$3)+1)*L35+INDEX(Symboles!$H$6:$H$101,MOD(32+$C35+(4),$B$3)+1)*M35+IF($B$6=0,0,$B$6*NORMSINV(0.000001+0.999998*RAND())))</f>
        <v/>
      </c>
      <c r="EP35" s="30">
        <f>IF(34&gt;$B$3,99,INDEX(Symboles!$H$6:$H$101,MOD(33+$C35+(-4),$B$3)+1)*E35+INDEX(Symboles!$H$6:$H$101,MOD(33+$C35+(-3),$B$3)+1)*F35+INDEX(Symboles!$H$6:$H$101,MOD(33+$C35+(-2),$B$3)+1)*G35+INDEX(Symboles!$H$6:$H$101,MOD(33+$C35+(-1),$B$3)+1)*H35+INDEX(Symboles!$H$6:$H$101,MOD(33+$C35+(0),$B$3)+1)*I35+INDEX(Symboles!$H$6:$H$101,MOD(33+$C35+(1),$B$3)+1)*J35+INDEX(Symboles!$H$6:$H$101,MOD(33+$C35+(2),$B$3)+1)*K35+INDEX(Symboles!$H$6:$H$101,MOD(33+$C35+(3),$B$3)+1)*L35+INDEX(Symboles!$H$6:$H$101,MOD(33+$C35+(4),$B$3)+1)*M35+IF($B$6=0,0,$B$6*NORMSINV(0.000001+0.999998*RAND())))</f>
        <v/>
      </c>
      <c r="EQ35" s="30">
        <f>IF(35&gt;$B$3,99,INDEX(Symboles!$H$6:$H$101,MOD(34+$C35+(-4),$B$3)+1)*E35+INDEX(Symboles!$H$6:$H$101,MOD(34+$C35+(-3),$B$3)+1)*F35+INDEX(Symboles!$H$6:$H$101,MOD(34+$C35+(-2),$B$3)+1)*G35+INDEX(Symboles!$H$6:$H$101,MOD(34+$C35+(-1),$B$3)+1)*H35+INDEX(Symboles!$H$6:$H$101,MOD(34+$C35+(0),$B$3)+1)*I35+INDEX(Symboles!$H$6:$H$101,MOD(34+$C35+(1),$B$3)+1)*J35+INDEX(Symboles!$H$6:$H$101,MOD(34+$C35+(2),$B$3)+1)*K35+INDEX(Symboles!$H$6:$H$101,MOD(34+$C35+(3),$B$3)+1)*L35+INDEX(Symboles!$H$6:$H$101,MOD(34+$C35+(4),$B$3)+1)*M35+IF($B$6=0,0,$B$6*NORMSINV(0.000001+0.999998*RAND())))</f>
        <v/>
      </c>
      <c r="ER35" s="30">
        <f>IF(36&gt;$B$3,99,INDEX(Symboles!$H$6:$H$101,MOD(35+$C35+(-4),$B$3)+1)*E35+INDEX(Symboles!$H$6:$H$101,MOD(35+$C35+(-3),$B$3)+1)*F35+INDEX(Symboles!$H$6:$H$101,MOD(35+$C35+(-2),$B$3)+1)*G35+INDEX(Symboles!$H$6:$H$101,MOD(35+$C35+(-1),$B$3)+1)*H35+INDEX(Symboles!$H$6:$H$101,MOD(35+$C35+(0),$B$3)+1)*I35+INDEX(Symboles!$H$6:$H$101,MOD(35+$C35+(1),$B$3)+1)*J35+INDEX(Symboles!$H$6:$H$101,MOD(35+$C35+(2),$B$3)+1)*K35+INDEX(Symboles!$H$6:$H$101,MOD(35+$C35+(3),$B$3)+1)*L35+INDEX(Symboles!$H$6:$H$101,MOD(35+$C35+(4),$B$3)+1)*M35+IF($B$6=0,0,$B$6*NORMSINV(0.000001+0.999998*RAND())))</f>
        <v/>
      </c>
      <c r="ES35" s="30">
        <f>IF(37&gt;$B$3,99,INDEX(Symboles!$H$6:$H$101,MOD(36+$C35+(-4),$B$3)+1)*E35+INDEX(Symboles!$H$6:$H$101,MOD(36+$C35+(-3),$B$3)+1)*F35+INDEX(Symboles!$H$6:$H$101,MOD(36+$C35+(-2),$B$3)+1)*G35+INDEX(Symboles!$H$6:$H$101,MOD(36+$C35+(-1),$B$3)+1)*H35+INDEX(Symboles!$H$6:$H$101,MOD(36+$C35+(0),$B$3)+1)*I35+INDEX(Symboles!$H$6:$H$101,MOD(36+$C35+(1),$B$3)+1)*J35+INDEX(Symboles!$H$6:$H$101,MOD(36+$C35+(2),$B$3)+1)*K35+INDEX(Symboles!$H$6:$H$101,MOD(36+$C35+(3),$B$3)+1)*L35+INDEX(Symboles!$H$6:$H$101,MOD(36+$C35+(4),$B$3)+1)*M35+IF($B$6=0,0,$B$6*NORMSINV(0.000001+0.999998*RAND())))</f>
        <v/>
      </c>
      <c r="ET35" s="30">
        <f>IF(38&gt;$B$3,99,INDEX(Symboles!$H$6:$H$101,MOD(37+$C35+(-4),$B$3)+1)*E35+INDEX(Symboles!$H$6:$H$101,MOD(37+$C35+(-3),$B$3)+1)*F35+INDEX(Symboles!$H$6:$H$101,MOD(37+$C35+(-2),$B$3)+1)*G35+INDEX(Symboles!$H$6:$H$101,MOD(37+$C35+(-1),$B$3)+1)*H35+INDEX(Symboles!$H$6:$H$101,MOD(37+$C35+(0),$B$3)+1)*I35+INDEX(Symboles!$H$6:$H$101,MOD(37+$C35+(1),$B$3)+1)*J35+INDEX(Symboles!$H$6:$H$101,MOD(37+$C35+(2),$B$3)+1)*K35+INDEX(Symboles!$H$6:$H$101,MOD(37+$C35+(3),$B$3)+1)*L35+INDEX(Symboles!$H$6:$H$101,MOD(37+$C35+(4),$B$3)+1)*M35+IF($B$6=0,0,$B$6*NORMSINV(0.000001+0.999998*RAND())))</f>
        <v/>
      </c>
      <c r="EU35" s="30">
        <f>IF(39&gt;$B$3,99,INDEX(Symboles!$H$6:$H$101,MOD(38+$C35+(-4),$B$3)+1)*E35+INDEX(Symboles!$H$6:$H$101,MOD(38+$C35+(-3),$B$3)+1)*F35+INDEX(Symboles!$H$6:$H$101,MOD(38+$C35+(-2),$B$3)+1)*G35+INDEX(Symboles!$H$6:$H$101,MOD(38+$C35+(-1),$B$3)+1)*H35+INDEX(Symboles!$H$6:$H$101,MOD(38+$C35+(0),$B$3)+1)*I35+INDEX(Symboles!$H$6:$H$101,MOD(38+$C35+(1),$B$3)+1)*J35+INDEX(Symboles!$H$6:$H$101,MOD(38+$C35+(2),$B$3)+1)*K35+INDEX(Symboles!$H$6:$H$101,MOD(38+$C35+(3),$B$3)+1)*L35+INDEX(Symboles!$H$6:$H$101,MOD(38+$C35+(4),$B$3)+1)*M35+IF($B$6=0,0,$B$6*NORMSINV(0.000001+0.999998*RAND())))</f>
        <v/>
      </c>
      <c r="EV35" s="30">
        <f>IF(40&gt;$B$3,99,INDEX(Symboles!$H$6:$H$101,MOD(39+$C35+(-4),$B$3)+1)*E35+INDEX(Symboles!$H$6:$H$101,MOD(39+$C35+(-3),$B$3)+1)*F35+INDEX(Symboles!$H$6:$H$101,MOD(39+$C35+(-2),$B$3)+1)*G35+INDEX(Symboles!$H$6:$H$101,MOD(39+$C35+(-1),$B$3)+1)*H35+INDEX(Symboles!$H$6:$H$101,MOD(39+$C35+(0),$B$3)+1)*I35+INDEX(Symboles!$H$6:$H$101,MOD(39+$C35+(1),$B$3)+1)*J35+INDEX(Symboles!$H$6:$H$101,MOD(39+$C35+(2),$B$3)+1)*K35+INDEX(Symboles!$H$6:$H$101,MOD(39+$C35+(3),$B$3)+1)*L35+INDEX(Symboles!$H$6:$H$101,MOD(39+$C35+(4),$B$3)+1)*M35+IF($B$6=0,0,$B$6*NORMSINV(0.000001+0.999998*RAND())))</f>
        <v/>
      </c>
      <c r="EW35" s="30">
        <f>IF(41&gt;$B$3,99,INDEX(Symboles!$H$6:$H$101,MOD(40+$C35+(-4),$B$3)+1)*E35+INDEX(Symboles!$H$6:$H$101,MOD(40+$C35+(-3),$B$3)+1)*F35+INDEX(Symboles!$H$6:$H$101,MOD(40+$C35+(-2),$B$3)+1)*G35+INDEX(Symboles!$H$6:$H$101,MOD(40+$C35+(-1),$B$3)+1)*H35+INDEX(Symboles!$H$6:$H$101,MOD(40+$C35+(0),$B$3)+1)*I35+INDEX(Symboles!$H$6:$H$101,MOD(40+$C35+(1),$B$3)+1)*J35+INDEX(Symboles!$H$6:$H$101,MOD(40+$C35+(2),$B$3)+1)*K35+INDEX(Symboles!$H$6:$H$101,MOD(40+$C35+(3),$B$3)+1)*L35+INDEX(Symboles!$H$6:$H$101,MOD(40+$C35+(4),$B$3)+1)*M35+IF($B$6=0,0,$B$6*NORMSINV(0.000001+0.999998*RAND())))</f>
        <v/>
      </c>
      <c r="EX35" s="30">
        <f>IF(42&gt;$B$3,99,INDEX(Symboles!$H$6:$H$101,MOD(41+$C35+(-4),$B$3)+1)*E35+INDEX(Symboles!$H$6:$H$101,MOD(41+$C35+(-3),$B$3)+1)*F35+INDEX(Symboles!$H$6:$H$101,MOD(41+$C35+(-2),$B$3)+1)*G35+INDEX(Symboles!$H$6:$H$101,MOD(41+$C35+(-1),$B$3)+1)*H35+INDEX(Symboles!$H$6:$H$101,MOD(41+$C35+(0),$B$3)+1)*I35+INDEX(Symboles!$H$6:$H$101,MOD(41+$C35+(1),$B$3)+1)*J35+INDEX(Symboles!$H$6:$H$101,MOD(41+$C35+(2),$B$3)+1)*K35+INDEX(Symboles!$H$6:$H$101,MOD(41+$C35+(3),$B$3)+1)*L35+INDEX(Symboles!$H$6:$H$101,MOD(41+$C35+(4),$B$3)+1)*M35+IF($B$6=0,0,$B$6*NORMSINV(0.000001+0.999998*RAND())))</f>
        <v/>
      </c>
      <c r="EY35" s="30">
        <f>IF(43&gt;$B$3,99,INDEX(Symboles!$H$6:$H$101,MOD(42+$C35+(-4),$B$3)+1)*E35+INDEX(Symboles!$H$6:$H$101,MOD(42+$C35+(-3),$B$3)+1)*F35+INDEX(Symboles!$H$6:$H$101,MOD(42+$C35+(-2),$B$3)+1)*G35+INDEX(Symboles!$H$6:$H$101,MOD(42+$C35+(-1),$B$3)+1)*H35+INDEX(Symboles!$H$6:$H$101,MOD(42+$C35+(0),$B$3)+1)*I35+INDEX(Symboles!$H$6:$H$101,MOD(42+$C35+(1),$B$3)+1)*J35+INDEX(Symboles!$H$6:$H$101,MOD(42+$C35+(2),$B$3)+1)*K35+INDEX(Symboles!$H$6:$H$101,MOD(42+$C35+(3),$B$3)+1)*L35+INDEX(Symboles!$H$6:$H$101,MOD(42+$C35+(4),$B$3)+1)*M35+IF($B$6=0,0,$B$6*NORMSINV(0.000001+0.999998*RAND())))</f>
        <v/>
      </c>
      <c r="EZ35" s="30">
        <f>IF(44&gt;$B$3,99,INDEX(Symboles!$H$6:$H$101,MOD(43+$C35+(-4),$B$3)+1)*E35+INDEX(Symboles!$H$6:$H$101,MOD(43+$C35+(-3),$B$3)+1)*F35+INDEX(Symboles!$H$6:$H$101,MOD(43+$C35+(-2),$B$3)+1)*G35+INDEX(Symboles!$H$6:$H$101,MOD(43+$C35+(-1),$B$3)+1)*H35+INDEX(Symboles!$H$6:$H$101,MOD(43+$C35+(0),$B$3)+1)*I35+INDEX(Symboles!$H$6:$H$101,MOD(43+$C35+(1),$B$3)+1)*J35+INDEX(Symboles!$H$6:$H$101,MOD(43+$C35+(2),$B$3)+1)*K35+INDEX(Symboles!$H$6:$H$101,MOD(43+$C35+(3),$B$3)+1)*L35+INDEX(Symboles!$H$6:$H$101,MOD(43+$C35+(4),$B$3)+1)*M35+IF($B$6=0,0,$B$6*NORMSINV(0.000001+0.999998*RAND())))</f>
        <v/>
      </c>
      <c r="FA35" s="30">
        <f>IF(45&gt;$B$3,99,INDEX(Symboles!$H$6:$H$101,MOD(44+$C35+(-4),$B$3)+1)*E35+INDEX(Symboles!$H$6:$H$101,MOD(44+$C35+(-3),$B$3)+1)*F35+INDEX(Symboles!$H$6:$H$101,MOD(44+$C35+(-2),$B$3)+1)*G35+INDEX(Symboles!$H$6:$H$101,MOD(44+$C35+(-1),$B$3)+1)*H35+INDEX(Symboles!$H$6:$H$101,MOD(44+$C35+(0),$B$3)+1)*I35+INDEX(Symboles!$H$6:$H$101,MOD(44+$C35+(1),$B$3)+1)*J35+INDEX(Symboles!$H$6:$H$101,MOD(44+$C35+(2),$B$3)+1)*K35+INDEX(Symboles!$H$6:$H$101,MOD(44+$C35+(3),$B$3)+1)*L35+INDEX(Symboles!$H$6:$H$101,MOD(44+$C35+(4),$B$3)+1)*M35+IF($B$6=0,0,$B$6*NORMSINV(0.000001+0.999998*RAND())))</f>
        <v/>
      </c>
      <c r="FB35" s="30">
        <f>IF(46&gt;$B$3,99,INDEX(Symboles!$H$6:$H$101,MOD(45+$C35+(-4),$B$3)+1)*E35+INDEX(Symboles!$H$6:$H$101,MOD(45+$C35+(-3),$B$3)+1)*F35+INDEX(Symboles!$H$6:$H$101,MOD(45+$C35+(-2),$B$3)+1)*G35+INDEX(Symboles!$H$6:$H$101,MOD(45+$C35+(-1),$B$3)+1)*H35+INDEX(Symboles!$H$6:$H$101,MOD(45+$C35+(0),$B$3)+1)*I35+INDEX(Symboles!$H$6:$H$101,MOD(45+$C35+(1),$B$3)+1)*J35+INDEX(Symboles!$H$6:$H$101,MOD(45+$C35+(2),$B$3)+1)*K35+INDEX(Symboles!$H$6:$H$101,MOD(45+$C35+(3),$B$3)+1)*L35+INDEX(Symboles!$H$6:$H$101,MOD(45+$C35+(4),$B$3)+1)*M35+IF($B$6=0,0,$B$6*NORMSINV(0.000001+0.999998*RAND())))</f>
        <v/>
      </c>
      <c r="FC35" s="30">
        <f>IF(47&gt;$B$3,99,INDEX(Symboles!$H$6:$H$101,MOD(46+$C35+(-4),$B$3)+1)*E35+INDEX(Symboles!$H$6:$H$101,MOD(46+$C35+(-3),$B$3)+1)*F35+INDEX(Symboles!$H$6:$H$101,MOD(46+$C35+(-2),$B$3)+1)*G35+INDEX(Symboles!$H$6:$H$101,MOD(46+$C35+(-1),$B$3)+1)*H35+INDEX(Symboles!$H$6:$H$101,MOD(46+$C35+(0),$B$3)+1)*I35+INDEX(Symboles!$H$6:$H$101,MOD(46+$C35+(1),$B$3)+1)*J35+INDEX(Symboles!$H$6:$H$101,MOD(46+$C35+(2),$B$3)+1)*K35+INDEX(Symboles!$H$6:$H$101,MOD(46+$C35+(3),$B$3)+1)*L35+INDEX(Symboles!$H$6:$H$101,MOD(46+$C35+(4),$B$3)+1)*M35+IF($B$6=0,0,$B$6*NORMSINV(0.000001+0.999998*RAND())))</f>
        <v/>
      </c>
      <c r="FD35" s="30">
        <f>IF(48&gt;$B$3,99,INDEX(Symboles!$H$6:$H$101,MOD(47+$C35+(-4),$B$3)+1)*E35+INDEX(Symboles!$H$6:$H$101,MOD(47+$C35+(-3),$B$3)+1)*F35+INDEX(Symboles!$H$6:$H$101,MOD(47+$C35+(-2),$B$3)+1)*G35+INDEX(Symboles!$H$6:$H$101,MOD(47+$C35+(-1),$B$3)+1)*H35+INDEX(Symboles!$H$6:$H$101,MOD(47+$C35+(0),$B$3)+1)*I35+INDEX(Symboles!$H$6:$H$101,MOD(47+$C35+(1),$B$3)+1)*J35+INDEX(Symboles!$H$6:$H$101,MOD(47+$C35+(2),$B$3)+1)*K35+INDEX(Symboles!$H$6:$H$101,MOD(47+$C35+(3),$B$3)+1)*L35+INDEX(Symboles!$H$6:$H$101,MOD(47+$C35+(4),$B$3)+1)*M35+IF($B$6=0,0,$B$6*NORMSINV(0.000001+0.999998*RAND())))</f>
        <v/>
      </c>
      <c r="FE35" s="30">
        <f>IF(49&gt;$B$3,99,INDEX(Symboles!$H$6:$H$101,MOD(48+$C35+(-4),$B$3)+1)*E35+INDEX(Symboles!$H$6:$H$101,MOD(48+$C35+(-3),$B$3)+1)*F35+INDEX(Symboles!$H$6:$H$101,MOD(48+$C35+(-2),$B$3)+1)*G35+INDEX(Symboles!$H$6:$H$101,MOD(48+$C35+(-1),$B$3)+1)*H35+INDEX(Symboles!$H$6:$H$101,MOD(48+$C35+(0),$B$3)+1)*I35+INDEX(Symboles!$H$6:$H$101,MOD(48+$C35+(1),$B$3)+1)*J35+INDEX(Symboles!$H$6:$H$101,MOD(48+$C35+(2),$B$3)+1)*K35+INDEX(Symboles!$H$6:$H$101,MOD(48+$C35+(3),$B$3)+1)*L35+INDEX(Symboles!$H$6:$H$101,MOD(48+$C35+(4),$B$3)+1)*M35+IF($B$6=0,0,$B$6*NORMSINV(0.000001+0.999998*RAND())))</f>
        <v/>
      </c>
      <c r="FF35" s="30">
        <f>IF(50&gt;$B$3,99,INDEX(Symboles!$H$6:$H$101,MOD(49+$C35+(-4),$B$3)+1)*E35+INDEX(Symboles!$H$6:$H$101,MOD(49+$C35+(-3),$B$3)+1)*F35+INDEX(Symboles!$H$6:$H$101,MOD(49+$C35+(-2),$B$3)+1)*G35+INDEX(Symboles!$H$6:$H$101,MOD(49+$C35+(-1),$B$3)+1)*H35+INDEX(Symboles!$H$6:$H$101,MOD(49+$C35+(0),$B$3)+1)*I35+INDEX(Symboles!$H$6:$H$101,MOD(49+$C35+(1),$B$3)+1)*J35+INDEX(Symboles!$H$6:$H$101,MOD(49+$C35+(2),$B$3)+1)*K35+INDEX(Symboles!$H$6:$H$101,MOD(49+$C35+(3),$B$3)+1)*L35+INDEX(Symboles!$H$6:$H$101,MOD(49+$C35+(4),$B$3)+1)*M35+IF($B$6=0,0,$B$6*NORMSINV(0.000001+0.999998*RAND())))</f>
        <v/>
      </c>
      <c r="FG35" s="30">
        <f>IF(51&gt;$B$3,99,INDEX(Symboles!$H$6:$H$101,MOD(50+$C35+(-4),$B$3)+1)*E35+INDEX(Symboles!$H$6:$H$101,MOD(50+$C35+(-3),$B$3)+1)*F35+INDEX(Symboles!$H$6:$H$101,MOD(50+$C35+(-2),$B$3)+1)*G35+INDEX(Symboles!$H$6:$H$101,MOD(50+$C35+(-1),$B$3)+1)*H35+INDEX(Symboles!$H$6:$H$101,MOD(50+$C35+(0),$B$3)+1)*I35+INDEX(Symboles!$H$6:$H$101,MOD(50+$C35+(1),$B$3)+1)*J35+INDEX(Symboles!$H$6:$H$101,MOD(50+$C35+(2),$B$3)+1)*K35+INDEX(Symboles!$H$6:$H$101,MOD(50+$C35+(3),$B$3)+1)*L35+INDEX(Symboles!$H$6:$H$101,MOD(50+$C35+(4),$B$3)+1)*M35+IF($B$6=0,0,$B$6*NORMSINV(0.000001+0.999998*RAND())))</f>
        <v/>
      </c>
      <c r="FH35" s="30">
        <f>IF(52&gt;$B$3,99,INDEX(Symboles!$H$6:$H$101,MOD(51+$C35+(-4),$B$3)+1)*E35+INDEX(Symboles!$H$6:$H$101,MOD(51+$C35+(-3),$B$3)+1)*F35+INDEX(Symboles!$H$6:$H$101,MOD(51+$C35+(-2),$B$3)+1)*G35+INDEX(Symboles!$H$6:$H$101,MOD(51+$C35+(-1),$B$3)+1)*H35+INDEX(Symboles!$H$6:$H$101,MOD(51+$C35+(0),$B$3)+1)*I35+INDEX(Symboles!$H$6:$H$101,MOD(51+$C35+(1),$B$3)+1)*J35+INDEX(Symboles!$H$6:$H$101,MOD(51+$C35+(2),$B$3)+1)*K35+INDEX(Symboles!$H$6:$H$101,MOD(51+$C35+(3),$B$3)+1)*L35+INDEX(Symboles!$H$6:$H$101,MOD(51+$C35+(4),$B$3)+1)*M35+IF($B$6=0,0,$B$6*NORMSINV(0.000001+0.999998*RAND())))</f>
        <v/>
      </c>
      <c r="FI35" s="30">
        <f>IF(53&gt;$B$3,99,INDEX(Symboles!$H$6:$H$101,MOD(52+$C35+(-4),$B$3)+1)*E35+INDEX(Symboles!$H$6:$H$101,MOD(52+$C35+(-3),$B$3)+1)*F35+INDEX(Symboles!$H$6:$H$101,MOD(52+$C35+(-2),$B$3)+1)*G35+INDEX(Symboles!$H$6:$H$101,MOD(52+$C35+(-1),$B$3)+1)*H35+INDEX(Symboles!$H$6:$H$101,MOD(52+$C35+(0),$B$3)+1)*I35+INDEX(Symboles!$H$6:$H$101,MOD(52+$C35+(1),$B$3)+1)*J35+INDEX(Symboles!$H$6:$H$101,MOD(52+$C35+(2),$B$3)+1)*K35+INDEX(Symboles!$H$6:$H$101,MOD(52+$C35+(3),$B$3)+1)*L35+INDEX(Symboles!$H$6:$H$101,MOD(52+$C35+(4),$B$3)+1)*M35+IF($B$6=0,0,$B$6*NORMSINV(0.000001+0.999998*RAND())))</f>
        <v/>
      </c>
      <c r="FJ35" s="30">
        <f>IF(54&gt;$B$3,99,INDEX(Symboles!$H$6:$H$101,MOD(53+$C35+(-4),$B$3)+1)*E35+INDEX(Symboles!$H$6:$H$101,MOD(53+$C35+(-3),$B$3)+1)*F35+INDEX(Symboles!$H$6:$H$101,MOD(53+$C35+(-2),$B$3)+1)*G35+INDEX(Symboles!$H$6:$H$101,MOD(53+$C35+(-1),$B$3)+1)*H35+INDEX(Symboles!$H$6:$H$101,MOD(53+$C35+(0),$B$3)+1)*I35+INDEX(Symboles!$H$6:$H$101,MOD(53+$C35+(1),$B$3)+1)*J35+INDEX(Symboles!$H$6:$H$101,MOD(53+$C35+(2),$B$3)+1)*K35+INDEX(Symboles!$H$6:$H$101,MOD(53+$C35+(3),$B$3)+1)*L35+INDEX(Symboles!$H$6:$H$101,MOD(53+$C35+(4),$B$3)+1)*M35+IF($B$6=0,0,$B$6*NORMSINV(0.000001+0.999998*RAND())))</f>
        <v/>
      </c>
      <c r="FK35" s="30">
        <f>IF(55&gt;$B$3,99,INDEX(Symboles!$H$6:$H$101,MOD(54+$C35+(-4),$B$3)+1)*E35+INDEX(Symboles!$H$6:$H$101,MOD(54+$C35+(-3),$B$3)+1)*F35+INDEX(Symboles!$H$6:$H$101,MOD(54+$C35+(-2),$B$3)+1)*G35+INDEX(Symboles!$H$6:$H$101,MOD(54+$C35+(-1),$B$3)+1)*H35+INDEX(Symboles!$H$6:$H$101,MOD(54+$C35+(0),$B$3)+1)*I35+INDEX(Symboles!$H$6:$H$101,MOD(54+$C35+(1),$B$3)+1)*J35+INDEX(Symboles!$H$6:$H$101,MOD(54+$C35+(2),$B$3)+1)*K35+INDEX(Symboles!$H$6:$H$101,MOD(54+$C35+(3),$B$3)+1)*L35+INDEX(Symboles!$H$6:$H$101,MOD(54+$C35+(4),$B$3)+1)*M35+IF($B$6=0,0,$B$6*NORMSINV(0.000001+0.999998*RAND())))</f>
        <v/>
      </c>
      <c r="FL35" s="30">
        <f>IF(56&gt;$B$3,99,INDEX(Symboles!$H$6:$H$101,MOD(55+$C35+(-4),$B$3)+1)*E35+INDEX(Symboles!$H$6:$H$101,MOD(55+$C35+(-3),$B$3)+1)*F35+INDEX(Symboles!$H$6:$H$101,MOD(55+$C35+(-2),$B$3)+1)*G35+INDEX(Symboles!$H$6:$H$101,MOD(55+$C35+(-1),$B$3)+1)*H35+INDEX(Symboles!$H$6:$H$101,MOD(55+$C35+(0),$B$3)+1)*I35+INDEX(Symboles!$H$6:$H$101,MOD(55+$C35+(1),$B$3)+1)*J35+INDEX(Symboles!$H$6:$H$101,MOD(55+$C35+(2),$B$3)+1)*K35+INDEX(Symboles!$H$6:$H$101,MOD(55+$C35+(3),$B$3)+1)*L35+INDEX(Symboles!$H$6:$H$101,MOD(55+$C35+(4),$B$3)+1)*M35+IF($B$6=0,0,$B$6*NORMSINV(0.000001+0.999998*RAND())))</f>
        <v/>
      </c>
      <c r="FM35" s="30">
        <f>IF(57&gt;$B$3,99,INDEX(Symboles!$H$6:$H$101,MOD(56+$C35+(-4),$B$3)+1)*E35+INDEX(Symboles!$H$6:$H$101,MOD(56+$C35+(-3),$B$3)+1)*F35+INDEX(Symboles!$H$6:$H$101,MOD(56+$C35+(-2),$B$3)+1)*G35+INDEX(Symboles!$H$6:$H$101,MOD(56+$C35+(-1),$B$3)+1)*H35+INDEX(Symboles!$H$6:$H$101,MOD(56+$C35+(0),$B$3)+1)*I35+INDEX(Symboles!$H$6:$H$101,MOD(56+$C35+(1),$B$3)+1)*J35+INDEX(Symboles!$H$6:$H$101,MOD(56+$C35+(2),$B$3)+1)*K35+INDEX(Symboles!$H$6:$H$101,MOD(56+$C35+(3),$B$3)+1)*L35+INDEX(Symboles!$H$6:$H$101,MOD(56+$C35+(4),$B$3)+1)*M35+IF($B$6=0,0,$B$6*NORMSINV(0.000001+0.999998*RAND())))</f>
        <v/>
      </c>
      <c r="FN35" s="30">
        <f>IF(58&gt;$B$3,99,INDEX(Symboles!$H$6:$H$101,MOD(57+$C35+(-4),$B$3)+1)*E35+INDEX(Symboles!$H$6:$H$101,MOD(57+$C35+(-3),$B$3)+1)*F35+INDEX(Symboles!$H$6:$H$101,MOD(57+$C35+(-2),$B$3)+1)*G35+INDEX(Symboles!$H$6:$H$101,MOD(57+$C35+(-1),$B$3)+1)*H35+INDEX(Symboles!$H$6:$H$101,MOD(57+$C35+(0),$B$3)+1)*I35+INDEX(Symboles!$H$6:$H$101,MOD(57+$C35+(1),$B$3)+1)*J35+INDEX(Symboles!$H$6:$H$101,MOD(57+$C35+(2),$B$3)+1)*K35+INDEX(Symboles!$H$6:$H$101,MOD(57+$C35+(3),$B$3)+1)*L35+INDEX(Symboles!$H$6:$H$101,MOD(57+$C35+(4),$B$3)+1)*M35+IF($B$6=0,0,$B$6*NORMSINV(0.000001+0.999998*RAND())))</f>
        <v/>
      </c>
      <c r="FO35" s="30">
        <f>IF(59&gt;$B$3,99,INDEX(Symboles!$H$6:$H$101,MOD(58+$C35+(-4),$B$3)+1)*E35+INDEX(Symboles!$H$6:$H$101,MOD(58+$C35+(-3),$B$3)+1)*F35+INDEX(Symboles!$H$6:$H$101,MOD(58+$C35+(-2),$B$3)+1)*G35+INDEX(Symboles!$H$6:$H$101,MOD(58+$C35+(-1),$B$3)+1)*H35+INDEX(Symboles!$H$6:$H$101,MOD(58+$C35+(0),$B$3)+1)*I35+INDEX(Symboles!$H$6:$H$101,MOD(58+$C35+(1),$B$3)+1)*J35+INDEX(Symboles!$H$6:$H$101,MOD(58+$C35+(2),$B$3)+1)*K35+INDEX(Symboles!$H$6:$H$101,MOD(58+$C35+(3),$B$3)+1)*L35+INDEX(Symboles!$H$6:$H$101,MOD(58+$C35+(4),$B$3)+1)*M35+IF($B$6=0,0,$B$6*NORMSINV(0.000001+0.999998*RAND())))</f>
        <v/>
      </c>
      <c r="FP35" s="30">
        <f>IF(60&gt;$B$3,99,INDEX(Symboles!$H$6:$H$101,MOD(59+$C35+(-4),$B$3)+1)*E35+INDEX(Symboles!$H$6:$H$101,MOD(59+$C35+(-3),$B$3)+1)*F35+INDEX(Symboles!$H$6:$H$101,MOD(59+$C35+(-2),$B$3)+1)*G35+INDEX(Symboles!$H$6:$H$101,MOD(59+$C35+(-1),$B$3)+1)*H35+INDEX(Symboles!$H$6:$H$101,MOD(59+$C35+(0),$B$3)+1)*I35+INDEX(Symboles!$H$6:$H$101,MOD(59+$C35+(1),$B$3)+1)*J35+INDEX(Symboles!$H$6:$H$101,MOD(59+$C35+(2),$B$3)+1)*K35+INDEX(Symboles!$H$6:$H$101,MOD(59+$C35+(3),$B$3)+1)*L35+INDEX(Symboles!$H$6:$H$101,MOD(59+$C35+(4),$B$3)+1)*M35+IF($B$6=0,0,$B$6*NORMSINV(0.000001+0.999998*RAND())))</f>
        <v/>
      </c>
      <c r="FQ35" s="30">
        <f>IF(61&gt;$B$3,99,INDEX(Symboles!$H$6:$H$101,MOD(60+$C35+(-4),$B$3)+1)*E35+INDEX(Symboles!$H$6:$H$101,MOD(60+$C35+(-3),$B$3)+1)*F35+INDEX(Symboles!$H$6:$H$101,MOD(60+$C35+(-2),$B$3)+1)*G35+INDEX(Symboles!$H$6:$H$101,MOD(60+$C35+(-1),$B$3)+1)*H35+INDEX(Symboles!$H$6:$H$101,MOD(60+$C35+(0),$B$3)+1)*I35+INDEX(Symboles!$H$6:$H$101,MOD(60+$C35+(1),$B$3)+1)*J35+INDEX(Symboles!$H$6:$H$101,MOD(60+$C35+(2),$B$3)+1)*K35+INDEX(Symboles!$H$6:$H$101,MOD(60+$C35+(3),$B$3)+1)*L35+INDEX(Symboles!$H$6:$H$101,MOD(60+$C35+(4),$B$3)+1)*M35+IF($B$6=0,0,$B$6*NORMSINV(0.000001+0.999998*RAND())))</f>
        <v/>
      </c>
      <c r="FR35" s="30">
        <f>IF(62&gt;$B$3,99,INDEX(Symboles!$H$6:$H$101,MOD(61+$C35+(-4),$B$3)+1)*E35+INDEX(Symboles!$H$6:$H$101,MOD(61+$C35+(-3),$B$3)+1)*F35+INDEX(Symboles!$H$6:$H$101,MOD(61+$C35+(-2),$B$3)+1)*G35+INDEX(Symboles!$H$6:$H$101,MOD(61+$C35+(-1),$B$3)+1)*H35+INDEX(Symboles!$H$6:$H$101,MOD(61+$C35+(0),$B$3)+1)*I35+INDEX(Symboles!$H$6:$H$101,MOD(61+$C35+(1),$B$3)+1)*J35+INDEX(Symboles!$H$6:$H$101,MOD(61+$C35+(2),$B$3)+1)*K35+INDEX(Symboles!$H$6:$H$101,MOD(61+$C35+(3),$B$3)+1)*L35+INDEX(Symboles!$H$6:$H$101,MOD(61+$C35+(4),$B$3)+1)*M35+IF($B$6=0,0,$B$6*NORMSINV(0.000001+0.999998*RAND())))</f>
        <v/>
      </c>
      <c r="FS35" s="30">
        <f>IF(63&gt;$B$3,99,INDEX(Symboles!$H$6:$H$101,MOD(62+$C35+(-4),$B$3)+1)*E35+INDEX(Symboles!$H$6:$H$101,MOD(62+$C35+(-3),$B$3)+1)*F35+INDEX(Symboles!$H$6:$H$101,MOD(62+$C35+(-2),$B$3)+1)*G35+INDEX(Symboles!$H$6:$H$101,MOD(62+$C35+(-1),$B$3)+1)*H35+INDEX(Symboles!$H$6:$H$101,MOD(62+$C35+(0),$B$3)+1)*I35+INDEX(Symboles!$H$6:$H$101,MOD(62+$C35+(1),$B$3)+1)*J35+INDEX(Symboles!$H$6:$H$101,MOD(62+$C35+(2),$B$3)+1)*K35+INDEX(Symboles!$H$6:$H$101,MOD(62+$C35+(3),$B$3)+1)*L35+INDEX(Symboles!$H$6:$H$101,MOD(62+$C35+(4),$B$3)+1)*M35+IF($B$6=0,0,$B$6*NORMSINV(0.000001+0.999998*RAND())))</f>
        <v/>
      </c>
      <c r="FT35" s="30">
        <f>IF(64&gt;$B$3,99,INDEX(Symboles!$H$6:$H$101,MOD(63+$C35+(-4),$B$3)+1)*E35+INDEX(Symboles!$H$6:$H$101,MOD(63+$C35+(-3),$B$3)+1)*F35+INDEX(Symboles!$H$6:$H$101,MOD(63+$C35+(-2),$B$3)+1)*G35+INDEX(Symboles!$H$6:$H$101,MOD(63+$C35+(-1),$B$3)+1)*H35+INDEX(Symboles!$H$6:$H$101,MOD(63+$C35+(0),$B$3)+1)*I35+INDEX(Symboles!$H$6:$H$101,MOD(63+$C35+(1),$B$3)+1)*J35+INDEX(Symboles!$H$6:$H$101,MOD(63+$C35+(2),$B$3)+1)*K35+INDEX(Symboles!$H$6:$H$101,MOD(63+$C35+(3),$B$3)+1)*L35+INDEX(Symboles!$H$6:$H$101,MOD(63+$C35+(4),$B$3)+1)*M35+IF($B$6=0,0,$B$6*NORMSINV(0.000001+0.999998*RAND())))</f>
        <v/>
      </c>
      <c r="FU35" s="30">
        <f>IF(65&gt;$B$3,99,INDEX(Symboles!$H$6:$H$101,MOD(64+$C35+(-4),$B$3)+1)*E35+INDEX(Symboles!$H$6:$H$101,MOD(64+$C35+(-3),$B$3)+1)*F35+INDEX(Symboles!$H$6:$H$101,MOD(64+$C35+(-2),$B$3)+1)*G35+INDEX(Symboles!$H$6:$H$101,MOD(64+$C35+(-1),$B$3)+1)*H35+INDEX(Symboles!$H$6:$H$101,MOD(64+$C35+(0),$B$3)+1)*I35+INDEX(Symboles!$H$6:$H$101,MOD(64+$C35+(1),$B$3)+1)*J35+INDEX(Symboles!$H$6:$H$101,MOD(64+$C35+(2),$B$3)+1)*K35+INDEX(Symboles!$H$6:$H$101,MOD(64+$C35+(3),$B$3)+1)*L35+INDEX(Symboles!$H$6:$H$101,MOD(64+$C35+(4),$B$3)+1)*M35+IF($B$6=0,0,$B$6*NORMSINV(0.000001+0.999998*RAND())))</f>
        <v/>
      </c>
      <c r="FV35" s="30">
        <f>IF(66&gt;$B$3,99,INDEX(Symboles!$H$6:$H$101,MOD(65+$C35+(-4),$B$3)+1)*E35+INDEX(Symboles!$H$6:$H$101,MOD(65+$C35+(-3),$B$3)+1)*F35+INDEX(Symboles!$H$6:$H$101,MOD(65+$C35+(-2),$B$3)+1)*G35+INDEX(Symboles!$H$6:$H$101,MOD(65+$C35+(-1),$B$3)+1)*H35+INDEX(Symboles!$H$6:$H$101,MOD(65+$C35+(0),$B$3)+1)*I35+INDEX(Symboles!$H$6:$H$101,MOD(65+$C35+(1),$B$3)+1)*J35+INDEX(Symboles!$H$6:$H$101,MOD(65+$C35+(2),$B$3)+1)*K35+INDEX(Symboles!$H$6:$H$101,MOD(65+$C35+(3),$B$3)+1)*L35+INDEX(Symboles!$H$6:$H$101,MOD(65+$C35+(4),$B$3)+1)*M35+IF($B$6=0,0,$B$6*NORMSINV(0.000001+0.999998*RAND())))</f>
        <v/>
      </c>
      <c r="FW35" s="30">
        <f>IF(67&gt;$B$3,99,INDEX(Symboles!$H$6:$H$101,MOD(66+$C35+(-4),$B$3)+1)*E35+INDEX(Symboles!$H$6:$H$101,MOD(66+$C35+(-3),$B$3)+1)*F35+INDEX(Symboles!$H$6:$H$101,MOD(66+$C35+(-2),$B$3)+1)*G35+INDEX(Symboles!$H$6:$H$101,MOD(66+$C35+(-1),$B$3)+1)*H35+INDEX(Symboles!$H$6:$H$101,MOD(66+$C35+(0),$B$3)+1)*I35+INDEX(Symboles!$H$6:$H$101,MOD(66+$C35+(1),$B$3)+1)*J35+INDEX(Symboles!$H$6:$H$101,MOD(66+$C35+(2),$B$3)+1)*K35+INDEX(Symboles!$H$6:$H$101,MOD(66+$C35+(3),$B$3)+1)*L35+INDEX(Symboles!$H$6:$H$101,MOD(66+$C35+(4),$B$3)+1)*M35+IF($B$6=0,0,$B$6*NORMSINV(0.000001+0.999998*RAND())))</f>
        <v/>
      </c>
      <c r="FX35" s="30">
        <f>IF(68&gt;$B$3,99,INDEX(Symboles!$H$6:$H$101,MOD(67+$C35+(-4),$B$3)+1)*E35+INDEX(Symboles!$H$6:$H$101,MOD(67+$C35+(-3),$B$3)+1)*F35+INDEX(Symboles!$H$6:$H$101,MOD(67+$C35+(-2),$B$3)+1)*G35+INDEX(Symboles!$H$6:$H$101,MOD(67+$C35+(-1),$B$3)+1)*H35+INDEX(Symboles!$H$6:$H$101,MOD(67+$C35+(0),$B$3)+1)*I35+INDEX(Symboles!$H$6:$H$101,MOD(67+$C35+(1),$B$3)+1)*J35+INDEX(Symboles!$H$6:$H$101,MOD(67+$C35+(2),$B$3)+1)*K35+INDEX(Symboles!$H$6:$H$101,MOD(67+$C35+(3),$B$3)+1)*L35+INDEX(Symboles!$H$6:$H$101,MOD(67+$C35+(4),$B$3)+1)*M35+IF($B$6=0,0,$B$6*NORMSINV(0.000001+0.999998*RAND())))</f>
        <v/>
      </c>
      <c r="FY35" s="30">
        <f>IF(69&gt;$B$3,99,INDEX(Symboles!$H$6:$H$101,MOD(68+$C35+(-4),$B$3)+1)*E35+INDEX(Symboles!$H$6:$H$101,MOD(68+$C35+(-3),$B$3)+1)*F35+INDEX(Symboles!$H$6:$H$101,MOD(68+$C35+(-2),$B$3)+1)*G35+INDEX(Symboles!$H$6:$H$101,MOD(68+$C35+(-1),$B$3)+1)*H35+INDEX(Symboles!$H$6:$H$101,MOD(68+$C35+(0),$B$3)+1)*I35+INDEX(Symboles!$H$6:$H$101,MOD(68+$C35+(1),$B$3)+1)*J35+INDEX(Symboles!$H$6:$H$101,MOD(68+$C35+(2),$B$3)+1)*K35+INDEX(Symboles!$H$6:$H$101,MOD(68+$C35+(3),$B$3)+1)*L35+INDEX(Symboles!$H$6:$H$101,MOD(68+$C35+(4),$B$3)+1)*M35+IF($B$6=0,0,$B$6*NORMSINV(0.000001+0.999998*RAND())))</f>
        <v/>
      </c>
      <c r="FZ35" s="30">
        <f>IF(70&gt;$B$3,99,INDEX(Symboles!$H$6:$H$101,MOD(69+$C35+(-4),$B$3)+1)*E35+INDEX(Symboles!$H$6:$H$101,MOD(69+$C35+(-3),$B$3)+1)*F35+INDEX(Symboles!$H$6:$H$101,MOD(69+$C35+(-2),$B$3)+1)*G35+INDEX(Symboles!$H$6:$H$101,MOD(69+$C35+(-1),$B$3)+1)*H35+INDEX(Symboles!$H$6:$H$101,MOD(69+$C35+(0),$B$3)+1)*I35+INDEX(Symboles!$H$6:$H$101,MOD(69+$C35+(1),$B$3)+1)*J35+INDEX(Symboles!$H$6:$H$101,MOD(69+$C35+(2),$B$3)+1)*K35+INDEX(Symboles!$H$6:$H$101,MOD(69+$C35+(3),$B$3)+1)*L35+INDEX(Symboles!$H$6:$H$101,MOD(69+$C35+(4),$B$3)+1)*M35+IF($B$6=0,0,$B$6*NORMSINV(0.000001+0.999998*RAND())))</f>
        <v/>
      </c>
      <c r="GA35" s="30">
        <f>IF(71&gt;$B$3,99,INDEX(Symboles!$H$6:$H$101,MOD(70+$C35+(-4),$B$3)+1)*E35+INDEX(Symboles!$H$6:$H$101,MOD(70+$C35+(-3),$B$3)+1)*F35+INDEX(Symboles!$H$6:$H$101,MOD(70+$C35+(-2),$B$3)+1)*G35+INDEX(Symboles!$H$6:$H$101,MOD(70+$C35+(-1),$B$3)+1)*H35+INDEX(Symboles!$H$6:$H$101,MOD(70+$C35+(0),$B$3)+1)*I35+INDEX(Symboles!$H$6:$H$101,MOD(70+$C35+(1),$B$3)+1)*J35+INDEX(Symboles!$H$6:$H$101,MOD(70+$C35+(2),$B$3)+1)*K35+INDEX(Symboles!$H$6:$H$101,MOD(70+$C35+(3),$B$3)+1)*L35+INDEX(Symboles!$H$6:$H$101,MOD(70+$C35+(4),$B$3)+1)*M35+IF($B$6=0,0,$B$6*NORMSINV(0.000001+0.999998*RAND())))</f>
        <v/>
      </c>
      <c r="GB35" s="30">
        <f>IF(72&gt;$B$3,99,INDEX(Symboles!$H$6:$H$101,MOD(71+$C35+(-4),$B$3)+1)*E35+INDEX(Symboles!$H$6:$H$101,MOD(71+$C35+(-3),$B$3)+1)*F35+INDEX(Symboles!$H$6:$H$101,MOD(71+$C35+(-2),$B$3)+1)*G35+INDEX(Symboles!$H$6:$H$101,MOD(71+$C35+(-1),$B$3)+1)*H35+INDEX(Symboles!$H$6:$H$101,MOD(71+$C35+(0),$B$3)+1)*I35+INDEX(Symboles!$H$6:$H$101,MOD(71+$C35+(1),$B$3)+1)*J35+INDEX(Symboles!$H$6:$H$101,MOD(71+$C35+(2),$B$3)+1)*K35+INDEX(Symboles!$H$6:$H$101,MOD(71+$C35+(3),$B$3)+1)*L35+INDEX(Symboles!$H$6:$H$101,MOD(71+$C35+(4),$B$3)+1)*M35+IF($B$6=0,0,$B$6*NORMSINV(0.000001+0.999998*RAND())))</f>
        <v/>
      </c>
      <c r="GC35" s="30">
        <f>IF(73&gt;$B$3,99,INDEX(Symboles!$H$6:$H$101,MOD(72+$C35+(-4),$B$3)+1)*E35+INDEX(Symboles!$H$6:$H$101,MOD(72+$C35+(-3),$B$3)+1)*F35+INDEX(Symboles!$H$6:$H$101,MOD(72+$C35+(-2),$B$3)+1)*G35+INDEX(Symboles!$H$6:$H$101,MOD(72+$C35+(-1),$B$3)+1)*H35+INDEX(Symboles!$H$6:$H$101,MOD(72+$C35+(0),$B$3)+1)*I35+INDEX(Symboles!$H$6:$H$101,MOD(72+$C35+(1),$B$3)+1)*J35+INDEX(Symboles!$H$6:$H$101,MOD(72+$C35+(2),$B$3)+1)*K35+INDEX(Symboles!$H$6:$H$101,MOD(72+$C35+(3),$B$3)+1)*L35+INDEX(Symboles!$H$6:$H$101,MOD(72+$C35+(4),$B$3)+1)*M35+IF($B$6=0,0,$B$6*NORMSINV(0.000001+0.999998*RAND())))</f>
        <v/>
      </c>
      <c r="GD35" s="30">
        <f>IF(74&gt;$B$3,99,INDEX(Symboles!$H$6:$H$101,MOD(73+$C35+(-4),$B$3)+1)*E35+INDEX(Symboles!$H$6:$H$101,MOD(73+$C35+(-3),$B$3)+1)*F35+INDEX(Symboles!$H$6:$H$101,MOD(73+$C35+(-2),$B$3)+1)*G35+INDEX(Symboles!$H$6:$H$101,MOD(73+$C35+(-1),$B$3)+1)*H35+INDEX(Symboles!$H$6:$H$101,MOD(73+$C35+(0),$B$3)+1)*I35+INDEX(Symboles!$H$6:$H$101,MOD(73+$C35+(1),$B$3)+1)*J35+INDEX(Symboles!$H$6:$H$101,MOD(73+$C35+(2),$B$3)+1)*K35+INDEX(Symboles!$H$6:$H$101,MOD(73+$C35+(3),$B$3)+1)*L35+INDEX(Symboles!$H$6:$H$101,MOD(73+$C35+(4),$B$3)+1)*M35+IF($B$6=0,0,$B$6*NORMSINV(0.000001+0.999998*RAND())))</f>
        <v/>
      </c>
      <c r="GE35" s="30">
        <f>IF(75&gt;$B$3,99,INDEX(Symboles!$H$6:$H$101,MOD(74+$C35+(-4),$B$3)+1)*E35+INDEX(Symboles!$H$6:$H$101,MOD(74+$C35+(-3),$B$3)+1)*F35+INDEX(Symboles!$H$6:$H$101,MOD(74+$C35+(-2),$B$3)+1)*G35+INDEX(Symboles!$H$6:$H$101,MOD(74+$C35+(-1),$B$3)+1)*H35+INDEX(Symboles!$H$6:$H$101,MOD(74+$C35+(0),$B$3)+1)*I35+INDEX(Symboles!$H$6:$H$101,MOD(74+$C35+(1),$B$3)+1)*J35+INDEX(Symboles!$H$6:$H$101,MOD(74+$C35+(2),$B$3)+1)*K35+INDEX(Symboles!$H$6:$H$101,MOD(74+$C35+(3),$B$3)+1)*L35+INDEX(Symboles!$H$6:$H$101,MOD(74+$C35+(4),$B$3)+1)*M35+IF($B$6=0,0,$B$6*NORMSINV(0.000001+0.999998*RAND())))</f>
        <v/>
      </c>
      <c r="GF35" s="30">
        <f>IF(76&gt;$B$3,99,INDEX(Symboles!$H$6:$H$101,MOD(75+$C35+(-4),$B$3)+1)*E35+INDEX(Symboles!$H$6:$H$101,MOD(75+$C35+(-3),$B$3)+1)*F35+INDEX(Symboles!$H$6:$H$101,MOD(75+$C35+(-2),$B$3)+1)*G35+INDEX(Symboles!$H$6:$H$101,MOD(75+$C35+(-1),$B$3)+1)*H35+INDEX(Symboles!$H$6:$H$101,MOD(75+$C35+(0),$B$3)+1)*I35+INDEX(Symboles!$H$6:$H$101,MOD(75+$C35+(1),$B$3)+1)*J35+INDEX(Symboles!$H$6:$H$101,MOD(75+$C35+(2),$B$3)+1)*K35+INDEX(Symboles!$H$6:$H$101,MOD(75+$C35+(3),$B$3)+1)*L35+INDEX(Symboles!$H$6:$H$101,MOD(75+$C35+(4),$B$3)+1)*M35+IF($B$6=0,0,$B$6*NORMSINV(0.000001+0.999998*RAND())))</f>
        <v/>
      </c>
      <c r="GG35" s="30">
        <f>IF(77&gt;$B$3,99,INDEX(Symboles!$H$6:$H$101,MOD(76+$C35+(-4),$B$3)+1)*E35+INDEX(Symboles!$H$6:$H$101,MOD(76+$C35+(-3),$B$3)+1)*F35+INDEX(Symboles!$H$6:$H$101,MOD(76+$C35+(-2),$B$3)+1)*G35+INDEX(Symboles!$H$6:$H$101,MOD(76+$C35+(-1),$B$3)+1)*H35+INDEX(Symboles!$H$6:$H$101,MOD(76+$C35+(0),$B$3)+1)*I35+INDEX(Symboles!$H$6:$H$101,MOD(76+$C35+(1),$B$3)+1)*J35+INDEX(Symboles!$H$6:$H$101,MOD(76+$C35+(2),$B$3)+1)*K35+INDEX(Symboles!$H$6:$H$101,MOD(76+$C35+(3),$B$3)+1)*L35+INDEX(Symboles!$H$6:$H$101,MOD(76+$C35+(4),$B$3)+1)*M35+IF($B$6=0,0,$B$6*NORMSINV(0.000001+0.999998*RAND())))</f>
        <v/>
      </c>
      <c r="GH35" s="30">
        <f>IF(78&gt;$B$3,99,INDEX(Symboles!$H$6:$H$101,MOD(77+$C35+(-4),$B$3)+1)*E35+INDEX(Symboles!$H$6:$H$101,MOD(77+$C35+(-3),$B$3)+1)*F35+INDEX(Symboles!$H$6:$H$101,MOD(77+$C35+(-2),$B$3)+1)*G35+INDEX(Symboles!$H$6:$H$101,MOD(77+$C35+(-1),$B$3)+1)*H35+INDEX(Symboles!$H$6:$H$101,MOD(77+$C35+(0),$B$3)+1)*I35+INDEX(Symboles!$H$6:$H$101,MOD(77+$C35+(1),$B$3)+1)*J35+INDEX(Symboles!$H$6:$H$101,MOD(77+$C35+(2),$B$3)+1)*K35+INDEX(Symboles!$H$6:$H$101,MOD(77+$C35+(3),$B$3)+1)*L35+INDEX(Symboles!$H$6:$H$101,MOD(77+$C35+(4),$B$3)+1)*M35+IF($B$6=0,0,$B$6*NORMSINV(0.000001+0.999998*RAND())))</f>
        <v/>
      </c>
      <c r="GI35" s="30">
        <f>IF(79&gt;$B$3,99,INDEX(Symboles!$H$6:$H$101,MOD(78+$C35+(-4),$B$3)+1)*E35+INDEX(Symboles!$H$6:$H$101,MOD(78+$C35+(-3),$B$3)+1)*F35+INDEX(Symboles!$H$6:$H$101,MOD(78+$C35+(-2),$B$3)+1)*G35+INDEX(Symboles!$H$6:$H$101,MOD(78+$C35+(-1),$B$3)+1)*H35+INDEX(Symboles!$H$6:$H$101,MOD(78+$C35+(0),$B$3)+1)*I35+INDEX(Symboles!$H$6:$H$101,MOD(78+$C35+(1),$B$3)+1)*J35+INDEX(Symboles!$H$6:$H$101,MOD(78+$C35+(2),$B$3)+1)*K35+INDEX(Symboles!$H$6:$H$101,MOD(78+$C35+(3),$B$3)+1)*L35+INDEX(Symboles!$H$6:$H$101,MOD(78+$C35+(4),$B$3)+1)*M35+IF($B$6=0,0,$B$6*NORMSINV(0.000001+0.999998*RAND())))</f>
        <v/>
      </c>
      <c r="GJ35" s="30">
        <f>IF(80&gt;$B$3,99,INDEX(Symboles!$H$6:$H$101,MOD(79+$C35+(-4),$B$3)+1)*E35+INDEX(Symboles!$H$6:$H$101,MOD(79+$C35+(-3),$B$3)+1)*F35+INDEX(Symboles!$H$6:$H$101,MOD(79+$C35+(-2),$B$3)+1)*G35+INDEX(Symboles!$H$6:$H$101,MOD(79+$C35+(-1),$B$3)+1)*H35+INDEX(Symboles!$H$6:$H$101,MOD(79+$C35+(0),$B$3)+1)*I35+INDEX(Symboles!$H$6:$H$101,MOD(79+$C35+(1),$B$3)+1)*J35+INDEX(Symboles!$H$6:$H$101,MOD(79+$C35+(2),$B$3)+1)*K35+INDEX(Symboles!$H$6:$H$101,MOD(79+$C35+(3),$B$3)+1)*L35+INDEX(Symboles!$H$6:$H$101,MOD(79+$C35+(4),$B$3)+1)*M35+IF($B$6=0,0,$B$6*NORMSINV(0.000001+0.999998*RAND())))</f>
        <v/>
      </c>
      <c r="GK35" s="30">
        <f>IF(81&gt;$B$3,99,INDEX(Symboles!$H$6:$H$101,MOD(80+$C35+(-4),$B$3)+1)*E35+INDEX(Symboles!$H$6:$H$101,MOD(80+$C35+(-3),$B$3)+1)*F35+INDEX(Symboles!$H$6:$H$101,MOD(80+$C35+(-2),$B$3)+1)*G35+INDEX(Symboles!$H$6:$H$101,MOD(80+$C35+(-1),$B$3)+1)*H35+INDEX(Symboles!$H$6:$H$101,MOD(80+$C35+(0),$B$3)+1)*I35+INDEX(Symboles!$H$6:$H$101,MOD(80+$C35+(1),$B$3)+1)*J35+INDEX(Symboles!$H$6:$H$101,MOD(80+$C35+(2),$B$3)+1)*K35+INDEX(Symboles!$H$6:$H$101,MOD(80+$C35+(3),$B$3)+1)*L35+INDEX(Symboles!$H$6:$H$101,MOD(80+$C35+(4),$B$3)+1)*M35+IF($B$6=0,0,$B$6*NORMSINV(0.000001+0.999998*RAND())))</f>
        <v/>
      </c>
      <c r="GL35" s="30">
        <f>IF(82&gt;$B$3,99,INDEX(Symboles!$H$6:$H$101,MOD(81+$C35+(-4),$B$3)+1)*E35+INDEX(Symboles!$H$6:$H$101,MOD(81+$C35+(-3),$B$3)+1)*F35+INDEX(Symboles!$H$6:$H$101,MOD(81+$C35+(-2),$B$3)+1)*G35+INDEX(Symboles!$H$6:$H$101,MOD(81+$C35+(-1),$B$3)+1)*H35+INDEX(Symboles!$H$6:$H$101,MOD(81+$C35+(0),$B$3)+1)*I35+INDEX(Symboles!$H$6:$H$101,MOD(81+$C35+(1),$B$3)+1)*J35+INDEX(Symboles!$H$6:$H$101,MOD(81+$C35+(2),$B$3)+1)*K35+INDEX(Symboles!$H$6:$H$101,MOD(81+$C35+(3),$B$3)+1)*L35+INDEX(Symboles!$H$6:$H$101,MOD(81+$C35+(4),$B$3)+1)*M35+IF($B$6=0,0,$B$6*NORMSINV(0.000001+0.999998*RAND())))</f>
        <v/>
      </c>
      <c r="GM35" s="30">
        <f>IF(83&gt;$B$3,99,INDEX(Symboles!$H$6:$H$101,MOD(82+$C35+(-4),$B$3)+1)*E35+INDEX(Symboles!$H$6:$H$101,MOD(82+$C35+(-3),$B$3)+1)*F35+INDEX(Symboles!$H$6:$H$101,MOD(82+$C35+(-2),$B$3)+1)*G35+INDEX(Symboles!$H$6:$H$101,MOD(82+$C35+(-1),$B$3)+1)*H35+INDEX(Symboles!$H$6:$H$101,MOD(82+$C35+(0),$B$3)+1)*I35+INDEX(Symboles!$H$6:$H$101,MOD(82+$C35+(1),$B$3)+1)*J35+INDEX(Symboles!$H$6:$H$101,MOD(82+$C35+(2),$B$3)+1)*K35+INDEX(Symboles!$H$6:$H$101,MOD(82+$C35+(3),$B$3)+1)*L35+INDEX(Symboles!$H$6:$H$101,MOD(82+$C35+(4),$B$3)+1)*M35+IF($B$6=0,0,$B$6*NORMSINV(0.000001+0.999998*RAND())))</f>
        <v/>
      </c>
      <c r="GN35" s="30">
        <f>IF(84&gt;$B$3,99,INDEX(Symboles!$H$6:$H$101,MOD(83+$C35+(-4),$B$3)+1)*E35+INDEX(Symboles!$H$6:$H$101,MOD(83+$C35+(-3),$B$3)+1)*F35+INDEX(Symboles!$H$6:$H$101,MOD(83+$C35+(-2),$B$3)+1)*G35+INDEX(Symboles!$H$6:$H$101,MOD(83+$C35+(-1),$B$3)+1)*H35+INDEX(Symboles!$H$6:$H$101,MOD(83+$C35+(0),$B$3)+1)*I35+INDEX(Symboles!$H$6:$H$101,MOD(83+$C35+(1),$B$3)+1)*J35+INDEX(Symboles!$H$6:$H$101,MOD(83+$C35+(2),$B$3)+1)*K35+INDEX(Symboles!$H$6:$H$101,MOD(83+$C35+(3),$B$3)+1)*L35+INDEX(Symboles!$H$6:$H$101,MOD(83+$C35+(4),$B$3)+1)*M35+IF($B$6=0,0,$B$6*NORMSINV(0.000001+0.999998*RAND())))</f>
        <v/>
      </c>
      <c r="GO35" s="30">
        <f>IF(85&gt;$B$3,99,INDEX(Symboles!$H$6:$H$101,MOD(84+$C35+(-4),$B$3)+1)*E35+INDEX(Symboles!$H$6:$H$101,MOD(84+$C35+(-3),$B$3)+1)*F35+INDEX(Symboles!$H$6:$H$101,MOD(84+$C35+(-2),$B$3)+1)*G35+INDEX(Symboles!$H$6:$H$101,MOD(84+$C35+(-1),$B$3)+1)*H35+INDEX(Symboles!$H$6:$H$101,MOD(84+$C35+(0),$B$3)+1)*I35+INDEX(Symboles!$H$6:$H$101,MOD(84+$C35+(1),$B$3)+1)*J35+INDEX(Symboles!$H$6:$H$101,MOD(84+$C35+(2),$B$3)+1)*K35+INDEX(Symboles!$H$6:$H$101,MOD(84+$C35+(3),$B$3)+1)*L35+INDEX(Symboles!$H$6:$H$101,MOD(84+$C35+(4),$B$3)+1)*M35+IF($B$6=0,0,$B$6*NORMSINV(0.000001+0.999998*RAND())))</f>
        <v/>
      </c>
      <c r="GP35" s="30">
        <f>IF(86&gt;$B$3,99,INDEX(Symboles!$H$6:$H$101,MOD(85+$C35+(-4),$B$3)+1)*E35+INDEX(Symboles!$H$6:$H$101,MOD(85+$C35+(-3),$B$3)+1)*F35+INDEX(Symboles!$H$6:$H$101,MOD(85+$C35+(-2),$B$3)+1)*G35+INDEX(Symboles!$H$6:$H$101,MOD(85+$C35+(-1),$B$3)+1)*H35+INDEX(Symboles!$H$6:$H$101,MOD(85+$C35+(0),$B$3)+1)*I35+INDEX(Symboles!$H$6:$H$101,MOD(85+$C35+(1),$B$3)+1)*J35+INDEX(Symboles!$H$6:$H$101,MOD(85+$C35+(2),$B$3)+1)*K35+INDEX(Symboles!$H$6:$H$101,MOD(85+$C35+(3),$B$3)+1)*L35+INDEX(Symboles!$H$6:$H$101,MOD(85+$C35+(4),$B$3)+1)*M35+IF($B$6=0,0,$B$6*NORMSINV(0.000001+0.999998*RAND())))</f>
        <v/>
      </c>
      <c r="GQ35" s="30">
        <f>IF(87&gt;$B$3,99,INDEX(Symboles!$H$6:$H$101,MOD(86+$C35+(-4),$B$3)+1)*E35+INDEX(Symboles!$H$6:$H$101,MOD(86+$C35+(-3),$B$3)+1)*F35+INDEX(Symboles!$H$6:$H$101,MOD(86+$C35+(-2),$B$3)+1)*G35+INDEX(Symboles!$H$6:$H$101,MOD(86+$C35+(-1),$B$3)+1)*H35+INDEX(Symboles!$H$6:$H$101,MOD(86+$C35+(0),$B$3)+1)*I35+INDEX(Symboles!$H$6:$H$101,MOD(86+$C35+(1),$B$3)+1)*J35+INDEX(Symboles!$H$6:$H$101,MOD(86+$C35+(2),$B$3)+1)*K35+INDEX(Symboles!$H$6:$H$101,MOD(86+$C35+(3),$B$3)+1)*L35+INDEX(Symboles!$H$6:$H$101,MOD(86+$C35+(4),$B$3)+1)*M35+IF($B$6=0,0,$B$6*NORMSINV(0.000001+0.999998*RAND())))</f>
        <v/>
      </c>
      <c r="GR35" s="30">
        <f>IF(88&gt;$B$3,99,INDEX(Symboles!$H$6:$H$101,MOD(87+$C35+(-4),$B$3)+1)*E35+INDEX(Symboles!$H$6:$H$101,MOD(87+$C35+(-3),$B$3)+1)*F35+INDEX(Symboles!$H$6:$H$101,MOD(87+$C35+(-2),$B$3)+1)*G35+INDEX(Symboles!$H$6:$H$101,MOD(87+$C35+(-1),$B$3)+1)*H35+INDEX(Symboles!$H$6:$H$101,MOD(87+$C35+(0),$B$3)+1)*I35+INDEX(Symboles!$H$6:$H$101,MOD(87+$C35+(1),$B$3)+1)*J35+INDEX(Symboles!$H$6:$H$101,MOD(87+$C35+(2),$B$3)+1)*K35+INDEX(Symboles!$H$6:$H$101,MOD(87+$C35+(3),$B$3)+1)*L35+INDEX(Symboles!$H$6:$H$101,MOD(87+$C35+(4),$B$3)+1)*M35+IF($B$6=0,0,$B$6*NORMSINV(0.000001+0.999998*RAND())))</f>
        <v/>
      </c>
      <c r="GS35" s="30">
        <f>IF(89&gt;$B$3,99,INDEX(Symboles!$H$6:$H$101,MOD(88+$C35+(-4),$B$3)+1)*E35+INDEX(Symboles!$H$6:$H$101,MOD(88+$C35+(-3),$B$3)+1)*F35+INDEX(Symboles!$H$6:$H$101,MOD(88+$C35+(-2),$B$3)+1)*G35+INDEX(Symboles!$H$6:$H$101,MOD(88+$C35+(-1),$B$3)+1)*H35+INDEX(Symboles!$H$6:$H$101,MOD(88+$C35+(0),$B$3)+1)*I35+INDEX(Symboles!$H$6:$H$101,MOD(88+$C35+(1),$B$3)+1)*J35+INDEX(Symboles!$H$6:$H$101,MOD(88+$C35+(2),$B$3)+1)*K35+INDEX(Symboles!$H$6:$H$101,MOD(88+$C35+(3),$B$3)+1)*L35+INDEX(Symboles!$H$6:$H$101,MOD(88+$C35+(4),$B$3)+1)*M35+IF($B$6=0,0,$B$6*NORMSINV(0.000001+0.999998*RAND())))</f>
        <v/>
      </c>
      <c r="GT35" s="30">
        <f>IF(90&gt;$B$3,99,INDEX(Symboles!$H$6:$H$101,MOD(89+$C35+(-4),$B$3)+1)*E35+INDEX(Symboles!$H$6:$H$101,MOD(89+$C35+(-3),$B$3)+1)*F35+INDEX(Symboles!$H$6:$H$101,MOD(89+$C35+(-2),$B$3)+1)*G35+INDEX(Symboles!$H$6:$H$101,MOD(89+$C35+(-1),$B$3)+1)*H35+INDEX(Symboles!$H$6:$H$101,MOD(89+$C35+(0),$B$3)+1)*I35+INDEX(Symboles!$H$6:$H$101,MOD(89+$C35+(1),$B$3)+1)*J35+INDEX(Symboles!$H$6:$H$101,MOD(89+$C35+(2),$B$3)+1)*K35+INDEX(Symboles!$H$6:$H$101,MOD(89+$C35+(3),$B$3)+1)*L35+INDEX(Symboles!$H$6:$H$101,MOD(89+$C35+(4),$B$3)+1)*M35+IF($B$6=0,0,$B$6*NORMSINV(0.000001+0.999998*RAND())))</f>
        <v/>
      </c>
      <c r="GU35" s="30">
        <f>IF(91&gt;$B$3,99,INDEX(Symboles!$H$6:$H$101,MOD(90+$C35+(-4),$B$3)+1)*E35+INDEX(Symboles!$H$6:$H$101,MOD(90+$C35+(-3),$B$3)+1)*F35+INDEX(Symboles!$H$6:$H$101,MOD(90+$C35+(-2),$B$3)+1)*G35+INDEX(Symboles!$H$6:$H$101,MOD(90+$C35+(-1),$B$3)+1)*H35+INDEX(Symboles!$H$6:$H$101,MOD(90+$C35+(0),$B$3)+1)*I35+INDEX(Symboles!$H$6:$H$101,MOD(90+$C35+(1),$B$3)+1)*J35+INDEX(Symboles!$H$6:$H$101,MOD(90+$C35+(2),$B$3)+1)*K35+INDEX(Symboles!$H$6:$H$101,MOD(90+$C35+(3),$B$3)+1)*L35+INDEX(Symboles!$H$6:$H$101,MOD(90+$C35+(4),$B$3)+1)*M35+IF($B$6=0,0,$B$6*NORMSINV(0.000001+0.999998*RAND())))</f>
        <v/>
      </c>
      <c r="GV35" s="30">
        <f>IF(92&gt;$B$3,99,INDEX(Symboles!$H$6:$H$101,MOD(91+$C35+(-4),$B$3)+1)*E35+INDEX(Symboles!$H$6:$H$101,MOD(91+$C35+(-3),$B$3)+1)*F35+INDEX(Symboles!$H$6:$H$101,MOD(91+$C35+(-2),$B$3)+1)*G35+INDEX(Symboles!$H$6:$H$101,MOD(91+$C35+(-1),$B$3)+1)*H35+INDEX(Symboles!$H$6:$H$101,MOD(91+$C35+(0),$B$3)+1)*I35+INDEX(Symboles!$H$6:$H$101,MOD(91+$C35+(1),$B$3)+1)*J35+INDEX(Symboles!$H$6:$H$101,MOD(91+$C35+(2),$B$3)+1)*K35+INDEX(Symboles!$H$6:$H$101,MOD(91+$C35+(3),$B$3)+1)*L35+INDEX(Symboles!$H$6:$H$101,MOD(91+$C35+(4),$B$3)+1)*M35+IF($B$6=0,0,$B$6*NORMSINV(0.000001+0.999998*RAND())))</f>
        <v/>
      </c>
      <c r="GW35" s="30">
        <f>IF(93&gt;$B$3,99,INDEX(Symboles!$H$6:$H$101,MOD(92+$C35+(-4),$B$3)+1)*E35+INDEX(Symboles!$H$6:$H$101,MOD(92+$C35+(-3),$B$3)+1)*F35+INDEX(Symboles!$H$6:$H$101,MOD(92+$C35+(-2),$B$3)+1)*G35+INDEX(Symboles!$H$6:$H$101,MOD(92+$C35+(-1),$B$3)+1)*H35+INDEX(Symboles!$H$6:$H$101,MOD(92+$C35+(0),$B$3)+1)*I35+INDEX(Symboles!$H$6:$H$101,MOD(92+$C35+(1),$B$3)+1)*J35+INDEX(Symboles!$H$6:$H$101,MOD(92+$C35+(2),$B$3)+1)*K35+INDEX(Symboles!$H$6:$H$101,MOD(92+$C35+(3),$B$3)+1)*L35+INDEX(Symboles!$H$6:$H$101,MOD(92+$C35+(4),$B$3)+1)*M35+IF($B$6=0,0,$B$6*NORMSINV(0.000001+0.999998*RAND())))</f>
        <v/>
      </c>
      <c r="GX35" s="30">
        <f>IF(94&gt;$B$3,99,INDEX(Symboles!$H$6:$H$101,MOD(93+$C35+(-4),$B$3)+1)*E35+INDEX(Symboles!$H$6:$H$101,MOD(93+$C35+(-3),$B$3)+1)*F35+INDEX(Symboles!$H$6:$H$101,MOD(93+$C35+(-2),$B$3)+1)*G35+INDEX(Symboles!$H$6:$H$101,MOD(93+$C35+(-1),$B$3)+1)*H35+INDEX(Symboles!$H$6:$H$101,MOD(93+$C35+(0),$B$3)+1)*I35+INDEX(Symboles!$H$6:$H$101,MOD(93+$C35+(1),$B$3)+1)*J35+INDEX(Symboles!$H$6:$H$101,MOD(93+$C35+(2),$B$3)+1)*K35+INDEX(Symboles!$H$6:$H$101,MOD(93+$C35+(3),$B$3)+1)*L35+INDEX(Symboles!$H$6:$H$101,MOD(93+$C35+(4),$B$3)+1)*M35+IF($B$6=0,0,$B$6*NORMSINV(0.000001+0.999998*RAND())))</f>
        <v/>
      </c>
      <c r="GY35" s="30">
        <f>IF(95&gt;$B$3,99,INDEX(Symboles!$H$6:$H$101,MOD(94+$C35+(-4),$B$3)+1)*E35+INDEX(Symboles!$H$6:$H$101,MOD(94+$C35+(-3),$B$3)+1)*F35+INDEX(Symboles!$H$6:$H$101,MOD(94+$C35+(-2),$B$3)+1)*G35+INDEX(Symboles!$H$6:$H$101,MOD(94+$C35+(-1),$B$3)+1)*H35+INDEX(Symboles!$H$6:$H$101,MOD(94+$C35+(0),$B$3)+1)*I35+INDEX(Symboles!$H$6:$H$101,MOD(94+$C35+(1),$B$3)+1)*J35+INDEX(Symboles!$H$6:$H$101,MOD(94+$C35+(2),$B$3)+1)*K35+INDEX(Symboles!$H$6:$H$101,MOD(94+$C35+(3),$B$3)+1)*L35+INDEX(Symboles!$H$6:$H$101,MOD(94+$C35+(4),$B$3)+1)*M35+IF($B$6=0,0,$B$6*NORMSINV(0.000001+0.999998*RAND())))</f>
        <v/>
      </c>
      <c r="GZ35" s="30">
        <f>IF(96&gt;$B$3,99,INDEX(Symboles!$H$6:$H$101,MOD(95+$C35+(-4),$B$3)+1)*E35+INDEX(Symboles!$H$6:$H$101,MOD(95+$C35+(-3),$B$3)+1)*F35+INDEX(Symboles!$H$6:$H$101,MOD(95+$C35+(-2),$B$3)+1)*G35+INDEX(Symboles!$H$6:$H$101,MOD(95+$C35+(-1),$B$3)+1)*H35+INDEX(Symboles!$H$6:$H$101,MOD(95+$C35+(0),$B$3)+1)*I35+INDEX(Symboles!$H$6:$H$101,MOD(95+$C35+(1),$B$3)+1)*J35+INDEX(Symboles!$H$6:$H$101,MOD(95+$C35+(2),$B$3)+1)*K35+INDEX(Symboles!$H$6:$H$101,MOD(95+$C35+(3),$B$3)+1)*L35+INDEX(Symboles!$H$6:$H$101,MOD(95+$C35+(4),$B$3)+1)*M35+IF($B$6=0,0,$B$6*NORMSINV(0.000001+0.999998*RAND())))</f>
        <v/>
      </c>
    </row>
    <row r="36">
      <c r="A36" s="28" t="n">
        <v>26</v>
      </c>
      <c r="B36" s="28" t="n">
        <v>0.625</v>
      </c>
      <c r="C36" s="28" t="n">
        <v>1</v>
      </c>
      <c r="D36" s="28" t="n">
        <v>2</v>
      </c>
      <c r="E36" s="29">
        <f>IF($B$4=1,0,IF(ABS(1-(2*$B$5*3.625)^2)&lt;0.000001,PI()/4*SIN(PI()/(2*$B$5))/(PI()/(2*$B$5)),SIN(PI()*3.625)/(PI()*3.625)*COS(PI()*$B$5*3.625)/(1-(2*$B$5*3.625)^2)))</f>
        <v/>
      </c>
      <c r="F36" s="29">
        <f>IF($B$4=1,0,IF(ABS(1-(2*$B$5*2.625)^2)&lt;0.000001,PI()/4*SIN(PI()/(2*$B$5))/(PI()/(2*$B$5)),SIN(PI()*2.625)/(PI()*2.625)*COS(PI()*$B$5*2.625)/(1-(2*$B$5*2.625)^2)))</f>
        <v/>
      </c>
      <c r="G36" s="29">
        <f>IF($B$4=1,0,IF(ABS(1-(2*$B$5*1.625)^2)&lt;0.000001,PI()/4*SIN(PI()/(2*$B$5))/(PI()/(2*$B$5)),SIN(PI()*1.625)/(PI()*1.625)*COS(PI()*$B$5*1.625)/(1-(2*$B$5*1.625)^2)))</f>
        <v/>
      </c>
      <c r="H36" s="29">
        <f>IF($B$4=1,0,IF(ABS(1-(2*$B$5*0.625)^2)&lt;0.000001,PI()/4*SIN(PI()/(2*$B$5))/(PI()/(2*$B$5)),SIN(PI()*0.625)/(PI()*0.625)*COS(PI()*$B$5*0.625)/(1-(2*$B$5*0.625)^2)))</f>
        <v/>
      </c>
      <c r="I36" s="29">
        <f>IF($B$4=1,1,IF(ABS(1-(2*$B$5*-0.375)^2)&lt;0.000001,PI()/4*SIN(PI()/(2*$B$5))/(PI()/(2*$B$5)),SIN(PI()*-0.375)/(PI()*-0.375)*COS(PI()*$B$5*-0.375)/(1-(2*$B$5*-0.375)^2)))</f>
        <v/>
      </c>
      <c r="J36" s="29">
        <f>IF($B$4=1,0,IF(ABS(1-(2*$B$5*-1.375)^2)&lt;0.000001,PI()/4*SIN(PI()/(2*$B$5))/(PI()/(2*$B$5)),SIN(PI()*-1.375)/(PI()*-1.375)*COS(PI()*$B$5*-1.375)/(1-(2*$B$5*-1.375)^2)))</f>
        <v/>
      </c>
      <c r="K36" s="29">
        <f>IF($B$4=1,0,IF(ABS(1-(2*$B$5*-2.375)^2)&lt;0.000001,PI()/4*SIN(PI()/(2*$B$5))/(PI()/(2*$B$5)),SIN(PI()*-2.375)/(PI()*-2.375)*COS(PI()*$B$5*-2.375)/(1-(2*$B$5*-2.375)^2)))</f>
        <v/>
      </c>
      <c r="L36" s="29">
        <f>IF($B$4=1,0,IF(ABS(1-(2*$B$5*-3.375)^2)&lt;0.000001,PI()/4*SIN(PI()/(2*$B$5))/(PI()/(2*$B$5)),SIN(PI()*-3.375)/(PI()*-3.375)*COS(PI()*$B$5*-3.375)/(1-(2*$B$5*-3.375)^2)))</f>
        <v/>
      </c>
      <c r="M36" s="29">
        <f>IF($B$4=1,0,IF(ABS(1-(2*$B$5*-4.375)^2)&lt;0.000001,PI()/4*SIN(PI()/(2*$B$5))/(PI()/(2*$B$5)),SIN(PI()*-4.375)/(PI()*-4.375)*COS(PI()*$B$5*-4.375)/(1-(2*$B$5*-4.375)^2)))</f>
        <v/>
      </c>
      <c r="P36" s="30">
        <f>IF(1&gt;$B$3,99,INDEX(Symboles!$G$6:$G$101,MOD(0+$C36+(-4),$B$3)+1)*E36+INDEX(Symboles!$G$6:$G$101,MOD(0+$C36+(-3),$B$3)+1)*F36+INDEX(Symboles!$G$6:$G$101,MOD(0+$C36+(-2),$B$3)+1)*G36+INDEX(Symboles!$G$6:$G$101,MOD(0+$C36+(-1),$B$3)+1)*H36+INDEX(Symboles!$G$6:$G$101,MOD(0+$C36+(0),$B$3)+1)*I36+INDEX(Symboles!$G$6:$G$101,MOD(0+$C36+(1),$B$3)+1)*J36+INDEX(Symboles!$G$6:$G$101,MOD(0+$C36+(2),$B$3)+1)*K36+INDEX(Symboles!$G$6:$G$101,MOD(0+$C36+(3),$B$3)+1)*L36+INDEX(Symboles!$G$6:$G$101,MOD(0+$C36+(4),$B$3)+1)*M36+IF($B$6=0,0,$B$6*NORMSINV(0.000001+0.999998*RAND())))</f>
        <v/>
      </c>
      <c r="Q36" s="30">
        <f>IF(2&gt;$B$3,99,INDEX(Symboles!$G$6:$G$101,MOD(1+$C36+(-4),$B$3)+1)*E36+INDEX(Symboles!$G$6:$G$101,MOD(1+$C36+(-3),$B$3)+1)*F36+INDEX(Symboles!$G$6:$G$101,MOD(1+$C36+(-2),$B$3)+1)*G36+INDEX(Symboles!$G$6:$G$101,MOD(1+$C36+(-1),$B$3)+1)*H36+INDEX(Symboles!$G$6:$G$101,MOD(1+$C36+(0),$B$3)+1)*I36+INDEX(Symboles!$G$6:$G$101,MOD(1+$C36+(1),$B$3)+1)*J36+INDEX(Symboles!$G$6:$G$101,MOD(1+$C36+(2),$B$3)+1)*K36+INDEX(Symboles!$G$6:$G$101,MOD(1+$C36+(3),$B$3)+1)*L36+INDEX(Symboles!$G$6:$G$101,MOD(1+$C36+(4),$B$3)+1)*M36+IF($B$6=0,0,$B$6*NORMSINV(0.000001+0.999998*RAND())))</f>
        <v/>
      </c>
      <c r="R36" s="30">
        <f>IF(3&gt;$B$3,99,INDEX(Symboles!$G$6:$G$101,MOD(2+$C36+(-4),$B$3)+1)*E36+INDEX(Symboles!$G$6:$G$101,MOD(2+$C36+(-3),$B$3)+1)*F36+INDEX(Symboles!$G$6:$G$101,MOD(2+$C36+(-2),$B$3)+1)*G36+INDEX(Symboles!$G$6:$G$101,MOD(2+$C36+(-1),$B$3)+1)*H36+INDEX(Symboles!$G$6:$G$101,MOD(2+$C36+(0),$B$3)+1)*I36+INDEX(Symboles!$G$6:$G$101,MOD(2+$C36+(1),$B$3)+1)*J36+INDEX(Symboles!$G$6:$G$101,MOD(2+$C36+(2),$B$3)+1)*K36+INDEX(Symboles!$G$6:$G$101,MOD(2+$C36+(3),$B$3)+1)*L36+INDEX(Symboles!$G$6:$G$101,MOD(2+$C36+(4),$B$3)+1)*M36+IF($B$6=0,0,$B$6*NORMSINV(0.000001+0.999998*RAND())))</f>
        <v/>
      </c>
      <c r="S36" s="30">
        <f>IF(4&gt;$B$3,99,INDEX(Symboles!$G$6:$G$101,MOD(3+$C36+(-4),$B$3)+1)*E36+INDEX(Symboles!$G$6:$G$101,MOD(3+$C36+(-3),$B$3)+1)*F36+INDEX(Symboles!$G$6:$G$101,MOD(3+$C36+(-2),$B$3)+1)*G36+INDEX(Symboles!$G$6:$G$101,MOD(3+$C36+(-1),$B$3)+1)*H36+INDEX(Symboles!$G$6:$G$101,MOD(3+$C36+(0),$B$3)+1)*I36+INDEX(Symboles!$G$6:$G$101,MOD(3+$C36+(1),$B$3)+1)*J36+INDEX(Symboles!$G$6:$G$101,MOD(3+$C36+(2),$B$3)+1)*K36+INDEX(Symboles!$G$6:$G$101,MOD(3+$C36+(3),$B$3)+1)*L36+INDEX(Symboles!$G$6:$G$101,MOD(3+$C36+(4),$B$3)+1)*M36+IF($B$6=0,0,$B$6*NORMSINV(0.000001+0.999998*RAND())))</f>
        <v/>
      </c>
      <c r="T36" s="30">
        <f>IF(5&gt;$B$3,99,INDEX(Symboles!$G$6:$G$101,MOD(4+$C36+(-4),$B$3)+1)*E36+INDEX(Symboles!$G$6:$G$101,MOD(4+$C36+(-3),$B$3)+1)*F36+INDEX(Symboles!$G$6:$G$101,MOD(4+$C36+(-2),$B$3)+1)*G36+INDEX(Symboles!$G$6:$G$101,MOD(4+$C36+(-1),$B$3)+1)*H36+INDEX(Symboles!$G$6:$G$101,MOD(4+$C36+(0),$B$3)+1)*I36+INDEX(Symboles!$G$6:$G$101,MOD(4+$C36+(1),$B$3)+1)*J36+INDEX(Symboles!$G$6:$G$101,MOD(4+$C36+(2),$B$3)+1)*K36+INDEX(Symboles!$G$6:$G$101,MOD(4+$C36+(3),$B$3)+1)*L36+INDEX(Symboles!$G$6:$G$101,MOD(4+$C36+(4),$B$3)+1)*M36+IF($B$6=0,0,$B$6*NORMSINV(0.000001+0.999998*RAND())))</f>
        <v/>
      </c>
      <c r="U36" s="30">
        <f>IF(6&gt;$B$3,99,INDEX(Symboles!$G$6:$G$101,MOD(5+$C36+(-4),$B$3)+1)*E36+INDEX(Symboles!$G$6:$G$101,MOD(5+$C36+(-3),$B$3)+1)*F36+INDEX(Symboles!$G$6:$G$101,MOD(5+$C36+(-2),$B$3)+1)*G36+INDEX(Symboles!$G$6:$G$101,MOD(5+$C36+(-1),$B$3)+1)*H36+INDEX(Symboles!$G$6:$G$101,MOD(5+$C36+(0),$B$3)+1)*I36+INDEX(Symboles!$G$6:$G$101,MOD(5+$C36+(1),$B$3)+1)*J36+INDEX(Symboles!$G$6:$G$101,MOD(5+$C36+(2),$B$3)+1)*K36+INDEX(Symboles!$G$6:$G$101,MOD(5+$C36+(3),$B$3)+1)*L36+INDEX(Symboles!$G$6:$G$101,MOD(5+$C36+(4),$B$3)+1)*M36+IF($B$6=0,0,$B$6*NORMSINV(0.000001+0.999998*RAND())))</f>
        <v/>
      </c>
      <c r="V36" s="30">
        <f>IF(7&gt;$B$3,99,INDEX(Symboles!$G$6:$G$101,MOD(6+$C36+(-4),$B$3)+1)*E36+INDEX(Symboles!$G$6:$G$101,MOD(6+$C36+(-3),$B$3)+1)*F36+INDEX(Symboles!$G$6:$G$101,MOD(6+$C36+(-2),$B$3)+1)*G36+INDEX(Symboles!$G$6:$G$101,MOD(6+$C36+(-1),$B$3)+1)*H36+INDEX(Symboles!$G$6:$G$101,MOD(6+$C36+(0),$B$3)+1)*I36+INDEX(Symboles!$G$6:$G$101,MOD(6+$C36+(1),$B$3)+1)*J36+INDEX(Symboles!$G$6:$G$101,MOD(6+$C36+(2),$B$3)+1)*K36+INDEX(Symboles!$G$6:$G$101,MOD(6+$C36+(3),$B$3)+1)*L36+INDEX(Symboles!$G$6:$G$101,MOD(6+$C36+(4),$B$3)+1)*M36+IF($B$6=0,0,$B$6*NORMSINV(0.000001+0.999998*RAND())))</f>
        <v/>
      </c>
      <c r="W36" s="30">
        <f>IF(8&gt;$B$3,99,INDEX(Symboles!$G$6:$G$101,MOD(7+$C36+(-4),$B$3)+1)*E36+INDEX(Symboles!$G$6:$G$101,MOD(7+$C36+(-3),$B$3)+1)*F36+INDEX(Symboles!$G$6:$G$101,MOD(7+$C36+(-2),$B$3)+1)*G36+INDEX(Symboles!$G$6:$G$101,MOD(7+$C36+(-1),$B$3)+1)*H36+INDEX(Symboles!$G$6:$G$101,MOD(7+$C36+(0),$B$3)+1)*I36+INDEX(Symboles!$G$6:$G$101,MOD(7+$C36+(1),$B$3)+1)*J36+INDEX(Symboles!$G$6:$G$101,MOD(7+$C36+(2),$B$3)+1)*K36+INDEX(Symboles!$G$6:$G$101,MOD(7+$C36+(3),$B$3)+1)*L36+INDEX(Symboles!$G$6:$G$101,MOD(7+$C36+(4),$B$3)+1)*M36+IF($B$6=0,0,$B$6*NORMSINV(0.000001+0.999998*RAND())))</f>
        <v/>
      </c>
      <c r="X36" s="30">
        <f>IF(9&gt;$B$3,99,INDEX(Symboles!$G$6:$G$101,MOD(8+$C36+(-4),$B$3)+1)*E36+INDEX(Symboles!$G$6:$G$101,MOD(8+$C36+(-3),$B$3)+1)*F36+INDEX(Symboles!$G$6:$G$101,MOD(8+$C36+(-2),$B$3)+1)*G36+INDEX(Symboles!$G$6:$G$101,MOD(8+$C36+(-1),$B$3)+1)*H36+INDEX(Symboles!$G$6:$G$101,MOD(8+$C36+(0),$B$3)+1)*I36+INDEX(Symboles!$G$6:$G$101,MOD(8+$C36+(1),$B$3)+1)*J36+INDEX(Symboles!$G$6:$G$101,MOD(8+$C36+(2),$B$3)+1)*K36+INDEX(Symboles!$G$6:$G$101,MOD(8+$C36+(3),$B$3)+1)*L36+INDEX(Symboles!$G$6:$G$101,MOD(8+$C36+(4),$B$3)+1)*M36+IF($B$6=0,0,$B$6*NORMSINV(0.000001+0.999998*RAND())))</f>
        <v/>
      </c>
      <c r="Y36" s="30">
        <f>IF(10&gt;$B$3,99,INDEX(Symboles!$G$6:$G$101,MOD(9+$C36+(-4),$B$3)+1)*E36+INDEX(Symboles!$G$6:$G$101,MOD(9+$C36+(-3),$B$3)+1)*F36+INDEX(Symboles!$G$6:$G$101,MOD(9+$C36+(-2),$B$3)+1)*G36+INDEX(Symboles!$G$6:$G$101,MOD(9+$C36+(-1),$B$3)+1)*H36+INDEX(Symboles!$G$6:$G$101,MOD(9+$C36+(0),$B$3)+1)*I36+INDEX(Symboles!$G$6:$G$101,MOD(9+$C36+(1),$B$3)+1)*J36+INDEX(Symboles!$G$6:$G$101,MOD(9+$C36+(2),$B$3)+1)*K36+INDEX(Symboles!$G$6:$G$101,MOD(9+$C36+(3),$B$3)+1)*L36+INDEX(Symboles!$G$6:$G$101,MOD(9+$C36+(4),$B$3)+1)*M36+IF($B$6=0,0,$B$6*NORMSINV(0.000001+0.999998*RAND())))</f>
        <v/>
      </c>
      <c r="Z36" s="30">
        <f>IF(11&gt;$B$3,99,INDEX(Symboles!$G$6:$G$101,MOD(10+$C36+(-4),$B$3)+1)*E36+INDEX(Symboles!$G$6:$G$101,MOD(10+$C36+(-3),$B$3)+1)*F36+INDEX(Symboles!$G$6:$G$101,MOD(10+$C36+(-2),$B$3)+1)*G36+INDEX(Symboles!$G$6:$G$101,MOD(10+$C36+(-1),$B$3)+1)*H36+INDEX(Symboles!$G$6:$G$101,MOD(10+$C36+(0),$B$3)+1)*I36+INDEX(Symboles!$G$6:$G$101,MOD(10+$C36+(1),$B$3)+1)*J36+INDEX(Symboles!$G$6:$G$101,MOD(10+$C36+(2),$B$3)+1)*K36+INDEX(Symboles!$G$6:$G$101,MOD(10+$C36+(3),$B$3)+1)*L36+INDEX(Symboles!$G$6:$G$101,MOD(10+$C36+(4),$B$3)+1)*M36+IF($B$6=0,0,$B$6*NORMSINV(0.000001+0.999998*RAND())))</f>
        <v/>
      </c>
      <c r="AA36" s="30">
        <f>IF(12&gt;$B$3,99,INDEX(Symboles!$G$6:$G$101,MOD(11+$C36+(-4),$B$3)+1)*E36+INDEX(Symboles!$G$6:$G$101,MOD(11+$C36+(-3),$B$3)+1)*F36+INDEX(Symboles!$G$6:$G$101,MOD(11+$C36+(-2),$B$3)+1)*G36+INDEX(Symboles!$G$6:$G$101,MOD(11+$C36+(-1),$B$3)+1)*H36+INDEX(Symboles!$G$6:$G$101,MOD(11+$C36+(0),$B$3)+1)*I36+INDEX(Symboles!$G$6:$G$101,MOD(11+$C36+(1),$B$3)+1)*J36+INDEX(Symboles!$G$6:$G$101,MOD(11+$C36+(2),$B$3)+1)*K36+INDEX(Symboles!$G$6:$G$101,MOD(11+$C36+(3),$B$3)+1)*L36+INDEX(Symboles!$G$6:$G$101,MOD(11+$C36+(4),$B$3)+1)*M36+IF($B$6=0,0,$B$6*NORMSINV(0.000001+0.999998*RAND())))</f>
        <v/>
      </c>
      <c r="AB36" s="30">
        <f>IF(13&gt;$B$3,99,INDEX(Symboles!$G$6:$G$101,MOD(12+$C36+(-4),$B$3)+1)*E36+INDEX(Symboles!$G$6:$G$101,MOD(12+$C36+(-3),$B$3)+1)*F36+INDEX(Symboles!$G$6:$G$101,MOD(12+$C36+(-2),$B$3)+1)*G36+INDEX(Symboles!$G$6:$G$101,MOD(12+$C36+(-1),$B$3)+1)*H36+INDEX(Symboles!$G$6:$G$101,MOD(12+$C36+(0),$B$3)+1)*I36+INDEX(Symboles!$G$6:$G$101,MOD(12+$C36+(1),$B$3)+1)*J36+INDEX(Symboles!$G$6:$G$101,MOD(12+$C36+(2),$B$3)+1)*K36+INDEX(Symboles!$G$6:$G$101,MOD(12+$C36+(3),$B$3)+1)*L36+INDEX(Symboles!$G$6:$G$101,MOD(12+$C36+(4),$B$3)+1)*M36+IF($B$6=0,0,$B$6*NORMSINV(0.000001+0.999998*RAND())))</f>
        <v/>
      </c>
      <c r="AC36" s="30">
        <f>IF(14&gt;$B$3,99,INDEX(Symboles!$G$6:$G$101,MOD(13+$C36+(-4),$B$3)+1)*E36+INDEX(Symboles!$G$6:$G$101,MOD(13+$C36+(-3),$B$3)+1)*F36+INDEX(Symboles!$G$6:$G$101,MOD(13+$C36+(-2),$B$3)+1)*G36+INDEX(Symboles!$G$6:$G$101,MOD(13+$C36+(-1),$B$3)+1)*H36+INDEX(Symboles!$G$6:$G$101,MOD(13+$C36+(0),$B$3)+1)*I36+INDEX(Symboles!$G$6:$G$101,MOD(13+$C36+(1),$B$3)+1)*J36+INDEX(Symboles!$G$6:$G$101,MOD(13+$C36+(2),$B$3)+1)*K36+INDEX(Symboles!$G$6:$G$101,MOD(13+$C36+(3),$B$3)+1)*L36+INDEX(Symboles!$G$6:$G$101,MOD(13+$C36+(4),$B$3)+1)*M36+IF($B$6=0,0,$B$6*NORMSINV(0.000001+0.999998*RAND())))</f>
        <v/>
      </c>
      <c r="AD36" s="30">
        <f>IF(15&gt;$B$3,99,INDEX(Symboles!$G$6:$G$101,MOD(14+$C36+(-4),$B$3)+1)*E36+INDEX(Symboles!$G$6:$G$101,MOD(14+$C36+(-3),$B$3)+1)*F36+INDEX(Symboles!$G$6:$G$101,MOD(14+$C36+(-2),$B$3)+1)*G36+INDEX(Symboles!$G$6:$G$101,MOD(14+$C36+(-1),$B$3)+1)*H36+INDEX(Symboles!$G$6:$G$101,MOD(14+$C36+(0),$B$3)+1)*I36+INDEX(Symboles!$G$6:$G$101,MOD(14+$C36+(1),$B$3)+1)*J36+INDEX(Symboles!$G$6:$G$101,MOD(14+$C36+(2),$B$3)+1)*K36+INDEX(Symboles!$G$6:$G$101,MOD(14+$C36+(3),$B$3)+1)*L36+INDEX(Symboles!$G$6:$G$101,MOD(14+$C36+(4),$B$3)+1)*M36+IF($B$6=0,0,$B$6*NORMSINV(0.000001+0.999998*RAND())))</f>
        <v/>
      </c>
      <c r="AE36" s="30">
        <f>IF(16&gt;$B$3,99,INDEX(Symboles!$G$6:$G$101,MOD(15+$C36+(-4),$B$3)+1)*E36+INDEX(Symboles!$G$6:$G$101,MOD(15+$C36+(-3),$B$3)+1)*F36+INDEX(Symboles!$G$6:$G$101,MOD(15+$C36+(-2),$B$3)+1)*G36+INDEX(Symboles!$G$6:$G$101,MOD(15+$C36+(-1),$B$3)+1)*H36+INDEX(Symboles!$G$6:$G$101,MOD(15+$C36+(0),$B$3)+1)*I36+INDEX(Symboles!$G$6:$G$101,MOD(15+$C36+(1),$B$3)+1)*J36+INDEX(Symboles!$G$6:$G$101,MOD(15+$C36+(2),$B$3)+1)*K36+INDEX(Symboles!$G$6:$G$101,MOD(15+$C36+(3),$B$3)+1)*L36+INDEX(Symboles!$G$6:$G$101,MOD(15+$C36+(4),$B$3)+1)*M36+IF($B$6=0,0,$B$6*NORMSINV(0.000001+0.999998*RAND())))</f>
        <v/>
      </c>
      <c r="AF36" s="30">
        <f>IF(17&gt;$B$3,99,INDEX(Symboles!$G$6:$G$101,MOD(16+$C36+(-4),$B$3)+1)*E36+INDEX(Symboles!$G$6:$G$101,MOD(16+$C36+(-3),$B$3)+1)*F36+INDEX(Symboles!$G$6:$G$101,MOD(16+$C36+(-2),$B$3)+1)*G36+INDEX(Symboles!$G$6:$G$101,MOD(16+$C36+(-1),$B$3)+1)*H36+INDEX(Symboles!$G$6:$G$101,MOD(16+$C36+(0),$B$3)+1)*I36+INDEX(Symboles!$G$6:$G$101,MOD(16+$C36+(1),$B$3)+1)*J36+INDEX(Symboles!$G$6:$G$101,MOD(16+$C36+(2),$B$3)+1)*K36+INDEX(Symboles!$G$6:$G$101,MOD(16+$C36+(3),$B$3)+1)*L36+INDEX(Symboles!$G$6:$G$101,MOD(16+$C36+(4),$B$3)+1)*M36+IF($B$6=0,0,$B$6*NORMSINV(0.000001+0.999998*RAND())))</f>
        <v/>
      </c>
      <c r="AG36" s="30">
        <f>IF(18&gt;$B$3,99,INDEX(Symboles!$G$6:$G$101,MOD(17+$C36+(-4),$B$3)+1)*E36+INDEX(Symboles!$G$6:$G$101,MOD(17+$C36+(-3),$B$3)+1)*F36+INDEX(Symboles!$G$6:$G$101,MOD(17+$C36+(-2),$B$3)+1)*G36+INDEX(Symboles!$G$6:$G$101,MOD(17+$C36+(-1),$B$3)+1)*H36+INDEX(Symboles!$G$6:$G$101,MOD(17+$C36+(0),$B$3)+1)*I36+INDEX(Symboles!$G$6:$G$101,MOD(17+$C36+(1),$B$3)+1)*J36+INDEX(Symboles!$G$6:$G$101,MOD(17+$C36+(2),$B$3)+1)*K36+INDEX(Symboles!$G$6:$G$101,MOD(17+$C36+(3),$B$3)+1)*L36+INDEX(Symboles!$G$6:$G$101,MOD(17+$C36+(4),$B$3)+1)*M36+IF($B$6=0,0,$B$6*NORMSINV(0.000001+0.999998*RAND())))</f>
        <v/>
      </c>
      <c r="AH36" s="30">
        <f>IF(19&gt;$B$3,99,INDEX(Symboles!$G$6:$G$101,MOD(18+$C36+(-4),$B$3)+1)*E36+INDEX(Symboles!$G$6:$G$101,MOD(18+$C36+(-3),$B$3)+1)*F36+INDEX(Symboles!$G$6:$G$101,MOD(18+$C36+(-2),$B$3)+1)*G36+INDEX(Symboles!$G$6:$G$101,MOD(18+$C36+(-1),$B$3)+1)*H36+INDEX(Symboles!$G$6:$G$101,MOD(18+$C36+(0),$B$3)+1)*I36+INDEX(Symboles!$G$6:$G$101,MOD(18+$C36+(1),$B$3)+1)*J36+INDEX(Symboles!$G$6:$G$101,MOD(18+$C36+(2),$B$3)+1)*K36+INDEX(Symboles!$G$6:$G$101,MOD(18+$C36+(3),$B$3)+1)*L36+INDEX(Symboles!$G$6:$G$101,MOD(18+$C36+(4),$B$3)+1)*M36+IF($B$6=0,0,$B$6*NORMSINV(0.000001+0.999998*RAND())))</f>
        <v/>
      </c>
      <c r="AI36" s="30">
        <f>IF(20&gt;$B$3,99,INDEX(Symboles!$G$6:$G$101,MOD(19+$C36+(-4),$B$3)+1)*E36+INDEX(Symboles!$G$6:$G$101,MOD(19+$C36+(-3),$B$3)+1)*F36+INDEX(Symboles!$G$6:$G$101,MOD(19+$C36+(-2),$B$3)+1)*G36+INDEX(Symboles!$G$6:$G$101,MOD(19+$C36+(-1),$B$3)+1)*H36+INDEX(Symboles!$G$6:$G$101,MOD(19+$C36+(0),$B$3)+1)*I36+INDEX(Symboles!$G$6:$G$101,MOD(19+$C36+(1),$B$3)+1)*J36+INDEX(Symboles!$G$6:$G$101,MOD(19+$C36+(2),$B$3)+1)*K36+INDEX(Symboles!$G$6:$G$101,MOD(19+$C36+(3),$B$3)+1)*L36+INDEX(Symboles!$G$6:$G$101,MOD(19+$C36+(4),$B$3)+1)*M36+IF($B$6=0,0,$B$6*NORMSINV(0.000001+0.999998*RAND())))</f>
        <v/>
      </c>
      <c r="AJ36" s="30">
        <f>IF(21&gt;$B$3,99,INDEX(Symboles!$G$6:$G$101,MOD(20+$C36+(-4),$B$3)+1)*E36+INDEX(Symboles!$G$6:$G$101,MOD(20+$C36+(-3),$B$3)+1)*F36+INDEX(Symboles!$G$6:$G$101,MOD(20+$C36+(-2),$B$3)+1)*G36+INDEX(Symboles!$G$6:$G$101,MOD(20+$C36+(-1),$B$3)+1)*H36+INDEX(Symboles!$G$6:$G$101,MOD(20+$C36+(0),$B$3)+1)*I36+INDEX(Symboles!$G$6:$G$101,MOD(20+$C36+(1),$B$3)+1)*J36+INDEX(Symboles!$G$6:$G$101,MOD(20+$C36+(2),$B$3)+1)*K36+INDEX(Symboles!$G$6:$G$101,MOD(20+$C36+(3),$B$3)+1)*L36+INDEX(Symboles!$G$6:$G$101,MOD(20+$C36+(4),$B$3)+1)*M36+IF($B$6=0,0,$B$6*NORMSINV(0.000001+0.999998*RAND())))</f>
        <v/>
      </c>
      <c r="AK36" s="30">
        <f>IF(22&gt;$B$3,99,INDEX(Symboles!$G$6:$G$101,MOD(21+$C36+(-4),$B$3)+1)*E36+INDEX(Symboles!$G$6:$G$101,MOD(21+$C36+(-3),$B$3)+1)*F36+INDEX(Symboles!$G$6:$G$101,MOD(21+$C36+(-2),$B$3)+1)*G36+INDEX(Symboles!$G$6:$G$101,MOD(21+$C36+(-1),$B$3)+1)*H36+INDEX(Symboles!$G$6:$G$101,MOD(21+$C36+(0),$B$3)+1)*I36+INDEX(Symboles!$G$6:$G$101,MOD(21+$C36+(1),$B$3)+1)*J36+INDEX(Symboles!$G$6:$G$101,MOD(21+$C36+(2),$B$3)+1)*K36+INDEX(Symboles!$G$6:$G$101,MOD(21+$C36+(3),$B$3)+1)*L36+INDEX(Symboles!$G$6:$G$101,MOD(21+$C36+(4),$B$3)+1)*M36+IF($B$6=0,0,$B$6*NORMSINV(0.000001+0.999998*RAND())))</f>
        <v/>
      </c>
      <c r="AL36" s="30">
        <f>IF(23&gt;$B$3,99,INDEX(Symboles!$G$6:$G$101,MOD(22+$C36+(-4),$B$3)+1)*E36+INDEX(Symboles!$G$6:$G$101,MOD(22+$C36+(-3),$B$3)+1)*F36+INDEX(Symboles!$G$6:$G$101,MOD(22+$C36+(-2),$B$3)+1)*G36+INDEX(Symboles!$G$6:$G$101,MOD(22+$C36+(-1),$B$3)+1)*H36+INDEX(Symboles!$G$6:$G$101,MOD(22+$C36+(0),$B$3)+1)*I36+INDEX(Symboles!$G$6:$G$101,MOD(22+$C36+(1),$B$3)+1)*J36+INDEX(Symboles!$G$6:$G$101,MOD(22+$C36+(2),$B$3)+1)*K36+INDEX(Symboles!$G$6:$G$101,MOD(22+$C36+(3),$B$3)+1)*L36+INDEX(Symboles!$G$6:$G$101,MOD(22+$C36+(4),$B$3)+1)*M36+IF($B$6=0,0,$B$6*NORMSINV(0.000001+0.999998*RAND())))</f>
        <v/>
      </c>
      <c r="AM36" s="30">
        <f>IF(24&gt;$B$3,99,INDEX(Symboles!$G$6:$G$101,MOD(23+$C36+(-4),$B$3)+1)*E36+INDEX(Symboles!$G$6:$G$101,MOD(23+$C36+(-3),$B$3)+1)*F36+INDEX(Symboles!$G$6:$G$101,MOD(23+$C36+(-2),$B$3)+1)*G36+INDEX(Symboles!$G$6:$G$101,MOD(23+$C36+(-1),$B$3)+1)*H36+INDEX(Symboles!$G$6:$G$101,MOD(23+$C36+(0),$B$3)+1)*I36+INDEX(Symboles!$G$6:$G$101,MOD(23+$C36+(1),$B$3)+1)*J36+INDEX(Symboles!$G$6:$G$101,MOD(23+$C36+(2),$B$3)+1)*K36+INDEX(Symboles!$G$6:$G$101,MOD(23+$C36+(3),$B$3)+1)*L36+INDEX(Symboles!$G$6:$G$101,MOD(23+$C36+(4),$B$3)+1)*M36+IF($B$6=0,0,$B$6*NORMSINV(0.000001+0.999998*RAND())))</f>
        <v/>
      </c>
      <c r="AN36" s="30">
        <f>IF(25&gt;$B$3,99,INDEX(Symboles!$G$6:$G$101,MOD(24+$C36+(-4),$B$3)+1)*E36+INDEX(Symboles!$G$6:$G$101,MOD(24+$C36+(-3),$B$3)+1)*F36+INDEX(Symboles!$G$6:$G$101,MOD(24+$C36+(-2),$B$3)+1)*G36+INDEX(Symboles!$G$6:$G$101,MOD(24+$C36+(-1),$B$3)+1)*H36+INDEX(Symboles!$G$6:$G$101,MOD(24+$C36+(0),$B$3)+1)*I36+INDEX(Symboles!$G$6:$G$101,MOD(24+$C36+(1),$B$3)+1)*J36+INDEX(Symboles!$G$6:$G$101,MOD(24+$C36+(2),$B$3)+1)*K36+INDEX(Symboles!$G$6:$G$101,MOD(24+$C36+(3),$B$3)+1)*L36+INDEX(Symboles!$G$6:$G$101,MOD(24+$C36+(4),$B$3)+1)*M36+IF($B$6=0,0,$B$6*NORMSINV(0.000001+0.999998*RAND())))</f>
        <v/>
      </c>
      <c r="AO36" s="30">
        <f>IF(26&gt;$B$3,99,INDEX(Symboles!$G$6:$G$101,MOD(25+$C36+(-4),$B$3)+1)*E36+INDEX(Symboles!$G$6:$G$101,MOD(25+$C36+(-3),$B$3)+1)*F36+INDEX(Symboles!$G$6:$G$101,MOD(25+$C36+(-2),$B$3)+1)*G36+INDEX(Symboles!$G$6:$G$101,MOD(25+$C36+(-1),$B$3)+1)*H36+INDEX(Symboles!$G$6:$G$101,MOD(25+$C36+(0),$B$3)+1)*I36+INDEX(Symboles!$G$6:$G$101,MOD(25+$C36+(1),$B$3)+1)*J36+INDEX(Symboles!$G$6:$G$101,MOD(25+$C36+(2),$B$3)+1)*K36+INDEX(Symboles!$G$6:$G$101,MOD(25+$C36+(3),$B$3)+1)*L36+INDEX(Symboles!$G$6:$G$101,MOD(25+$C36+(4),$B$3)+1)*M36+IF($B$6=0,0,$B$6*NORMSINV(0.000001+0.999998*RAND())))</f>
        <v/>
      </c>
      <c r="AP36" s="30">
        <f>IF(27&gt;$B$3,99,INDEX(Symboles!$G$6:$G$101,MOD(26+$C36+(-4),$B$3)+1)*E36+INDEX(Symboles!$G$6:$G$101,MOD(26+$C36+(-3),$B$3)+1)*F36+INDEX(Symboles!$G$6:$G$101,MOD(26+$C36+(-2),$B$3)+1)*G36+INDEX(Symboles!$G$6:$G$101,MOD(26+$C36+(-1),$B$3)+1)*H36+INDEX(Symboles!$G$6:$G$101,MOD(26+$C36+(0),$B$3)+1)*I36+INDEX(Symboles!$G$6:$G$101,MOD(26+$C36+(1),$B$3)+1)*J36+INDEX(Symboles!$G$6:$G$101,MOD(26+$C36+(2),$B$3)+1)*K36+INDEX(Symboles!$G$6:$G$101,MOD(26+$C36+(3),$B$3)+1)*L36+INDEX(Symboles!$G$6:$G$101,MOD(26+$C36+(4),$B$3)+1)*M36+IF($B$6=0,0,$B$6*NORMSINV(0.000001+0.999998*RAND())))</f>
        <v/>
      </c>
      <c r="AQ36" s="30">
        <f>IF(28&gt;$B$3,99,INDEX(Symboles!$G$6:$G$101,MOD(27+$C36+(-4),$B$3)+1)*E36+INDEX(Symboles!$G$6:$G$101,MOD(27+$C36+(-3),$B$3)+1)*F36+INDEX(Symboles!$G$6:$G$101,MOD(27+$C36+(-2),$B$3)+1)*G36+INDEX(Symboles!$G$6:$G$101,MOD(27+$C36+(-1),$B$3)+1)*H36+INDEX(Symboles!$G$6:$G$101,MOD(27+$C36+(0),$B$3)+1)*I36+INDEX(Symboles!$G$6:$G$101,MOD(27+$C36+(1),$B$3)+1)*J36+INDEX(Symboles!$G$6:$G$101,MOD(27+$C36+(2),$B$3)+1)*K36+INDEX(Symboles!$G$6:$G$101,MOD(27+$C36+(3),$B$3)+1)*L36+INDEX(Symboles!$G$6:$G$101,MOD(27+$C36+(4),$B$3)+1)*M36+IF($B$6=0,0,$B$6*NORMSINV(0.000001+0.999998*RAND())))</f>
        <v/>
      </c>
      <c r="AR36" s="30">
        <f>IF(29&gt;$B$3,99,INDEX(Symboles!$G$6:$G$101,MOD(28+$C36+(-4),$B$3)+1)*E36+INDEX(Symboles!$G$6:$G$101,MOD(28+$C36+(-3),$B$3)+1)*F36+INDEX(Symboles!$G$6:$G$101,MOD(28+$C36+(-2),$B$3)+1)*G36+INDEX(Symboles!$G$6:$G$101,MOD(28+$C36+(-1),$B$3)+1)*H36+INDEX(Symboles!$G$6:$G$101,MOD(28+$C36+(0),$B$3)+1)*I36+INDEX(Symboles!$G$6:$G$101,MOD(28+$C36+(1),$B$3)+1)*J36+INDEX(Symboles!$G$6:$G$101,MOD(28+$C36+(2),$B$3)+1)*K36+INDEX(Symboles!$G$6:$G$101,MOD(28+$C36+(3),$B$3)+1)*L36+INDEX(Symboles!$G$6:$G$101,MOD(28+$C36+(4),$B$3)+1)*M36+IF($B$6=0,0,$B$6*NORMSINV(0.000001+0.999998*RAND())))</f>
        <v/>
      </c>
      <c r="AS36" s="30">
        <f>IF(30&gt;$B$3,99,INDEX(Symboles!$G$6:$G$101,MOD(29+$C36+(-4),$B$3)+1)*E36+INDEX(Symboles!$G$6:$G$101,MOD(29+$C36+(-3),$B$3)+1)*F36+INDEX(Symboles!$G$6:$G$101,MOD(29+$C36+(-2),$B$3)+1)*G36+INDEX(Symboles!$G$6:$G$101,MOD(29+$C36+(-1),$B$3)+1)*H36+INDEX(Symboles!$G$6:$G$101,MOD(29+$C36+(0),$B$3)+1)*I36+INDEX(Symboles!$G$6:$G$101,MOD(29+$C36+(1),$B$3)+1)*J36+INDEX(Symboles!$G$6:$G$101,MOD(29+$C36+(2),$B$3)+1)*K36+INDEX(Symboles!$G$6:$G$101,MOD(29+$C36+(3),$B$3)+1)*L36+INDEX(Symboles!$G$6:$G$101,MOD(29+$C36+(4),$B$3)+1)*M36+IF($B$6=0,0,$B$6*NORMSINV(0.000001+0.999998*RAND())))</f>
        <v/>
      </c>
      <c r="AT36" s="30">
        <f>IF(31&gt;$B$3,99,INDEX(Symboles!$G$6:$G$101,MOD(30+$C36+(-4),$B$3)+1)*E36+INDEX(Symboles!$G$6:$G$101,MOD(30+$C36+(-3),$B$3)+1)*F36+INDEX(Symboles!$G$6:$G$101,MOD(30+$C36+(-2),$B$3)+1)*G36+INDEX(Symboles!$G$6:$G$101,MOD(30+$C36+(-1),$B$3)+1)*H36+INDEX(Symboles!$G$6:$G$101,MOD(30+$C36+(0),$B$3)+1)*I36+INDEX(Symboles!$G$6:$G$101,MOD(30+$C36+(1),$B$3)+1)*J36+INDEX(Symboles!$G$6:$G$101,MOD(30+$C36+(2),$B$3)+1)*K36+INDEX(Symboles!$G$6:$G$101,MOD(30+$C36+(3),$B$3)+1)*L36+INDEX(Symboles!$G$6:$G$101,MOD(30+$C36+(4),$B$3)+1)*M36+IF($B$6=0,0,$B$6*NORMSINV(0.000001+0.999998*RAND())))</f>
        <v/>
      </c>
      <c r="AU36" s="30">
        <f>IF(32&gt;$B$3,99,INDEX(Symboles!$G$6:$G$101,MOD(31+$C36+(-4),$B$3)+1)*E36+INDEX(Symboles!$G$6:$G$101,MOD(31+$C36+(-3),$B$3)+1)*F36+INDEX(Symboles!$G$6:$G$101,MOD(31+$C36+(-2),$B$3)+1)*G36+INDEX(Symboles!$G$6:$G$101,MOD(31+$C36+(-1),$B$3)+1)*H36+INDEX(Symboles!$G$6:$G$101,MOD(31+$C36+(0),$B$3)+1)*I36+INDEX(Symboles!$G$6:$G$101,MOD(31+$C36+(1),$B$3)+1)*J36+INDEX(Symboles!$G$6:$G$101,MOD(31+$C36+(2),$B$3)+1)*K36+INDEX(Symboles!$G$6:$G$101,MOD(31+$C36+(3),$B$3)+1)*L36+INDEX(Symboles!$G$6:$G$101,MOD(31+$C36+(4),$B$3)+1)*M36+IF($B$6=0,0,$B$6*NORMSINV(0.000001+0.999998*RAND())))</f>
        <v/>
      </c>
      <c r="AV36" s="30">
        <f>IF(33&gt;$B$3,99,INDEX(Symboles!$G$6:$G$101,MOD(32+$C36+(-4),$B$3)+1)*E36+INDEX(Symboles!$G$6:$G$101,MOD(32+$C36+(-3),$B$3)+1)*F36+INDEX(Symboles!$G$6:$G$101,MOD(32+$C36+(-2),$B$3)+1)*G36+INDEX(Symboles!$G$6:$G$101,MOD(32+$C36+(-1),$B$3)+1)*H36+INDEX(Symboles!$G$6:$G$101,MOD(32+$C36+(0),$B$3)+1)*I36+INDEX(Symboles!$G$6:$G$101,MOD(32+$C36+(1),$B$3)+1)*J36+INDEX(Symboles!$G$6:$G$101,MOD(32+$C36+(2),$B$3)+1)*K36+INDEX(Symboles!$G$6:$G$101,MOD(32+$C36+(3),$B$3)+1)*L36+INDEX(Symboles!$G$6:$G$101,MOD(32+$C36+(4),$B$3)+1)*M36+IF($B$6=0,0,$B$6*NORMSINV(0.000001+0.999998*RAND())))</f>
        <v/>
      </c>
      <c r="AW36" s="30">
        <f>IF(34&gt;$B$3,99,INDEX(Symboles!$G$6:$G$101,MOD(33+$C36+(-4),$B$3)+1)*E36+INDEX(Symboles!$G$6:$G$101,MOD(33+$C36+(-3),$B$3)+1)*F36+INDEX(Symboles!$G$6:$G$101,MOD(33+$C36+(-2),$B$3)+1)*G36+INDEX(Symboles!$G$6:$G$101,MOD(33+$C36+(-1),$B$3)+1)*H36+INDEX(Symboles!$G$6:$G$101,MOD(33+$C36+(0),$B$3)+1)*I36+INDEX(Symboles!$G$6:$G$101,MOD(33+$C36+(1),$B$3)+1)*J36+INDEX(Symboles!$G$6:$G$101,MOD(33+$C36+(2),$B$3)+1)*K36+INDEX(Symboles!$G$6:$G$101,MOD(33+$C36+(3),$B$3)+1)*L36+INDEX(Symboles!$G$6:$G$101,MOD(33+$C36+(4),$B$3)+1)*M36+IF($B$6=0,0,$B$6*NORMSINV(0.000001+0.999998*RAND())))</f>
        <v/>
      </c>
      <c r="AX36" s="30">
        <f>IF(35&gt;$B$3,99,INDEX(Symboles!$G$6:$G$101,MOD(34+$C36+(-4),$B$3)+1)*E36+INDEX(Symboles!$G$6:$G$101,MOD(34+$C36+(-3),$B$3)+1)*F36+INDEX(Symboles!$G$6:$G$101,MOD(34+$C36+(-2),$B$3)+1)*G36+INDEX(Symboles!$G$6:$G$101,MOD(34+$C36+(-1),$B$3)+1)*H36+INDEX(Symboles!$G$6:$G$101,MOD(34+$C36+(0),$B$3)+1)*I36+INDEX(Symboles!$G$6:$G$101,MOD(34+$C36+(1),$B$3)+1)*J36+INDEX(Symboles!$G$6:$G$101,MOD(34+$C36+(2),$B$3)+1)*K36+INDEX(Symboles!$G$6:$G$101,MOD(34+$C36+(3),$B$3)+1)*L36+INDEX(Symboles!$G$6:$G$101,MOD(34+$C36+(4),$B$3)+1)*M36+IF($B$6=0,0,$B$6*NORMSINV(0.000001+0.999998*RAND())))</f>
        <v/>
      </c>
      <c r="AY36" s="30">
        <f>IF(36&gt;$B$3,99,INDEX(Symboles!$G$6:$G$101,MOD(35+$C36+(-4),$B$3)+1)*E36+INDEX(Symboles!$G$6:$G$101,MOD(35+$C36+(-3),$B$3)+1)*F36+INDEX(Symboles!$G$6:$G$101,MOD(35+$C36+(-2),$B$3)+1)*G36+INDEX(Symboles!$G$6:$G$101,MOD(35+$C36+(-1),$B$3)+1)*H36+INDEX(Symboles!$G$6:$G$101,MOD(35+$C36+(0),$B$3)+1)*I36+INDEX(Symboles!$G$6:$G$101,MOD(35+$C36+(1),$B$3)+1)*J36+INDEX(Symboles!$G$6:$G$101,MOD(35+$C36+(2),$B$3)+1)*K36+INDEX(Symboles!$G$6:$G$101,MOD(35+$C36+(3),$B$3)+1)*L36+INDEX(Symboles!$G$6:$G$101,MOD(35+$C36+(4),$B$3)+1)*M36+IF($B$6=0,0,$B$6*NORMSINV(0.000001+0.999998*RAND())))</f>
        <v/>
      </c>
      <c r="AZ36" s="30">
        <f>IF(37&gt;$B$3,99,INDEX(Symboles!$G$6:$G$101,MOD(36+$C36+(-4),$B$3)+1)*E36+INDEX(Symboles!$G$6:$G$101,MOD(36+$C36+(-3),$B$3)+1)*F36+INDEX(Symboles!$G$6:$G$101,MOD(36+$C36+(-2),$B$3)+1)*G36+INDEX(Symboles!$G$6:$G$101,MOD(36+$C36+(-1),$B$3)+1)*H36+INDEX(Symboles!$G$6:$G$101,MOD(36+$C36+(0),$B$3)+1)*I36+INDEX(Symboles!$G$6:$G$101,MOD(36+$C36+(1),$B$3)+1)*J36+INDEX(Symboles!$G$6:$G$101,MOD(36+$C36+(2),$B$3)+1)*K36+INDEX(Symboles!$G$6:$G$101,MOD(36+$C36+(3),$B$3)+1)*L36+INDEX(Symboles!$G$6:$G$101,MOD(36+$C36+(4),$B$3)+1)*M36+IF($B$6=0,0,$B$6*NORMSINV(0.000001+0.999998*RAND())))</f>
        <v/>
      </c>
      <c r="BA36" s="30">
        <f>IF(38&gt;$B$3,99,INDEX(Symboles!$G$6:$G$101,MOD(37+$C36+(-4),$B$3)+1)*E36+INDEX(Symboles!$G$6:$G$101,MOD(37+$C36+(-3),$B$3)+1)*F36+INDEX(Symboles!$G$6:$G$101,MOD(37+$C36+(-2),$B$3)+1)*G36+INDEX(Symboles!$G$6:$G$101,MOD(37+$C36+(-1),$B$3)+1)*H36+INDEX(Symboles!$G$6:$G$101,MOD(37+$C36+(0),$B$3)+1)*I36+INDEX(Symboles!$G$6:$G$101,MOD(37+$C36+(1),$B$3)+1)*J36+INDEX(Symboles!$G$6:$G$101,MOD(37+$C36+(2),$B$3)+1)*K36+INDEX(Symboles!$G$6:$G$101,MOD(37+$C36+(3),$B$3)+1)*L36+INDEX(Symboles!$G$6:$G$101,MOD(37+$C36+(4),$B$3)+1)*M36+IF($B$6=0,0,$B$6*NORMSINV(0.000001+0.999998*RAND())))</f>
        <v/>
      </c>
      <c r="BB36" s="30">
        <f>IF(39&gt;$B$3,99,INDEX(Symboles!$G$6:$G$101,MOD(38+$C36+(-4),$B$3)+1)*E36+INDEX(Symboles!$G$6:$G$101,MOD(38+$C36+(-3),$B$3)+1)*F36+INDEX(Symboles!$G$6:$G$101,MOD(38+$C36+(-2),$B$3)+1)*G36+INDEX(Symboles!$G$6:$G$101,MOD(38+$C36+(-1),$B$3)+1)*H36+INDEX(Symboles!$G$6:$G$101,MOD(38+$C36+(0),$B$3)+1)*I36+INDEX(Symboles!$G$6:$G$101,MOD(38+$C36+(1),$B$3)+1)*J36+INDEX(Symboles!$G$6:$G$101,MOD(38+$C36+(2),$B$3)+1)*K36+INDEX(Symboles!$G$6:$G$101,MOD(38+$C36+(3),$B$3)+1)*L36+INDEX(Symboles!$G$6:$G$101,MOD(38+$C36+(4),$B$3)+1)*M36+IF($B$6=0,0,$B$6*NORMSINV(0.000001+0.999998*RAND())))</f>
        <v/>
      </c>
      <c r="BC36" s="30">
        <f>IF(40&gt;$B$3,99,INDEX(Symboles!$G$6:$G$101,MOD(39+$C36+(-4),$B$3)+1)*E36+INDEX(Symboles!$G$6:$G$101,MOD(39+$C36+(-3),$B$3)+1)*F36+INDEX(Symboles!$G$6:$G$101,MOD(39+$C36+(-2),$B$3)+1)*G36+INDEX(Symboles!$G$6:$G$101,MOD(39+$C36+(-1),$B$3)+1)*H36+INDEX(Symboles!$G$6:$G$101,MOD(39+$C36+(0),$B$3)+1)*I36+INDEX(Symboles!$G$6:$G$101,MOD(39+$C36+(1),$B$3)+1)*J36+INDEX(Symboles!$G$6:$G$101,MOD(39+$C36+(2),$B$3)+1)*K36+INDEX(Symboles!$G$6:$G$101,MOD(39+$C36+(3),$B$3)+1)*L36+INDEX(Symboles!$G$6:$G$101,MOD(39+$C36+(4),$B$3)+1)*M36+IF($B$6=0,0,$B$6*NORMSINV(0.000001+0.999998*RAND())))</f>
        <v/>
      </c>
      <c r="BD36" s="30">
        <f>IF(41&gt;$B$3,99,INDEX(Symboles!$G$6:$G$101,MOD(40+$C36+(-4),$B$3)+1)*E36+INDEX(Symboles!$G$6:$G$101,MOD(40+$C36+(-3),$B$3)+1)*F36+INDEX(Symboles!$G$6:$G$101,MOD(40+$C36+(-2),$B$3)+1)*G36+INDEX(Symboles!$G$6:$G$101,MOD(40+$C36+(-1),$B$3)+1)*H36+INDEX(Symboles!$G$6:$G$101,MOD(40+$C36+(0),$B$3)+1)*I36+INDEX(Symboles!$G$6:$G$101,MOD(40+$C36+(1),$B$3)+1)*J36+INDEX(Symboles!$G$6:$G$101,MOD(40+$C36+(2),$B$3)+1)*K36+INDEX(Symboles!$G$6:$G$101,MOD(40+$C36+(3),$B$3)+1)*L36+INDEX(Symboles!$G$6:$G$101,MOD(40+$C36+(4),$B$3)+1)*M36+IF($B$6=0,0,$B$6*NORMSINV(0.000001+0.999998*RAND())))</f>
        <v/>
      </c>
      <c r="BE36" s="30">
        <f>IF(42&gt;$B$3,99,INDEX(Symboles!$G$6:$G$101,MOD(41+$C36+(-4),$B$3)+1)*E36+INDEX(Symboles!$G$6:$G$101,MOD(41+$C36+(-3),$B$3)+1)*F36+INDEX(Symboles!$G$6:$G$101,MOD(41+$C36+(-2),$B$3)+1)*G36+INDEX(Symboles!$G$6:$G$101,MOD(41+$C36+(-1),$B$3)+1)*H36+INDEX(Symboles!$G$6:$G$101,MOD(41+$C36+(0),$B$3)+1)*I36+INDEX(Symboles!$G$6:$G$101,MOD(41+$C36+(1),$B$3)+1)*J36+INDEX(Symboles!$G$6:$G$101,MOD(41+$C36+(2),$B$3)+1)*K36+INDEX(Symboles!$G$6:$G$101,MOD(41+$C36+(3),$B$3)+1)*L36+INDEX(Symboles!$G$6:$G$101,MOD(41+$C36+(4),$B$3)+1)*M36+IF($B$6=0,0,$B$6*NORMSINV(0.000001+0.999998*RAND())))</f>
        <v/>
      </c>
      <c r="BF36" s="30">
        <f>IF(43&gt;$B$3,99,INDEX(Symboles!$G$6:$G$101,MOD(42+$C36+(-4),$B$3)+1)*E36+INDEX(Symboles!$G$6:$G$101,MOD(42+$C36+(-3),$B$3)+1)*F36+INDEX(Symboles!$G$6:$G$101,MOD(42+$C36+(-2),$B$3)+1)*G36+INDEX(Symboles!$G$6:$G$101,MOD(42+$C36+(-1),$B$3)+1)*H36+INDEX(Symboles!$G$6:$G$101,MOD(42+$C36+(0),$B$3)+1)*I36+INDEX(Symboles!$G$6:$G$101,MOD(42+$C36+(1),$B$3)+1)*J36+INDEX(Symboles!$G$6:$G$101,MOD(42+$C36+(2),$B$3)+1)*K36+INDEX(Symboles!$G$6:$G$101,MOD(42+$C36+(3),$B$3)+1)*L36+INDEX(Symboles!$G$6:$G$101,MOD(42+$C36+(4),$B$3)+1)*M36+IF($B$6=0,0,$B$6*NORMSINV(0.000001+0.999998*RAND())))</f>
        <v/>
      </c>
      <c r="BG36" s="30">
        <f>IF(44&gt;$B$3,99,INDEX(Symboles!$G$6:$G$101,MOD(43+$C36+(-4),$B$3)+1)*E36+INDEX(Symboles!$G$6:$G$101,MOD(43+$C36+(-3),$B$3)+1)*F36+INDEX(Symboles!$G$6:$G$101,MOD(43+$C36+(-2),$B$3)+1)*G36+INDEX(Symboles!$G$6:$G$101,MOD(43+$C36+(-1),$B$3)+1)*H36+INDEX(Symboles!$G$6:$G$101,MOD(43+$C36+(0),$B$3)+1)*I36+INDEX(Symboles!$G$6:$G$101,MOD(43+$C36+(1),$B$3)+1)*J36+INDEX(Symboles!$G$6:$G$101,MOD(43+$C36+(2),$B$3)+1)*K36+INDEX(Symboles!$G$6:$G$101,MOD(43+$C36+(3),$B$3)+1)*L36+INDEX(Symboles!$G$6:$G$101,MOD(43+$C36+(4),$B$3)+1)*M36+IF($B$6=0,0,$B$6*NORMSINV(0.000001+0.999998*RAND())))</f>
        <v/>
      </c>
      <c r="BH36" s="30">
        <f>IF(45&gt;$B$3,99,INDEX(Symboles!$G$6:$G$101,MOD(44+$C36+(-4),$B$3)+1)*E36+INDEX(Symboles!$G$6:$G$101,MOD(44+$C36+(-3),$B$3)+1)*F36+INDEX(Symboles!$G$6:$G$101,MOD(44+$C36+(-2),$B$3)+1)*G36+INDEX(Symboles!$G$6:$G$101,MOD(44+$C36+(-1),$B$3)+1)*H36+INDEX(Symboles!$G$6:$G$101,MOD(44+$C36+(0),$B$3)+1)*I36+INDEX(Symboles!$G$6:$G$101,MOD(44+$C36+(1),$B$3)+1)*J36+INDEX(Symboles!$G$6:$G$101,MOD(44+$C36+(2),$B$3)+1)*K36+INDEX(Symboles!$G$6:$G$101,MOD(44+$C36+(3),$B$3)+1)*L36+INDEX(Symboles!$G$6:$G$101,MOD(44+$C36+(4),$B$3)+1)*M36+IF($B$6=0,0,$B$6*NORMSINV(0.000001+0.999998*RAND())))</f>
        <v/>
      </c>
      <c r="BI36" s="30">
        <f>IF(46&gt;$B$3,99,INDEX(Symboles!$G$6:$G$101,MOD(45+$C36+(-4),$B$3)+1)*E36+INDEX(Symboles!$G$6:$G$101,MOD(45+$C36+(-3),$B$3)+1)*F36+INDEX(Symboles!$G$6:$G$101,MOD(45+$C36+(-2),$B$3)+1)*G36+INDEX(Symboles!$G$6:$G$101,MOD(45+$C36+(-1),$B$3)+1)*H36+INDEX(Symboles!$G$6:$G$101,MOD(45+$C36+(0),$B$3)+1)*I36+INDEX(Symboles!$G$6:$G$101,MOD(45+$C36+(1),$B$3)+1)*J36+INDEX(Symboles!$G$6:$G$101,MOD(45+$C36+(2),$B$3)+1)*K36+INDEX(Symboles!$G$6:$G$101,MOD(45+$C36+(3),$B$3)+1)*L36+INDEX(Symboles!$G$6:$G$101,MOD(45+$C36+(4),$B$3)+1)*M36+IF($B$6=0,0,$B$6*NORMSINV(0.000001+0.999998*RAND())))</f>
        <v/>
      </c>
      <c r="BJ36" s="30">
        <f>IF(47&gt;$B$3,99,INDEX(Symboles!$G$6:$G$101,MOD(46+$C36+(-4),$B$3)+1)*E36+INDEX(Symboles!$G$6:$G$101,MOD(46+$C36+(-3),$B$3)+1)*F36+INDEX(Symboles!$G$6:$G$101,MOD(46+$C36+(-2),$B$3)+1)*G36+INDEX(Symboles!$G$6:$G$101,MOD(46+$C36+(-1),$B$3)+1)*H36+INDEX(Symboles!$G$6:$G$101,MOD(46+$C36+(0),$B$3)+1)*I36+INDEX(Symboles!$G$6:$G$101,MOD(46+$C36+(1),$B$3)+1)*J36+INDEX(Symboles!$G$6:$G$101,MOD(46+$C36+(2),$B$3)+1)*K36+INDEX(Symboles!$G$6:$G$101,MOD(46+$C36+(3),$B$3)+1)*L36+INDEX(Symboles!$G$6:$G$101,MOD(46+$C36+(4),$B$3)+1)*M36+IF($B$6=0,0,$B$6*NORMSINV(0.000001+0.999998*RAND())))</f>
        <v/>
      </c>
      <c r="BK36" s="30">
        <f>IF(48&gt;$B$3,99,INDEX(Symboles!$G$6:$G$101,MOD(47+$C36+(-4),$B$3)+1)*E36+INDEX(Symboles!$G$6:$G$101,MOD(47+$C36+(-3),$B$3)+1)*F36+INDEX(Symboles!$G$6:$G$101,MOD(47+$C36+(-2),$B$3)+1)*G36+INDEX(Symboles!$G$6:$G$101,MOD(47+$C36+(-1),$B$3)+1)*H36+INDEX(Symboles!$G$6:$G$101,MOD(47+$C36+(0),$B$3)+1)*I36+INDEX(Symboles!$G$6:$G$101,MOD(47+$C36+(1),$B$3)+1)*J36+INDEX(Symboles!$G$6:$G$101,MOD(47+$C36+(2),$B$3)+1)*K36+INDEX(Symboles!$G$6:$G$101,MOD(47+$C36+(3),$B$3)+1)*L36+INDEX(Symboles!$G$6:$G$101,MOD(47+$C36+(4),$B$3)+1)*M36+IF($B$6=0,0,$B$6*NORMSINV(0.000001+0.999998*RAND())))</f>
        <v/>
      </c>
      <c r="BL36" s="30">
        <f>IF(49&gt;$B$3,99,INDEX(Symboles!$G$6:$G$101,MOD(48+$C36+(-4),$B$3)+1)*E36+INDEX(Symboles!$G$6:$G$101,MOD(48+$C36+(-3),$B$3)+1)*F36+INDEX(Symboles!$G$6:$G$101,MOD(48+$C36+(-2),$B$3)+1)*G36+INDEX(Symboles!$G$6:$G$101,MOD(48+$C36+(-1),$B$3)+1)*H36+INDEX(Symboles!$G$6:$G$101,MOD(48+$C36+(0),$B$3)+1)*I36+INDEX(Symboles!$G$6:$G$101,MOD(48+$C36+(1),$B$3)+1)*J36+INDEX(Symboles!$G$6:$G$101,MOD(48+$C36+(2),$B$3)+1)*K36+INDEX(Symboles!$G$6:$G$101,MOD(48+$C36+(3),$B$3)+1)*L36+INDEX(Symboles!$G$6:$G$101,MOD(48+$C36+(4),$B$3)+1)*M36+IF($B$6=0,0,$B$6*NORMSINV(0.000001+0.999998*RAND())))</f>
        <v/>
      </c>
      <c r="BM36" s="30">
        <f>IF(50&gt;$B$3,99,INDEX(Symboles!$G$6:$G$101,MOD(49+$C36+(-4),$B$3)+1)*E36+INDEX(Symboles!$G$6:$G$101,MOD(49+$C36+(-3),$B$3)+1)*F36+INDEX(Symboles!$G$6:$G$101,MOD(49+$C36+(-2),$B$3)+1)*G36+INDEX(Symboles!$G$6:$G$101,MOD(49+$C36+(-1),$B$3)+1)*H36+INDEX(Symboles!$G$6:$G$101,MOD(49+$C36+(0),$B$3)+1)*I36+INDEX(Symboles!$G$6:$G$101,MOD(49+$C36+(1),$B$3)+1)*J36+INDEX(Symboles!$G$6:$G$101,MOD(49+$C36+(2),$B$3)+1)*K36+INDEX(Symboles!$G$6:$G$101,MOD(49+$C36+(3),$B$3)+1)*L36+INDEX(Symboles!$G$6:$G$101,MOD(49+$C36+(4),$B$3)+1)*M36+IF($B$6=0,0,$B$6*NORMSINV(0.000001+0.999998*RAND())))</f>
        <v/>
      </c>
      <c r="BN36" s="30">
        <f>IF(51&gt;$B$3,99,INDEX(Symboles!$G$6:$G$101,MOD(50+$C36+(-4),$B$3)+1)*E36+INDEX(Symboles!$G$6:$G$101,MOD(50+$C36+(-3),$B$3)+1)*F36+INDEX(Symboles!$G$6:$G$101,MOD(50+$C36+(-2),$B$3)+1)*G36+INDEX(Symboles!$G$6:$G$101,MOD(50+$C36+(-1),$B$3)+1)*H36+INDEX(Symboles!$G$6:$G$101,MOD(50+$C36+(0),$B$3)+1)*I36+INDEX(Symboles!$G$6:$G$101,MOD(50+$C36+(1),$B$3)+1)*J36+INDEX(Symboles!$G$6:$G$101,MOD(50+$C36+(2),$B$3)+1)*K36+INDEX(Symboles!$G$6:$G$101,MOD(50+$C36+(3),$B$3)+1)*L36+INDEX(Symboles!$G$6:$G$101,MOD(50+$C36+(4),$B$3)+1)*M36+IF($B$6=0,0,$B$6*NORMSINV(0.000001+0.999998*RAND())))</f>
        <v/>
      </c>
      <c r="BO36" s="30">
        <f>IF(52&gt;$B$3,99,INDEX(Symboles!$G$6:$G$101,MOD(51+$C36+(-4),$B$3)+1)*E36+INDEX(Symboles!$G$6:$G$101,MOD(51+$C36+(-3),$B$3)+1)*F36+INDEX(Symboles!$G$6:$G$101,MOD(51+$C36+(-2),$B$3)+1)*G36+INDEX(Symboles!$G$6:$G$101,MOD(51+$C36+(-1),$B$3)+1)*H36+INDEX(Symboles!$G$6:$G$101,MOD(51+$C36+(0),$B$3)+1)*I36+INDEX(Symboles!$G$6:$G$101,MOD(51+$C36+(1),$B$3)+1)*J36+INDEX(Symboles!$G$6:$G$101,MOD(51+$C36+(2),$B$3)+1)*K36+INDEX(Symboles!$G$6:$G$101,MOD(51+$C36+(3),$B$3)+1)*L36+INDEX(Symboles!$G$6:$G$101,MOD(51+$C36+(4),$B$3)+1)*M36+IF($B$6=0,0,$B$6*NORMSINV(0.000001+0.999998*RAND())))</f>
        <v/>
      </c>
      <c r="BP36" s="30">
        <f>IF(53&gt;$B$3,99,INDEX(Symboles!$G$6:$G$101,MOD(52+$C36+(-4),$B$3)+1)*E36+INDEX(Symboles!$G$6:$G$101,MOD(52+$C36+(-3),$B$3)+1)*F36+INDEX(Symboles!$G$6:$G$101,MOD(52+$C36+(-2),$B$3)+1)*G36+INDEX(Symboles!$G$6:$G$101,MOD(52+$C36+(-1),$B$3)+1)*H36+INDEX(Symboles!$G$6:$G$101,MOD(52+$C36+(0),$B$3)+1)*I36+INDEX(Symboles!$G$6:$G$101,MOD(52+$C36+(1),$B$3)+1)*J36+INDEX(Symboles!$G$6:$G$101,MOD(52+$C36+(2),$B$3)+1)*K36+INDEX(Symboles!$G$6:$G$101,MOD(52+$C36+(3),$B$3)+1)*L36+INDEX(Symboles!$G$6:$G$101,MOD(52+$C36+(4),$B$3)+1)*M36+IF($B$6=0,0,$B$6*NORMSINV(0.000001+0.999998*RAND())))</f>
        <v/>
      </c>
      <c r="BQ36" s="30">
        <f>IF(54&gt;$B$3,99,INDEX(Symboles!$G$6:$G$101,MOD(53+$C36+(-4),$B$3)+1)*E36+INDEX(Symboles!$G$6:$G$101,MOD(53+$C36+(-3),$B$3)+1)*F36+INDEX(Symboles!$G$6:$G$101,MOD(53+$C36+(-2),$B$3)+1)*G36+INDEX(Symboles!$G$6:$G$101,MOD(53+$C36+(-1),$B$3)+1)*H36+INDEX(Symboles!$G$6:$G$101,MOD(53+$C36+(0),$B$3)+1)*I36+INDEX(Symboles!$G$6:$G$101,MOD(53+$C36+(1),$B$3)+1)*J36+INDEX(Symboles!$G$6:$G$101,MOD(53+$C36+(2),$B$3)+1)*K36+INDEX(Symboles!$G$6:$G$101,MOD(53+$C36+(3),$B$3)+1)*L36+INDEX(Symboles!$G$6:$G$101,MOD(53+$C36+(4),$B$3)+1)*M36+IF($B$6=0,0,$B$6*NORMSINV(0.000001+0.999998*RAND())))</f>
        <v/>
      </c>
      <c r="BR36" s="30">
        <f>IF(55&gt;$B$3,99,INDEX(Symboles!$G$6:$G$101,MOD(54+$C36+(-4),$B$3)+1)*E36+INDEX(Symboles!$G$6:$G$101,MOD(54+$C36+(-3),$B$3)+1)*F36+INDEX(Symboles!$G$6:$G$101,MOD(54+$C36+(-2),$B$3)+1)*G36+INDEX(Symboles!$G$6:$G$101,MOD(54+$C36+(-1),$B$3)+1)*H36+INDEX(Symboles!$G$6:$G$101,MOD(54+$C36+(0),$B$3)+1)*I36+INDEX(Symboles!$G$6:$G$101,MOD(54+$C36+(1),$B$3)+1)*J36+INDEX(Symboles!$G$6:$G$101,MOD(54+$C36+(2),$B$3)+1)*K36+INDEX(Symboles!$G$6:$G$101,MOD(54+$C36+(3),$B$3)+1)*L36+INDEX(Symboles!$G$6:$G$101,MOD(54+$C36+(4),$B$3)+1)*M36+IF($B$6=0,0,$B$6*NORMSINV(0.000001+0.999998*RAND())))</f>
        <v/>
      </c>
      <c r="BS36" s="30">
        <f>IF(56&gt;$B$3,99,INDEX(Symboles!$G$6:$G$101,MOD(55+$C36+(-4),$B$3)+1)*E36+INDEX(Symboles!$G$6:$G$101,MOD(55+$C36+(-3),$B$3)+1)*F36+INDEX(Symboles!$G$6:$G$101,MOD(55+$C36+(-2),$B$3)+1)*G36+INDEX(Symboles!$G$6:$G$101,MOD(55+$C36+(-1),$B$3)+1)*H36+INDEX(Symboles!$G$6:$G$101,MOD(55+$C36+(0),$B$3)+1)*I36+INDEX(Symboles!$G$6:$G$101,MOD(55+$C36+(1),$B$3)+1)*J36+INDEX(Symboles!$G$6:$G$101,MOD(55+$C36+(2),$B$3)+1)*K36+INDEX(Symboles!$G$6:$G$101,MOD(55+$C36+(3),$B$3)+1)*L36+INDEX(Symboles!$G$6:$G$101,MOD(55+$C36+(4),$B$3)+1)*M36+IF($B$6=0,0,$B$6*NORMSINV(0.000001+0.999998*RAND())))</f>
        <v/>
      </c>
      <c r="BT36" s="30">
        <f>IF(57&gt;$B$3,99,INDEX(Symboles!$G$6:$G$101,MOD(56+$C36+(-4),$B$3)+1)*E36+INDEX(Symboles!$G$6:$G$101,MOD(56+$C36+(-3),$B$3)+1)*F36+INDEX(Symboles!$G$6:$G$101,MOD(56+$C36+(-2),$B$3)+1)*G36+INDEX(Symboles!$G$6:$G$101,MOD(56+$C36+(-1),$B$3)+1)*H36+INDEX(Symboles!$G$6:$G$101,MOD(56+$C36+(0),$B$3)+1)*I36+INDEX(Symboles!$G$6:$G$101,MOD(56+$C36+(1),$B$3)+1)*J36+INDEX(Symboles!$G$6:$G$101,MOD(56+$C36+(2),$B$3)+1)*K36+INDEX(Symboles!$G$6:$G$101,MOD(56+$C36+(3),$B$3)+1)*L36+INDEX(Symboles!$G$6:$G$101,MOD(56+$C36+(4),$B$3)+1)*M36+IF($B$6=0,0,$B$6*NORMSINV(0.000001+0.999998*RAND())))</f>
        <v/>
      </c>
      <c r="BU36" s="30">
        <f>IF(58&gt;$B$3,99,INDEX(Symboles!$G$6:$G$101,MOD(57+$C36+(-4),$B$3)+1)*E36+INDEX(Symboles!$G$6:$G$101,MOD(57+$C36+(-3),$B$3)+1)*F36+INDEX(Symboles!$G$6:$G$101,MOD(57+$C36+(-2),$B$3)+1)*G36+INDEX(Symboles!$G$6:$G$101,MOD(57+$C36+(-1),$B$3)+1)*H36+INDEX(Symboles!$G$6:$G$101,MOD(57+$C36+(0),$B$3)+1)*I36+INDEX(Symboles!$G$6:$G$101,MOD(57+$C36+(1),$B$3)+1)*J36+INDEX(Symboles!$G$6:$G$101,MOD(57+$C36+(2),$B$3)+1)*K36+INDEX(Symboles!$G$6:$G$101,MOD(57+$C36+(3),$B$3)+1)*L36+INDEX(Symboles!$G$6:$G$101,MOD(57+$C36+(4),$B$3)+1)*M36+IF($B$6=0,0,$B$6*NORMSINV(0.000001+0.999998*RAND())))</f>
        <v/>
      </c>
      <c r="BV36" s="30">
        <f>IF(59&gt;$B$3,99,INDEX(Symboles!$G$6:$G$101,MOD(58+$C36+(-4),$B$3)+1)*E36+INDEX(Symboles!$G$6:$G$101,MOD(58+$C36+(-3),$B$3)+1)*F36+INDEX(Symboles!$G$6:$G$101,MOD(58+$C36+(-2),$B$3)+1)*G36+INDEX(Symboles!$G$6:$G$101,MOD(58+$C36+(-1),$B$3)+1)*H36+INDEX(Symboles!$G$6:$G$101,MOD(58+$C36+(0),$B$3)+1)*I36+INDEX(Symboles!$G$6:$G$101,MOD(58+$C36+(1),$B$3)+1)*J36+INDEX(Symboles!$G$6:$G$101,MOD(58+$C36+(2),$B$3)+1)*K36+INDEX(Symboles!$G$6:$G$101,MOD(58+$C36+(3),$B$3)+1)*L36+INDEX(Symboles!$G$6:$G$101,MOD(58+$C36+(4),$B$3)+1)*M36+IF($B$6=0,0,$B$6*NORMSINV(0.000001+0.999998*RAND())))</f>
        <v/>
      </c>
      <c r="BW36" s="30">
        <f>IF(60&gt;$B$3,99,INDEX(Symboles!$G$6:$G$101,MOD(59+$C36+(-4),$B$3)+1)*E36+INDEX(Symboles!$G$6:$G$101,MOD(59+$C36+(-3),$B$3)+1)*F36+INDEX(Symboles!$G$6:$G$101,MOD(59+$C36+(-2),$B$3)+1)*G36+INDEX(Symboles!$G$6:$G$101,MOD(59+$C36+(-1),$B$3)+1)*H36+INDEX(Symboles!$G$6:$G$101,MOD(59+$C36+(0),$B$3)+1)*I36+INDEX(Symboles!$G$6:$G$101,MOD(59+$C36+(1),$B$3)+1)*J36+INDEX(Symboles!$G$6:$G$101,MOD(59+$C36+(2),$B$3)+1)*K36+INDEX(Symboles!$G$6:$G$101,MOD(59+$C36+(3),$B$3)+1)*L36+INDEX(Symboles!$G$6:$G$101,MOD(59+$C36+(4),$B$3)+1)*M36+IF($B$6=0,0,$B$6*NORMSINV(0.000001+0.999998*RAND())))</f>
        <v/>
      </c>
      <c r="BX36" s="30">
        <f>IF(61&gt;$B$3,99,INDEX(Symboles!$G$6:$G$101,MOD(60+$C36+(-4),$B$3)+1)*E36+INDEX(Symboles!$G$6:$G$101,MOD(60+$C36+(-3),$B$3)+1)*F36+INDEX(Symboles!$G$6:$G$101,MOD(60+$C36+(-2),$B$3)+1)*G36+INDEX(Symboles!$G$6:$G$101,MOD(60+$C36+(-1),$B$3)+1)*H36+INDEX(Symboles!$G$6:$G$101,MOD(60+$C36+(0),$B$3)+1)*I36+INDEX(Symboles!$G$6:$G$101,MOD(60+$C36+(1),$B$3)+1)*J36+INDEX(Symboles!$G$6:$G$101,MOD(60+$C36+(2),$B$3)+1)*K36+INDEX(Symboles!$G$6:$G$101,MOD(60+$C36+(3),$B$3)+1)*L36+INDEX(Symboles!$G$6:$G$101,MOD(60+$C36+(4),$B$3)+1)*M36+IF($B$6=0,0,$B$6*NORMSINV(0.000001+0.999998*RAND())))</f>
        <v/>
      </c>
      <c r="BY36" s="30">
        <f>IF(62&gt;$B$3,99,INDEX(Symboles!$G$6:$G$101,MOD(61+$C36+(-4),$B$3)+1)*E36+INDEX(Symboles!$G$6:$G$101,MOD(61+$C36+(-3),$B$3)+1)*F36+INDEX(Symboles!$G$6:$G$101,MOD(61+$C36+(-2),$B$3)+1)*G36+INDEX(Symboles!$G$6:$G$101,MOD(61+$C36+(-1),$B$3)+1)*H36+INDEX(Symboles!$G$6:$G$101,MOD(61+$C36+(0),$B$3)+1)*I36+INDEX(Symboles!$G$6:$G$101,MOD(61+$C36+(1),$B$3)+1)*J36+INDEX(Symboles!$G$6:$G$101,MOD(61+$C36+(2),$B$3)+1)*K36+INDEX(Symboles!$G$6:$G$101,MOD(61+$C36+(3),$B$3)+1)*L36+INDEX(Symboles!$G$6:$G$101,MOD(61+$C36+(4),$B$3)+1)*M36+IF($B$6=0,0,$B$6*NORMSINV(0.000001+0.999998*RAND())))</f>
        <v/>
      </c>
      <c r="BZ36" s="30">
        <f>IF(63&gt;$B$3,99,INDEX(Symboles!$G$6:$G$101,MOD(62+$C36+(-4),$B$3)+1)*E36+INDEX(Symboles!$G$6:$G$101,MOD(62+$C36+(-3),$B$3)+1)*F36+INDEX(Symboles!$G$6:$G$101,MOD(62+$C36+(-2),$B$3)+1)*G36+INDEX(Symboles!$G$6:$G$101,MOD(62+$C36+(-1),$B$3)+1)*H36+INDEX(Symboles!$G$6:$G$101,MOD(62+$C36+(0),$B$3)+1)*I36+INDEX(Symboles!$G$6:$G$101,MOD(62+$C36+(1),$B$3)+1)*J36+INDEX(Symboles!$G$6:$G$101,MOD(62+$C36+(2),$B$3)+1)*K36+INDEX(Symboles!$G$6:$G$101,MOD(62+$C36+(3),$B$3)+1)*L36+INDEX(Symboles!$G$6:$G$101,MOD(62+$C36+(4),$B$3)+1)*M36+IF($B$6=0,0,$B$6*NORMSINV(0.000001+0.999998*RAND())))</f>
        <v/>
      </c>
      <c r="CA36" s="30">
        <f>IF(64&gt;$B$3,99,INDEX(Symboles!$G$6:$G$101,MOD(63+$C36+(-4),$B$3)+1)*E36+INDEX(Symboles!$G$6:$G$101,MOD(63+$C36+(-3),$B$3)+1)*F36+INDEX(Symboles!$G$6:$G$101,MOD(63+$C36+(-2),$B$3)+1)*G36+INDEX(Symboles!$G$6:$G$101,MOD(63+$C36+(-1),$B$3)+1)*H36+INDEX(Symboles!$G$6:$G$101,MOD(63+$C36+(0),$B$3)+1)*I36+INDEX(Symboles!$G$6:$G$101,MOD(63+$C36+(1),$B$3)+1)*J36+INDEX(Symboles!$G$6:$G$101,MOD(63+$C36+(2),$B$3)+1)*K36+INDEX(Symboles!$G$6:$G$101,MOD(63+$C36+(3),$B$3)+1)*L36+INDEX(Symboles!$G$6:$G$101,MOD(63+$C36+(4),$B$3)+1)*M36+IF($B$6=0,0,$B$6*NORMSINV(0.000001+0.999998*RAND())))</f>
        <v/>
      </c>
      <c r="CB36" s="30">
        <f>IF(65&gt;$B$3,99,INDEX(Symboles!$G$6:$G$101,MOD(64+$C36+(-4),$B$3)+1)*E36+INDEX(Symboles!$G$6:$G$101,MOD(64+$C36+(-3),$B$3)+1)*F36+INDEX(Symboles!$G$6:$G$101,MOD(64+$C36+(-2),$B$3)+1)*G36+INDEX(Symboles!$G$6:$G$101,MOD(64+$C36+(-1),$B$3)+1)*H36+INDEX(Symboles!$G$6:$G$101,MOD(64+$C36+(0),$B$3)+1)*I36+INDEX(Symboles!$G$6:$G$101,MOD(64+$C36+(1),$B$3)+1)*J36+INDEX(Symboles!$G$6:$G$101,MOD(64+$C36+(2),$B$3)+1)*K36+INDEX(Symboles!$G$6:$G$101,MOD(64+$C36+(3),$B$3)+1)*L36+INDEX(Symboles!$G$6:$G$101,MOD(64+$C36+(4),$B$3)+1)*M36+IF($B$6=0,0,$B$6*NORMSINV(0.000001+0.999998*RAND())))</f>
        <v/>
      </c>
      <c r="CC36" s="30">
        <f>IF(66&gt;$B$3,99,INDEX(Symboles!$G$6:$G$101,MOD(65+$C36+(-4),$B$3)+1)*E36+INDEX(Symboles!$G$6:$G$101,MOD(65+$C36+(-3),$B$3)+1)*F36+INDEX(Symboles!$G$6:$G$101,MOD(65+$C36+(-2),$B$3)+1)*G36+INDEX(Symboles!$G$6:$G$101,MOD(65+$C36+(-1),$B$3)+1)*H36+INDEX(Symboles!$G$6:$G$101,MOD(65+$C36+(0),$B$3)+1)*I36+INDEX(Symboles!$G$6:$G$101,MOD(65+$C36+(1),$B$3)+1)*J36+INDEX(Symboles!$G$6:$G$101,MOD(65+$C36+(2),$B$3)+1)*K36+INDEX(Symboles!$G$6:$G$101,MOD(65+$C36+(3),$B$3)+1)*L36+INDEX(Symboles!$G$6:$G$101,MOD(65+$C36+(4),$B$3)+1)*M36+IF($B$6=0,0,$B$6*NORMSINV(0.000001+0.999998*RAND())))</f>
        <v/>
      </c>
      <c r="CD36" s="30">
        <f>IF(67&gt;$B$3,99,INDEX(Symboles!$G$6:$G$101,MOD(66+$C36+(-4),$B$3)+1)*E36+INDEX(Symboles!$G$6:$G$101,MOD(66+$C36+(-3),$B$3)+1)*F36+INDEX(Symboles!$G$6:$G$101,MOD(66+$C36+(-2),$B$3)+1)*G36+INDEX(Symboles!$G$6:$G$101,MOD(66+$C36+(-1),$B$3)+1)*H36+INDEX(Symboles!$G$6:$G$101,MOD(66+$C36+(0),$B$3)+1)*I36+INDEX(Symboles!$G$6:$G$101,MOD(66+$C36+(1),$B$3)+1)*J36+INDEX(Symboles!$G$6:$G$101,MOD(66+$C36+(2),$B$3)+1)*K36+INDEX(Symboles!$G$6:$G$101,MOD(66+$C36+(3),$B$3)+1)*L36+INDEX(Symboles!$G$6:$G$101,MOD(66+$C36+(4),$B$3)+1)*M36+IF($B$6=0,0,$B$6*NORMSINV(0.000001+0.999998*RAND())))</f>
        <v/>
      </c>
      <c r="CE36" s="30">
        <f>IF(68&gt;$B$3,99,INDEX(Symboles!$G$6:$G$101,MOD(67+$C36+(-4),$B$3)+1)*E36+INDEX(Symboles!$G$6:$G$101,MOD(67+$C36+(-3),$B$3)+1)*F36+INDEX(Symboles!$G$6:$G$101,MOD(67+$C36+(-2),$B$3)+1)*G36+INDEX(Symboles!$G$6:$G$101,MOD(67+$C36+(-1),$B$3)+1)*H36+INDEX(Symboles!$G$6:$G$101,MOD(67+$C36+(0),$B$3)+1)*I36+INDEX(Symboles!$G$6:$G$101,MOD(67+$C36+(1),$B$3)+1)*J36+INDEX(Symboles!$G$6:$G$101,MOD(67+$C36+(2),$B$3)+1)*K36+INDEX(Symboles!$G$6:$G$101,MOD(67+$C36+(3),$B$3)+1)*L36+INDEX(Symboles!$G$6:$G$101,MOD(67+$C36+(4),$B$3)+1)*M36+IF($B$6=0,0,$B$6*NORMSINV(0.000001+0.999998*RAND())))</f>
        <v/>
      </c>
      <c r="CF36" s="30">
        <f>IF(69&gt;$B$3,99,INDEX(Symboles!$G$6:$G$101,MOD(68+$C36+(-4),$B$3)+1)*E36+INDEX(Symboles!$G$6:$G$101,MOD(68+$C36+(-3),$B$3)+1)*F36+INDEX(Symboles!$G$6:$G$101,MOD(68+$C36+(-2),$B$3)+1)*G36+INDEX(Symboles!$G$6:$G$101,MOD(68+$C36+(-1),$B$3)+1)*H36+INDEX(Symboles!$G$6:$G$101,MOD(68+$C36+(0),$B$3)+1)*I36+INDEX(Symboles!$G$6:$G$101,MOD(68+$C36+(1),$B$3)+1)*J36+INDEX(Symboles!$G$6:$G$101,MOD(68+$C36+(2),$B$3)+1)*K36+INDEX(Symboles!$G$6:$G$101,MOD(68+$C36+(3),$B$3)+1)*L36+INDEX(Symboles!$G$6:$G$101,MOD(68+$C36+(4),$B$3)+1)*M36+IF($B$6=0,0,$B$6*NORMSINV(0.000001+0.999998*RAND())))</f>
        <v/>
      </c>
      <c r="CG36" s="30">
        <f>IF(70&gt;$B$3,99,INDEX(Symboles!$G$6:$G$101,MOD(69+$C36+(-4),$B$3)+1)*E36+INDEX(Symboles!$G$6:$G$101,MOD(69+$C36+(-3),$B$3)+1)*F36+INDEX(Symboles!$G$6:$G$101,MOD(69+$C36+(-2),$B$3)+1)*G36+INDEX(Symboles!$G$6:$G$101,MOD(69+$C36+(-1),$B$3)+1)*H36+INDEX(Symboles!$G$6:$G$101,MOD(69+$C36+(0),$B$3)+1)*I36+INDEX(Symboles!$G$6:$G$101,MOD(69+$C36+(1),$B$3)+1)*J36+INDEX(Symboles!$G$6:$G$101,MOD(69+$C36+(2),$B$3)+1)*K36+INDEX(Symboles!$G$6:$G$101,MOD(69+$C36+(3),$B$3)+1)*L36+INDEX(Symboles!$G$6:$G$101,MOD(69+$C36+(4),$B$3)+1)*M36+IF($B$6=0,0,$B$6*NORMSINV(0.000001+0.999998*RAND())))</f>
        <v/>
      </c>
      <c r="CH36" s="30">
        <f>IF(71&gt;$B$3,99,INDEX(Symboles!$G$6:$G$101,MOD(70+$C36+(-4),$B$3)+1)*E36+INDEX(Symboles!$G$6:$G$101,MOD(70+$C36+(-3),$B$3)+1)*F36+INDEX(Symboles!$G$6:$G$101,MOD(70+$C36+(-2),$B$3)+1)*G36+INDEX(Symboles!$G$6:$G$101,MOD(70+$C36+(-1),$B$3)+1)*H36+INDEX(Symboles!$G$6:$G$101,MOD(70+$C36+(0),$B$3)+1)*I36+INDEX(Symboles!$G$6:$G$101,MOD(70+$C36+(1),$B$3)+1)*J36+INDEX(Symboles!$G$6:$G$101,MOD(70+$C36+(2),$B$3)+1)*K36+INDEX(Symboles!$G$6:$G$101,MOD(70+$C36+(3),$B$3)+1)*L36+INDEX(Symboles!$G$6:$G$101,MOD(70+$C36+(4),$B$3)+1)*M36+IF($B$6=0,0,$B$6*NORMSINV(0.000001+0.999998*RAND())))</f>
        <v/>
      </c>
      <c r="CI36" s="30">
        <f>IF(72&gt;$B$3,99,INDEX(Symboles!$G$6:$G$101,MOD(71+$C36+(-4),$B$3)+1)*E36+INDEX(Symboles!$G$6:$G$101,MOD(71+$C36+(-3),$B$3)+1)*F36+INDEX(Symboles!$G$6:$G$101,MOD(71+$C36+(-2),$B$3)+1)*G36+INDEX(Symboles!$G$6:$G$101,MOD(71+$C36+(-1),$B$3)+1)*H36+INDEX(Symboles!$G$6:$G$101,MOD(71+$C36+(0),$B$3)+1)*I36+INDEX(Symboles!$G$6:$G$101,MOD(71+$C36+(1),$B$3)+1)*J36+INDEX(Symboles!$G$6:$G$101,MOD(71+$C36+(2),$B$3)+1)*K36+INDEX(Symboles!$G$6:$G$101,MOD(71+$C36+(3),$B$3)+1)*L36+INDEX(Symboles!$G$6:$G$101,MOD(71+$C36+(4),$B$3)+1)*M36+IF($B$6=0,0,$B$6*NORMSINV(0.000001+0.999998*RAND())))</f>
        <v/>
      </c>
      <c r="CJ36" s="30">
        <f>IF(73&gt;$B$3,99,INDEX(Symboles!$G$6:$G$101,MOD(72+$C36+(-4),$B$3)+1)*E36+INDEX(Symboles!$G$6:$G$101,MOD(72+$C36+(-3),$B$3)+1)*F36+INDEX(Symboles!$G$6:$G$101,MOD(72+$C36+(-2),$B$3)+1)*G36+INDEX(Symboles!$G$6:$G$101,MOD(72+$C36+(-1),$B$3)+1)*H36+INDEX(Symboles!$G$6:$G$101,MOD(72+$C36+(0),$B$3)+1)*I36+INDEX(Symboles!$G$6:$G$101,MOD(72+$C36+(1),$B$3)+1)*J36+INDEX(Symboles!$G$6:$G$101,MOD(72+$C36+(2),$B$3)+1)*K36+INDEX(Symboles!$G$6:$G$101,MOD(72+$C36+(3),$B$3)+1)*L36+INDEX(Symboles!$G$6:$G$101,MOD(72+$C36+(4),$B$3)+1)*M36+IF($B$6=0,0,$B$6*NORMSINV(0.000001+0.999998*RAND())))</f>
        <v/>
      </c>
      <c r="CK36" s="30">
        <f>IF(74&gt;$B$3,99,INDEX(Symboles!$G$6:$G$101,MOD(73+$C36+(-4),$B$3)+1)*E36+INDEX(Symboles!$G$6:$G$101,MOD(73+$C36+(-3),$B$3)+1)*F36+INDEX(Symboles!$G$6:$G$101,MOD(73+$C36+(-2),$B$3)+1)*G36+INDEX(Symboles!$G$6:$G$101,MOD(73+$C36+(-1),$B$3)+1)*H36+INDEX(Symboles!$G$6:$G$101,MOD(73+$C36+(0),$B$3)+1)*I36+INDEX(Symboles!$G$6:$G$101,MOD(73+$C36+(1),$B$3)+1)*J36+INDEX(Symboles!$G$6:$G$101,MOD(73+$C36+(2),$B$3)+1)*K36+INDEX(Symboles!$G$6:$G$101,MOD(73+$C36+(3),$B$3)+1)*L36+INDEX(Symboles!$G$6:$G$101,MOD(73+$C36+(4),$B$3)+1)*M36+IF($B$6=0,0,$B$6*NORMSINV(0.000001+0.999998*RAND())))</f>
        <v/>
      </c>
      <c r="CL36" s="30">
        <f>IF(75&gt;$B$3,99,INDEX(Symboles!$G$6:$G$101,MOD(74+$C36+(-4),$B$3)+1)*E36+INDEX(Symboles!$G$6:$G$101,MOD(74+$C36+(-3),$B$3)+1)*F36+INDEX(Symboles!$G$6:$G$101,MOD(74+$C36+(-2),$B$3)+1)*G36+INDEX(Symboles!$G$6:$G$101,MOD(74+$C36+(-1),$B$3)+1)*H36+INDEX(Symboles!$G$6:$G$101,MOD(74+$C36+(0),$B$3)+1)*I36+INDEX(Symboles!$G$6:$G$101,MOD(74+$C36+(1),$B$3)+1)*J36+INDEX(Symboles!$G$6:$G$101,MOD(74+$C36+(2),$B$3)+1)*K36+INDEX(Symboles!$G$6:$G$101,MOD(74+$C36+(3),$B$3)+1)*L36+INDEX(Symboles!$G$6:$G$101,MOD(74+$C36+(4),$B$3)+1)*M36+IF($B$6=0,0,$B$6*NORMSINV(0.000001+0.999998*RAND())))</f>
        <v/>
      </c>
      <c r="CM36" s="30">
        <f>IF(76&gt;$B$3,99,INDEX(Symboles!$G$6:$G$101,MOD(75+$C36+(-4),$B$3)+1)*E36+INDEX(Symboles!$G$6:$G$101,MOD(75+$C36+(-3),$B$3)+1)*F36+INDEX(Symboles!$G$6:$G$101,MOD(75+$C36+(-2),$B$3)+1)*G36+INDEX(Symboles!$G$6:$G$101,MOD(75+$C36+(-1),$B$3)+1)*H36+INDEX(Symboles!$G$6:$G$101,MOD(75+$C36+(0),$B$3)+1)*I36+INDEX(Symboles!$G$6:$G$101,MOD(75+$C36+(1),$B$3)+1)*J36+INDEX(Symboles!$G$6:$G$101,MOD(75+$C36+(2),$B$3)+1)*K36+INDEX(Symboles!$G$6:$G$101,MOD(75+$C36+(3),$B$3)+1)*L36+INDEX(Symboles!$G$6:$G$101,MOD(75+$C36+(4),$B$3)+1)*M36+IF($B$6=0,0,$B$6*NORMSINV(0.000001+0.999998*RAND())))</f>
        <v/>
      </c>
      <c r="CN36" s="30">
        <f>IF(77&gt;$B$3,99,INDEX(Symboles!$G$6:$G$101,MOD(76+$C36+(-4),$B$3)+1)*E36+INDEX(Symboles!$G$6:$G$101,MOD(76+$C36+(-3),$B$3)+1)*F36+INDEX(Symboles!$G$6:$G$101,MOD(76+$C36+(-2),$B$3)+1)*G36+INDEX(Symboles!$G$6:$G$101,MOD(76+$C36+(-1),$B$3)+1)*H36+INDEX(Symboles!$G$6:$G$101,MOD(76+$C36+(0),$B$3)+1)*I36+INDEX(Symboles!$G$6:$G$101,MOD(76+$C36+(1),$B$3)+1)*J36+INDEX(Symboles!$G$6:$G$101,MOD(76+$C36+(2),$B$3)+1)*K36+INDEX(Symboles!$G$6:$G$101,MOD(76+$C36+(3),$B$3)+1)*L36+INDEX(Symboles!$G$6:$G$101,MOD(76+$C36+(4),$B$3)+1)*M36+IF($B$6=0,0,$B$6*NORMSINV(0.000001+0.999998*RAND())))</f>
        <v/>
      </c>
      <c r="CO36" s="30">
        <f>IF(78&gt;$B$3,99,INDEX(Symboles!$G$6:$G$101,MOD(77+$C36+(-4),$B$3)+1)*E36+INDEX(Symboles!$G$6:$G$101,MOD(77+$C36+(-3),$B$3)+1)*F36+INDEX(Symboles!$G$6:$G$101,MOD(77+$C36+(-2),$B$3)+1)*G36+INDEX(Symboles!$G$6:$G$101,MOD(77+$C36+(-1),$B$3)+1)*H36+INDEX(Symboles!$G$6:$G$101,MOD(77+$C36+(0),$B$3)+1)*I36+INDEX(Symboles!$G$6:$G$101,MOD(77+$C36+(1),$B$3)+1)*J36+INDEX(Symboles!$G$6:$G$101,MOD(77+$C36+(2),$B$3)+1)*K36+INDEX(Symboles!$G$6:$G$101,MOD(77+$C36+(3),$B$3)+1)*L36+INDEX(Symboles!$G$6:$G$101,MOD(77+$C36+(4),$B$3)+1)*M36+IF($B$6=0,0,$B$6*NORMSINV(0.000001+0.999998*RAND())))</f>
        <v/>
      </c>
      <c r="CP36" s="30">
        <f>IF(79&gt;$B$3,99,INDEX(Symboles!$G$6:$G$101,MOD(78+$C36+(-4),$B$3)+1)*E36+INDEX(Symboles!$G$6:$G$101,MOD(78+$C36+(-3),$B$3)+1)*F36+INDEX(Symboles!$G$6:$G$101,MOD(78+$C36+(-2),$B$3)+1)*G36+INDEX(Symboles!$G$6:$G$101,MOD(78+$C36+(-1),$B$3)+1)*H36+INDEX(Symboles!$G$6:$G$101,MOD(78+$C36+(0),$B$3)+1)*I36+INDEX(Symboles!$G$6:$G$101,MOD(78+$C36+(1),$B$3)+1)*J36+INDEX(Symboles!$G$6:$G$101,MOD(78+$C36+(2),$B$3)+1)*K36+INDEX(Symboles!$G$6:$G$101,MOD(78+$C36+(3),$B$3)+1)*L36+INDEX(Symboles!$G$6:$G$101,MOD(78+$C36+(4),$B$3)+1)*M36+IF($B$6=0,0,$B$6*NORMSINV(0.000001+0.999998*RAND())))</f>
        <v/>
      </c>
      <c r="CQ36" s="30">
        <f>IF(80&gt;$B$3,99,INDEX(Symboles!$G$6:$G$101,MOD(79+$C36+(-4),$B$3)+1)*E36+INDEX(Symboles!$G$6:$G$101,MOD(79+$C36+(-3),$B$3)+1)*F36+INDEX(Symboles!$G$6:$G$101,MOD(79+$C36+(-2),$B$3)+1)*G36+INDEX(Symboles!$G$6:$G$101,MOD(79+$C36+(-1),$B$3)+1)*H36+INDEX(Symboles!$G$6:$G$101,MOD(79+$C36+(0),$B$3)+1)*I36+INDEX(Symboles!$G$6:$G$101,MOD(79+$C36+(1),$B$3)+1)*J36+INDEX(Symboles!$G$6:$G$101,MOD(79+$C36+(2),$B$3)+1)*K36+INDEX(Symboles!$G$6:$G$101,MOD(79+$C36+(3),$B$3)+1)*L36+INDEX(Symboles!$G$6:$G$101,MOD(79+$C36+(4),$B$3)+1)*M36+IF($B$6=0,0,$B$6*NORMSINV(0.000001+0.999998*RAND())))</f>
        <v/>
      </c>
      <c r="CR36" s="30">
        <f>IF(81&gt;$B$3,99,INDEX(Symboles!$G$6:$G$101,MOD(80+$C36+(-4),$B$3)+1)*E36+INDEX(Symboles!$G$6:$G$101,MOD(80+$C36+(-3),$B$3)+1)*F36+INDEX(Symboles!$G$6:$G$101,MOD(80+$C36+(-2),$B$3)+1)*G36+INDEX(Symboles!$G$6:$G$101,MOD(80+$C36+(-1),$B$3)+1)*H36+INDEX(Symboles!$G$6:$G$101,MOD(80+$C36+(0),$B$3)+1)*I36+INDEX(Symboles!$G$6:$G$101,MOD(80+$C36+(1),$B$3)+1)*J36+INDEX(Symboles!$G$6:$G$101,MOD(80+$C36+(2),$B$3)+1)*K36+INDEX(Symboles!$G$6:$G$101,MOD(80+$C36+(3),$B$3)+1)*L36+INDEX(Symboles!$G$6:$G$101,MOD(80+$C36+(4),$B$3)+1)*M36+IF($B$6=0,0,$B$6*NORMSINV(0.000001+0.999998*RAND())))</f>
        <v/>
      </c>
      <c r="CS36" s="30">
        <f>IF(82&gt;$B$3,99,INDEX(Symboles!$G$6:$G$101,MOD(81+$C36+(-4),$B$3)+1)*E36+INDEX(Symboles!$G$6:$G$101,MOD(81+$C36+(-3),$B$3)+1)*F36+INDEX(Symboles!$G$6:$G$101,MOD(81+$C36+(-2),$B$3)+1)*G36+INDEX(Symboles!$G$6:$G$101,MOD(81+$C36+(-1),$B$3)+1)*H36+INDEX(Symboles!$G$6:$G$101,MOD(81+$C36+(0),$B$3)+1)*I36+INDEX(Symboles!$G$6:$G$101,MOD(81+$C36+(1),$B$3)+1)*J36+INDEX(Symboles!$G$6:$G$101,MOD(81+$C36+(2),$B$3)+1)*K36+INDEX(Symboles!$G$6:$G$101,MOD(81+$C36+(3),$B$3)+1)*L36+INDEX(Symboles!$G$6:$G$101,MOD(81+$C36+(4),$B$3)+1)*M36+IF($B$6=0,0,$B$6*NORMSINV(0.000001+0.999998*RAND())))</f>
        <v/>
      </c>
      <c r="CT36" s="30">
        <f>IF(83&gt;$B$3,99,INDEX(Symboles!$G$6:$G$101,MOD(82+$C36+(-4),$B$3)+1)*E36+INDEX(Symboles!$G$6:$G$101,MOD(82+$C36+(-3),$B$3)+1)*F36+INDEX(Symboles!$G$6:$G$101,MOD(82+$C36+(-2),$B$3)+1)*G36+INDEX(Symboles!$G$6:$G$101,MOD(82+$C36+(-1),$B$3)+1)*H36+INDEX(Symboles!$G$6:$G$101,MOD(82+$C36+(0),$B$3)+1)*I36+INDEX(Symboles!$G$6:$G$101,MOD(82+$C36+(1),$B$3)+1)*J36+INDEX(Symboles!$G$6:$G$101,MOD(82+$C36+(2),$B$3)+1)*K36+INDEX(Symboles!$G$6:$G$101,MOD(82+$C36+(3),$B$3)+1)*L36+INDEX(Symboles!$G$6:$G$101,MOD(82+$C36+(4),$B$3)+1)*M36+IF($B$6=0,0,$B$6*NORMSINV(0.000001+0.999998*RAND())))</f>
        <v/>
      </c>
      <c r="CU36" s="30">
        <f>IF(84&gt;$B$3,99,INDEX(Symboles!$G$6:$G$101,MOD(83+$C36+(-4),$B$3)+1)*E36+INDEX(Symboles!$G$6:$G$101,MOD(83+$C36+(-3),$B$3)+1)*F36+INDEX(Symboles!$G$6:$G$101,MOD(83+$C36+(-2),$B$3)+1)*G36+INDEX(Symboles!$G$6:$G$101,MOD(83+$C36+(-1),$B$3)+1)*H36+INDEX(Symboles!$G$6:$G$101,MOD(83+$C36+(0),$B$3)+1)*I36+INDEX(Symboles!$G$6:$G$101,MOD(83+$C36+(1),$B$3)+1)*J36+INDEX(Symboles!$G$6:$G$101,MOD(83+$C36+(2),$B$3)+1)*K36+INDEX(Symboles!$G$6:$G$101,MOD(83+$C36+(3),$B$3)+1)*L36+INDEX(Symboles!$G$6:$G$101,MOD(83+$C36+(4),$B$3)+1)*M36+IF($B$6=0,0,$B$6*NORMSINV(0.000001+0.999998*RAND())))</f>
        <v/>
      </c>
      <c r="CV36" s="30">
        <f>IF(85&gt;$B$3,99,INDEX(Symboles!$G$6:$G$101,MOD(84+$C36+(-4),$B$3)+1)*E36+INDEX(Symboles!$G$6:$G$101,MOD(84+$C36+(-3),$B$3)+1)*F36+INDEX(Symboles!$G$6:$G$101,MOD(84+$C36+(-2),$B$3)+1)*G36+INDEX(Symboles!$G$6:$G$101,MOD(84+$C36+(-1),$B$3)+1)*H36+INDEX(Symboles!$G$6:$G$101,MOD(84+$C36+(0),$B$3)+1)*I36+INDEX(Symboles!$G$6:$G$101,MOD(84+$C36+(1),$B$3)+1)*J36+INDEX(Symboles!$G$6:$G$101,MOD(84+$C36+(2),$B$3)+1)*K36+INDEX(Symboles!$G$6:$G$101,MOD(84+$C36+(3),$B$3)+1)*L36+INDEX(Symboles!$G$6:$G$101,MOD(84+$C36+(4),$B$3)+1)*M36+IF($B$6=0,0,$B$6*NORMSINV(0.000001+0.999998*RAND())))</f>
        <v/>
      </c>
      <c r="CW36" s="30">
        <f>IF(86&gt;$B$3,99,INDEX(Symboles!$G$6:$G$101,MOD(85+$C36+(-4),$B$3)+1)*E36+INDEX(Symboles!$G$6:$G$101,MOD(85+$C36+(-3),$B$3)+1)*F36+INDEX(Symboles!$G$6:$G$101,MOD(85+$C36+(-2),$B$3)+1)*G36+INDEX(Symboles!$G$6:$G$101,MOD(85+$C36+(-1),$B$3)+1)*H36+INDEX(Symboles!$G$6:$G$101,MOD(85+$C36+(0),$B$3)+1)*I36+INDEX(Symboles!$G$6:$G$101,MOD(85+$C36+(1),$B$3)+1)*J36+INDEX(Symboles!$G$6:$G$101,MOD(85+$C36+(2),$B$3)+1)*K36+INDEX(Symboles!$G$6:$G$101,MOD(85+$C36+(3),$B$3)+1)*L36+INDEX(Symboles!$G$6:$G$101,MOD(85+$C36+(4),$B$3)+1)*M36+IF($B$6=0,0,$B$6*NORMSINV(0.000001+0.999998*RAND())))</f>
        <v/>
      </c>
      <c r="CX36" s="30">
        <f>IF(87&gt;$B$3,99,INDEX(Symboles!$G$6:$G$101,MOD(86+$C36+(-4),$B$3)+1)*E36+INDEX(Symboles!$G$6:$G$101,MOD(86+$C36+(-3),$B$3)+1)*F36+INDEX(Symboles!$G$6:$G$101,MOD(86+$C36+(-2),$B$3)+1)*G36+INDEX(Symboles!$G$6:$G$101,MOD(86+$C36+(-1),$B$3)+1)*H36+INDEX(Symboles!$G$6:$G$101,MOD(86+$C36+(0),$B$3)+1)*I36+INDEX(Symboles!$G$6:$G$101,MOD(86+$C36+(1),$B$3)+1)*J36+INDEX(Symboles!$G$6:$G$101,MOD(86+$C36+(2),$B$3)+1)*K36+INDEX(Symboles!$G$6:$G$101,MOD(86+$C36+(3),$B$3)+1)*L36+INDEX(Symboles!$G$6:$G$101,MOD(86+$C36+(4),$B$3)+1)*M36+IF($B$6=0,0,$B$6*NORMSINV(0.000001+0.999998*RAND())))</f>
        <v/>
      </c>
      <c r="CY36" s="30">
        <f>IF(88&gt;$B$3,99,INDEX(Symboles!$G$6:$G$101,MOD(87+$C36+(-4),$B$3)+1)*E36+INDEX(Symboles!$G$6:$G$101,MOD(87+$C36+(-3),$B$3)+1)*F36+INDEX(Symboles!$G$6:$G$101,MOD(87+$C36+(-2),$B$3)+1)*G36+INDEX(Symboles!$G$6:$G$101,MOD(87+$C36+(-1),$B$3)+1)*H36+INDEX(Symboles!$G$6:$G$101,MOD(87+$C36+(0),$B$3)+1)*I36+INDEX(Symboles!$G$6:$G$101,MOD(87+$C36+(1),$B$3)+1)*J36+INDEX(Symboles!$G$6:$G$101,MOD(87+$C36+(2),$B$3)+1)*K36+INDEX(Symboles!$G$6:$G$101,MOD(87+$C36+(3),$B$3)+1)*L36+INDEX(Symboles!$G$6:$G$101,MOD(87+$C36+(4),$B$3)+1)*M36+IF($B$6=0,0,$B$6*NORMSINV(0.000001+0.999998*RAND())))</f>
        <v/>
      </c>
      <c r="CZ36" s="30">
        <f>IF(89&gt;$B$3,99,INDEX(Symboles!$G$6:$G$101,MOD(88+$C36+(-4),$B$3)+1)*E36+INDEX(Symboles!$G$6:$G$101,MOD(88+$C36+(-3),$B$3)+1)*F36+INDEX(Symboles!$G$6:$G$101,MOD(88+$C36+(-2),$B$3)+1)*G36+INDEX(Symboles!$G$6:$G$101,MOD(88+$C36+(-1),$B$3)+1)*H36+INDEX(Symboles!$G$6:$G$101,MOD(88+$C36+(0),$B$3)+1)*I36+INDEX(Symboles!$G$6:$G$101,MOD(88+$C36+(1),$B$3)+1)*J36+INDEX(Symboles!$G$6:$G$101,MOD(88+$C36+(2),$B$3)+1)*K36+INDEX(Symboles!$G$6:$G$101,MOD(88+$C36+(3),$B$3)+1)*L36+INDEX(Symboles!$G$6:$G$101,MOD(88+$C36+(4),$B$3)+1)*M36+IF($B$6=0,0,$B$6*NORMSINV(0.000001+0.999998*RAND())))</f>
        <v/>
      </c>
      <c r="DA36" s="30">
        <f>IF(90&gt;$B$3,99,INDEX(Symboles!$G$6:$G$101,MOD(89+$C36+(-4),$B$3)+1)*E36+INDEX(Symboles!$G$6:$G$101,MOD(89+$C36+(-3),$B$3)+1)*F36+INDEX(Symboles!$G$6:$G$101,MOD(89+$C36+(-2),$B$3)+1)*G36+INDEX(Symboles!$G$6:$G$101,MOD(89+$C36+(-1),$B$3)+1)*H36+INDEX(Symboles!$G$6:$G$101,MOD(89+$C36+(0),$B$3)+1)*I36+INDEX(Symboles!$G$6:$G$101,MOD(89+$C36+(1),$B$3)+1)*J36+INDEX(Symboles!$G$6:$G$101,MOD(89+$C36+(2),$B$3)+1)*K36+INDEX(Symboles!$G$6:$G$101,MOD(89+$C36+(3),$B$3)+1)*L36+INDEX(Symboles!$G$6:$G$101,MOD(89+$C36+(4),$B$3)+1)*M36+IF($B$6=0,0,$B$6*NORMSINV(0.000001+0.999998*RAND())))</f>
        <v/>
      </c>
      <c r="DB36" s="30">
        <f>IF(91&gt;$B$3,99,INDEX(Symboles!$G$6:$G$101,MOD(90+$C36+(-4),$B$3)+1)*E36+INDEX(Symboles!$G$6:$G$101,MOD(90+$C36+(-3),$B$3)+1)*F36+INDEX(Symboles!$G$6:$G$101,MOD(90+$C36+(-2),$B$3)+1)*G36+INDEX(Symboles!$G$6:$G$101,MOD(90+$C36+(-1),$B$3)+1)*H36+INDEX(Symboles!$G$6:$G$101,MOD(90+$C36+(0),$B$3)+1)*I36+INDEX(Symboles!$G$6:$G$101,MOD(90+$C36+(1),$B$3)+1)*J36+INDEX(Symboles!$G$6:$G$101,MOD(90+$C36+(2),$B$3)+1)*K36+INDEX(Symboles!$G$6:$G$101,MOD(90+$C36+(3),$B$3)+1)*L36+INDEX(Symboles!$G$6:$G$101,MOD(90+$C36+(4),$B$3)+1)*M36+IF($B$6=0,0,$B$6*NORMSINV(0.000001+0.999998*RAND())))</f>
        <v/>
      </c>
      <c r="DC36" s="30">
        <f>IF(92&gt;$B$3,99,INDEX(Symboles!$G$6:$G$101,MOD(91+$C36+(-4),$B$3)+1)*E36+INDEX(Symboles!$G$6:$G$101,MOD(91+$C36+(-3),$B$3)+1)*F36+INDEX(Symboles!$G$6:$G$101,MOD(91+$C36+(-2),$B$3)+1)*G36+INDEX(Symboles!$G$6:$G$101,MOD(91+$C36+(-1),$B$3)+1)*H36+INDEX(Symboles!$G$6:$G$101,MOD(91+$C36+(0),$B$3)+1)*I36+INDEX(Symboles!$G$6:$G$101,MOD(91+$C36+(1),$B$3)+1)*J36+INDEX(Symboles!$G$6:$G$101,MOD(91+$C36+(2),$B$3)+1)*K36+INDEX(Symboles!$G$6:$G$101,MOD(91+$C36+(3),$B$3)+1)*L36+INDEX(Symboles!$G$6:$G$101,MOD(91+$C36+(4),$B$3)+1)*M36+IF($B$6=0,0,$B$6*NORMSINV(0.000001+0.999998*RAND())))</f>
        <v/>
      </c>
      <c r="DD36" s="30">
        <f>IF(93&gt;$B$3,99,INDEX(Symboles!$G$6:$G$101,MOD(92+$C36+(-4),$B$3)+1)*E36+INDEX(Symboles!$G$6:$G$101,MOD(92+$C36+(-3),$B$3)+1)*F36+INDEX(Symboles!$G$6:$G$101,MOD(92+$C36+(-2),$B$3)+1)*G36+INDEX(Symboles!$G$6:$G$101,MOD(92+$C36+(-1),$B$3)+1)*H36+INDEX(Symboles!$G$6:$G$101,MOD(92+$C36+(0),$B$3)+1)*I36+INDEX(Symboles!$G$6:$G$101,MOD(92+$C36+(1),$B$3)+1)*J36+INDEX(Symboles!$G$6:$G$101,MOD(92+$C36+(2),$B$3)+1)*K36+INDEX(Symboles!$G$6:$G$101,MOD(92+$C36+(3),$B$3)+1)*L36+INDEX(Symboles!$G$6:$G$101,MOD(92+$C36+(4),$B$3)+1)*M36+IF($B$6=0,0,$B$6*NORMSINV(0.000001+0.999998*RAND())))</f>
        <v/>
      </c>
      <c r="DE36" s="30">
        <f>IF(94&gt;$B$3,99,INDEX(Symboles!$G$6:$G$101,MOD(93+$C36+(-4),$B$3)+1)*E36+INDEX(Symboles!$G$6:$G$101,MOD(93+$C36+(-3),$B$3)+1)*F36+INDEX(Symboles!$G$6:$G$101,MOD(93+$C36+(-2),$B$3)+1)*G36+INDEX(Symboles!$G$6:$G$101,MOD(93+$C36+(-1),$B$3)+1)*H36+INDEX(Symboles!$G$6:$G$101,MOD(93+$C36+(0),$B$3)+1)*I36+INDEX(Symboles!$G$6:$G$101,MOD(93+$C36+(1),$B$3)+1)*J36+INDEX(Symboles!$G$6:$G$101,MOD(93+$C36+(2),$B$3)+1)*K36+INDEX(Symboles!$G$6:$G$101,MOD(93+$C36+(3),$B$3)+1)*L36+INDEX(Symboles!$G$6:$G$101,MOD(93+$C36+(4),$B$3)+1)*M36+IF($B$6=0,0,$B$6*NORMSINV(0.000001+0.999998*RAND())))</f>
        <v/>
      </c>
      <c r="DF36" s="30">
        <f>IF(95&gt;$B$3,99,INDEX(Symboles!$G$6:$G$101,MOD(94+$C36+(-4),$B$3)+1)*E36+INDEX(Symboles!$G$6:$G$101,MOD(94+$C36+(-3),$B$3)+1)*F36+INDEX(Symboles!$G$6:$G$101,MOD(94+$C36+(-2),$B$3)+1)*G36+INDEX(Symboles!$G$6:$G$101,MOD(94+$C36+(-1),$B$3)+1)*H36+INDEX(Symboles!$G$6:$G$101,MOD(94+$C36+(0),$B$3)+1)*I36+INDEX(Symboles!$G$6:$G$101,MOD(94+$C36+(1),$B$3)+1)*J36+INDEX(Symboles!$G$6:$G$101,MOD(94+$C36+(2),$B$3)+1)*K36+INDEX(Symboles!$G$6:$G$101,MOD(94+$C36+(3),$B$3)+1)*L36+INDEX(Symboles!$G$6:$G$101,MOD(94+$C36+(4),$B$3)+1)*M36+IF($B$6=0,0,$B$6*NORMSINV(0.000001+0.999998*RAND())))</f>
        <v/>
      </c>
      <c r="DG36" s="30">
        <f>IF(96&gt;$B$3,99,INDEX(Symboles!$G$6:$G$101,MOD(95+$C36+(-4),$B$3)+1)*E36+INDEX(Symboles!$G$6:$G$101,MOD(95+$C36+(-3),$B$3)+1)*F36+INDEX(Symboles!$G$6:$G$101,MOD(95+$C36+(-2),$B$3)+1)*G36+INDEX(Symboles!$G$6:$G$101,MOD(95+$C36+(-1),$B$3)+1)*H36+INDEX(Symboles!$G$6:$G$101,MOD(95+$C36+(0),$B$3)+1)*I36+INDEX(Symboles!$G$6:$G$101,MOD(95+$C36+(1),$B$3)+1)*J36+INDEX(Symboles!$G$6:$G$101,MOD(95+$C36+(2),$B$3)+1)*K36+INDEX(Symboles!$G$6:$G$101,MOD(95+$C36+(3),$B$3)+1)*L36+INDEX(Symboles!$G$6:$G$101,MOD(95+$C36+(4),$B$3)+1)*M36+IF($B$6=0,0,$B$6*NORMSINV(0.000001+0.999998*RAND())))</f>
        <v/>
      </c>
      <c r="DI36" s="30">
        <f>IF(1&gt;$B$3,99,INDEX(Symboles!$H$6:$H$101,MOD(0+$C36+(-4),$B$3)+1)*E36+INDEX(Symboles!$H$6:$H$101,MOD(0+$C36+(-3),$B$3)+1)*F36+INDEX(Symboles!$H$6:$H$101,MOD(0+$C36+(-2),$B$3)+1)*G36+INDEX(Symboles!$H$6:$H$101,MOD(0+$C36+(-1),$B$3)+1)*H36+INDEX(Symboles!$H$6:$H$101,MOD(0+$C36+(0),$B$3)+1)*I36+INDEX(Symboles!$H$6:$H$101,MOD(0+$C36+(1),$B$3)+1)*J36+INDEX(Symboles!$H$6:$H$101,MOD(0+$C36+(2),$B$3)+1)*K36+INDEX(Symboles!$H$6:$H$101,MOD(0+$C36+(3),$B$3)+1)*L36+INDEX(Symboles!$H$6:$H$101,MOD(0+$C36+(4),$B$3)+1)*M36+IF($B$6=0,0,$B$6*NORMSINV(0.000001+0.999998*RAND())))</f>
        <v/>
      </c>
      <c r="DJ36" s="30">
        <f>IF(2&gt;$B$3,99,INDEX(Symboles!$H$6:$H$101,MOD(1+$C36+(-4),$B$3)+1)*E36+INDEX(Symboles!$H$6:$H$101,MOD(1+$C36+(-3),$B$3)+1)*F36+INDEX(Symboles!$H$6:$H$101,MOD(1+$C36+(-2),$B$3)+1)*G36+INDEX(Symboles!$H$6:$H$101,MOD(1+$C36+(-1),$B$3)+1)*H36+INDEX(Symboles!$H$6:$H$101,MOD(1+$C36+(0),$B$3)+1)*I36+INDEX(Symboles!$H$6:$H$101,MOD(1+$C36+(1),$B$3)+1)*J36+INDEX(Symboles!$H$6:$H$101,MOD(1+$C36+(2),$B$3)+1)*K36+INDEX(Symboles!$H$6:$H$101,MOD(1+$C36+(3),$B$3)+1)*L36+INDEX(Symboles!$H$6:$H$101,MOD(1+$C36+(4),$B$3)+1)*M36+IF($B$6=0,0,$B$6*NORMSINV(0.000001+0.999998*RAND())))</f>
        <v/>
      </c>
      <c r="DK36" s="30">
        <f>IF(3&gt;$B$3,99,INDEX(Symboles!$H$6:$H$101,MOD(2+$C36+(-4),$B$3)+1)*E36+INDEX(Symboles!$H$6:$H$101,MOD(2+$C36+(-3),$B$3)+1)*F36+INDEX(Symboles!$H$6:$H$101,MOD(2+$C36+(-2),$B$3)+1)*G36+INDEX(Symboles!$H$6:$H$101,MOD(2+$C36+(-1),$B$3)+1)*H36+INDEX(Symboles!$H$6:$H$101,MOD(2+$C36+(0),$B$3)+1)*I36+INDEX(Symboles!$H$6:$H$101,MOD(2+$C36+(1),$B$3)+1)*J36+INDEX(Symboles!$H$6:$H$101,MOD(2+$C36+(2),$B$3)+1)*K36+INDEX(Symboles!$H$6:$H$101,MOD(2+$C36+(3),$B$3)+1)*L36+INDEX(Symboles!$H$6:$H$101,MOD(2+$C36+(4),$B$3)+1)*M36+IF($B$6=0,0,$B$6*NORMSINV(0.000001+0.999998*RAND())))</f>
        <v/>
      </c>
      <c r="DL36" s="30">
        <f>IF(4&gt;$B$3,99,INDEX(Symboles!$H$6:$H$101,MOD(3+$C36+(-4),$B$3)+1)*E36+INDEX(Symboles!$H$6:$H$101,MOD(3+$C36+(-3),$B$3)+1)*F36+INDEX(Symboles!$H$6:$H$101,MOD(3+$C36+(-2),$B$3)+1)*G36+INDEX(Symboles!$H$6:$H$101,MOD(3+$C36+(-1),$B$3)+1)*H36+INDEX(Symboles!$H$6:$H$101,MOD(3+$C36+(0),$B$3)+1)*I36+INDEX(Symboles!$H$6:$H$101,MOD(3+$C36+(1),$B$3)+1)*J36+INDEX(Symboles!$H$6:$H$101,MOD(3+$C36+(2),$B$3)+1)*K36+INDEX(Symboles!$H$6:$H$101,MOD(3+$C36+(3),$B$3)+1)*L36+INDEX(Symboles!$H$6:$H$101,MOD(3+$C36+(4),$B$3)+1)*M36+IF($B$6=0,0,$B$6*NORMSINV(0.000001+0.999998*RAND())))</f>
        <v/>
      </c>
      <c r="DM36" s="30">
        <f>IF(5&gt;$B$3,99,INDEX(Symboles!$H$6:$H$101,MOD(4+$C36+(-4),$B$3)+1)*E36+INDEX(Symboles!$H$6:$H$101,MOD(4+$C36+(-3),$B$3)+1)*F36+INDEX(Symboles!$H$6:$H$101,MOD(4+$C36+(-2),$B$3)+1)*G36+INDEX(Symboles!$H$6:$H$101,MOD(4+$C36+(-1),$B$3)+1)*H36+INDEX(Symboles!$H$6:$H$101,MOD(4+$C36+(0),$B$3)+1)*I36+INDEX(Symboles!$H$6:$H$101,MOD(4+$C36+(1),$B$3)+1)*J36+INDEX(Symboles!$H$6:$H$101,MOD(4+$C36+(2),$B$3)+1)*K36+INDEX(Symboles!$H$6:$H$101,MOD(4+$C36+(3),$B$3)+1)*L36+INDEX(Symboles!$H$6:$H$101,MOD(4+$C36+(4),$B$3)+1)*M36+IF($B$6=0,0,$B$6*NORMSINV(0.000001+0.999998*RAND())))</f>
        <v/>
      </c>
      <c r="DN36" s="30">
        <f>IF(6&gt;$B$3,99,INDEX(Symboles!$H$6:$H$101,MOD(5+$C36+(-4),$B$3)+1)*E36+INDEX(Symboles!$H$6:$H$101,MOD(5+$C36+(-3),$B$3)+1)*F36+INDEX(Symboles!$H$6:$H$101,MOD(5+$C36+(-2),$B$3)+1)*G36+INDEX(Symboles!$H$6:$H$101,MOD(5+$C36+(-1),$B$3)+1)*H36+INDEX(Symboles!$H$6:$H$101,MOD(5+$C36+(0),$B$3)+1)*I36+INDEX(Symboles!$H$6:$H$101,MOD(5+$C36+(1),$B$3)+1)*J36+INDEX(Symboles!$H$6:$H$101,MOD(5+$C36+(2),$B$3)+1)*K36+INDEX(Symboles!$H$6:$H$101,MOD(5+$C36+(3),$B$3)+1)*L36+INDEX(Symboles!$H$6:$H$101,MOD(5+$C36+(4),$B$3)+1)*M36+IF($B$6=0,0,$B$6*NORMSINV(0.000001+0.999998*RAND())))</f>
        <v/>
      </c>
      <c r="DO36" s="30">
        <f>IF(7&gt;$B$3,99,INDEX(Symboles!$H$6:$H$101,MOD(6+$C36+(-4),$B$3)+1)*E36+INDEX(Symboles!$H$6:$H$101,MOD(6+$C36+(-3),$B$3)+1)*F36+INDEX(Symboles!$H$6:$H$101,MOD(6+$C36+(-2),$B$3)+1)*G36+INDEX(Symboles!$H$6:$H$101,MOD(6+$C36+(-1),$B$3)+1)*H36+INDEX(Symboles!$H$6:$H$101,MOD(6+$C36+(0),$B$3)+1)*I36+INDEX(Symboles!$H$6:$H$101,MOD(6+$C36+(1),$B$3)+1)*J36+INDEX(Symboles!$H$6:$H$101,MOD(6+$C36+(2),$B$3)+1)*K36+INDEX(Symboles!$H$6:$H$101,MOD(6+$C36+(3),$B$3)+1)*L36+INDEX(Symboles!$H$6:$H$101,MOD(6+$C36+(4),$B$3)+1)*M36+IF($B$6=0,0,$B$6*NORMSINV(0.000001+0.999998*RAND())))</f>
        <v/>
      </c>
      <c r="DP36" s="30">
        <f>IF(8&gt;$B$3,99,INDEX(Symboles!$H$6:$H$101,MOD(7+$C36+(-4),$B$3)+1)*E36+INDEX(Symboles!$H$6:$H$101,MOD(7+$C36+(-3),$B$3)+1)*F36+INDEX(Symboles!$H$6:$H$101,MOD(7+$C36+(-2),$B$3)+1)*G36+INDEX(Symboles!$H$6:$H$101,MOD(7+$C36+(-1),$B$3)+1)*H36+INDEX(Symboles!$H$6:$H$101,MOD(7+$C36+(0),$B$3)+1)*I36+INDEX(Symboles!$H$6:$H$101,MOD(7+$C36+(1),$B$3)+1)*J36+INDEX(Symboles!$H$6:$H$101,MOD(7+$C36+(2),$B$3)+1)*K36+INDEX(Symboles!$H$6:$H$101,MOD(7+$C36+(3),$B$3)+1)*L36+INDEX(Symboles!$H$6:$H$101,MOD(7+$C36+(4),$B$3)+1)*M36+IF($B$6=0,0,$B$6*NORMSINV(0.000001+0.999998*RAND())))</f>
        <v/>
      </c>
      <c r="DQ36" s="30">
        <f>IF(9&gt;$B$3,99,INDEX(Symboles!$H$6:$H$101,MOD(8+$C36+(-4),$B$3)+1)*E36+INDEX(Symboles!$H$6:$H$101,MOD(8+$C36+(-3),$B$3)+1)*F36+INDEX(Symboles!$H$6:$H$101,MOD(8+$C36+(-2),$B$3)+1)*G36+INDEX(Symboles!$H$6:$H$101,MOD(8+$C36+(-1),$B$3)+1)*H36+INDEX(Symboles!$H$6:$H$101,MOD(8+$C36+(0),$B$3)+1)*I36+INDEX(Symboles!$H$6:$H$101,MOD(8+$C36+(1),$B$3)+1)*J36+INDEX(Symboles!$H$6:$H$101,MOD(8+$C36+(2),$B$3)+1)*K36+INDEX(Symboles!$H$6:$H$101,MOD(8+$C36+(3),$B$3)+1)*L36+INDEX(Symboles!$H$6:$H$101,MOD(8+$C36+(4),$B$3)+1)*M36+IF($B$6=0,0,$B$6*NORMSINV(0.000001+0.999998*RAND())))</f>
        <v/>
      </c>
      <c r="DR36" s="30">
        <f>IF(10&gt;$B$3,99,INDEX(Symboles!$H$6:$H$101,MOD(9+$C36+(-4),$B$3)+1)*E36+INDEX(Symboles!$H$6:$H$101,MOD(9+$C36+(-3),$B$3)+1)*F36+INDEX(Symboles!$H$6:$H$101,MOD(9+$C36+(-2),$B$3)+1)*G36+INDEX(Symboles!$H$6:$H$101,MOD(9+$C36+(-1),$B$3)+1)*H36+INDEX(Symboles!$H$6:$H$101,MOD(9+$C36+(0),$B$3)+1)*I36+INDEX(Symboles!$H$6:$H$101,MOD(9+$C36+(1),$B$3)+1)*J36+INDEX(Symboles!$H$6:$H$101,MOD(9+$C36+(2),$B$3)+1)*K36+INDEX(Symboles!$H$6:$H$101,MOD(9+$C36+(3),$B$3)+1)*L36+INDEX(Symboles!$H$6:$H$101,MOD(9+$C36+(4),$B$3)+1)*M36+IF($B$6=0,0,$B$6*NORMSINV(0.000001+0.999998*RAND())))</f>
        <v/>
      </c>
      <c r="DS36" s="30">
        <f>IF(11&gt;$B$3,99,INDEX(Symboles!$H$6:$H$101,MOD(10+$C36+(-4),$B$3)+1)*E36+INDEX(Symboles!$H$6:$H$101,MOD(10+$C36+(-3),$B$3)+1)*F36+INDEX(Symboles!$H$6:$H$101,MOD(10+$C36+(-2),$B$3)+1)*G36+INDEX(Symboles!$H$6:$H$101,MOD(10+$C36+(-1),$B$3)+1)*H36+INDEX(Symboles!$H$6:$H$101,MOD(10+$C36+(0),$B$3)+1)*I36+INDEX(Symboles!$H$6:$H$101,MOD(10+$C36+(1),$B$3)+1)*J36+INDEX(Symboles!$H$6:$H$101,MOD(10+$C36+(2),$B$3)+1)*K36+INDEX(Symboles!$H$6:$H$101,MOD(10+$C36+(3),$B$3)+1)*L36+INDEX(Symboles!$H$6:$H$101,MOD(10+$C36+(4),$B$3)+1)*M36+IF($B$6=0,0,$B$6*NORMSINV(0.000001+0.999998*RAND())))</f>
        <v/>
      </c>
      <c r="DT36" s="30">
        <f>IF(12&gt;$B$3,99,INDEX(Symboles!$H$6:$H$101,MOD(11+$C36+(-4),$B$3)+1)*E36+INDEX(Symboles!$H$6:$H$101,MOD(11+$C36+(-3),$B$3)+1)*F36+INDEX(Symboles!$H$6:$H$101,MOD(11+$C36+(-2),$B$3)+1)*G36+INDEX(Symboles!$H$6:$H$101,MOD(11+$C36+(-1),$B$3)+1)*H36+INDEX(Symboles!$H$6:$H$101,MOD(11+$C36+(0),$B$3)+1)*I36+INDEX(Symboles!$H$6:$H$101,MOD(11+$C36+(1),$B$3)+1)*J36+INDEX(Symboles!$H$6:$H$101,MOD(11+$C36+(2),$B$3)+1)*K36+INDEX(Symboles!$H$6:$H$101,MOD(11+$C36+(3),$B$3)+1)*L36+INDEX(Symboles!$H$6:$H$101,MOD(11+$C36+(4),$B$3)+1)*M36+IF($B$6=0,0,$B$6*NORMSINV(0.000001+0.999998*RAND())))</f>
        <v/>
      </c>
      <c r="DU36" s="30">
        <f>IF(13&gt;$B$3,99,INDEX(Symboles!$H$6:$H$101,MOD(12+$C36+(-4),$B$3)+1)*E36+INDEX(Symboles!$H$6:$H$101,MOD(12+$C36+(-3),$B$3)+1)*F36+INDEX(Symboles!$H$6:$H$101,MOD(12+$C36+(-2),$B$3)+1)*G36+INDEX(Symboles!$H$6:$H$101,MOD(12+$C36+(-1),$B$3)+1)*H36+INDEX(Symboles!$H$6:$H$101,MOD(12+$C36+(0),$B$3)+1)*I36+INDEX(Symboles!$H$6:$H$101,MOD(12+$C36+(1),$B$3)+1)*J36+INDEX(Symboles!$H$6:$H$101,MOD(12+$C36+(2),$B$3)+1)*K36+INDEX(Symboles!$H$6:$H$101,MOD(12+$C36+(3),$B$3)+1)*L36+INDEX(Symboles!$H$6:$H$101,MOD(12+$C36+(4),$B$3)+1)*M36+IF($B$6=0,0,$B$6*NORMSINV(0.000001+0.999998*RAND())))</f>
        <v/>
      </c>
      <c r="DV36" s="30">
        <f>IF(14&gt;$B$3,99,INDEX(Symboles!$H$6:$H$101,MOD(13+$C36+(-4),$B$3)+1)*E36+INDEX(Symboles!$H$6:$H$101,MOD(13+$C36+(-3),$B$3)+1)*F36+INDEX(Symboles!$H$6:$H$101,MOD(13+$C36+(-2),$B$3)+1)*G36+INDEX(Symboles!$H$6:$H$101,MOD(13+$C36+(-1),$B$3)+1)*H36+INDEX(Symboles!$H$6:$H$101,MOD(13+$C36+(0),$B$3)+1)*I36+INDEX(Symboles!$H$6:$H$101,MOD(13+$C36+(1),$B$3)+1)*J36+INDEX(Symboles!$H$6:$H$101,MOD(13+$C36+(2),$B$3)+1)*K36+INDEX(Symboles!$H$6:$H$101,MOD(13+$C36+(3),$B$3)+1)*L36+INDEX(Symboles!$H$6:$H$101,MOD(13+$C36+(4),$B$3)+1)*M36+IF($B$6=0,0,$B$6*NORMSINV(0.000001+0.999998*RAND())))</f>
        <v/>
      </c>
      <c r="DW36" s="30">
        <f>IF(15&gt;$B$3,99,INDEX(Symboles!$H$6:$H$101,MOD(14+$C36+(-4),$B$3)+1)*E36+INDEX(Symboles!$H$6:$H$101,MOD(14+$C36+(-3),$B$3)+1)*F36+INDEX(Symboles!$H$6:$H$101,MOD(14+$C36+(-2),$B$3)+1)*G36+INDEX(Symboles!$H$6:$H$101,MOD(14+$C36+(-1),$B$3)+1)*H36+INDEX(Symboles!$H$6:$H$101,MOD(14+$C36+(0),$B$3)+1)*I36+INDEX(Symboles!$H$6:$H$101,MOD(14+$C36+(1),$B$3)+1)*J36+INDEX(Symboles!$H$6:$H$101,MOD(14+$C36+(2),$B$3)+1)*K36+INDEX(Symboles!$H$6:$H$101,MOD(14+$C36+(3),$B$3)+1)*L36+INDEX(Symboles!$H$6:$H$101,MOD(14+$C36+(4),$B$3)+1)*M36+IF($B$6=0,0,$B$6*NORMSINV(0.000001+0.999998*RAND())))</f>
        <v/>
      </c>
      <c r="DX36" s="30">
        <f>IF(16&gt;$B$3,99,INDEX(Symboles!$H$6:$H$101,MOD(15+$C36+(-4),$B$3)+1)*E36+INDEX(Symboles!$H$6:$H$101,MOD(15+$C36+(-3),$B$3)+1)*F36+INDEX(Symboles!$H$6:$H$101,MOD(15+$C36+(-2),$B$3)+1)*G36+INDEX(Symboles!$H$6:$H$101,MOD(15+$C36+(-1),$B$3)+1)*H36+INDEX(Symboles!$H$6:$H$101,MOD(15+$C36+(0),$B$3)+1)*I36+INDEX(Symboles!$H$6:$H$101,MOD(15+$C36+(1),$B$3)+1)*J36+INDEX(Symboles!$H$6:$H$101,MOD(15+$C36+(2),$B$3)+1)*K36+INDEX(Symboles!$H$6:$H$101,MOD(15+$C36+(3),$B$3)+1)*L36+INDEX(Symboles!$H$6:$H$101,MOD(15+$C36+(4),$B$3)+1)*M36+IF($B$6=0,0,$B$6*NORMSINV(0.000001+0.999998*RAND())))</f>
        <v/>
      </c>
      <c r="DY36" s="30">
        <f>IF(17&gt;$B$3,99,INDEX(Symboles!$H$6:$H$101,MOD(16+$C36+(-4),$B$3)+1)*E36+INDEX(Symboles!$H$6:$H$101,MOD(16+$C36+(-3),$B$3)+1)*F36+INDEX(Symboles!$H$6:$H$101,MOD(16+$C36+(-2),$B$3)+1)*G36+INDEX(Symboles!$H$6:$H$101,MOD(16+$C36+(-1),$B$3)+1)*H36+INDEX(Symboles!$H$6:$H$101,MOD(16+$C36+(0),$B$3)+1)*I36+INDEX(Symboles!$H$6:$H$101,MOD(16+$C36+(1),$B$3)+1)*J36+INDEX(Symboles!$H$6:$H$101,MOD(16+$C36+(2),$B$3)+1)*K36+INDEX(Symboles!$H$6:$H$101,MOD(16+$C36+(3),$B$3)+1)*L36+INDEX(Symboles!$H$6:$H$101,MOD(16+$C36+(4),$B$3)+1)*M36+IF($B$6=0,0,$B$6*NORMSINV(0.000001+0.999998*RAND())))</f>
        <v/>
      </c>
      <c r="DZ36" s="30">
        <f>IF(18&gt;$B$3,99,INDEX(Symboles!$H$6:$H$101,MOD(17+$C36+(-4),$B$3)+1)*E36+INDEX(Symboles!$H$6:$H$101,MOD(17+$C36+(-3),$B$3)+1)*F36+INDEX(Symboles!$H$6:$H$101,MOD(17+$C36+(-2),$B$3)+1)*G36+INDEX(Symboles!$H$6:$H$101,MOD(17+$C36+(-1),$B$3)+1)*H36+INDEX(Symboles!$H$6:$H$101,MOD(17+$C36+(0),$B$3)+1)*I36+INDEX(Symboles!$H$6:$H$101,MOD(17+$C36+(1),$B$3)+1)*J36+INDEX(Symboles!$H$6:$H$101,MOD(17+$C36+(2),$B$3)+1)*K36+INDEX(Symboles!$H$6:$H$101,MOD(17+$C36+(3),$B$3)+1)*L36+INDEX(Symboles!$H$6:$H$101,MOD(17+$C36+(4),$B$3)+1)*M36+IF($B$6=0,0,$B$6*NORMSINV(0.000001+0.999998*RAND())))</f>
        <v/>
      </c>
      <c r="EA36" s="30">
        <f>IF(19&gt;$B$3,99,INDEX(Symboles!$H$6:$H$101,MOD(18+$C36+(-4),$B$3)+1)*E36+INDEX(Symboles!$H$6:$H$101,MOD(18+$C36+(-3),$B$3)+1)*F36+INDEX(Symboles!$H$6:$H$101,MOD(18+$C36+(-2),$B$3)+1)*G36+INDEX(Symboles!$H$6:$H$101,MOD(18+$C36+(-1),$B$3)+1)*H36+INDEX(Symboles!$H$6:$H$101,MOD(18+$C36+(0),$B$3)+1)*I36+INDEX(Symboles!$H$6:$H$101,MOD(18+$C36+(1),$B$3)+1)*J36+INDEX(Symboles!$H$6:$H$101,MOD(18+$C36+(2),$B$3)+1)*K36+INDEX(Symboles!$H$6:$H$101,MOD(18+$C36+(3),$B$3)+1)*L36+INDEX(Symboles!$H$6:$H$101,MOD(18+$C36+(4),$B$3)+1)*M36+IF($B$6=0,0,$B$6*NORMSINV(0.000001+0.999998*RAND())))</f>
        <v/>
      </c>
      <c r="EB36" s="30">
        <f>IF(20&gt;$B$3,99,INDEX(Symboles!$H$6:$H$101,MOD(19+$C36+(-4),$B$3)+1)*E36+INDEX(Symboles!$H$6:$H$101,MOD(19+$C36+(-3),$B$3)+1)*F36+INDEX(Symboles!$H$6:$H$101,MOD(19+$C36+(-2),$B$3)+1)*G36+INDEX(Symboles!$H$6:$H$101,MOD(19+$C36+(-1),$B$3)+1)*H36+INDEX(Symboles!$H$6:$H$101,MOD(19+$C36+(0),$B$3)+1)*I36+INDEX(Symboles!$H$6:$H$101,MOD(19+$C36+(1),$B$3)+1)*J36+INDEX(Symboles!$H$6:$H$101,MOD(19+$C36+(2),$B$3)+1)*K36+INDEX(Symboles!$H$6:$H$101,MOD(19+$C36+(3),$B$3)+1)*L36+INDEX(Symboles!$H$6:$H$101,MOD(19+$C36+(4),$B$3)+1)*M36+IF($B$6=0,0,$B$6*NORMSINV(0.000001+0.999998*RAND())))</f>
        <v/>
      </c>
      <c r="EC36" s="30">
        <f>IF(21&gt;$B$3,99,INDEX(Symboles!$H$6:$H$101,MOD(20+$C36+(-4),$B$3)+1)*E36+INDEX(Symboles!$H$6:$H$101,MOD(20+$C36+(-3),$B$3)+1)*F36+INDEX(Symboles!$H$6:$H$101,MOD(20+$C36+(-2),$B$3)+1)*G36+INDEX(Symboles!$H$6:$H$101,MOD(20+$C36+(-1),$B$3)+1)*H36+INDEX(Symboles!$H$6:$H$101,MOD(20+$C36+(0),$B$3)+1)*I36+INDEX(Symboles!$H$6:$H$101,MOD(20+$C36+(1),$B$3)+1)*J36+INDEX(Symboles!$H$6:$H$101,MOD(20+$C36+(2),$B$3)+1)*K36+INDEX(Symboles!$H$6:$H$101,MOD(20+$C36+(3),$B$3)+1)*L36+INDEX(Symboles!$H$6:$H$101,MOD(20+$C36+(4),$B$3)+1)*M36+IF($B$6=0,0,$B$6*NORMSINV(0.000001+0.999998*RAND())))</f>
        <v/>
      </c>
      <c r="ED36" s="30">
        <f>IF(22&gt;$B$3,99,INDEX(Symboles!$H$6:$H$101,MOD(21+$C36+(-4),$B$3)+1)*E36+INDEX(Symboles!$H$6:$H$101,MOD(21+$C36+(-3),$B$3)+1)*F36+INDEX(Symboles!$H$6:$H$101,MOD(21+$C36+(-2),$B$3)+1)*G36+INDEX(Symboles!$H$6:$H$101,MOD(21+$C36+(-1),$B$3)+1)*H36+INDEX(Symboles!$H$6:$H$101,MOD(21+$C36+(0),$B$3)+1)*I36+INDEX(Symboles!$H$6:$H$101,MOD(21+$C36+(1),$B$3)+1)*J36+INDEX(Symboles!$H$6:$H$101,MOD(21+$C36+(2),$B$3)+1)*K36+INDEX(Symboles!$H$6:$H$101,MOD(21+$C36+(3),$B$3)+1)*L36+INDEX(Symboles!$H$6:$H$101,MOD(21+$C36+(4),$B$3)+1)*M36+IF($B$6=0,0,$B$6*NORMSINV(0.000001+0.999998*RAND())))</f>
        <v/>
      </c>
      <c r="EE36" s="30">
        <f>IF(23&gt;$B$3,99,INDEX(Symboles!$H$6:$H$101,MOD(22+$C36+(-4),$B$3)+1)*E36+INDEX(Symboles!$H$6:$H$101,MOD(22+$C36+(-3),$B$3)+1)*F36+INDEX(Symboles!$H$6:$H$101,MOD(22+$C36+(-2),$B$3)+1)*G36+INDEX(Symboles!$H$6:$H$101,MOD(22+$C36+(-1),$B$3)+1)*H36+INDEX(Symboles!$H$6:$H$101,MOD(22+$C36+(0),$B$3)+1)*I36+INDEX(Symboles!$H$6:$H$101,MOD(22+$C36+(1),$B$3)+1)*J36+INDEX(Symboles!$H$6:$H$101,MOD(22+$C36+(2),$B$3)+1)*K36+INDEX(Symboles!$H$6:$H$101,MOD(22+$C36+(3),$B$3)+1)*L36+INDEX(Symboles!$H$6:$H$101,MOD(22+$C36+(4),$B$3)+1)*M36+IF($B$6=0,0,$B$6*NORMSINV(0.000001+0.999998*RAND())))</f>
        <v/>
      </c>
      <c r="EF36" s="30">
        <f>IF(24&gt;$B$3,99,INDEX(Symboles!$H$6:$H$101,MOD(23+$C36+(-4),$B$3)+1)*E36+INDEX(Symboles!$H$6:$H$101,MOD(23+$C36+(-3),$B$3)+1)*F36+INDEX(Symboles!$H$6:$H$101,MOD(23+$C36+(-2),$B$3)+1)*G36+INDEX(Symboles!$H$6:$H$101,MOD(23+$C36+(-1),$B$3)+1)*H36+INDEX(Symboles!$H$6:$H$101,MOD(23+$C36+(0),$B$3)+1)*I36+INDEX(Symboles!$H$6:$H$101,MOD(23+$C36+(1),$B$3)+1)*J36+INDEX(Symboles!$H$6:$H$101,MOD(23+$C36+(2),$B$3)+1)*K36+INDEX(Symboles!$H$6:$H$101,MOD(23+$C36+(3),$B$3)+1)*L36+INDEX(Symboles!$H$6:$H$101,MOD(23+$C36+(4),$B$3)+1)*M36+IF($B$6=0,0,$B$6*NORMSINV(0.000001+0.999998*RAND())))</f>
        <v/>
      </c>
      <c r="EG36" s="30">
        <f>IF(25&gt;$B$3,99,INDEX(Symboles!$H$6:$H$101,MOD(24+$C36+(-4),$B$3)+1)*E36+INDEX(Symboles!$H$6:$H$101,MOD(24+$C36+(-3),$B$3)+1)*F36+INDEX(Symboles!$H$6:$H$101,MOD(24+$C36+(-2),$B$3)+1)*G36+INDEX(Symboles!$H$6:$H$101,MOD(24+$C36+(-1),$B$3)+1)*H36+INDEX(Symboles!$H$6:$H$101,MOD(24+$C36+(0),$B$3)+1)*I36+INDEX(Symboles!$H$6:$H$101,MOD(24+$C36+(1),$B$3)+1)*J36+INDEX(Symboles!$H$6:$H$101,MOD(24+$C36+(2),$B$3)+1)*K36+INDEX(Symboles!$H$6:$H$101,MOD(24+$C36+(3),$B$3)+1)*L36+INDEX(Symboles!$H$6:$H$101,MOD(24+$C36+(4),$B$3)+1)*M36+IF($B$6=0,0,$B$6*NORMSINV(0.000001+0.999998*RAND())))</f>
        <v/>
      </c>
      <c r="EH36" s="30">
        <f>IF(26&gt;$B$3,99,INDEX(Symboles!$H$6:$H$101,MOD(25+$C36+(-4),$B$3)+1)*E36+INDEX(Symboles!$H$6:$H$101,MOD(25+$C36+(-3),$B$3)+1)*F36+INDEX(Symboles!$H$6:$H$101,MOD(25+$C36+(-2),$B$3)+1)*G36+INDEX(Symboles!$H$6:$H$101,MOD(25+$C36+(-1),$B$3)+1)*H36+INDEX(Symboles!$H$6:$H$101,MOD(25+$C36+(0),$B$3)+1)*I36+INDEX(Symboles!$H$6:$H$101,MOD(25+$C36+(1),$B$3)+1)*J36+INDEX(Symboles!$H$6:$H$101,MOD(25+$C36+(2),$B$3)+1)*K36+INDEX(Symboles!$H$6:$H$101,MOD(25+$C36+(3),$B$3)+1)*L36+INDEX(Symboles!$H$6:$H$101,MOD(25+$C36+(4),$B$3)+1)*M36+IF($B$6=0,0,$B$6*NORMSINV(0.000001+0.999998*RAND())))</f>
        <v/>
      </c>
      <c r="EI36" s="30">
        <f>IF(27&gt;$B$3,99,INDEX(Symboles!$H$6:$H$101,MOD(26+$C36+(-4),$B$3)+1)*E36+INDEX(Symboles!$H$6:$H$101,MOD(26+$C36+(-3),$B$3)+1)*F36+INDEX(Symboles!$H$6:$H$101,MOD(26+$C36+(-2),$B$3)+1)*G36+INDEX(Symboles!$H$6:$H$101,MOD(26+$C36+(-1),$B$3)+1)*H36+INDEX(Symboles!$H$6:$H$101,MOD(26+$C36+(0),$B$3)+1)*I36+INDEX(Symboles!$H$6:$H$101,MOD(26+$C36+(1),$B$3)+1)*J36+INDEX(Symboles!$H$6:$H$101,MOD(26+$C36+(2),$B$3)+1)*K36+INDEX(Symboles!$H$6:$H$101,MOD(26+$C36+(3),$B$3)+1)*L36+INDEX(Symboles!$H$6:$H$101,MOD(26+$C36+(4),$B$3)+1)*M36+IF($B$6=0,0,$B$6*NORMSINV(0.000001+0.999998*RAND())))</f>
        <v/>
      </c>
      <c r="EJ36" s="30">
        <f>IF(28&gt;$B$3,99,INDEX(Symboles!$H$6:$H$101,MOD(27+$C36+(-4),$B$3)+1)*E36+INDEX(Symboles!$H$6:$H$101,MOD(27+$C36+(-3),$B$3)+1)*F36+INDEX(Symboles!$H$6:$H$101,MOD(27+$C36+(-2),$B$3)+1)*G36+INDEX(Symboles!$H$6:$H$101,MOD(27+$C36+(-1),$B$3)+1)*H36+INDEX(Symboles!$H$6:$H$101,MOD(27+$C36+(0),$B$3)+1)*I36+INDEX(Symboles!$H$6:$H$101,MOD(27+$C36+(1),$B$3)+1)*J36+INDEX(Symboles!$H$6:$H$101,MOD(27+$C36+(2),$B$3)+1)*K36+INDEX(Symboles!$H$6:$H$101,MOD(27+$C36+(3),$B$3)+1)*L36+INDEX(Symboles!$H$6:$H$101,MOD(27+$C36+(4),$B$3)+1)*M36+IF($B$6=0,0,$B$6*NORMSINV(0.000001+0.999998*RAND())))</f>
        <v/>
      </c>
      <c r="EK36" s="30">
        <f>IF(29&gt;$B$3,99,INDEX(Symboles!$H$6:$H$101,MOD(28+$C36+(-4),$B$3)+1)*E36+INDEX(Symboles!$H$6:$H$101,MOD(28+$C36+(-3),$B$3)+1)*F36+INDEX(Symboles!$H$6:$H$101,MOD(28+$C36+(-2),$B$3)+1)*G36+INDEX(Symboles!$H$6:$H$101,MOD(28+$C36+(-1),$B$3)+1)*H36+INDEX(Symboles!$H$6:$H$101,MOD(28+$C36+(0),$B$3)+1)*I36+INDEX(Symboles!$H$6:$H$101,MOD(28+$C36+(1),$B$3)+1)*J36+INDEX(Symboles!$H$6:$H$101,MOD(28+$C36+(2),$B$3)+1)*K36+INDEX(Symboles!$H$6:$H$101,MOD(28+$C36+(3),$B$3)+1)*L36+INDEX(Symboles!$H$6:$H$101,MOD(28+$C36+(4),$B$3)+1)*M36+IF($B$6=0,0,$B$6*NORMSINV(0.000001+0.999998*RAND())))</f>
        <v/>
      </c>
      <c r="EL36" s="30">
        <f>IF(30&gt;$B$3,99,INDEX(Symboles!$H$6:$H$101,MOD(29+$C36+(-4),$B$3)+1)*E36+INDEX(Symboles!$H$6:$H$101,MOD(29+$C36+(-3),$B$3)+1)*F36+INDEX(Symboles!$H$6:$H$101,MOD(29+$C36+(-2),$B$3)+1)*G36+INDEX(Symboles!$H$6:$H$101,MOD(29+$C36+(-1),$B$3)+1)*H36+INDEX(Symboles!$H$6:$H$101,MOD(29+$C36+(0),$B$3)+1)*I36+INDEX(Symboles!$H$6:$H$101,MOD(29+$C36+(1),$B$3)+1)*J36+INDEX(Symboles!$H$6:$H$101,MOD(29+$C36+(2),$B$3)+1)*K36+INDEX(Symboles!$H$6:$H$101,MOD(29+$C36+(3),$B$3)+1)*L36+INDEX(Symboles!$H$6:$H$101,MOD(29+$C36+(4),$B$3)+1)*M36+IF($B$6=0,0,$B$6*NORMSINV(0.000001+0.999998*RAND())))</f>
        <v/>
      </c>
      <c r="EM36" s="30">
        <f>IF(31&gt;$B$3,99,INDEX(Symboles!$H$6:$H$101,MOD(30+$C36+(-4),$B$3)+1)*E36+INDEX(Symboles!$H$6:$H$101,MOD(30+$C36+(-3),$B$3)+1)*F36+INDEX(Symboles!$H$6:$H$101,MOD(30+$C36+(-2),$B$3)+1)*G36+INDEX(Symboles!$H$6:$H$101,MOD(30+$C36+(-1),$B$3)+1)*H36+INDEX(Symboles!$H$6:$H$101,MOD(30+$C36+(0),$B$3)+1)*I36+INDEX(Symboles!$H$6:$H$101,MOD(30+$C36+(1),$B$3)+1)*J36+INDEX(Symboles!$H$6:$H$101,MOD(30+$C36+(2),$B$3)+1)*K36+INDEX(Symboles!$H$6:$H$101,MOD(30+$C36+(3),$B$3)+1)*L36+INDEX(Symboles!$H$6:$H$101,MOD(30+$C36+(4),$B$3)+1)*M36+IF($B$6=0,0,$B$6*NORMSINV(0.000001+0.999998*RAND())))</f>
        <v/>
      </c>
      <c r="EN36" s="30">
        <f>IF(32&gt;$B$3,99,INDEX(Symboles!$H$6:$H$101,MOD(31+$C36+(-4),$B$3)+1)*E36+INDEX(Symboles!$H$6:$H$101,MOD(31+$C36+(-3),$B$3)+1)*F36+INDEX(Symboles!$H$6:$H$101,MOD(31+$C36+(-2),$B$3)+1)*G36+INDEX(Symboles!$H$6:$H$101,MOD(31+$C36+(-1),$B$3)+1)*H36+INDEX(Symboles!$H$6:$H$101,MOD(31+$C36+(0),$B$3)+1)*I36+INDEX(Symboles!$H$6:$H$101,MOD(31+$C36+(1),$B$3)+1)*J36+INDEX(Symboles!$H$6:$H$101,MOD(31+$C36+(2),$B$3)+1)*K36+INDEX(Symboles!$H$6:$H$101,MOD(31+$C36+(3),$B$3)+1)*L36+INDEX(Symboles!$H$6:$H$101,MOD(31+$C36+(4),$B$3)+1)*M36+IF($B$6=0,0,$B$6*NORMSINV(0.000001+0.999998*RAND())))</f>
        <v/>
      </c>
      <c r="EO36" s="30">
        <f>IF(33&gt;$B$3,99,INDEX(Symboles!$H$6:$H$101,MOD(32+$C36+(-4),$B$3)+1)*E36+INDEX(Symboles!$H$6:$H$101,MOD(32+$C36+(-3),$B$3)+1)*F36+INDEX(Symboles!$H$6:$H$101,MOD(32+$C36+(-2),$B$3)+1)*G36+INDEX(Symboles!$H$6:$H$101,MOD(32+$C36+(-1),$B$3)+1)*H36+INDEX(Symboles!$H$6:$H$101,MOD(32+$C36+(0),$B$3)+1)*I36+INDEX(Symboles!$H$6:$H$101,MOD(32+$C36+(1),$B$3)+1)*J36+INDEX(Symboles!$H$6:$H$101,MOD(32+$C36+(2),$B$3)+1)*K36+INDEX(Symboles!$H$6:$H$101,MOD(32+$C36+(3),$B$3)+1)*L36+INDEX(Symboles!$H$6:$H$101,MOD(32+$C36+(4),$B$3)+1)*M36+IF($B$6=0,0,$B$6*NORMSINV(0.000001+0.999998*RAND())))</f>
        <v/>
      </c>
      <c r="EP36" s="30">
        <f>IF(34&gt;$B$3,99,INDEX(Symboles!$H$6:$H$101,MOD(33+$C36+(-4),$B$3)+1)*E36+INDEX(Symboles!$H$6:$H$101,MOD(33+$C36+(-3),$B$3)+1)*F36+INDEX(Symboles!$H$6:$H$101,MOD(33+$C36+(-2),$B$3)+1)*G36+INDEX(Symboles!$H$6:$H$101,MOD(33+$C36+(-1),$B$3)+1)*H36+INDEX(Symboles!$H$6:$H$101,MOD(33+$C36+(0),$B$3)+1)*I36+INDEX(Symboles!$H$6:$H$101,MOD(33+$C36+(1),$B$3)+1)*J36+INDEX(Symboles!$H$6:$H$101,MOD(33+$C36+(2),$B$3)+1)*K36+INDEX(Symboles!$H$6:$H$101,MOD(33+$C36+(3),$B$3)+1)*L36+INDEX(Symboles!$H$6:$H$101,MOD(33+$C36+(4),$B$3)+1)*M36+IF($B$6=0,0,$B$6*NORMSINV(0.000001+0.999998*RAND())))</f>
        <v/>
      </c>
      <c r="EQ36" s="30">
        <f>IF(35&gt;$B$3,99,INDEX(Symboles!$H$6:$H$101,MOD(34+$C36+(-4),$B$3)+1)*E36+INDEX(Symboles!$H$6:$H$101,MOD(34+$C36+(-3),$B$3)+1)*F36+INDEX(Symboles!$H$6:$H$101,MOD(34+$C36+(-2),$B$3)+1)*G36+INDEX(Symboles!$H$6:$H$101,MOD(34+$C36+(-1),$B$3)+1)*H36+INDEX(Symboles!$H$6:$H$101,MOD(34+$C36+(0),$B$3)+1)*I36+INDEX(Symboles!$H$6:$H$101,MOD(34+$C36+(1),$B$3)+1)*J36+INDEX(Symboles!$H$6:$H$101,MOD(34+$C36+(2),$B$3)+1)*K36+INDEX(Symboles!$H$6:$H$101,MOD(34+$C36+(3),$B$3)+1)*L36+INDEX(Symboles!$H$6:$H$101,MOD(34+$C36+(4),$B$3)+1)*M36+IF($B$6=0,0,$B$6*NORMSINV(0.000001+0.999998*RAND())))</f>
        <v/>
      </c>
      <c r="ER36" s="30">
        <f>IF(36&gt;$B$3,99,INDEX(Symboles!$H$6:$H$101,MOD(35+$C36+(-4),$B$3)+1)*E36+INDEX(Symboles!$H$6:$H$101,MOD(35+$C36+(-3),$B$3)+1)*F36+INDEX(Symboles!$H$6:$H$101,MOD(35+$C36+(-2),$B$3)+1)*G36+INDEX(Symboles!$H$6:$H$101,MOD(35+$C36+(-1),$B$3)+1)*H36+INDEX(Symboles!$H$6:$H$101,MOD(35+$C36+(0),$B$3)+1)*I36+INDEX(Symboles!$H$6:$H$101,MOD(35+$C36+(1),$B$3)+1)*J36+INDEX(Symboles!$H$6:$H$101,MOD(35+$C36+(2),$B$3)+1)*K36+INDEX(Symboles!$H$6:$H$101,MOD(35+$C36+(3),$B$3)+1)*L36+INDEX(Symboles!$H$6:$H$101,MOD(35+$C36+(4),$B$3)+1)*M36+IF($B$6=0,0,$B$6*NORMSINV(0.000001+0.999998*RAND())))</f>
        <v/>
      </c>
      <c r="ES36" s="30">
        <f>IF(37&gt;$B$3,99,INDEX(Symboles!$H$6:$H$101,MOD(36+$C36+(-4),$B$3)+1)*E36+INDEX(Symboles!$H$6:$H$101,MOD(36+$C36+(-3),$B$3)+1)*F36+INDEX(Symboles!$H$6:$H$101,MOD(36+$C36+(-2),$B$3)+1)*G36+INDEX(Symboles!$H$6:$H$101,MOD(36+$C36+(-1),$B$3)+1)*H36+INDEX(Symboles!$H$6:$H$101,MOD(36+$C36+(0),$B$3)+1)*I36+INDEX(Symboles!$H$6:$H$101,MOD(36+$C36+(1),$B$3)+1)*J36+INDEX(Symboles!$H$6:$H$101,MOD(36+$C36+(2),$B$3)+1)*K36+INDEX(Symboles!$H$6:$H$101,MOD(36+$C36+(3),$B$3)+1)*L36+INDEX(Symboles!$H$6:$H$101,MOD(36+$C36+(4),$B$3)+1)*M36+IF($B$6=0,0,$B$6*NORMSINV(0.000001+0.999998*RAND())))</f>
        <v/>
      </c>
      <c r="ET36" s="30">
        <f>IF(38&gt;$B$3,99,INDEX(Symboles!$H$6:$H$101,MOD(37+$C36+(-4),$B$3)+1)*E36+INDEX(Symboles!$H$6:$H$101,MOD(37+$C36+(-3),$B$3)+1)*F36+INDEX(Symboles!$H$6:$H$101,MOD(37+$C36+(-2),$B$3)+1)*G36+INDEX(Symboles!$H$6:$H$101,MOD(37+$C36+(-1),$B$3)+1)*H36+INDEX(Symboles!$H$6:$H$101,MOD(37+$C36+(0),$B$3)+1)*I36+INDEX(Symboles!$H$6:$H$101,MOD(37+$C36+(1),$B$3)+1)*J36+INDEX(Symboles!$H$6:$H$101,MOD(37+$C36+(2),$B$3)+1)*K36+INDEX(Symboles!$H$6:$H$101,MOD(37+$C36+(3),$B$3)+1)*L36+INDEX(Symboles!$H$6:$H$101,MOD(37+$C36+(4),$B$3)+1)*M36+IF($B$6=0,0,$B$6*NORMSINV(0.000001+0.999998*RAND())))</f>
        <v/>
      </c>
      <c r="EU36" s="30">
        <f>IF(39&gt;$B$3,99,INDEX(Symboles!$H$6:$H$101,MOD(38+$C36+(-4),$B$3)+1)*E36+INDEX(Symboles!$H$6:$H$101,MOD(38+$C36+(-3),$B$3)+1)*F36+INDEX(Symboles!$H$6:$H$101,MOD(38+$C36+(-2),$B$3)+1)*G36+INDEX(Symboles!$H$6:$H$101,MOD(38+$C36+(-1),$B$3)+1)*H36+INDEX(Symboles!$H$6:$H$101,MOD(38+$C36+(0),$B$3)+1)*I36+INDEX(Symboles!$H$6:$H$101,MOD(38+$C36+(1),$B$3)+1)*J36+INDEX(Symboles!$H$6:$H$101,MOD(38+$C36+(2),$B$3)+1)*K36+INDEX(Symboles!$H$6:$H$101,MOD(38+$C36+(3),$B$3)+1)*L36+INDEX(Symboles!$H$6:$H$101,MOD(38+$C36+(4),$B$3)+1)*M36+IF($B$6=0,0,$B$6*NORMSINV(0.000001+0.999998*RAND())))</f>
        <v/>
      </c>
      <c r="EV36" s="30">
        <f>IF(40&gt;$B$3,99,INDEX(Symboles!$H$6:$H$101,MOD(39+$C36+(-4),$B$3)+1)*E36+INDEX(Symboles!$H$6:$H$101,MOD(39+$C36+(-3),$B$3)+1)*F36+INDEX(Symboles!$H$6:$H$101,MOD(39+$C36+(-2),$B$3)+1)*G36+INDEX(Symboles!$H$6:$H$101,MOD(39+$C36+(-1),$B$3)+1)*H36+INDEX(Symboles!$H$6:$H$101,MOD(39+$C36+(0),$B$3)+1)*I36+INDEX(Symboles!$H$6:$H$101,MOD(39+$C36+(1),$B$3)+1)*J36+INDEX(Symboles!$H$6:$H$101,MOD(39+$C36+(2),$B$3)+1)*K36+INDEX(Symboles!$H$6:$H$101,MOD(39+$C36+(3),$B$3)+1)*L36+INDEX(Symboles!$H$6:$H$101,MOD(39+$C36+(4),$B$3)+1)*M36+IF($B$6=0,0,$B$6*NORMSINV(0.000001+0.999998*RAND())))</f>
        <v/>
      </c>
      <c r="EW36" s="30">
        <f>IF(41&gt;$B$3,99,INDEX(Symboles!$H$6:$H$101,MOD(40+$C36+(-4),$B$3)+1)*E36+INDEX(Symboles!$H$6:$H$101,MOD(40+$C36+(-3),$B$3)+1)*F36+INDEX(Symboles!$H$6:$H$101,MOD(40+$C36+(-2),$B$3)+1)*G36+INDEX(Symboles!$H$6:$H$101,MOD(40+$C36+(-1),$B$3)+1)*H36+INDEX(Symboles!$H$6:$H$101,MOD(40+$C36+(0),$B$3)+1)*I36+INDEX(Symboles!$H$6:$H$101,MOD(40+$C36+(1),$B$3)+1)*J36+INDEX(Symboles!$H$6:$H$101,MOD(40+$C36+(2),$B$3)+1)*K36+INDEX(Symboles!$H$6:$H$101,MOD(40+$C36+(3),$B$3)+1)*L36+INDEX(Symboles!$H$6:$H$101,MOD(40+$C36+(4),$B$3)+1)*M36+IF($B$6=0,0,$B$6*NORMSINV(0.000001+0.999998*RAND())))</f>
        <v/>
      </c>
      <c r="EX36" s="30">
        <f>IF(42&gt;$B$3,99,INDEX(Symboles!$H$6:$H$101,MOD(41+$C36+(-4),$B$3)+1)*E36+INDEX(Symboles!$H$6:$H$101,MOD(41+$C36+(-3),$B$3)+1)*F36+INDEX(Symboles!$H$6:$H$101,MOD(41+$C36+(-2),$B$3)+1)*G36+INDEX(Symboles!$H$6:$H$101,MOD(41+$C36+(-1),$B$3)+1)*H36+INDEX(Symboles!$H$6:$H$101,MOD(41+$C36+(0),$B$3)+1)*I36+INDEX(Symboles!$H$6:$H$101,MOD(41+$C36+(1),$B$3)+1)*J36+INDEX(Symboles!$H$6:$H$101,MOD(41+$C36+(2),$B$3)+1)*K36+INDEX(Symboles!$H$6:$H$101,MOD(41+$C36+(3),$B$3)+1)*L36+INDEX(Symboles!$H$6:$H$101,MOD(41+$C36+(4),$B$3)+1)*M36+IF($B$6=0,0,$B$6*NORMSINV(0.000001+0.999998*RAND())))</f>
        <v/>
      </c>
      <c r="EY36" s="30">
        <f>IF(43&gt;$B$3,99,INDEX(Symboles!$H$6:$H$101,MOD(42+$C36+(-4),$B$3)+1)*E36+INDEX(Symboles!$H$6:$H$101,MOD(42+$C36+(-3),$B$3)+1)*F36+INDEX(Symboles!$H$6:$H$101,MOD(42+$C36+(-2),$B$3)+1)*G36+INDEX(Symboles!$H$6:$H$101,MOD(42+$C36+(-1),$B$3)+1)*H36+INDEX(Symboles!$H$6:$H$101,MOD(42+$C36+(0),$B$3)+1)*I36+INDEX(Symboles!$H$6:$H$101,MOD(42+$C36+(1),$B$3)+1)*J36+INDEX(Symboles!$H$6:$H$101,MOD(42+$C36+(2),$B$3)+1)*K36+INDEX(Symboles!$H$6:$H$101,MOD(42+$C36+(3),$B$3)+1)*L36+INDEX(Symboles!$H$6:$H$101,MOD(42+$C36+(4),$B$3)+1)*M36+IF($B$6=0,0,$B$6*NORMSINV(0.000001+0.999998*RAND())))</f>
        <v/>
      </c>
      <c r="EZ36" s="30">
        <f>IF(44&gt;$B$3,99,INDEX(Symboles!$H$6:$H$101,MOD(43+$C36+(-4),$B$3)+1)*E36+INDEX(Symboles!$H$6:$H$101,MOD(43+$C36+(-3),$B$3)+1)*F36+INDEX(Symboles!$H$6:$H$101,MOD(43+$C36+(-2),$B$3)+1)*G36+INDEX(Symboles!$H$6:$H$101,MOD(43+$C36+(-1),$B$3)+1)*H36+INDEX(Symboles!$H$6:$H$101,MOD(43+$C36+(0),$B$3)+1)*I36+INDEX(Symboles!$H$6:$H$101,MOD(43+$C36+(1),$B$3)+1)*J36+INDEX(Symboles!$H$6:$H$101,MOD(43+$C36+(2),$B$3)+1)*K36+INDEX(Symboles!$H$6:$H$101,MOD(43+$C36+(3),$B$3)+1)*L36+INDEX(Symboles!$H$6:$H$101,MOD(43+$C36+(4),$B$3)+1)*M36+IF($B$6=0,0,$B$6*NORMSINV(0.000001+0.999998*RAND())))</f>
        <v/>
      </c>
      <c r="FA36" s="30">
        <f>IF(45&gt;$B$3,99,INDEX(Symboles!$H$6:$H$101,MOD(44+$C36+(-4),$B$3)+1)*E36+INDEX(Symboles!$H$6:$H$101,MOD(44+$C36+(-3),$B$3)+1)*F36+INDEX(Symboles!$H$6:$H$101,MOD(44+$C36+(-2),$B$3)+1)*G36+INDEX(Symboles!$H$6:$H$101,MOD(44+$C36+(-1),$B$3)+1)*H36+INDEX(Symboles!$H$6:$H$101,MOD(44+$C36+(0),$B$3)+1)*I36+INDEX(Symboles!$H$6:$H$101,MOD(44+$C36+(1),$B$3)+1)*J36+INDEX(Symboles!$H$6:$H$101,MOD(44+$C36+(2),$B$3)+1)*K36+INDEX(Symboles!$H$6:$H$101,MOD(44+$C36+(3),$B$3)+1)*L36+INDEX(Symboles!$H$6:$H$101,MOD(44+$C36+(4),$B$3)+1)*M36+IF($B$6=0,0,$B$6*NORMSINV(0.000001+0.999998*RAND())))</f>
        <v/>
      </c>
      <c r="FB36" s="30">
        <f>IF(46&gt;$B$3,99,INDEX(Symboles!$H$6:$H$101,MOD(45+$C36+(-4),$B$3)+1)*E36+INDEX(Symboles!$H$6:$H$101,MOD(45+$C36+(-3),$B$3)+1)*F36+INDEX(Symboles!$H$6:$H$101,MOD(45+$C36+(-2),$B$3)+1)*G36+INDEX(Symboles!$H$6:$H$101,MOD(45+$C36+(-1),$B$3)+1)*H36+INDEX(Symboles!$H$6:$H$101,MOD(45+$C36+(0),$B$3)+1)*I36+INDEX(Symboles!$H$6:$H$101,MOD(45+$C36+(1),$B$3)+1)*J36+INDEX(Symboles!$H$6:$H$101,MOD(45+$C36+(2),$B$3)+1)*K36+INDEX(Symboles!$H$6:$H$101,MOD(45+$C36+(3),$B$3)+1)*L36+INDEX(Symboles!$H$6:$H$101,MOD(45+$C36+(4),$B$3)+1)*M36+IF($B$6=0,0,$B$6*NORMSINV(0.000001+0.999998*RAND())))</f>
        <v/>
      </c>
      <c r="FC36" s="30">
        <f>IF(47&gt;$B$3,99,INDEX(Symboles!$H$6:$H$101,MOD(46+$C36+(-4),$B$3)+1)*E36+INDEX(Symboles!$H$6:$H$101,MOD(46+$C36+(-3),$B$3)+1)*F36+INDEX(Symboles!$H$6:$H$101,MOD(46+$C36+(-2),$B$3)+1)*G36+INDEX(Symboles!$H$6:$H$101,MOD(46+$C36+(-1),$B$3)+1)*H36+INDEX(Symboles!$H$6:$H$101,MOD(46+$C36+(0),$B$3)+1)*I36+INDEX(Symboles!$H$6:$H$101,MOD(46+$C36+(1),$B$3)+1)*J36+INDEX(Symboles!$H$6:$H$101,MOD(46+$C36+(2),$B$3)+1)*K36+INDEX(Symboles!$H$6:$H$101,MOD(46+$C36+(3),$B$3)+1)*L36+INDEX(Symboles!$H$6:$H$101,MOD(46+$C36+(4),$B$3)+1)*M36+IF($B$6=0,0,$B$6*NORMSINV(0.000001+0.999998*RAND())))</f>
        <v/>
      </c>
      <c r="FD36" s="30">
        <f>IF(48&gt;$B$3,99,INDEX(Symboles!$H$6:$H$101,MOD(47+$C36+(-4),$B$3)+1)*E36+INDEX(Symboles!$H$6:$H$101,MOD(47+$C36+(-3),$B$3)+1)*F36+INDEX(Symboles!$H$6:$H$101,MOD(47+$C36+(-2),$B$3)+1)*G36+INDEX(Symboles!$H$6:$H$101,MOD(47+$C36+(-1),$B$3)+1)*H36+INDEX(Symboles!$H$6:$H$101,MOD(47+$C36+(0),$B$3)+1)*I36+INDEX(Symboles!$H$6:$H$101,MOD(47+$C36+(1),$B$3)+1)*J36+INDEX(Symboles!$H$6:$H$101,MOD(47+$C36+(2),$B$3)+1)*K36+INDEX(Symboles!$H$6:$H$101,MOD(47+$C36+(3),$B$3)+1)*L36+INDEX(Symboles!$H$6:$H$101,MOD(47+$C36+(4),$B$3)+1)*M36+IF($B$6=0,0,$B$6*NORMSINV(0.000001+0.999998*RAND())))</f>
        <v/>
      </c>
      <c r="FE36" s="30">
        <f>IF(49&gt;$B$3,99,INDEX(Symboles!$H$6:$H$101,MOD(48+$C36+(-4),$B$3)+1)*E36+INDEX(Symboles!$H$6:$H$101,MOD(48+$C36+(-3),$B$3)+1)*F36+INDEX(Symboles!$H$6:$H$101,MOD(48+$C36+(-2),$B$3)+1)*G36+INDEX(Symboles!$H$6:$H$101,MOD(48+$C36+(-1),$B$3)+1)*H36+INDEX(Symboles!$H$6:$H$101,MOD(48+$C36+(0),$B$3)+1)*I36+INDEX(Symboles!$H$6:$H$101,MOD(48+$C36+(1),$B$3)+1)*J36+INDEX(Symboles!$H$6:$H$101,MOD(48+$C36+(2),$B$3)+1)*K36+INDEX(Symboles!$H$6:$H$101,MOD(48+$C36+(3),$B$3)+1)*L36+INDEX(Symboles!$H$6:$H$101,MOD(48+$C36+(4),$B$3)+1)*M36+IF($B$6=0,0,$B$6*NORMSINV(0.000001+0.999998*RAND())))</f>
        <v/>
      </c>
      <c r="FF36" s="30">
        <f>IF(50&gt;$B$3,99,INDEX(Symboles!$H$6:$H$101,MOD(49+$C36+(-4),$B$3)+1)*E36+INDEX(Symboles!$H$6:$H$101,MOD(49+$C36+(-3),$B$3)+1)*F36+INDEX(Symboles!$H$6:$H$101,MOD(49+$C36+(-2),$B$3)+1)*G36+INDEX(Symboles!$H$6:$H$101,MOD(49+$C36+(-1),$B$3)+1)*H36+INDEX(Symboles!$H$6:$H$101,MOD(49+$C36+(0),$B$3)+1)*I36+INDEX(Symboles!$H$6:$H$101,MOD(49+$C36+(1),$B$3)+1)*J36+INDEX(Symboles!$H$6:$H$101,MOD(49+$C36+(2),$B$3)+1)*K36+INDEX(Symboles!$H$6:$H$101,MOD(49+$C36+(3),$B$3)+1)*L36+INDEX(Symboles!$H$6:$H$101,MOD(49+$C36+(4),$B$3)+1)*M36+IF($B$6=0,0,$B$6*NORMSINV(0.000001+0.999998*RAND())))</f>
        <v/>
      </c>
      <c r="FG36" s="30">
        <f>IF(51&gt;$B$3,99,INDEX(Symboles!$H$6:$H$101,MOD(50+$C36+(-4),$B$3)+1)*E36+INDEX(Symboles!$H$6:$H$101,MOD(50+$C36+(-3),$B$3)+1)*F36+INDEX(Symboles!$H$6:$H$101,MOD(50+$C36+(-2),$B$3)+1)*G36+INDEX(Symboles!$H$6:$H$101,MOD(50+$C36+(-1),$B$3)+1)*H36+INDEX(Symboles!$H$6:$H$101,MOD(50+$C36+(0),$B$3)+1)*I36+INDEX(Symboles!$H$6:$H$101,MOD(50+$C36+(1),$B$3)+1)*J36+INDEX(Symboles!$H$6:$H$101,MOD(50+$C36+(2),$B$3)+1)*K36+INDEX(Symboles!$H$6:$H$101,MOD(50+$C36+(3),$B$3)+1)*L36+INDEX(Symboles!$H$6:$H$101,MOD(50+$C36+(4),$B$3)+1)*M36+IF($B$6=0,0,$B$6*NORMSINV(0.000001+0.999998*RAND())))</f>
        <v/>
      </c>
      <c r="FH36" s="30">
        <f>IF(52&gt;$B$3,99,INDEX(Symboles!$H$6:$H$101,MOD(51+$C36+(-4),$B$3)+1)*E36+INDEX(Symboles!$H$6:$H$101,MOD(51+$C36+(-3),$B$3)+1)*F36+INDEX(Symboles!$H$6:$H$101,MOD(51+$C36+(-2),$B$3)+1)*G36+INDEX(Symboles!$H$6:$H$101,MOD(51+$C36+(-1),$B$3)+1)*H36+INDEX(Symboles!$H$6:$H$101,MOD(51+$C36+(0),$B$3)+1)*I36+INDEX(Symboles!$H$6:$H$101,MOD(51+$C36+(1),$B$3)+1)*J36+INDEX(Symboles!$H$6:$H$101,MOD(51+$C36+(2),$B$3)+1)*K36+INDEX(Symboles!$H$6:$H$101,MOD(51+$C36+(3),$B$3)+1)*L36+INDEX(Symboles!$H$6:$H$101,MOD(51+$C36+(4),$B$3)+1)*M36+IF($B$6=0,0,$B$6*NORMSINV(0.000001+0.999998*RAND())))</f>
        <v/>
      </c>
      <c r="FI36" s="30">
        <f>IF(53&gt;$B$3,99,INDEX(Symboles!$H$6:$H$101,MOD(52+$C36+(-4),$B$3)+1)*E36+INDEX(Symboles!$H$6:$H$101,MOD(52+$C36+(-3),$B$3)+1)*F36+INDEX(Symboles!$H$6:$H$101,MOD(52+$C36+(-2),$B$3)+1)*G36+INDEX(Symboles!$H$6:$H$101,MOD(52+$C36+(-1),$B$3)+1)*H36+INDEX(Symboles!$H$6:$H$101,MOD(52+$C36+(0),$B$3)+1)*I36+INDEX(Symboles!$H$6:$H$101,MOD(52+$C36+(1),$B$3)+1)*J36+INDEX(Symboles!$H$6:$H$101,MOD(52+$C36+(2),$B$3)+1)*K36+INDEX(Symboles!$H$6:$H$101,MOD(52+$C36+(3),$B$3)+1)*L36+INDEX(Symboles!$H$6:$H$101,MOD(52+$C36+(4),$B$3)+1)*M36+IF($B$6=0,0,$B$6*NORMSINV(0.000001+0.999998*RAND())))</f>
        <v/>
      </c>
      <c r="FJ36" s="30">
        <f>IF(54&gt;$B$3,99,INDEX(Symboles!$H$6:$H$101,MOD(53+$C36+(-4),$B$3)+1)*E36+INDEX(Symboles!$H$6:$H$101,MOD(53+$C36+(-3),$B$3)+1)*F36+INDEX(Symboles!$H$6:$H$101,MOD(53+$C36+(-2),$B$3)+1)*G36+INDEX(Symboles!$H$6:$H$101,MOD(53+$C36+(-1),$B$3)+1)*H36+INDEX(Symboles!$H$6:$H$101,MOD(53+$C36+(0),$B$3)+1)*I36+INDEX(Symboles!$H$6:$H$101,MOD(53+$C36+(1),$B$3)+1)*J36+INDEX(Symboles!$H$6:$H$101,MOD(53+$C36+(2),$B$3)+1)*K36+INDEX(Symboles!$H$6:$H$101,MOD(53+$C36+(3),$B$3)+1)*L36+INDEX(Symboles!$H$6:$H$101,MOD(53+$C36+(4),$B$3)+1)*M36+IF($B$6=0,0,$B$6*NORMSINV(0.000001+0.999998*RAND())))</f>
        <v/>
      </c>
      <c r="FK36" s="30">
        <f>IF(55&gt;$B$3,99,INDEX(Symboles!$H$6:$H$101,MOD(54+$C36+(-4),$B$3)+1)*E36+INDEX(Symboles!$H$6:$H$101,MOD(54+$C36+(-3),$B$3)+1)*F36+INDEX(Symboles!$H$6:$H$101,MOD(54+$C36+(-2),$B$3)+1)*G36+INDEX(Symboles!$H$6:$H$101,MOD(54+$C36+(-1),$B$3)+1)*H36+INDEX(Symboles!$H$6:$H$101,MOD(54+$C36+(0),$B$3)+1)*I36+INDEX(Symboles!$H$6:$H$101,MOD(54+$C36+(1),$B$3)+1)*J36+INDEX(Symboles!$H$6:$H$101,MOD(54+$C36+(2),$B$3)+1)*K36+INDEX(Symboles!$H$6:$H$101,MOD(54+$C36+(3),$B$3)+1)*L36+INDEX(Symboles!$H$6:$H$101,MOD(54+$C36+(4),$B$3)+1)*M36+IF($B$6=0,0,$B$6*NORMSINV(0.000001+0.999998*RAND())))</f>
        <v/>
      </c>
      <c r="FL36" s="30">
        <f>IF(56&gt;$B$3,99,INDEX(Symboles!$H$6:$H$101,MOD(55+$C36+(-4),$B$3)+1)*E36+INDEX(Symboles!$H$6:$H$101,MOD(55+$C36+(-3),$B$3)+1)*F36+INDEX(Symboles!$H$6:$H$101,MOD(55+$C36+(-2),$B$3)+1)*G36+INDEX(Symboles!$H$6:$H$101,MOD(55+$C36+(-1),$B$3)+1)*H36+INDEX(Symboles!$H$6:$H$101,MOD(55+$C36+(0),$B$3)+1)*I36+INDEX(Symboles!$H$6:$H$101,MOD(55+$C36+(1),$B$3)+1)*J36+INDEX(Symboles!$H$6:$H$101,MOD(55+$C36+(2),$B$3)+1)*K36+INDEX(Symboles!$H$6:$H$101,MOD(55+$C36+(3),$B$3)+1)*L36+INDEX(Symboles!$H$6:$H$101,MOD(55+$C36+(4),$B$3)+1)*M36+IF($B$6=0,0,$B$6*NORMSINV(0.000001+0.999998*RAND())))</f>
        <v/>
      </c>
      <c r="FM36" s="30">
        <f>IF(57&gt;$B$3,99,INDEX(Symboles!$H$6:$H$101,MOD(56+$C36+(-4),$B$3)+1)*E36+INDEX(Symboles!$H$6:$H$101,MOD(56+$C36+(-3),$B$3)+1)*F36+INDEX(Symboles!$H$6:$H$101,MOD(56+$C36+(-2),$B$3)+1)*G36+INDEX(Symboles!$H$6:$H$101,MOD(56+$C36+(-1),$B$3)+1)*H36+INDEX(Symboles!$H$6:$H$101,MOD(56+$C36+(0),$B$3)+1)*I36+INDEX(Symboles!$H$6:$H$101,MOD(56+$C36+(1),$B$3)+1)*J36+INDEX(Symboles!$H$6:$H$101,MOD(56+$C36+(2),$B$3)+1)*K36+INDEX(Symboles!$H$6:$H$101,MOD(56+$C36+(3),$B$3)+1)*L36+INDEX(Symboles!$H$6:$H$101,MOD(56+$C36+(4),$B$3)+1)*M36+IF($B$6=0,0,$B$6*NORMSINV(0.000001+0.999998*RAND())))</f>
        <v/>
      </c>
      <c r="FN36" s="30">
        <f>IF(58&gt;$B$3,99,INDEX(Symboles!$H$6:$H$101,MOD(57+$C36+(-4),$B$3)+1)*E36+INDEX(Symboles!$H$6:$H$101,MOD(57+$C36+(-3),$B$3)+1)*F36+INDEX(Symboles!$H$6:$H$101,MOD(57+$C36+(-2),$B$3)+1)*G36+INDEX(Symboles!$H$6:$H$101,MOD(57+$C36+(-1),$B$3)+1)*H36+INDEX(Symboles!$H$6:$H$101,MOD(57+$C36+(0),$B$3)+1)*I36+INDEX(Symboles!$H$6:$H$101,MOD(57+$C36+(1),$B$3)+1)*J36+INDEX(Symboles!$H$6:$H$101,MOD(57+$C36+(2),$B$3)+1)*K36+INDEX(Symboles!$H$6:$H$101,MOD(57+$C36+(3),$B$3)+1)*L36+INDEX(Symboles!$H$6:$H$101,MOD(57+$C36+(4),$B$3)+1)*M36+IF($B$6=0,0,$B$6*NORMSINV(0.000001+0.999998*RAND())))</f>
        <v/>
      </c>
      <c r="FO36" s="30">
        <f>IF(59&gt;$B$3,99,INDEX(Symboles!$H$6:$H$101,MOD(58+$C36+(-4),$B$3)+1)*E36+INDEX(Symboles!$H$6:$H$101,MOD(58+$C36+(-3),$B$3)+1)*F36+INDEX(Symboles!$H$6:$H$101,MOD(58+$C36+(-2),$B$3)+1)*G36+INDEX(Symboles!$H$6:$H$101,MOD(58+$C36+(-1),$B$3)+1)*H36+INDEX(Symboles!$H$6:$H$101,MOD(58+$C36+(0),$B$3)+1)*I36+INDEX(Symboles!$H$6:$H$101,MOD(58+$C36+(1),$B$3)+1)*J36+INDEX(Symboles!$H$6:$H$101,MOD(58+$C36+(2),$B$3)+1)*K36+INDEX(Symboles!$H$6:$H$101,MOD(58+$C36+(3),$B$3)+1)*L36+INDEX(Symboles!$H$6:$H$101,MOD(58+$C36+(4),$B$3)+1)*M36+IF($B$6=0,0,$B$6*NORMSINV(0.000001+0.999998*RAND())))</f>
        <v/>
      </c>
      <c r="FP36" s="30">
        <f>IF(60&gt;$B$3,99,INDEX(Symboles!$H$6:$H$101,MOD(59+$C36+(-4),$B$3)+1)*E36+INDEX(Symboles!$H$6:$H$101,MOD(59+$C36+(-3),$B$3)+1)*F36+INDEX(Symboles!$H$6:$H$101,MOD(59+$C36+(-2),$B$3)+1)*G36+INDEX(Symboles!$H$6:$H$101,MOD(59+$C36+(-1),$B$3)+1)*H36+INDEX(Symboles!$H$6:$H$101,MOD(59+$C36+(0),$B$3)+1)*I36+INDEX(Symboles!$H$6:$H$101,MOD(59+$C36+(1),$B$3)+1)*J36+INDEX(Symboles!$H$6:$H$101,MOD(59+$C36+(2),$B$3)+1)*K36+INDEX(Symboles!$H$6:$H$101,MOD(59+$C36+(3),$B$3)+1)*L36+INDEX(Symboles!$H$6:$H$101,MOD(59+$C36+(4),$B$3)+1)*M36+IF($B$6=0,0,$B$6*NORMSINV(0.000001+0.999998*RAND())))</f>
        <v/>
      </c>
      <c r="FQ36" s="30">
        <f>IF(61&gt;$B$3,99,INDEX(Symboles!$H$6:$H$101,MOD(60+$C36+(-4),$B$3)+1)*E36+INDEX(Symboles!$H$6:$H$101,MOD(60+$C36+(-3),$B$3)+1)*F36+INDEX(Symboles!$H$6:$H$101,MOD(60+$C36+(-2),$B$3)+1)*G36+INDEX(Symboles!$H$6:$H$101,MOD(60+$C36+(-1),$B$3)+1)*H36+INDEX(Symboles!$H$6:$H$101,MOD(60+$C36+(0),$B$3)+1)*I36+INDEX(Symboles!$H$6:$H$101,MOD(60+$C36+(1),$B$3)+1)*J36+INDEX(Symboles!$H$6:$H$101,MOD(60+$C36+(2),$B$3)+1)*K36+INDEX(Symboles!$H$6:$H$101,MOD(60+$C36+(3),$B$3)+1)*L36+INDEX(Symboles!$H$6:$H$101,MOD(60+$C36+(4),$B$3)+1)*M36+IF($B$6=0,0,$B$6*NORMSINV(0.000001+0.999998*RAND())))</f>
        <v/>
      </c>
      <c r="FR36" s="30">
        <f>IF(62&gt;$B$3,99,INDEX(Symboles!$H$6:$H$101,MOD(61+$C36+(-4),$B$3)+1)*E36+INDEX(Symboles!$H$6:$H$101,MOD(61+$C36+(-3),$B$3)+1)*F36+INDEX(Symboles!$H$6:$H$101,MOD(61+$C36+(-2),$B$3)+1)*G36+INDEX(Symboles!$H$6:$H$101,MOD(61+$C36+(-1),$B$3)+1)*H36+INDEX(Symboles!$H$6:$H$101,MOD(61+$C36+(0),$B$3)+1)*I36+INDEX(Symboles!$H$6:$H$101,MOD(61+$C36+(1),$B$3)+1)*J36+INDEX(Symboles!$H$6:$H$101,MOD(61+$C36+(2),$B$3)+1)*K36+INDEX(Symboles!$H$6:$H$101,MOD(61+$C36+(3),$B$3)+1)*L36+INDEX(Symboles!$H$6:$H$101,MOD(61+$C36+(4),$B$3)+1)*M36+IF($B$6=0,0,$B$6*NORMSINV(0.000001+0.999998*RAND())))</f>
        <v/>
      </c>
      <c r="FS36" s="30">
        <f>IF(63&gt;$B$3,99,INDEX(Symboles!$H$6:$H$101,MOD(62+$C36+(-4),$B$3)+1)*E36+INDEX(Symboles!$H$6:$H$101,MOD(62+$C36+(-3),$B$3)+1)*F36+INDEX(Symboles!$H$6:$H$101,MOD(62+$C36+(-2),$B$3)+1)*G36+INDEX(Symboles!$H$6:$H$101,MOD(62+$C36+(-1),$B$3)+1)*H36+INDEX(Symboles!$H$6:$H$101,MOD(62+$C36+(0),$B$3)+1)*I36+INDEX(Symboles!$H$6:$H$101,MOD(62+$C36+(1),$B$3)+1)*J36+INDEX(Symboles!$H$6:$H$101,MOD(62+$C36+(2),$B$3)+1)*K36+INDEX(Symboles!$H$6:$H$101,MOD(62+$C36+(3),$B$3)+1)*L36+INDEX(Symboles!$H$6:$H$101,MOD(62+$C36+(4),$B$3)+1)*M36+IF($B$6=0,0,$B$6*NORMSINV(0.000001+0.999998*RAND())))</f>
        <v/>
      </c>
      <c r="FT36" s="30">
        <f>IF(64&gt;$B$3,99,INDEX(Symboles!$H$6:$H$101,MOD(63+$C36+(-4),$B$3)+1)*E36+INDEX(Symboles!$H$6:$H$101,MOD(63+$C36+(-3),$B$3)+1)*F36+INDEX(Symboles!$H$6:$H$101,MOD(63+$C36+(-2),$B$3)+1)*G36+INDEX(Symboles!$H$6:$H$101,MOD(63+$C36+(-1),$B$3)+1)*H36+INDEX(Symboles!$H$6:$H$101,MOD(63+$C36+(0),$B$3)+1)*I36+INDEX(Symboles!$H$6:$H$101,MOD(63+$C36+(1),$B$3)+1)*J36+INDEX(Symboles!$H$6:$H$101,MOD(63+$C36+(2),$B$3)+1)*K36+INDEX(Symboles!$H$6:$H$101,MOD(63+$C36+(3),$B$3)+1)*L36+INDEX(Symboles!$H$6:$H$101,MOD(63+$C36+(4),$B$3)+1)*M36+IF($B$6=0,0,$B$6*NORMSINV(0.000001+0.999998*RAND())))</f>
        <v/>
      </c>
      <c r="FU36" s="30">
        <f>IF(65&gt;$B$3,99,INDEX(Symboles!$H$6:$H$101,MOD(64+$C36+(-4),$B$3)+1)*E36+INDEX(Symboles!$H$6:$H$101,MOD(64+$C36+(-3),$B$3)+1)*F36+INDEX(Symboles!$H$6:$H$101,MOD(64+$C36+(-2),$B$3)+1)*G36+INDEX(Symboles!$H$6:$H$101,MOD(64+$C36+(-1),$B$3)+1)*H36+INDEX(Symboles!$H$6:$H$101,MOD(64+$C36+(0),$B$3)+1)*I36+INDEX(Symboles!$H$6:$H$101,MOD(64+$C36+(1),$B$3)+1)*J36+INDEX(Symboles!$H$6:$H$101,MOD(64+$C36+(2),$B$3)+1)*K36+INDEX(Symboles!$H$6:$H$101,MOD(64+$C36+(3),$B$3)+1)*L36+INDEX(Symboles!$H$6:$H$101,MOD(64+$C36+(4),$B$3)+1)*M36+IF($B$6=0,0,$B$6*NORMSINV(0.000001+0.999998*RAND())))</f>
        <v/>
      </c>
      <c r="FV36" s="30">
        <f>IF(66&gt;$B$3,99,INDEX(Symboles!$H$6:$H$101,MOD(65+$C36+(-4),$B$3)+1)*E36+INDEX(Symboles!$H$6:$H$101,MOD(65+$C36+(-3),$B$3)+1)*F36+INDEX(Symboles!$H$6:$H$101,MOD(65+$C36+(-2),$B$3)+1)*G36+INDEX(Symboles!$H$6:$H$101,MOD(65+$C36+(-1),$B$3)+1)*H36+INDEX(Symboles!$H$6:$H$101,MOD(65+$C36+(0),$B$3)+1)*I36+INDEX(Symboles!$H$6:$H$101,MOD(65+$C36+(1),$B$3)+1)*J36+INDEX(Symboles!$H$6:$H$101,MOD(65+$C36+(2),$B$3)+1)*K36+INDEX(Symboles!$H$6:$H$101,MOD(65+$C36+(3),$B$3)+1)*L36+INDEX(Symboles!$H$6:$H$101,MOD(65+$C36+(4),$B$3)+1)*M36+IF($B$6=0,0,$B$6*NORMSINV(0.000001+0.999998*RAND())))</f>
        <v/>
      </c>
      <c r="FW36" s="30">
        <f>IF(67&gt;$B$3,99,INDEX(Symboles!$H$6:$H$101,MOD(66+$C36+(-4),$B$3)+1)*E36+INDEX(Symboles!$H$6:$H$101,MOD(66+$C36+(-3),$B$3)+1)*F36+INDEX(Symboles!$H$6:$H$101,MOD(66+$C36+(-2),$B$3)+1)*G36+INDEX(Symboles!$H$6:$H$101,MOD(66+$C36+(-1),$B$3)+1)*H36+INDEX(Symboles!$H$6:$H$101,MOD(66+$C36+(0),$B$3)+1)*I36+INDEX(Symboles!$H$6:$H$101,MOD(66+$C36+(1),$B$3)+1)*J36+INDEX(Symboles!$H$6:$H$101,MOD(66+$C36+(2),$B$3)+1)*K36+INDEX(Symboles!$H$6:$H$101,MOD(66+$C36+(3),$B$3)+1)*L36+INDEX(Symboles!$H$6:$H$101,MOD(66+$C36+(4),$B$3)+1)*M36+IF($B$6=0,0,$B$6*NORMSINV(0.000001+0.999998*RAND())))</f>
        <v/>
      </c>
      <c r="FX36" s="30">
        <f>IF(68&gt;$B$3,99,INDEX(Symboles!$H$6:$H$101,MOD(67+$C36+(-4),$B$3)+1)*E36+INDEX(Symboles!$H$6:$H$101,MOD(67+$C36+(-3),$B$3)+1)*F36+INDEX(Symboles!$H$6:$H$101,MOD(67+$C36+(-2),$B$3)+1)*G36+INDEX(Symboles!$H$6:$H$101,MOD(67+$C36+(-1),$B$3)+1)*H36+INDEX(Symboles!$H$6:$H$101,MOD(67+$C36+(0),$B$3)+1)*I36+INDEX(Symboles!$H$6:$H$101,MOD(67+$C36+(1),$B$3)+1)*J36+INDEX(Symboles!$H$6:$H$101,MOD(67+$C36+(2),$B$3)+1)*K36+INDEX(Symboles!$H$6:$H$101,MOD(67+$C36+(3),$B$3)+1)*L36+INDEX(Symboles!$H$6:$H$101,MOD(67+$C36+(4),$B$3)+1)*M36+IF($B$6=0,0,$B$6*NORMSINV(0.000001+0.999998*RAND())))</f>
        <v/>
      </c>
      <c r="FY36" s="30">
        <f>IF(69&gt;$B$3,99,INDEX(Symboles!$H$6:$H$101,MOD(68+$C36+(-4),$B$3)+1)*E36+INDEX(Symboles!$H$6:$H$101,MOD(68+$C36+(-3),$B$3)+1)*F36+INDEX(Symboles!$H$6:$H$101,MOD(68+$C36+(-2),$B$3)+1)*G36+INDEX(Symboles!$H$6:$H$101,MOD(68+$C36+(-1),$B$3)+1)*H36+INDEX(Symboles!$H$6:$H$101,MOD(68+$C36+(0),$B$3)+1)*I36+INDEX(Symboles!$H$6:$H$101,MOD(68+$C36+(1),$B$3)+1)*J36+INDEX(Symboles!$H$6:$H$101,MOD(68+$C36+(2),$B$3)+1)*K36+INDEX(Symboles!$H$6:$H$101,MOD(68+$C36+(3),$B$3)+1)*L36+INDEX(Symboles!$H$6:$H$101,MOD(68+$C36+(4),$B$3)+1)*M36+IF($B$6=0,0,$B$6*NORMSINV(0.000001+0.999998*RAND())))</f>
        <v/>
      </c>
      <c r="FZ36" s="30">
        <f>IF(70&gt;$B$3,99,INDEX(Symboles!$H$6:$H$101,MOD(69+$C36+(-4),$B$3)+1)*E36+INDEX(Symboles!$H$6:$H$101,MOD(69+$C36+(-3),$B$3)+1)*F36+INDEX(Symboles!$H$6:$H$101,MOD(69+$C36+(-2),$B$3)+1)*G36+INDEX(Symboles!$H$6:$H$101,MOD(69+$C36+(-1),$B$3)+1)*H36+INDEX(Symboles!$H$6:$H$101,MOD(69+$C36+(0),$B$3)+1)*I36+INDEX(Symboles!$H$6:$H$101,MOD(69+$C36+(1),$B$3)+1)*J36+INDEX(Symboles!$H$6:$H$101,MOD(69+$C36+(2),$B$3)+1)*K36+INDEX(Symboles!$H$6:$H$101,MOD(69+$C36+(3),$B$3)+1)*L36+INDEX(Symboles!$H$6:$H$101,MOD(69+$C36+(4),$B$3)+1)*M36+IF($B$6=0,0,$B$6*NORMSINV(0.000001+0.999998*RAND())))</f>
        <v/>
      </c>
      <c r="GA36" s="30">
        <f>IF(71&gt;$B$3,99,INDEX(Symboles!$H$6:$H$101,MOD(70+$C36+(-4),$B$3)+1)*E36+INDEX(Symboles!$H$6:$H$101,MOD(70+$C36+(-3),$B$3)+1)*F36+INDEX(Symboles!$H$6:$H$101,MOD(70+$C36+(-2),$B$3)+1)*G36+INDEX(Symboles!$H$6:$H$101,MOD(70+$C36+(-1),$B$3)+1)*H36+INDEX(Symboles!$H$6:$H$101,MOD(70+$C36+(0),$B$3)+1)*I36+INDEX(Symboles!$H$6:$H$101,MOD(70+$C36+(1),$B$3)+1)*J36+INDEX(Symboles!$H$6:$H$101,MOD(70+$C36+(2),$B$3)+1)*K36+INDEX(Symboles!$H$6:$H$101,MOD(70+$C36+(3),$B$3)+1)*L36+INDEX(Symboles!$H$6:$H$101,MOD(70+$C36+(4),$B$3)+1)*M36+IF($B$6=0,0,$B$6*NORMSINV(0.000001+0.999998*RAND())))</f>
        <v/>
      </c>
      <c r="GB36" s="30">
        <f>IF(72&gt;$B$3,99,INDEX(Symboles!$H$6:$H$101,MOD(71+$C36+(-4),$B$3)+1)*E36+INDEX(Symboles!$H$6:$H$101,MOD(71+$C36+(-3),$B$3)+1)*F36+INDEX(Symboles!$H$6:$H$101,MOD(71+$C36+(-2),$B$3)+1)*G36+INDEX(Symboles!$H$6:$H$101,MOD(71+$C36+(-1),$B$3)+1)*H36+INDEX(Symboles!$H$6:$H$101,MOD(71+$C36+(0),$B$3)+1)*I36+INDEX(Symboles!$H$6:$H$101,MOD(71+$C36+(1),$B$3)+1)*J36+INDEX(Symboles!$H$6:$H$101,MOD(71+$C36+(2),$B$3)+1)*K36+INDEX(Symboles!$H$6:$H$101,MOD(71+$C36+(3),$B$3)+1)*L36+INDEX(Symboles!$H$6:$H$101,MOD(71+$C36+(4),$B$3)+1)*M36+IF($B$6=0,0,$B$6*NORMSINV(0.000001+0.999998*RAND())))</f>
        <v/>
      </c>
      <c r="GC36" s="30">
        <f>IF(73&gt;$B$3,99,INDEX(Symboles!$H$6:$H$101,MOD(72+$C36+(-4),$B$3)+1)*E36+INDEX(Symboles!$H$6:$H$101,MOD(72+$C36+(-3),$B$3)+1)*F36+INDEX(Symboles!$H$6:$H$101,MOD(72+$C36+(-2),$B$3)+1)*G36+INDEX(Symboles!$H$6:$H$101,MOD(72+$C36+(-1),$B$3)+1)*H36+INDEX(Symboles!$H$6:$H$101,MOD(72+$C36+(0),$B$3)+1)*I36+INDEX(Symboles!$H$6:$H$101,MOD(72+$C36+(1),$B$3)+1)*J36+INDEX(Symboles!$H$6:$H$101,MOD(72+$C36+(2),$B$3)+1)*K36+INDEX(Symboles!$H$6:$H$101,MOD(72+$C36+(3),$B$3)+1)*L36+INDEX(Symboles!$H$6:$H$101,MOD(72+$C36+(4),$B$3)+1)*M36+IF($B$6=0,0,$B$6*NORMSINV(0.000001+0.999998*RAND())))</f>
        <v/>
      </c>
      <c r="GD36" s="30">
        <f>IF(74&gt;$B$3,99,INDEX(Symboles!$H$6:$H$101,MOD(73+$C36+(-4),$B$3)+1)*E36+INDEX(Symboles!$H$6:$H$101,MOD(73+$C36+(-3),$B$3)+1)*F36+INDEX(Symboles!$H$6:$H$101,MOD(73+$C36+(-2),$B$3)+1)*G36+INDEX(Symboles!$H$6:$H$101,MOD(73+$C36+(-1),$B$3)+1)*H36+INDEX(Symboles!$H$6:$H$101,MOD(73+$C36+(0),$B$3)+1)*I36+INDEX(Symboles!$H$6:$H$101,MOD(73+$C36+(1),$B$3)+1)*J36+INDEX(Symboles!$H$6:$H$101,MOD(73+$C36+(2),$B$3)+1)*K36+INDEX(Symboles!$H$6:$H$101,MOD(73+$C36+(3),$B$3)+1)*L36+INDEX(Symboles!$H$6:$H$101,MOD(73+$C36+(4),$B$3)+1)*M36+IF($B$6=0,0,$B$6*NORMSINV(0.000001+0.999998*RAND())))</f>
        <v/>
      </c>
      <c r="GE36" s="30">
        <f>IF(75&gt;$B$3,99,INDEX(Symboles!$H$6:$H$101,MOD(74+$C36+(-4),$B$3)+1)*E36+INDEX(Symboles!$H$6:$H$101,MOD(74+$C36+(-3),$B$3)+1)*F36+INDEX(Symboles!$H$6:$H$101,MOD(74+$C36+(-2),$B$3)+1)*G36+INDEX(Symboles!$H$6:$H$101,MOD(74+$C36+(-1),$B$3)+1)*H36+INDEX(Symboles!$H$6:$H$101,MOD(74+$C36+(0),$B$3)+1)*I36+INDEX(Symboles!$H$6:$H$101,MOD(74+$C36+(1),$B$3)+1)*J36+INDEX(Symboles!$H$6:$H$101,MOD(74+$C36+(2),$B$3)+1)*K36+INDEX(Symboles!$H$6:$H$101,MOD(74+$C36+(3),$B$3)+1)*L36+INDEX(Symboles!$H$6:$H$101,MOD(74+$C36+(4),$B$3)+1)*M36+IF($B$6=0,0,$B$6*NORMSINV(0.000001+0.999998*RAND())))</f>
        <v/>
      </c>
      <c r="GF36" s="30">
        <f>IF(76&gt;$B$3,99,INDEX(Symboles!$H$6:$H$101,MOD(75+$C36+(-4),$B$3)+1)*E36+INDEX(Symboles!$H$6:$H$101,MOD(75+$C36+(-3),$B$3)+1)*F36+INDEX(Symboles!$H$6:$H$101,MOD(75+$C36+(-2),$B$3)+1)*G36+INDEX(Symboles!$H$6:$H$101,MOD(75+$C36+(-1),$B$3)+1)*H36+INDEX(Symboles!$H$6:$H$101,MOD(75+$C36+(0),$B$3)+1)*I36+INDEX(Symboles!$H$6:$H$101,MOD(75+$C36+(1),$B$3)+1)*J36+INDEX(Symboles!$H$6:$H$101,MOD(75+$C36+(2),$B$3)+1)*K36+INDEX(Symboles!$H$6:$H$101,MOD(75+$C36+(3),$B$3)+1)*L36+INDEX(Symboles!$H$6:$H$101,MOD(75+$C36+(4),$B$3)+1)*M36+IF($B$6=0,0,$B$6*NORMSINV(0.000001+0.999998*RAND())))</f>
        <v/>
      </c>
      <c r="GG36" s="30">
        <f>IF(77&gt;$B$3,99,INDEX(Symboles!$H$6:$H$101,MOD(76+$C36+(-4),$B$3)+1)*E36+INDEX(Symboles!$H$6:$H$101,MOD(76+$C36+(-3),$B$3)+1)*F36+INDEX(Symboles!$H$6:$H$101,MOD(76+$C36+(-2),$B$3)+1)*G36+INDEX(Symboles!$H$6:$H$101,MOD(76+$C36+(-1),$B$3)+1)*H36+INDEX(Symboles!$H$6:$H$101,MOD(76+$C36+(0),$B$3)+1)*I36+INDEX(Symboles!$H$6:$H$101,MOD(76+$C36+(1),$B$3)+1)*J36+INDEX(Symboles!$H$6:$H$101,MOD(76+$C36+(2),$B$3)+1)*K36+INDEX(Symboles!$H$6:$H$101,MOD(76+$C36+(3),$B$3)+1)*L36+INDEX(Symboles!$H$6:$H$101,MOD(76+$C36+(4),$B$3)+1)*M36+IF($B$6=0,0,$B$6*NORMSINV(0.000001+0.999998*RAND())))</f>
        <v/>
      </c>
      <c r="GH36" s="30">
        <f>IF(78&gt;$B$3,99,INDEX(Symboles!$H$6:$H$101,MOD(77+$C36+(-4),$B$3)+1)*E36+INDEX(Symboles!$H$6:$H$101,MOD(77+$C36+(-3),$B$3)+1)*F36+INDEX(Symboles!$H$6:$H$101,MOD(77+$C36+(-2),$B$3)+1)*G36+INDEX(Symboles!$H$6:$H$101,MOD(77+$C36+(-1),$B$3)+1)*H36+INDEX(Symboles!$H$6:$H$101,MOD(77+$C36+(0),$B$3)+1)*I36+INDEX(Symboles!$H$6:$H$101,MOD(77+$C36+(1),$B$3)+1)*J36+INDEX(Symboles!$H$6:$H$101,MOD(77+$C36+(2),$B$3)+1)*K36+INDEX(Symboles!$H$6:$H$101,MOD(77+$C36+(3),$B$3)+1)*L36+INDEX(Symboles!$H$6:$H$101,MOD(77+$C36+(4),$B$3)+1)*M36+IF($B$6=0,0,$B$6*NORMSINV(0.000001+0.999998*RAND())))</f>
        <v/>
      </c>
      <c r="GI36" s="30">
        <f>IF(79&gt;$B$3,99,INDEX(Symboles!$H$6:$H$101,MOD(78+$C36+(-4),$B$3)+1)*E36+INDEX(Symboles!$H$6:$H$101,MOD(78+$C36+(-3),$B$3)+1)*F36+INDEX(Symboles!$H$6:$H$101,MOD(78+$C36+(-2),$B$3)+1)*G36+INDEX(Symboles!$H$6:$H$101,MOD(78+$C36+(-1),$B$3)+1)*H36+INDEX(Symboles!$H$6:$H$101,MOD(78+$C36+(0),$B$3)+1)*I36+INDEX(Symboles!$H$6:$H$101,MOD(78+$C36+(1),$B$3)+1)*J36+INDEX(Symboles!$H$6:$H$101,MOD(78+$C36+(2),$B$3)+1)*K36+INDEX(Symboles!$H$6:$H$101,MOD(78+$C36+(3),$B$3)+1)*L36+INDEX(Symboles!$H$6:$H$101,MOD(78+$C36+(4),$B$3)+1)*M36+IF($B$6=0,0,$B$6*NORMSINV(0.000001+0.999998*RAND())))</f>
        <v/>
      </c>
      <c r="GJ36" s="30">
        <f>IF(80&gt;$B$3,99,INDEX(Symboles!$H$6:$H$101,MOD(79+$C36+(-4),$B$3)+1)*E36+INDEX(Symboles!$H$6:$H$101,MOD(79+$C36+(-3),$B$3)+1)*F36+INDEX(Symboles!$H$6:$H$101,MOD(79+$C36+(-2),$B$3)+1)*G36+INDEX(Symboles!$H$6:$H$101,MOD(79+$C36+(-1),$B$3)+1)*H36+INDEX(Symboles!$H$6:$H$101,MOD(79+$C36+(0),$B$3)+1)*I36+INDEX(Symboles!$H$6:$H$101,MOD(79+$C36+(1),$B$3)+1)*J36+INDEX(Symboles!$H$6:$H$101,MOD(79+$C36+(2),$B$3)+1)*K36+INDEX(Symboles!$H$6:$H$101,MOD(79+$C36+(3),$B$3)+1)*L36+INDEX(Symboles!$H$6:$H$101,MOD(79+$C36+(4),$B$3)+1)*M36+IF($B$6=0,0,$B$6*NORMSINV(0.000001+0.999998*RAND())))</f>
        <v/>
      </c>
      <c r="GK36" s="30">
        <f>IF(81&gt;$B$3,99,INDEX(Symboles!$H$6:$H$101,MOD(80+$C36+(-4),$B$3)+1)*E36+INDEX(Symboles!$H$6:$H$101,MOD(80+$C36+(-3),$B$3)+1)*F36+INDEX(Symboles!$H$6:$H$101,MOD(80+$C36+(-2),$B$3)+1)*G36+INDEX(Symboles!$H$6:$H$101,MOD(80+$C36+(-1),$B$3)+1)*H36+INDEX(Symboles!$H$6:$H$101,MOD(80+$C36+(0),$B$3)+1)*I36+INDEX(Symboles!$H$6:$H$101,MOD(80+$C36+(1),$B$3)+1)*J36+INDEX(Symboles!$H$6:$H$101,MOD(80+$C36+(2),$B$3)+1)*K36+INDEX(Symboles!$H$6:$H$101,MOD(80+$C36+(3),$B$3)+1)*L36+INDEX(Symboles!$H$6:$H$101,MOD(80+$C36+(4),$B$3)+1)*M36+IF($B$6=0,0,$B$6*NORMSINV(0.000001+0.999998*RAND())))</f>
        <v/>
      </c>
      <c r="GL36" s="30">
        <f>IF(82&gt;$B$3,99,INDEX(Symboles!$H$6:$H$101,MOD(81+$C36+(-4),$B$3)+1)*E36+INDEX(Symboles!$H$6:$H$101,MOD(81+$C36+(-3),$B$3)+1)*F36+INDEX(Symboles!$H$6:$H$101,MOD(81+$C36+(-2),$B$3)+1)*G36+INDEX(Symboles!$H$6:$H$101,MOD(81+$C36+(-1),$B$3)+1)*H36+INDEX(Symboles!$H$6:$H$101,MOD(81+$C36+(0),$B$3)+1)*I36+INDEX(Symboles!$H$6:$H$101,MOD(81+$C36+(1),$B$3)+1)*J36+INDEX(Symboles!$H$6:$H$101,MOD(81+$C36+(2),$B$3)+1)*K36+INDEX(Symboles!$H$6:$H$101,MOD(81+$C36+(3),$B$3)+1)*L36+INDEX(Symboles!$H$6:$H$101,MOD(81+$C36+(4),$B$3)+1)*M36+IF($B$6=0,0,$B$6*NORMSINV(0.000001+0.999998*RAND())))</f>
        <v/>
      </c>
      <c r="GM36" s="30">
        <f>IF(83&gt;$B$3,99,INDEX(Symboles!$H$6:$H$101,MOD(82+$C36+(-4),$B$3)+1)*E36+INDEX(Symboles!$H$6:$H$101,MOD(82+$C36+(-3),$B$3)+1)*F36+INDEX(Symboles!$H$6:$H$101,MOD(82+$C36+(-2),$B$3)+1)*G36+INDEX(Symboles!$H$6:$H$101,MOD(82+$C36+(-1),$B$3)+1)*H36+INDEX(Symboles!$H$6:$H$101,MOD(82+$C36+(0),$B$3)+1)*I36+INDEX(Symboles!$H$6:$H$101,MOD(82+$C36+(1),$B$3)+1)*J36+INDEX(Symboles!$H$6:$H$101,MOD(82+$C36+(2),$B$3)+1)*K36+INDEX(Symboles!$H$6:$H$101,MOD(82+$C36+(3),$B$3)+1)*L36+INDEX(Symboles!$H$6:$H$101,MOD(82+$C36+(4),$B$3)+1)*M36+IF($B$6=0,0,$B$6*NORMSINV(0.000001+0.999998*RAND())))</f>
        <v/>
      </c>
      <c r="GN36" s="30">
        <f>IF(84&gt;$B$3,99,INDEX(Symboles!$H$6:$H$101,MOD(83+$C36+(-4),$B$3)+1)*E36+INDEX(Symboles!$H$6:$H$101,MOD(83+$C36+(-3),$B$3)+1)*F36+INDEX(Symboles!$H$6:$H$101,MOD(83+$C36+(-2),$B$3)+1)*G36+INDEX(Symboles!$H$6:$H$101,MOD(83+$C36+(-1),$B$3)+1)*H36+INDEX(Symboles!$H$6:$H$101,MOD(83+$C36+(0),$B$3)+1)*I36+INDEX(Symboles!$H$6:$H$101,MOD(83+$C36+(1),$B$3)+1)*J36+INDEX(Symboles!$H$6:$H$101,MOD(83+$C36+(2),$B$3)+1)*K36+INDEX(Symboles!$H$6:$H$101,MOD(83+$C36+(3),$B$3)+1)*L36+INDEX(Symboles!$H$6:$H$101,MOD(83+$C36+(4),$B$3)+1)*M36+IF($B$6=0,0,$B$6*NORMSINV(0.000001+0.999998*RAND())))</f>
        <v/>
      </c>
      <c r="GO36" s="30">
        <f>IF(85&gt;$B$3,99,INDEX(Symboles!$H$6:$H$101,MOD(84+$C36+(-4),$B$3)+1)*E36+INDEX(Symboles!$H$6:$H$101,MOD(84+$C36+(-3),$B$3)+1)*F36+INDEX(Symboles!$H$6:$H$101,MOD(84+$C36+(-2),$B$3)+1)*G36+INDEX(Symboles!$H$6:$H$101,MOD(84+$C36+(-1),$B$3)+1)*H36+INDEX(Symboles!$H$6:$H$101,MOD(84+$C36+(0),$B$3)+1)*I36+INDEX(Symboles!$H$6:$H$101,MOD(84+$C36+(1),$B$3)+1)*J36+INDEX(Symboles!$H$6:$H$101,MOD(84+$C36+(2),$B$3)+1)*K36+INDEX(Symboles!$H$6:$H$101,MOD(84+$C36+(3),$B$3)+1)*L36+INDEX(Symboles!$H$6:$H$101,MOD(84+$C36+(4),$B$3)+1)*M36+IF($B$6=0,0,$B$6*NORMSINV(0.000001+0.999998*RAND())))</f>
        <v/>
      </c>
      <c r="GP36" s="30">
        <f>IF(86&gt;$B$3,99,INDEX(Symboles!$H$6:$H$101,MOD(85+$C36+(-4),$B$3)+1)*E36+INDEX(Symboles!$H$6:$H$101,MOD(85+$C36+(-3),$B$3)+1)*F36+INDEX(Symboles!$H$6:$H$101,MOD(85+$C36+(-2),$B$3)+1)*G36+INDEX(Symboles!$H$6:$H$101,MOD(85+$C36+(-1),$B$3)+1)*H36+INDEX(Symboles!$H$6:$H$101,MOD(85+$C36+(0),$B$3)+1)*I36+INDEX(Symboles!$H$6:$H$101,MOD(85+$C36+(1),$B$3)+1)*J36+INDEX(Symboles!$H$6:$H$101,MOD(85+$C36+(2),$B$3)+1)*K36+INDEX(Symboles!$H$6:$H$101,MOD(85+$C36+(3),$B$3)+1)*L36+INDEX(Symboles!$H$6:$H$101,MOD(85+$C36+(4),$B$3)+1)*M36+IF($B$6=0,0,$B$6*NORMSINV(0.000001+0.999998*RAND())))</f>
        <v/>
      </c>
      <c r="GQ36" s="30">
        <f>IF(87&gt;$B$3,99,INDEX(Symboles!$H$6:$H$101,MOD(86+$C36+(-4),$B$3)+1)*E36+INDEX(Symboles!$H$6:$H$101,MOD(86+$C36+(-3),$B$3)+1)*F36+INDEX(Symboles!$H$6:$H$101,MOD(86+$C36+(-2),$B$3)+1)*G36+INDEX(Symboles!$H$6:$H$101,MOD(86+$C36+(-1),$B$3)+1)*H36+INDEX(Symboles!$H$6:$H$101,MOD(86+$C36+(0),$B$3)+1)*I36+INDEX(Symboles!$H$6:$H$101,MOD(86+$C36+(1),$B$3)+1)*J36+INDEX(Symboles!$H$6:$H$101,MOD(86+$C36+(2),$B$3)+1)*K36+INDEX(Symboles!$H$6:$H$101,MOD(86+$C36+(3),$B$3)+1)*L36+INDEX(Symboles!$H$6:$H$101,MOD(86+$C36+(4),$B$3)+1)*M36+IF($B$6=0,0,$B$6*NORMSINV(0.000001+0.999998*RAND())))</f>
        <v/>
      </c>
      <c r="GR36" s="30">
        <f>IF(88&gt;$B$3,99,INDEX(Symboles!$H$6:$H$101,MOD(87+$C36+(-4),$B$3)+1)*E36+INDEX(Symboles!$H$6:$H$101,MOD(87+$C36+(-3),$B$3)+1)*F36+INDEX(Symboles!$H$6:$H$101,MOD(87+$C36+(-2),$B$3)+1)*G36+INDEX(Symboles!$H$6:$H$101,MOD(87+$C36+(-1),$B$3)+1)*H36+INDEX(Symboles!$H$6:$H$101,MOD(87+$C36+(0),$B$3)+1)*I36+INDEX(Symboles!$H$6:$H$101,MOD(87+$C36+(1),$B$3)+1)*J36+INDEX(Symboles!$H$6:$H$101,MOD(87+$C36+(2),$B$3)+1)*K36+INDEX(Symboles!$H$6:$H$101,MOD(87+$C36+(3),$B$3)+1)*L36+INDEX(Symboles!$H$6:$H$101,MOD(87+$C36+(4),$B$3)+1)*M36+IF($B$6=0,0,$B$6*NORMSINV(0.000001+0.999998*RAND())))</f>
        <v/>
      </c>
      <c r="GS36" s="30">
        <f>IF(89&gt;$B$3,99,INDEX(Symboles!$H$6:$H$101,MOD(88+$C36+(-4),$B$3)+1)*E36+INDEX(Symboles!$H$6:$H$101,MOD(88+$C36+(-3),$B$3)+1)*F36+INDEX(Symboles!$H$6:$H$101,MOD(88+$C36+(-2),$B$3)+1)*G36+INDEX(Symboles!$H$6:$H$101,MOD(88+$C36+(-1),$B$3)+1)*H36+INDEX(Symboles!$H$6:$H$101,MOD(88+$C36+(0),$B$3)+1)*I36+INDEX(Symboles!$H$6:$H$101,MOD(88+$C36+(1),$B$3)+1)*J36+INDEX(Symboles!$H$6:$H$101,MOD(88+$C36+(2),$B$3)+1)*K36+INDEX(Symboles!$H$6:$H$101,MOD(88+$C36+(3),$B$3)+1)*L36+INDEX(Symboles!$H$6:$H$101,MOD(88+$C36+(4),$B$3)+1)*M36+IF($B$6=0,0,$B$6*NORMSINV(0.000001+0.999998*RAND())))</f>
        <v/>
      </c>
      <c r="GT36" s="30">
        <f>IF(90&gt;$B$3,99,INDEX(Symboles!$H$6:$H$101,MOD(89+$C36+(-4),$B$3)+1)*E36+INDEX(Symboles!$H$6:$H$101,MOD(89+$C36+(-3),$B$3)+1)*F36+INDEX(Symboles!$H$6:$H$101,MOD(89+$C36+(-2),$B$3)+1)*G36+INDEX(Symboles!$H$6:$H$101,MOD(89+$C36+(-1),$B$3)+1)*H36+INDEX(Symboles!$H$6:$H$101,MOD(89+$C36+(0),$B$3)+1)*I36+INDEX(Symboles!$H$6:$H$101,MOD(89+$C36+(1),$B$3)+1)*J36+INDEX(Symboles!$H$6:$H$101,MOD(89+$C36+(2),$B$3)+1)*K36+INDEX(Symboles!$H$6:$H$101,MOD(89+$C36+(3),$B$3)+1)*L36+INDEX(Symboles!$H$6:$H$101,MOD(89+$C36+(4),$B$3)+1)*M36+IF($B$6=0,0,$B$6*NORMSINV(0.000001+0.999998*RAND())))</f>
        <v/>
      </c>
      <c r="GU36" s="30">
        <f>IF(91&gt;$B$3,99,INDEX(Symboles!$H$6:$H$101,MOD(90+$C36+(-4),$B$3)+1)*E36+INDEX(Symboles!$H$6:$H$101,MOD(90+$C36+(-3),$B$3)+1)*F36+INDEX(Symboles!$H$6:$H$101,MOD(90+$C36+(-2),$B$3)+1)*G36+INDEX(Symboles!$H$6:$H$101,MOD(90+$C36+(-1),$B$3)+1)*H36+INDEX(Symboles!$H$6:$H$101,MOD(90+$C36+(0),$B$3)+1)*I36+INDEX(Symboles!$H$6:$H$101,MOD(90+$C36+(1),$B$3)+1)*J36+INDEX(Symboles!$H$6:$H$101,MOD(90+$C36+(2),$B$3)+1)*K36+INDEX(Symboles!$H$6:$H$101,MOD(90+$C36+(3),$B$3)+1)*L36+INDEX(Symboles!$H$6:$H$101,MOD(90+$C36+(4),$B$3)+1)*M36+IF($B$6=0,0,$B$6*NORMSINV(0.000001+0.999998*RAND())))</f>
        <v/>
      </c>
      <c r="GV36" s="30">
        <f>IF(92&gt;$B$3,99,INDEX(Symboles!$H$6:$H$101,MOD(91+$C36+(-4),$B$3)+1)*E36+INDEX(Symboles!$H$6:$H$101,MOD(91+$C36+(-3),$B$3)+1)*F36+INDEX(Symboles!$H$6:$H$101,MOD(91+$C36+(-2),$B$3)+1)*G36+INDEX(Symboles!$H$6:$H$101,MOD(91+$C36+(-1),$B$3)+1)*H36+INDEX(Symboles!$H$6:$H$101,MOD(91+$C36+(0),$B$3)+1)*I36+INDEX(Symboles!$H$6:$H$101,MOD(91+$C36+(1),$B$3)+1)*J36+INDEX(Symboles!$H$6:$H$101,MOD(91+$C36+(2),$B$3)+1)*K36+INDEX(Symboles!$H$6:$H$101,MOD(91+$C36+(3),$B$3)+1)*L36+INDEX(Symboles!$H$6:$H$101,MOD(91+$C36+(4),$B$3)+1)*M36+IF($B$6=0,0,$B$6*NORMSINV(0.000001+0.999998*RAND())))</f>
        <v/>
      </c>
      <c r="GW36" s="30">
        <f>IF(93&gt;$B$3,99,INDEX(Symboles!$H$6:$H$101,MOD(92+$C36+(-4),$B$3)+1)*E36+INDEX(Symboles!$H$6:$H$101,MOD(92+$C36+(-3),$B$3)+1)*F36+INDEX(Symboles!$H$6:$H$101,MOD(92+$C36+(-2),$B$3)+1)*G36+INDEX(Symboles!$H$6:$H$101,MOD(92+$C36+(-1),$B$3)+1)*H36+INDEX(Symboles!$H$6:$H$101,MOD(92+$C36+(0),$B$3)+1)*I36+INDEX(Symboles!$H$6:$H$101,MOD(92+$C36+(1),$B$3)+1)*J36+INDEX(Symboles!$H$6:$H$101,MOD(92+$C36+(2),$B$3)+1)*K36+INDEX(Symboles!$H$6:$H$101,MOD(92+$C36+(3),$B$3)+1)*L36+INDEX(Symboles!$H$6:$H$101,MOD(92+$C36+(4),$B$3)+1)*M36+IF($B$6=0,0,$B$6*NORMSINV(0.000001+0.999998*RAND())))</f>
        <v/>
      </c>
      <c r="GX36" s="30">
        <f>IF(94&gt;$B$3,99,INDEX(Symboles!$H$6:$H$101,MOD(93+$C36+(-4),$B$3)+1)*E36+INDEX(Symboles!$H$6:$H$101,MOD(93+$C36+(-3),$B$3)+1)*F36+INDEX(Symboles!$H$6:$H$101,MOD(93+$C36+(-2),$B$3)+1)*G36+INDEX(Symboles!$H$6:$H$101,MOD(93+$C36+(-1),$B$3)+1)*H36+INDEX(Symboles!$H$6:$H$101,MOD(93+$C36+(0),$B$3)+1)*I36+INDEX(Symboles!$H$6:$H$101,MOD(93+$C36+(1),$B$3)+1)*J36+INDEX(Symboles!$H$6:$H$101,MOD(93+$C36+(2),$B$3)+1)*K36+INDEX(Symboles!$H$6:$H$101,MOD(93+$C36+(3),$B$3)+1)*L36+INDEX(Symboles!$H$6:$H$101,MOD(93+$C36+(4),$B$3)+1)*M36+IF($B$6=0,0,$B$6*NORMSINV(0.000001+0.999998*RAND())))</f>
        <v/>
      </c>
      <c r="GY36" s="30">
        <f>IF(95&gt;$B$3,99,INDEX(Symboles!$H$6:$H$101,MOD(94+$C36+(-4),$B$3)+1)*E36+INDEX(Symboles!$H$6:$H$101,MOD(94+$C36+(-3),$B$3)+1)*F36+INDEX(Symboles!$H$6:$H$101,MOD(94+$C36+(-2),$B$3)+1)*G36+INDEX(Symboles!$H$6:$H$101,MOD(94+$C36+(-1),$B$3)+1)*H36+INDEX(Symboles!$H$6:$H$101,MOD(94+$C36+(0),$B$3)+1)*I36+INDEX(Symboles!$H$6:$H$101,MOD(94+$C36+(1),$B$3)+1)*J36+INDEX(Symboles!$H$6:$H$101,MOD(94+$C36+(2),$B$3)+1)*K36+INDEX(Symboles!$H$6:$H$101,MOD(94+$C36+(3),$B$3)+1)*L36+INDEX(Symboles!$H$6:$H$101,MOD(94+$C36+(4),$B$3)+1)*M36+IF($B$6=0,0,$B$6*NORMSINV(0.000001+0.999998*RAND())))</f>
        <v/>
      </c>
      <c r="GZ36" s="30">
        <f>IF(96&gt;$B$3,99,INDEX(Symboles!$H$6:$H$101,MOD(95+$C36+(-4),$B$3)+1)*E36+INDEX(Symboles!$H$6:$H$101,MOD(95+$C36+(-3),$B$3)+1)*F36+INDEX(Symboles!$H$6:$H$101,MOD(95+$C36+(-2),$B$3)+1)*G36+INDEX(Symboles!$H$6:$H$101,MOD(95+$C36+(-1),$B$3)+1)*H36+INDEX(Symboles!$H$6:$H$101,MOD(95+$C36+(0),$B$3)+1)*I36+INDEX(Symboles!$H$6:$H$101,MOD(95+$C36+(1),$B$3)+1)*J36+INDEX(Symboles!$H$6:$H$101,MOD(95+$C36+(2),$B$3)+1)*K36+INDEX(Symboles!$H$6:$H$101,MOD(95+$C36+(3),$B$3)+1)*L36+INDEX(Symboles!$H$6:$H$101,MOD(95+$C36+(4),$B$3)+1)*M36+IF($B$6=0,0,$B$6*NORMSINV(0.000001+0.999998*RAND())))</f>
        <v/>
      </c>
    </row>
    <row r="37">
      <c r="A37" s="28" t="n">
        <v>27</v>
      </c>
      <c r="B37" s="28" t="n">
        <v>0.6875</v>
      </c>
      <c r="C37" s="28" t="n">
        <v>1</v>
      </c>
      <c r="D37" s="28" t="n">
        <v>3</v>
      </c>
      <c r="E37" s="29">
        <f>IF($B$4=1,0,IF(ABS(1-(2*$B$5*3.6875)^2)&lt;0.000001,PI()/4*SIN(PI()/(2*$B$5))/(PI()/(2*$B$5)),SIN(PI()*3.6875)/(PI()*3.6875)*COS(PI()*$B$5*3.6875)/(1-(2*$B$5*3.6875)^2)))</f>
        <v/>
      </c>
      <c r="F37" s="29">
        <f>IF($B$4=1,0,IF(ABS(1-(2*$B$5*2.6875)^2)&lt;0.000001,PI()/4*SIN(PI()/(2*$B$5))/(PI()/(2*$B$5)),SIN(PI()*2.6875)/(PI()*2.6875)*COS(PI()*$B$5*2.6875)/(1-(2*$B$5*2.6875)^2)))</f>
        <v/>
      </c>
      <c r="G37" s="29">
        <f>IF($B$4=1,0,IF(ABS(1-(2*$B$5*1.6875)^2)&lt;0.000001,PI()/4*SIN(PI()/(2*$B$5))/(PI()/(2*$B$5)),SIN(PI()*1.6875)/(PI()*1.6875)*COS(PI()*$B$5*1.6875)/(1-(2*$B$5*1.6875)^2)))</f>
        <v/>
      </c>
      <c r="H37" s="29">
        <f>IF($B$4=1,0,IF(ABS(1-(2*$B$5*0.6875)^2)&lt;0.000001,PI()/4*SIN(PI()/(2*$B$5))/(PI()/(2*$B$5)),SIN(PI()*0.6875)/(PI()*0.6875)*COS(PI()*$B$5*0.6875)/(1-(2*$B$5*0.6875)^2)))</f>
        <v/>
      </c>
      <c r="I37" s="29">
        <f>IF($B$4=1,1,IF(ABS(1-(2*$B$5*-0.3125)^2)&lt;0.000001,PI()/4*SIN(PI()/(2*$B$5))/(PI()/(2*$B$5)),SIN(PI()*-0.3125)/(PI()*-0.3125)*COS(PI()*$B$5*-0.3125)/(1-(2*$B$5*-0.3125)^2)))</f>
        <v/>
      </c>
      <c r="J37" s="29">
        <f>IF($B$4=1,0,IF(ABS(1-(2*$B$5*-1.3125)^2)&lt;0.000001,PI()/4*SIN(PI()/(2*$B$5))/(PI()/(2*$B$5)),SIN(PI()*-1.3125)/(PI()*-1.3125)*COS(PI()*$B$5*-1.3125)/(1-(2*$B$5*-1.3125)^2)))</f>
        <v/>
      </c>
      <c r="K37" s="29">
        <f>IF($B$4=1,0,IF(ABS(1-(2*$B$5*-2.3125)^2)&lt;0.000001,PI()/4*SIN(PI()/(2*$B$5))/(PI()/(2*$B$5)),SIN(PI()*-2.3125)/(PI()*-2.3125)*COS(PI()*$B$5*-2.3125)/(1-(2*$B$5*-2.3125)^2)))</f>
        <v/>
      </c>
      <c r="L37" s="29">
        <f>IF($B$4=1,0,IF(ABS(1-(2*$B$5*-3.3125)^2)&lt;0.000001,PI()/4*SIN(PI()/(2*$B$5))/(PI()/(2*$B$5)),SIN(PI()*-3.3125)/(PI()*-3.3125)*COS(PI()*$B$5*-3.3125)/(1-(2*$B$5*-3.3125)^2)))</f>
        <v/>
      </c>
      <c r="M37" s="29">
        <f>IF($B$4=1,0,IF(ABS(1-(2*$B$5*-4.3125)^2)&lt;0.000001,PI()/4*SIN(PI()/(2*$B$5))/(PI()/(2*$B$5)),SIN(PI()*-4.3125)/(PI()*-4.3125)*COS(PI()*$B$5*-4.3125)/(1-(2*$B$5*-4.3125)^2)))</f>
        <v/>
      </c>
      <c r="P37" s="30">
        <f>IF(1&gt;$B$3,99,INDEX(Symboles!$G$6:$G$101,MOD(0+$C37+(-4),$B$3)+1)*E37+INDEX(Symboles!$G$6:$G$101,MOD(0+$C37+(-3),$B$3)+1)*F37+INDEX(Symboles!$G$6:$G$101,MOD(0+$C37+(-2),$B$3)+1)*G37+INDEX(Symboles!$G$6:$G$101,MOD(0+$C37+(-1),$B$3)+1)*H37+INDEX(Symboles!$G$6:$G$101,MOD(0+$C37+(0),$B$3)+1)*I37+INDEX(Symboles!$G$6:$G$101,MOD(0+$C37+(1),$B$3)+1)*J37+INDEX(Symboles!$G$6:$G$101,MOD(0+$C37+(2),$B$3)+1)*K37+INDEX(Symboles!$G$6:$G$101,MOD(0+$C37+(3),$B$3)+1)*L37+INDEX(Symboles!$G$6:$G$101,MOD(0+$C37+(4),$B$3)+1)*M37+IF($B$6=0,0,$B$6*NORMSINV(0.000001+0.999998*RAND())))</f>
        <v/>
      </c>
      <c r="Q37" s="30">
        <f>IF(2&gt;$B$3,99,INDEX(Symboles!$G$6:$G$101,MOD(1+$C37+(-4),$B$3)+1)*E37+INDEX(Symboles!$G$6:$G$101,MOD(1+$C37+(-3),$B$3)+1)*F37+INDEX(Symboles!$G$6:$G$101,MOD(1+$C37+(-2),$B$3)+1)*G37+INDEX(Symboles!$G$6:$G$101,MOD(1+$C37+(-1),$B$3)+1)*H37+INDEX(Symboles!$G$6:$G$101,MOD(1+$C37+(0),$B$3)+1)*I37+INDEX(Symboles!$G$6:$G$101,MOD(1+$C37+(1),$B$3)+1)*J37+INDEX(Symboles!$G$6:$G$101,MOD(1+$C37+(2),$B$3)+1)*K37+INDEX(Symboles!$G$6:$G$101,MOD(1+$C37+(3),$B$3)+1)*L37+INDEX(Symboles!$G$6:$G$101,MOD(1+$C37+(4),$B$3)+1)*M37+IF($B$6=0,0,$B$6*NORMSINV(0.000001+0.999998*RAND())))</f>
        <v/>
      </c>
      <c r="R37" s="30">
        <f>IF(3&gt;$B$3,99,INDEX(Symboles!$G$6:$G$101,MOD(2+$C37+(-4),$B$3)+1)*E37+INDEX(Symboles!$G$6:$G$101,MOD(2+$C37+(-3),$B$3)+1)*F37+INDEX(Symboles!$G$6:$G$101,MOD(2+$C37+(-2),$B$3)+1)*G37+INDEX(Symboles!$G$6:$G$101,MOD(2+$C37+(-1),$B$3)+1)*H37+INDEX(Symboles!$G$6:$G$101,MOD(2+$C37+(0),$B$3)+1)*I37+INDEX(Symboles!$G$6:$G$101,MOD(2+$C37+(1),$B$3)+1)*J37+INDEX(Symboles!$G$6:$G$101,MOD(2+$C37+(2),$B$3)+1)*K37+INDEX(Symboles!$G$6:$G$101,MOD(2+$C37+(3),$B$3)+1)*L37+INDEX(Symboles!$G$6:$G$101,MOD(2+$C37+(4),$B$3)+1)*M37+IF($B$6=0,0,$B$6*NORMSINV(0.000001+0.999998*RAND())))</f>
        <v/>
      </c>
      <c r="S37" s="30">
        <f>IF(4&gt;$B$3,99,INDEX(Symboles!$G$6:$G$101,MOD(3+$C37+(-4),$B$3)+1)*E37+INDEX(Symboles!$G$6:$G$101,MOD(3+$C37+(-3),$B$3)+1)*F37+INDEX(Symboles!$G$6:$G$101,MOD(3+$C37+(-2),$B$3)+1)*G37+INDEX(Symboles!$G$6:$G$101,MOD(3+$C37+(-1),$B$3)+1)*H37+INDEX(Symboles!$G$6:$G$101,MOD(3+$C37+(0),$B$3)+1)*I37+INDEX(Symboles!$G$6:$G$101,MOD(3+$C37+(1),$B$3)+1)*J37+INDEX(Symboles!$G$6:$G$101,MOD(3+$C37+(2),$B$3)+1)*K37+INDEX(Symboles!$G$6:$G$101,MOD(3+$C37+(3),$B$3)+1)*L37+INDEX(Symboles!$G$6:$G$101,MOD(3+$C37+(4),$B$3)+1)*M37+IF($B$6=0,0,$B$6*NORMSINV(0.000001+0.999998*RAND())))</f>
        <v/>
      </c>
      <c r="T37" s="30">
        <f>IF(5&gt;$B$3,99,INDEX(Symboles!$G$6:$G$101,MOD(4+$C37+(-4),$B$3)+1)*E37+INDEX(Symboles!$G$6:$G$101,MOD(4+$C37+(-3),$B$3)+1)*F37+INDEX(Symboles!$G$6:$G$101,MOD(4+$C37+(-2),$B$3)+1)*G37+INDEX(Symboles!$G$6:$G$101,MOD(4+$C37+(-1),$B$3)+1)*H37+INDEX(Symboles!$G$6:$G$101,MOD(4+$C37+(0),$B$3)+1)*I37+INDEX(Symboles!$G$6:$G$101,MOD(4+$C37+(1),$B$3)+1)*J37+INDEX(Symboles!$G$6:$G$101,MOD(4+$C37+(2),$B$3)+1)*K37+INDEX(Symboles!$G$6:$G$101,MOD(4+$C37+(3),$B$3)+1)*L37+INDEX(Symboles!$G$6:$G$101,MOD(4+$C37+(4),$B$3)+1)*M37+IF($B$6=0,0,$B$6*NORMSINV(0.000001+0.999998*RAND())))</f>
        <v/>
      </c>
      <c r="U37" s="30">
        <f>IF(6&gt;$B$3,99,INDEX(Symboles!$G$6:$G$101,MOD(5+$C37+(-4),$B$3)+1)*E37+INDEX(Symboles!$G$6:$G$101,MOD(5+$C37+(-3),$B$3)+1)*F37+INDEX(Symboles!$G$6:$G$101,MOD(5+$C37+(-2),$B$3)+1)*G37+INDEX(Symboles!$G$6:$G$101,MOD(5+$C37+(-1),$B$3)+1)*H37+INDEX(Symboles!$G$6:$G$101,MOD(5+$C37+(0),$B$3)+1)*I37+INDEX(Symboles!$G$6:$G$101,MOD(5+$C37+(1),$B$3)+1)*J37+INDEX(Symboles!$G$6:$G$101,MOD(5+$C37+(2),$B$3)+1)*K37+INDEX(Symboles!$G$6:$G$101,MOD(5+$C37+(3),$B$3)+1)*L37+INDEX(Symboles!$G$6:$G$101,MOD(5+$C37+(4),$B$3)+1)*M37+IF($B$6=0,0,$B$6*NORMSINV(0.000001+0.999998*RAND())))</f>
        <v/>
      </c>
      <c r="V37" s="30">
        <f>IF(7&gt;$B$3,99,INDEX(Symboles!$G$6:$G$101,MOD(6+$C37+(-4),$B$3)+1)*E37+INDEX(Symboles!$G$6:$G$101,MOD(6+$C37+(-3),$B$3)+1)*F37+INDEX(Symboles!$G$6:$G$101,MOD(6+$C37+(-2),$B$3)+1)*G37+INDEX(Symboles!$G$6:$G$101,MOD(6+$C37+(-1),$B$3)+1)*H37+INDEX(Symboles!$G$6:$G$101,MOD(6+$C37+(0),$B$3)+1)*I37+INDEX(Symboles!$G$6:$G$101,MOD(6+$C37+(1),$B$3)+1)*J37+INDEX(Symboles!$G$6:$G$101,MOD(6+$C37+(2),$B$3)+1)*K37+INDEX(Symboles!$G$6:$G$101,MOD(6+$C37+(3),$B$3)+1)*L37+INDEX(Symboles!$G$6:$G$101,MOD(6+$C37+(4),$B$3)+1)*M37+IF($B$6=0,0,$B$6*NORMSINV(0.000001+0.999998*RAND())))</f>
        <v/>
      </c>
      <c r="W37" s="30">
        <f>IF(8&gt;$B$3,99,INDEX(Symboles!$G$6:$G$101,MOD(7+$C37+(-4),$B$3)+1)*E37+INDEX(Symboles!$G$6:$G$101,MOD(7+$C37+(-3),$B$3)+1)*F37+INDEX(Symboles!$G$6:$G$101,MOD(7+$C37+(-2),$B$3)+1)*G37+INDEX(Symboles!$G$6:$G$101,MOD(7+$C37+(-1),$B$3)+1)*H37+INDEX(Symboles!$G$6:$G$101,MOD(7+$C37+(0),$B$3)+1)*I37+INDEX(Symboles!$G$6:$G$101,MOD(7+$C37+(1),$B$3)+1)*J37+INDEX(Symboles!$G$6:$G$101,MOD(7+$C37+(2),$B$3)+1)*K37+INDEX(Symboles!$G$6:$G$101,MOD(7+$C37+(3),$B$3)+1)*L37+INDEX(Symboles!$G$6:$G$101,MOD(7+$C37+(4),$B$3)+1)*M37+IF($B$6=0,0,$B$6*NORMSINV(0.000001+0.999998*RAND())))</f>
        <v/>
      </c>
      <c r="X37" s="30">
        <f>IF(9&gt;$B$3,99,INDEX(Symboles!$G$6:$G$101,MOD(8+$C37+(-4),$B$3)+1)*E37+INDEX(Symboles!$G$6:$G$101,MOD(8+$C37+(-3),$B$3)+1)*F37+INDEX(Symboles!$G$6:$G$101,MOD(8+$C37+(-2),$B$3)+1)*G37+INDEX(Symboles!$G$6:$G$101,MOD(8+$C37+(-1),$B$3)+1)*H37+INDEX(Symboles!$G$6:$G$101,MOD(8+$C37+(0),$B$3)+1)*I37+INDEX(Symboles!$G$6:$G$101,MOD(8+$C37+(1),$B$3)+1)*J37+INDEX(Symboles!$G$6:$G$101,MOD(8+$C37+(2),$B$3)+1)*K37+INDEX(Symboles!$G$6:$G$101,MOD(8+$C37+(3),$B$3)+1)*L37+INDEX(Symboles!$G$6:$G$101,MOD(8+$C37+(4),$B$3)+1)*M37+IF($B$6=0,0,$B$6*NORMSINV(0.000001+0.999998*RAND())))</f>
        <v/>
      </c>
      <c r="Y37" s="30">
        <f>IF(10&gt;$B$3,99,INDEX(Symboles!$G$6:$G$101,MOD(9+$C37+(-4),$B$3)+1)*E37+INDEX(Symboles!$G$6:$G$101,MOD(9+$C37+(-3),$B$3)+1)*F37+INDEX(Symboles!$G$6:$G$101,MOD(9+$C37+(-2),$B$3)+1)*G37+INDEX(Symboles!$G$6:$G$101,MOD(9+$C37+(-1),$B$3)+1)*H37+INDEX(Symboles!$G$6:$G$101,MOD(9+$C37+(0),$B$3)+1)*I37+INDEX(Symboles!$G$6:$G$101,MOD(9+$C37+(1),$B$3)+1)*J37+INDEX(Symboles!$G$6:$G$101,MOD(9+$C37+(2),$B$3)+1)*K37+INDEX(Symboles!$G$6:$G$101,MOD(9+$C37+(3),$B$3)+1)*L37+INDEX(Symboles!$G$6:$G$101,MOD(9+$C37+(4),$B$3)+1)*M37+IF($B$6=0,0,$B$6*NORMSINV(0.000001+0.999998*RAND())))</f>
        <v/>
      </c>
      <c r="Z37" s="30">
        <f>IF(11&gt;$B$3,99,INDEX(Symboles!$G$6:$G$101,MOD(10+$C37+(-4),$B$3)+1)*E37+INDEX(Symboles!$G$6:$G$101,MOD(10+$C37+(-3),$B$3)+1)*F37+INDEX(Symboles!$G$6:$G$101,MOD(10+$C37+(-2),$B$3)+1)*G37+INDEX(Symboles!$G$6:$G$101,MOD(10+$C37+(-1),$B$3)+1)*H37+INDEX(Symboles!$G$6:$G$101,MOD(10+$C37+(0),$B$3)+1)*I37+INDEX(Symboles!$G$6:$G$101,MOD(10+$C37+(1),$B$3)+1)*J37+INDEX(Symboles!$G$6:$G$101,MOD(10+$C37+(2),$B$3)+1)*K37+INDEX(Symboles!$G$6:$G$101,MOD(10+$C37+(3),$B$3)+1)*L37+INDEX(Symboles!$G$6:$G$101,MOD(10+$C37+(4),$B$3)+1)*M37+IF($B$6=0,0,$B$6*NORMSINV(0.000001+0.999998*RAND())))</f>
        <v/>
      </c>
      <c r="AA37" s="30">
        <f>IF(12&gt;$B$3,99,INDEX(Symboles!$G$6:$G$101,MOD(11+$C37+(-4),$B$3)+1)*E37+INDEX(Symboles!$G$6:$G$101,MOD(11+$C37+(-3),$B$3)+1)*F37+INDEX(Symboles!$G$6:$G$101,MOD(11+$C37+(-2),$B$3)+1)*G37+INDEX(Symboles!$G$6:$G$101,MOD(11+$C37+(-1),$B$3)+1)*H37+INDEX(Symboles!$G$6:$G$101,MOD(11+$C37+(0),$B$3)+1)*I37+INDEX(Symboles!$G$6:$G$101,MOD(11+$C37+(1),$B$3)+1)*J37+INDEX(Symboles!$G$6:$G$101,MOD(11+$C37+(2),$B$3)+1)*K37+INDEX(Symboles!$G$6:$G$101,MOD(11+$C37+(3),$B$3)+1)*L37+INDEX(Symboles!$G$6:$G$101,MOD(11+$C37+(4),$B$3)+1)*M37+IF($B$6=0,0,$B$6*NORMSINV(0.000001+0.999998*RAND())))</f>
        <v/>
      </c>
      <c r="AB37" s="30">
        <f>IF(13&gt;$B$3,99,INDEX(Symboles!$G$6:$G$101,MOD(12+$C37+(-4),$B$3)+1)*E37+INDEX(Symboles!$G$6:$G$101,MOD(12+$C37+(-3),$B$3)+1)*F37+INDEX(Symboles!$G$6:$G$101,MOD(12+$C37+(-2),$B$3)+1)*G37+INDEX(Symboles!$G$6:$G$101,MOD(12+$C37+(-1),$B$3)+1)*H37+INDEX(Symboles!$G$6:$G$101,MOD(12+$C37+(0),$B$3)+1)*I37+INDEX(Symboles!$G$6:$G$101,MOD(12+$C37+(1),$B$3)+1)*J37+INDEX(Symboles!$G$6:$G$101,MOD(12+$C37+(2),$B$3)+1)*K37+INDEX(Symboles!$G$6:$G$101,MOD(12+$C37+(3),$B$3)+1)*L37+INDEX(Symboles!$G$6:$G$101,MOD(12+$C37+(4),$B$3)+1)*M37+IF($B$6=0,0,$B$6*NORMSINV(0.000001+0.999998*RAND())))</f>
        <v/>
      </c>
      <c r="AC37" s="30">
        <f>IF(14&gt;$B$3,99,INDEX(Symboles!$G$6:$G$101,MOD(13+$C37+(-4),$B$3)+1)*E37+INDEX(Symboles!$G$6:$G$101,MOD(13+$C37+(-3),$B$3)+1)*F37+INDEX(Symboles!$G$6:$G$101,MOD(13+$C37+(-2),$B$3)+1)*G37+INDEX(Symboles!$G$6:$G$101,MOD(13+$C37+(-1),$B$3)+1)*H37+INDEX(Symboles!$G$6:$G$101,MOD(13+$C37+(0),$B$3)+1)*I37+INDEX(Symboles!$G$6:$G$101,MOD(13+$C37+(1),$B$3)+1)*J37+INDEX(Symboles!$G$6:$G$101,MOD(13+$C37+(2),$B$3)+1)*K37+INDEX(Symboles!$G$6:$G$101,MOD(13+$C37+(3),$B$3)+1)*L37+INDEX(Symboles!$G$6:$G$101,MOD(13+$C37+(4),$B$3)+1)*M37+IF($B$6=0,0,$B$6*NORMSINV(0.000001+0.999998*RAND())))</f>
        <v/>
      </c>
      <c r="AD37" s="30">
        <f>IF(15&gt;$B$3,99,INDEX(Symboles!$G$6:$G$101,MOD(14+$C37+(-4),$B$3)+1)*E37+INDEX(Symboles!$G$6:$G$101,MOD(14+$C37+(-3),$B$3)+1)*F37+INDEX(Symboles!$G$6:$G$101,MOD(14+$C37+(-2),$B$3)+1)*G37+INDEX(Symboles!$G$6:$G$101,MOD(14+$C37+(-1),$B$3)+1)*H37+INDEX(Symboles!$G$6:$G$101,MOD(14+$C37+(0),$B$3)+1)*I37+INDEX(Symboles!$G$6:$G$101,MOD(14+$C37+(1),$B$3)+1)*J37+INDEX(Symboles!$G$6:$G$101,MOD(14+$C37+(2),$B$3)+1)*K37+INDEX(Symboles!$G$6:$G$101,MOD(14+$C37+(3),$B$3)+1)*L37+INDEX(Symboles!$G$6:$G$101,MOD(14+$C37+(4),$B$3)+1)*M37+IF($B$6=0,0,$B$6*NORMSINV(0.000001+0.999998*RAND())))</f>
        <v/>
      </c>
      <c r="AE37" s="30">
        <f>IF(16&gt;$B$3,99,INDEX(Symboles!$G$6:$G$101,MOD(15+$C37+(-4),$B$3)+1)*E37+INDEX(Symboles!$G$6:$G$101,MOD(15+$C37+(-3),$B$3)+1)*F37+INDEX(Symboles!$G$6:$G$101,MOD(15+$C37+(-2),$B$3)+1)*G37+INDEX(Symboles!$G$6:$G$101,MOD(15+$C37+(-1),$B$3)+1)*H37+INDEX(Symboles!$G$6:$G$101,MOD(15+$C37+(0),$B$3)+1)*I37+INDEX(Symboles!$G$6:$G$101,MOD(15+$C37+(1),$B$3)+1)*J37+INDEX(Symboles!$G$6:$G$101,MOD(15+$C37+(2),$B$3)+1)*K37+INDEX(Symboles!$G$6:$G$101,MOD(15+$C37+(3),$B$3)+1)*L37+INDEX(Symboles!$G$6:$G$101,MOD(15+$C37+(4),$B$3)+1)*M37+IF($B$6=0,0,$B$6*NORMSINV(0.000001+0.999998*RAND())))</f>
        <v/>
      </c>
      <c r="AF37" s="30">
        <f>IF(17&gt;$B$3,99,INDEX(Symboles!$G$6:$G$101,MOD(16+$C37+(-4),$B$3)+1)*E37+INDEX(Symboles!$G$6:$G$101,MOD(16+$C37+(-3),$B$3)+1)*F37+INDEX(Symboles!$G$6:$G$101,MOD(16+$C37+(-2),$B$3)+1)*G37+INDEX(Symboles!$G$6:$G$101,MOD(16+$C37+(-1),$B$3)+1)*H37+INDEX(Symboles!$G$6:$G$101,MOD(16+$C37+(0),$B$3)+1)*I37+INDEX(Symboles!$G$6:$G$101,MOD(16+$C37+(1),$B$3)+1)*J37+INDEX(Symboles!$G$6:$G$101,MOD(16+$C37+(2),$B$3)+1)*K37+INDEX(Symboles!$G$6:$G$101,MOD(16+$C37+(3),$B$3)+1)*L37+INDEX(Symboles!$G$6:$G$101,MOD(16+$C37+(4),$B$3)+1)*M37+IF($B$6=0,0,$B$6*NORMSINV(0.000001+0.999998*RAND())))</f>
        <v/>
      </c>
      <c r="AG37" s="30">
        <f>IF(18&gt;$B$3,99,INDEX(Symboles!$G$6:$G$101,MOD(17+$C37+(-4),$B$3)+1)*E37+INDEX(Symboles!$G$6:$G$101,MOD(17+$C37+(-3),$B$3)+1)*F37+INDEX(Symboles!$G$6:$G$101,MOD(17+$C37+(-2),$B$3)+1)*G37+INDEX(Symboles!$G$6:$G$101,MOD(17+$C37+(-1),$B$3)+1)*H37+INDEX(Symboles!$G$6:$G$101,MOD(17+$C37+(0),$B$3)+1)*I37+INDEX(Symboles!$G$6:$G$101,MOD(17+$C37+(1),$B$3)+1)*J37+INDEX(Symboles!$G$6:$G$101,MOD(17+$C37+(2),$B$3)+1)*K37+INDEX(Symboles!$G$6:$G$101,MOD(17+$C37+(3),$B$3)+1)*L37+INDEX(Symboles!$G$6:$G$101,MOD(17+$C37+(4),$B$3)+1)*M37+IF($B$6=0,0,$B$6*NORMSINV(0.000001+0.999998*RAND())))</f>
        <v/>
      </c>
      <c r="AH37" s="30">
        <f>IF(19&gt;$B$3,99,INDEX(Symboles!$G$6:$G$101,MOD(18+$C37+(-4),$B$3)+1)*E37+INDEX(Symboles!$G$6:$G$101,MOD(18+$C37+(-3),$B$3)+1)*F37+INDEX(Symboles!$G$6:$G$101,MOD(18+$C37+(-2),$B$3)+1)*G37+INDEX(Symboles!$G$6:$G$101,MOD(18+$C37+(-1),$B$3)+1)*H37+INDEX(Symboles!$G$6:$G$101,MOD(18+$C37+(0),$B$3)+1)*I37+INDEX(Symboles!$G$6:$G$101,MOD(18+$C37+(1),$B$3)+1)*J37+INDEX(Symboles!$G$6:$G$101,MOD(18+$C37+(2),$B$3)+1)*K37+INDEX(Symboles!$G$6:$G$101,MOD(18+$C37+(3),$B$3)+1)*L37+INDEX(Symboles!$G$6:$G$101,MOD(18+$C37+(4),$B$3)+1)*M37+IF($B$6=0,0,$B$6*NORMSINV(0.000001+0.999998*RAND())))</f>
        <v/>
      </c>
      <c r="AI37" s="30">
        <f>IF(20&gt;$B$3,99,INDEX(Symboles!$G$6:$G$101,MOD(19+$C37+(-4),$B$3)+1)*E37+INDEX(Symboles!$G$6:$G$101,MOD(19+$C37+(-3),$B$3)+1)*F37+INDEX(Symboles!$G$6:$G$101,MOD(19+$C37+(-2),$B$3)+1)*G37+INDEX(Symboles!$G$6:$G$101,MOD(19+$C37+(-1),$B$3)+1)*H37+INDEX(Symboles!$G$6:$G$101,MOD(19+$C37+(0),$B$3)+1)*I37+INDEX(Symboles!$G$6:$G$101,MOD(19+$C37+(1),$B$3)+1)*J37+INDEX(Symboles!$G$6:$G$101,MOD(19+$C37+(2),$B$3)+1)*K37+INDEX(Symboles!$G$6:$G$101,MOD(19+$C37+(3),$B$3)+1)*L37+INDEX(Symboles!$G$6:$G$101,MOD(19+$C37+(4),$B$3)+1)*M37+IF($B$6=0,0,$B$6*NORMSINV(0.000001+0.999998*RAND())))</f>
        <v/>
      </c>
      <c r="AJ37" s="30">
        <f>IF(21&gt;$B$3,99,INDEX(Symboles!$G$6:$G$101,MOD(20+$C37+(-4),$B$3)+1)*E37+INDEX(Symboles!$G$6:$G$101,MOD(20+$C37+(-3),$B$3)+1)*F37+INDEX(Symboles!$G$6:$G$101,MOD(20+$C37+(-2),$B$3)+1)*G37+INDEX(Symboles!$G$6:$G$101,MOD(20+$C37+(-1),$B$3)+1)*H37+INDEX(Symboles!$G$6:$G$101,MOD(20+$C37+(0),$B$3)+1)*I37+INDEX(Symboles!$G$6:$G$101,MOD(20+$C37+(1),$B$3)+1)*J37+INDEX(Symboles!$G$6:$G$101,MOD(20+$C37+(2),$B$3)+1)*K37+INDEX(Symboles!$G$6:$G$101,MOD(20+$C37+(3),$B$3)+1)*L37+INDEX(Symboles!$G$6:$G$101,MOD(20+$C37+(4),$B$3)+1)*M37+IF($B$6=0,0,$B$6*NORMSINV(0.000001+0.999998*RAND())))</f>
        <v/>
      </c>
      <c r="AK37" s="30">
        <f>IF(22&gt;$B$3,99,INDEX(Symboles!$G$6:$G$101,MOD(21+$C37+(-4),$B$3)+1)*E37+INDEX(Symboles!$G$6:$G$101,MOD(21+$C37+(-3),$B$3)+1)*F37+INDEX(Symboles!$G$6:$G$101,MOD(21+$C37+(-2),$B$3)+1)*G37+INDEX(Symboles!$G$6:$G$101,MOD(21+$C37+(-1),$B$3)+1)*H37+INDEX(Symboles!$G$6:$G$101,MOD(21+$C37+(0),$B$3)+1)*I37+INDEX(Symboles!$G$6:$G$101,MOD(21+$C37+(1),$B$3)+1)*J37+INDEX(Symboles!$G$6:$G$101,MOD(21+$C37+(2),$B$3)+1)*K37+INDEX(Symboles!$G$6:$G$101,MOD(21+$C37+(3),$B$3)+1)*L37+INDEX(Symboles!$G$6:$G$101,MOD(21+$C37+(4),$B$3)+1)*M37+IF($B$6=0,0,$B$6*NORMSINV(0.000001+0.999998*RAND())))</f>
        <v/>
      </c>
      <c r="AL37" s="30">
        <f>IF(23&gt;$B$3,99,INDEX(Symboles!$G$6:$G$101,MOD(22+$C37+(-4),$B$3)+1)*E37+INDEX(Symboles!$G$6:$G$101,MOD(22+$C37+(-3),$B$3)+1)*F37+INDEX(Symboles!$G$6:$G$101,MOD(22+$C37+(-2),$B$3)+1)*G37+INDEX(Symboles!$G$6:$G$101,MOD(22+$C37+(-1),$B$3)+1)*H37+INDEX(Symboles!$G$6:$G$101,MOD(22+$C37+(0),$B$3)+1)*I37+INDEX(Symboles!$G$6:$G$101,MOD(22+$C37+(1),$B$3)+1)*J37+INDEX(Symboles!$G$6:$G$101,MOD(22+$C37+(2),$B$3)+1)*K37+INDEX(Symboles!$G$6:$G$101,MOD(22+$C37+(3),$B$3)+1)*L37+INDEX(Symboles!$G$6:$G$101,MOD(22+$C37+(4),$B$3)+1)*M37+IF($B$6=0,0,$B$6*NORMSINV(0.000001+0.999998*RAND())))</f>
        <v/>
      </c>
      <c r="AM37" s="30">
        <f>IF(24&gt;$B$3,99,INDEX(Symboles!$G$6:$G$101,MOD(23+$C37+(-4),$B$3)+1)*E37+INDEX(Symboles!$G$6:$G$101,MOD(23+$C37+(-3),$B$3)+1)*F37+INDEX(Symboles!$G$6:$G$101,MOD(23+$C37+(-2),$B$3)+1)*G37+INDEX(Symboles!$G$6:$G$101,MOD(23+$C37+(-1),$B$3)+1)*H37+INDEX(Symboles!$G$6:$G$101,MOD(23+$C37+(0),$B$3)+1)*I37+INDEX(Symboles!$G$6:$G$101,MOD(23+$C37+(1),$B$3)+1)*J37+INDEX(Symboles!$G$6:$G$101,MOD(23+$C37+(2),$B$3)+1)*K37+INDEX(Symboles!$G$6:$G$101,MOD(23+$C37+(3),$B$3)+1)*L37+INDEX(Symboles!$G$6:$G$101,MOD(23+$C37+(4),$B$3)+1)*M37+IF($B$6=0,0,$B$6*NORMSINV(0.000001+0.999998*RAND())))</f>
        <v/>
      </c>
      <c r="AN37" s="30">
        <f>IF(25&gt;$B$3,99,INDEX(Symboles!$G$6:$G$101,MOD(24+$C37+(-4),$B$3)+1)*E37+INDEX(Symboles!$G$6:$G$101,MOD(24+$C37+(-3),$B$3)+1)*F37+INDEX(Symboles!$G$6:$G$101,MOD(24+$C37+(-2),$B$3)+1)*G37+INDEX(Symboles!$G$6:$G$101,MOD(24+$C37+(-1),$B$3)+1)*H37+INDEX(Symboles!$G$6:$G$101,MOD(24+$C37+(0),$B$3)+1)*I37+INDEX(Symboles!$G$6:$G$101,MOD(24+$C37+(1),$B$3)+1)*J37+INDEX(Symboles!$G$6:$G$101,MOD(24+$C37+(2),$B$3)+1)*K37+INDEX(Symboles!$G$6:$G$101,MOD(24+$C37+(3),$B$3)+1)*L37+INDEX(Symboles!$G$6:$G$101,MOD(24+$C37+(4),$B$3)+1)*M37+IF($B$6=0,0,$B$6*NORMSINV(0.000001+0.999998*RAND())))</f>
        <v/>
      </c>
      <c r="AO37" s="30">
        <f>IF(26&gt;$B$3,99,INDEX(Symboles!$G$6:$G$101,MOD(25+$C37+(-4),$B$3)+1)*E37+INDEX(Symboles!$G$6:$G$101,MOD(25+$C37+(-3),$B$3)+1)*F37+INDEX(Symboles!$G$6:$G$101,MOD(25+$C37+(-2),$B$3)+1)*G37+INDEX(Symboles!$G$6:$G$101,MOD(25+$C37+(-1),$B$3)+1)*H37+INDEX(Symboles!$G$6:$G$101,MOD(25+$C37+(0),$B$3)+1)*I37+INDEX(Symboles!$G$6:$G$101,MOD(25+$C37+(1),$B$3)+1)*J37+INDEX(Symboles!$G$6:$G$101,MOD(25+$C37+(2),$B$3)+1)*K37+INDEX(Symboles!$G$6:$G$101,MOD(25+$C37+(3),$B$3)+1)*L37+INDEX(Symboles!$G$6:$G$101,MOD(25+$C37+(4),$B$3)+1)*M37+IF($B$6=0,0,$B$6*NORMSINV(0.000001+0.999998*RAND())))</f>
        <v/>
      </c>
      <c r="AP37" s="30">
        <f>IF(27&gt;$B$3,99,INDEX(Symboles!$G$6:$G$101,MOD(26+$C37+(-4),$B$3)+1)*E37+INDEX(Symboles!$G$6:$G$101,MOD(26+$C37+(-3),$B$3)+1)*F37+INDEX(Symboles!$G$6:$G$101,MOD(26+$C37+(-2),$B$3)+1)*G37+INDEX(Symboles!$G$6:$G$101,MOD(26+$C37+(-1),$B$3)+1)*H37+INDEX(Symboles!$G$6:$G$101,MOD(26+$C37+(0),$B$3)+1)*I37+INDEX(Symboles!$G$6:$G$101,MOD(26+$C37+(1),$B$3)+1)*J37+INDEX(Symboles!$G$6:$G$101,MOD(26+$C37+(2),$B$3)+1)*K37+INDEX(Symboles!$G$6:$G$101,MOD(26+$C37+(3),$B$3)+1)*L37+INDEX(Symboles!$G$6:$G$101,MOD(26+$C37+(4),$B$3)+1)*M37+IF($B$6=0,0,$B$6*NORMSINV(0.000001+0.999998*RAND())))</f>
        <v/>
      </c>
      <c r="AQ37" s="30">
        <f>IF(28&gt;$B$3,99,INDEX(Symboles!$G$6:$G$101,MOD(27+$C37+(-4),$B$3)+1)*E37+INDEX(Symboles!$G$6:$G$101,MOD(27+$C37+(-3),$B$3)+1)*F37+INDEX(Symboles!$G$6:$G$101,MOD(27+$C37+(-2),$B$3)+1)*G37+INDEX(Symboles!$G$6:$G$101,MOD(27+$C37+(-1),$B$3)+1)*H37+INDEX(Symboles!$G$6:$G$101,MOD(27+$C37+(0),$B$3)+1)*I37+INDEX(Symboles!$G$6:$G$101,MOD(27+$C37+(1),$B$3)+1)*J37+INDEX(Symboles!$G$6:$G$101,MOD(27+$C37+(2),$B$3)+1)*K37+INDEX(Symboles!$G$6:$G$101,MOD(27+$C37+(3),$B$3)+1)*L37+INDEX(Symboles!$G$6:$G$101,MOD(27+$C37+(4),$B$3)+1)*M37+IF($B$6=0,0,$B$6*NORMSINV(0.000001+0.999998*RAND())))</f>
        <v/>
      </c>
      <c r="AR37" s="30">
        <f>IF(29&gt;$B$3,99,INDEX(Symboles!$G$6:$G$101,MOD(28+$C37+(-4),$B$3)+1)*E37+INDEX(Symboles!$G$6:$G$101,MOD(28+$C37+(-3),$B$3)+1)*F37+INDEX(Symboles!$G$6:$G$101,MOD(28+$C37+(-2),$B$3)+1)*G37+INDEX(Symboles!$G$6:$G$101,MOD(28+$C37+(-1),$B$3)+1)*H37+INDEX(Symboles!$G$6:$G$101,MOD(28+$C37+(0),$B$3)+1)*I37+INDEX(Symboles!$G$6:$G$101,MOD(28+$C37+(1),$B$3)+1)*J37+INDEX(Symboles!$G$6:$G$101,MOD(28+$C37+(2),$B$3)+1)*K37+INDEX(Symboles!$G$6:$G$101,MOD(28+$C37+(3),$B$3)+1)*L37+INDEX(Symboles!$G$6:$G$101,MOD(28+$C37+(4),$B$3)+1)*M37+IF($B$6=0,0,$B$6*NORMSINV(0.000001+0.999998*RAND())))</f>
        <v/>
      </c>
      <c r="AS37" s="30">
        <f>IF(30&gt;$B$3,99,INDEX(Symboles!$G$6:$G$101,MOD(29+$C37+(-4),$B$3)+1)*E37+INDEX(Symboles!$G$6:$G$101,MOD(29+$C37+(-3),$B$3)+1)*F37+INDEX(Symboles!$G$6:$G$101,MOD(29+$C37+(-2),$B$3)+1)*G37+INDEX(Symboles!$G$6:$G$101,MOD(29+$C37+(-1),$B$3)+1)*H37+INDEX(Symboles!$G$6:$G$101,MOD(29+$C37+(0),$B$3)+1)*I37+INDEX(Symboles!$G$6:$G$101,MOD(29+$C37+(1),$B$3)+1)*J37+INDEX(Symboles!$G$6:$G$101,MOD(29+$C37+(2),$B$3)+1)*K37+INDEX(Symboles!$G$6:$G$101,MOD(29+$C37+(3),$B$3)+1)*L37+INDEX(Symboles!$G$6:$G$101,MOD(29+$C37+(4),$B$3)+1)*M37+IF($B$6=0,0,$B$6*NORMSINV(0.000001+0.999998*RAND())))</f>
        <v/>
      </c>
      <c r="AT37" s="30">
        <f>IF(31&gt;$B$3,99,INDEX(Symboles!$G$6:$G$101,MOD(30+$C37+(-4),$B$3)+1)*E37+INDEX(Symboles!$G$6:$G$101,MOD(30+$C37+(-3),$B$3)+1)*F37+INDEX(Symboles!$G$6:$G$101,MOD(30+$C37+(-2),$B$3)+1)*G37+INDEX(Symboles!$G$6:$G$101,MOD(30+$C37+(-1),$B$3)+1)*H37+INDEX(Symboles!$G$6:$G$101,MOD(30+$C37+(0),$B$3)+1)*I37+INDEX(Symboles!$G$6:$G$101,MOD(30+$C37+(1),$B$3)+1)*J37+INDEX(Symboles!$G$6:$G$101,MOD(30+$C37+(2),$B$3)+1)*K37+INDEX(Symboles!$G$6:$G$101,MOD(30+$C37+(3),$B$3)+1)*L37+INDEX(Symboles!$G$6:$G$101,MOD(30+$C37+(4),$B$3)+1)*M37+IF($B$6=0,0,$B$6*NORMSINV(0.000001+0.999998*RAND())))</f>
        <v/>
      </c>
      <c r="AU37" s="30">
        <f>IF(32&gt;$B$3,99,INDEX(Symboles!$G$6:$G$101,MOD(31+$C37+(-4),$B$3)+1)*E37+INDEX(Symboles!$G$6:$G$101,MOD(31+$C37+(-3),$B$3)+1)*F37+INDEX(Symboles!$G$6:$G$101,MOD(31+$C37+(-2),$B$3)+1)*G37+INDEX(Symboles!$G$6:$G$101,MOD(31+$C37+(-1),$B$3)+1)*H37+INDEX(Symboles!$G$6:$G$101,MOD(31+$C37+(0),$B$3)+1)*I37+INDEX(Symboles!$G$6:$G$101,MOD(31+$C37+(1),$B$3)+1)*J37+INDEX(Symboles!$G$6:$G$101,MOD(31+$C37+(2),$B$3)+1)*K37+INDEX(Symboles!$G$6:$G$101,MOD(31+$C37+(3),$B$3)+1)*L37+INDEX(Symboles!$G$6:$G$101,MOD(31+$C37+(4),$B$3)+1)*M37+IF($B$6=0,0,$B$6*NORMSINV(0.000001+0.999998*RAND())))</f>
        <v/>
      </c>
      <c r="AV37" s="30">
        <f>IF(33&gt;$B$3,99,INDEX(Symboles!$G$6:$G$101,MOD(32+$C37+(-4),$B$3)+1)*E37+INDEX(Symboles!$G$6:$G$101,MOD(32+$C37+(-3),$B$3)+1)*F37+INDEX(Symboles!$G$6:$G$101,MOD(32+$C37+(-2),$B$3)+1)*G37+INDEX(Symboles!$G$6:$G$101,MOD(32+$C37+(-1),$B$3)+1)*H37+INDEX(Symboles!$G$6:$G$101,MOD(32+$C37+(0),$B$3)+1)*I37+INDEX(Symboles!$G$6:$G$101,MOD(32+$C37+(1),$B$3)+1)*J37+INDEX(Symboles!$G$6:$G$101,MOD(32+$C37+(2),$B$3)+1)*K37+INDEX(Symboles!$G$6:$G$101,MOD(32+$C37+(3),$B$3)+1)*L37+INDEX(Symboles!$G$6:$G$101,MOD(32+$C37+(4),$B$3)+1)*M37+IF($B$6=0,0,$B$6*NORMSINV(0.000001+0.999998*RAND())))</f>
        <v/>
      </c>
      <c r="AW37" s="30">
        <f>IF(34&gt;$B$3,99,INDEX(Symboles!$G$6:$G$101,MOD(33+$C37+(-4),$B$3)+1)*E37+INDEX(Symboles!$G$6:$G$101,MOD(33+$C37+(-3),$B$3)+1)*F37+INDEX(Symboles!$G$6:$G$101,MOD(33+$C37+(-2),$B$3)+1)*G37+INDEX(Symboles!$G$6:$G$101,MOD(33+$C37+(-1),$B$3)+1)*H37+INDEX(Symboles!$G$6:$G$101,MOD(33+$C37+(0),$B$3)+1)*I37+INDEX(Symboles!$G$6:$G$101,MOD(33+$C37+(1),$B$3)+1)*J37+INDEX(Symboles!$G$6:$G$101,MOD(33+$C37+(2),$B$3)+1)*K37+INDEX(Symboles!$G$6:$G$101,MOD(33+$C37+(3),$B$3)+1)*L37+INDEX(Symboles!$G$6:$G$101,MOD(33+$C37+(4),$B$3)+1)*M37+IF($B$6=0,0,$B$6*NORMSINV(0.000001+0.999998*RAND())))</f>
        <v/>
      </c>
      <c r="AX37" s="30">
        <f>IF(35&gt;$B$3,99,INDEX(Symboles!$G$6:$G$101,MOD(34+$C37+(-4),$B$3)+1)*E37+INDEX(Symboles!$G$6:$G$101,MOD(34+$C37+(-3),$B$3)+1)*F37+INDEX(Symboles!$G$6:$G$101,MOD(34+$C37+(-2),$B$3)+1)*G37+INDEX(Symboles!$G$6:$G$101,MOD(34+$C37+(-1),$B$3)+1)*H37+INDEX(Symboles!$G$6:$G$101,MOD(34+$C37+(0),$B$3)+1)*I37+INDEX(Symboles!$G$6:$G$101,MOD(34+$C37+(1),$B$3)+1)*J37+INDEX(Symboles!$G$6:$G$101,MOD(34+$C37+(2),$B$3)+1)*K37+INDEX(Symboles!$G$6:$G$101,MOD(34+$C37+(3),$B$3)+1)*L37+INDEX(Symboles!$G$6:$G$101,MOD(34+$C37+(4),$B$3)+1)*M37+IF($B$6=0,0,$B$6*NORMSINV(0.000001+0.999998*RAND())))</f>
        <v/>
      </c>
      <c r="AY37" s="30">
        <f>IF(36&gt;$B$3,99,INDEX(Symboles!$G$6:$G$101,MOD(35+$C37+(-4),$B$3)+1)*E37+INDEX(Symboles!$G$6:$G$101,MOD(35+$C37+(-3),$B$3)+1)*F37+INDEX(Symboles!$G$6:$G$101,MOD(35+$C37+(-2),$B$3)+1)*G37+INDEX(Symboles!$G$6:$G$101,MOD(35+$C37+(-1),$B$3)+1)*H37+INDEX(Symboles!$G$6:$G$101,MOD(35+$C37+(0),$B$3)+1)*I37+INDEX(Symboles!$G$6:$G$101,MOD(35+$C37+(1),$B$3)+1)*J37+INDEX(Symboles!$G$6:$G$101,MOD(35+$C37+(2),$B$3)+1)*K37+INDEX(Symboles!$G$6:$G$101,MOD(35+$C37+(3),$B$3)+1)*L37+INDEX(Symboles!$G$6:$G$101,MOD(35+$C37+(4),$B$3)+1)*M37+IF($B$6=0,0,$B$6*NORMSINV(0.000001+0.999998*RAND())))</f>
        <v/>
      </c>
      <c r="AZ37" s="30">
        <f>IF(37&gt;$B$3,99,INDEX(Symboles!$G$6:$G$101,MOD(36+$C37+(-4),$B$3)+1)*E37+INDEX(Symboles!$G$6:$G$101,MOD(36+$C37+(-3),$B$3)+1)*F37+INDEX(Symboles!$G$6:$G$101,MOD(36+$C37+(-2),$B$3)+1)*G37+INDEX(Symboles!$G$6:$G$101,MOD(36+$C37+(-1),$B$3)+1)*H37+INDEX(Symboles!$G$6:$G$101,MOD(36+$C37+(0),$B$3)+1)*I37+INDEX(Symboles!$G$6:$G$101,MOD(36+$C37+(1),$B$3)+1)*J37+INDEX(Symboles!$G$6:$G$101,MOD(36+$C37+(2),$B$3)+1)*K37+INDEX(Symboles!$G$6:$G$101,MOD(36+$C37+(3),$B$3)+1)*L37+INDEX(Symboles!$G$6:$G$101,MOD(36+$C37+(4),$B$3)+1)*M37+IF($B$6=0,0,$B$6*NORMSINV(0.000001+0.999998*RAND())))</f>
        <v/>
      </c>
      <c r="BA37" s="30">
        <f>IF(38&gt;$B$3,99,INDEX(Symboles!$G$6:$G$101,MOD(37+$C37+(-4),$B$3)+1)*E37+INDEX(Symboles!$G$6:$G$101,MOD(37+$C37+(-3),$B$3)+1)*F37+INDEX(Symboles!$G$6:$G$101,MOD(37+$C37+(-2),$B$3)+1)*G37+INDEX(Symboles!$G$6:$G$101,MOD(37+$C37+(-1),$B$3)+1)*H37+INDEX(Symboles!$G$6:$G$101,MOD(37+$C37+(0),$B$3)+1)*I37+INDEX(Symboles!$G$6:$G$101,MOD(37+$C37+(1),$B$3)+1)*J37+INDEX(Symboles!$G$6:$G$101,MOD(37+$C37+(2),$B$3)+1)*K37+INDEX(Symboles!$G$6:$G$101,MOD(37+$C37+(3),$B$3)+1)*L37+INDEX(Symboles!$G$6:$G$101,MOD(37+$C37+(4),$B$3)+1)*M37+IF($B$6=0,0,$B$6*NORMSINV(0.000001+0.999998*RAND())))</f>
        <v/>
      </c>
      <c r="BB37" s="30">
        <f>IF(39&gt;$B$3,99,INDEX(Symboles!$G$6:$G$101,MOD(38+$C37+(-4),$B$3)+1)*E37+INDEX(Symboles!$G$6:$G$101,MOD(38+$C37+(-3),$B$3)+1)*F37+INDEX(Symboles!$G$6:$G$101,MOD(38+$C37+(-2),$B$3)+1)*G37+INDEX(Symboles!$G$6:$G$101,MOD(38+$C37+(-1),$B$3)+1)*H37+INDEX(Symboles!$G$6:$G$101,MOD(38+$C37+(0),$B$3)+1)*I37+INDEX(Symboles!$G$6:$G$101,MOD(38+$C37+(1),$B$3)+1)*J37+INDEX(Symboles!$G$6:$G$101,MOD(38+$C37+(2),$B$3)+1)*K37+INDEX(Symboles!$G$6:$G$101,MOD(38+$C37+(3),$B$3)+1)*L37+INDEX(Symboles!$G$6:$G$101,MOD(38+$C37+(4),$B$3)+1)*M37+IF($B$6=0,0,$B$6*NORMSINV(0.000001+0.999998*RAND())))</f>
        <v/>
      </c>
      <c r="BC37" s="30">
        <f>IF(40&gt;$B$3,99,INDEX(Symboles!$G$6:$G$101,MOD(39+$C37+(-4),$B$3)+1)*E37+INDEX(Symboles!$G$6:$G$101,MOD(39+$C37+(-3),$B$3)+1)*F37+INDEX(Symboles!$G$6:$G$101,MOD(39+$C37+(-2),$B$3)+1)*G37+INDEX(Symboles!$G$6:$G$101,MOD(39+$C37+(-1),$B$3)+1)*H37+INDEX(Symboles!$G$6:$G$101,MOD(39+$C37+(0),$B$3)+1)*I37+INDEX(Symboles!$G$6:$G$101,MOD(39+$C37+(1),$B$3)+1)*J37+INDEX(Symboles!$G$6:$G$101,MOD(39+$C37+(2),$B$3)+1)*K37+INDEX(Symboles!$G$6:$G$101,MOD(39+$C37+(3),$B$3)+1)*L37+INDEX(Symboles!$G$6:$G$101,MOD(39+$C37+(4),$B$3)+1)*M37+IF($B$6=0,0,$B$6*NORMSINV(0.000001+0.999998*RAND())))</f>
        <v/>
      </c>
      <c r="BD37" s="30">
        <f>IF(41&gt;$B$3,99,INDEX(Symboles!$G$6:$G$101,MOD(40+$C37+(-4),$B$3)+1)*E37+INDEX(Symboles!$G$6:$G$101,MOD(40+$C37+(-3),$B$3)+1)*F37+INDEX(Symboles!$G$6:$G$101,MOD(40+$C37+(-2),$B$3)+1)*G37+INDEX(Symboles!$G$6:$G$101,MOD(40+$C37+(-1),$B$3)+1)*H37+INDEX(Symboles!$G$6:$G$101,MOD(40+$C37+(0),$B$3)+1)*I37+INDEX(Symboles!$G$6:$G$101,MOD(40+$C37+(1),$B$3)+1)*J37+INDEX(Symboles!$G$6:$G$101,MOD(40+$C37+(2),$B$3)+1)*K37+INDEX(Symboles!$G$6:$G$101,MOD(40+$C37+(3),$B$3)+1)*L37+INDEX(Symboles!$G$6:$G$101,MOD(40+$C37+(4),$B$3)+1)*M37+IF($B$6=0,0,$B$6*NORMSINV(0.000001+0.999998*RAND())))</f>
        <v/>
      </c>
      <c r="BE37" s="30">
        <f>IF(42&gt;$B$3,99,INDEX(Symboles!$G$6:$G$101,MOD(41+$C37+(-4),$B$3)+1)*E37+INDEX(Symboles!$G$6:$G$101,MOD(41+$C37+(-3),$B$3)+1)*F37+INDEX(Symboles!$G$6:$G$101,MOD(41+$C37+(-2),$B$3)+1)*G37+INDEX(Symboles!$G$6:$G$101,MOD(41+$C37+(-1),$B$3)+1)*H37+INDEX(Symboles!$G$6:$G$101,MOD(41+$C37+(0),$B$3)+1)*I37+INDEX(Symboles!$G$6:$G$101,MOD(41+$C37+(1),$B$3)+1)*J37+INDEX(Symboles!$G$6:$G$101,MOD(41+$C37+(2),$B$3)+1)*K37+INDEX(Symboles!$G$6:$G$101,MOD(41+$C37+(3),$B$3)+1)*L37+INDEX(Symboles!$G$6:$G$101,MOD(41+$C37+(4),$B$3)+1)*M37+IF($B$6=0,0,$B$6*NORMSINV(0.000001+0.999998*RAND())))</f>
        <v/>
      </c>
      <c r="BF37" s="30">
        <f>IF(43&gt;$B$3,99,INDEX(Symboles!$G$6:$G$101,MOD(42+$C37+(-4),$B$3)+1)*E37+INDEX(Symboles!$G$6:$G$101,MOD(42+$C37+(-3),$B$3)+1)*F37+INDEX(Symboles!$G$6:$G$101,MOD(42+$C37+(-2),$B$3)+1)*G37+INDEX(Symboles!$G$6:$G$101,MOD(42+$C37+(-1),$B$3)+1)*H37+INDEX(Symboles!$G$6:$G$101,MOD(42+$C37+(0),$B$3)+1)*I37+INDEX(Symboles!$G$6:$G$101,MOD(42+$C37+(1),$B$3)+1)*J37+INDEX(Symboles!$G$6:$G$101,MOD(42+$C37+(2),$B$3)+1)*K37+INDEX(Symboles!$G$6:$G$101,MOD(42+$C37+(3),$B$3)+1)*L37+INDEX(Symboles!$G$6:$G$101,MOD(42+$C37+(4),$B$3)+1)*M37+IF($B$6=0,0,$B$6*NORMSINV(0.000001+0.999998*RAND())))</f>
        <v/>
      </c>
      <c r="BG37" s="30">
        <f>IF(44&gt;$B$3,99,INDEX(Symboles!$G$6:$G$101,MOD(43+$C37+(-4),$B$3)+1)*E37+INDEX(Symboles!$G$6:$G$101,MOD(43+$C37+(-3),$B$3)+1)*F37+INDEX(Symboles!$G$6:$G$101,MOD(43+$C37+(-2),$B$3)+1)*G37+INDEX(Symboles!$G$6:$G$101,MOD(43+$C37+(-1),$B$3)+1)*H37+INDEX(Symboles!$G$6:$G$101,MOD(43+$C37+(0),$B$3)+1)*I37+INDEX(Symboles!$G$6:$G$101,MOD(43+$C37+(1),$B$3)+1)*J37+INDEX(Symboles!$G$6:$G$101,MOD(43+$C37+(2),$B$3)+1)*K37+INDEX(Symboles!$G$6:$G$101,MOD(43+$C37+(3),$B$3)+1)*L37+INDEX(Symboles!$G$6:$G$101,MOD(43+$C37+(4),$B$3)+1)*M37+IF($B$6=0,0,$B$6*NORMSINV(0.000001+0.999998*RAND())))</f>
        <v/>
      </c>
      <c r="BH37" s="30">
        <f>IF(45&gt;$B$3,99,INDEX(Symboles!$G$6:$G$101,MOD(44+$C37+(-4),$B$3)+1)*E37+INDEX(Symboles!$G$6:$G$101,MOD(44+$C37+(-3),$B$3)+1)*F37+INDEX(Symboles!$G$6:$G$101,MOD(44+$C37+(-2),$B$3)+1)*G37+INDEX(Symboles!$G$6:$G$101,MOD(44+$C37+(-1),$B$3)+1)*H37+INDEX(Symboles!$G$6:$G$101,MOD(44+$C37+(0),$B$3)+1)*I37+INDEX(Symboles!$G$6:$G$101,MOD(44+$C37+(1),$B$3)+1)*J37+INDEX(Symboles!$G$6:$G$101,MOD(44+$C37+(2),$B$3)+1)*K37+INDEX(Symboles!$G$6:$G$101,MOD(44+$C37+(3),$B$3)+1)*L37+INDEX(Symboles!$G$6:$G$101,MOD(44+$C37+(4),$B$3)+1)*M37+IF($B$6=0,0,$B$6*NORMSINV(0.000001+0.999998*RAND())))</f>
        <v/>
      </c>
      <c r="BI37" s="30">
        <f>IF(46&gt;$B$3,99,INDEX(Symboles!$G$6:$G$101,MOD(45+$C37+(-4),$B$3)+1)*E37+INDEX(Symboles!$G$6:$G$101,MOD(45+$C37+(-3),$B$3)+1)*F37+INDEX(Symboles!$G$6:$G$101,MOD(45+$C37+(-2),$B$3)+1)*G37+INDEX(Symboles!$G$6:$G$101,MOD(45+$C37+(-1),$B$3)+1)*H37+INDEX(Symboles!$G$6:$G$101,MOD(45+$C37+(0),$B$3)+1)*I37+INDEX(Symboles!$G$6:$G$101,MOD(45+$C37+(1),$B$3)+1)*J37+INDEX(Symboles!$G$6:$G$101,MOD(45+$C37+(2),$B$3)+1)*K37+INDEX(Symboles!$G$6:$G$101,MOD(45+$C37+(3),$B$3)+1)*L37+INDEX(Symboles!$G$6:$G$101,MOD(45+$C37+(4),$B$3)+1)*M37+IF($B$6=0,0,$B$6*NORMSINV(0.000001+0.999998*RAND())))</f>
        <v/>
      </c>
      <c r="BJ37" s="30">
        <f>IF(47&gt;$B$3,99,INDEX(Symboles!$G$6:$G$101,MOD(46+$C37+(-4),$B$3)+1)*E37+INDEX(Symboles!$G$6:$G$101,MOD(46+$C37+(-3),$B$3)+1)*F37+INDEX(Symboles!$G$6:$G$101,MOD(46+$C37+(-2),$B$3)+1)*G37+INDEX(Symboles!$G$6:$G$101,MOD(46+$C37+(-1),$B$3)+1)*H37+INDEX(Symboles!$G$6:$G$101,MOD(46+$C37+(0),$B$3)+1)*I37+INDEX(Symboles!$G$6:$G$101,MOD(46+$C37+(1),$B$3)+1)*J37+INDEX(Symboles!$G$6:$G$101,MOD(46+$C37+(2),$B$3)+1)*K37+INDEX(Symboles!$G$6:$G$101,MOD(46+$C37+(3),$B$3)+1)*L37+INDEX(Symboles!$G$6:$G$101,MOD(46+$C37+(4),$B$3)+1)*M37+IF($B$6=0,0,$B$6*NORMSINV(0.000001+0.999998*RAND())))</f>
        <v/>
      </c>
      <c r="BK37" s="30">
        <f>IF(48&gt;$B$3,99,INDEX(Symboles!$G$6:$G$101,MOD(47+$C37+(-4),$B$3)+1)*E37+INDEX(Symboles!$G$6:$G$101,MOD(47+$C37+(-3),$B$3)+1)*F37+INDEX(Symboles!$G$6:$G$101,MOD(47+$C37+(-2),$B$3)+1)*G37+INDEX(Symboles!$G$6:$G$101,MOD(47+$C37+(-1),$B$3)+1)*H37+INDEX(Symboles!$G$6:$G$101,MOD(47+$C37+(0),$B$3)+1)*I37+INDEX(Symboles!$G$6:$G$101,MOD(47+$C37+(1),$B$3)+1)*J37+INDEX(Symboles!$G$6:$G$101,MOD(47+$C37+(2),$B$3)+1)*K37+INDEX(Symboles!$G$6:$G$101,MOD(47+$C37+(3),$B$3)+1)*L37+INDEX(Symboles!$G$6:$G$101,MOD(47+$C37+(4),$B$3)+1)*M37+IF($B$6=0,0,$B$6*NORMSINV(0.000001+0.999998*RAND())))</f>
        <v/>
      </c>
      <c r="BL37" s="30">
        <f>IF(49&gt;$B$3,99,INDEX(Symboles!$G$6:$G$101,MOD(48+$C37+(-4),$B$3)+1)*E37+INDEX(Symboles!$G$6:$G$101,MOD(48+$C37+(-3),$B$3)+1)*F37+INDEX(Symboles!$G$6:$G$101,MOD(48+$C37+(-2),$B$3)+1)*G37+INDEX(Symboles!$G$6:$G$101,MOD(48+$C37+(-1),$B$3)+1)*H37+INDEX(Symboles!$G$6:$G$101,MOD(48+$C37+(0),$B$3)+1)*I37+INDEX(Symboles!$G$6:$G$101,MOD(48+$C37+(1),$B$3)+1)*J37+INDEX(Symboles!$G$6:$G$101,MOD(48+$C37+(2),$B$3)+1)*K37+INDEX(Symboles!$G$6:$G$101,MOD(48+$C37+(3),$B$3)+1)*L37+INDEX(Symboles!$G$6:$G$101,MOD(48+$C37+(4),$B$3)+1)*M37+IF($B$6=0,0,$B$6*NORMSINV(0.000001+0.999998*RAND())))</f>
        <v/>
      </c>
      <c r="BM37" s="30">
        <f>IF(50&gt;$B$3,99,INDEX(Symboles!$G$6:$G$101,MOD(49+$C37+(-4),$B$3)+1)*E37+INDEX(Symboles!$G$6:$G$101,MOD(49+$C37+(-3),$B$3)+1)*F37+INDEX(Symboles!$G$6:$G$101,MOD(49+$C37+(-2),$B$3)+1)*G37+INDEX(Symboles!$G$6:$G$101,MOD(49+$C37+(-1),$B$3)+1)*H37+INDEX(Symboles!$G$6:$G$101,MOD(49+$C37+(0),$B$3)+1)*I37+INDEX(Symboles!$G$6:$G$101,MOD(49+$C37+(1),$B$3)+1)*J37+INDEX(Symboles!$G$6:$G$101,MOD(49+$C37+(2),$B$3)+1)*K37+INDEX(Symboles!$G$6:$G$101,MOD(49+$C37+(3),$B$3)+1)*L37+INDEX(Symboles!$G$6:$G$101,MOD(49+$C37+(4),$B$3)+1)*M37+IF($B$6=0,0,$B$6*NORMSINV(0.000001+0.999998*RAND())))</f>
        <v/>
      </c>
      <c r="BN37" s="30">
        <f>IF(51&gt;$B$3,99,INDEX(Symboles!$G$6:$G$101,MOD(50+$C37+(-4),$B$3)+1)*E37+INDEX(Symboles!$G$6:$G$101,MOD(50+$C37+(-3),$B$3)+1)*F37+INDEX(Symboles!$G$6:$G$101,MOD(50+$C37+(-2),$B$3)+1)*G37+INDEX(Symboles!$G$6:$G$101,MOD(50+$C37+(-1),$B$3)+1)*H37+INDEX(Symboles!$G$6:$G$101,MOD(50+$C37+(0),$B$3)+1)*I37+INDEX(Symboles!$G$6:$G$101,MOD(50+$C37+(1),$B$3)+1)*J37+INDEX(Symboles!$G$6:$G$101,MOD(50+$C37+(2),$B$3)+1)*K37+INDEX(Symboles!$G$6:$G$101,MOD(50+$C37+(3),$B$3)+1)*L37+INDEX(Symboles!$G$6:$G$101,MOD(50+$C37+(4),$B$3)+1)*M37+IF($B$6=0,0,$B$6*NORMSINV(0.000001+0.999998*RAND())))</f>
        <v/>
      </c>
      <c r="BO37" s="30">
        <f>IF(52&gt;$B$3,99,INDEX(Symboles!$G$6:$G$101,MOD(51+$C37+(-4),$B$3)+1)*E37+INDEX(Symboles!$G$6:$G$101,MOD(51+$C37+(-3),$B$3)+1)*F37+INDEX(Symboles!$G$6:$G$101,MOD(51+$C37+(-2),$B$3)+1)*G37+INDEX(Symboles!$G$6:$G$101,MOD(51+$C37+(-1),$B$3)+1)*H37+INDEX(Symboles!$G$6:$G$101,MOD(51+$C37+(0),$B$3)+1)*I37+INDEX(Symboles!$G$6:$G$101,MOD(51+$C37+(1),$B$3)+1)*J37+INDEX(Symboles!$G$6:$G$101,MOD(51+$C37+(2),$B$3)+1)*K37+INDEX(Symboles!$G$6:$G$101,MOD(51+$C37+(3),$B$3)+1)*L37+INDEX(Symboles!$G$6:$G$101,MOD(51+$C37+(4),$B$3)+1)*M37+IF($B$6=0,0,$B$6*NORMSINV(0.000001+0.999998*RAND())))</f>
        <v/>
      </c>
      <c r="BP37" s="30">
        <f>IF(53&gt;$B$3,99,INDEX(Symboles!$G$6:$G$101,MOD(52+$C37+(-4),$B$3)+1)*E37+INDEX(Symboles!$G$6:$G$101,MOD(52+$C37+(-3),$B$3)+1)*F37+INDEX(Symboles!$G$6:$G$101,MOD(52+$C37+(-2),$B$3)+1)*G37+INDEX(Symboles!$G$6:$G$101,MOD(52+$C37+(-1),$B$3)+1)*H37+INDEX(Symboles!$G$6:$G$101,MOD(52+$C37+(0),$B$3)+1)*I37+INDEX(Symboles!$G$6:$G$101,MOD(52+$C37+(1),$B$3)+1)*J37+INDEX(Symboles!$G$6:$G$101,MOD(52+$C37+(2),$B$3)+1)*K37+INDEX(Symboles!$G$6:$G$101,MOD(52+$C37+(3),$B$3)+1)*L37+INDEX(Symboles!$G$6:$G$101,MOD(52+$C37+(4),$B$3)+1)*M37+IF($B$6=0,0,$B$6*NORMSINV(0.000001+0.999998*RAND())))</f>
        <v/>
      </c>
      <c r="BQ37" s="30">
        <f>IF(54&gt;$B$3,99,INDEX(Symboles!$G$6:$G$101,MOD(53+$C37+(-4),$B$3)+1)*E37+INDEX(Symboles!$G$6:$G$101,MOD(53+$C37+(-3),$B$3)+1)*F37+INDEX(Symboles!$G$6:$G$101,MOD(53+$C37+(-2),$B$3)+1)*G37+INDEX(Symboles!$G$6:$G$101,MOD(53+$C37+(-1),$B$3)+1)*H37+INDEX(Symboles!$G$6:$G$101,MOD(53+$C37+(0),$B$3)+1)*I37+INDEX(Symboles!$G$6:$G$101,MOD(53+$C37+(1),$B$3)+1)*J37+INDEX(Symboles!$G$6:$G$101,MOD(53+$C37+(2),$B$3)+1)*K37+INDEX(Symboles!$G$6:$G$101,MOD(53+$C37+(3),$B$3)+1)*L37+INDEX(Symboles!$G$6:$G$101,MOD(53+$C37+(4),$B$3)+1)*M37+IF($B$6=0,0,$B$6*NORMSINV(0.000001+0.999998*RAND())))</f>
        <v/>
      </c>
      <c r="BR37" s="30">
        <f>IF(55&gt;$B$3,99,INDEX(Symboles!$G$6:$G$101,MOD(54+$C37+(-4),$B$3)+1)*E37+INDEX(Symboles!$G$6:$G$101,MOD(54+$C37+(-3),$B$3)+1)*F37+INDEX(Symboles!$G$6:$G$101,MOD(54+$C37+(-2),$B$3)+1)*G37+INDEX(Symboles!$G$6:$G$101,MOD(54+$C37+(-1),$B$3)+1)*H37+INDEX(Symboles!$G$6:$G$101,MOD(54+$C37+(0),$B$3)+1)*I37+INDEX(Symboles!$G$6:$G$101,MOD(54+$C37+(1),$B$3)+1)*J37+INDEX(Symboles!$G$6:$G$101,MOD(54+$C37+(2),$B$3)+1)*K37+INDEX(Symboles!$G$6:$G$101,MOD(54+$C37+(3),$B$3)+1)*L37+INDEX(Symboles!$G$6:$G$101,MOD(54+$C37+(4),$B$3)+1)*M37+IF($B$6=0,0,$B$6*NORMSINV(0.000001+0.999998*RAND())))</f>
        <v/>
      </c>
      <c r="BS37" s="30">
        <f>IF(56&gt;$B$3,99,INDEX(Symboles!$G$6:$G$101,MOD(55+$C37+(-4),$B$3)+1)*E37+INDEX(Symboles!$G$6:$G$101,MOD(55+$C37+(-3),$B$3)+1)*F37+INDEX(Symboles!$G$6:$G$101,MOD(55+$C37+(-2),$B$3)+1)*G37+INDEX(Symboles!$G$6:$G$101,MOD(55+$C37+(-1),$B$3)+1)*H37+INDEX(Symboles!$G$6:$G$101,MOD(55+$C37+(0),$B$3)+1)*I37+INDEX(Symboles!$G$6:$G$101,MOD(55+$C37+(1),$B$3)+1)*J37+INDEX(Symboles!$G$6:$G$101,MOD(55+$C37+(2),$B$3)+1)*K37+INDEX(Symboles!$G$6:$G$101,MOD(55+$C37+(3),$B$3)+1)*L37+INDEX(Symboles!$G$6:$G$101,MOD(55+$C37+(4),$B$3)+1)*M37+IF($B$6=0,0,$B$6*NORMSINV(0.000001+0.999998*RAND())))</f>
        <v/>
      </c>
      <c r="BT37" s="30">
        <f>IF(57&gt;$B$3,99,INDEX(Symboles!$G$6:$G$101,MOD(56+$C37+(-4),$B$3)+1)*E37+INDEX(Symboles!$G$6:$G$101,MOD(56+$C37+(-3),$B$3)+1)*F37+INDEX(Symboles!$G$6:$G$101,MOD(56+$C37+(-2),$B$3)+1)*G37+INDEX(Symboles!$G$6:$G$101,MOD(56+$C37+(-1),$B$3)+1)*H37+INDEX(Symboles!$G$6:$G$101,MOD(56+$C37+(0),$B$3)+1)*I37+INDEX(Symboles!$G$6:$G$101,MOD(56+$C37+(1),$B$3)+1)*J37+INDEX(Symboles!$G$6:$G$101,MOD(56+$C37+(2),$B$3)+1)*K37+INDEX(Symboles!$G$6:$G$101,MOD(56+$C37+(3),$B$3)+1)*L37+INDEX(Symboles!$G$6:$G$101,MOD(56+$C37+(4),$B$3)+1)*M37+IF($B$6=0,0,$B$6*NORMSINV(0.000001+0.999998*RAND())))</f>
        <v/>
      </c>
      <c r="BU37" s="30">
        <f>IF(58&gt;$B$3,99,INDEX(Symboles!$G$6:$G$101,MOD(57+$C37+(-4),$B$3)+1)*E37+INDEX(Symboles!$G$6:$G$101,MOD(57+$C37+(-3),$B$3)+1)*F37+INDEX(Symboles!$G$6:$G$101,MOD(57+$C37+(-2),$B$3)+1)*G37+INDEX(Symboles!$G$6:$G$101,MOD(57+$C37+(-1),$B$3)+1)*H37+INDEX(Symboles!$G$6:$G$101,MOD(57+$C37+(0),$B$3)+1)*I37+INDEX(Symboles!$G$6:$G$101,MOD(57+$C37+(1),$B$3)+1)*J37+INDEX(Symboles!$G$6:$G$101,MOD(57+$C37+(2),$B$3)+1)*K37+INDEX(Symboles!$G$6:$G$101,MOD(57+$C37+(3),$B$3)+1)*L37+INDEX(Symboles!$G$6:$G$101,MOD(57+$C37+(4),$B$3)+1)*M37+IF($B$6=0,0,$B$6*NORMSINV(0.000001+0.999998*RAND())))</f>
        <v/>
      </c>
      <c r="BV37" s="30">
        <f>IF(59&gt;$B$3,99,INDEX(Symboles!$G$6:$G$101,MOD(58+$C37+(-4),$B$3)+1)*E37+INDEX(Symboles!$G$6:$G$101,MOD(58+$C37+(-3),$B$3)+1)*F37+INDEX(Symboles!$G$6:$G$101,MOD(58+$C37+(-2),$B$3)+1)*G37+INDEX(Symboles!$G$6:$G$101,MOD(58+$C37+(-1),$B$3)+1)*H37+INDEX(Symboles!$G$6:$G$101,MOD(58+$C37+(0),$B$3)+1)*I37+INDEX(Symboles!$G$6:$G$101,MOD(58+$C37+(1),$B$3)+1)*J37+INDEX(Symboles!$G$6:$G$101,MOD(58+$C37+(2),$B$3)+1)*K37+INDEX(Symboles!$G$6:$G$101,MOD(58+$C37+(3),$B$3)+1)*L37+INDEX(Symboles!$G$6:$G$101,MOD(58+$C37+(4),$B$3)+1)*M37+IF($B$6=0,0,$B$6*NORMSINV(0.000001+0.999998*RAND())))</f>
        <v/>
      </c>
      <c r="BW37" s="30">
        <f>IF(60&gt;$B$3,99,INDEX(Symboles!$G$6:$G$101,MOD(59+$C37+(-4),$B$3)+1)*E37+INDEX(Symboles!$G$6:$G$101,MOD(59+$C37+(-3),$B$3)+1)*F37+INDEX(Symboles!$G$6:$G$101,MOD(59+$C37+(-2),$B$3)+1)*G37+INDEX(Symboles!$G$6:$G$101,MOD(59+$C37+(-1),$B$3)+1)*H37+INDEX(Symboles!$G$6:$G$101,MOD(59+$C37+(0),$B$3)+1)*I37+INDEX(Symboles!$G$6:$G$101,MOD(59+$C37+(1),$B$3)+1)*J37+INDEX(Symboles!$G$6:$G$101,MOD(59+$C37+(2),$B$3)+1)*K37+INDEX(Symboles!$G$6:$G$101,MOD(59+$C37+(3),$B$3)+1)*L37+INDEX(Symboles!$G$6:$G$101,MOD(59+$C37+(4),$B$3)+1)*M37+IF($B$6=0,0,$B$6*NORMSINV(0.000001+0.999998*RAND())))</f>
        <v/>
      </c>
      <c r="BX37" s="30">
        <f>IF(61&gt;$B$3,99,INDEX(Symboles!$G$6:$G$101,MOD(60+$C37+(-4),$B$3)+1)*E37+INDEX(Symboles!$G$6:$G$101,MOD(60+$C37+(-3),$B$3)+1)*F37+INDEX(Symboles!$G$6:$G$101,MOD(60+$C37+(-2),$B$3)+1)*G37+INDEX(Symboles!$G$6:$G$101,MOD(60+$C37+(-1),$B$3)+1)*H37+INDEX(Symboles!$G$6:$G$101,MOD(60+$C37+(0),$B$3)+1)*I37+INDEX(Symboles!$G$6:$G$101,MOD(60+$C37+(1),$B$3)+1)*J37+INDEX(Symboles!$G$6:$G$101,MOD(60+$C37+(2),$B$3)+1)*K37+INDEX(Symboles!$G$6:$G$101,MOD(60+$C37+(3),$B$3)+1)*L37+INDEX(Symboles!$G$6:$G$101,MOD(60+$C37+(4),$B$3)+1)*M37+IF($B$6=0,0,$B$6*NORMSINV(0.000001+0.999998*RAND())))</f>
        <v/>
      </c>
      <c r="BY37" s="30">
        <f>IF(62&gt;$B$3,99,INDEX(Symboles!$G$6:$G$101,MOD(61+$C37+(-4),$B$3)+1)*E37+INDEX(Symboles!$G$6:$G$101,MOD(61+$C37+(-3),$B$3)+1)*F37+INDEX(Symboles!$G$6:$G$101,MOD(61+$C37+(-2),$B$3)+1)*G37+INDEX(Symboles!$G$6:$G$101,MOD(61+$C37+(-1),$B$3)+1)*H37+INDEX(Symboles!$G$6:$G$101,MOD(61+$C37+(0),$B$3)+1)*I37+INDEX(Symboles!$G$6:$G$101,MOD(61+$C37+(1),$B$3)+1)*J37+INDEX(Symboles!$G$6:$G$101,MOD(61+$C37+(2),$B$3)+1)*K37+INDEX(Symboles!$G$6:$G$101,MOD(61+$C37+(3),$B$3)+1)*L37+INDEX(Symboles!$G$6:$G$101,MOD(61+$C37+(4),$B$3)+1)*M37+IF($B$6=0,0,$B$6*NORMSINV(0.000001+0.999998*RAND())))</f>
        <v/>
      </c>
      <c r="BZ37" s="30">
        <f>IF(63&gt;$B$3,99,INDEX(Symboles!$G$6:$G$101,MOD(62+$C37+(-4),$B$3)+1)*E37+INDEX(Symboles!$G$6:$G$101,MOD(62+$C37+(-3),$B$3)+1)*F37+INDEX(Symboles!$G$6:$G$101,MOD(62+$C37+(-2),$B$3)+1)*G37+INDEX(Symboles!$G$6:$G$101,MOD(62+$C37+(-1),$B$3)+1)*H37+INDEX(Symboles!$G$6:$G$101,MOD(62+$C37+(0),$B$3)+1)*I37+INDEX(Symboles!$G$6:$G$101,MOD(62+$C37+(1),$B$3)+1)*J37+INDEX(Symboles!$G$6:$G$101,MOD(62+$C37+(2),$B$3)+1)*K37+INDEX(Symboles!$G$6:$G$101,MOD(62+$C37+(3),$B$3)+1)*L37+INDEX(Symboles!$G$6:$G$101,MOD(62+$C37+(4),$B$3)+1)*M37+IF($B$6=0,0,$B$6*NORMSINV(0.000001+0.999998*RAND())))</f>
        <v/>
      </c>
      <c r="CA37" s="30">
        <f>IF(64&gt;$B$3,99,INDEX(Symboles!$G$6:$G$101,MOD(63+$C37+(-4),$B$3)+1)*E37+INDEX(Symboles!$G$6:$G$101,MOD(63+$C37+(-3),$B$3)+1)*F37+INDEX(Symboles!$G$6:$G$101,MOD(63+$C37+(-2),$B$3)+1)*G37+INDEX(Symboles!$G$6:$G$101,MOD(63+$C37+(-1),$B$3)+1)*H37+INDEX(Symboles!$G$6:$G$101,MOD(63+$C37+(0),$B$3)+1)*I37+INDEX(Symboles!$G$6:$G$101,MOD(63+$C37+(1),$B$3)+1)*J37+INDEX(Symboles!$G$6:$G$101,MOD(63+$C37+(2),$B$3)+1)*K37+INDEX(Symboles!$G$6:$G$101,MOD(63+$C37+(3),$B$3)+1)*L37+INDEX(Symboles!$G$6:$G$101,MOD(63+$C37+(4),$B$3)+1)*M37+IF($B$6=0,0,$B$6*NORMSINV(0.000001+0.999998*RAND())))</f>
        <v/>
      </c>
      <c r="CB37" s="30">
        <f>IF(65&gt;$B$3,99,INDEX(Symboles!$G$6:$G$101,MOD(64+$C37+(-4),$B$3)+1)*E37+INDEX(Symboles!$G$6:$G$101,MOD(64+$C37+(-3),$B$3)+1)*F37+INDEX(Symboles!$G$6:$G$101,MOD(64+$C37+(-2),$B$3)+1)*G37+INDEX(Symboles!$G$6:$G$101,MOD(64+$C37+(-1),$B$3)+1)*H37+INDEX(Symboles!$G$6:$G$101,MOD(64+$C37+(0),$B$3)+1)*I37+INDEX(Symboles!$G$6:$G$101,MOD(64+$C37+(1),$B$3)+1)*J37+INDEX(Symboles!$G$6:$G$101,MOD(64+$C37+(2),$B$3)+1)*K37+INDEX(Symboles!$G$6:$G$101,MOD(64+$C37+(3),$B$3)+1)*L37+INDEX(Symboles!$G$6:$G$101,MOD(64+$C37+(4),$B$3)+1)*M37+IF($B$6=0,0,$B$6*NORMSINV(0.000001+0.999998*RAND())))</f>
        <v/>
      </c>
      <c r="CC37" s="30">
        <f>IF(66&gt;$B$3,99,INDEX(Symboles!$G$6:$G$101,MOD(65+$C37+(-4),$B$3)+1)*E37+INDEX(Symboles!$G$6:$G$101,MOD(65+$C37+(-3),$B$3)+1)*F37+INDEX(Symboles!$G$6:$G$101,MOD(65+$C37+(-2),$B$3)+1)*G37+INDEX(Symboles!$G$6:$G$101,MOD(65+$C37+(-1),$B$3)+1)*H37+INDEX(Symboles!$G$6:$G$101,MOD(65+$C37+(0),$B$3)+1)*I37+INDEX(Symboles!$G$6:$G$101,MOD(65+$C37+(1),$B$3)+1)*J37+INDEX(Symboles!$G$6:$G$101,MOD(65+$C37+(2),$B$3)+1)*K37+INDEX(Symboles!$G$6:$G$101,MOD(65+$C37+(3),$B$3)+1)*L37+INDEX(Symboles!$G$6:$G$101,MOD(65+$C37+(4),$B$3)+1)*M37+IF($B$6=0,0,$B$6*NORMSINV(0.000001+0.999998*RAND())))</f>
        <v/>
      </c>
      <c r="CD37" s="30">
        <f>IF(67&gt;$B$3,99,INDEX(Symboles!$G$6:$G$101,MOD(66+$C37+(-4),$B$3)+1)*E37+INDEX(Symboles!$G$6:$G$101,MOD(66+$C37+(-3),$B$3)+1)*F37+INDEX(Symboles!$G$6:$G$101,MOD(66+$C37+(-2),$B$3)+1)*G37+INDEX(Symboles!$G$6:$G$101,MOD(66+$C37+(-1),$B$3)+1)*H37+INDEX(Symboles!$G$6:$G$101,MOD(66+$C37+(0),$B$3)+1)*I37+INDEX(Symboles!$G$6:$G$101,MOD(66+$C37+(1),$B$3)+1)*J37+INDEX(Symboles!$G$6:$G$101,MOD(66+$C37+(2),$B$3)+1)*K37+INDEX(Symboles!$G$6:$G$101,MOD(66+$C37+(3),$B$3)+1)*L37+INDEX(Symboles!$G$6:$G$101,MOD(66+$C37+(4),$B$3)+1)*M37+IF($B$6=0,0,$B$6*NORMSINV(0.000001+0.999998*RAND())))</f>
        <v/>
      </c>
      <c r="CE37" s="30">
        <f>IF(68&gt;$B$3,99,INDEX(Symboles!$G$6:$G$101,MOD(67+$C37+(-4),$B$3)+1)*E37+INDEX(Symboles!$G$6:$G$101,MOD(67+$C37+(-3),$B$3)+1)*F37+INDEX(Symboles!$G$6:$G$101,MOD(67+$C37+(-2),$B$3)+1)*G37+INDEX(Symboles!$G$6:$G$101,MOD(67+$C37+(-1),$B$3)+1)*H37+INDEX(Symboles!$G$6:$G$101,MOD(67+$C37+(0),$B$3)+1)*I37+INDEX(Symboles!$G$6:$G$101,MOD(67+$C37+(1),$B$3)+1)*J37+INDEX(Symboles!$G$6:$G$101,MOD(67+$C37+(2),$B$3)+1)*K37+INDEX(Symboles!$G$6:$G$101,MOD(67+$C37+(3),$B$3)+1)*L37+INDEX(Symboles!$G$6:$G$101,MOD(67+$C37+(4),$B$3)+1)*M37+IF($B$6=0,0,$B$6*NORMSINV(0.000001+0.999998*RAND())))</f>
        <v/>
      </c>
      <c r="CF37" s="30">
        <f>IF(69&gt;$B$3,99,INDEX(Symboles!$G$6:$G$101,MOD(68+$C37+(-4),$B$3)+1)*E37+INDEX(Symboles!$G$6:$G$101,MOD(68+$C37+(-3),$B$3)+1)*F37+INDEX(Symboles!$G$6:$G$101,MOD(68+$C37+(-2),$B$3)+1)*G37+INDEX(Symboles!$G$6:$G$101,MOD(68+$C37+(-1),$B$3)+1)*H37+INDEX(Symboles!$G$6:$G$101,MOD(68+$C37+(0),$B$3)+1)*I37+INDEX(Symboles!$G$6:$G$101,MOD(68+$C37+(1),$B$3)+1)*J37+INDEX(Symboles!$G$6:$G$101,MOD(68+$C37+(2),$B$3)+1)*K37+INDEX(Symboles!$G$6:$G$101,MOD(68+$C37+(3),$B$3)+1)*L37+INDEX(Symboles!$G$6:$G$101,MOD(68+$C37+(4),$B$3)+1)*M37+IF($B$6=0,0,$B$6*NORMSINV(0.000001+0.999998*RAND())))</f>
        <v/>
      </c>
      <c r="CG37" s="30">
        <f>IF(70&gt;$B$3,99,INDEX(Symboles!$G$6:$G$101,MOD(69+$C37+(-4),$B$3)+1)*E37+INDEX(Symboles!$G$6:$G$101,MOD(69+$C37+(-3),$B$3)+1)*F37+INDEX(Symboles!$G$6:$G$101,MOD(69+$C37+(-2),$B$3)+1)*G37+INDEX(Symboles!$G$6:$G$101,MOD(69+$C37+(-1),$B$3)+1)*H37+INDEX(Symboles!$G$6:$G$101,MOD(69+$C37+(0),$B$3)+1)*I37+INDEX(Symboles!$G$6:$G$101,MOD(69+$C37+(1),$B$3)+1)*J37+INDEX(Symboles!$G$6:$G$101,MOD(69+$C37+(2),$B$3)+1)*K37+INDEX(Symboles!$G$6:$G$101,MOD(69+$C37+(3),$B$3)+1)*L37+INDEX(Symboles!$G$6:$G$101,MOD(69+$C37+(4),$B$3)+1)*M37+IF($B$6=0,0,$B$6*NORMSINV(0.000001+0.999998*RAND())))</f>
        <v/>
      </c>
      <c r="CH37" s="30">
        <f>IF(71&gt;$B$3,99,INDEX(Symboles!$G$6:$G$101,MOD(70+$C37+(-4),$B$3)+1)*E37+INDEX(Symboles!$G$6:$G$101,MOD(70+$C37+(-3),$B$3)+1)*F37+INDEX(Symboles!$G$6:$G$101,MOD(70+$C37+(-2),$B$3)+1)*G37+INDEX(Symboles!$G$6:$G$101,MOD(70+$C37+(-1),$B$3)+1)*H37+INDEX(Symboles!$G$6:$G$101,MOD(70+$C37+(0),$B$3)+1)*I37+INDEX(Symboles!$G$6:$G$101,MOD(70+$C37+(1),$B$3)+1)*J37+INDEX(Symboles!$G$6:$G$101,MOD(70+$C37+(2),$B$3)+1)*K37+INDEX(Symboles!$G$6:$G$101,MOD(70+$C37+(3),$B$3)+1)*L37+INDEX(Symboles!$G$6:$G$101,MOD(70+$C37+(4),$B$3)+1)*M37+IF($B$6=0,0,$B$6*NORMSINV(0.000001+0.999998*RAND())))</f>
        <v/>
      </c>
      <c r="CI37" s="30">
        <f>IF(72&gt;$B$3,99,INDEX(Symboles!$G$6:$G$101,MOD(71+$C37+(-4),$B$3)+1)*E37+INDEX(Symboles!$G$6:$G$101,MOD(71+$C37+(-3),$B$3)+1)*F37+INDEX(Symboles!$G$6:$G$101,MOD(71+$C37+(-2),$B$3)+1)*G37+INDEX(Symboles!$G$6:$G$101,MOD(71+$C37+(-1),$B$3)+1)*H37+INDEX(Symboles!$G$6:$G$101,MOD(71+$C37+(0),$B$3)+1)*I37+INDEX(Symboles!$G$6:$G$101,MOD(71+$C37+(1),$B$3)+1)*J37+INDEX(Symboles!$G$6:$G$101,MOD(71+$C37+(2),$B$3)+1)*K37+INDEX(Symboles!$G$6:$G$101,MOD(71+$C37+(3),$B$3)+1)*L37+INDEX(Symboles!$G$6:$G$101,MOD(71+$C37+(4),$B$3)+1)*M37+IF($B$6=0,0,$B$6*NORMSINV(0.000001+0.999998*RAND())))</f>
        <v/>
      </c>
      <c r="CJ37" s="30">
        <f>IF(73&gt;$B$3,99,INDEX(Symboles!$G$6:$G$101,MOD(72+$C37+(-4),$B$3)+1)*E37+INDEX(Symboles!$G$6:$G$101,MOD(72+$C37+(-3),$B$3)+1)*F37+INDEX(Symboles!$G$6:$G$101,MOD(72+$C37+(-2),$B$3)+1)*G37+INDEX(Symboles!$G$6:$G$101,MOD(72+$C37+(-1),$B$3)+1)*H37+INDEX(Symboles!$G$6:$G$101,MOD(72+$C37+(0),$B$3)+1)*I37+INDEX(Symboles!$G$6:$G$101,MOD(72+$C37+(1),$B$3)+1)*J37+INDEX(Symboles!$G$6:$G$101,MOD(72+$C37+(2),$B$3)+1)*K37+INDEX(Symboles!$G$6:$G$101,MOD(72+$C37+(3),$B$3)+1)*L37+INDEX(Symboles!$G$6:$G$101,MOD(72+$C37+(4),$B$3)+1)*M37+IF($B$6=0,0,$B$6*NORMSINV(0.000001+0.999998*RAND())))</f>
        <v/>
      </c>
      <c r="CK37" s="30">
        <f>IF(74&gt;$B$3,99,INDEX(Symboles!$G$6:$G$101,MOD(73+$C37+(-4),$B$3)+1)*E37+INDEX(Symboles!$G$6:$G$101,MOD(73+$C37+(-3),$B$3)+1)*F37+INDEX(Symboles!$G$6:$G$101,MOD(73+$C37+(-2),$B$3)+1)*G37+INDEX(Symboles!$G$6:$G$101,MOD(73+$C37+(-1),$B$3)+1)*H37+INDEX(Symboles!$G$6:$G$101,MOD(73+$C37+(0),$B$3)+1)*I37+INDEX(Symboles!$G$6:$G$101,MOD(73+$C37+(1),$B$3)+1)*J37+INDEX(Symboles!$G$6:$G$101,MOD(73+$C37+(2),$B$3)+1)*K37+INDEX(Symboles!$G$6:$G$101,MOD(73+$C37+(3),$B$3)+1)*L37+INDEX(Symboles!$G$6:$G$101,MOD(73+$C37+(4),$B$3)+1)*M37+IF($B$6=0,0,$B$6*NORMSINV(0.000001+0.999998*RAND())))</f>
        <v/>
      </c>
      <c r="CL37" s="30">
        <f>IF(75&gt;$B$3,99,INDEX(Symboles!$G$6:$G$101,MOD(74+$C37+(-4),$B$3)+1)*E37+INDEX(Symboles!$G$6:$G$101,MOD(74+$C37+(-3),$B$3)+1)*F37+INDEX(Symboles!$G$6:$G$101,MOD(74+$C37+(-2),$B$3)+1)*G37+INDEX(Symboles!$G$6:$G$101,MOD(74+$C37+(-1),$B$3)+1)*H37+INDEX(Symboles!$G$6:$G$101,MOD(74+$C37+(0),$B$3)+1)*I37+INDEX(Symboles!$G$6:$G$101,MOD(74+$C37+(1),$B$3)+1)*J37+INDEX(Symboles!$G$6:$G$101,MOD(74+$C37+(2),$B$3)+1)*K37+INDEX(Symboles!$G$6:$G$101,MOD(74+$C37+(3),$B$3)+1)*L37+INDEX(Symboles!$G$6:$G$101,MOD(74+$C37+(4),$B$3)+1)*M37+IF($B$6=0,0,$B$6*NORMSINV(0.000001+0.999998*RAND())))</f>
        <v/>
      </c>
      <c r="CM37" s="30">
        <f>IF(76&gt;$B$3,99,INDEX(Symboles!$G$6:$G$101,MOD(75+$C37+(-4),$B$3)+1)*E37+INDEX(Symboles!$G$6:$G$101,MOD(75+$C37+(-3),$B$3)+1)*F37+INDEX(Symboles!$G$6:$G$101,MOD(75+$C37+(-2),$B$3)+1)*G37+INDEX(Symboles!$G$6:$G$101,MOD(75+$C37+(-1),$B$3)+1)*H37+INDEX(Symboles!$G$6:$G$101,MOD(75+$C37+(0),$B$3)+1)*I37+INDEX(Symboles!$G$6:$G$101,MOD(75+$C37+(1),$B$3)+1)*J37+INDEX(Symboles!$G$6:$G$101,MOD(75+$C37+(2),$B$3)+1)*K37+INDEX(Symboles!$G$6:$G$101,MOD(75+$C37+(3),$B$3)+1)*L37+INDEX(Symboles!$G$6:$G$101,MOD(75+$C37+(4),$B$3)+1)*M37+IF($B$6=0,0,$B$6*NORMSINV(0.000001+0.999998*RAND())))</f>
        <v/>
      </c>
      <c r="CN37" s="30">
        <f>IF(77&gt;$B$3,99,INDEX(Symboles!$G$6:$G$101,MOD(76+$C37+(-4),$B$3)+1)*E37+INDEX(Symboles!$G$6:$G$101,MOD(76+$C37+(-3),$B$3)+1)*F37+INDEX(Symboles!$G$6:$G$101,MOD(76+$C37+(-2),$B$3)+1)*G37+INDEX(Symboles!$G$6:$G$101,MOD(76+$C37+(-1),$B$3)+1)*H37+INDEX(Symboles!$G$6:$G$101,MOD(76+$C37+(0),$B$3)+1)*I37+INDEX(Symboles!$G$6:$G$101,MOD(76+$C37+(1),$B$3)+1)*J37+INDEX(Symboles!$G$6:$G$101,MOD(76+$C37+(2),$B$3)+1)*K37+INDEX(Symboles!$G$6:$G$101,MOD(76+$C37+(3),$B$3)+1)*L37+INDEX(Symboles!$G$6:$G$101,MOD(76+$C37+(4),$B$3)+1)*M37+IF($B$6=0,0,$B$6*NORMSINV(0.000001+0.999998*RAND())))</f>
        <v/>
      </c>
      <c r="CO37" s="30">
        <f>IF(78&gt;$B$3,99,INDEX(Symboles!$G$6:$G$101,MOD(77+$C37+(-4),$B$3)+1)*E37+INDEX(Symboles!$G$6:$G$101,MOD(77+$C37+(-3),$B$3)+1)*F37+INDEX(Symboles!$G$6:$G$101,MOD(77+$C37+(-2),$B$3)+1)*G37+INDEX(Symboles!$G$6:$G$101,MOD(77+$C37+(-1),$B$3)+1)*H37+INDEX(Symboles!$G$6:$G$101,MOD(77+$C37+(0),$B$3)+1)*I37+INDEX(Symboles!$G$6:$G$101,MOD(77+$C37+(1),$B$3)+1)*J37+INDEX(Symboles!$G$6:$G$101,MOD(77+$C37+(2),$B$3)+1)*K37+INDEX(Symboles!$G$6:$G$101,MOD(77+$C37+(3),$B$3)+1)*L37+INDEX(Symboles!$G$6:$G$101,MOD(77+$C37+(4),$B$3)+1)*M37+IF($B$6=0,0,$B$6*NORMSINV(0.000001+0.999998*RAND())))</f>
        <v/>
      </c>
      <c r="CP37" s="30">
        <f>IF(79&gt;$B$3,99,INDEX(Symboles!$G$6:$G$101,MOD(78+$C37+(-4),$B$3)+1)*E37+INDEX(Symboles!$G$6:$G$101,MOD(78+$C37+(-3),$B$3)+1)*F37+INDEX(Symboles!$G$6:$G$101,MOD(78+$C37+(-2),$B$3)+1)*G37+INDEX(Symboles!$G$6:$G$101,MOD(78+$C37+(-1),$B$3)+1)*H37+INDEX(Symboles!$G$6:$G$101,MOD(78+$C37+(0),$B$3)+1)*I37+INDEX(Symboles!$G$6:$G$101,MOD(78+$C37+(1),$B$3)+1)*J37+INDEX(Symboles!$G$6:$G$101,MOD(78+$C37+(2),$B$3)+1)*K37+INDEX(Symboles!$G$6:$G$101,MOD(78+$C37+(3),$B$3)+1)*L37+INDEX(Symboles!$G$6:$G$101,MOD(78+$C37+(4),$B$3)+1)*M37+IF($B$6=0,0,$B$6*NORMSINV(0.000001+0.999998*RAND())))</f>
        <v/>
      </c>
      <c r="CQ37" s="30">
        <f>IF(80&gt;$B$3,99,INDEX(Symboles!$G$6:$G$101,MOD(79+$C37+(-4),$B$3)+1)*E37+INDEX(Symboles!$G$6:$G$101,MOD(79+$C37+(-3),$B$3)+1)*F37+INDEX(Symboles!$G$6:$G$101,MOD(79+$C37+(-2),$B$3)+1)*G37+INDEX(Symboles!$G$6:$G$101,MOD(79+$C37+(-1),$B$3)+1)*H37+INDEX(Symboles!$G$6:$G$101,MOD(79+$C37+(0),$B$3)+1)*I37+INDEX(Symboles!$G$6:$G$101,MOD(79+$C37+(1),$B$3)+1)*J37+INDEX(Symboles!$G$6:$G$101,MOD(79+$C37+(2),$B$3)+1)*K37+INDEX(Symboles!$G$6:$G$101,MOD(79+$C37+(3),$B$3)+1)*L37+INDEX(Symboles!$G$6:$G$101,MOD(79+$C37+(4),$B$3)+1)*M37+IF($B$6=0,0,$B$6*NORMSINV(0.000001+0.999998*RAND())))</f>
        <v/>
      </c>
      <c r="CR37" s="30">
        <f>IF(81&gt;$B$3,99,INDEX(Symboles!$G$6:$G$101,MOD(80+$C37+(-4),$B$3)+1)*E37+INDEX(Symboles!$G$6:$G$101,MOD(80+$C37+(-3),$B$3)+1)*F37+INDEX(Symboles!$G$6:$G$101,MOD(80+$C37+(-2),$B$3)+1)*G37+INDEX(Symboles!$G$6:$G$101,MOD(80+$C37+(-1),$B$3)+1)*H37+INDEX(Symboles!$G$6:$G$101,MOD(80+$C37+(0),$B$3)+1)*I37+INDEX(Symboles!$G$6:$G$101,MOD(80+$C37+(1),$B$3)+1)*J37+INDEX(Symboles!$G$6:$G$101,MOD(80+$C37+(2),$B$3)+1)*K37+INDEX(Symboles!$G$6:$G$101,MOD(80+$C37+(3),$B$3)+1)*L37+INDEX(Symboles!$G$6:$G$101,MOD(80+$C37+(4),$B$3)+1)*M37+IF($B$6=0,0,$B$6*NORMSINV(0.000001+0.999998*RAND())))</f>
        <v/>
      </c>
      <c r="CS37" s="30">
        <f>IF(82&gt;$B$3,99,INDEX(Symboles!$G$6:$G$101,MOD(81+$C37+(-4),$B$3)+1)*E37+INDEX(Symboles!$G$6:$G$101,MOD(81+$C37+(-3),$B$3)+1)*F37+INDEX(Symboles!$G$6:$G$101,MOD(81+$C37+(-2),$B$3)+1)*G37+INDEX(Symboles!$G$6:$G$101,MOD(81+$C37+(-1),$B$3)+1)*H37+INDEX(Symboles!$G$6:$G$101,MOD(81+$C37+(0),$B$3)+1)*I37+INDEX(Symboles!$G$6:$G$101,MOD(81+$C37+(1),$B$3)+1)*J37+INDEX(Symboles!$G$6:$G$101,MOD(81+$C37+(2),$B$3)+1)*K37+INDEX(Symboles!$G$6:$G$101,MOD(81+$C37+(3),$B$3)+1)*L37+INDEX(Symboles!$G$6:$G$101,MOD(81+$C37+(4),$B$3)+1)*M37+IF($B$6=0,0,$B$6*NORMSINV(0.000001+0.999998*RAND())))</f>
        <v/>
      </c>
      <c r="CT37" s="30">
        <f>IF(83&gt;$B$3,99,INDEX(Symboles!$G$6:$G$101,MOD(82+$C37+(-4),$B$3)+1)*E37+INDEX(Symboles!$G$6:$G$101,MOD(82+$C37+(-3),$B$3)+1)*F37+INDEX(Symboles!$G$6:$G$101,MOD(82+$C37+(-2),$B$3)+1)*G37+INDEX(Symboles!$G$6:$G$101,MOD(82+$C37+(-1),$B$3)+1)*H37+INDEX(Symboles!$G$6:$G$101,MOD(82+$C37+(0),$B$3)+1)*I37+INDEX(Symboles!$G$6:$G$101,MOD(82+$C37+(1),$B$3)+1)*J37+INDEX(Symboles!$G$6:$G$101,MOD(82+$C37+(2),$B$3)+1)*K37+INDEX(Symboles!$G$6:$G$101,MOD(82+$C37+(3),$B$3)+1)*L37+INDEX(Symboles!$G$6:$G$101,MOD(82+$C37+(4),$B$3)+1)*M37+IF($B$6=0,0,$B$6*NORMSINV(0.000001+0.999998*RAND())))</f>
        <v/>
      </c>
      <c r="CU37" s="30">
        <f>IF(84&gt;$B$3,99,INDEX(Symboles!$G$6:$G$101,MOD(83+$C37+(-4),$B$3)+1)*E37+INDEX(Symboles!$G$6:$G$101,MOD(83+$C37+(-3),$B$3)+1)*F37+INDEX(Symboles!$G$6:$G$101,MOD(83+$C37+(-2),$B$3)+1)*G37+INDEX(Symboles!$G$6:$G$101,MOD(83+$C37+(-1),$B$3)+1)*H37+INDEX(Symboles!$G$6:$G$101,MOD(83+$C37+(0),$B$3)+1)*I37+INDEX(Symboles!$G$6:$G$101,MOD(83+$C37+(1),$B$3)+1)*J37+INDEX(Symboles!$G$6:$G$101,MOD(83+$C37+(2),$B$3)+1)*K37+INDEX(Symboles!$G$6:$G$101,MOD(83+$C37+(3),$B$3)+1)*L37+INDEX(Symboles!$G$6:$G$101,MOD(83+$C37+(4),$B$3)+1)*M37+IF($B$6=0,0,$B$6*NORMSINV(0.000001+0.999998*RAND())))</f>
        <v/>
      </c>
      <c r="CV37" s="30">
        <f>IF(85&gt;$B$3,99,INDEX(Symboles!$G$6:$G$101,MOD(84+$C37+(-4),$B$3)+1)*E37+INDEX(Symboles!$G$6:$G$101,MOD(84+$C37+(-3),$B$3)+1)*F37+INDEX(Symboles!$G$6:$G$101,MOD(84+$C37+(-2),$B$3)+1)*G37+INDEX(Symboles!$G$6:$G$101,MOD(84+$C37+(-1),$B$3)+1)*H37+INDEX(Symboles!$G$6:$G$101,MOD(84+$C37+(0),$B$3)+1)*I37+INDEX(Symboles!$G$6:$G$101,MOD(84+$C37+(1),$B$3)+1)*J37+INDEX(Symboles!$G$6:$G$101,MOD(84+$C37+(2),$B$3)+1)*K37+INDEX(Symboles!$G$6:$G$101,MOD(84+$C37+(3),$B$3)+1)*L37+INDEX(Symboles!$G$6:$G$101,MOD(84+$C37+(4),$B$3)+1)*M37+IF($B$6=0,0,$B$6*NORMSINV(0.000001+0.999998*RAND())))</f>
        <v/>
      </c>
      <c r="CW37" s="30">
        <f>IF(86&gt;$B$3,99,INDEX(Symboles!$G$6:$G$101,MOD(85+$C37+(-4),$B$3)+1)*E37+INDEX(Symboles!$G$6:$G$101,MOD(85+$C37+(-3),$B$3)+1)*F37+INDEX(Symboles!$G$6:$G$101,MOD(85+$C37+(-2),$B$3)+1)*G37+INDEX(Symboles!$G$6:$G$101,MOD(85+$C37+(-1),$B$3)+1)*H37+INDEX(Symboles!$G$6:$G$101,MOD(85+$C37+(0),$B$3)+1)*I37+INDEX(Symboles!$G$6:$G$101,MOD(85+$C37+(1),$B$3)+1)*J37+INDEX(Symboles!$G$6:$G$101,MOD(85+$C37+(2),$B$3)+1)*K37+INDEX(Symboles!$G$6:$G$101,MOD(85+$C37+(3),$B$3)+1)*L37+INDEX(Symboles!$G$6:$G$101,MOD(85+$C37+(4),$B$3)+1)*M37+IF($B$6=0,0,$B$6*NORMSINV(0.000001+0.999998*RAND())))</f>
        <v/>
      </c>
      <c r="CX37" s="30">
        <f>IF(87&gt;$B$3,99,INDEX(Symboles!$G$6:$G$101,MOD(86+$C37+(-4),$B$3)+1)*E37+INDEX(Symboles!$G$6:$G$101,MOD(86+$C37+(-3),$B$3)+1)*F37+INDEX(Symboles!$G$6:$G$101,MOD(86+$C37+(-2),$B$3)+1)*G37+INDEX(Symboles!$G$6:$G$101,MOD(86+$C37+(-1),$B$3)+1)*H37+INDEX(Symboles!$G$6:$G$101,MOD(86+$C37+(0),$B$3)+1)*I37+INDEX(Symboles!$G$6:$G$101,MOD(86+$C37+(1),$B$3)+1)*J37+INDEX(Symboles!$G$6:$G$101,MOD(86+$C37+(2),$B$3)+1)*K37+INDEX(Symboles!$G$6:$G$101,MOD(86+$C37+(3),$B$3)+1)*L37+INDEX(Symboles!$G$6:$G$101,MOD(86+$C37+(4),$B$3)+1)*M37+IF($B$6=0,0,$B$6*NORMSINV(0.000001+0.999998*RAND())))</f>
        <v/>
      </c>
      <c r="CY37" s="30">
        <f>IF(88&gt;$B$3,99,INDEX(Symboles!$G$6:$G$101,MOD(87+$C37+(-4),$B$3)+1)*E37+INDEX(Symboles!$G$6:$G$101,MOD(87+$C37+(-3),$B$3)+1)*F37+INDEX(Symboles!$G$6:$G$101,MOD(87+$C37+(-2),$B$3)+1)*G37+INDEX(Symboles!$G$6:$G$101,MOD(87+$C37+(-1),$B$3)+1)*H37+INDEX(Symboles!$G$6:$G$101,MOD(87+$C37+(0),$B$3)+1)*I37+INDEX(Symboles!$G$6:$G$101,MOD(87+$C37+(1),$B$3)+1)*J37+INDEX(Symboles!$G$6:$G$101,MOD(87+$C37+(2),$B$3)+1)*K37+INDEX(Symboles!$G$6:$G$101,MOD(87+$C37+(3),$B$3)+1)*L37+INDEX(Symboles!$G$6:$G$101,MOD(87+$C37+(4),$B$3)+1)*M37+IF($B$6=0,0,$B$6*NORMSINV(0.000001+0.999998*RAND())))</f>
        <v/>
      </c>
      <c r="CZ37" s="30">
        <f>IF(89&gt;$B$3,99,INDEX(Symboles!$G$6:$G$101,MOD(88+$C37+(-4),$B$3)+1)*E37+INDEX(Symboles!$G$6:$G$101,MOD(88+$C37+(-3),$B$3)+1)*F37+INDEX(Symboles!$G$6:$G$101,MOD(88+$C37+(-2),$B$3)+1)*G37+INDEX(Symboles!$G$6:$G$101,MOD(88+$C37+(-1),$B$3)+1)*H37+INDEX(Symboles!$G$6:$G$101,MOD(88+$C37+(0),$B$3)+1)*I37+INDEX(Symboles!$G$6:$G$101,MOD(88+$C37+(1),$B$3)+1)*J37+INDEX(Symboles!$G$6:$G$101,MOD(88+$C37+(2),$B$3)+1)*K37+INDEX(Symboles!$G$6:$G$101,MOD(88+$C37+(3),$B$3)+1)*L37+INDEX(Symboles!$G$6:$G$101,MOD(88+$C37+(4),$B$3)+1)*M37+IF($B$6=0,0,$B$6*NORMSINV(0.000001+0.999998*RAND())))</f>
        <v/>
      </c>
      <c r="DA37" s="30">
        <f>IF(90&gt;$B$3,99,INDEX(Symboles!$G$6:$G$101,MOD(89+$C37+(-4),$B$3)+1)*E37+INDEX(Symboles!$G$6:$G$101,MOD(89+$C37+(-3),$B$3)+1)*F37+INDEX(Symboles!$G$6:$G$101,MOD(89+$C37+(-2),$B$3)+1)*G37+INDEX(Symboles!$G$6:$G$101,MOD(89+$C37+(-1),$B$3)+1)*H37+INDEX(Symboles!$G$6:$G$101,MOD(89+$C37+(0),$B$3)+1)*I37+INDEX(Symboles!$G$6:$G$101,MOD(89+$C37+(1),$B$3)+1)*J37+INDEX(Symboles!$G$6:$G$101,MOD(89+$C37+(2),$B$3)+1)*K37+INDEX(Symboles!$G$6:$G$101,MOD(89+$C37+(3),$B$3)+1)*L37+INDEX(Symboles!$G$6:$G$101,MOD(89+$C37+(4),$B$3)+1)*M37+IF($B$6=0,0,$B$6*NORMSINV(0.000001+0.999998*RAND())))</f>
        <v/>
      </c>
      <c r="DB37" s="30">
        <f>IF(91&gt;$B$3,99,INDEX(Symboles!$G$6:$G$101,MOD(90+$C37+(-4),$B$3)+1)*E37+INDEX(Symboles!$G$6:$G$101,MOD(90+$C37+(-3),$B$3)+1)*F37+INDEX(Symboles!$G$6:$G$101,MOD(90+$C37+(-2),$B$3)+1)*G37+INDEX(Symboles!$G$6:$G$101,MOD(90+$C37+(-1),$B$3)+1)*H37+INDEX(Symboles!$G$6:$G$101,MOD(90+$C37+(0),$B$3)+1)*I37+INDEX(Symboles!$G$6:$G$101,MOD(90+$C37+(1),$B$3)+1)*J37+INDEX(Symboles!$G$6:$G$101,MOD(90+$C37+(2),$B$3)+1)*K37+INDEX(Symboles!$G$6:$G$101,MOD(90+$C37+(3),$B$3)+1)*L37+INDEX(Symboles!$G$6:$G$101,MOD(90+$C37+(4),$B$3)+1)*M37+IF($B$6=0,0,$B$6*NORMSINV(0.000001+0.999998*RAND())))</f>
        <v/>
      </c>
      <c r="DC37" s="30">
        <f>IF(92&gt;$B$3,99,INDEX(Symboles!$G$6:$G$101,MOD(91+$C37+(-4),$B$3)+1)*E37+INDEX(Symboles!$G$6:$G$101,MOD(91+$C37+(-3),$B$3)+1)*F37+INDEX(Symboles!$G$6:$G$101,MOD(91+$C37+(-2),$B$3)+1)*G37+INDEX(Symboles!$G$6:$G$101,MOD(91+$C37+(-1),$B$3)+1)*H37+INDEX(Symboles!$G$6:$G$101,MOD(91+$C37+(0),$B$3)+1)*I37+INDEX(Symboles!$G$6:$G$101,MOD(91+$C37+(1),$B$3)+1)*J37+INDEX(Symboles!$G$6:$G$101,MOD(91+$C37+(2),$B$3)+1)*K37+INDEX(Symboles!$G$6:$G$101,MOD(91+$C37+(3),$B$3)+1)*L37+INDEX(Symboles!$G$6:$G$101,MOD(91+$C37+(4),$B$3)+1)*M37+IF($B$6=0,0,$B$6*NORMSINV(0.000001+0.999998*RAND())))</f>
        <v/>
      </c>
      <c r="DD37" s="30">
        <f>IF(93&gt;$B$3,99,INDEX(Symboles!$G$6:$G$101,MOD(92+$C37+(-4),$B$3)+1)*E37+INDEX(Symboles!$G$6:$G$101,MOD(92+$C37+(-3),$B$3)+1)*F37+INDEX(Symboles!$G$6:$G$101,MOD(92+$C37+(-2),$B$3)+1)*G37+INDEX(Symboles!$G$6:$G$101,MOD(92+$C37+(-1),$B$3)+1)*H37+INDEX(Symboles!$G$6:$G$101,MOD(92+$C37+(0),$B$3)+1)*I37+INDEX(Symboles!$G$6:$G$101,MOD(92+$C37+(1),$B$3)+1)*J37+INDEX(Symboles!$G$6:$G$101,MOD(92+$C37+(2),$B$3)+1)*K37+INDEX(Symboles!$G$6:$G$101,MOD(92+$C37+(3),$B$3)+1)*L37+INDEX(Symboles!$G$6:$G$101,MOD(92+$C37+(4),$B$3)+1)*M37+IF($B$6=0,0,$B$6*NORMSINV(0.000001+0.999998*RAND())))</f>
        <v/>
      </c>
      <c r="DE37" s="30">
        <f>IF(94&gt;$B$3,99,INDEX(Symboles!$G$6:$G$101,MOD(93+$C37+(-4),$B$3)+1)*E37+INDEX(Symboles!$G$6:$G$101,MOD(93+$C37+(-3),$B$3)+1)*F37+INDEX(Symboles!$G$6:$G$101,MOD(93+$C37+(-2),$B$3)+1)*G37+INDEX(Symboles!$G$6:$G$101,MOD(93+$C37+(-1),$B$3)+1)*H37+INDEX(Symboles!$G$6:$G$101,MOD(93+$C37+(0),$B$3)+1)*I37+INDEX(Symboles!$G$6:$G$101,MOD(93+$C37+(1),$B$3)+1)*J37+INDEX(Symboles!$G$6:$G$101,MOD(93+$C37+(2),$B$3)+1)*K37+INDEX(Symboles!$G$6:$G$101,MOD(93+$C37+(3),$B$3)+1)*L37+INDEX(Symboles!$G$6:$G$101,MOD(93+$C37+(4),$B$3)+1)*M37+IF($B$6=0,0,$B$6*NORMSINV(0.000001+0.999998*RAND())))</f>
        <v/>
      </c>
      <c r="DF37" s="30">
        <f>IF(95&gt;$B$3,99,INDEX(Symboles!$G$6:$G$101,MOD(94+$C37+(-4),$B$3)+1)*E37+INDEX(Symboles!$G$6:$G$101,MOD(94+$C37+(-3),$B$3)+1)*F37+INDEX(Symboles!$G$6:$G$101,MOD(94+$C37+(-2),$B$3)+1)*G37+INDEX(Symboles!$G$6:$G$101,MOD(94+$C37+(-1),$B$3)+1)*H37+INDEX(Symboles!$G$6:$G$101,MOD(94+$C37+(0),$B$3)+1)*I37+INDEX(Symboles!$G$6:$G$101,MOD(94+$C37+(1),$B$3)+1)*J37+INDEX(Symboles!$G$6:$G$101,MOD(94+$C37+(2),$B$3)+1)*K37+INDEX(Symboles!$G$6:$G$101,MOD(94+$C37+(3),$B$3)+1)*L37+INDEX(Symboles!$G$6:$G$101,MOD(94+$C37+(4),$B$3)+1)*M37+IF($B$6=0,0,$B$6*NORMSINV(0.000001+0.999998*RAND())))</f>
        <v/>
      </c>
      <c r="DG37" s="30">
        <f>IF(96&gt;$B$3,99,INDEX(Symboles!$G$6:$G$101,MOD(95+$C37+(-4),$B$3)+1)*E37+INDEX(Symboles!$G$6:$G$101,MOD(95+$C37+(-3),$B$3)+1)*F37+INDEX(Symboles!$G$6:$G$101,MOD(95+$C37+(-2),$B$3)+1)*G37+INDEX(Symboles!$G$6:$G$101,MOD(95+$C37+(-1),$B$3)+1)*H37+INDEX(Symboles!$G$6:$G$101,MOD(95+$C37+(0),$B$3)+1)*I37+INDEX(Symboles!$G$6:$G$101,MOD(95+$C37+(1),$B$3)+1)*J37+INDEX(Symboles!$G$6:$G$101,MOD(95+$C37+(2),$B$3)+1)*K37+INDEX(Symboles!$G$6:$G$101,MOD(95+$C37+(3),$B$3)+1)*L37+INDEX(Symboles!$G$6:$G$101,MOD(95+$C37+(4),$B$3)+1)*M37+IF($B$6=0,0,$B$6*NORMSINV(0.000001+0.999998*RAND())))</f>
        <v/>
      </c>
      <c r="DI37" s="30">
        <f>IF(1&gt;$B$3,99,INDEX(Symboles!$H$6:$H$101,MOD(0+$C37+(-4),$B$3)+1)*E37+INDEX(Symboles!$H$6:$H$101,MOD(0+$C37+(-3),$B$3)+1)*F37+INDEX(Symboles!$H$6:$H$101,MOD(0+$C37+(-2),$B$3)+1)*G37+INDEX(Symboles!$H$6:$H$101,MOD(0+$C37+(-1),$B$3)+1)*H37+INDEX(Symboles!$H$6:$H$101,MOD(0+$C37+(0),$B$3)+1)*I37+INDEX(Symboles!$H$6:$H$101,MOD(0+$C37+(1),$B$3)+1)*J37+INDEX(Symboles!$H$6:$H$101,MOD(0+$C37+(2),$B$3)+1)*K37+INDEX(Symboles!$H$6:$H$101,MOD(0+$C37+(3),$B$3)+1)*L37+INDEX(Symboles!$H$6:$H$101,MOD(0+$C37+(4),$B$3)+1)*M37+IF($B$6=0,0,$B$6*NORMSINV(0.000001+0.999998*RAND())))</f>
        <v/>
      </c>
      <c r="DJ37" s="30">
        <f>IF(2&gt;$B$3,99,INDEX(Symboles!$H$6:$H$101,MOD(1+$C37+(-4),$B$3)+1)*E37+INDEX(Symboles!$H$6:$H$101,MOD(1+$C37+(-3),$B$3)+1)*F37+INDEX(Symboles!$H$6:$H$101,MOD(1+$C37+(-2),$B$3)+1)*G37+INDEX(Symboles!$H$6:$H$101,MOD(1+$C37+(-1),$B$3)+1)*H37+INDEX(Symboles!$H$6:$H$101,MOD(1+$C37+(0),$B$3)+1)*I37+INDEX(Symboles!$H$6:$H$101,MOD(1+$C37+(1),$B$3)+1)*J37+INDEX(Symboles!$H$6:$H$101,MOD(1+$C37+(2),$B$3)+1)*K37+INDEX(Symboles!$H$6:$H$101,MOD(1+$C37+(3),$B$3)+1)*L37+INDEX(Symboles!$H$6:$H$101,MOD(1+$C37+(4),$B$3)+1)*M37+IF($B$6=0,0,$B$6*NORMSINV(0.000001+0.999998*RAND())))</f>
        <v/>
      </c>
      <c r="DK37" s="30">
        <f>IF(3&gt;$B$3,99,INDEX(Symboles!$H$6:$H$101,MOD(2+$C37+(-4),$B$3)+1)*E37+INDEX(Symboles!$H$6:$H$101,MOD(2+$C37+(-3),$B$3)+1)*F37+INDEX(Symboles!$H$6:$H$101,MOD(2+$C37+(-2),$B$3)+1)*G37+INDEX(Symboles!$H$6:$H$101,MOD(2+$C37+(-1),$B$3)+1)*H37+INDEX(Symboles!$H$6:$H$101,MOD(2+$C37+(0),$B$3)+1)*I37+INDEX(Symboles!$H$6:$H$101,MOD(2+$C37+(1),$B$3)+1)*J37+INDEX(Symboles!$H$6:$H$101,MOD(2+$C37+(2),$B$3)+1)*K37+INDEX(Symboles!$H$6:$H$101,MOD(2+$C37+(3),$B$3)+1)*L37+INDEX(Symboles!$H$6:$H$101,MOD(2+$C37+(4),$B$3)+1)*M37+IF($B$6=0,0,$B$6*NORMSINV(0.000001+0.999998*RAND())))</f>
        <v/>
      </c>
      <c r="DL37" s="30">
        <f>IF(4&gt;$B$3,99,INDEX(Symboles!$H$6:$H$101,MOD(3+$C37+(-4),$B$3)+1)*E37+INDEX(Symboles!$H$6:$H$101,MOD(3+$C37+(-3),$B$3)+1)*F37+INDEX(Symboles!$H$6:$H$101,MOD(3+$C37+(-2),$B$3)+1)*G37+INDEX(Symboles!$H$6:$H$101,MOD(3+$C37+(-1),$B$3)+1)*H37+INDEX(Symboles!$H$6:$H$101,MOD(3+$C37+(0),$B$3)+1)*I37+INDEX(Symboles!$H$6:$H$101,MOD(3+$C37+(1),$B$3)+1)*J37+INDEX(Symboles!$H$6:$H$101,MOD(3+$C37+(2),$B$3)+1)*K37+INDEX(Symboles!$H$6:$H$101,MOD(3+$C37+(3),$B$3)+1)*L37+INDEX(Symboles!$H$6:$H$101,MOD(3+$C37+(4),$B$3)+1)*M37+IF($B$6=0,0,$B$6*NORMSINV(0.000001+0.999998*RAND())))</f>
        <v/>
      </c>
      <c r="DM37" s="30">
        <f>IF(5&gt;$B$3,99,INDEX(Symboles!$H$6:$H$101,MOD(4+$C37+(-4),$B$3)+1)*E37+INDEX(Symboles!$H$6:$H$101,MOD(4+$C37+(-3),$B$3)+1)*F37+INDEX(Symboles!$H$6:$H$101,MOD(4+$C37+(-2),$B$3)+1)*G37+INDEX(Symboles!$H$6:$H$101,MOD(4+$C37+(-1),$B$3)+1)*H37+INDEX(Symboles!$H$6:$H$101,MOD(4+$C37+(0),$B$3)+1)*I37+INDEX(Symboles!$H$6:$H$101,MOD(4+$C37+(1),$B$3)+1)*J37+INDEX(Symboles!$H$6:$H$101,MOD(4+$C37+(2),$B$3)+1)*K37+INDEX(Symboles!$H$6:$H$101,MOD(4+$C37+(3),$B$3)+1)*L37+INDEX(Symboles!$H$6:$H$101,MOD(4+$C37+(4),$B$3)+1)*M37+IF($B$6=0,0,$B$6*NORMSINV(0.000001+0.999998*RAND())))</f>
        <v/>
      </c>
      <c r="DN37" s="30">
        <f>IF(6&gt;$B$3,99,INDEX(Symboles!$H$6:$H$101,MOD(5+$C37+(-4),$B$3)+1)*E37+INDEX(Symboles!$H$6:$H$101,MOD(5+$C37+(-3),$B$3)+1)*F37+INDEX(Symboles!$H$6:$H$101,MOD(5+$C37+(-2),$B$3)+1)*G37+INDEX(Symboles!$H$6:$H$101,MOD(5+$C37+(-1),$B$3)+1)*H37+INDEX(Symboles!$H$6:$H$101,MOD(5+$C37+(0),$B$3)+1)*I37+INDEX(Symboles!$H$6:$H$101,MOD(5+$C37+(1),$B$3)+1)*J37+INDEX(Symboles!$H$6:$H$101,MOD(5+$C37+(2),$B$3)+1)*K37+INDEX(Symboles!$H$6:$H$101,MOD(5+$C37+(3),$B$3)+1)*L37+INDEX(Symboles!$H$6:$H$101,MOD(5+$C37+(4),$B$3)+1)*M37+IF($B$6=0,0,$B$6*NORMSINV(0.000001+0.999998*RAND())))</f>
        <v/>
      </c>
      <c r="DO37" s="30">
        <f>IF(7&gt;$B$3,99,INDEX(Symboles!$H$6:$H$101,MOD(6+$C37+(-4),$B$3)+1)*E37+INDEX(Symboles!$H$6:$H$101,MOD(6+$C37+(-3),$B$3)+1)*F37+INDEX(Symboles!$H$6:$H$101,MOD(6+$C37+(-2),$B$3)+1)*G37+INDEX(Symboles!$H$6:$H$101,MOD(6+$C37+(-1),$B$3)+1)*H37+INDEX(Symboles!$H$6:$H$101,MOD(6+$C37+(0),$B$3)+1)*I37+INDEX(Symboles!$H$6:$H$101,MOD(6+$C37+(1),$B$3)+1)*J37+INDEX(Symboles!$H$6:$H$101,MOD(6+$C37+(2),$B$3)+1)*K37+INDEX(Symboles!$H$6:$H$101,MOD(6+$C37+(3),$B$3)+1)*L37+INDEX(Symboles!$H$6:$H$101,MOD(6+$C37+(4),$B$3)+1)*M37+IF($B$6=0,0,$B$6*NORMSINV(0.000001+0.999998*RAND())))</f>
        <v/>
      </c>
      <c r="DP37" s="30">
        <f>IF(8&gt;$B$3,99,INDEX(Symboles!$H$6:$H$101,MOD(7+$C37+(-4),$B$3)+1)*E37+INDEX(Symboles!$H$6:$H$101,MOD(7+$C37+(-3),$B$3)+1)*F37+INDEX(Symboles!$H$6:$H$101,MOD(7+$C37+(-2),$B$3)+1)*G37+INDEX(Symboles!$H$6:$H$101,MOD(7+$C37+(-1),$B$3)+1)*H37+INDEX(Symboles!$H$6:$H$101,MOD(7+$C37+(0),$B$3)+1)*I37+INDEX(Symboles!$H$6:$H$101,MOD(7+$C37+(1),$B$3)+1)*J37+INDEX(Symboles!$H$6:$H$101,MOD(7+$C37+(2),$B$3)+1)*K37+INDEX(Symboles!$H$6:$H$101,MOD(7+$C37+(3),$B$3)+1)*L37+INDEX(Symboles!$H$6:$H$101,MOD(7+$C37+(4),$B$3)+1)*M37+IF($B$6=0,0,$B$6*NORMSINV(0.000001+0.999998*RAND())))</f>
        <v/>
      </c>
      <c r="DQ37" s="30">
        <f>IF(9&gt;$B$3,99,INDEX(Symboles!$H$6:$H$101,MOD(8+$C37+(-4),$B$3)+1)*E37+INDEX(Symboles!$H$6:$H$101,MOD(8+$C37+(-3),$B$3)+1)*F37+INDEX(Symboles!$H$6:$H$101,MOD(8+$C37+(-2),$B$3)+1)*G37+INDEX(Symboles!$H$6:$H$101,MOD(8+$C37+(-1),$B$3)+1)*H37+INDEX(Symboles!$H$6:$H$101,MOD(8+$C37+(0),$B$3)+1)*I37+INDEX(Symboles!$H$6:$H$101,MOD(8+$C37+(1),$B$3)+1)*J37+INDEX(Symboles!$H$6:$H$101,MOD(8+$C37+(2),$B$3)+1)*K37+INDEX(Symboles!$H$6:$H$101,MOD(8+$C37+(3),$B$3)+1)*L37+INDEX(Symboles!$H$6:$H$101,MOD(8+$C37+(4),$B$3)+1)*M37+IF($B$6=0,0,$B$6*NORMSINV(0.000001+0.999998*RAND())))</f>
        <v/>
      </c>
      <c r="DR37" s="30">
        <f>IF(10&gt;$B$3,99,INDEX(Symboles!$H$6:$H$101,MOD(9+$C37+(-4),$B$3)+1)*E37+INDEX(Symboles!$H$6:$H$101,MOD(9+$C37+(-3),$B$3)+1)*F37+INDEX(Symboles!$H$6:$H$101,MOD(9+$C37+(-2),$B$3)+1)*G37+INDEX(Symboles!$H$6:$H$101,MOD(9+$C37+(-1),$B$3)+1)*H37+INDEX(Symboles!$H$6:$H$101,MOD(9+$C37+(0),$B$3)+1)*I37+INDEX(Symboles!$H$6:$H$101,MOD(9+$C37+(1),$B$3)+1)*J37+INDEX(Symboles!$H$6:$H$101,MOD(9+$C37+(2),$B$3)+1)*K37+INDEX(Symboles!$H$6:$H$101,MOD(9+$C37+(3),$B$3)+1)*L37+INDEX(Symboles!$H$6:$H$101,MOD(9+$C37+(4),$B$3)+1)*M37+IF($B$6=0,0,$B$6*NORMSINV(0.000001+0.999998*RAND())))</f>
        <v/>
      </c>
      <c r="DS37" s="30">
        <f>IF(11&gt;$B$3,99,INDEX(Symboles!$H$6:$H$101,MOD(10+$C37+(-4),$B$3)+1)*E37+INDEX(Symboles!$H$6:$H$101,MOD(10+$C37+(-3),$B$3)+1)*F37+INDEX(Symboles!$H$6:$H$101,MOD(10+$C37+(-2),$B$3)+1)*G37+INDEX(Symboles!$H$6:$H$101,MOD(10+$C37+(-1),$B$3)+1)*H37+INDEX(Symboles!$H$6:$H$101,MOD(10+$C37+(0),$B$3)+1)*I37+INDEX(Symboles!$H$6:$H$101,MOD(10+$C37+(1),$B$3)+1)*J37+INDEX(Symboles!$H$6:$H$101,MOD(10+$C37+(2),$B$3)+1)*K37+INDEX(Symboles!$H$6:$H$101,MOD(10+$C37+(3),$B$3)+1)*L37+INDEX(Symboles!$H$6:$H$101,MOD(10+$C37+(4),$B$3)+1)*M37+IF($B$6=0,0,$B$6*NORMSINV(0.000001+0.999998*RAND())))</f>
        <v/>
      </c>
      <c r="DT37" s="30">
        <f>IF(12&gt;$B$3,99,INDEX(Symboles!$H$6:$H$101,MOD(11+$C37+(-4),$B$3)+1)*E37+INDEX(Symboles!$H$6:$H$101,MOD(11+$C37+(-3),$B$3)+1)*F37+INDEX(Symboles!$H$6:$H$101,MOD(11+$C37+(-2),$B$3)+1)*G37+INDEX(Symboles!$H$6:$H$101,MOD(11+$C37+(-1),$B$3)+1)*H37+INDEX(Symboles!$H$6:$H$101,MOD(11+$C37+(0),$B$3)+1)*I37+INDEX(Symboles!$H$6:$H$101,MOD(11+$C37+(1),$B$3)+1)*J37+INDEX(Symboles!$H$6:$H$101,MOD(11+$C37+(2),$B$3)+1)*K37+INDEX(Symboles!$H$6:$H$101,MOD(11+$C37+(3),$B$3)+1)*L37+INDEX(Symboles!$H$6:$H$101,MOD(11+$C37+(4),$B$3)+1)*M37+IF($B$6=0,0,$B$6*NORMSINV(0.000001+0.999998*RAND())))</f>
        <v/>
      </c>
      <c r="DU37" s="30">
        <f>IF(13&gt;$B$3,99,INDEX(Symboles!$H$6:$H$101,MOD(12+$C37+(-4),$B$3)+1)*E37+INDEX(Symboles!$H$6:$H$101,MOD(12+$C37+(-3),$B$3)+1)*F37+INDEX(Symboles!$H$6:$H$101,MOD(12+$C37+(-2),$B$3)+1)*G37+INDEX(Symboles!$H$6:$H$101,MOD(12+$C37+(-1),$B$3)+1)*H37+INDEX(Symboles!$H$6:$H$101,MOD(12+$C37+(0),$B$3)+1)*I37+INDEX(Symboles!$H$6:$H$101,MOD(12+$C37+(1),$B$3)+1)*J37+INDEX(Symboles!$H$6:$H$101,MOD(12+$C37+(2),$B$3)+1)*K37+INDEX(Symboles!$H$6:$H$101,MOD(12+$C37+(3),$B$3)+1)*L37+INDEX(Symboles!$H$6:$H$101,MOD(12+$C37+(4),$B$3)+1)*M37+IF($B$6=0,0,$B$6*NORMSINV(0.000001+0.999998*RAND())))</f>
        <v/>
      </c>
      <c r="DV37" s="30">
        <f>IF(14&gt;$B$3,99,INDEX(Symboles!$H$6:$H$101,MOD(13+$C37+(-4),$B$3)+1)*E37+INDEX(Symboles!$H$6:$H$101,MOD(13+$C37+(-3),$B$3)+1)*F37+INDEX(Symboles!$H$6:$H$101,MOD(13+$C37+(-2),$B$3)+1)*G37+INDEX(Symboles!$H$6:$H$101,MOD(13+$C37+(-1),$B$3)+1)*H37+INDEX(Symboles!$H$6:$H$101,MOD(13+$C37+(0),$B$3)+1)*I37+INDEX(Symboles!$H$6:$H$101,MOD(13+$C37+(1),$B$3)+1)*J37+INDEX(Symboles!$H$6:$H$101,MOD(13+$C37+(2),$B$3)+1)*K37+INDEX(Symboles!$H$6:$H$101,MOD(13+$C37+(3),$B$3)+1)*L37+INDEX(Symboles!$H$6:$H$101,MOD(13+$C37+(4),$B$3)+1)*M37+IF($B$6=0,0,$B$6*NORMSINV(0.000001+0.999998*RAND())))</f>
        <v/>
      </c>
      <c r="DW37" s="30">
        <f>IF(15&gt;$B$3,99,INDEX(Symboles!$H$6:$H$101,MOD(14+$C37+(-4),$B$3)+1)*E37+INDEX(Symboles!$H$6:$H$101,MOD(14+$C37+(-3),$B$3)+1)*F37+INDEX(Symboles!$H$6:$H$101,MOD(14+$C37+(-2),$B$3)+1)*G37+INDEX(Symboles!$H$6:$H$101,MOD(14+$C37+(-1),$B$3)+1)*H37+INDEX(Symboles!$H$6:$H$101,MOD(14+$C37+(0),$B$3)+1)*I37+INDEX(Symboles!$H$6:$H$101,MOD(14+$C37+(1),$B$3)+1)*J37+INDEX(Symboles!$H$6:$H$101,MOD(14+$C37+(2),$B$3)+1)*K37+INDEX(Symboles!$H$6:$H$101,MOD(14+$C37+(3),$B$3)+1)*L37+INDEX(Symboles!$H$6:$H$101,MOD(14+$C37+(4),$B$3)+1)*M37+IF($B$6=0,0,$B$6*NORMSINV(0.000001+0.999998*RAND())))</f>
        <v/>
      </c>
      <c r="DX37" s="30">
        <f>IF(16&gt;$B$3,99,INDEX(Symboles!$H$6:$H$101,MOD(15+$C37+(-4),$B$3)+1)*E37+INDEX(Symboles!$H$6:$H$101,MOD(15+$C37+(-3),$B$3)+1)*F37+INDEX(Symboles!$H$6:$H$101,MOD(15+$C37+(-2),$B$3)+1)*G37+INDEX(Symboles!$H$6:$H$101,MOD(15+$C37+(-1),$B$3)+1)*H37+INDEX(Symboles!$H$6:$H$101,MOD(15+$C37+(0),$B$3)+1)*I37+INDEX(Symboles!$H$6:$H$101,MOD(15+$C37+(1),$B$3)+1)*J37+INDEX(Symboles!$H$6:$H$101,MOD(15+$C37+(2),$B$3)+1)*K37+INDEX(Symboles!$H$6:$H$101,MOD(15+$C37+(3),$B$3)+1)*L37+INDEX(Symboles!$H$6:$H$101,MOD(15+$C37+(4),$B$3)+1)*M37+IF($B$6=0,0,$B$6*NORMSINV(0.000001+0.999998*RAND())))</f>
        <v/>
      </c>
      <c r="DY37" s="30">
        <f>IF(17&gt;$B$3,99,INDEX(Symboles!$H$6:$H$101,MOD(16+$C37+(-4),$B$3)+1)*E37+INDEX(Symboles!$H$6:$H$101,MOD(16+$C37+(-3),$B$3)+1)*F37+INDEX(Symboles!$H$6:$H$101,MOD(16+$C37+(-2),$B$3)+1)*G37+INDEX(Symboles!$H$6:$H$101,MOD(16+$C37+(-1),$B$3)+1)*H37+INDEX(Symboles!$H$6:$H$101,MOD(16+$C37+(0),$B$3)+1)*I37+INDEX(Symboles!$H$6:$H$101,MOD(16+$C37+(1),$B$3)+1)*J37+INDEX(Symboles!$H$6:$H$101,MOD(16+$C37+(2),$B$3)+1)*K37+INDEX(Symboles!$H$6:$H$101,MOD(16+$C37+(3),$B$3)+1)*L37+INDEX(Symboles!$H$6:$H$101,MOD(16+$C37+(4),$B$3)+1)*M37+IF($B$6=0,0,$B$6*NORMSINV(0.000001+0.999998*RAND())))</f>
        <v/>
      </c>
      <c r="DZ37" s="30">
        <f>IF(18&gt;$B$3,99,INDEX(Symboles!$H$6:$H$101,MOD(17+$C37+(-4),$B$3)+1)*E37+INDEX(Symboles!$H$6:$H$101,MOD(17+$C37+(-3),$B$3)+1)*F37+INDEX(Symboles!$H$6:$H$101,MOD(17+$C37+(-2),$B$3)+1)*G37+INDEX(Symboles!$H$6:$H$101,MOD(17+$C37+(-1),$B$3)+1)*H37+INDEX(Symboles!$H$6:$H$101,MOD(17+$C37+(0),$B$3)+1)*I37+INDEX(Symboles!$H$6:$H$101,MOD(17+$C37+(1),$B$3)+1)*J37+INDEX(Symboles!$H$6:$H$101,MOD(17+$C37+(2),$B$3)+1)*K37+INDEX(Symboles!$H$6:$H$101,MOD(17+$C37+(3),$B$3)+1)*L37+INDEX(Symboles!$H$6:$H$101,MOD(17+$C37+(4),$B$3)+1)*M37+IF($B$6=0,0,$B$6*NORMSINV(0.000001+0.999998*RAND())))</f>
        <v/>
      </c>
      <c r="EA37" s="30">
        <f>IF(19&gt;$B$3,99,INDEX(Symboles!$H$6:$H$101,MOD(18+$C37+(-4),$B$3)+1)*E37+INDEX(Symboles!$H$6:$H$101,MOD(18+$C37+(-3),$B$3)+1)*F37+INDEX(Symboles!$H$6:$H$101,MOD(18+$C37+(-2),$B$3)+1)*G37+INDEX(Symboles!$H$6:$H$101,MOD(18+$C37+(-1),$B$3)+1)*H37+INDEX(Symboles!$H$6:$H$101,MOD(18+$C37+(0),$B$3)+1)*I37+INDEX(Symboles!$H$6:$H$101,MOD(18+$C37+(1),$B$3)+1)*J37+INDEX(Symboles!$H$6:$H$101,MOD(18+$C37+(2),$B$3)+1)*K37+INDEX(Symboles!$H$6:$H$101,MOD(18+$C37+(3),$B$3)+1)*L37+INDEX(Symboles!$H$6:$H$101,MOD(18+$C37+(4),$B$3)+1)*M37+IF($B$6=0,0,$B$6*NORMSINV(0.000001+0.999998*RAND())))</f>
        <v/>
      </c>
      <c r="EB37" s="30">
        <f>IF(20&gt;$B$3,99,INDEX(Symboles!$H$6:$H$101,MOD(19+$C37+(-4),$B$3)+1)*E37+INDEX(Symboles!$H$6:$H$101,MOD(19+$C37+(-3),$B$3)+1)*F37+INDEX(Symboles!$H$6:$H$101,MOD(19+$C37+(-2),$B$3)+1)*G37+INDEX(Symboles!$H$6:$H$101,MOD(19+$C37+(-1),$B$3)+1)*H37+INDEX(Symboles!$H$6:$H$101,MOD(19+$C37+(0),$B$3)+1)*I37+INDEX(Symboles!$H$6:$H$101,MOD(19+$C37+(1),$B$3)+1)*J37+INDEX(Symboles!$H$6:$H$101,MOD(19+$C37+(2),$B$3)+1)*K37+INDEX(Symboles!$H$6:$H$101,MOD(19+$C37+(3),$B$3)+1)*L37+INDEX(Symboles!$H$6:$H$101,MOD(19+$C37+(4),$B$3)+1)*M37+IF($B$6=0,0,$B$6*NORMSINV(0.000001+0.999998*RAND())))</f>
        <v/>
      </c>
      <c r="EC37" s="30">
        <f>IF(21&gt;$B$3,99,INDEX(Symboles!$H$6:$H$101,MOD(20+$C37+(-4),$B$3)+1)*E37+INDEX(Symboles!$H$6:$H$101,MOD(20+$C37+(-3),$B$3)+1)*F37+INDEX(Symboles!$H$6:$H$101,MOD(20+$C37+(-2),$B$3)+1)*G37+INDEX(Symboles!$H$6:$H$101,MOD(20+$C37+(-1),$B$3)+1)*H37+INDEX(Symboles!$H$6:$H$101,MOD(20+$C37+(0),$B$3)+1)*I37+INDEX(Symboles!$H$6:$H$101,MOD(20+$C37+(1),$B$3)+1)*J37+INDEX(Symboles!$H$6:$H$101,MOD(20+$C37+(2),$B$3)+1)*K37+INDEX(Symboles!$H$6:$H$101,MOD(20+$C37+(3),$B$3)+1)*L37+INDEX(Symboles!$H$6:$H$101,MOD(20+$C37+(4),$B$3)+1)*M37+IF($B$6=0,0,$B$6*NORMSINV(0.000001+0.999998*RAND())))</f>
        <v/>
      </c>
      <c r="ED37" s="30">
        <f>IF(22&gt;$B$3,99,INDEX(Symboles!$H$6:$H$101,MOD(21+$C37+(-4),$B$3)+1)*E37+INDEX(Symboles!$H$6:$H$101,MOD(21+$C37+(-3),$B$3)+1)*F37+INDEX(Symboles!$H$6:$H$101,MOD(21+$C37+(-2),$B$3)+1)*G37+INDEX(Symboles!$H$6:$H$101,MOD(21+$C37+(-1),$B$3)+1)*H37+INDEX(Symboles!$H$6:$H$101,MOD(21+$C37+(0),$B$3)+1)*I37+INDEX(Symboles!$H$6:$H$101,MOD(21+$C37+(1),$B$3)+1)*J37+INDEX(Symboles!$H$6:$H$101,MOD(21+$C37+(2),$B$3)+1)*K37+INDEX(Symboles!$H$6:$H$101,MOD(21+$C37+(3),$B$3)+1)*L37+INDEX(Symboles!$H$6:$H$101,MOD(21+$C37+(4),$B$3)+1)*M37+IF($B$6=0,0,$B$6*NORMSINV(0.000001+0.999998*RAND())))</f>
        <v/>
      </c>
      <c r="EE37" s="30">
        <f>IF(23&gt;$B$3,99,INDEX(Symboles!$H$6:$H$101,MOD(22+$C37+(-4),$B$3)+1)*E37+INDEX(Symboles!$H$6:$H$101,MOD(22+$C37+(-3),$B$3)+1)*F37+INDEX(Symboles!$H$6:$H$101,MOD(22+$C37+(-2),$B$3)+1)*G37+INDEX(Symboles!$H$6:$H$101,MOD(22+$C37+(-1),$B$3)+1)*H37+INDEX(Symboles!$H$6:$H$101,MOD(22+$C37+(0),$B$3)+1)*I37+INDEX(Symboles!$H$6:$H$101,MOD(22+$C37+(1),$B$3)+1)*J37+INDEX(Symboles!$H$6:$H$101,MOD(22+$C37+(2),$B$3)+1)*K37+INDEX(Symboles!$H$6:$H$101,MOD(22+$C37+(3),$B$3)+1)*L37+INDEX(Symboles!$H$6:$H$101,MOD(22+$C37+(4),$B$3)+1)*M37+IF($B$6=0,0,$B$6*NORMSINV(0.000001+0.999998*RAND())))</f>
        <v/>
      </c>
      <c r="EF37" s="30">
        <f>IF(24&gt;$B$3,99,INDEX(Symboles!$H$6:$H$101,MOD(23+$C37+(-4),$B$3)+1)*E37+INDEX(Symboles!$H$6:$H$101,MOD(23+$C37+(-3),$B$3)+1)*F37+INDEX(Symboles!$H$6:$H$101,MOD(23+$C37+(-2),$B$3)+1)*G37+INDEX(Symboles!$H$6:$H$101,MOD(23+$C37+(-1),$B$3)+1)*H37+INDEX(Symboles!$H$6:$H$101,MOD(23+$C37+(0),$B$3)+1)*I37+INDEX(Symboles!$H$6:$H$101,MOD(23+$C37+(1),$B$3)+1)*J37+INDEX(Symboles!$H$6:$H$101,MOD(23+$C37+(2),$B$3)+1)*K37+INDEX(Symboles!$H$6:$H$101,MOD(23+$C37+(3),$B$3)+1)*L37+INDEX(Symboles!$H$6:$H$101,MOD(23+$C37+(4),$B$3)+1)*M37+IF($B$6=0,0,$B$6*NORMSINV(0.000001+0.999998*RAND())))</f>
        <v/>
      </c>
      <c r="EG37" s="30">
        <f>IF(25&gt;$B$3,99,INDEX(Symboles!$H$6:$H$101,MOD(24+$C37+(-4),$B$3)+1)*E37+INDEX(Symboles!$H$6:$H$101,MOD(24+$C37+(-3),$B$3)+1)*F37+INDEX(Symboles!$H$6:$H$101,MOD(24+$C37+(-2),$B$3)+1)*G37+INDEX(Symboles!$H$6:$H$101,MOD(24+$C37+(-1),$B$3)+1)*H37+INDEX(Symboles!$H$6:$H$101,MOD(24+$C37+(0),$B$3)+1)*I37+INDEX(Symboles!$H$6:$H$101,MOD(24+$C37+(1),$B$3)+1)*J37+INDEX(Symboles!$H$6:$H$101,MOD(24+$C37+(2),$B$3)+1)*K37+INDEX(Symboles!$H$6:$H$101,MOD(24+$C37+(3),$B$3)+1)*L37+INDEX(Symboles!$H$6:$H$101,MOD(24+$C37+(4),$B$3)+1)*M37+IF($B$6=0,0,$B$6*NORMSINV(0.000001+0.999998*RAND())))</f>
        <v/>
      </c>
      <c r="EH37" s="30">
        <f>IF(26&gt;$B$3,99,INDEX(Symboles!$H$6:$H$101,MOD(25+$C37+(-4),$B$3)+1)*E37+INDEX(Symboles!$H$6:$H$101,MOD(25+$C37+(-3),$B$3)+1)*F37+INDEX(Symboles!$H$6:$H$101,MOD(25+$C37+(-2),$B$3)+1)*G37+INDEX(Symboles!$H$6:$H$101,MOD(25+$C37+(-1),$B$3)+1)*H37+INDEX(Symboles!$H$6:$H$101,MOD(25+$C37+(0),$B$3)+1)*I37+INDEX(Symboles!$H$6:$H$101,MOD(25+$C37+(1),$B$3)+1)*J37+INDEX(Symboles!$H$6:$H$101,MOD(25+$C37+(2),$B$3)+1)*K37+INDEX(Symboles!$H$6:$H$101,MOD(25+$C37+(3),$B$3)+1)*L37+INDEX(Symboles!$H$6:$H$101,MOD(25+$C37+(4),$B$3)+1)*M37+IF($B$6=0,0,$B$6*NORMSINV(0.000001+0.999998*RAND())))</f>
        <v/>
      </c>
      <c r="EI37" s="30">
        <f>IF(27&gt;$B$3,99,INDEX(Symboles!$H$6:$H$101,MOD(26+$C37+(-4),$B$3)+1)*E37+INDEX(Symboles!$H$6:$H$101,MOD(26+$C37+(-3),$B$3)+1)*F37+INDEX(Symboles!$H$6:$H$101,MOD(26+$C37+(-2),$B$3)+1)*G37+INDEX(Symboles!$H$6:$H$101,MOD(26+$C37+(-1),$B$3)+1)*H37+INDEX(Symboles!$H$6:$H$101,MOD(26+$C37+(0),$B$3)+1)*I37+INDEX(Symboles!$H$6:$H$101,MOD(26+$C37+(1),$B$3)+1)*J37+INDEX(Symboles!$H$6:$H$101,MOD(26+$C37+(2),$B$3)+1)*K37+INDEX(Symboles!$H$6:$H$101,MOD(26+$C37+(3),$B$3)+1)*L37+INDEX(Symboles!$H$6:$H$101,MOD(26+$C37+(4),$B$3)+1)*M37+IF($B$6=0,0,$B$6*NORMSINV(0.000001+0.999998*RAND())))</f>
        <v/>
      </c>
      <c r="EJ37" s="30">
        <f>IF(28&gt;$B$3,99,INDEX(Symboles!$H$6:$H$101,MOD(27+$C37+(-4),$B$3)+1)*E37+INDEX(Symboles!$H$6:$H$101,MOD(27+$C37+(-3),$B$3)+1)*F37+INDEX(Symboles!$H$6:$H$101,MOD(27+$C37+(-2),$B$3)+1)*G37+INDEX(Symboles!$H$6:$H$101,MOD(27+$C37+(-1),$B$3)+1)*H37+INDEX(Symboles!$H$6:$H$101,MOD(27+$C37+(0),$B$3)+1)*I37+INDEX(Symboles!$H$6:$H$101,MOD(27+$C37+(1),$B$3)+1)*J37+INDEX(Symboles!$H$6:$H$101,MOD(27+$C37+(2),$B$3)+1)*K37+INDEX(Symboles!$H$6:$H$101,MOD(27+$C37+(3),$B$3)+1)*L37+INDEX(Symboles!$H$6:$H$101,MOD(27+$C37+(4),$B$3)+1)*M37+IF($B$6=0,0,$B$6*NORMSINV(0.000001+0.999998*RAND())))</f>
        <v/>
      </c>
      <c r="EK37" s="30">
        <f>IF(29&gt;$B$3,99,INDEX(Symboles!$H$6:$H$101,MOD(28+$C37+(-4),$B$3)+1)*E37+INDEX(Symboles!$H$6:$H$101,MOD(28+$C37+(-3),$B$3)+1)*F37+INDEX(Symboles!$H$6:$H$101,MOD(28+$C37+(-2),$B$3)+1)*G37+INDEX(Symboles!$H$6:$H$101,MOD(28+$C37+(-1),$B$3)+1)*H37+INDEX(Symboles!$H$6:$H$101,MOD(28+$C37+(0),$B$3)+1)*I37+INDEX(Symboles!$H$6:$H$101,MOD(28+$C37+(1),$B$3)+1)*J37+INDEX(Symboles!$H$6:$H$101,MOD(28+$C37+(2),$B$3)+1)*K37+INDEX(Symboles!$H$6:$H$101,MOD(28+$C37+(3),$B$3)+1)*L37+INDEX(Symboles!$H$6:$H$101,MOD(28+$C37+(4),$B$3)+1)*M37+IF($B$6=0,0,$B$6*NORMSINV(0.000001+0.999998*RAND())))</f>
        <v/>
      </c>
      <c r="EL37" s="30">
        <f>IF(30&gt;$B$3,99,INDEX(Symboles!$H$6:$H$101,MOD(29+$C37+(-4),$B$3)+1)*E37+INDEX(Symboles!$H$6:$H$101,MOD(29+$C37+(-3),$B$3)+1)*F37+INDEX(Symboles!$H$6:$H$101,MOD(29+$C37+(-2),$B$3)+1)*G37+INDEX(Symboles!$H$6:$H$101,MOD(29+$C37+(-1),$B$3)+1)*H37+INDEX(Symboles!$H$6:$H$101,MOD(29+$C37+(0),$B$3)+1)*I37+INDEX(Symboles!$H$6:$H$101,MOD(29+$C37+(1),$B$3)+1)*J37+INDEX(Symboles!$H$6:$H$101,MOD(29+$C37+(2),$B$3)+1)*K37+INDEX(Symboles!$H$6:$H$101,MOD(29+$C37+(3),$B$3)+1)*L37+INDEX(Symboles!$H$6:$H$101,MOD(29+$C37+(4),$B$3)+1)*M37+IF($B$6=0,0,$B$6*NORMSINV(0.000001+0.999998*RAND())))</f>
        <v/>
      </c>
      <c r="EM37" s="30">
        <f>IF(31&gt;$B$3,99,INDEX(Symboles!$H$6:$H$101,MOD(30+$C37+(-4),$B$3)+1)*E37+INDEX(Symboles!$H$6:$H$101,MOD(30+$C37+(-3),$B$3)+1)*F37+INDEX(Symboles!$H$6:$H$101,MOD(30+$C37+(-2),$B$3)+1)*G37+INDEX(Symboles!$H$6:$H$101,MOD(30+$C37+(-1),$B$3)+1)*H37+INDEX(Symboles!$H$6:$H$101,MOD(30+$C37+(0),$B$3)+1)*I37+INDEX(Symboles!$H$6:$H$101,MOD(30+$C37+(1),$B$3)+1)*J37+INDEX(Symboles!$H$6:$H$101,MOD(30+$C37+(2),$B$3)+1)*K37+INDEX(Symboles!$H$6:$H$101,MOD(30+$C37+(3),$B$3)+1)*L37+INDEX(Symboles!$H$6:$H$101,MOD(30+$C37+(4),$B$3)+1)*M37+IF($B$6=0,0,$B$6*NORMSINV(0.000001+0.999998*RAND())))</f>
        <v/>
      </c>
      <c r="EN37" s="30">
        <f>IF(32&gt;$B$3,99,INDEX(Symboles!$H$6:$H$101,MOD(31+$C37+(-4),$B$3)+1)*E37+INDEX(Symboles!$H$6:$H$101,MOD(31+$C37+(-3),$B$3)+1)*F37+INDEX(Symboles!$H$6:$H$101,MOD(31+$C37+(-2),$B$3)+1)*G37+INDEX(Symboles!$H$6:$H$101,MOD(31+$C37+(-1),$B$3)+1)*H37+INDEX(Symboles!$H$6:$H$101,MOD(31+$C37+(0),$B$3)+1)*I37+INDEX(Symboles!$H$6:$H$101,MOD(31+$C37+(1),$B$3)+1)*J37+INDEX(Symboles!$H$6:$H$101,MOD(31+$C37+(2),$B$3)+1)*K37+INDEX(Symboles!$H$6:$H$101,MOD(31+$C37+(3),$B$3)+1)*L37+INDEX(Symboles!$H$6:$H$101,MOD(31+$C37+(4),$B$3)+1)*M37+IF($B$6=0,0,$B$6*NORMSINV(0.000001+0.999998*RAND())))</f>
        <v/>
      </c>
      <c r="EO37" s="30">
        <f>IF(33&gt;$B$3,99,INDEX(Symboles!$H$6:$H$101,MOD(32+$C37+(-4),$B$3)+1)*E37+INDEX(Symboles!$H$6:$H$101,MOD(32+$C37+(-3),$B$3)+1)*F37+INDEX(Symboles!$H$6:$H$101,MOD(32+$C37+(-2),$B$3)+1)*G37+INDEX(Symboles!$H$6:$H$101,MOD(32+$C37+(-1),$B$3)+1)*H37+INDEX(Symboles!$H$6:$H$101,MOD(32+$C37+(0),$B$3)+1)*I37+INDEX(Symboles!$H$6:$H$101,MOD(32+$C37+(1),$B$3)+1)*J37+INDEX(Symboles!$H$6:$H$101,MOD(32+$C37+(2),$B$3)+1)*K37+INDEX(Symboles!$H$6:$H$101,MOD(32+$C37+(3),$B$3)+1)*L37+INDEX(Symboles!$H$6:$H$101,MOD(32+$C37+(4),$B$3)+1)*M37+IF($B$6=0,0,$B$6*NORMSINV(0.000001+0.999998*RAND())))</f>
        <v/>
      </c>
      <c r="EP37" s="30">
        <f>IF(34&gt;$B$3,99,INDEX(Symboles!$H$6:$H$101,MOD(33+$C37+(-4),$B$3)+1)*E37+INDEX(Symboles!$H$6:$H$101,MOD(33+$C37+(-3),$B$3)+1)*F37+INDEX(Symboles!$H$6:$H$101,MOD(33+$C37+(-2),$B$3)+1)*G37+INDEX(Symboles!$H$6:$H$101,MOD(33+$C37+(-1),$B$3)+1)*H37+INDEX(Symboles!$H$6:$H$101,MOD(33+$C37+(0),$B$3)+1)*I37+INDEX(Symboles!$H$6:$H$101,MOD(33+$C37+(1),$B$3)+1)*J37+INDEX(Symboles!$H$6:$H$101,MOD(33+$C37+(2),$B$3)+1)*K37+INDEX(Symboles!$H$6:$H$101,MOD(33+$C37+(3),$B$3)+1)*L37+INDEX(Symboles!$H$6:$H$101,MOD(33+$C37+(4),$B$3)+1)*M37+IF($B$6=0,0,$B$6*NORMSINV(0.000001+0.999998*RAND())))</f>
        <v/>
      </c>
      <c r="EQ37" s="30">
        <f>IF(35&gt;$B$3,99,INDEX(Symboles!$H$6:$H$101,MOD(34+$C37+(-4),$B$3)+1)*E37+INDEX(Symboles!$H$6:$H$101,MOD(34+$C37+(-3),$B$3)+1)*F37+INDEX(Symboles!$H$6:$H$101,MOD(34+$C37+(-2),$B$3)+1)*G37+INDEX(Symboles!$H$6:$H$101,MOD(34+$C37+(-1),$B$3)+1)*H37+INDEX(Symboles!$H$6:$H$101,MOD(34+$C37+(0),$B$3)+1)*I37+INDEX(Symboles!$H$6:$H$101,MOD(34+$C37+(1),$B$3)+1)*J37+INDEX(Symboles!$H$6:$H$101,MOD(34+$C37+(2),$B$3)+1)*K37+INDEX(Symboles!$H$6:$H$101,MOD(34+$C37+(3),$B$3)+1)*L37+INDEX(Symboles!$H$6:$H$101,MOD(34+$C37+(4),$B$3)+1)*M37+IF($B$6=0,0,$B$6*NORMSINV(0.000001+0.999998*RAND())))</f>
        <v/>
      </c>
      <c r="ER37" s="30">
        <f>IF(36&gt;$B$3,99,INDEX(Symboles!$H$6:$H$101,MOD(35+$C37+(-4),$B$3)+1)*E37+INDEX(Symboles!$H$6:$H$101,MOD(35+$C37+(-3),$B$3)+1)*F37+INDEX(Symboles!$H$6:$H$101,MOD(35+$C37+(-2),$B$3)+1)*G37+INDEX(Symboles!$H$6:$H$101,MOD(35+$C37+(-1),$B$3)+1)*H37+INDEX(Symboles!$H$6:$H$101,MOD(35+$C37+(0),$B$3)+1)*I37+INDEX(Symboles!$H$6:$H$101,MOD(35+$C37+(1),$B$3)+1)*J37+INDEX(Symboles!$H$6:$H$101,MOD(35+$C37+(2),$B$3)+1)*K37+INDEX(Symboles!$H$6:$H$101,MOD(35+$C37+(3),$B$3)+1)*L37+INDEX(Symboles!$H$6:$H$101,MOD(35+$C37+(4),$B$3)+1)*M37+IF($B$6=0,0,$B$6*NORMSINV(0.000001+0.999998*RAND())))</f>
        <v/>
      </c>
      <c r="ES37" s="30">
        <f>IF(37&gt;$B$3,99,INDEX(Symboles!$H$6:$H$101,MOD(36+$C37+(-4),$B$3)+1)*E37+INDEX(Symboles!$H$6:$H$101,MOD(36+$C37+(-3),$B$3)+1)*F37+INDEX(Symboles!$H$6:$H$101,MOD(36+$C37+(-2),$B$3)+1)*G37+INDEX(Symboles!$H$6:$H$101,MOD(36+$C37+(-1),$B$3)+1)*H37+INDEX(Symboles!$H$6:$H$101,MOD(36+$C37+(0),$B$3)+1)*I37+INDEX(Symboles!$H$6:$H$101,MOD(36+$C37+(1),$B$3)+1)*J37+INDEX(Symboles!$H$6:$H$101,MOD(36+$C37+(2),$B$3)+1)*K37+INDEX(Symboles!$H$6:$H$101,MOD(36+$C37+(3),$B$3)+1)*L37+INDEX(Symboles!$H$6:$H$101,MOD(36+$C37+(4),$B$3)+1)*M37+IF($B$6=0,0,$B$6*NORMSINV(0.000001+0.999998*RAND())))</f>
        <v/>
      </c>
      <c r="ET37" s="30">
        <f>IF(38&gt;$B$3,99,INDEX(Symboles!$H$6:$H$101,MOD(37+$C37+(-4),$B$3)+1)*E37+INDEX(Symboles!$H$6:$H$101,MOD(37+$C37+(-3),$B$3)+1)*F37+INDEX(Symboles!$H$6:$H$101,MOD(37+$C37+(-2),$B$3)+1)*G37+INDEX(Symboles!$H$6:$H$101,MOD(37+$C37+(-1),$B$3)+1)*H37+INDEX(Symboles!$H$6:$H$101,MOD(37+$C37+(0),$B$3)+1)*I37+INDEX(Symboles!$H$6:$H$101,MOD(37+$C37+(1),$B$3)+1)*J37+INDEX(Symboles!$H$6:$H$101,MOD(37+$C37+(2),$B$3)+1)*K37+INDEX(Symboles!$H$6:$H$101,MOD(37+$C37+(3),$B$3)+1)*L37+INDEX(Symboles!$H$6:$H$101,MOD(37+$C37+(4),$B$3)+1)*M37+IF($B$6=0,0,$B$6*NORMSINV(0.000001+0.999998*RAND())))</f>
        <v/>
      </c>
      <c r="EU37" s="30">
        <f>IF(39&gt;$B$3,99,INDEX(Symboles!$H$6:$H$101,MOD(38+$C37+(-4),$B$3)+1)*E37+INDEX(Symboles!$H$6:$H$101,MOD(38+$C37+(-3),$B$3)+1)*F37+INDEX(Symboles!$H$6:$H$101,MOD(38+$C37+(-2),$B$3)+1)*G37+INDEX(Symboles!$H$6:$H$101,MOD(38+$C37+(-1),$B$3)+1)*H37+INDEX(Symboles!$H$6:$H$101,MOD(38+$C37+(0),$B$3)+1)*I37+INDEX(Symboles!$H$6:$H$101,MOD(38+$C37+(1),$B$3)+1)*J37+INDEX(Symboles!$H$6:$H$101,MOD(38+$C37+(2),$B$3)+1)*K37+INDEX(Symboles!$H$6:$H$101,MOD(38+$C37+(3),$B$3)+1)*L37+INDEX(Symboles!$H$6:$H$101,MOD(38+$C37+(4),$B$3)+1)*M37+IF($B$6=0,0,$B$6*NORMSINV(0.000001+0.999998*RAND())))</f>
        <v/>
      </c>
      <c r="EV37" s="30">
        <f>IF(40&gt;$B$3,99,INDEX(Symboles!$H$6:$H$101,MOD(39+$C37+(-4),$B$3)+1)*E37+INDEX(Symboles!$H$6:$H$101,MOD(39+$C37+(-3),$B$3)+1)*F37+INDEX(Symboles!$H$6:$H$101,MOD(39+$C37+(-2),$B$3)+1)*G37+INDEX(Symboles!$H$6:$H$101,MOD(39+$C37+(-1),$B$3)+1)*H37+INDEX(Symboles!$H$6:$H$101,MOD(39+$C37+(0),$B$3)+1)*I37+INDEX(Symboles!$H$6:$H$101,MOD(39+$C37+(1),$B$3)+1)*J37+INDEX(Symboles!$H$6:$H$101,MOD(39+$C37+(2),$B$3)+1)*K37+INDEX(Symboles!$H$6:$H$101,MOD(39+$C37+(3),$B$3)+1)*L37+INDEX(Symboles!$H$6:$H$101,MOD(39+$C37+(4),$B$3)+1)*M37+IF($B$6=0,0,$B$6*NORMSINV(0.000001+0.999998*RAND())))</f>
        <v/>
      </c>
      <c r="EW37" s="30">
        <f>IF(41&gt;$B$3,99,INDEX(Symboles!$H$6:$H$101,MOD(40+$C37+(-4),$B$3)+1)*E37+INDEX(Symboles!$H$6:$H$101,MOD(40+$C37+(-3),$B$3)+1)*F37+INDEX(Symboles!$H$6:$H$101,MOD(40+$C37+(-2),$B$3)+1)*G37+INDEX(Symboles!$H$6:$H$101,MOD(40+$C37+(-1),$B$3)+1)*H37+INDEX(Symboles!$H$6:$H$101,MOD(40+$C37+(0),$B$3)+1)*I37+INDEX(Symboles!$H$6:$H$101,MOD(40+$C37+(1),$B$3)+1)*J37+INDEX(Symboles!$H$6:$H$101,MOD(40+$C37+(2),$B$3)+1)*K37+INDEX(Symboles!$H$6:$H$101,MOD(40+$C37+(3),$B$3)+1)*L37+INDEX(Symboles!$H$6:$H$101,MOD(40+$C37+(4),$B$3)+1)*M37+IF($B$6=0,0,$B$6*NORMSINV(0.000001+0.999998*RAND())))</f>
        <v/>
      </c>
      <c r="EX37" s="30">
        <f>IF(42&gt;$B$3,99,INDEX(Symboles!$H$6:$H$101,MOD(41+$C37+(-4),$B$3)+1)*E37+INDEX(Symboles!$H$6:$H$101,MOD(41+$C37+(-3),$B$3)+1)*F37+INDEX(Symboles!$H$6:$H$101,MOD(41+$C37+(-2),$B$3)+1)*G37+INDEX(Symboles!$H$6:$H$101,MOD(41+$C37+(-1),$B$3)+1)*H37+INDEX(Symboles!$H$6:$H$101,MOD(41+$C37+(0),$B$3)+1)*I37+INDEX(Symboles!$H$6:$H$101,MOD(41+$C37+(1),$B$3)+1)*J37+INDEX(Symboles!$H$6:$H$101,MOD(41+$C37+(2),$B$3)+1)*K37+INDEX(Symboles!$H$6:$H$101,MOD(41+$C37+(3),$B$3)+1)*L37+INDEX(Symboles!$H$6:$H$101,MOD(41+$C37+(4),$B$3)+1)*M37+IF($B$6=0,0,$B$6*NORMSINV(0.000001+0.999998*RAND())))</f>
        <v/>
      </c>
      <c r="EY37" s="30">
        <f>IF(43&gt;$B$3,99,INDEX(Symboles!$H$6:$H$101,MOD(42+$C37+(-4),$B$3)+1)*E37+INDEX(Symboles!$H$6:$H$101,MOD(42+$C37+(-3),$B$3)+1)*F37+INDEX(Symboles!$H$6:$H$101,MOD(42+$C37+(-2),$B$3)+1)*G37+INDEX(Symboles!$H$6:$H$101,MOD(42+$C37+(-1),$B$3)+1)*H37+INDEX(Symboles!$H$6:$H$101,MOD(42+$C37+(0),$B$3)+1)*I37+INDEX(Symboles!$H$6:$H$101,MOD(42+$C37+(1),$B$3)+1)*J37+INDEX(Symboles!$H$6:$H$101,MOD(42+$C37+(2),$B$3)+1)*K37+INDEX(Symboles!$H$6:$H$101,MOD(42+$C37+(3),$B$3)+1)*L37+INDEX(Symboles!$H$6:$H$101,MOD(42+$C37+(4),$B$3)+1)*M37+IF($B$6=0,0,$B$6*NORMSINV(0.000001+0.999998*RAND())))</f>
        <v/>
      </c>
      <c r="EZ37" s="30">
        <f>IF(44&gt;$B$3,99,INDEX(Symboles!$H$6:$H$101,MOD(43+$C37+(-4),$B$3)+1)*E37+INDEX(Symboles!$H$6:$H$101,MOD(43+$C37+(-3),$B$3)+1)*F37+INDEX(Symboles!$H$6:$H$101,MOD(43+$C37+(-2),$B$3)+1)*G37+INDEX(Symboles!$H$6:$H$101,MOD(43+$C37+(-1),$B$3)+1)*H37+INDEX(Symboles!$H$6:$H$101,MOD(43+$C37+(0),$B$3)+1)*I37+INDEX(Symboles!$H$6:$H$101,MOD(43+$C37+(1),$B$3)+1)*J37+INDEX(Symboles!$H$6:$H$101,MOD(43+$C37+(2),$B$3)+1)*K37+INDEX(Symboles!$H$6:$H$101,MOD(43+$C37+(3),$B$3)+1)*L37+INDEX(Symboles!$H$6:$H$101,MOD(43+$C37+(4),$B$3)+1)*M37+IF($B$6=0,0,$B$6*NORMSINV(0.000001+0.999998*RAND())))</f>
        <v/>
      </c>
      <c r="FA37" s="30">
        <f>IF(45&gt;$B$3,99,INDEX(Symboles!$H$6:$H$101,MOD(44+$C37+(-4),$B$3)+1)*E37+INDEX(Symboles!$H$6:$H$101,MOD(44+$C37+(-3),$B$3)+1)*F37+INDEX(Symboles!$H$6:$H$101,MOD(44+$C37+(-2),$B$3)+1)*G37+INDEX(Symboles!$H$6:$H$101,MOD(44+$C37+(-1),$B$3)+1)*H37+INDEX(Symboles!$H$6:$H$101,MOD(44+$C37+(0),$B$3)+1)*I37+INDEX(Symboles!$H$6:$H$101,MOD(44+$C37+(1),$B$3)+1)*J37+INDEX(Symboles!$H$6:$H$101,MOD(44+$C37+(2),$B$3)+1)*K37+INDEX(Symboles!$H$6:$H$101,MOD(44+$C37+(3),$B$3)+1)*L37+INDEX(Symboles!$H$6:$H$101,MOD(44+$C37+(4),$B$3)+1)*M37+IF($B$6=0,0,$B$6*NORMSINV(0.000001+0.999998*RAND())))</f>
        <v/>
      </c>
      <c r="FB37" s="30">
        <f>IF(46&gt;$B$3,99,INDEX(Symboles!$H$6:$H$101,MOD(45+$C37+(-4),$B$3)+1)*E37+INDEX(Symboles!$H$6:$H$101,MOD(45+$C37+(-3),$B$3)+1)*F37+INDEX(Symboles!$H$6:$H$101,MOD(45+$C37+(-2),$B$3)+1)*G37+INDEX(Symboles!$H$6:$H$101,MOD(45+$C37+(-1),$B$3)+1)*H37+INDEX(Symboles!$H$6:$H$101,MOD(45+$C37+(0),$B$3)+1)*I37+INDEX(Symboles!$H$6:$H$101,MOD(45+$C37+(1),$B$3)+1)*J37+INDEX(Symboles!$H$6:$H$101,MOD(45+$C37+(2),$B$3)+1)*K37+INDEX(Symboles!$H$6:$H$101,MOD(45+$C37+(3),$B$3)+1)*L37+INDEX(Symboles!$H$6:$H$101,MOD(45+$C37+(4),$B$3)+1)*M37+IF($B$6=0,0,$B$6*NORMSINV(0.000001+0.999998*RAND())))</f>
        <v/>
      </c>
      <c r="FC37" s="30">
        <f>IF(47&gt;$B$3,99,INDEX(Symboles!$H$6:$H$101,MOD(46+$C37+(-4),$B$3)+1)*E37+INDEX(Symboles!$H$6:$H$101,MOD(46+$C37+(-3),$B$3)+1)*F37+INDEX(Symboles!$H$6:$H$101,MOD(46+$C37+(-2),$B$3)+1)*G37+INDEX(Symboles!$H$6:$H$101,MOD(46+$C37+(-1),$B$3)+1)*H37+INDEX(Symboles!$H$6:$H$101,MOD(46+$C37+(0),$B$3)+1)*I37+INDEX(Symboles!$H$6:$H$101,MOD(46+$C37+(1),$B$3)+1)*J37+INDEX(Symboles!$H$6:$H$101,MOD(46+$C37+(2),$B$3)+1)*K37+INDEX(Symboles!$H$6:$H$101,MOD(46+$C37+(3),$B$3)+1)*L37+INDEX(Symboles!$H$6:$H$101,MOD(46+$C37+(4),$B$3)+1)*M37+IF($B$6=0,0,$B$6*NORMSINV(0.000001+0.999998*RAND())))</f>
        <v/>
      </c>
      <c r="FD37" s="30">
        <f>IF(48&gt;$B$3,99,INDEX(Symboles!$H$6:$H$101,MOD(47+$C37+(-4),$B$3)+1)*E37+INDEX(Symboles!$H$6:$H$101,MOD(47+$C37+(-3),$B$3)+1)*F37+INDEX(Symboles!$H$6:$H$101,MOD(47+$C37+(-2),$B$3)+1)*G37+INDEX(Symboles!$H$6:$H$101,MOD(47+$C37+(-1),$B$3)+1)*H37+INDEX(Symboles!$H$6:$H$101,MOD(47+$C37+(0),$B$3)+1)*I37+INDEX(Symboles!$H$6:$H$101,MOD(47+$C37+(1),$B$3)+1)*J37+INDEX(Symboles!$H$6:$H$101,MOD(47+$C37+(2),$B$3)+1)*K37+INDEX(Symboles!$H$6:$H$101,MOD(47+$C37+(3),$B$3)+1)*L37+INDEX(Symboles!$H$6:$H$101,MOD(47+$C37+(4),$B$3)+1)*M37+IF($B$6=0,0,$B$6*NORMSINV(0.000001+0.999998*RAND())))</f>
        <v/>
      </c>
      <c r="FE37" s="30">
        <f>IF(49&gt;$B$3,99,INDEX(Symboles!$H$6:$H$101,MOD(48+$C37+(-4),$B$3)+1)*E37+INDEX(Symboles!$H$6:$H$101,MOD(48+$C37+(-3),$B$3)+1)*F37+INDEX(Symboles!$H$6:$H$101,MOD(48+$C37+(-2),$B$3)+1)*G37+INDEX(Symboles!$H$6:$H$101,MOD(48+$C37+(-1),$B$3)+1)*H37+INDEX(Symboles!$H$6:$H$101,MOD(48+$C37+(0),$B$3)+1)*I37+INDEX(Symboles!$H$6:$H$101,MOD(48+$C37+(1),$B$3)+1)*J37+INDEX(Symboles!$H$6:$H$101,MOD(48+$C37+(2),$B$3)+1)*K37+INDEX(Symboles!$H$6:$H$101,MOD(48+$C37+(3),$B$3)+1)*L37+INDEX(Symboles!$H$6:$H$101,MOD(48+$C37+(4),$B$3)+1)*M37+IF($B$6=0,0,$B$6*NORMSINV(0.000001+0.999998*RAND())))</f>
        <v/>
      </c>
      <c r="FF37" s="30">
        <f>IF(50&gt;$B$3,99,INDEX(Symboles!$H$6:$H$101,MOD(49+$C37+(-4),$B$3)+1)*E37+INDEX(Symboles!$H$6:$H$101,MOD(49+$C37+(-3),$B$3)+1)*F37+INDEX(Symboles!$H$6:$H$101,MOD(49+$C37+(-2),$B$3)+1)*G37+INDEX(Symboles!$H$6:$H$101,MOD(49+$C37+(-1),$B$3)+1)*H37+INDEX(Symboles!$H$6:$H$101,MOD(49+$C37+(0),$B$3)+1)*I37+INDEX(Symboles!$H$6:$H$101,MOD(49+$C37+(1),$B$3)+1)*J37+INDEX(Symboles!$H$6:$H$101,MOD(49+$C37+(2),$B$3)+1)*K37+INDEX(Symboles!$H$6:$H$101,MOD(49+$C37+(3),$B$3)+1)*L37+INDEX(Symboles!$H$6:$H$101,MOD(49+$C37+(4),$B$3)+1)*M37+IF($B$6=0,0,$B$6*NORMSINV(0.000001+0.999998*RAND())))</f>
        <v/>
      </c>
      <c r="FG37" s="30">
        <f>IF(51&gt;$B$3,99,INDEX(Symboles!$H$6:$H$101,MOD(50+$C37+(-4),$B$3)+1)*E37+INDEX(Symboles!$H$6:$H$101,MOD(50+$C37+(-3),$B$3)+1)*F37+INDEX(Symboles!$H$6:$H$101,MOD(50+$C37+(-2),$B$3)+1)*G37+INDEX(Symboles!$H$6:$H$101,MOD(50+$C37+(-1),$B$3)+1)*H37+INDEX(Symboles!$H$6:$H$101,MOD(50+$C37+(0),$B$3)+1)*I37+INDEX(Symboles!$H$6:$H$101,MOD(50+$C37+(1),$B$3)+1)*J37+INDEX(Symboles!$H$6:$H$101,MOD(50+$C37+(2),$B$3)+1)*K37+INDEX(Symboles!$H$6:$H$101,MOD(50+$C37+(3),$B$3)+1)*L37+INDEX(Symboles!$H$6:$H$101,MOD(50+$C37+(4),$B$3)+1)*M37+IF($B$6=0,0,$B$6*NORMSINV(0.000001+0.999998*RAND())))</f>
        <v/>
      </c>
      <c r="FH37" s="30">
        <f>IF(52&gt;$B$3,99,INDEX(Symboles!$H$6:$H$101,MOD(51+$C37+(-4),$B$3)+1)*E37+INDEX(Symboles!$H$6:$H$101,MOD(51+$C37+(-3),$B$3)+1)*F37+INDEX(Symboles!$H$6:$H$101,MOD(51+$C37+(-2),$B$3)+1)*G37+INDEX(Symboles!$H$6:$H$101,MOD(51+$C37+(-1),$B$3)+1)*H37+INDEX(Symboles!$H$6:$H$101,MOD(51+$C37+(0),$B$3)+1)*I37+INDEX(Symboles!$H$6:$H$101,MOD(51+$C37+(1),$B$3)+1)*J37+INDEX(Symboles!$H$6:$H$101,MOD(51+$C37+(2),$B$3)+1)*K37+INDEX(Symboles!$H$6:$H$101,MOD(51+$C37+(3),$B$3)+1)*L37+INDEX(Symboles!$H$6:$H$101,MOD(51+$C37+(4),$B$3)+1)*M37+IF($B$6=0,0,$B$6*NORMSINV(0.000001+0.999998*RAND())))</f>
        <v/>
      </c>
      <c r="FI37" s="30">
        <f>IF(53&gt;$B$3,99,INDEX(Symboles!$H$6:$H$101,MOD(52+$C37+(-4),$B$3)+1)*E37+INDEX(Symboles!$H$6:$H$101,MOD(52+$C37+(-3),$B$3)+1)*F37+INDEX(Symboles!$H$6:$H$101,MOD(52+$C37+(-2),$B$3)+1)*G37+INDEX(Symboles!$H$6:$H$101,MOD(52+$C37+(-1),$B$3)+1)*H37+INDEX(Symboles!$H$6:$H$101,MOD(52+$C37+(0),$B$3)+1)*I37+INDEX(Symboles!$H$6:$H$101,MOD(52+$C37+(1),$B$3)+1)*J37+INDEX(Symboles!$H$6:$H$101,MOD(52+$C37+(2),$B$3)+1)*K37+INDEX(Symboles!$H$6:$H$101,MOD(52+$C37+(3),$B$3)+1)*L37+INDEX(Symboles!$H$6:$H$101,MOD(52+$C37+(4),$B$3)+1)*M37+IF($B$6=0,0,$B$6*NORMSINV(0.000001+0.999998*RAND())))</f>
        <v/>
      </c>
      <c r="FJ37" s="30">
        <f>IF(54&gt;$B$3,99,INDEX(Symboles!$H$6:$H$101,MOD(53+$C37+(-4),$B$3)+1)*E37+INDEX(Symboles!$H$6:$H$101,MOD(53+$C37+(-3),$B$3)+1)*F37+INDEX(Symboles!$H$6:$H$101,MOD(53+$C37+(-2),$B$3)+1)*G37+INDEX(Symboles!$H$6:$H$101,MOD(53+$C37+(-1),$B$3)+1)*H37+INDEX(Symboles!$H$6:$H$101,MOD(53+$C37+(0),$B$3)+1)*I37+INDEX(Symboles!$H$6:$H$101,MOD(53+$C37+(1),$B$3)+1)*J37+INDEX(Symboles!$H$6:$H$101,MOD(53+$C37+(2),$B$3)+1)*K37+INDEX(Symboles!$H$6:$H$101,MOD(53+$C37+(3),$B$3)+1)*L37+INDEX(Symboles!$H$6:$H$101,MOD(53+$C37+(4),$B$3)+1)*M37+IF($B$6=0,0,$B$6*NORMSINV(0.000001+0.999998*RAND())))</f>
        <v/>
      </c>
      <c r="FK37" s="30">
        <f>IF(55&gt;$B$3,99,INDEX(Symboles!$H$6:$H$101,MOD(54+$C37+(-4),$B$3)+1)*E37+INDEX(Symboles!$H$6:$H$101,MOD(54+$C37+(-3),$B$3)+1)*F37+INDEX(Symboles!$H$6:$H$101,MOD(54+$C37+(-2),$B$3)+1)*G37+INDEX(Symboles!$H$6:$H$101,MOD(54+$C37+(-1),$B$3)+1)*H37+INDEX(Symboles!$H$6:$H$101,MOD(54+$C37+(0),$B$3)+1)*I37+INDEX(Symboles!$H$6:$H$101,MOD(54+$C37+(1),$B$3)+1)*J37+INDEX(Symboles!$H$6:$H$101,MOD(54+$C37+(2),$B$3)+1)*K37+INDEX(Symboles!$H$6:$H$101,MOD(54+$C37+(3),$B$3)+1)*L37+INDEX(Symboles!$H$6:$H$101,MOD(54+$C37+(4),$B$3)+1)*M37+IF($B$6=0,0,$B$6*NORMSINV(0.000001+0.999998*RAND())))</f>
        <v/>
      </c>
      <c r="FL37" s="30">
        <f>IF(56&gt;$B$3,99,INDEX(Symboles!$H$6:$H$101,MOD(55+$C37+(-4),$B$3)+1)*E37+INDEX(Symboles!$H$6:$H$101,MOD(55+$C37+(-3),$B$3)+1)*F37+INDEX(Symboles!$H$6:$H$101,MOD(55+$C37+(-2),$B$3)+1)*G37+INDEX(Symboles!$H$6:$H$101,MOD(55+$C37+(-1),$B$3)+1)*H37+INDEX(Symboles!$H$6:$H$101,MOD(55+$C37+(0),$B$3)+1)*I37+INDEX(Symboles!$H$6:$H$101,MOD(55+$C37+(1),$B$3)+1)*J37+INDEX(Symboles!$H$6:$H$101,MOD(55+$C37+(2),$B$3)+1)*K37+INDEX(Symboles!$H$6:$H$101,MOD(55+$C37+(3),$B$3)+1)*L37+INDEX(Symboles!$H$6:$H$101,MOD(55+$C37+(4),$B$3)+1)*M37+IF($B$6=0,0,$B$6*NORMSINV(0.000001+0.999998*RAND())))</f>
        <v/>
      </c>
      <c r="FM37" s="30">
        <f>IF(57&gt;$B$3,99,INDEX(Symboles!$H$6:$H$101,MOD(56+$C37+(-4),$B$3)+1)*E37+INDEX(Symboles!$H$6:$H$101,MOD(56+$C37+(-3),$B$3)+1)*F37+INDEX(Symboles!$H$6:$H$101,MOD(56+$C37+(-2),$B$3)+1)*G37+INDEX(Symboles!$H$6:$H$101,MOD(56+$C37+(-1),$B$3)+1)*H37+INDEX(Symboles!$H$6:$H$101,MOD(56+$C37+(0),$B$3)+1)*I37+INDEX(Symboles!$H$6:$H$101,MOD(56+$C37+(1),$B$3)+1)*J37+INDEX(Symboles!$H$6:$H$101,MOD(56+$C37+(2),$B$3)+1)*K37+INDEX(Symboles!$H$6:$H$101,MOD(56+$C37+(3),$B$3)+1)*L37+INDEX(Symboles!$H$6:$H$101,MOD(56+$C37+(4),$B$3)+1)*M37+IF($B$6=0,0,$B$6*NORMSINV(0.000001+0.999998*RAND())))</f>
        <v/>
      </c>
      <c r="FN37" s="30">
        <f>IF(58&gt;$B$3,99,INDEX(Symboles!$H$6:$H$101,MOD(57+$C37+(-4),$B$3)+1)*E37+INDEX(Symboles!$H$6:$H$101,MOD(57+$C37+(-3),$B$3)+1)*F37+INDEX(Symboles!$H$6:$H$101,MOD(57+$C37+(-2),$B$3)+1)*G37+INDEX(Symboles!$H$6:$H$101,MOD(57+$C37+(-1),$B$3)+1)*H37+INDEX(Symboles!$H$6:$H$101,MOD(57+$C37+(0),$B$3)+1)*I37+INDEX(Symboles!$H$6:$H$101,MOD(57+$C37+(1),$B$3)+1)*J37+INDEX(Symboles!$H$6:$H$101,MOD(57+$C37+(2),$B$3)+1)*K37+INDEX(Symboles!$H$6:$H$101,MOD(57+$C37+(3),$B$3)+1)*L37+INDEX(Symboles!$H$6:$H$101,MOD(57+$C37+(4),$B$3)+1)*M37+IF($B$6=0,0,$B$6*NORMSINV(0.000001+0.999998*RAND())))</f>
        <v/>
      </c>
      <c r="FO37" s="30">
        <f>IF(59&gt;$B$3,99,INDEX(Symboles!$H$6:$H$101,MOD(58+$C37+(-4),$B$3)+1)*E37+INDEX(Symboles!$H$6:$H$101,MOD(58+$C37+(-3),$B$3)+1)*F37+INDEX(Symboles!$H$6:$H$101,MOD(58+$C37+(-2),$B$3)+1)*G37+INDEX(Symboles!$H$6:$H$101,MOD(58+$C37+(-1),$B$3)+1)*H37+INDEX(Symboles!$H$6:$H$101,MOD(58+$C37+(0),$B$3)+1)*I37+INDEX(Symboles!$H$6:$H$101,MOD(58+$C37+(1),$B$3)+1)*J37+INDEX(Symboles!$H$6:$H$101,MOD(58+$C37+(2),$B$3)+1)*K37+INDEX(Symboles!$H$6:$H$101,MOD(58+$C37+(3),$B$3)+1)*L37+INDEX(Symboles!$H$6:$H$101,MOD(58+$C37+(4),$B$3)+1)*M37+IF($B$6=0,0,$B$6*NORMSINV(0.000001+0.999998*RAND())))</f>
        <v/>
      </c>
      <c r="FP37" s="30">
        <f>IF(60&gt;$B$3,99,INDEX(Symboles!$H$6:$H$101,MOD(59+$C37+(-4),$B$3)+1)*E37+INDEX(Symboles!$H$6:$H$101,MOD(59+$C37+(-3),$B$3)+1)*F37+INDEX(Symboles!$H$6:$H$101,MOD(59+$C37+(-2),$B$3)+1)*G37+INDEX(Symboles!$H$6:$H$101,MOD(59+$C37+(-1),$B$3)+1)*H37+INDEX(Symboles!$H$6:$H$101,MOD(59+$C37+(0),$B$3)+1)*I37+INDEX(Symboles!$H$6:$H$101,MOD(59+$C37+(1),$B$3)+1)*J37+INDEX(Symboles!$H$6:$H$101,MOD(59+$C37+(2),$B$3)+1)*K37+INDEX(Symboles!$H$6:$H$101,MOD(59+$C37+(3),$B$3)+1)*L37+INDEX(Symboles!$H$6:$H$101,MOD(59+$C37+(4),$B$3)+1)*M37+IF($B$6=0,0,$B$6*NORMSINV(0.000001+0.999998*RAND())))</f>
        <v/>
      </c>
      <c r="FQ37" s="30">
        <f>IF(61&gt;$B$3,99,INDEX(Symboles!$H$6:$H$101,MOD(60+$C37+(-4),$B$3)+1)*E37+INDEX(Symboles!$H$6:$H$101,MOD(60+$C37+(-3),$B$3)+1)*F37+INDEX(Symboles!$H$6:$H$101,MOD(60+$C37+(-2),$B$3)+1)*G37+INDEX(Symboles!$H$6:$H$101,MOD(60+$C37+(-1),$B$3)+1)*H37+INDEX(Symboles!$H$6:$H$101,MOD(60+$C37+(0),$B$3)+1)*I37+INDEX(Symboles!$H$6:$H$101,MOD(60+$C37+(1),$B$3)+1)*J37+INDEX(Symboles!$H$6:$H$101,MOD(60+$C37+(2),$B$3)+1)*K37+INDEX(Symboles!$H$6:$H$101,MOD(60+$C37+(3),$B$3)+1)*L37+INDEX(Symboles!$H$6:$H$101,MOD(60+$C37+(4),$B$3)+1)*M37+IF($B$6=0,0,$B$6*NORMSINV(0.000001+0.999998*RAND())))</f>
        <v/>
      </c>
      <c r="FR37" s="30">
        <f>IF(62&gt;$B$3,99,INDEX(Symboles!$H$6:$H$101,MOD(61+$C37+(-4),$B$3)+1)*E37+INDEX(Symboles!$H$6:$H$101,MOD(61+$C37+(-3),$B$3)+1)*F37+INDEX(Symboles!$H$6:$H$101,MOD(61+$C37+(-2),$B$3)+1)*G37+INDEX(Symboles!$H$6:$H$101,MOD(61+$C37+(-1),$B$3)+1)*H37+INDEX(Symboles!$H$6:$H$101,MOD(61+$C37+(0),$B$3)+1)*I37+INDEX(Symboles!$H$6:$H$101,MOD(61+$C37+(1),$B$3)+1)*J37+INDEX(Symboles!$H$6:$H$101,MOD(61+$C37+(2),$B$3)+1)*K37+INDEX(Symboles!$H$6:$H$101,MOD(61+$C37+(3),$B$3)+1)*L37+INDEX(Symboles!$H$6:$H$101,MOD(61+$C37+(4),$B$3)+1)*M37+IF($B$6=0,0,$B$6*NORMSINV(0.000001+0.999998*RAND())))</f>
        <v/>
      </c>
      <c r="FS37" s="30">
        <f>IF(63&gt;$B$3,99,INDEX(Symboles!$H$6:$H$101,MOD(62+$C37+(-4),$B$3)+1)*E37+INDEX(Symboles!$H$6:$H$101,MOD(62+$C37+(-3),$B$3)+1)*F37+INDEX(Symboles!$H$6:$H$101,MOD(62+$C37+(-2),$B$3)+1)*G37+INDEX(Symboles!$H$6:$H$101,MOD(62+$C37+(-1),$B$3)+1)*H37+INDEX(Symboles!$H$6:$H$101,MOD(62+$C37+(0),$B$3)+1)*I37+INDEX(Symboles!$H$6:$H$101,MOD(62+$C37+(1),$B$3)+1)*J37+INDEX(Symboles!$H$6:$H$101,MOD(62+$C37+(2),$B$3)+1)*K37+INDEX(Symboles!$H$6:$H$101,MOD(62+$C37+(3),$B$3)+1)*L37+INDEX(Symboles!$H$6:$H$101,MOD(62+$C37+(4),$B$3)+1)*M37+IF($B$6=0,0,$B$6*NORMSINV(0.000001+0.999998*RAND())))</f>
        <v/>
      </c>
      <c r="FT37" s="30">
        <f>IF(64&gt;$B$3,99,INDEX(Symboles!$H$6:$H$101,MOD(63+$C37+(-4),$B$3)+1)*E37+INDEX(Symboles!$H$6:$H$101,MOD(63+$C37+(-3),$B$3)+1)*F37+INDEX(Symboles!$H$6:$H$101,MOD(63+$C37+(-2),$B$3)+1)*G37+INDEX(Symboles!$H$6:$H$101,MOD(63+$C37+(-1),$B$3)+1)*H37+INDEX(Symboles!$H$6:$H$101,MOD(63+$C37+(0),$B$3)+1)*I37+INDEX(Symboles!$H$6:$H$101,MOD(63+$C37+(1),$B$3)+1)*J37+INDEX(Symboles!$H$6:$H$101,MOD(63+$C37+(2),$B$3)+1)*K37+INDEX(Symboles!$H$6:$H$101,MOD(63+$C37+(3),$B$3)+1)*L37+INDEX(Symboles!$H$6:$H$101,MOD(63+$C37+(4),$B$3)+1)*M37+IF($B$6=0,0,$B$6*NORMSINV(0.000001+0.999998*RAND())))</f>
        <v/>
      </c>
      <c r="FU37" s="30">
        <f>IF(65&gt;$B$3,99,INDEX(Symboles!$H$6:$H$101,MOD(64+$C37+(-4),$B$3)+1)*E37+INDEX(Symboles!$H$6:$H$101,MOD(64+$C37+(-3),$B$3)+1)*F37+INDEX(Symboles!$H$6:$H$101,MOD(64+$C37+(-2),$B$3)+1)*G37+INDEX(Symboles!$H$6:$H$101,MOD(64+$C37+(-1),$B$3)+1)*H37+INDEX(Symboles!$H$6:$H$101,MOD(64+$C37+(0),$B$3)+1)*I37+INDEX(Symboles!$H$6:$H$101,MOD(64+$C37+(1),$B$3)+1)*J37+INDEX(Symboles!$H$6:$H$101,MOD(64+$C37+(2),$B$3)+1)*K37+INDEX(Symboles!$H$6:$H$101,MOD(64+$C37+(3),$B$3)+1)*L37+INDEX(Symboles!$H$6:$H$101,MOD(64+$C37+(4),$B$3)+1)*M37+IF($B$6=0,0,$B$6*NORMSINV(0.000001+0.999998*RAND())))</f>
        <v/>
      </c>
      <c r="FV37" s="30">
        <f>IF(66&gt;$B$3,99,INDEX(Symboles!$H$6:$H$101,MOD(65+$C37+(-4),$B$3)+1)*E37+INDEX(Symboles!$H$6:$H$101,MOD(65+$C37+(-3),$B$3)+1)*F37+INDEX(Symboles!$H$6:$H$101,MOD(65+$C37+(-2),$B$3)+1)*G37+INDEX(Symboles!$H$6:$H$101,MOD(65+$C37+(-1),$B$3)+1)*H37+INDEX(Symboles!$H$6:$H$101,MOD(65+$C37+(0),$B$3)+1)*I37+INDEX(Symboles!$H$6:$H$101,MOD(65+$C37+(1),$B$3)+1)*J37+INDEX(Symboles!$H$6:$H$101,MOD(65+$C37+(2),$B$3)+1)*K37+INDEX(Symboles!$H$6:$H$101,MOD(65+$C37+(3),$B$3)+1)*L37+INDEX(Symboles!$H$6:$H$101,MOD(65+$C37+(4),$B$3)+1)*M37+IF($B$6=0,0,$B$6*NORMSINV(0.000001+0.999998*RAND())))</f>
        <v/>
      </c>
      <c r="FW37" s="30">
        <f>IF(67&gt;$B$3,99,INDEX(Symboles!$H$6:$H$101,MOD(66+$C37+(-4),$B$3)+1)*E37+INDEX(Symboles!$H$6:$H$101,MOD(66+$C37+(-3),$B$3)+1)*F37+INDEX(Symboles!$H$6:$H$101,MOD(66+$C37+(-2),$B$3)+1)*G37+INDEX(Symboles!$H$6:$H$101,MOD(66+$C37+(-1),$B$3)+1)*H37+INDEX(Symboles!$H$6:$H$101,MOD(66+$C37+(0),$B$3)+1)*I37+INDEX(Symboles!$H$6:$H$101,MOD(66+$C37+(1),$B$3)+1)*J37+INDEX(Symboles!$H$6:$H$101,MOD(66+$C37+(2),$B$3)+1)*K37+INDEX(Symboles!$H$6:$H$101,MOD(66+$C37+(3),$B$3)+1)*L37+INDEX(Symboles!$H$6:$H$101,MOD(66+$C37+(4),$B$3)+1)*M37+IF($B$6=0,0,$B$6*NORMSINV(0.000001+0.999998*RAND())))</f>
        <v/>
      </c>
      <c r="FX37" s="30">
        <f>IF(68&gt;$B$3,99,INDEX(Symboles!$H$6:$H$101,MOD(67+$C37+(-4),$B$3)+1)*E37+INDEX(Symboles!$H$6:$H$101,MOD(67+$C37+(-3),$B$3)+1)*F37+INDEX(Symboles!$H$6:$H$101,MOD(67+$C37+(-2),$B$3)+1)*G37+INDEX(Symboles!$H$6:$H$101,MOD(67+$C37+(-1),$B$3)+1)*H37+INDEX(Symboles!$H$6:$H$101,MOD(67+$C37+(0),$B$3)+1)*I37+INDEX(Symboles!$H$6:$H$101,MOD(67+$C37+(1),$B$3)+1)*J37+INDEX(Symboles!$H$6:$H$101,MOD(67+$C37+(2),$B$3)+1)*K37+INDEX(Symboles!$H$6:$H$101,MOD(67+$C37+(3),$B$3)+1)*L37+INDEX(Symboles!$H$6:$H$101,MOD(67+$C37+(4),$B$3)+1)*M37+IF($B$6=0,0,$B$6*NORMSINV(0.000001+0.999998*RAND())))</f>
        <v/>
      </c>
      <c r="FY37" s="30">
        <f>IF(69&gt;$B$3,99,INDEX(Symboles!$H$6:$H$101,MOD(68+$C37+(-4),$B$3)+1)*E37+INDEX(Symboles!$H$6:$H$101,MOD(68+$C37+(-3),$B$3)+1)*F37+INDEX(Symboles!$H$6:$H$101,MOD(68+$C37+(-2),$B$3)+1)*G37+INDEX(Symboles!$H$6:$H$101,MOD(68+$C37+(-1),$B$3)+1)*H37+INDEX(Symboles!$H$6:$H$101,MOD(68+$C37+(0),$B$3)+1)*I37+INDEX(Symboles!$H$6:$H$101,MOD(68+$C37+(1),$B$3)+1)*J37+INDEX(Symboles!$H$6:$H$101,MOD(68+$C37+(2),$B$3)+1)*K37+INDEX(Symboles!$H$6:$H$101,MOD(68+$C37+(3),$B$3)+1)*L37+INDEX(Symboles!$H$6:$H$101,MOD(68+$C37+(4),$B$3)+1)*M37+IF($B$6=0,0,$B$6*NORMSINV(0.000001+0.999998*RAND())))</f>
        <v/>
      </c>
      <c r="FZ37" s="30">
        <f>IF(70&gt;$B$3,99,INDEX(Symboles!$H$6:$H$101,MOD(69+$C37+(-4),$B$3)+1)*E37+INDEX(Symboles!$H$6:$H$101,MOD(69+$C37+(-3),$B$3)+1)*F37+INDEX(Symboles!$H$6:$H$101,MOD(69+$C37+(-2),$B$3)+1)*G37+INDEX(Symboles!$H$6:$H$101,MOD(69+$C37+(-1),$B$3)+1)*H37+INDEX(Symboles!$H$6:$H$101,MOD(69+$C37+(0),$B$3)+1)*I37+INDEX(Symboles!$H$6:$H$101,MOD(69+$C37+(1),$B$3)+1)*J37+INDEX(Symboles!$H$6:$H$101,MOD(69+$C37+(2),$B$3)+1)*K37+INDEX(Symboles!$H$6:$H$101,MOD(69+$C37+(3),$B$3)+1)*L37+INDEX(Symboles!$H$6:$H$101,MOD(69+$C37+(4),$B$3)+1)*M37+IF($B$6=0,0,$B$6*NORMSINV(0.000001+0.999998*RAND())))</f>
        <v/>
      </c>
      <c r="GA37" s="30">
        <f>IF(71&gt;$B$3,99,INDEX(Symboles!$H$6:$H$101,MOD(70+$C37+(-4),$B$3)+1)*E37+INDEX(Symboles!$H$6:$H$101,MOD(70+$C37+(-3),$B$3)+1)*F37+INDEX(Symboles!$H$6:$H$101,MOD(70+$C37+(-2),$B$3)+1)*G37+INDEX(Symboles!$H$6:$H$101,MOD(70+$C37+(-1),$B$3)+1)*H37+INDEX(Symboles!$H$6:$H$101,MOD(70+$C37+(0),$B$3)+1)*I37+INDEX(Symboles!$H$6:$H$101,MOD(70+$C37+(1),$B$3)+1)*J37+INDEX(Symboles!$H$6:$H$101,MOD(70+$C37+(2),$B$3)+1)*K37+INDEX(Symboles!$H$6:$H$101,MOD(70+$C37+(3),$B$3)+1)*L37+INDEX(Symboles!$H$6:$H$101,MOD(70+$C37+(4),$B$3)+1)*M37+IF($B$6=0,0,$B$6*NORMSINV(0.000001+0.999998*RAND())))</f>
        <v/>
      </c>
      <c r="GB37" s="30">
        <f>IF(72&gt;$B$3,99,INDEX(Symboles!$H$6:$H$101,MOD(71+$C37+(-4),$B$3)+1)*E37+INDEX(Symboles!$H$6:$H$101,MOD(71+$C37+(-3),$B$3)+1)*F37+INDEX(Symboles!$H$6:$H$101,MOD(71+$C37+(-2),$B$3)+1)*G37+INDEX(Symboles!$H$6:$H$101,MOD(71+$C37+(-1),$B$3)+1)*H37+INDEX(Symboles!$H$6:$H$101,MOD(71+$C37+(0),$B$3)+1)*I37+INDEX(Symboles!$H$6:$H$101,MOD(71+$C37+(1),$B$3)+1)*J37+INDEX(Symboles!$H$6:$H$101,MOD(71+$C37+(2),$B$3)+1)*K37+INDEX(Symboles!$H$6:$H$101,MOD(71+$C37+(3),$B$3)+1)*L37+INDEX(Symboles!$H$6:$H$101,MOD(71+$C37+(4),$B$3)+1)*M37+IF($B$6=0,0,$B$6*NORMSINV(0.000001+0.999998*RAND())))</f>
        <v/>
      </c>
      <c r="GC37" s="30">
        <f>IF(73&gt;$B$3,99,INDEX(Symboles!$H$6:$H$101,MOD(72+$C37+(-4),$B$3)+1)*E37+INDEX(Symboles!$H$6:$H$101,MOD(72+$C37+(-3),$B$3)+1)*F37+INDEX(Symboles!$H$6:$H$101,MOD(72+$C37+(-2),$B$3)+1)*G37+INDEX(Symboles!$H$6:$H$101,MOD(72+$C37+(-1),$B$3)+1)*H37+INDEX(Symboles!$H$6:$H$101,MOD(72+$C37+(0),$B$3)+1)*I37+INDEX(Symboles!$H$6:$H$101,MOD(72+$C37+(1),$B$3)+1)*J37+INDEX(Symboles!$H$6:$H$101,MOD(72+$C37+(2),$B$3)+1)*K37+INDEX(Symboles!$H$6:$H$101,MOD(72+$C37+(3),$B$3)+1)*L37+INDEX(Symboles!$H$6:$H$101,MOD(72+$C37+(4),$B$3)+1)*M37+IF($B$6=0,0,$B$6*NORMSINV(0.000001+0.999998*RAND())))</f>
        <v/>
      </c>
      <c r="GD37" s="30">
        <f>IF(74&gt;$B$3,99,INDEX(Symboles!$H$6:$H$101,MOD(73+$C37+(-4),$B$3)+1)*E37+INDEX(Symboles!$H$6:$H$101,MOD(73+$C37+(-3),$B$3)+1)*F37+INDEX(Symboles!$H$6:$H$101,MOD(73+$C37+(-2),$B$3)+1)*G37+INDEX(Symboles!$H$6:$H$101,MOD(73+$C37+(-1),$B$3)+1)*H37+INDEX(Symboles!$H$6:$H$101,MOD(73+$C37+(0),$B$3)+1)*I37+INDEX(Symboles!$H$6:$H$101,MOD(73+$C37+(1),$B$3)+1)*J37+INDEX(Symboles!$H$6:$H$101,MOD(73+$C37+(2),$B$3)+1)*K37+INDEX(Symboles!$H$6:$H$101,MOD(73+$C37+(3),$B$3)+1)*L37+INDEX(Symboles!$H$6:$H$101,MOD(73+$C37+(4),$B$3)+1)*M37+IF($B$6=0,0,$B$6*NORMSINV(0.000001+0.999998*RAND())))</f>
        <v/>
      </c>
      <c r="GE37" s="30">
        <f>IF(75&gt;$B$3,99,INDEX(Symboles!$H$6:$H$101,MOD(74+$C37+(-4),$B$3)+1)*E37+INDEX(Symboles!$H$6:$H$101,MOD(74+$C37+(-3),$B$3)+1)*F37+INDEX(Symboles!$H$6:$H$101,MOD(74+$C37+(-2),$B$3)+1)*G37+INDEX(Symboles!$H$6:$H$101,MOD(74+$C37+(-1),$B$3)+1)*H37+INDEX(Symboles!$H$6:$H$101,MOD(74+$C37+(0),$B$3)+1)*I37+INDEX(Symboles!$H$6:$H$101,MOD(74+$C37+(1),$B$3)+1)*J37+INDEX(Symboles!$H$6:$H$101,MOD(74+$C37+(2),$B$3)+1)*K37+INDEX(Symboles!$H$6:$H$101,MOD(74+$C37+(3),$B$3)+1)*L37+INDEX(Symboles!$H$6:$H$101,MOD(74+$C37+(4),$B$3)+1)*M37+IF($B$6=0,0,$B$6*NORMSINV(0.000001+0.999998*RAND())))</f>
        <v/>
      </c>
      <c r="GF37" s="30">
        <f>IF(76&gt;$B$3,99,INDEX(Symboles!$H$6:$H$101,MOD(75+$C37+(-4),$B$3)+1)*E37+INDEX(Symboles!$H$6:$H$101,MOD(75+$C37+(-3),$B$3)+1)*F37+INDEX(Symboles!$H$6:$H$101,MOD(75+$C37+(-2),$B$3)+1)*G37+INDEX(Symboles!$H$6:$H$101,MOD(75+$C37+(-1),$B$3)+1)*H37+INDEX(Symboles!$H$6:$H$101,MOD(75+$C37+(0),$B$3)+1)*I37+INDEX(Symboles!$H$6:$H$101,MOD(75+$C37+(1),$B$3)+1)*J37+INDEX(Symboles!$H$6:$H$101,MOD(75+$C37+(2),$B$3)+1)*K37+INDEX(Symboles!$H$6:$H$101,MOD(75+$C37+(3),$B$3)+1)*L37+INDEX(Symboles!$H$6:$H$101,MOD(75+$C37+(4),$B$3)+1)*M37+IF($B$6=0,0,$B$6*NORMSINV(0.000001+0.999998*RAND())))</f>
        <v/>
      </c>
      <c r="GG37" s="30">
        <f>IF(77&gt;$B$3,99,INDEX(Symboles!$H$6:$H$101,MOD(76+$C37+(-4),$B$3)+1)*E37+INDEX(Symboles!$H$6:$H$101,MOD(76+$C37+(-3),$B$3)+1)*F37+INDEX(Symboles!$H$6:$H$101,MOD(76+$C37+(-2),$B$3)+1)*G37+INDEX(Symboles!$H$6:$H$101,MOD(76+$C37+(-1),$B$3)+1)*H37+INDEX(Symboles!$H$6:$H$101,MOD(76+$C37+(0),$B$3)+1)*I37+INDEX(Symboles!$H$6:$H$101,MOD(76+$C37+(1),$B$3)+1)*J37+INDEX(Symboles!$H$6:$H$101,MOD(76+$C37+(2),$B$3)+1)*K37+INDEX(Symboles!$H$6:$H$101,MOD(76+$C37+(3),$B$3)+1)*L37+INDEX(Symboles!$H$6:$H$101,MOD(76+$C37+(4),$B$3)+1)*M37+IF($B$6=0,0,$B$6*NORMSINV(0.000001+0.999998*RAND())))</f>
        <v/>
      </c>
      <c r="GH37" s="30">
        <f>IF(78&gt;$B$3,99,INDEX(Symboles!$H$6:$H$101,MOD(77+$C37+(-4),$B$3)+1)*E37+INDEX(Symboles!$H$6:$H$101,MOD(77+$C37+(-3),$B$3)+1)*F37+INDEX(Symboles!$H$6:$H$101,MOD(77+$C37+(-2),$B$3)+1)*G37+INDEX(Symboles!$H$6:$H$101,MOD(77+$C37+(-1),$B$3)+1)*H37+INDEX(Symboles!$H$6:$H$101,MOD(77+$C37+(0),$B$3)+1)*I37+INDEX(Symboles!$H$6:$H$101,MOD(77+$C37+(1),$B$3)+1)*J37+INDEX(Symboles!$H$6:$H$101,MOD(77+$C37+(2),$B$3)+1)*K37+INDEX(Symboles!$H$6:$H$101,MOD(77+$C37+(3),$B$3)+1)*L37+INDEX(Symboles!$H$6:$H$101,MOD(77+$C37+(4),$B$3)+1)*M37+IF($B$6=0,0,$B$6*NORMSINV(0.000001+0.999998*RAND())))</f>
        <v/>
      </c>
      <c r="GI37" s="30">
        <f>IF(79&gt;$B$3,99,INDEX(Symboles!$H$6:$H$101,MOD(78+$C37+(-4),$B$3)+1)*E37+INDEX(Symboles!$H$6:$H$101,MOD(78+$C37+(-3),$B$3)+1)*F37+INDEX(Symboles!$H$6:$H$101,MOD(78+$C37+(-2),$B$3)+1)*G37+INDEX(Symboles!$H$6:$H$101,MOD(78+$C37+(-1),$B$3)+1)*H37+INDEX(Symboles!$H$6:$H$101,MOD(78+$C37+(0),$B$3)+1)*I37+INDEX(Symboles!$H$6:$H$101,MOD(78+$C37+(1),$B$3)+1)*J37+INDEX(Symboles!$H$6:$H$101,MOD(78+$C37+(2),$B$3)+1)*K37+INDEX(Symboles!$H$6:$H$101,MOD(78+$C37+(3),$B$3)+1)*L37+INDEX(Symboles!$H$6:$H$101,MOD(78+$C37+(4),$B$3)+1)*M37+IF($B$6=0,0,$B$6*NORMSINV(0.000001+0.999998*RAND())))</f>
        <v/>
      </c>
      <c r="GJ37" s="30">
        <f>IF(80&gt;$B$3,99,INDEX(Symboles!$H$6:$H$101,MOD(79+$C37+(-4),$B$3)+1)*E37+INDEX(Symboles!$H$6:$H$101,MOD(79+$C37+(-3),$B$3)+1)*F37+INDEX(Symboles!$H$6:$H$101,MOD(79+$C37+(-2),$B$3)+1)*G37+INDEX(Symboles!$H$6:$H$101,MOD(79+$C37+(-1),$B$3)+1)*H37+INDEX(Symboles!$H$6:$H$101,MOD(79+$C37+(0),$B$3)+1)*I37+INDEX(Symboles!$H$6:$H$101,MOD(79+$C37+(1),$B$3)+1)*J37+INDEX(Symboles!$H$6:$H$101,MOD(79+$C37+(2),$B$3)+1)*K37+INDEX(Symboles!$H$6:$H$101,MOD(79+$C37+(3),$B$3)+1)*L37+INDEX(Symboles!$H$6:$H$101,MOD(79+$C37+(4),$B$3)+1)*M37+IF($B$6=0,0,$B$6*NORMSINV(0.000001+0.999998*RAND())))</f>
        <v/>
      </c>
      <c r="GK37" s="30">
        <f>IF(81&gt;$B$3,99,INDEX(Symboles!$H$6:$H$101,MOD(80+$C37+(-4),$B$3)+1)*E37+INDEX(Symboles!$H$6:$H$101,MOD(80+$C37+(-3),$B$3)+1)*F37+INDEX(Symboles!$H$6:$H$101,MOD(80+$C37+(-2),$B$3)+1)*G37+INDEX(Symboles!$H$6:$H$101,MOD(80+$C37+(-1),$B$3)+1)*H37+INDEX(Symboles!$H$6:$H$101,MOD(80+$C37+(0),$B$3)+1)*I37+INDEX(Symboles!$H$6:$H$101,MOD(80+$C37+(1),$B$3)+1)*J37+INDEX(Symboles!$H$6:$H$101,MOD(80+$C37+(2),$B$3)+1)*K37+INDEX(Symboles!$H$6:$H$101,MOD(80+$C37+(3),$B$3)+1)*L37+INDEX(Symboles!$H$6:$H$101,MOD(80+$C37+(4),$B$3)+1)*M37+IF($B$6=0,0,$B$6*NORMSINV(0.000001+0.999998*RAND())))</f>
        <v/>
      </c>
      <c r="GL37" s="30">
        <f>IF(82&gt;$B$3,99,INDEX(Symboles!$H$6:$H$101,MOD(81+$C37+(-4),$B$3)+1)*E37+INDEX(Symboles!$H$6:$H$101,MOD(81+$C37+(-3),$B$3)+1)*F37+INDEX(Symboles!$H$6:$H$101,MOD(81+$C37+(-2),$B$3)+1)*G37+INDEX(Symboles!$H$6:$H$101,MOD(81+$C37+(-1),$B$3)+1)*H37+INDEX(Symboles!$H$6:$H$101,MOD(81+$C37+(0),$B$3)+1)*I37+INDEX(Symboles!$H$6:$H$101,MOD(81+$C37+(1),$B$3)+1)*J37+INDEX(Symboles!$H$6:$H$101,MOD(81+$C37+(2),$B$3)+1)*K37+INDEX(Symboles!$H$6:$H$101,MOD(81+$C37+(3),$B$3)+1)*L37+INDEX(Symboles!$H$6:$H$101,MOD(81+$C37+(4),$B$3)+1)*M37+IF($B$6=0,0,$B$6*NORMSINV(0.000001+0.999998*RAND())))</f>
        <v/>
      </c>
      <c r="GM37" s="30">
        <f>IF(83&gt;$B$3,99,INDEX(Symboles!$H$6:$H$101,MOD(82+$C37+(-4),$B$3)+1)*E37+INDEX(Symboles!$H$6:$H$101,MOD(82+$C37+(-3),$B$3)+1)*F37+INDEX(Symboles!$H$6:$H$101,MOD(82+$C37+(-2),$B$3)+1)*G37+INDEX(Symboles!$H$6:$H$101,MOD(82+$C37+(-1),$B$3)+1)*H37+INDEX(Symboles!$H$6:$H$101,MOD(82+$C37+(0),$B$3)+1)*I37+INDEX(Symboles!$H$6:$H$101,MOD(82+$C37+(1),$B$3)+1)*J37+INDEX(Symboles!$H$6:$H$101,MOD(82+$C37+(2),$B$3)+1)*K37+INDEX(Symboles!$H$6:$H$101,MOD(82+$C37+(3),$B$3)+1)*L37+INDEX(Symboles!$H$6:$H$101,MOD(82+$C37+(4),$B$3)+1)*M37+IF($B$6=0,0,$B$6*NORMSINV(0.000001+0.999998*RAND())))</f>
        <v/>
      </c>
      <c r="GN37" s="30">
        <f>IF(84&gt;$B$3,99,INDEX(Symboles!$H$6:$H$101,MOD(83+$C37+(-4),$B$3)+1)*E37+INDEX(Symboles!$H$6:$H$101,MOD(83+$C37+(-3),$B$3)+1)*F37+INDEX(Symboles!$H$6:$H$101,MOD(83+$C37+(-2),$B$3)+1)*G37+INDEX(Symboles!$H$6:$H$101,MOD(83+$C37+(-1),$B$3)+1)*H37+INDEX(Symboles!$H$6:$H$101,MOD(83+$C37+(0),$B$3)+1)*I37+INDEX(Symboles!$H$6:$H$101,MOD(83+$C37+(1),$B$3)+1)*J37+INDEX(Symboles!$H$6:$H$101,MOD(83+$C37+(2),$B$3)+1)*K37+INDEX(Symboles!$H$6:$H$101,MOD(83+$C37+(3),$B$3)+1)*L37+INDEX(Symboles!$H$6:$H$101,MOD(83+$C37+(4),$B$3)+1)*M37+IF($B$6=0,0,$B$6*NORMSINV(0.000001+0.999998*RAND())))</f>
        <v/>
      </c>
      <c r="GO37" s="30">
        <f>IF(85&gt;$B$3,99,INDEX(Symboles!$H$6:$H$101,MOD(84+$C37+(-4),$B$3)+1)*E37+INDEX(Symboles!$H$6:$H$101,MOD(84+$C37+(-3),$B$3)+1)*F37+INDEX(Symboles!$H$6:$H$101,MOD(84+$C37+(-2),$B$3)+1)*G37+INDEX(Symboles!$H$6:$H$101,MOD(84+$C37+(-1),$B$3)+1)*H37+INDEX(Symboles!$H$6:$H$101,MOD(84+$C37+(0),$B$3)+1)*I37+INDEX(Symboles!$H$6:$H$101,MOD(84+$C37+(1),$B$3)+1)*J37+INDEX(Symboles!$H$6:$H$101,MOD(84+$C37+(2),$B$3)+1)*K37+INDEX(Symboles!$H$6:$H$101,MOD(84+$C37+(3),$B$3)+1)*L37+INDEX(Symboles!$H$6:$H$101,MOD(84+$C37+(4),$B$3)+1)*M37+IF($B$6=0,0,$B$6*NORMSINV(0.000001+0.999998*RAND())))</f>
        <v/>
      </c>
      <c r="GP37" s="30">
        <f>IF(86&gt;$B$3,99,INDEX(Symboles!$H$6:$H$101,MOD(85+$C37+(-4),$B$3)+1)*E37+INDEX(Symboles!$H$6:$H$101,MOD(85+$C37+(-3),$B$3)+1)*F37+INDEX(Symboles!$H$6:$H$101,MOD(85+$C37+(-2),$B$3)+1)*G37+INDEX(Symboles!$H$6:$H$101,MOD(85+$C37+(-1),$B$3)+1)*H37+INDEX(Symboles!$H$6:$H$101,MOD(85+$C37+(0),$B$3)+1)*I37+INDEX(Symboles!$H$6:$H$101,MOD(85+$C37+(1),$B$3)+1)*J37+INDEX(Symboles!$H$6:$H$101,MOD(85+$C37+(2),$B$3)+1)*K37+INDEX(Symboles!$H$6:$H$101,MOD(85+$C37+(3),$B$3)+1)*L37+INDEX(Symboles!$H$6:$H$101,MOD(85+$C37+(4),$B$3)+1)*M37+IF($B$6=0,0,$B$6*NORMSINV(0.000001+0.999998*RAND())))</f>
        <v/>
      </c>
      <c r="GQ37" s="30">
        <f>IF(87&gt;$B$3,99,INDEX(Symboles!$H$6:$H$101,MOD(86+$C37+(-4),$B$3)+1)*E37+INDEX(Symboles!$H$6:$H$101,MOD(86+$C37+(-3),$B$3)+1)*F37+INDEX(Symboles!$H$6:$H$101,MOD(86+$C37+(-2),$B$3)+1)*G37+INDEX(Symboles!$H$6:$H$101,MOD(86+$C37+(-1),$B$3)+1)*H37+INDEX(Symboles!$H$6:$H$101,MOD(86+$C37+(0),$B$3)+1)*I37+INDEX(Symboles!$H$6:$H$101,MOD(86+$C37+(1),$B$3)+1)*J37+INDEX(Symboles!$H$6:$H$101,MOD(86+$C37+(2),$B$3)+1)*K37+INDEX(Symboles!$H$6:$H$101,MOD(86+$C37+(3),$B$3)+1)*L37+INDEX(Symboles!$H$6:$H$101,MOD(86+$C37+(4),$B$3)+1)*M37+IF($B$6=0,0,$B$6*NORMSINV(0.000001+0.999998*RAND())))</f>
        <v/>
      </c>
      <c r="GR37" s="30">
        <f>IF(88&gt;$B$3,99,INDEX(Symboles!$H$6:$H$101,MOD(87+$C37+(-4),$B$3)+1)*E37+INDEX(Symboles!$H$6:$H$101,MOD(87+$C37+(-3),$B$3)+1)*F37+INDEX(Symboles!$H$6:$H$101,MOD(87+$C37+(-2),$B$3)+1)*G37+INDEX(Symboles!$H$6:$H$101,MOD(87+$C37+(-1),$B$3)+1)*H37+INDEX(Symboles!$H$6:$H$101,MOD(87+$C37+(0),$B$3)+1)*I37+INDEX(Symboles!$H$6:$H$101,MOD(87+$C37+(1),$B$3)+1)*J37+INDEX(Symboles!$H$6:$H$101,MOD(87+$C37+(2),$B$3)+1)*K37+INDEX(Symboles!$H$6:$H$101,MOD(87+$C37+(3),$B$3)+1)*L37+INDEX(Symboles!$H$6:$H$101,MOD(87+$C37+(4),$B$3)+1)*M37+IF($B$6=0,0,$B$6*NORMSINV(0.000001+0.999998*RAND())))</f>
        <v/>
      </c>
      <c r="GS37" s="30">
        <f>IF(89&gt;$B$3,99,INDEX(Symboles!$H$6:$H$101,MOD(88+$C37+(-4),$B$3)+1)*E37+INDEX(Symboles!$H$6:$H$101,MOD(88+$C37+(-3),$B$3)+1)*F37+INDEX(Symboles!$H$6:$H$101,MOD(88+$C37+(-2),$B$3)+1)*G37+INDEX(Symboles!$H$6:$H$101,MOD(88+$C37+(-1),$B$3)+1)*H37+INDEX(Symboles!$H$6:$H$101,MOD(88+$C37+(0),$B$3)+1)*I37+INDEX(Symboles!$H$6:$H$101,MOD(88+$C37+(1),$B$3)+1)*J37+INDEX(Symboles!$H$6:$H$101,MOD(88+$C37+(2),$B$3)+1)*K37+INDEX(Symboles!$H$6:$H$101,MOD(88+$C37+(3),$B$3)+1)*L37+INDEX(Symboles!$H$6:$H$101,MOD(88+$C37+(4),$B$3)+1)*M37+IF($B$6=0,0,$B$6*NORMSINV(0.000001+0.999998*RAND())))</f>
        <v/>
      </c>
      <c r="GT37" s="30">
        <f>IF(90&gt;$B$3,99,INDEX(Symboles!$H$6:$H$101,MOD(89+$C37+(-4),$B$3)+1)*E37+INDEX(Symboles!$H$6:$H$101,MOD(89+$C37+(-3),$B$3)+1)*F37+INDEX(Symboles!$H$6:$H$101,MOD(89+$C37+(-2),$B$3)+1)*G37+INDEX(Symboles!$H$6:$H$101,MOD(89+$C37+(-1),$B$3)+1)*H37+INDEX(Symboles!$H$6:$H$101,MOD(89+$C37+(0),$B$3)+1)*I37+INDEX(Symboles!$H$6:$H$101,MOD(89+$C37+(1),$B$3)+1)*J37+INDEX(Symboles!$H$6:$H$101,MOD(89+$C37+(2),$B$3)+1)*K37+INDEX(Symboles!$H$6:$H$101,MOD(89+$C37+(3),$B$3)+1)*L37+INDEX(Symboles!$H$6:$H$101,MOD(89+$C37+(4),$B$3)+1)*M37+IF($B$6=0,0,$B$6*NORMSINV(0.000001+0.999998*RAND())))</f>
        <v/>
      </c>
      <c r="GU37" s="30">
        <f>IF(91&gt;$B$3,99,INDEX(Symboles!$H$6:$H$101,MOD(90+$C37+(-4),$B$3)+1)*E37+INDEX(Symboles!$H$6:$H$101,MOD(90+$C37+(-3),$B$3)+1)*F37+INDEX(Symboles!$H$6:$H$101,MOD(90+$C37+(-2),$B$3)+1)*G37+INDEX(Symboles!$H$6:$H$101,MOD(90+$C37+(-1),$B$3)+1)*H37+INDEX(Symboles!$H$6:$H$101,MOD(90+$C37+(0),$B$3)+1)*I37+INDEX(Symboles!$H$6:$H$101,MOD(90+$C37+(1),$B$3)+1)*J37+INDEX(Symboles!$H$6:$H$101,MOD(90+$C37+(2),$B$3)+1)*K37+INDEX(Symboles!$H$6:$H$101,MOD(90+$C37+(3),$B$3)+1)*L37+INDEX(Symboles!$H$6:$H$101,MOD(90+$C37+(4),$B$3)+1)*M37+IF($B$6=0,0,$B$6*NORMSINV(0.000001+0.999998*RAND())))</f>
        <v/>
      </c>
      <c r="GV37" s="30">
        <f>IF(92&gt;$B$3,99,INDEX(Symboles!$H$6:$H$101,MOD(91+$C37+(-4),$B$3)+1)*E37+INDEX(Symboles!$H$6:$H$101,MOD(91+$C37+(-3),$B$3)+1)*F37+INDEX(Symboles!$H$6:$H$101,MOD(91+$C37+(-2),$B$3)+1)*G37+INDEX(Symboles!$H$6:$H$101,MOD(91+$C37+(-1),$B$3)+1)*H37+INDEX(Symboles!$H$6:$H$101,MOD(91+$C37+(0),$B$3)+1)*I37+INDEX(Symboles!$H$6:$H$101,MOD(91+$C37+(1),$B$3)+1)*J37+INDEX(Symboles!$H$6:$H$101,MOD(91+$C37+(2),$B$3)+1)*K37+INDEX(Symboles!$H$6:$H$101,MOD(91+$C37+(3),$B$3)+1)*L37+INDEX(Symboles!$H$6:$H$101,MOD(91+$C37+(4),$B$3)+1)*M37+IF($B$6=0,0,$B$6*NORMSINV(0.000001+0.999998*RAND())))</f>
        <v/>
      </c>
      <c r="GW37" s="30">
        <f>IF(93&gt;$B$3,99,INDEX(Symboles!$H$6:$H$101,MOD(92+$C37+(-4),$B$3)+1)*E37+INDEX(Symboles!$H$6:$H$101,MOD(92+$C37+(-3),$B$3)+1)*F37+INDEX(Symboles!$H$6:$H$101,MOD(92+$C37+(-2),$B$3)+1)*G37+INDEX(Symboles!$H$6:$H$101,MOD(92+$C37+(-1),$B$3)+1)*H37+INDEX(Symboles!$H$6:$H$101,MOD(92+$C37+(0),$B$3)+1)*I37+INDEX(Symboles!$H$6:$H$101,MOD(92+$C37+(1),$B$3)+1)*J37+INDEX(Symboles!$H$6:$H$101,MOD(92+$C37+(2),$B$3)+1)*K37+INDEX(Symboles!$H$6:$H$101,MOD(92+$C37+(3),$B$3)+1)*L37+INDEX(Symboles!$H$6:$H$101,MOD(92+$C37+(4),$B$3)+1)*M37+IF($B$6=0,0,$B$6*NORMSINV(0.000001+0.999998*RAND())))</f>
        <v/>
      </c>
      <c r="GX37" s="30">
        <f>IF(94&gt;$B$3,99,INDEX(Symboles!$H$6:$H$101,MOD(93+$C37+(-4),$B$3)+1)*E37+INDEX(Symboles!$H$6:$H$101,MOD(93+$C37+(-3),$B$3)+1)*F37+INDEX(Symboles!$H$6:$H$101,MOD(93+$C37+(-2),$B$3)+1)*G37+INDEX(Symboles!$H$6:$H$101,MOD(93+$C37+(-1),$B$3)+1)*H37+INDEX(Symboles!$H$6:$H$101,MOD(93+$C37+(0),$B$3)+1)*I37+INDEX(Symboles!$H$6:$H$101,MOD(93+$C37+(1),$B$3)+1)*J37+INDEX(Symboles!$H$6:$H$101,MOD(93+$C37+(2),$B$3)+1)*K37+INDEX(Symboles!$H$6:$H$101,MOD(93+$C37+(3),$B$3)+1)*L37+INDEX(Symboles!$H$6:$H$101,MOD(93+$C37+(4),$B$3)+1)*M37+IF($B$6=0,0,$B$6*NORMSINV(0.000001+0.999998*RAND())))</f>
        <v/>
      </c>
      <c r="GY37" s="30">
        <f>IF(95&gt;$B$3,99,INDEX(Symboles!$H$6:$H$101,MOD(94+$C37+(-4),$B$3)+1)*E37+INDEX(Symboles!$H$6:$H$101,MOD(94+$C37+(-3),$B$3)+1)*F37+INDEX(Symboles!$H$6:$H$101,MOD(94+$C37+(-2),$B$3)+1)*G37+INDEX(Symboles!$H$6:$H$101,MOD(94+$C37+(-1),$B$3)+1)*H37+INDEX(Symboles!$H$6:$H$101,MOD(94+$C37+(0),$B$3)+1)*I37+INDEX(Symboles!$H$6:$H$101,MOD(94+$C37+(1),$B$3)+1)*J37+INDEX(Symboles!$H$6:$H$101,MOD(94+$C37+(2),$B$3)+1)*K37+INDEX(Symboles!$H$6:$H$101,MOD(94+$C37+(3),$B$3)+1)*L37+INDEX(Symboles!$H$6:$H$101,MOD(94+$C37+(4),$B$3)+1)*M37+IF($B$6=0,0,$B$6*NORMSINV(0.000001+0.999998*RAND())))</f>
        <v/>
      </c>
      <c r="GZ37" s="30">
        <f>IF(96&gt;$B$3,99,INDEX(Symboles!$H$6:$H$101,MOD(95+$C37+(-4),$B$3)+1)*E37+INDEX(Symboles!$H$6:$H$101,MOD(95+$C37+(-3),$B$3)+1)*F37+INDEX(Symboles!$H$6:$H$101,MOD(95+$C37+(-2),$B$3)+1)*G37+INDEX(Symboles!$H$6:$H$101,MOD(95+$C37+(-1),$B$3)+1)*H37+INDEX(Symboles!$H$6:$H$101,MOD(95+$C37+(0),$B$3)+1)*I37+INDEX(Symboles!$H$6:$H$101,MOD(95+$C37+(1),$B$3)+1)*J37+INDEX(Symboles!$H$6:$H$101,MOD(95+$C37+(2),$B$3)+1)*K37+INDEX(Symboles!$H$6:$H$101,MOD(95+$C37+(3),$B$3)+1)*L37+INDEX(Symboles!$H$6:$H$101,MOD(95+$C37+(4),$B$3)+1)*M37+IF($B$6=0,0,$B$6*NORMSINV(0.000001+0.999998*RAND())))</f>
        <v/>
      </c>
    </row>
    <row r="38">
      <c r="A38" s="28" t="n">
        <v>28</v>
      </c>
      <c r="B38" s="28" t="n">
        <v>0.75</v>
      </c>
      <c r="C38" s="28" t="n">
        <v>1</v>
      </c>
      <c r="D38" s="28" t="n">
        <v>4</v>
      </c>
      <c r="E38" s="29">
        <f>IF($B$4=1,0,IF(ABS(1-(2*$B$5*3.75)^2)&lt;0.000001,PI()/4*SIN(PI()/(2*$B$5))/(PI()/(2*$B$5)),SIN(PI()*3.75)/(PI()*3.75)*COS(PI()*$B$5*3.75)/(1-(2*$B$5*3.75)^2)))</f>
        <v/>
      </c>
      <c r="F38" s="29">
        <f>IF($B$4=1,0,IF(ABS(1-(2*$B$5*2.75)^2)&lt;0.000001,PI()/4*SIN(PI()/(2*$B$5))/(PI()/(2*$B$5)),SIN(PI()*2.75)/(PI()*2.75)*COS(PI()*$B$5*2.75)/(1-(2*$B$5*2.75)^2)))</f>
        <v/>
      </c>
      <c r="G38" s="29">
        <f>IF($B$4=1,0,IF(ABS(1-(2*$B$5*1.75)^2)&lt;0.000001,PI()/4*SIN(PI()/(2*$B$5))/(PI()/(2*$B$5)),SIN(PI()*1.75)/(PI()*1.75)*COS(PI()*$B$5*1.75)/(1-(2*$B$5*1.75)^2)))</f>
        <v/>
      </c>
      <c r="H38" s="29">
        <f>IF($B$4=1,0,IF(ABS(1-(2*$B$5*0.75)^2)&lt;0.000001,PI()/4*SIN(PI()/(2*$B$5))/(PI()/(2*$B$5)),SIN(PI()*0.75)/(PI()*0.75)*COS(PI()*$B$5*0.75)/(1-(2*$B$5*0.75)^2)))</f>
        <v/>
      </c>
      <c r="I38" s="29">
        <f>IF($B$4=1,1,IF(ABS(1-(2*$B$5*-0.25)^2)&lt;0.000001,PI()/4*SIN(PI()/(2*$B$5))/(PI()/(2*$B$5)),SIN(PI()*-0.25)/(PI()*-0.25)*COS(PI()*$B$5*-0.25)/(1-(2*$B$5*-0.25)^2)))</f>
        <v/>
      </c>
      <c r="J38" s="29">
        <f>IF($B$4=1,0,IF(ABS(1-(2*$B$5*-1.25)^2)&lt;0.000001,PI()/4*SIN(PI()/(2*$B$5))/(PI()/(2*$B$5)),SIN(PI()*-1.25)/(PI()*-1.25)*COS(PI()*$B$5*-1.25)/(1-(2*$B$5*-1.25)^2)))</f>
        <v/>
      </c>
      <c r="K38" s="29">
        <f>IF($B$4=1,0,IF(ABS(1-(2*$B$5*-2.25)^2)&lt;0.000001,PI()/4*SIN(PI()/(2*$B$5))/(PI()/(2*$B$5)),SIN(PI()*-2.25)/(PI()*-2.25)*COS(PI()*$B$5*-2.25)/(1-(2*$B$5*-2.25)^2)))</f>
        <v/>
      </c>
      <c r="L38" s="29">
        <f>IF($B$4=1,0,IF(ABS(1-(2*$B$5*-3.25)^2)&lt;0.000001,PI()/4*SIN(PI()/(2*$B$5))/(PI()/(2*$B$5)),SIN(PI()*-3.25)/(PI()*-3.25)*COS(PI()*$B$5*-3.25)/(1-(2*$B$5*-3.25)^2)))</f>
        <v/>
      </c>
      <c r="M38" s="29">
        <f>IF($B$4=1,0,IF(ABS(1-(2*$B$5*-4.25)^2)&lt;0.000001,PI()/4*SIN(PI()/(2*$B$5))/(PI()/(2*$B$5)),SIN(PI()*-4.25)/(PI()*-4.25)*COS(PI()*$B$5*-4.25)/(1-(2*$B$5*-4.25)^2)))</f>
        <v/>
      </c>
      <c r="P38" s="30">
        <f>IF(1&gt;$B$3,99,INDEX(Symboles!$G$6:$G$101,MOD(0+$C38+(-4),$B$3)+1)*E38+INDEX(Symboles!$G$6:$G$101,MOD(0+$C38+(-3),$B$3)+1)*F38+INDEX(Symboles!$G$6:$G$101,MOD(0+$C38+(-2),$B$3)+1)*G38+INDEX(Symboles!$G$6:$G$101,MOD(0+$C38+(-1),$B$3)+1)*H38+INDEX(Symboles!$G$6:$G$101,MOD(0+$C38+(0),$B$3)+1)*I38+INDEX(Symboles!$G$6:$G$101,MOD(0+$C38+(1),$B$3)+1)*J38+INDEX(Symboles!$G$6:$G$101,MOD(0+$C38+(2),$B$3)+1)*K38+INDEX(Symboles!$G$6:$G$101,MOD(0+$C38+(3),$B$3)+1)*L38+INDEX(Symboles!$G$6:$G$101,MOD(0+$C38+(4),$B$3)+1)*M38+IF($B$6=0,0,$B$6*NORMSINV(0.000001+0.999998*RAND())))</f>
        <v/>
      </c>
      <c r="Q38" s="30">
        <f>IF(2&gt;$B$3,99,INDEX(Symboles!$G$6:$G$101,MOD(1+$C38+(-4),$B$3)+1)*E38+INDEX(Symboles!$G$6:$G$101,MOD(1+$C38+(-3),$B$3)+1)*F38+INDEX(Symboles!$G$6:$G$101,MOD(1+$C38+(-2),$B$3)+1)*G38+INDEX(Symboles!$G$6:$G$101,MOD(1+$C38+(-1),$B$3)+1)*H38+INDEX(Symboles!$G$6:$G$101,MOD(1+$C38+(0),$B$3)+1)*I38+INDEX(Symboles!$G$6:$G$101,MOD(1+$C38+(1),$B$3)+1)*J38+INDEX(Symboles!$G$6:$G$101,MOD(1+$C38+(2),$B$3)+1)*K38+INDEX(Symboles!$G$6:$G$101,MOD(1+$C38+(3),$B$3)+1)*L38+INDEX(Symboles!$G$6:$G$101,MOD(1+$C38+(4),$B$3)+1)*M38+IF($B$6=0,0,$B$6*NORMSINV(0.000001+0.999998*RAND())))</f>
        <v/>
      </c>
      <c r="R38" s="30">
        <f>IF(3&gt;$B$3,99,INDEX(Symboles!$G$6:$G$101,MOD(2+$C38+(-4),$B$3)+1)*E38+INDEX(Symboles!$G$6:$G$101,MOD(2+$C38+(-3),$B$3)+1)*F38+INDEX(Symboles!$G$6:$G$101,MOD(2+$C38+(-2),$B$3)+1)*G38+INDEX(Symboles!$G$6:$G$101,MOD(2+$C38+(-1),$B$3)+1)*H38+INDEX(Symboles!$G$6:$G$101,MOD(2+$C38+(0),$B$3)+1)*I38+INDEX(Symboles!$G$6:$G$101,MOD(2+$C38+(1),$B$3)+1)*J38+INDEX(Symboles!$G$6:$G$101,MOD(2+$C38+(2),$B$3)+1)*K38+INDEX(Symboles!$G$6:$G$101,MOD(2+$C38+(3),$B$3)+1)*L38+INDEX(Symboles!$G$6:$G$101,MOD(2+$C38+(4),$B$3)+1)*M38+IF($B$6=0,0,$B$6*NORMSINV(0.000001+0.999998*RAND())))</f>
        <v/>
      </c>
      <c r="S38" s="30">
        <f>IF(4&gt;$B$3,99,INDEX(Symboles!$G$6:$G$101,MOD(3+$C38+(-4),$B$3)+1)*E38+INDEX(Symboles!$G$6:$G$101,MOD(3+$C38+(-3),$B$3)+1)*F38+INDEX(Symboles!$G$6:$G$101,MOD(3+$C38+(-2),$B$3)+1)*G38+INDEX(Symboles!$G$6:$G$101,MOD(3+$C38+(-1),$B$3)+1)*H38+INDEX(Symboles!$G$6:$G$101,MOD(3+$C38+(0),$B$3)+1)*I38+INDEX(Symboles!$G$6:$G$101,MOD(3+$C38+(1),$B$3)+1)*J38+INDEX(Symboles!$G$6:$G$101,MOD(3+$C38+(2),$B$3)+1)*K38+INDEX(Symboles!$G$6:$G$101,MOD(3+$C38+(3),$B$3)+1)*L38+INDEX(Symboles!$G$6:$G$101,MOD(3+$C38+(4),$B$3)+1)*M38+IF($B$6=0,0,$B$6*NORMSINV(0.000001+0.999998*RAND())))</f>
        <v/>
      </c>
      <c r="T38" s="30">
        <f>IF(5&gt;$B$3,99,INDEX(Symboles!$G$6:$G$101,MOD(4+$C38+(-4),$B$3)+1)*E38+INDEX(Symboles!$G$6:$G$101,MOD(4+$C38+(-3),$B$3)+1)*F38+INDEX(Symboles!$G$6:$G$101,MOD(4+$C38+(-2),$B$3)+1)*G38+INDEX(Symboles!$G$6:$G$101,MOD(4+$C38+(-1),$B$3)+1)*H38+INDEX(Symboles!$G$6:$G$101,MOD(4+$C38+(0),$B$3)+1)*I38+INDEX(Symboles!$G$6:$G$101,MOD(4+$C38+(1),$B$3)+1)*J38+INDEX(Symboles!$G$6:$G$101,MOD(4+$C38+(2),$B$3)+1)*K38+INDEX(Symboles!$G$6:$G$101,MOD(4+$C38+(3),$B$3)+1)*L38+INDEX(Symboles!$G$6:$G$101,MOD(4+$C38+(4),$B$3)+1)*M38+IF($B$6=0,0,$B$6*NORMSINV(0.000001+0.999998*RAND())))</f>
        <v/>
      </c>
      <c r="U38" s="30">
        <f>IF(6&gt;$B$3,99,INDEX(Symboles!$G$6:$G$101,MOD(5+$C38+(-4),$B$3)+1)*E38+INDEX(Symboles!$G$6:$G$101,MOD(5+$C38+(-3),$B$3)+1)*F38+INDEX(Symboles!$G$6:$G$101,MOD(5+$C38+(-2),$B$3)+1)*G38+INDEX(Symboles!$G$6:$G$101,MOD(5+$C38+(-1),$B$3)+1)*H38+INDEX(Symboles!$G$6:$G$101,MOD(5+$C38+(0),$B$3)+1)*I38+INDEX(Symboles!$G$6:$G$101,MOD(5+$C38+(1),$B$3)+1)*J38+INDEX(Symboles!$G$6:$G$101,MOD(5+$C38+(2),$B$3)+1)*K38+INDEX(Symboles!$G$6:$G$101,MOD(5+$C38+(3),$B$3)+1)*L38+INDEX(Symboles!$G$6:$G$101,MOD(5+$C38+(4),$B$3)+1)*M38+IF($B$6=0,0,$B$6*NORMSINV(0.000001+0.999998*RAND())))</f>
        <v/>
      </c>
      <c r="V38" s="30">
        <f>IF(7&gt;$B$3,99,INDEX(Symboles!$G$6:$G$101,MOD(6+$C38+(-4),$B$3)+1)*E38+INDEX(Symboles!$G$6:$G$101,MOD(6+$C38+(-3),$B$3)+1)*F38+INDEX(Symboles!$G$6:$G$101,MOD(6+$C38+(-2),$B$3)+1)*G38+INDEX(Symboles!$G$6:$G$101,MOD(6+$C38+(-1),$B$3)+1)*H38+INDEX(Symboles!$G$6:$G$101,MOD(6+$C38+(0),$B$3)+1)*I38+INDEX(Symboles!$G$6:$G$101,MOD(6+$C38+(1),$B$3)+1)*J38+INDEX(Symboles!$G$6:$G$101,MOD(6+$C38+(2),$B$3)+1)*K38+INDEX(Symboles!$G$6:$G$101,MOD(6+$C38+(3),$B$3)+1)*L38+INDEX(Symboles!$G$6:$G$101,MOD(6+$C38+(4),$B$3)+1)*M38+IF($B$6=0,0,$B$6*NORMSINV(0.000001+0.999998*RAND())))</f>
        <v/>
      </c>
      <c r="W38" s="30">
        <f>IF(8&gt;$B$3,99,INDEX(Symboles!$G$6:$G$101,MOD(7+$C38+(-4),$B$3)+1)*E38+INDEX(Symboles!$G$6:$G$101,MOD(7+$C38+(-3),$B$3)+1)*F38+INDEX(Symboles!$G$6:$G$101,MOD(7+$C38+(-2),$B$3)+1)*G38+INDEX(Symboles!$G$6:$G$101,MOD(7+$C38+(-1),$B$3)+1)*H38+INDEX(Symboles!$G$6:$G$101,MOD(7+$C38+(0),$B$3)+1)*I38+INDEX(Symboles!$G$6:$G$101,MOD(7+$C38+(1),$B$3)+1)*J38+INDEX(Symboles!$G$6:$G$101,MOD(7+$C38+(2),$B$3)+1)*K38+INDEX(Symboles!$G$6:$G$101,MOD(7+$C38+(3),$B$3)+1)*L38+INDEX(Symboles!$G$6:$G$101,MOD(7+$C38+(4),$B$3)+1)*M38+IF($B$6=0,0,$B$6*NORMSINV(0.000001+0.999998*RAND())))</f>
        <v/>
      </c>
      <c r="X38" s="30">
        <f>IF(9&gt;$B$3,99,INDEX(Symboles!$G$6:$G$101,MOD(8+$C38+(-4),$B$3)+1)*E38+INDEX(Symboles!$G$6:$G$101,MOD(8+$C38+(-3),$B$3)+1)*F38+INDEX(Symboles!$G$6:$G$101,MOD(8+$C38+(-2),$B$3)+1)*G38+INDEX(Symboles!$G$6:$G$101,MOD(8+$C38+(-1),$B$3)+1)*H38+INDEX(Symboles!$G$6:$G$101,MOD(8+$C38+(0),$B$3)+1)*I38+INDEX(Symboles!$G$6:$G$101,MOD(8+$C38+(1),$B$3)+1)*J38+INDEX(Symboles!$G$6:$G$101,MOD(8+$C38+(2),$B$3)+1)*K38+INDEX(Symboles!$G$6:$G$101,MOD(8+$C38+(3),$B$3)+1)*L38+INDEX(Symboles!$G$6:$G$101,MOD(8+$C38+(4),$B$3)+1)*M38+IF($B$6=0,0,$B$6*NORMSINV(0.000001+0.999998*RAND())))</f>
        <v/>
      </c>
      <c r="Y38" s="30">
        <f>IF(10&gt;$B$3,99,INDEX(Symboles!$G$6:$G$101,MOD(9+$C38+(-4),$B$3)+1)*E38+INDEX(Symboles!$G$6:$G$101,MOD(9+$C38+(-3),$B$3)+1)*F38+INDEX(Symboles!$G$6:$G$101,MOD(9+$C38+(-2),$B$3)+1)*G38+INDEX(Symboles!$G$6:$G$101,MOD(9+$C38+(-1),$B$3)+1)*H38+INDEX(Symboles!$G$6:$G$101,MOD(9+$C38+(0),$B$3)+1)*I38+INDEX(Symboles!$G$6:$G$101,MOD(9+$C38+(1),$B$3)+1)*J38+INDEX(Symboles!$G$6:$G$101,MOD(9+$C38+(2),$B$3)+1)*K38+INDEX(Symboles!$G$6:$G$101,MOD(9+$C38+(3),$B$3)+1)*L38+INDEX(Symboles!$G$6:$G$101,MOD(9+$C38+(4),$B$3)+1)*M38+IF($B$6=0,0,$B$6*NORMSINV(0.000001+0.999998*RAND())))</f>
        <v/>
      </c>
      <c r="Z38" s="30">
        <f>IF(11&gt;$B$3,99,INDEX(Symboles!$G$6:$G$101,MOD(10+$C38+(-4),$B$3)+1)*E38+INDEX(Symboles!$G$6:$G$101,MOD(10+$C38+(-3),$B$3)+1)*F38+INDEX(Symboles!$G$6:$G$101,MOD(10+$C38+(-2),$B$3)+1)*G38+INDEX(Symboles!$G$6:$G$101,MOD(10+$C38+(-1),$B$3)+1)*H38+INDEX(Symboles!$G$6:$G$101,MOD(10+$C38+(0),$B$3)+1)*I38+INDEX(Symboles!$G$6:$G$101,MOD(10+$C38+(1),$B$3)+1)*J38+INDEX(Symboles!$G$6:$G$101,MOD(10+$C38+(2),$B$3)+1)*K38+INDEX(Symboles!$G$6:$G$101,MOD(10+$C38+(3),$B$3)+1)*L38+INDEX(Symboles!$G$6:$G$101,MOD(10+$C38+(4),$B$3)+1)*M38+IF($B$6=0,0,$B$6*NORMSINV(0.000001+0.999998*RAND())))</f>
        <v/>
      </c>
      <c r="AA38" s="30">
        <f>IF(12&gt;$B$3,99,INDEX(Symboles!$G$6:$G$101,MOD(11+$C38+(-4),$B$3)+1)*E38+INDEX(Symboles!$G$6:$G$101,MOD(11+$C38+(-3),$B$3)+1)*F38+INDEX(Symboles!$G$6:$G$101,MOD(11+$C38+(-2),$B$3)+1)*G38+INDEX(Symboles!$G$6:$G$101,MOD(11+$C38+(-1),$B$3)+1)*H38+INDEX(Symboles!$G$6:$G$101,MOD(11+$C38+(0),$B$3)+1)*I38+INDEX(Symboles!$G$6:$G$101,MOD(11+$C38+(1),$B$3)+1)*J38+INDEX(Symboles!$G$6:$G$101,MOD(11+$C38+(2),$B$3)+1)*K38+INDEX(Symboles!$G$6:$G$101,MOD(11+$C38+(3),$B$3)+1)*L38+INDEX(Symboles!$G$6:$G$101,MOD(11+$C38+(4),$B$3)+1)*M38+IF($B$6=0,0,$B$6*NORMSINV(0.000001+0.999998*RAND())))</f>
        <v/>
      </c>
      <c r="AB38" s="30">
        <f>IF(13&gt;$B$3,99,INDEX(Symboles!$G$6:$G$101,MOD(12+$C38+(-4),$B$3)+1)*E38+INDEX(Symboles!$G$6:$G$101,MOD(12+$C38+(-3),$B$3)+1)*F38+INDEX(Symboles!$G$6:$G$101,MOD(12+$C38+(-2),$B$3)+1)*G38+INDEX(Symboles!$G$6:$G$101,MOD(12+$C38+(-1),$B$3)+1)*H38+INDEX(Symboles!$G$6:$G$101,MOD(12+$C38+(0),$B$3)+1)*I38+INDEX(Symboles!$G$6:$G$101,MOD(12+$C38+(1),$B$3)+1)*J38+INDEX(Symboles!$G$6:$G$101,MOD(12+$C38+(2),$B$3)+1)*K38+INDEX(Symboles!$G$6:$G$101,MOD(12+$C38+(3),$B$3)+1)*L38+INDEX(Symboles!$G$6:$G$101,MOD(12+$C38+(4),$B$3)+1)*M38+IF($B$6=0,0,$B$6*NORMSINV(0.000001+0.999998*RAND())))</f>
        <v/>
      </c>
      <c r="AC38" s="30">
        <f>IF(14&gt;$B$3,99,INDEX(Symboles!$G$6:$G$101,MOD(13+$C38+(-4),$B$3)+1)*E38+INDEX(Symboles!$G$6:$G$101,MOD(13+$C38+(-3),$B$3)+1)*F38+INDEX(Symboles!$G$6:$G$101,MOD(13+$C38+(-2),$B$3)+1)*G38+INDEX(Symboles!$G$6:$G$101,MOD(13+$C38+(-1),$B$3)+1)*H38+INDEX(Symboles!$G$6:$G$101,MOD(13+$C38+(0),$B$3)+1)*I38+INDEX(Symboles!$G$6:$G$101,MOD(13+$C38+(1),$B$3)+1)*J38+INDEX(Symboles!$G$6:$G$101,MOD(13+$C38+(2),$B$3)+1)*K38+INDEX(Symboles!$G$6:$G$101,MOD(13+$C38+(3),$B$3)+1)*L38+INDEX(Symboles!$G$6:$G$101,MOD(13+$C38+(4),$B$3)+1)*M38+IF($B$6=0,0,$B$6*NORMSINV(0.000001+0.999998*RAND())))</f>
        <v/>
      </c>
      <c r="AD38" s="30">
        <f>IF(15&gt;$B$3,99,INDEX(Symboles!$G$6:$G$101,MOD(14+$C38+(-4),$B$3)+1)*E38+INDEX(Symboles!$G$6:$G$101,MOD(14+$C38+(-3),$B$3)+1)*F38+INDEX(Symboles!$G$6:$G$101,MOD(14+$C38+(-2),$B$3)+1)*G38+INDEX(Symboles!$G$6:$G$101,MOD(14+$C38+(-1),$B$3)+1)*H38+INDEX(Symboles!$G$6:$G$101,MOD(14+$C38+(0),$B$3)+1)*I38+INDEX(Symboles!$G$6:$G$101,MOD(14+$C38+(1),$B$3)+1)*J38+INDEX(Symboles!$G$6:$G$101,MOD(14+$C38+(2),$B$3)+1)*K38+INDEX(Symboles!$G$6:$G$101,MOD(14+$C38+(3),$B$3)+1)*L38+INDEX(Symboles!$G$6:$G$101,MOD(14+$C38+(4),$B$3)+1)*M38+IF($B$6=0,0,$B$6*NORMSINV(0.000001+0.999998*RAND())))</f>
        <v/>
      </c>
      <c r="AE38" s="30">
        <f>IF(16&gt;$B$3,99,INDEX(Symboles!$G$6:$G$101,MOD(15+$C38+(-4),$B$3)+1)*E38+INDEX(Symboles!$G$6:$G$101,MOD(15+$C38+(-3),$B$3)+1)*F38+INDEX(Symboles!$G$6:$G$101,MOD(15+$C38+(-2),$B$3)+1)*G38+INDEX(Symboles!$G$6:$G$101,MOD(15+$C38+(-1),$B$3)+1)*H38+INDEX(Symboles!$G$6:$G$101,MOD(15+$C38+(0),$B$3)+1)*I38+INDEX(Symboles!$G$6:$G$101,MOD(15+$C38+(1),$B$3)+1)*J38+INDEX(Symboles!$G$6:$G$101,MOD(15+$C38+(2),$B$3)+1)*K38+INDEX(Symboles!$G$6:$G$101,MOD(15+$C38+(3),$B$3)+1)*L38+INDEX(Symboles!$G$6:$G$101,MOD(15+$C38+(4),$B$3)+1)*M38+IF($B$6=0,0,$B$6*NORMSINV(0.000001+0.999998*RAND())))</f>
        <v/>
      </c>
      <c r="AF38" s="30">
        <f>IF(17&gt;$B$3,99,INDEX(Symboles!$G$6:$G$101,MOD(16+$C38+(-4),$B$3)+1)*E38+INDEX(Symboles!$G$6:$G$101,MOD(16+$C38+(-3),$B$3)+1)*F38+INDEX(Symboles!$G$6:$G$101,MOD(16+$C38+(-2),$B$3)+1)*G38+INDEX(Symboles!$G$6:$G$101,MOD(16+$C38+(-1),$B$3)+1)*H38+INDEX(Symboles!$G$6:$G$101,MOD(16+$C38+(0),$B$3)+1)*I38+INDEX(Symboles!$G$6:$G$101,MOD(16+$C38+(1),$B$3)+1)*J38+INDEX(Symboles!$G$6:$G$101,MOD(16+$C38+(2),$B$3)+1)*K38+INDEX(Symboles!$G$6:$G$101,MOD(16+$C38+(3),$B$3)+1)*L38+INDEX(Symboles!$G$6:$G$101,MOD(16+$C38+(4),$B$3)+1)*M38+IF($B$6=0,0,$B$6*NORMSINV(0.000001+0.999998*RAND())))</f>
        <v/>
      </c>
      <c r="AG38" s="30">
        <f>IF(18&gt;$B$3,99,INDEX(Symboles!$G$6:$G$101,MOD(17+$C38+(-4),$B$3)+1)*E38+INDEX(Symboles!$G$6:$G$101,MOD(17+$C38+(-3),$B$3)+1)*F38+INDEX(Symboles!$G$6:$G$101,MOD(17+$C38+(-2),$B$3)+1)*G38+INDEX(Symboles!$G$6:$G$101,MOD(17+$C38+(-1),$B$3)+1)*H38+INDEX(Symboles!$G$6:$G$101,MOD(17+$C38+(0),$B$3)+1)*I38+INDEX(Symboles!$G$6:$G$101,MOD(17+$C38+(1),$B$3)+1)*J38+INDEX(Symboles!$G$6:$G$101,MOD(17+$C38+(2),$B$3)+1)*K38+INDEX(Symboles!$G$6:$G$101,MOD(17+$C38+(3),$B$3)+1)*L38+INDEX(Symboles!$G$6:$G$101,MOD(17+$C38+(4),$B$3)+1)*M38+IF($B$6=0,0,$B$6*NORMSINV(0.000001+0.999998*RAND())))</f>
        <v/>
      </c>
      <c r="AH38" s="30">
        <f>IF(19&gt;$B$3,99,INDEX(Symboles!$G$6:$G$101,MOD(18+$C38+(-4),$B$3)+1)*E38+INDEX(Symboles!$G$6:$G$101,MOD(18+$C38+(-3),$B$3)+1)*F38+INDEX(Symboles!$G$6:$G$101,MOD(18+$C38+(-2),$B$3)+1)*G38+INDEX(Symboles!$G$6:$G$101,MOD(18+$C38+(-1),$B$3)+1)*H38+INDEX(Symboles!$G$6:$G$101,MOD(18+$C38+(0),$B$3)+1)*I38+INDEX(Symboles!$G$6:$G$101,MOD(18+$C38+(1),$B$3)+1)*J38+INDEX(Symboles!$G$6:$G$101,MOD(18+$C38+(2),$B$3)+1)*K38+INDEX(Symboles!$G$6:$G$101,MOD(18+$C38+(3),$B$3)+1)*L38+INDEX(Symboles!$G$6:$G$101,MOD(18+$C38+(4),$B$3)+1)*M38+IF($B$6=0,0,$B$6*NORMSINV(0.000001+0.999998*RAND())))</f>
        <v/>
      </c>
      <c r="AI38" s="30">
        <f>IF(20&gt;$B$3,99,INDEX(Symboles!$G$6:$G$101,MOD(19+$C38+(-4),$B$3)+1)*E38+INDEX(Symboles!$G$6:$G$101,MOD(19+$C38+(-3),$B$3)+1)*F38+INDEX(Symboles!$G$6:$G$101,MOD(19+$C38+(-2),$B$3)+1)*G38+INDEX(Symboles!$G$6:$G$101,MOD(19+$C38+(-1),$B$3)+1)*H38+INDEX(Symboles!$G$6:$G$101,MOD(19+$C38+(0),$B$3)+1)*I38+INDEX(Symboles!$G$6:$G$101,MOD(19+$C38+(1),$B$3)+1)*J38+INDEX(Symboles!$G$6:$G$101,MOD(19+$C38+(2),$B$3)+1)*K38+INDEX(Symboles!$G$6:$G$101,MOD(19+$C38+(3),$B$3)+1)*L38+INDEX(Symboles!$G$6:$G$101,MOD(19+$C38+(4),$B$3)+1)*M38+IF($B$6=0,0,$B$6*NORMSINV(0.000001+0.999998*RAND())))</f>
        <v/>
      </c>
      <c r="AJ38" s="30">
        <f>IF(21&gt;$B$3,99,INDEX(Symboles!$G$6:$G$101,MOD(20+$C38+(-4),$B$3)+1)*E38+INDEX(Symboles!$G$6:$G$101,MOD(20+$C38+(-3),$B$3)+1)*F38+INDEX(Symboles!$G$6:$G$101,MOD(20+$C38+(-2),$B$3)+1)*G38+INDEX(Symboles!$G$6:$G$101,MOD(20+$C38+(-1),$B$3)+1)*H38+INDEX(Symboles!$G$6:$G$101,MOD(20+$C38+(0),$B$3)+1)*I38+INDEX(Symboles!$G$6:$G$101,MOD(20+$C38+(1),$B$3)+1)*J38+INDEX(Symboles!$G$6:$G$101,MOD(20+$C38+(2),$B$3)+1)*K38+INDEX(Symboles!$G$6:$G$101,MOD(20+$C38+(3),$B$3)+1)*L38+INDEX(Symboles!$G$6:$G$101,MOD(20+$C38+(4),$B$3)+1)*M38+IF($B$6=0,0,$B$6*NORMSINV(0.000001+0.999998*RAND())))</f>
        <v/>
      </c>
      <c r="AK38" s="30">
        <f>IF(22&gt;$B$3,99,INDEX(Symboles!$G$6:$G$101,MOD(21+$C38+(-4),$B$3)+1)*E38+INDEX(Symboles!$G$6:$G$101,MOD(21+$C38+(-3),$B$3)+1)*F38+INDEX(Symboles!$G$6:$G$101,MOD(21+$C38+(-2),$B$3)+1)*G38+INDEX(Symboles!$G$6:$G$101,MOD(21+$C38+(-1),$B$3)+1)*H38+INDEX(Symboles!$G$6:$G$101,MOD(21+$C38+(0),$B$3)+1)*I38+INDEX(Symboles!$G$6:$G$101,MOD(21+$C38+(1),$B$3)+1)*J38+INDEX(Symboles!$G$6:$G$101,MOD(21+$C38+(2),$B$3)+1)*K38+INDEX(Symboles!$G$6:$G$101,MOD(21+$C38+(3),$B$3)+1)*L38+INDEX(Symboles!$G$6:$G$101,MOD(21+$C38+(4),$B$3)+1)*M38+IF($B$6=0,0,$B$6*NORMSINV(0.000001+0.999998*RAND())))</f>
        <v/>
      </c>
      <c r="AL38" s="30">
        <f>IF(23&gt;$B$3,99,INDEX(Symboles!$G$6:$G$101,MOD(22+$C38+(-4),$B$3)+1)*E38+INDEX(Symboles!$G$6:$G$101,MOD(22+$C38+(-3),$B$3)+1)*F38+INDEX(Symboles!$G$6:$G$101,MOD(22+$C38+(-2),$B$3)+1)*G38+INDEX(Symboles!$G$6:$G$101,MOD(22+$C38+(-1),$B$3)+1)*H38+INDEX(Symboles!$G$6:$G$101,MOD(22+$C38+(0),$B$3)+1)*I38+INDEX(Symboles!$G$6:$G$101,MOD(22+$C38+(1),$B$3)+1)*J38+INDEX(Symboles!$G$6:$G$101,MOD(22+$C38+(2),$B$3)+1)*K38+INDEX(Symboles!$G$6:$G$101,MOD(22+$C38+(3),$B$3)+1)*L38+INDEX(Symboles!$G$6:$G$101,MOD(22+$C38+(4),$B$3)+1)*M38+IF($B$6=0,0,$B$6*NORMSINV(0.000001+0.999998*RAND())))</f>
        <v/>
      </c>
      <c r="AM38" s="30">
        <f>IF(24&gt;$B$3,99,INDEX(Symboles!$G$6:$G$101,MOD(23+$C38+(-4),$B$3)+1)*E38+INDEX(Symboles!$G$6:$G$101,MOD(23+$C38+(-3),$B$3)+1)*F38+INDEX(Symboles!$G$6:$G$101,MOD(23+$C38+(-2),$B$3)+1)*G38+INDEX(Symboles!$G$6:$G$101,MOD(23+$C38+(-1),$B$3)+1)*H38+INDEX(Symboles!$G$6:$G$101,MOD(23+$C38+(0),$B$3)+1)*I38+INDEX(Symboles!$G$6:$G$101,MOD(23+$C38+(1),$B$3)+1)*J38+INDEX(Symboles!$G$6:$G$101,MOD(23+$C38+(2),$B$3)+1)*K38+INDEX(Symboles!$G$6:$G$101,MOD(23+$C38+(3),$B$3)+1)*L38+INDEX(Symboles!$G$6:$G$101,MOD(23+$C38+(4),$B$3)+1)*M38+IF($B$6=0,0,$B$6*NORMSINV(0.000001+0.999998*RAND())))</f>
        <v/>
      </c>
      <c r="AN38" s="30">
        <f>IF(25&gt;$B$3,99,INDEX(Symboles!$G$6:$G$101,MOD(24+$C38+(-4),$B$3)+1)*E38+INDEX(Symboles!$G$6:$G$101,MOD(24+$C38+(-3),$B$3)+1)*F38+INDEX(Symboles!$G$6:$G$101,MOD(24+$C38+(-2),$B$3)+1)*G38+INDEX(Symboles!$G$6:$G$101,MOD(24+$C38+(-1),$B$3)+1)*H38+INDEX(Symboles!$G$6:$G$101,MOD(24+$C38+(0),$B$3)+1)*I38+INDEX(Symboles!$G$6:$G$101,MOD(24+$C38+(1),$B$3)+1)*J38+INDEX(Symboles!$G$6:$G$101,MOD(24+$C38+(2),$B$3)+1)*K38+INDEX(Symboles!$G$6:$G$101,MOD(24+$C38+(3),$B$3)+1)*L38+INDEX(Symboles!$G$6:$G$101,MOD(24+$C38+(4),$B$3)+1)*M38+IF($B$6=0,0,$B$6*NORMSINV(0.000001+0.999998*RAND())))</f>
        <v/>
      </c>
      <c r="AO38" s="30">
        <f>IF(26&gt;$B$3,99,INDEX(Symboles!$G$6:$G$101,MOD(25+$C38+(-4),$B$3)+1)*E38+INDEX(Symboles!$G$6:$G$101,MOD(25+$C38+(-3),$B$3)+1)*F38+INDEX(Symboles!$G$6:$G$101,MOD(25+$C38+(-2),$B$3)+1)*G38+INDEX(Symboles!$G$6:$G$101,MOD(25+$C38+(-1),$B$3)+1)*H38+INDEX(Symboles!$G$6:$G$101,MOD(25+$C38+(0),$B$3)+1)*I38+INDEX(Symboles!$G$6:$G$101,MOD(25+$C38+(1),$B$3)+1)*J38+INDEX(Symboles!$G$6:$G$101,MOD(25+$C38+(2),$B$3)+1)*K38+INDEX(Symboles!$G$6:$G$101,MOD(25+$C38+(3),$B$3)+1)*L38+INDEX(Symboles!$G$6:$G$101,MOD(25+$C38+(4),$B$3)+1)*M38+IF($B$6=0,0,$B$6*NORMSINV(0.000001+0.999998*RAND())))</f>
        <v/>
      </c>
      <c r="AP38" s="30">
        <f>IF(27&gt;$B$3,99,INDEX(Symboles!$G$6:$G$101,MOD(26+$C38+(-4),$B$3)+1)*E38+INDEX(Symboles!$G$6:$G$101,MOD(26+$C38+(-3),$B$3)+1)*F38+INDEX(Symboles!$G$6:$G$101,MOD(26+$C38+(-2),$B$3)+1)*G38+INDEX(Symboles!$G$6:$G$101,MOD(26+$C38+(-1),$B$3)+1)*H38+INDEX(Symboles!$G$6:$G$101,MOD(26+$C38+(0),$B$3)+1)*I38+INDEX(Symboles!$G$6:$G$101,MOD(26+$C38+(1),$B$3)+1)*J38+INDEX(Symboles!$G$6:$G$101,MOD(26+$C38+(2),$B$3)+1)*K38+INDEX(Symboles!$G$6:$G$101,MOD(26+$C38+(3),$B$3)+1)*L38+INDEX(Symboles!$G$6:$G$101,MOD(26+$C38+(4),$B$3)+1)*M38+IF($B$6=0,0,$B$6*NORMSINV(0.000001+0.999998*RAND())))</f>
        <v/>
      </c>
      <c r="AQ38" s="30">
        <f>IF(28&gt;$B$3,99,INDEX(Symboles!$G$6:$G$101,MOD(27+$C38+(-4),$B$3)+1)*E38+INDEX(Symboles!$G$6:$G$101,MOD(27+$C38+(-3),$B$3)+1)*F38+INDEX(Symboles!$G$6:$G$101,MOD(27+$C38+(-2),$B$3)+1)*G38+INDEX(Symboles!$G$6:$G$101,MOD(27+$C38+(-1),$B$3)+1)*H38+INDEX(Symboles!$G$6:$G$101,MOD(27+$C38+(0),$B$3)+1)*I38+INDEX(Symboles!$G$6:$G$101,MOD(27+$C38+(1),$B$3)+1)*J38+INDEX(Symboles!$G$6:$G$101,MOD(27+$C38+(2),$B$3)+1)*K38+INDEX(Symboles!$G$6:$G$101,MOD(27+$C38+(3),$B$3)+1)*L38+INDEX(Symboles!$G$6:$G$101,MOD(27+$C38+(4),$B$3)+1)*M38+IF($B$6=0,0,$B$6*NORMSINV(0.000001+0.999998*RAND())))</f>
        <v/>
      </c>
      <c r="AR38" s="30">
        <f>IF(29&gt;$B$3,99,INDEX(Symboles!$G$6:$G$101,MOD(28+$C38+(-4),$B$3)+1)*E38+INDEX(Symboles!$G$6:$G$101,MOD(28+$C38+(-3),$B$3)+1)*F38+INDEX(Symboles!$G$6:$G$101,MOD(28+$C38+(-2),$B$3)+1)*G38+INDEX(Symboles!$G$6:$G$101,MOD(28+$C38+(-1),$B$3)+1)*H38+INDEX(Symboles!$G$6:$G$101,MOD(28+$C38+(0),$B$3)+1)*I38+INDEX(Symboles!$G$6:$G$101,MOD(28+$C38+(1),$B$3)+1)*J38+INDEX(Symboles!$G$6:$G$101,MOD(28+$C38+(2),$B$3)+1)*K38+INDEX(Symboles!$G$6:$G$101,MOD(28+$C38+(3),$B$3)+1)*L38+INDEX(Symboles!$G$6:$G$101,MOD(28+$C38+(4),$B$3)+1)*M38+IF($B$6=0,0,$B$6*NORMSINV(0.000001+0.999998*RAND())))</f>
        <v/>
      </c>
      <c r="AS38" s="30">
        <f>IF(30&gt;$B$3,99,INDEX(Symboles!$G$6:$G$101,MOD(29+$C38+(-4),$B$3)+1)*E38+INDEX(Symboles!$G$6:$G$101,MOD(29+$C38+(-3),$B$3)+1)*F38+INDEX(Symboles!$G$6:$G$101,MOD(29+$C38+(-2),$B$3)+1)*G38+INDEX(Symboles!$G$6:$G$101,MOD(29+$C38+(-1),$B$3)+1)*H38+INDEX(Symboles!$G$6:$G$101,MOD(29+$C38+(0),$B$3)+1)*I38+INDEX(Symboles!$G$6:$G$101,MOD(29+$C38+(1),$B$3)+1)*J38+INDEX(Symboles!$G$6:$G$101,MOD(29+$C38+(2),$B$3)+1)*K38+INDEX(Symboles!$G$6:$G$101,MOD(29+$C38+(3),$B$3)+1)*L38+INDEX(Symboles!$G$6:$G$101,MOD(29+$C38+(4),$B$3)+1)*M38+IF($B$6=0,0,$B$6*NORMSINV(0.000001+0.999998*RAND())))</f>
        <v/>
      </c>
      <c r="AT38" s="30">
        <f>IF(31&gt;$B$3,99,INDEX(Symboles!$G$6:$G$101,MOD(30+$C38+(-4),$B$3)+1)*E38+INDEX(Symboles!$G$6:$G$101,MOD(30+$C38+(-3),$B$3)+1)*F38+INDEX(Symboles!$G$6:$G$101,MOD(30+$C38+(-2),$B$3)+1)*G38+INDEX(Symboles!$G$6:$G$101,MOD(30+$C38+(-1),$B$3)+1)*H38+INDEX(Symboles!$G$6:$G$101,MOD(30+$C38+(0),$B$3)+1)*I38+INDEX(Symboles!$G$6:$G$101,MOD(30+$C38+(1),$B$3)+1)*J38+INDEX(Symboles!$G$6:$G$101,MOD(30+$C38+(2),$B$3)+1)*K38+INDEX(Symboles!$G$6:$G$101,MOD(30+$C38+(3),$B$3)+1)*L38+INDEX(Symboles!$G$6:$G$101,MOD(30+$C38+(4),$B$3)+1)*M38+IF($B$6=0,0,$B$6*NORMSINV(0.000001+0.999998*RAND())))</f>
        <v/>
      </c>
      <c r="AU38" s="30">
        <f>IF(32&gt;$B$3,99,INDEX(Symboles!$G$6:$G$101,MOD(31+$C38+(-4),$B$3)+1)*E38+INDEX(Symboles!$G$6:$G$101,MOD(31+$C38+(-3),$B$3)+1)*F38+INDEX(Symboles!$G$6:$G$101,MOD(31+$C38+(-2),$B$3)+1)*G38+INDEX(Symboles!$G$6:$G$101,MOD(31+$C38+(-1),$B$3)+1)*H38+INDEX(Symboles!$G$6:$G$101,MOD(31+$C38+(0),$B$3)+1)*I38+INDEX(Symboles!$G$6:$G$101,MOD(31+$C38+(1),$B$3)+1)*J38+INDEX(Symboles!$G$6:$G$101,MOD(31+$C38+(2),$B$3)+1)*K38+INDEX(Symboles!$G$6:$G$101,MOD(31+$C38+(3),$B$3)+1)*L38+INDEX(Symboles!$G$6:$G$101,MOD(31+$C38+(4),$B$3)+1)*M38+IF($B$6=0,0,$B$6*NORMSINV(0.000001+0.999998*RAND())))</f>
        <v/>
      </c>
      <c r="AV38" s="30">
        <f>IF(33&gt;$B$3,99,INDEX(Symboles!$G$6:$G$101,MOD(32+$C38+(-4),$B$3)+1)*E38+INDEX(Symboles!$G$6:$G$101,MOD(32+$C38+(-3),$B$3)+1)*F38+INDEX(Symboles!$G$6:$G$101,MOD(32+$C38+(-2),$B$3)+1)*G38+INDEX(Symboles!$G$6:$G$101,MOD(32+$C38+(-1),$B$3)+1)*H38+INDEX(Symboles!$G$6:$G$101,MOD(32+$C38+(0),$B$3)+1)*I38+INDEX(Symboles!$G$6:$G$101,MOD(32+$C38+(1),$B$3)+1)*J38+INDEX(Symboles!$G$6:$G$101,MOD(32+$C38+(2),$B$3)+1)*K38+INDEX(Symboles!$G$6:$G$101,MOD(32+$C38+(3),$B$3)+1)*L38+INDEX(Symboles!$G$6:$G$101,MOD(32+$C38+(4),$B$3)+1)*M38+IF($B$6=0,0,$B$6*NORMSINV(0.000001+0.999998*RAND())))</f>
        <v/>
      </c>
      <c r="AW38" s="30">
        <f>IF(34&gt;$B$3,99,INDEX(Symboles!$G$6:$G$101,MOD(33+$C38+(-4),$B$3)+1)*E38+INDEX(Symboles!$G$6:$G$101,MOD(33+$C38+(-3),$B$3)+1)*F38+INDEX(Symboles!$G$6:$G$101,MOD(33+$C38+(-2),$B$3)+1)*G38+INDEX(Symboles!$G$6:$G$101,MOD(33+$C38+(-1),$B$3)+1)*H38+INDEX(Symboles!$G$6:$G$101,MOD(33+$C38+(0),$B$3)+1)*I38+INDEX(Symboles!$G$6:$G$101,MOD(33+$C38+(1),$B$3)+1)*J38+INDEX(Symboles!$G$6:$G$101,MOD(33+$C38+(2),$B$3)+1)*K38+INDEX(Symboles!$G$6:$G$101,MOD(33+$C38+(3),$B$3)+1)*L38+INDEX(Symboles!$G$6:$G$101,MOD(33+$C38+(4),$B$3)+1)*M38+IF($B$6=0,0,$B$6*NORMSINV(0.000001+0.999998*RAND())))</f>
        <v/>
      </c>
      <c r="AX38" s="30">
        <f>IF(35&gt;$B$3,99,INDEX(Symboles!$G$6:$G$101,MOD(34+$C38+(-4),$B$3)+1)*E38+INDEX(Symboles!$G$6:$G$101,MOD(34+$C38+(-3),$B$3)+1)*F38+INDEX(Symboles!$G$6:$G$101,MOD(34+$C38+(-2),$B$3)+1)*G38+INDEX(Symboles!$G$6:$G$101,MOD(34+$C38+(-1),$B$3)+1)*H38+INDEX(Symboles!$G$6:$G$101,MOD(34+$C38+(0),$B$3)+1)*I38+INDEX(Symboles!$G$6:$G$101,MOD(34+$C38+(1),$B$3)+1)*J38+INDEX(Symboles!$G$6:$G$101,MOD(34+$C38+(2),$B$3)+1)*K38+INDEX(Symboles!$G$6:$G$101,MOD(34+$C38+(3),$B$3)+1)*L38+INDEX(Symboles!$G$6:$G$101,MOD(34+$C38+(4),$B$3)+1)*M38+IF($B$6=0,0,$B$6*NORMSINV(0.000001+0.999998*RAND())))</f>
        <v/>
      </c>
      <c r="AY38" s="30">
        <f>IF(36&gt;$B$3,99,INDEX(Symboles!$G$6:$G$101,MOD(35+$C38+(-4),$B$3)+1)*E38+INDEX(Symboles!$G$6:$G$101,MOD(35+$C38+(-3),$B$3)+1)*F38+INDEX(Symboles!$G$6:$G$101,MOD(35+$C38+(-2),$B$3)+1)*G38+INDEX(Symboles!$G$6:$G$101,MOD(35+$C38+(-1),$B$3)+1)*H38+INDEX(Symboles!$G$6:$G$101,MOD(35+$C38+(0),$B$3)+1)*I38+INDEX(Symboles!$G$6:$G$101,MOD(35+$C38+(1),$B$3)+1)*J38+INDEX(Symboles!$G$6:$G$101,MOD(35+$C38+(2),$B$3)+1)*K38+INDEX(Symboles!$G$6:$G$101,MOD(35+$C38+(3),$B$3)+1)*L38+INDEX(Symboles!$G$6:$G$101,MOD(35+$C38+(4),$B$3)+1)*M38+IF($B$6=0,0,$B$6*NORMSINV(0.000001+0.999998*RAND())))</f>
        <v/>
      </c>
      <c r="AZ38" s="30">
        <f>IF(37&gt;$B$3,99,INDEX(Symboles!$G$6:$G$101,MOD(36+$C38+(-4),$B$3)+1)*E38+INDEX(Symboles!$G$6:$G$101,MOD(36+$C38+(-3),$B$3)+1)*F38+INDEX(Symboles!$G$6:$G$101,MOD(36+$C38+(-2),$B$3)+1)*G38+INDEX(Symboles!$G$6:$G$101,MOD(36+$C38+(-1),$B$3)+1)*H38+INDEX(Symboles!$G$6:$G$101,MOD(36+$C38+(0),$B$3)+1)*I38+INDEX(Symboles!$G$6:$G$101,MOD(36+$C38+(1),$B$3)+1)*J38+INDEX(Symboles!$G$6:$G$101,MOD(36+$C38+(2),$B$3)+1)*K38+INDEX(Symboles!$G$6:$G$101,MOD(36+$C38+(3),$B$3)+1)*L38+INDEX(Symboles!$G$6:$G$101,MOD(36+$C38+(4),$B$3)+1)*M38+IF($B$6=0,0,$B$6*NORMSINV(0.000001+0.999998*RAND())))</f>
        <v/>
      </c>
      <c r="BA38" s="30">
        <f>IF(38&gt;$B$3,99,INDEX(Symboles!$G$6:$G$101,MOD(37+$C38+(-4),$B$3)+1)*E38+INDEX(Symboles!$G$6:$G$101,MOD(37+$C38+(-3),$B$3)+1)*F38+INDEX(Symboles!$G$6:$G$101,MOD(37+$C38+(-2),$B$3)+1)*G38+INDEX(Symboles!$G$6:$G$101,MOD(37+$C38+(-1),$B$3)+1)*H38+INDEX(Symboles!$G$6:$G$101,MOD(37+$C38+(0),$B$3)+1)*I38+INDEX(Symboles!$G$6:$G$101,MOD(37+$C38+(1),$B$3)+1)*J38+INDEX(Symboles!$G$6:$G$101,MOD(37+$C38+(2),$B$3)+1)*K38+INDEX(Symboles!$G$6:$G$101,MOD(37+$C38+(3),$B$3)+1)*L38+INDEX(Symboles!$G$6:$G$101,MOD(37+$C38+(4),$B$3)+1)*M38+IF($B$6=0,0,$B$6*NORMSINV(0.000001+0.999998*RAND())))</f>
        <v/>
      </c>
      <c r="BB38" s="30">
        <f>IF(39&gt;$B$3,99,INDEX(Symboles!$G$6:$G$101,MOD(38+$C38+(-4),$B$3)+1)*E38+INDEX(Symboles!$G$6:$G$101,MOD(38+$C38+(-3),$B$3)+1)*F38+INDEX(Symboles!$G$6:$G$101,MOD(38+$C38+(-2),$B$3)+1)*G38+INDEX(Symboles!$G$6:$G$101,MOD(38+$C38+(-1),$B$3)+1)*H38+INDEX(Symboles!$G$6:$G$101,MOD(38+$C38+(0),$B$3)+1)*I38+INDEX(Symboles!$G$6:$G$101,MOD(38+$C38+(1),$B$3)+1)*J38+INDEX(Symboles!$G$6:$G$101,MOD(38+$C38+(2),$B$3)+1)*K38+INDEX(Symboles!$G$6:$G$101,MOD(38+$C38+(3),$B$3)+1)*L38+INDEX(Symboles!$G$6:$G$101,MOD(38+$C38+(4),$B$3)+1)*M38+IF($B$6=0,0,$B$6*NORMSINV(0.000001+0.999998*RAND())))</f>
        <v/>
      </c>
      <c r="BC38" s="30">
        <f>IF(40&gt;$B$3,99,INDEX(Symboles!$G$6:$G$101,MOD(39+$C38+(-4),$B$3)+1)*E38+INDEX(Symboles!$G$6:$G$101,MOD(39+$C38+(-3),$B$3)+1)*F38+INDEX(Symboles!$G$6:$G$101,MOD(39+$C38+(-2),$B$3)+1)*G38+INDEX(Symboles!$G$6:$G$101,MOD(39+$C38+(-1),$B$3)+1)*H38+INDEX(Symboles!$G$6:$G$101,MOD(39+$C38+(0),$B$3)+1)*I38+INDEX(Symboles!$G$6:$G$101,MOD(39+$C38+(1),$B$3)+1)*J38+INDEX(Symboles!$G$6:$G$101,MOD(39+$C38+(2),$B$3)+1)*K38+INDEX(Symboles!$G$6:$G$101,MOD(39+$C38+(3),$B$3)+1)*L38+INDEX(Symboles!$G$6:$G$101,MOD(39+$C38+(4),$B$3)+1)*M38+IF($B$6=0,0,$B$6*NORMSINV(0.000001+0.999998*RAND())))</f>
        <v/>
      </c>
      <c r="BD38" s="30">
        <f>IF(41&gt;$B$3,99,INDEX(Symboles!$G$6:$G$101,MOD(40+$C38+(-4),$B$3)+1)*E38+INDEX(Symboles!$G$6:$G$101,MOD(40+$C38+(-3),$B$3)+1)*F38+INDEX(Symboles!$G$6:$G$101,MOD(40+$C38+(-2),$B$3)+1)*G38+INDEX(Symboles!$G$6:$G$101,MOD(40+$C38+(-1),$B$3)+1)*H38+INDEX(Symboles!$G$6:$G$101,MOD(40+$C38+(0),$B$3)+1)*I38+INDEX(Symboles!$G$6:$G$101,MOD(40+$C38+(1),$B$3)+1)*J38+INDEX(Symboles!$G$6:$G$101,MOD(40+$C38+(2),$B$3)+1)*K38+INDEX(Symboles!$G$6:$G$101,MOD(40+$C38+(3),$B$3)+1)*L38+INDEX(Symboles!$G$6:$G$101,MOD(40+$C38+(4),$B$3)+1)*M38+IF($B$6=0,0,$B$6*NORMSINV(0.000001+0.999998*RAND())))</f>
        <v/>
      </c>
      <c r="BE38" s="30">
        <f>IF(42&gt;$B$3,99,INDEX(Symboles!$G$6:$G$101,MOD(41+$C38+(-4),$B$3)+1)*E38+INDEX(Symboles!$G$6:$G$101,MOD(41+$C38+(-3),$B$3)+1)*F38+INDEX(Symboles!$G$6:$G$101,MOD(41+$C38+(-2),$B$3)+1)*G38+INDEX(Symboles!$G$6:$G$101,MOD(41+$C38+(-1),$B$3)+1)*H38+INDEX(Symboles!$G$6:$G$101,MOD(41+$C38+(0),$B$3)+1)*I38+INDEX(Symboles!$G$6:$G$101,MOD(41+$C38+(1),$B$3)+1)*J38+INDEX(Symboles!$G$6:$G$101,MOD(41+$C38+(2),$B$3)+1)*K38+INDEX(Symboles!$G$6:$G$101,MOD(41+$C38+(3),$B$3)+1)*L38+INDEX(Symboles!$G$6:$G$101,MOD(41+$C38+(4),$B$3)+1)*M38+IF($B$6=0,0,$B$6*NORMSINV(0.000001+0.999998*RAND())))</f>
        <v/>
      </c>
      <c r="BF38" s="30">
        <f>IF(43&gt;$B$3,99,INDEX(Symboles!$G$6:$G$101,MOD(42+$C38+(-4),$B$3)+1)*E38+INDEX(Symboles!$G$6:$G$101,MOD(42+$C38+(-3),$B$3)+1)*F38+INDEX(Symboles!$G$6:$G$101,MOD(42+$C38+(-2),$B$3)+1)*G38+INDEX(Symboles!$G$6:$G$101,MOD(42+$C38+(-1),$B$3)+1)*H38+INDEX(Symboles!$G$6:$G$101,MOD(42+$C38+(0),$B$3)+1)*I38+INDEX(Symboles!$G$6:$G$101,MOD(42+$C38+(1),$B$3)+1)*J38+INDEX(Symboles!$G$6:$G$101,MOD(42+$C38+(2),$B$3)+1)*K38+INDEX(Symboles!$G$6:$G$101,MOD(42+$C38+(3),$B$3)+1)*L38+INDEX(Symboles!$G$6:$G$101,MOD(42+$C38+(4),$B$3)+1)*M38+IF($B$6=0,0,$B$6*NORMSINV(0.000001+0.999998*RAND())))</f>
        <v/>
      </c>
      <c r="BG38" s="30">
        <f>IF(44&gt;$B$3,99,INDEX(Symboles!$G$6:$G$101,MOD(43+$C38+(-4),$B$3)+1)*E38+INDEX(Symboles!$G$6:$G$101,MOD(43+$C38+(-3),$B$3)+1)*F38+INDEX(Symboles!$G$6:$G$101,MOD(43+$C38+(-2),$B$3)+1)*G38+INDEX(Symboles!$G$6:$G$101,MOD(43+$C38+(-1),$B$3)+1)*H38+INDEX(Symboles!$G$6:$G$101,MOD(43+$C38+(0),$B$3)+1)*I38+INDEX(Symboles!$G$6:$G$101,MOD(43+$C38+(1),$B$3)+1)*J38+INDEX(Symboles!$G$6:$G$101,MOD(43+$C38+(2),$B$3)+1)*K38+INDEX(Symboles!$G$6:$G$101,MOD(43+$C38+(3),$B$3)+1)*L38+INDEX(Symboles!$G$6:$G$101,MOD(43+$C38+(4),$B$3)+1)*M38+IF($B$6=0,0,$B$6*NORMSINV(0.000001+0.999998*RAND())))</f>
        <v/>
      </c>
      <c r="BH38" s="30">
        <f>IF(45&gt;$B$3,99,INDEX(Symboles!$G$6:$G$101,MOD(44+$C38+(-4),$B$3)+1)*E38+INDEX(Symboles!$G$6:$G$101,MOD(44+$C38+(-3),$B$3)+1)*F38+INDEX(Symboles!$G$6:$G$101,MOD(44+$C38+(-2),$B$3)+1)*G38+INDEX(Symboles!$G$6:$G$101,MOD(44+$C38+(-1),$B$3)+1)*H38+INDEX(Symboles!$G$6:$G$101,MOD(44+$C38+(0),$B$3)+1)*I38+INDEX(Symboles!$G$6:$G$101,MOD(44+$C38+(1),$B$3)+1)*J38+INDEX(Symboles!$G$6:$G$101,MOD(44+$C38+(2),$B$3)+1)*K38+INDEX(Symboles!$G$6:$G$101,MOD(44+$C38+(3),$B$3)+1)*L38+INDEX(Symboles!$G$6:$G$101,MOD(44+$C38+(4),$B$3)+1)*M38+IF($B$6=0,0,$B$6*NORMSINV(0.000001+0.999998*RAND())))</f>
        <v/>
      </c>
      <c r="BI38" s="30">
        <f>IF(46&gt;$B$3,99,INDEX(Symboles!$G$6:$G$101,MOD(45+$C38+(-4),$B$3)+1)*E38+INDEX(Symboles!$G$6:$G$101,MOD(45+$C38+(-3),$B$3)+1)*F38+INDEX(Symboles!$G$6:$G$101,MOD(45+$C38+(-2),$B$3)+1)*G38+INDEX(Symboles!$G$6:$G$101,MOD(45+$C38+(-1),$B$3)+1)*H38+INDEX(Symboles!$G$6:$G$101,MOD(45+$C38+(0),$B$3)+1)*I38+INDEX(Symboles!$G$6:$G$101,MOD(45+$C38+(1),$B$3)+1)*J38+INDEX(Symboles!$G$6:$G$101,MOD(45+$C38+(2),$B$3)+1)*K38+INDEX(Symboles!$G$6:$G$101,MOD(45+$C38+(3),$B$3)+1)*L38+INDEX(Symboles!$G$6:$G$101,MOD(45+$C38+(4),$B$3)+1)*M38+IF($B$6=0,0,$B$6*NORMSINV(0.000001+0.999998*RAND())))</f>
        <v/>
      </c>
      <c r="BJ38" s="30">
        <f>IF(47&gt;$B$3,99,INDEX(Symboles!$G$6:$G$101,MOD(46+$C38+(-4),$B$3)+1)*E38+INDEX(Symboles!$G$6:$G$101,MOD(46+$C38+(-3),$B$3)+1)*F38+INDEX(Symboles!$G$6:$G$101,MOD(46+$C38+(-2),$B$3)+1)*G38+INDEX(Symboles!$G$6:$G$101,MOD(46+$C38+(-1),$B$3)+1)*H38+INDEX(Symboles!$G$6:$G$101,MOD(46+$C38+(0),$B$3)+1)*I38+INDEX(Symboles!$G$6:$G$101,MOD(46+$C38+(1),$B$3)+1)*J38+INDEX(Symboles!$G$6:$G$101,MOD(46+$C38+(2),$B$3)+1)*K38+INDEX(Symboles!$G$6:$G$101,MOD(46+$C38+(3),$B$3)+1)*L38+INDEX(Symboles!$G$6:$G$101,MOD(46+$C38+(4),$B$3)+1)*M38+IF($B$6=0,0,$B$6*NORMSINV(0.000001+0.999998*RAND())))</f>
        <v/>
      </c>
      <c r="BK38" s="30">
        <f>IF(48&gt;$B$3,99,INDEX(Symboles!$G$6:$G$101,MOD(47+$C38+(-4),$B$3)+1)*E38+INDEX(Symboles!$G$6:$G$101,MOD(47+$C38+(-3),$B$3)+1)*F38+INDEX(Symboles!$G$6:$G$101,MOD(47+$C38+(-2),$B$3)+1)*G38+INDEX(Symboles!$G$6:$G$101,MOD(47+$C38+(-1),$B$3)+1)*H38+INDEX(Symboles!$G$6:$G$101,MOD(47+$C38+(0),$B$3)+1)*I38+INDEX(Symboles!$G$6:$G$101,MOD(47+$C38+(1),$B$3)+1)*J38+INDEX(Symboles!$G$6:$G$101,MOD(47+$C38+(2),$B$3)+1)*K38+INDEX(Symboles!$G$6:$G$101,MOD(47+$C38+(3),$B$3)+1)*L38+INDEX(Symboles!$G$6:$G$101,MOD(47+$C38+(4),$B$3)+1)*M38+IF($B$6=0,0,$B$6*NORMSINV(0.000001+0.999998*RAND())))</f>
        <v/>
      </c>
      <c r="BL38" s="30">
        <f>IF(49&gt;$B$3,99,INDEX(Symboles!$G$6:$G$101,MOD(48+$C38+(-4),$B$3)+1)*E38+INDEX(Symboles!$G$6:$G$101,MOD(48+$C38+(-3),$B$3)+1)*F38+INDEX(Symboles!$G$6:$G$101,MOD(48+$C38+(-2),$B$3)+1)*G38+INDEX(Symboles!$G$6:$G$101,MOD(48+$C38+(-1),$B$3)+1)*H38+INDEX(Symboles!$G$6:$G$101,MOD(48+$C38+(0),$B$3)+1)*I38+INDEX(Symboles!$G$6:$G$101,MOD(48+$C38+(1),$B$3)+1)*J38+INDEX(Symboles!$G$6:$G$101,MOD(48+$C38+(2),$B$3)+1)*K38+INDEX(Symboles!$G$6:$G$101,MOD(48+$C38+(3),$B$3)+1)*L38+INDEX(Symboles!$G$6:$G$101,MOD(48+$C38+(4),$B$3)+1)*M38+IF($B$6=0,0,$B$6*NORMSINV(0.000001+0.999998*RAND())))</f>
        <v/>
      </c>
      <c r="BM38" s="30">
        <f>IF(50&gt;$B$3,99,INDEX(Symboles!$G$6:$G$101,MOD(49+$C38+(-4),$B$3)+1)*E38+INDEX(Symboles!$G$6:$G$101,MOD(49+$C38+(-3),$B$3)+1)*F38+INDEX(Symboles!$G$6:$G$101,MOD(49+$C38+(-2),$B$3)+1)*G38+INDEX(Symboles!$G$6:$G$101,MOD(49+$C38+(-1),$B$3)+1)*H38+INDEX(Symboles!$G$6:$G$101,MOD(49+$C38+(0),$B$3)+1)*I38+INDEX(Symboles!$G$6:$G$101,MOD(49+$C38+(1),$B$3)+1)*J38+INDEX(Symboles!$G$6:$G$101,MOD(49+$C38+(2),$B$3)+1)*K38+INDEX(Symboles!$G$6:$G$101,MOD(49+$C38+(3),$B$3)+1)*L38+INDEX(Symboles!$G$6:$G$101,MOD(49+$C38+(4),$B$3)+1)*M38+IF($B$6=0,0,$B$6*NORMSINV(0.000001+0.999998*RAND())))</f>
        <v/>
      </c>
      <c r="BN38" s="30">
        <f>IF(51&gt;$B$3,99,INDEX(Symboles!$G$6:$G$101,MOD(50+$C38+(-4),$B$3)+1)*E38+INDEX(Symboles!$G$6:$G$101,MOD(50+$C38+(-3),$B$3)+1)*F38+INDEX(Symboles!$G$6:$G$101,MOD(50+$C38+(-2),$B$3)+1)*G38+INDEX(Symboles!$G$6:$G$101,MOD(50+$C38+(-1),$B$3)+1)*H38+INDEX(Symboles!$G$6:$G$101,MOD(50+$C38+(0),$B$3)+1)*I38+INDEX(Symboles!$G$6:$G$101,MOD(50+$C38+(1),$B$3)+1)*J38+INDEX(Symboles!$G$6:$G$101,MOD(50+$C38+(2),$B$3)+1)*K38+INDEX(Symboles!$G$6:$G$101,MOD(50+$C38+(3),$B$3)+1)*L38+INDEX(Symboles!$G$6:$G$101,MOD(50+$C38+(4),$B$3)+1)*M38+IF($B$6=0,0,$B$6*NORMSINV(0.000001+0.999998*RAND())))</f>
        <v/>
      </c>
      <c r="BO38" s="30">
        <f>IF(52&gt;$B$3,99,INDEX(Symboles!$G$6:$G$101,MOD(51+$C38+(-4),$B$3)+1)*E38+INDEX(Symboles!$G$6:$G$101,MOD(51+$C38+(-3),$B$3)+1)*F38+INDEX(Symboles!$G$6:$G$101,MOD(51+$C38+(-2),$B$3)+1)*G38+INDEX(Symboles!$G$6:$G$101,MOD(51+$C38+(-1),$B$3)+1)*H38+INDEX(Symboles!$G$6:$G$101,MOD(51+$C38+(0),$B$3)+1)*I38+INDEX(Symboles!$G$6:$G$101,MOD(51+$C38+(1),$B$3)+1)*J38+INDEX(Symboles!$G$6:$G$101,MOD(51+$C38+(2),$B$3)+1)*K38+INDEX(Symboles!$G$6:$G$101,MOD(51+$C38+(3),$B$3)+1)*L38+INDEX(Symboles!$G$6:$G$101,MOD(51+$C38+(4),$B$3)+1)*M38+IF($B$6=0,0,$B$6*NORMSINV(0.000001+0.999998*RAND())))</f>
        <v/>
      </c>
      <c r="BP38" s="30">
        <f>IF(53&gt;$B$3,99,INDEX(Symboles!$G$6:$G$101,MOD(52+$C38+(-4),$B$3)+1)*E38+INDEX(Symboles!$G$6:$G$101,MOD(52+$C38+(-3),$B$3)+1)*F38+INDEX(Symboles!$G$6:$G$101,MOD(52+$C38+(-2),$B$3)+1)*G38+INDEX(Symboles!$G$6:$G$101,MOD(52+$C38+(-1),$B$3)+1)*H38+INDEX(Symboles!$G$6:$G$101,MOD(52+$C38+(0),$B$3)+1)*I38+INDEX(Symboles!$G$6:$G$101,MOD(52+$C38+(1),$B$3)+1)*J38+INDEX(Symboles!$G$6:$G$101,MOD(52+$C38+(2),$B$3)+1)*K38+INDEX(Symboles!$G$6:$G$101,MOD(52+$C38+(3),$B$3)+1)*L38+INDEX(Symboles!$G$6:$G$101,MOD(52+$C38+(4),$B$3)+1)*M38+IF($B$6=0,0,$B$6*NORMSINV(0.000001+0.999998*RAND())))</f>
        <v/>
      </c>
      <c r="BQ38" s="30">
        <f>IF(54&gt;$B$3,99,INDEX(Symboles!$G$6:$G$101,MOD(53+$C38+(-4),$B$3)+1)*E38+INDEX(Symboles!$G$6:$G$101,MOD(53+$C38+(-3),$B$3)+1)*F38+INDEX(Symboles!$G$6:$G$101,MOD(53+$C38+(-2),$B$3)+1)*G38+INDEX(Symboles!$G$6:$G$101,MOD(53+$C38+(-1),$B$3)+1)*H38+INDEX(Symboles!$G$6:$G$101,MOD(53+$C38+(0),$B$3)+1)*I38+INDEX(Symboles!$G$6:$G$101,MOD(53+$C38+(1),$B$3)+1)*J38+INDEX(Symboles!$G$6:$G$101,MOD(53+$C38+(2),$B$3)+1)*K38+INDEX(Symboles!$G$6:$G$101,MOD(53+$C38+(3),$B$3)+1)*L38+INDEX(Symboles!$G$6:$G$101,MOD(53+$C38+(4),$B$3)+1)*M38+IF($B$6=0,0,$B$6*NORMSINV(0.000001+0.999998*RAND())))</f>
        <v/>
      </c>
      <c r="BR38" s="30">
        <f>IF(55&gt;$B$3,99,INDEX(Symboles!$G$6:$G$101,MOD(54+$C38+(-4),$B$3)+1)*E38+INDEX(Symboles!$G$6:$G$101,MOD(54+$C38+(-3),$B$3)+1)*F38+INDEX(Symboles!$G$6:$G$101,MOD(54+$C38+(-2),$B$3)+1)*G38+INDEX(Symboles!$G$6:$G$101,MOD(54+$C38+(-1),$B$3)+1)*H38+INDEX(Symboles!$G$6:$G$101,MOD(54+$C38+(0),$B$3)+1)*I38+INDEX(Symboles!$G$6:$G$101,MOD(54+$C38+(1),$B$3)+1)*J38+INDEX(Symboles!$G$6:$G$101,MOD(54+$C38+(2),$B$3)+1)*K38+INDEX(Symboles!$G$6:$G$101,MOD(54+$C38+(3),$B$3)+1)*L38+INDEX(Symboles!$G$6:$G$101,MOD(54+$C38+(4),$B$3)+1)*M38+IF($B$6=0,0,$B$6*NORMSINV(0.000001+0.999998*RAND())))</f>
        <v/>
      </c>
      <c r="BS38" s="30">
        <f>IF(56&gt;$B$3,99,INDEX(Symboles!$G$6:$G$101,MOD(55+$C38+(-4),$B$3)+1)*E38+INDEX(Symboles!$G$6:$G$101,MOD(55+$C38+(-3),$B$3)+1)*F38+INDEX(Symboles!$G$6:$G$101,MOD(55+$C38+(-2),$B$3)+1)*G38+INDEX(Symboles!$G$6:$G$101,MOD(55+$C38+(-1),$B$3)+1)*H38+INDEX(Symboles!$G$6:$G$101,MOD(55+$C38+(0),$B$3)+1)*I38+INDEX(Symboles!$G$6:$G$101,MOD(55+$C38+(1),$B$3)+1)*J38+INDEX(Symboles!$G$6:$G$101,MOD(55+$C38+(2),$B$3)+1)*K38+INDEX(Symboles!$G$6:$G$101,MOD(55+$C38+(3),$B$3)+1)*L38+INDEX(Symboles!$G$6:$G$101,MOD(55+$C38+(4),$B$3)+1)*M38+IF($B$6=0,0,$B$6*NORMSINV(0.000001+0.999998*RAND())))</f>
        <v/>
      </c>
      <c r="BT38" s="30">
        <f>IF(57&gt;$B$3,99,INDEX(Symboles!$G$6:$G$101,MOD(56+$C38+(-4),$B$3)+1)*E38+INDEX(Symboles!$G$6:$G$101,MOD(56+$C38+(-3),$B$3)+1)*F38+INDEX(Symboles!$G$6:$G$101,MOD(56+$C38+(-2),$B$3)+1)*G38+INDEX(Symboles!$G$6:$G$101,MOD(56+$C38+(-1),$B$3)+1)*H38+INDEX(Symboles!$G$6:$G$101,MOD(56+$C38+(0),$B$3)+1)*I38+INDEX(Symboles!$G$6:$G$101,MOD(56+$C38+(1),$B$3)+1)*J38+INDEX(Symboles!$G$6:$G$101,MOD(56+$C38+(2),$B$3)+1)*K38+INDEX(Symboles!$G$6:$G$101,MOD(56+$C38+(3),$B$3)+1)*L38+INDEX(Symboles!$G$6:$G$101,MOD(56+$C38+(4),$B$3)+1)*M38+IF($B$6=0,0,$B$6*NORMSINV(0.000001+0.999998*RAND())))</f>
        <v/>
      </c>
      <c r="BU38" s="30">
        <f>IF(58&gt;$B$3,99,INDEX(Symboles!$G$6:$G$101,MOD(57+$C38+(-4),$B$3)+1)*E38+INDEX(Symboles!$G$6:$G$101,MOD(57+$C38+(-3),$B$3)+1)*F38+INDEX(Symboles!$G$6:$G$101,MOD(57+$C38+(-2),$B$3)+1)*G38+INDEX(Symboles!$G$6:$G$101,MOD(57+$C38+(-1),$B$3)+1)*H38+INDEX(Symboles!$G$6:$G$101,MOD(57+$C38+(0),$B$3)+1)*I38+INDEX(Symboles!$G$6:$G$101,MOD(57+$C38+(1),$B$3)+1)*J38+INDEX(Symboles!$G$6:$G$101,MOD(57+$C38+(2),$B$3)+1)*K38+INDEX(Symboles!$G$6:$G$101,MOD(57+$C38+(3),$B$3)+1)*L38+INDEX(Symboles!$G$6:$G$101,MOD(57+$C38+(4),$B$3)+1)*M38+IF($B$6=0,0,$B$6*NORMSINV(0.000001+0.999998*RAND())))</f>
        <v/>
      </c>
      <c r="BV38" s="30">
        <f>IF(59&gt;$B$3,99,INDEX(Symboles!$G$6:$G$101,MOD(58+$C38+(-4),$B$3)+1)*E38+INDEX(Symboles!$G$6:$G$101,MOD(58+$C38+(-3),$B$3)+1)*F38+INDEX(Symboles!$G$6:$G$101,MOD(58+$C38+(-2),$B$3)+1)*G38+INDEX(Symboles!$G$6:$G$101,MOD(58+$C38+(-1),$B$3)+1)*H38+INDEX(Symboles!$G$6:$G$101,MOD(58+$C38+(0),$B$3)+1)*I38+INDEX(Symboles!$G$6:$G$101,MOD(58+$C38+(1),$B$3)+1)*J38+INDEX(Symboles!$G$6:$G$101,MOD(58+$C38+(2),$B$3)+1)*K38+INDEX(Symboles!$G$6:$G$101,MOD(58+$C38+(3),$B$3)+1)*L38+INDEX(Symboles!$G$6:$G$101,MOD(58+$C38+(4),$B$3)+1)*M38+IF($B$6=0,0,$B$6*NORMSINV(0.000001+0.999998*RAND())))</f>
        <v/>
      </c>
      <c r="BW38" s="30">
        <f>IF(60&gt;$B$3,99,INDEX(Symboles!$G$6:$G$101,MOD(59+$C38+(-4),$B$3)+1)*E38+INDEX(Symboles!$G$6:$G$101,MOD(59+$C38+(-3),$B$3)+1)*F38+INDEX(Symboles!$G$6:$G$101,MOD(59+$C38+(-2),$B$3)+1)*G38+INDEX(Symboles!$G$6:$G$101,MOD(59+$C38+(-1),$B$3)+1)*H38+INDEX(Symboles!$G$6:$G$101,MOD(59+$C38+(0),$B$3)+1)*I38+INDEX(Symboles!$G$6:$G$101,MOD(59+$C38+(1),$B$3)+1)*J38+INDEX(Symboles!$G$6:$G$101,MOD(59+$C38+(2),$B$3)+1)*K38+INDEX(Symboles!$G$6:$G$101,MOD(59+$C38+(3),$B$3)+1)*L38+INDEX(Symboles!$G$6:$G$101,MOD(59+$C38+(4),$B$3)+1)*M38+IF($B$6=0,0,$B$6*NORMSINV(0.000001+0.999998*RAND())))</f>
        <v/>
      </c>
      <c r="BX38" s="30">
        <f>IF(61&gt;$B$3,99,INDEX(Symboles!$G$6:$G$101,MOD(60+$C38+(-4),$B$3)+1)*E38+INDEX(Symboles!$G$6:$G$101,MOD(60+$C38+(-3),$B$3)+1)*F38+INDEX(Symboles!$G$6:$G$101,MOD(60+$C38+(-2),$B$3)+1)*G38+INDEX(Symboles!$G$6:$G$101,MOD(60+$C38+(-1),$B$3)+1)*H38+INDEX(Symboles!$G$6:$G$101,MOD(60+$C38+(0),$B$3)+1)*I38+INDEX(Symboles!$G$6:$G$101,MOD(60+$C38+(1),$B$3)+1)*J38+INDEX(Symboles!$G$6:$G$101,MOD(60+$C38+(2),$B$3)+1)*K38+INDEX(Symboles!$G$6:$G$101,MOD(60+$C38+(3),$B$3)+1)*L38+INDEX(Symboles!$G$6:$G$101,MOD(60+$C38+(4),$B$3)+1)*M38+IF($B$6=0,0,$B$6*NORMSINV(0.000001+0.999998*RAND())))</f>
        <v/>
      </c>
      <c r="BY38" s="30">
        <f>IF(62&gt;$B$3,99,INDEX(Symboles!$G$6:$G$101,MOD(61+$C38+(-4),$B$3)+1)*E38+INDEX(Symboles!$G$6:$G$101,MOD(61+$C38+(-3),$B$3)+1)*F38+INDEX(Symboles!$G$6:$G$101,MOD(61+$C38+(-2),$B$3)+1)*G38+INDEX(Symboles!$G$6:$G$101,MOD(61+$C38+(-1),$B$3)+1)*H38+INDEX(Symboles!$G$6:$G$101,MOD(61+$C38+(0),$B$3)+1)*I38+INDEX(Symboles!$G$6:$G$101,MOD(61+$C38+(1),$B$3)+1)*J38+INDEX(Symboles!$G$6:$G$101,MOD(61+$C38+(2),$B$3)+1)*K38+INDEX(Symboles!$G$6:$G$101,MOD(61+$C38+(3),$B$3)+1)*L38+INDEX(Symboles!$G$6:$G$101,MOD(61+$C38+(4),$B$3)+1)*M38+IF($B$6=0,0,$B$6*NORMSINV(0.000001+0.999998*RAND())))</f>
        <v/>
      </c>
      <c r="BZ38" s="30">
        <f>IF(63&gt;$B$3,99,INDEX(Symboles!$G$6:$G$101,MOD(62+$C38+(-4),$B$3)+1)*E38+INDEX(Symboles!$G$6:$G$101,MOD(62+$C38+(-3),$B$3)+1)*F38+INDEX(Symboles!$G$6:$G$101,MOD(62+$C38+(-2),$B$3)+1)*G38+INDEX(Symboles!$G$6:$G$101,MOD(62+$C38+(-1),$B$3)+1)*H38+INDEX(Symboles!$G$6:$G$101,MOD(62+$C38+(0),$B$3)+1)*I38+INDEX(Symboles!$G$6:$G$101,MOD(62+$C38+(1),$B$3)+1)*J38+INDEX(Symboles!$G$6:$G$101,MOD(62+$C38+(2),$B$3)+1)*K38+INDEX(Symboles!$G$6:$G$101,MOD(62+$C38+(3),$B$3)+1)*L38+INDEX(Symboles!$G$6:$G$101,MOD(62+$C38+(4),$B$3)+1)*M38+IF($B$6=0,0,$B$6*NORMSINV(0.000001+0.999998*RAND())))</f>
        <v/>
      </c>
      <c r="CA38" s="30">
        <f>IF(64&gt;$B$3,99,INDEX(Symboles!$G$6:$G$101,MOD(63+$C38+(-4),$B$3)+1)*E38+INDEX(Symboles!$G$6:$G$101,MOD(63+$C38+(-3),$B$3)+1)*F38+INDEX(Symboles!$G$6:$G$101,MOD(63+$C38+(-2),$B$3)+1)*G38+INDEX(Symboles!$G$6:$G$101,MOD(63+$C38+(-1),$B$3)+1)*H38+INDEX(Symboles!$G$6:$G$101,MOD(63+$C38+(0),$B$3)+1)*I38+INDEX(Symboles!$G$6:$G$101,MOD(63+$C38+(1),$B$3)+1)*J38+INDEX(Symboles!$G$6:$G$101,MOD(63+$C38+(2),$B$3)+1)*K38+INDEX(Symboles!$G$6:$G$101,MOD(63+$C38+(3),$B$3)+1)*L38+INDEX(Symboles!$G$6:$G$101,MOD(63+$C38+(4),$B$3)+1)*M38+IF($B$6=0,0,$B$6*NORMSINV(0.000001+0.999998*RAND())))</f>
        <v/>
      </c>
      <c r="CB38" s="30">
        <f>IF(65&gt;$B$3,99,INDEX(Symboles!$G$6:$G$101,MOD(64+$C38+(-4),$B$3)+1)*E38+INDEX(Symboles!$G$6:$G$101,MOD(64+$C38+(-3),$B$3)+1)*F38+INDEX(Symboles!$G$6:$G$101,MOD(64+$C38+(-2),$B$3)+1)*G38+INDEX(Symboles!$G$6:$G$101,MOD(64+$C38+(-1),$B$3)+1)*H38+INDEX(Symboles!$G$6:$G$101,MOD(64+$C38+(0),$B$3)+1)*I38+INDEX(Symboles!$G$6:$G$101,MOD(64+$C38+(1),$B$3)+1)*J38+INDEX(Symboles!$G$6:$G$101,MOD(64+$C38+(2),$B$3)+1)*K38+INDEX(Symboles!$G$6:$G$101,MOD(64+$C38+(3),$B$3)+1)*L38+INDEX(Symboles!$G$6:$G$101,MOD(64+$C38+(4),$B$3)+1)*M38+IF($B$6=0,0,$B$6*NORMSINV(0.000001+0.999998*RAND())))</f>
        <v/>
      </c>
      <c r="CC38" s="30">
        <f>IF(66&gt;$B$3,99,INDEX(Symboles!$G$6:$G$101,MOD(65+$C38+(-4),$B$3)+1)*E38+INDEX(Symboles!$G$6:$G$101,MOD(65+$C38+(-3),$B$3)+1)*F38+INDEX(Symboles!$G$6:$G$101,MOD(65+$C38+(-2),$B$3)+1)*G38+INDEX(Symboles!$G$6:$G$101,MOD(65+$C38+(-1),$B$3)+1)*H38+INDEX(Symboles!$G$6:$G$101,MOD(65+$C38+(0),$B$3)+1)*I38+INDEX(Symboles!$G$6:$G$101,MOD(65+$C38+(1),$B$3)+1)*J38+INDEX(Symboles!$G$6:$G$101,MOD(65+$C38+(2),$B$3)+1)*K38+INDEX(Symboles!$G$6:$G$101,MOD(65+$C38+(3),$B$3)+1)*L38+INDEX(Symboles!$G$6:$G$101,MOD(65+$C38+(4),$B$3)+1)*M38+IF($B$6=0,0,$B$6*NORMSINV(0.000001+0.999998*RAND())))</f>
        <v/>
      </c>
      <c r="CD38" s="30">
        <f>IF(67&gt;$B$3,99,INDEX(Symboles!$G$6:$G$101,MOD(66+$C38+(-4),$B$3)+1)*E38+INDEX(Symboles!$G$6:$G$101,MOD(66+$C38+(-3),$B$3)+1)*F38+INDEX(Symboles!$G$6:$G$101,MOD(66+$C38+(-2),$B$3)+1)*G38+INDEX(Symboles!$G$6:$G$101,MOD(66+$C38+(-1),$B$3)+1)*H38+INDEX(Symboles!$G$6:$G$101,MOD(66+$C38+(0),$B$3)+1)*I38+INDEX(Symboles!$G$6:$G$101,MOD(66+$C38+(1),$B$3)+1)*J38+INDEX(Symboles!$G$6:$G$101,MOD(66+$C38+(2),$B$3)+1)*K38+INDEX(Symboles!$G$6:$G$101,MOD(66+$C38+(3),$B$3)+1)*L38+INDEX(Symboles!$G$6:$G$101,MOD(66+$C38+(4),$B$3)+1)*M38+IF($B$6=0,0,$B$6*NORMSINV(0.000001+0.999998*RAND())))</f>
        <v/>
      </c>
      <c r="CE38" s="30">
        <f>IF(68&gt;$B$3,99,INDEX(Symboles!$G$6:$G$101,MOD(67+$C38+(-4),$B$3)+1)*E38+INDEX(Symboles!$G$6:$G$101,MOD(67+$C38+(-3),$B$3)+1)*F38+INDEX(Symboles!$G$6:$G$101,MOD(67+$C38+(-2),$B$3)+1)*G38+INDEX(Symboles!$G$6:$G$101,MOD(67+$C38+(-1),$B$3)+1)*H38+INDEX(Symboles!$G$6:$G$101,MOD(67+$C38+(0),$B$3)+1)*I38+INDEX(Symboles!$G$6:$G$101,MOD(67+$C38+(1),$B$3)+1)*J38+INDEX(Symboles!$G$6:$G$101,MOD(67+$C38+(2),$B$3)+1)*K38+INDEX(Symboles!$G$6:$G$101,MOD(67+$C38+(3),$B$3)+1)*L38+INDEX(Symboles!$G$6:$G$101,MOD(67+$C38+(4),$B$3)+1)*M38+IF($B$6=0,0,$B$6*NORMSINV(0.000001+0.999998*RAND())))</f>
        <v/>
      </c>
      <c r="CF38" s="30">
        <f>IF(69&gt;$B$3,99,INDEX(Symboles!$G$6:$G$101,MOD(68+$C38+(-4),$B$3)+1)*E38+INDEX(Symboles!$G$6:$G$101,MOD(68+$C38+(-3),$B$3)+1)*F38+INDEX(Symboles!$G$6:$G$101,MOD(68+$C38+(-2),$B$3)+1)*G38+INDEX(Symboles!$G$6:$G$101,MOD(68+$C38+(-1),$B$3)+1)*H38+INDEX(Symboles!$G$6:$G$101,MOD(68+$C38+(0),$B$3)+1)*I38+INDEX(Symboles!$G$6:$G$101,MOD(68+$C38+(1),$B$3)+1)*J38+INDEX(Symboles!$G$6:$G$101,MOD(68+$C38+(2),$B$3)+1)*K38+INDEX(Symboles!$G$6:$G$101,MOD(68+$C38+(3),$B$3)+1)*L38+INDEX(Symboles!$G$6:$G$101,MOD(68+$C38+(4),$B$3)+1)*M38+IF($B$6=0,0,$B$6*NORMSINV(0.000001+0.999998*RAND())))</f>
        <v/>
      </c>
      <c r="CG38" s="30">
        <f>IF(70&gt;$B$3,99,INDEX(Symboles!$G$6:$G$101,MOD(69+$C38+(-4),$B$3)+1)*E38+INDEX(Symboles!$G$6:$G$101,MOD(69+$C38+(-3),$B$3)+1)*F38+INDEX(Symboles!$G$6:$G$101,MOD(69+$C38+(-2),$B$3)+1)*G38+INDEX(Symboles!$G$6:$G$101,MOD(69+$C38+(-1),$B$3)+1)*H38+INDEX(Symboles!$G$6:$G$101,MOD(69+$C38+(0),$B$3)+1)*I38+INDEX(Symboles!$G$6:$G$101,MOD(69+$C38+(1),$B$3)+1)*J38+INDEX(Symboles!$G$6:$G$101,MOD(69+$C38+(2),$B$3)+1)*K38+INDEX(Symboles!$G$6:$G$101,MOD(69+$C38+(3),$B$3)+1)*L38+INDEX(Symboles!$G$6:$G$101,MOD(69+$C38+(4),$B$3)+1)*M38+IF($B$6=0,0,$B$6*NORMSINV(0.000001+0.999998*RAND())))</f>
        <v/>
      </c>
      <c r="CH38" s="30">
        <f>IF(71&gt;$B$3,99,INDEX(Symboles!$G$6:$G$101,MOD(70+$C38+(-4),$B$3)+1)*E38+INDEX(Symboles!$G$6:$G$101,MOD(70+$C38+(-3),$B$3)+1)*F38+INDEX(Symboles!$G$6:$G$101,MOD(70+$C38+(-2),$B$3)+1)*G38+INDEX(Symboles!$G$6:$G$101,MOD(70+$C38+(-1),$B$3)+1)*H38+INDEX(Symboles!$G$6:$G$101,MOD(70+$C38+(0),$B$3)+1)*I38+INDEX(Symboles!$G$6:$G$101,MOD(70+$C38+(1),$B$3)+1)*J38+INDEX(Symboles!$G$6:$G$101,MOD(70+$C38+(2),$B$3)+1)*K38+INDEX(Symboles!$G$6:$G$101,MOD(70+$C38+(3),$B$3)+1)*L38+INDEX(Symboles!$G$6:$G$101,MOD(70+$C38+(4),$B$3)+1)*M38+IF($B$6=0,0,$B$6*NORMSINV(0.000001+0.999998*RAND())))</f>
        <v/>
      </c>
      <c r="CI38" s="30">
        <f>IF(72&gt;$B$3,99,INDEX(Symboles!$G$6:$G$101,MOD(71+$C38+(-4),$B$3)+1)*E38+INDEX(Symboles!$G$6:$G$101,MOD(71+$C38+(-3),$B$3)+1)*F38+INDEX(Symboles!$G$6:$G$101,MOD(71+$C38+(-2),$B$3)+1)*G38+INDEX(Symboles!$G$6:$G$101,MOD(71+$C38+(-1),$B$3)+1)*H38+INDEX(Symboles!$G$6:$G$101,MOD(71+$C38+(0),$B$3)+1)*I38+INDEX(Symboles!$G$6:$G$101,MOD(71+$C38+(1),$B$3)+1)*J38+INDEX(Symboles!$G$6:$G$101,MOD(71+$C38+(2),$B$3)+1)*K38+INDEX(Symboles!$G$6:$G$101,MOD(71+$C38+(3),$B$3)+1)*L38+INDEX(Symboles!$G$6:$G$101,MOD(71+$C38+(4),$B$3)+1)*M38+IF($B$6=0,0,$B$6*NORMSINV(0.000001+0.999998*RAND())))</f>
        <v/>
      </c>
      <c r="CJ38" s="30">
        <f>IF(73&gt;$B$3,99,INDEX(Symboles!$G$6:$G$101,MOD(72+$C38+(-4),$B$3)+1)*E38+INDEX(Symboles!$G$6:$G$101,MOD(72+$C38+(-3),$B$3)+1)*F38+INDEX(Symboles!$G$6:$G$101,MOD(72+$C38+(-2),$B$3)+1)*G38+INDEX(Symboles!$G$6:$G$101,MOD(72+$C38+(-1),$B$3)+1)*H38+INDEX(Symboles!$G$6:$G$101,MOD(72+$C38+(0),$B$3)+1)*I38+INDEX(Symboles!$G$6:$G$101,MOD(72+$C38+(1),$B$3)+1)*J38+INDEX(Symboles!$G$6:$G$101,MOD(72+$C38+(2),$B$3)+1)*K38+INDEX(Symboles!$G$6:$G$101,MOD(72+$C38+(3),$B$3)+1)*L38+INDEX(Symboles!$G$6:$G$101,MOD(72+$C38+(4),$B$3)+1)*M38+IF($B$6=0,0,$B$6*NORMSINV(0.000001+0.999998*RAND())))</f>
        <v/>
      </c>
      <c r="CK38" s="30">
        <f>IF(74&gt;$B$3,99,INDEX(Symboles!$G$6:$G$101,MOD(73+$C38+(-4),$B$3)+1)*E38+INDEX(Symboles!$G$6:$G$101,MOD(73+$C38+(-3),$B$3)+1)*F38+INDEX(Symboles!$G$6:$G$101,MOD(73+$C38+(-2),$B$3)+1)*G38+INDEX(Symboles!$G$6:$G$101,MOD(73+$C38+(-1),$B$3)+1)*H38+INDEX(Symboles!$G$6:$G$101,MOD(73+$C38+(0),$B$3)+1)*I38+INDEX(Symboles!$G$6:$G$101,MOD(73+$C38+(1),$B$3)+1)*J38+INDEX(Symboles!$G$6:$G$101,MOD(73+$C38+(2),$B$3)+1)*K38+INDEX(Symboles!$G$6:$G$101,MOD(73+$C38+(3),$B$3)+1)*L38+INDEX(Symboles!$G$6:$G$101,MOD(73+$C38+(4),$B$3)+1)*M38+IF($B$6=0,0,$B$6*NORMSINV(0.000001+0.999998*RAND())))</f>
        <v/>
      </c>
      <c r="CL38" s="30">
        <f>IF(75&gt;$B$3,99,INDEX(Symboles!$G$6:$G$101,MOD(74+$C38+(-4),$B$3)+1)*E38+INDEX(Symboles!$G$6:$G$101,MOD(74+$C38+(-3),$B$3)+1)*F38+INDEX(Symboles!$G$6:$G$101,MOD(74+$C38+(-2),$B$3)+1)*G38+INDEX(Symboles!$G$6:$G$101,MOD(74+$C38+(-1),$B$3)+1)*H38+INDEX(Symboles!$G$6:$G$101,MOD(74+$C38+(0),$B$3)+1)*I38+INDEX(Symboles!$G$6:$G$101,MOD(74+$C38+(1),$B$3)+1)*J38+INDEX(Symboles!$G$6:$G$101,MOD(74+$C38+(2),$B$3)+1)*K38+INDEX(Symboles!$G$6:$G$101,MOD(74+$C38+(3),$B$3)+1)*L38+INDEX(Symboles!$G$6:$G$101,MOD(74+$C38+(4),$B$3)+1)*M38+IF($B$6=0,0,$B$6*NORMSINV(0.000001+0.999998*RAND())))</f>
        <v/>
      </c>
      <c r="CM38" s="30">
        <f>IF(76&gt;$B$3,99,INDEX(Symboles!$G$6:$G$101,MOD(75+$C38+(-4),$B$3)+1)*E38+INDEX(Symboles!$G$6:$G$101,MOD(75+$C38+(-3),$B$3)+1)*F38+INDEX(Symboles!$G$6:$G$101,MOD(75+$C38+(-2),$B$3)+1)*G38+INDEX(Symboles!$G$6:$G$101,MOD(75+$C38+(-1),$B$3)+1)*H38+INDEX(Symboles!$G$6:$G$101,MOD(75+$C38+(0),$B$3)+1)*I38+INDEX(Symboles!$G$6:$G$101,MOD(75+$C38+(1),$B$3)+1)*J38+INDEX(Symboles!$G$6:$G$101,MOD(75+$C38+(2),$B$3)+1)*K38+INDEX(Symboles!$G$6:$G$101,MOD(75+$C38+(3),$B$3)+1)*L38+INDEX(Symboles!$G$6:$G$101,MOD(75+$C38+(4),$B$3)+1)*M38+IF($B$6=0,0,$B$6*NORMSINV(0.000001+0.999998*RAND())))</f>
        <v/>
      </c>
      <c r="CN38" s="30">
        <f>IF(77&gt;$B$3,99,INDEX(Symboles!$G$6:$G$101,MOD(76+$C38+(-4),$B$3)+1)*E38+INDEX(Symboles!$G$6:$G$101,MOD(76+$C38+(-3),$B$3)+1)*F38+INDEX(Symboles!$G$6:$G$101,MOD(76+$C38+(-2),$B$3)+1)*G38+INDEX(Symboles!$G$6:$G$101,MOD(76+$C38+(-1),$B$3)+1)*H38+INDEX(Symboles!$G$6:$G$101,MOD(76+$C38+(0),$B$3)+1)*I38+INDEX(Symboles!$G$6:$G$101,MOD(76+$C38+(1),$B$3)+1)*J38+INDEX(Symboles!$G$6:$G$101,MOD(76+$C38+(2),$B$3)+1)*K38+INDEX(Symboles!$G$6:$G$101,MOD(76+$C38+(3),$B$3)+1)*L38+INDEX(Symboles!$G$6:$G$101,MOD(76+$C38+(4),$B$3)+1)*M38+IF($B$6=0,0,$B$6*NORMSINV(0.000001+0.999998*RAND())))</f>
        <v/>
      </c>
      <c r="CO38" s="30">
        <f>IF(78&gt;$B$3,99,INDEX(Symboles!$G$6:$G$101,MOD(77+$C38+(-4),$B$3)+1)*E38+INDEX(Symboles!$G$6:$G$101,MOD(77+$C38+(-3),$B$3)+1)*F38+INDEX(Symboles!$G$6:$G$101,MOD(77+$C38+(-2),$B$3)+1)*G38+INDEX(Symboles!$G$6:$G$101,MOD(77+$C38+(-1),$B$3)+1)*H38+INDEX(Symboles!$G$6:$G$101,MOD(77+$C38+(0),$B$3)+1)*I38+INDEX(Symboles!$G$6:$G$101,MOD(77+$C38+(1),$B$3)+1)*J38+INDEX(Symboles!$G$6:$G$101,MOD(77+$C38+(2),$B$3)+1)*K38+INDEX(Symboles!$G$6:$G$101,MOD(77+$C38+(3),$B$3)+1)*L38+INDEX(Symboles!$G$6:$G$101,MOD(77+$C38+(4),$B$3)+1)*M38+IF($B$6=0,0,$B$6*NORMSINV(0.000001+0.999998*RAND())))</f>
        <v/>
      </c>
      <c r="CP38" s="30">
        <f>IF(79&gt;$B$3,99,INDEX(Symboles!$G$6:$G$101,MOD(78+$C38+(-4),$B$3)+1)*E38+INDEX(Symboles!$G$6:$G$101,MOD(78+$C38+(-3),$B$3)+1)*F38+INDEX(Symboles!$G$6:$G$101,MOD(78+$C38+(-2),$B$3)+1)*G38+INDEX(Symboles!$G$6:$G$101,MOD(78+$C38+(-1),$B$3)+1)*H38+INDEX(Symboles!$G$6:$G$101,MOD(78+$C38+(0),$B$3)+1)*I38+INDEX(Symboles!$G$6:$G$101,MOD(78+$C38+(1),$B$3)+1)*J38+INDEX(Symboles!$G$6:$G$101,MOD(78+$C38+(2),$B$3)+1)*K38+INDEX(Symboles!$G$6:$G$101,MOD(78+$C38+(3),$B$3)+1)*L38+INDEX(Symboles!$G$6:$G$101,MOD(78+$C38+(4),$B$3)+1)*M38+IF($B$6=0,0,$B$6*NORMSINV(0.000001+0.999998*RAND())))</f>
        <v/>
      </c>
      <c r="CQ38" s="30">
        <f>IF(80&gt;$B$3,99,INDEX(Symboles!$G$6:$G$101,MOD(79+$C38+(-4),$B$3)+1)*E38+INDEX(Symboles!$G$6:$G$101,MOD(79+$C38+(-3),$B$3)+1)*F38+INDEX(Symboles!$G$6:$G$101,MOD(79+$C38+(-2),$B$3)+1)*G38+INDEX(Symboles!$G$6:$G$101,MOD(79+$C38+(-1),$B$3)+1)*H38+INDEX(Symboles!$G$6:$G$101,MOD(79+$C38+(0),$B$3)+1)*I38+INDEX(Symboles!$G$6:$G$101,MOD(79+$C38+(1),$B$3)+1)*J38+INDEX(Symboles!$G$6:$G$101,MOD(79+$C38+(2),$B$3)+1)*K38+INDEX(Symboles!$G$6:$G$101,MOD(79+$C38+(3),$B$3)+1)*L38+INDEX(Symboles!$G$6:$G$101,MOD(79+$C38+(4),$B$3)+1)*M38+IF($B$6=0,0,$B$6*NORMSINV(0.000001+0.999998*RAND())))</f>
        <v/>
      </c>
      <c r="CR38" s="30">
        <f>IF(81&gt;$B$3,99,INDEX(Symboles!$G$6:$G$101,MOD(80+$C38+(-4),$B$3)+1)*E38+INDEX(Symboles!$G$6:$G$101,MOD(80+$C38+(-3),$B$3)+1)*F38+INDEX(Symboles!$G$6:$G$101,MOD(80+$C38+(-2),$B$3)+1)*G38+INDEX(Symboles!$G$6:$G$101,MOD(80+$C38+(-1),$B$3)+1)*H38+INDEX(Symboles!$G$6:$G$101,MOD(80+$C38+(0),$B$3)+1)*I38+INDEX(Symboles!$G$6:$G$101,MOD(80+$C38+(1),$B$3)+1)*J38+INDEX(Symboles!$G$6:$G$101,MOD(80+$C38+(2),$B$3)+1)*K38+INDEX(Symboles!$G$6:$G$101,MOD(80+$C38+(3),$B$3)+1)*L38+INDEX(Symboles!$G$6:$G$101,MOD(80+$C38+(4),$B$3)+1)*M38+IF($B$6=0,0,$B$6*NORMSINV(0.000001+0.999998*RAND())))</f>
        <v/>
      </c>
      <c r="CS38" s="30">
        <f>IF(82&gt;$B$3,99,INDEX(Symboles!$G$6:$G$101,MOD(81+$C38+(-4),$B$3)+1)*E38+INDEX(Symboles!$G$6:$G$101,MOD(81+$C38+(-3),$B$3)+1)*F38+INDEX(Symboles!$G$6:$G$101,MOD(81+$C38+(-2),$B$3)+1)*G38+INDEX(Symboles!$G$6:$G$101,MOD(81+$C38+(-1),$B$3)+1)*H38+INDEX(Symboles!$G$6:$G$101,MOD(81+$C38+(0),$B$3)+1)*I38+INDEX(Symboles!$G$6:$G$101,MOD(81+$C38+(1),$B$3)+1)*J38+INDEX(Symboles!$G$6:$G$101,MOD(81+$C38+(2),$B$3)+1)*K38+INDEX(Symboles!$G$6:$G$101,MOD(81+$C38+(3),$B$3)+1)*L38+INDEX(Symboles!$G$6:$G$101,MOD(81+$C38+(4),$B$3)+1)*M38+IF($B$6=0,0,$B$6*NORMSINV(0.000001+0.999998*RAND())))</f>
        <v/>
      </c>
      <c r="CT38" s="30">
        <f>IF(83&gt;$B$3,99,INDEX(Symboles!$G$6:$G$101,MOD(82+$C38+(-4),$B$3)+1)*E38+INDEX(Symboles!$G$6:$G$101,MOD(82+$C38+(-3),$B$3)+1)*F38+INDEX(Symboles!$G$6:$G$101,MOD(82+$C38+(-2),$B$3)+1)*G38+INDEX(Symboles!$G$6:$G$101,MOD(82+$C38+(-1),$B$3)+1)*H38+INDEX(Symboles!$G$6:$G$101,MOD(82+$C38+(0),$B$3)+1)*I38+INDEX(Symboles!$G$6:$G$101,MOD(82+$C38+(1),$B$3)+1)*J38+INDEX(Symboles!$G$6:$G$101,MOD(82+$C38+(2),$B$3)+1)*K38+INDEX(Symboles!$G$6:$G$101,MOD(82+$C38+(3),$B$3)+1)*L38+INDEX(Symboles!$G$6:$G$101,MOD(82+$C38+(4),$B$3)+1)*M38+IF($B$6=0,0,$B$6*NORMSINV(0.000001+0.999998*RAND())))</f>
        <v/>
      </c>
      <c r="CU38" s="30">
        <f>IF(84&gt;$B$3,99,INDEX(Symboles!$G$6:$G$101,MOD(83+$C38+(-4),$B$3)+1)*E38+INDEX(Symboles!$G$6:$G$101,MOD(83+$C38+(-3),$B$3)+1)*F38+INDEX(Symboles!$G$6:$G$101,MOD(83+$C38+(-2),$B$3)+1)*G38+INDEX(Symboles!$G$6:$G$101,MOD(83+$C38+(-1),$B$3)+1)*H38+INDEX(Symboles!$G$6:$G$101,MOD(83+$C38+(0),$B$3)+1)*I38+INDEX(Symboles!$G$6:$G$101,MOD(83+$C38+(1),$B$3)+1)*J38+INDEX(Symboles!$G$6:$G$101,MOD(83+$C38+(2),$B$3)+1)*K38+INDEX(Symboles!$G$6:$G$101,MOD(83+$C38+(3),$B$3)+1)*L38+INDEX(Symboles!$G$6:$G$101,MOD(83+$C38+(4),$B$3)+1)*M38+IF($B$6=0,0,$B$6*NORMSINV(0.000001+0.999998*RAND())))</f>
        <v/>
      </c>
      <c r="CV38" s="30">
        <f>IF(85&gt;$B$3,99,INDEX(Symboles!$G$6:$G$101,MOD(84+$C38+(-4),$B$3)+1)*E38+INDEX(Symboles!$G$6:$G$101,MOD(84+$C38+(-3),$B$3)+1)*F38+INDEX(Symboles!$G$6:$G$101,MOD(84+$C38+(-2),$B$3)+1)*G38+INDEX(Symboles!$G$6:$G$101,MOD(84+$C38+(-1),$B$3)+1)*H38+INDEX(Symboles!$G$6:$G$101,MOD(84+$C38+(0),$B$3)+1)*I38+INDEX(Symboles!$G$6:$G$101,MOD(84+$C38+(1),$B$3)+1)*J38+INDEX(Symboles!$G$6:$G$101,MOD(84+$C38+(2),$B$3)+1)*K38+INDEX(Symboles!$G$6:$G$101,MOD(84+$C38+(3),$B$3)+1)*L38+INDEX(Symboles!$G$6:$G$101,MOD(84+$C38+(4),$B$3)+1)*M38+IF($B$6=0,0,$B$6*NORMSINV(0.000001+0.999998*RAND())))</f>
        <v/>
      </c>
      <c r="CW38" s="30">
        <f>IF(86&gt;$B$3,99,INDEX(Symboles!$G$6:$G$101,MOD(85+$C38+(-4),$B$3)+1)*E38+INDEX(Symboles!$G$6:$G$101,MOD(85+$C38+(-3),$B$3)+1)*F38+INDEX(Symboles!$G$6:$G$101,MOD(85+$C38+(-2),$B$3)+1)*G38+INDEX(Symboles!$G$6:$G$101,MOD(85+$C38+(-1),$B$3)+1)*H38+INDEX(Symboles!$G$6:$G$101,MOD(85+$C38+(0),$B$3)+1)*I38+INDEX(Symboles!$G$6:$G$101,MOD(85+$C38+(1),$B$3)+1)*J38+INDEX(Symboles!$G$6:$G$101,MOD(85+$C38+(2),$B$3)+1)*K38+INDEX(Symboles!$G$6:$G$101,MOD(85+$C38+(3),$B$3)+1)*L38+INDEX(Symboles!$G$6:$G$101,MOD(85+$C38+(4),$B$3)+1)*M38+IF($B$6=0,0,$B$6*NORMSINV(0.000001+0.999998*RAND())))</f>
        <v/>
      </c>
      <c r="CX38" s="30">
        <f>IF(87&gt;$B$3,99,INDEX(Symboles!$G$6:$G$101,MOD(86+$C38+(-4),$B$3)+1)*E38+INDEX(Symboles!$G$6:$G$101,MOD(86+$C38+(-3),$B$3)+1)*F38+INDEX(Symboles!$G$6:$G$101,MOD(86+$C38+(-2),$B$3)+1)*G38+INDEX(Symboles!$G$6:$G$101,MOD(86+$C38+(-1),$B$3)+1)*H38+INDEX(Symboles!$G$6:$G$101,MOD(86+$C38+(0),$B$3)+1)*I38+INDEX(Symboles!$G$6:$G$101,MOD(86+$C38+(1),$B$3)+1)*J38+INDEX(Symboles!$G$6:$G$101,MOD(86+$C38+(2),$B$3)+1)*K38+INDEX(Symboles!$G$6:$G$101,MOD(86+$C38+(3),$B$3)+1)*L38+INDEX(Symboles!$G$6:$G$101,MOD(86+$C38+(4),$B$3)+1)*M38+IF($B$6=0,0,$B$6*NORMSINV(0.000001+0.999998*RAND())))</f>
        <v/>
      </c>
      <c r="CY38" s="30">
        <f>IF(88&gt;$B$3,99,INDEX(Symboles!$G$6:$G$101,MOD(87+$C38+(-4),$B$3)+1)*E38+INDEX(Symboles!$G$6:$G$101,MOD(87+$C38+(-3),$B$3)+1)*F38+INDEX(Symboles!$G$6:$G$101,MOD(87+$C38+(-2),$B$3)+1)*G38+INDEX(Symboles!$G$6:$G$101,MOD(87+$C38+(-1),$B$3)+1)*H38+INDEX(Symboles!$G$6:$G$101,MOD(87+$C38+(0),$B$3)+1)*I38+INDEX(Symboles!$G$6:$G$101,MOD(87+$C38+(1),$B$3)+1)*J38+INDEX(Symboles!$G$6:$G$101,MOD(87+$C38+(2),$B$3)+1)*K38+INDEX(Symboles!$G$6:$G$101,MOD(87+$C38+(3),$B$3)+1)*L38+INDEX(Symboles!$G$6:$G$101,MOD(87+$C38+(4),$B$3)+1)*M38+IF($B$6=0,0,$B$6*NORMSINV(0.000001+0.999998*RAND())))</f>
        <v/>
      </c>
      <c r="CZ38" s="30">
        <f>IF(89&gt;$B$3,99,INDEX(Symboles!$G$6:$G$101,MOD(88+$C38+(-4),$B$3)+1)*E38+INDEX(Symboles!$G$6:$G$101,MOD(88+$C38+(-3),$B$3)+1)*F38+INDEX(Symboles!$G$6:$G$101,MOD(88+$C38+(-2),$B$3)+1)*G38+INDEX(Symboles!$G$6:$G$101,MOD(88+$C38+(-1),$B$3)+1)*H38+INDEX(Symboles!$G$6:$G$101,MOD(88+$C38+(0),$B$3)+1)*I38+INDEX(Symboles!$G$6:$G$101,MOD(88+$C38+(1),$B$3)+1)*J38+INDEX(Symboles!$G$6:$G$101,MOD(88+$C38+(2),$B$3)+1)*K38+INDEX(Symboles!$G$6:$G$101,MOD(88+$C38+(3),$B$3)+1)*L38+INDEX(Symboles!$G$6:$G$101,MOD(88+$C38+(4),$B$3)+1)*M38+IF($B$6=0,0,$B$6*NORMSINV(0.000001+0.999998*RAND())))</f>
        <v/>
      </c>
      <c r="DA38" s="30">
        <f>IF(90&gt;$B$3,99,INDEX(Symboles!$G$6:$G$101,MOD(89+$C38+(-4),$B$3)+1)*E38+INDEX(Symboles!$G$6:$G$101,MOD(89+$C38+(-3),$B$3)+1)*F38+INDEX(Symboles!$G$6:$G$101,MOD(89+$C38+(-2),$B$3)+1)*G38+INDEX(Symboles!$G$6:$G$101,MOD(89+$C38+(-1),$B$3)+1)*H38+INDEX(Symboles!$G$6:$G$101,MOD(89+$C38+(0),$B$3)+1)*I38+INDEX(Symboles!$G$6:$G$101,MOD(89+$C38+(1),$B$3)+1)*J38+INDEX(Symboles!$G$6:$G$101,MOD(89+$C38+(2),$B$3)+1)*K38+INDEX(Symboles!$G$6:$G$101,MOD(89+$C38+(3),$B$3)+1)*L38+INDEX(Symboles!$G$6:$G$101,MOD(89+$C38+(4),$B$3)+1)*M38+IF($B$6=0,0,$B$6*NORMSINV(0.000001+0.999998*RAND())))</f>
        <v/>
      </c>
      <c r="DB38" s="30">
        <f>IF(91&gt;$B$3,99,INDEX(Symboles!$G$6:$G$101,MOD(90+$C38+(-4),$B$3)+1)*E38+INDEX(Symboles!$G$6:$G$101,MOD(90+$C38+(-3),$B$3)+1)*F38+INDEX(Symboles!$G$6:$G$101,MOD(90+$C38+(-2),$B$3)+1)*G38+INDEX(Symboles!$G$6:$G$101,MOD(90+$C38+(-1),$B$3)+1)*H38+INDEX(Symboles!$G$6:$G$101,MOD(90+$C38+(0),$B$3)+1)*I38+INDEX(Symboles!$G$6:$G$101,MOD(90+$C38+(1),$B$3)+1)*J38+INDEX(Symboles!$G$6:$G$101,MOD(90+$C38+(2),$B$3)+1)*K38+INDEX(Symboles!$G$6:$G$101,MOD(90+$C38+(3),$B$3)+1)*L38+INDEX(Symboles!$G$6:$G$101,MOD(90+$C38+(4),$B$3)+1)*M38+IF($B$6=0,0,$B$6*NORMSINV(0.000001+0.999998*RAND())))</f>
        <v/>
      </c>
      <c r="DC38" s="30">
        <f>IF(92&gt;$B$3,99,INDEX(Symboles!$G$6:$G$101,MOD(91+$C38+(-4),$B$3)+1)*E38+INDEX(Symboles!$G$6:$G$101,MOD(91+$C38+(-3),$B$3)+1)*F38+INDEX(Symboles!$G$6:$G$101,MOD(91+$C38+(-2),$B$3)+1)*G38+INDEX(Symboles!$G$6:$G$101,MOD(91+$C38+(-1),$B$3)+1)*H38+INDEX(Symboles!$G$6:$G$101,MOD(91+$C38+(0),$B$3)+1)*I38+INDEX(Symboles!$G$6:$G$101,MOD(91+$C38+(1),$B$3)+1)*J38+INDEX(Symboles!$G$6:$G$101,MOD(91+$C38+(2),$B$3)+1)*K38+INDEX(Symboles!$G$6:$G$101,MOD(91+$C38+(3),$B$3)+1)*L38+INDEX(Symboles!$G$6:$G$101,MOD(91+$C38+(4),$B$3)+1)*M38+IF($B$6=0,0,$B$6*NORMSINV(0.000001+0.999998*RAND())))</f>
        <v/>
      </c>
      <c r="DD38" s="30">
        <f>IF(93&gt;$B$3,99,INDEX(Symboles!$G$6:$G$101,MOD(92+$C38+(-4),$B$3)+1)*E38+INDEX(Symboles!$G$6:$G$101,MOD(92+$C38+(-3),$B$3)+1)*F38+INDEX(Symboles!$G$6:$G$101,MOD(92+$C38+(-2),$B$3)+1)*G38+INDEX(Symboles!$G$6:$G$101,MOD(92+$C38+(-1),$B$3)+1)*H38+INDEX(Symboles!$G$6:$G$101,MOD(92+$C38+(0),$B$3)+1)*I38+INDEX(Symboles!$G$6:$G$101,MOD(92+$C38+(1),$B$3)+1)*J38+INDEX(Symboles!$G$6:$G$101,MOD(92+$C38+(2),$B$3)+1)*K38+INDEX(Symboles!$G$6:$G$101,MOD(92+$C38+(3),$B$3)+1)*L38+INDEX(Symboles!$G$6:$G$101,MOD(92+$C38+(4),$B$3)+1)*M38+IF($B$6=0,0,$B$6*NORMSINV(0.000001+0.999998*RAND())))</f>
        <v/>
      </c>
      <c r="DE38" s="30">
        <f>IF(94&gt;$B$3,99,INDEX(Symboles!$G$6:$G$101,MOD(93+$C38+(-4),$B$3)+1)*E38+INDEX(Symboles!$G$6:$G$101,MOD(93+$C38+(-3),$B$3)+1)*F38+INDEX(Symboles!$G$6:$G$101,MOD(93+$C38+(-2),$B$3)+1)*G38+INDEX(Symboles!$G$6:$G$101,MOD(93+$C38+(-1),$B$3)+1)*H38+INDEX(Symboles!$G$6:$G$101,MOD(93+$C38+(0),$B$3)+1)*I38+INDEX(Symboles!$G$6:$G$101,MOD(93+$C38+(1),$B$3)+1)*J38+INDEX(Symboles!$G$6:$G$101,MOD(93+$C38+(2),$B$3)+1)*K38+INDEX(Symboles!$G$6:$G$101,MOD(93+$C38+(3),$B$3)+1)*L38+INDEX(Symboles!$G$6:$G$101,MOD(93+$C38+(4),$B$3)+1)*M38+IF($B$6=0,0,$B$6*NORMSINV(0.000001+0.999998*RAND())))</f>
        <v/>
      </c>
      <c r="DF38" s="30">
        <f>IF(95&gt;$B$3,99,INDEX(Symboles!$G$6:$G$101,MOD(94+$C38+(-4),$B$3)+1)*E38+INDEX(Symboles!$G$6:$G$101,MOD(94+$C38+(-3),$B$3)+1)*F38+INDEX(Symboles!$G$6:$G$101,MOD(94+$C38+(-2),$B$3)+1)*G38+INDEX(Symboles!$G$6:$G$101,MOD(94+$C38+(-1),$B$3)+1)*H38+INDEX(Symboles!$G$6:$G$101,MOD(94+$C38+(0),$B$3)+1)*I38+INDEX(Symboles!$G$6:$G$101,MOD(94+$C38+(1),$B$3)+1)*J38+INDEX(Symboles!$G$6:$G$101,MOD(94+$C38+(2),$B$3)+1)*K38+INDEX(Symboles!$G$6:$G$101,MOD(94+$C38+(3),$B$3)+1)*L38+INDEX(Symboles!$G$6:$G$101,MOD(94+$C38+(4),$B$3)+1)*M38+IF($B$6=0,0,$B$6*NORMSINV(0.000001+0.999998*RAND())))</f>
        <v/>
      </c>
      <c r="DG38" s="30">
        <f>IF(96&gt;$B$3,99,INDEX(Symboles!$G$6:$G$101,MOD(95+$C38+(-4),$B$3)+1)*E38+INDEX(Symboles!$G$6:$G$101,MOD(95+$C38+(-3),$B$3)+1)*F38+INDEX(Symboles!$G$6:$G$101,MOD(95+$C38+(-2),$B$3)+1)*G38+INDEX(Symboles!$G$6:$G$101,MOD(95+$C38+(-1),$B$3)+1)*H38+INDEX(Symboles!$G$6:$G$101,MOD(95+$C38+(0),$B$3)+1)*I38+INDEX(Symboles!$G$6:$G$101,MOD(95+$C38+(1),$B$3)+1)*J38+INDEX(Symboles!$G$6:$G$101,MOD(95+$C38+(2),$B$3)+1)*K38+INDEX(Symboles!$G$6:$G$101,MOD(95+$C38+(3),$B$3)+1)*L38+INDEX(Symboles!$G$6:$G$101,MOD(95+$C38+(4),$B$3)+1)*M38+IF($B$6=0,0,$B$6*NORMSINV(0.000001+0.999998*RAND())))</f>
        <v/>
      </c>
      <c r="DI38" s="30">
        <f>IF(1&gt;$B$3,99,INDEX(Symboles!$H$6:$H$101,MOD(0+$C38+(-4),$B$3)+1)*E38+INDEX(Symboles!$H$6:$H$101,MOD(0+$C38+(-3),$B$3)+1)*F38+INDEX(Symboles!$H$6:$H$101,MOD(0+$C38+(-2),$B$3)+1)*G38+INDEX(Symboles!$H$6:$H$101,MOD(0+$C38+(-1),$B$3)+1)*H38+INDEX(Symboles!$H$6:$H$101,MOD(0+$C38+(0),$B$3)+1)*I38+INDEX(Symboles!$H$6:$H$101,MOD(0+$C38+(1),$B$3)+1)*J38+INDEX(Symboles!$H$6:$H$101,MOD(0+$C38+(2),$B$3)+1)*K38+INDEX(Symboles!$H$6:$H$101,MOD(0+$C38+(3),$B$3)+1)*L38+INDEX(Symboles!$H$6:$H$101,MOD(0+$C38+(4),$B$3)+1)*M38+IF($B$6=0,0,$B$6*NORMSINV(0.000001+0.999998*RAND())))</f>
        <v/>
      </c>
      <c r="DJ38" s="30">
        <f>IF(2&gt;$B$3,99,INDEX(Symboles!$H$6:$H$101,MOD(1+$C38+(-4),$B$3)+1)*E38+INDEX(Symboles!$H$6:$H$101,MOD(1+$C38+(-3),$B$3)+1)*F38+INDEX(Symboles!$H$6:$H$101,MOD(1+$C38+(-2),$B$3)+1)*G38+INDEX(Symboles!$H$6:$H$101,MOD(1+$C38+(-1),$B$3)+1)*H38+INDEX(Symboles!$H$6:$H$101,MOD(1+$C38+(0),$B$3)+1)*I38+INDEX(Symboles!$H$6:$H$101,MOD(1+$C38+(1),$B$3)+1)*J38+INDEX(Symboles!$H$6:$H$101,MOD(1+$C38+(2),$B$3)+1)*K38+INDEX(Symboles!$H$6:$H$101,MOD(1+$C38+(3),$B$3)+1)*L38+INDEX(Symboles!$H$6:$H$101,MOD(1+$C38+(4),$B$3)+1)*M38+IF($B$6=0,0,$B$6*NORMSINV(0.000001+0.999998*RAND())))</f>
        <v/>
      </c>
      <c r="DK38" s="30">
        <f>IF(3&gt;$B$3,99,INDEX(Symboles!$H$6:$H$101,MOD(2+$C38+(-4),$B$3)+1)*E38+INDEX(Symboles!$H$6:$H$101,MOD(2+$C38+(-3),$B$3)+1)*F38+INDEX(Symboles!$H$6:$H$101,MOD(2+$C38+(-2),$B$3)+1)*G38+INDEX(Symboles!$H$6:$H$101,MOD(2+$C38+(-1),$B$3)+1)*H38+INDEX(Symboles!$H$6:$H$101,MOD(2+$C38+(0),$B$3)+1)*I38+INDEX(Symboles!$H$6:$H$101,MOD(2+$C38+(1),$B$3)+1)*J38+INDEX(Symboles!$H$6:$H$101,MOD(2+$C38+(2),$B$3)+1)*K38+INDEX(Symboles!$H$6:$H$101,MOD(2+$C38+(3),$B$3)+1)*L38+INDEX(Symboles!$H$6:$H$101,MOD(2+$C38+(4),$B$3)+1)*M38+IF($B$6=0,0,$B$6*NORMSINV(0.000001+0.999998*RAND())))</f>
        <v/>
      </c>
      <c r="DL38" s="30">
        <f>IF(4&gt;$B$3,99,INDEX(Symboles!$H$6:$H$101,MOD(3+$C38+(-4),$B$3)+1)*E38+INDEX(Symboles!$H$6:$H$101,MOD(3+$C38+(-3),$B$3)+1)*F38+INDEX(Symboles!$H$6:$H$101,MOD(3+$C38+(-2),$B$3)+1)*G38+INDEX(Symboles!$H$6:$H$101,MOD(3+$C38+(-1),$B$3)+1)*H38+INDEX(Symboles!$H$6:$H$101,MOD(3+$C38+(0),$B$3)+1)*I38+INDEX(Symboles!$H$6:$H$101,MOD(3+$C38+(1),$B$3)+1)*J38+INDEX(Symboles!$H$6:$H$101,MOD(3+$C38+(2),$B$3)+1)*K38+INDEX(Symboles!$H$6:$H$101,MOD(3+$C38+(3),$B$3)+1)*L38+INDEX(Symboles!$H$6:$H$101,MOD(3+$C38+(4),$B$3)+1)*M38+IF($B$6=0,0,$B$6*NORMSINV(0.000001+0.999998*RAND())))</f>
        <v/>
      </c>
      <c r="DM38" s="30">
        <f>IF(5&gt;$B$3,99,INDEX(Symboles!$H$6:$H$101,MOD(4+$C38+(-4),$B$3)+1)*E38+INDEX(Symboles!$H$6:$H$101,MOD(4+$C38+(-3),$B$3)+1)*F38+INDEX(Symboles!$H$6:$H$101,MOD(4+$C38+(-2),$B$3)+1)*G38+INDEX(Symboles!$H$6:$H$101,MOD(4+$C38+(-1),$B$3)+1)*H38+INDEX(Symboles!$H$6:$H$101,MOD(4+$C38+(0),$B$3)+1)*I38+INDEX(Symboles!$H$6:$H$101,MOD(4+$C38+(1),$B$3)+1)*J38+INDEX(Symboles!$H$6:$H$101,MOD(4+$C38+(2),$B$3)+1)*K38+INDEX(Symboles!$H$6:$H$101,MOD(4+$C38+(3),$B$3)+1)*L38+INDEX(Symboles!$H$6:$H$101,MOD(4+$C38+(4),$B$3)+1)*M38+IF($B$6=0,0,$B$6*NORMSINV(0.000001+0.999998*RAND())))</f>
        <v/>
      </c>
      <c r="DN38" s="30">
        <f>IF(6&gt;$B$3,99,INDEX(Symboles!$H$6:$H$101,MOD(5+$C38+(-4),$B$3)+1)*E38+INDEX(Symboles!$H$6:$H$101,MOD(5+$C38+(-3),$B$3)+1)*F38+INDEX(Symboles!$H$6:$H$101,MOD(5+$C38+(-2),$B$3)+1)*G38+INDEX(Symboles!$H$6:$H$101,MOD(5+$C38+(-1),$B$3)+1)*H38+INDEX(Symboles!$H$6:$H$101,MOD(5+$C38+(0),$B$3)+1)*I38+INDEX(Symboles!$H$6:$H$101,MOD(5+$C38+(1),$B$3)+1)*J38+INDEX(Symboles!$H$6:$H$101,MOD(5+$C38+(2),$B$3)+1)*K38+INDEX(Symboles!$H$6:$H$101,MOD(5+$C38+(3),$B$3)+1)*L38+INDEX(Symboles!$H$6:$H$101,MOD(5+$C38+(4),$B$3)+1)*M38+IF($B$6=0,0,$B$6*NORMSINV(0.000001+0.999998*RAND())))</f>
        <v/>
      </c>
      <c r="DO38" s="30">
        <f>IF(7&gt;$B$3,99,INDEX(Symboles!$H$6:$H$101,MOD(6+$C38+(-4),$B$3)+1)*E38+INDEX(Symboles!$H$6:$H$101,MOD(6+$C38+(-3),$B$3)+1)*F38+INDEX(Symboles!$H$6:$H$101,MOD(6+$C38+(-2),$B$3)+1)*G38+INDEX(Symboles!$H$6:$H$101,MOD(6+$C38+(-1),$B$3)+1)*H38+INDEX(Symboles!$H$6:$H$101,MOD(6+$C38+(0),$B$3)+1)*I38+INDEX(Symboles!$H$6:$H$101,MOD(6+$C38+(1),$B$3)+1)*J38+INDEX(Symboles!$H$6:$H$101,MOD(6+$C38+(2),$B$3)+1)*K38+INDEX(Symboles!$H$6:$H$101,MOD(6+$C38+(3),$B$3)+1)*L38+INDEX(Symboles!$H$6:$H$101,MOD(6+$C38+(4),$B$3)+1)*M38+IF($B$6=0,0,$B$6*NORMSINV(0.000001+0.999998*RAND())))</f>
        <v/>
      </c>
      <c r="DP38" s="30">
        <f>IF(8&gt;$B$3,99,INDEX(Symboles!$H$6:$H$101,MOD(7+$C38+(-4),$B$3)+1)*E38+INDEX(Symboles!$H$6:$H$101,MOD(7+$C38+(-3),$B$3)+1)*F38+INDEX(Symboles!$H$6:$H$101,MOD(7+$C38+(-2),$B$3)+1)*G38+INDEX(Symboles!$H$6:$H$101,MOD(7+$C38+(-1),$B$3)+1)*H38+INDEX(Symboles!$H$6:$H$101,MOD(7+$C38+(0),$B$3)+1)*I38+INDEX(Symboles!$H$6:$H$101,MOD(7+$C38+(1),$B$3)+1)*J38+INDEX(Symboles!$H$6:$H$101,MOD(7+$C38+(2),$B$3)+1)*K38+INDEX(Symboles!$H$6:$H$101,MOD(7+$C38+(3),$B$3)+1)*L38+INDEX(Symboles!$H$6:$H$101,MOD(7+$C38+(4),$B$3)+1)*M38+IF($B$6=0,0,$B$6*NORMSINV(0.000001+0.999998*RAND())))</f>
        <v/>
      </c>
      <c r="DQ38" s="30">
        <f>IF(9&gt;$B$3,99,INDEX(Symboles!$H$6:$H$101,MOD(8+$C38+(-4),$B$3)+1)*E38+INDEX(Symboles!$H$6:$H$101,MOD(8+$C38+(-3),$B$3)+1)*F38+INDEX(Symboles!$H$6:$H$101,MOD(8+$C38+(-2),$B$3)+1)*G38+INDEX(Symboles!$H$6:$H$101,MOD(8+$C38+(-1),$B$3)+1)*H38+INDEX(Symboles!$H$6:$H$101,MOD(8+$C38+(0),$B$3)+1)*I38+INDEX(Symboles!$H$6:$H$101,MOD(8+$C38+(1),$B$3)+1)*J38+INDEX(Symboles!$H$6:$H$101,MOD(8+$C38+(2),$B$3)+1)*K38+INDEX(Symboles!$H$6:$H$101,MOD(8+$C38+(3),$B$3)+1)*L38+INDEX(Symboles!$H$6:$H$101,MOD(8+$C38+(4),$B$3)+1)*M38+IF($B$6=0,0,$B$6*NORMSINV(0.000001+0.999998*RAND())))</f>
        <v/>
      </c>
      <c r="DR38" s="30">
        <f>IF(10&gt;$B$3,99,INDEX(Symboles!$H$6:$H$101,MOD(9+$C38+(-4),$B$3)+1)*E38+INDEX(Symboles!$H$6:$H$101,MOD(9+$C38+(-3),$B$3)+1)*F38+INDEX(Symboles!$H$6:$H$101,MOD(9+$C38+(-2),$B$3)+1)*G38+INDEX(Symboles!$H$6:$H$101,MOD(9+$C38+(-1),$B$3)+1)*H38+INDEX(Symboles!$H$6:$H$101,MOD(9+$C38+(0),$B$3)+1)*I38+INDEX(Symboles!$H$6:$H$101,MOD(9+$C38+(1),$B$3)+1)*J38+INDEX(Symboles!$H$6:$H$101,MOD(9+$C38+(2),$B$3)+1)*K38+INDEX(Symboles!$H$6:$H$101,MOD(9+$C38+(3),$B$3)+1)*L38+INDEX(Symboles!$H$6:$H$101,MOD(9+$C38+(4),$B$3)+1)*M38+IF($B$6=0,0,$B$6*NORMSINV(0.000001+0.999998*RAND())))</f>
        <v/>
      </c>
      <c r="DS38" s="30">
        <f>IF(11&gt;$B$3,99,INDEX(Symboles!$H$6:$H$101,MOD(10+$C38+(-4),$B$3)+1)*E38+INDEX(Symboles!$H$6:$H$101,MOD(10+$C38+(-3),$B$3)+1)*F38+INDEX(Symboles!$H$6:$H$101,MOD(10+$C38+(-2),$B$3)+1)*G38+INDEX(Symboles!$H$6:$H$101,MOD(10+$C38+(-1),$B$3)+1)*H38+INDEX(Symboles!$H$6:$H$101,MOD(10+$C38+(0),$B$3)+1)*I38+INDEX(Symboles!$H$6:$H$101,MOD(10+$C38+(1),$B$3)+1)*J38+INDEX(Symboles!$H$6:$H$101,MOD(10+$C38+(2),$B$3)+1)*K38+INDEX(Symboles!$H$6:$H$101,MOD(10+$C38+(3),$B$3)+1)*L38+INDEX(Symboles!$H$6:$H$101,MOD(10+$C38+(4),$B$3)+1)*M38+IF($B$6=0,0,$B$6*NORMSINV(0.000001+0.999998*RAND())))</f>
        <v/>
      </c>
      <c r="DT38" s="30">
        <f>IF(12&gt;$B$3,99,INDEX(Symboles!$H$6:$H$101,MOD(11+$C38+(-4),$B$3)+1)*E38+INDEX(Symboles!$H$6:$H$101,MOD(11+$C38+(-3),$B$3)+1)*F38+INDEX(Symboles!$H$6:$H$101,MOD(11+$C38+(-2),$B$3)+1)*G38+INDEX(Symboles!$H$6:$H$101,MOD(11+$C38+(-1),$B$3)+1)*H38+INDEX(Symboles!$H$6:$H$101,MOD(11+$C38+(0),$B$3)+1)*I38+INDEX(Symboles!$H$6:$H$101,MOD(11+$C38+(1),$B$3)+1)*J38+INDEX(Symboles!$H$6:$H$101,MOD(11+$C38+(2),$B$3)+1)*K38+INDEX(Symboles!$H$6:$H$101,MOD(11+$C38+(3),$B$3)+1)*L38+INDEX(Symboles!$H$6:$H$101,MOD(11+$C38+(4),$B$3)+1)*M38+IF($B$6=0,0,$B$6*NORMSINV(0.000001+0.999998*RAND())))</f>
        <v/>
      </c>
      <c r="DU38" s="30">
        <f>IF(13&gt;$B$3,99,INDEX(Symboles!$H$6:$H$101,MOD(12+$C38+(-4),$B$3)+1)*E38+INDEX(Symboles!$H$6:$H$101,MOD(12+$C38+(-3),$B$3)+1)*F38+INDEX(Symboles!$H$6:$H$101,MOD(12+$C38+(-2),$B$3)+1)*G38+INDEX(Symboles!$H$6:$H$101,MOD(12+$C38+(-1),$B$3)+1)*H38+INDEX(Symboles!$H$6:$H$101,MOD(12+$C38+(0),$B$3)+1)*I38+INDEX(Symboles!$H$6:$H$101,MOD(12+$C38+(1),$B$3)+1)*J38+INDEX(Symboles!$H$6:$H$101,MOD(12+$C38+(2),$B$3)+1)*K38+INDEX(Symboles!$H$6:$H$101,MOD(12+$C38+(3),$B$3)+1)*L38+INDEX(Symboles!$H$6:$H$101,MOD(12+$C38+(4),$B$3)+1)*M38+IF($B$6=0,0,$B$6*NORMSINV(0.000001+0.999998*RAND())))</f>
        <v/>
      </c>
      <c r="DV38" s="30">
        <f>IF(14&gt;$B$3,99,INDEX(Symboles!$H$6:$H$101,MOD(13+$C38+(-4),$B$3)+1)*E38+INDEX(Symboles!$H$6:$H$101,MOD(13+$C38+(-3),$B$3)+1)*F38+INDEX(Symboles!$H$6:$H$101,MOD(13+$C38+(-2),$B$3)+1)*G38+INDEX(Symboles!$H$6:$H$101,MOD(13+$C38+(-1),$B$3)+1)*H38+INDEX(Symboles!$H$6:$H$101,MOD(13+$C38+(0),$B$3)+1)*I38+INDEX(Symboles!$H$6:$H$101,MOD(13+$C38+(1),$B$3)+1)*J38+INDEX(Symboles!$H$6:$H$101,MOD(13+$C38+(2),$B$3)+1)*K38+INDEX(Symboles!$H$6:$H$101,MOD(13+$C38+(3),$B$3)+1)*L38+INDEX(Symboles!$H$6:$H$101,MOD(13+$C38+(4),$B$3)+1)*M38+IF($B$6=0,0,$B$6*NORMSINV(0.000001+0.999998*RAND())))</f>
        <v/>
      </c>
      <c r="DW38" s="30">
        <f>IF(15&gt;$B$3,99,INDEX(Symboles!$H$6:$H$101,MOD(14+$C38+(-4),$B$3)+1)*E38+INDEX(Symboles!$H$6:$H$101,MOD(14+$C38+(-3),$B$3)+1)*F38+INDEX(Symboles!$H$6:$H$101,MOD(14+$C38+(-2),$B$3)+1)*G38+INDEX(Symboles!$H$6:$H$101,MOD(14+$C38+(-1),$B$3)+1)*H38+INDEX(Symboles!$H$6:$H$101,MOD(14+$C38+(0),$B$3)+1)*I38+INDEX(Symboles!$H$6:$H$101,MOD(14+$C38+(1),$B$3)+1)*J38+INDEX(Symboles!$H$6:$H$101,MOD(14+$C38+(2),$B$3)+1)*K38+INDEX(Symboles!$H$6:$H$101,MOD(14+$C38+(3),$B$3)+1)*L38+INDEX(Symboles!$H$6:$H$101,MOD(14+$C38+(4),$B$3)+1)*M38+IF($B$6=0,0,$B$6*NORMSINV(0.000001+0.999998*RAND())))</f>
        <v/>
      </c>
      <c r="DX38" s="30">
        <f>IF(16&gt;$B$3,99,INDEX(Symboles!$H$6:$H$101,MOD(15+$C38+(-4),$B$3)+1)*E38+INDEX(Symboles!$H$6:$H$101,MOD(15+$C38+(-3),$B$3)+1)*F38+INDEX(Symboles!$H$6:$H$101,MOD(15+$C38+(-2),$B$3)+1)*G38+INDEX(Symboles!$H$6:$H$101,MOD(15+$C38+(-1),$B$3)+1)*H38+INDEX(Symboles!$H$6:$H$101,MOD(15+$C38+(0),$B$3)+1)*I38+INDEX(Symboles!$H$6:$H$101,MOD(15+$C38+(1),$B$3)+1)*J38+INDEX(Symboles!$H$6:$H$101,MOD(15+$C38+(2),$B$3)+1)*K38+INDEX(Symboles!$H$6:$H$101,MOD(15+$C38+(3),$B$3)+1)*L38+INDEX(Symboles!$H$6:$H$101,MOD(15+$C38+(4),$B$3)+1)*M38+IF($B$6=0,0,$B$6*NORMSINV(0.000001+0.999998*RAND())))</f>
        <v/>
      </c>
      <c r="DY38" s="30">
        <f>IF(17&gt;$B$3,99,INDEX(Symboles!$H$6:$H$101,MOD(16+$C38+(-4),$B$3)+1)*E38+INDEX(Symboles!$H$6:$H$101,MOD(16+$C38+(-3),$B$3)+1)*F38+INDEX(Symboles!$H$6:$H$101,MOD(16+$C38+(-2),$B$3)+1)*G38+INDEX(Symboles!$H$6:$H$101,MOD(16+$C38+(-1),$B$3)+1)*H38+INDEX(Symboles!$H$6:$H$101,MOD(16+$C38+(0),$B$3)+1)*I38+INDEX(Symboles!$H$6:$H$101,MOD(16+$C38+(1),$B$3)+1)*J38+INDEX(Symboles!$H$6:$H$101,MOD(16+$C38+(2),$B$3)+1)*K38+INDEX(Symboles!$H$6:$H$101,MOD(16+$C38+(3),$B$3)+1)*L38+INDEX(Symboles!$H$6:$H$101,MOD(16+$C38+(4),$B$3)+1)*M38+IF($B$6=0,0,$B$6*NORMSINV(0.000001+0.999998*RAND())))</f>
        <v/>
      </c>
      <c r="DZ38" s="30">
        <f>IF(18&gt;$B$3,99,INDEX(Symboles!$H$6:$H$101,MOD(17+$C38+(-4),$B$3)+1)*E38+INDEX(Symboles!$H$6:$H$101,MOD(17+$C38+(-3),$B$3)+1)*F38+INDEX(Symboles!$H$6:$H$101,MOD(17+$C38+(-2),$B$3)+1)*G38+INDEX(Symboles!$H$6:$H$101,MOD(17+$C38+(-1),$B$3)+1)*H38+INDEX(Symboles!$H$6:$H$101,MOD(17+$C38+(0),$B$3)+1)*I38+INDEX(Symboles!$H$6:$H$101,MOD(17+$C38+(1),$B$3)+1)*J38+INDEX(Symboles!$H$6:$H$101,MOD(17+$C38+(2),$B$3)+1)*K38+INDEX(Symboles!$H$6:$H$101,MOD(17+$C38+(3),$B$3)+1)*L38+INDEX(Symboles!$H$6:$H$101,MOD(17+$C38+(4),$B$3)+1)*M38+IF($B$6=0,0,$B$6*NORMSINV(0.000001+0.999998*RAND())))</f>
        <v/>
      </c>
      <c r="EA38" s="30">
        <f>IF(19&gt;$B$3,99,INDEX(Symboles!$H$6:$H$101,MOD(18+$C38+(-4),$B$3)+1)*E38+INDEX(Symboles!$H$6:$H$101,MOD(18+$C38+(-3),$B$3)+1)*F38+INDEX(Symboles!$H$6:$H$101,MOD(18+$C38+(-2),$B$3)+1)*G38+INDEX(Symboles!$H$6:$H$101,MOD(18+$C38+(-1),$B$3)+1)*H38+INDEX(Symboles!$H$6:$H$101,MOD(18+$C38+(0),$B$3)+1)*I38+INDEX(Symboles!$H$6:$H$101,MOD(18+$C38+(1),$B$3)+1)*J38+INDEX(Symboles!$H$6:$H$101,MOD(18+$C38+(2),$B$3)+1)*K38+INDEX(Symboles!$H$6:$H$101,MOD(18+$C38+(3),$B$3)+1)*L38+INDEX(Symboles!$H$6:$H$101,MOD(18+$C38+(4),$B$3)+1)*M38+IF($B$6=0,0,$B$6*NORMSINV(0.000001+0.999998*RAND())))</f>
        <v/>
      </c>
      <c r="EB38" s="30">
        <f>IF(20&gt;$B$3,99,INDEX(Symboles!$H$6:$H$101,MOD(19+$C38+(-4),$B$3)+1)*E38+INDEX(Symboles!$H$6:$H$101,MOD(19+$C38+(-3),$B$3)+1)*F38+INDEX(Symboles!$H$6:$H$101,MOD(19+$C38+(-2),$B$3)+1)*G38+INDEX(Symboles!$H$6:$H$101,MOD(19+$C38+(-1),$B$3)+1)*H38+INDEX(Symboles!$H$6:$H$101,MOD(19+$C38+(0),$B$3)+1)*I38+INDEX(Symboles!$H$6:$H$101,MOD(19+$C38+(1),$B$3)+1)*J38+INDEX(Symboles!$H$6:$H$101,MOD(19+$C38+(2),$B$3)+1)*K38+INDEX(Symboles!$H$6:$H$101,MOD(19+$C38+(3),$B$3)+1)*L38+INDEX(Symboles!$H$6:$H$101,MOD(19+$C38+(4),$B$3)+1)*M38+IF($B$6=0,0,$B$6*NORMSINV(0.000001+0.999998*RAND())))</f>
        <v/>
      </c>
      <c r="EC38" s="30">
        <f>IF(21&gt;$B$3,99,INDEX(Symboles!$H$6:$H$101,MOD(20+$C38+(-4),$B$3)+1)*E38+INDEX(Symboles!$H$6:$H$101,MOD(20+$C38+(-3),$B$3)+1)*F38+INDEX(Symboles!$H$6:$H$101,MOD(20+$C38+(-2),$B$3)+1)*G38+INDEX(Symboles!$H$6:$H$101,MOD(20+$C38+(-1),$B$3)+1)*H38+INDEX(Symboles!$H$6:$H$101,MOD(20+$C38+(0),$B$3)+1)*I38+INDEX(Symboles!$H$6:$H$101,MOD(20+$C38+(1),$B$3)+1)*J38+INDEX(Symboles!$H$6:$H$101,MOD(20+$C38+(2),$B$3)+1)*K38+INDEX(Symboles!$H$6:$H$101,MOD(20+$C38+(3),$B$3)+1)*L38+INDEX(Symboles!$H$6:$H$101,MOD(20+$C38+(4),$B$3)+1)*M38+IF($B$6=0,0,$B$6*NORMSINV(0.000001+0.999998*RAND())))</f>
        <v/>
      </c>
      <c r="ED38" s="30">
        <f>IF(22&gt;$B$3,99,INDEX(Symboles!$H$6:$H$101,MOD(21+$C38+(-4),$B$3)+1)*E38+INDEX(Symboles!$H$6:$H$101,MOD(21+$C38+(-3),$B$3)+1)*F38+INDEX(Symboles!$H$6:$H$101,MOD(21+$C38+(-2),$B$3)+1)*G38+INDEX(Symboles!$H$6:$H$101,MOD(21+$C38+(-1),$B$3)+1)*H38+INDEX(Symboles!$H$6:$H$101,MOD(21+$C38+(0),$B$3)+1)*I38+INDEX(Symboles!$H$6:$H$101,MOD(21+$C38+(1),$B$3)+1)*J38+INDEX(Symboles!$H$6:$H$101,MOD(21+$C38+(2),$B$3)+1)*K38+INDEX(Symboles!$H$6:$H$101,MOD(21+$C38+(3),$B$3)+1)*L38+INDEX(Symboles!$H$6:$H$101,MOD(21+$C38+(4),$B$3)+1)*M38+IF($B$6=0,0,$B$6*NORMSINV(0.000001+0.999998*RAND())))</f>
        <v/>
      </c>
      <c r="EE38" s="30">
        <f>IF(23&gt;$B$3,99,INDEX(Symboles!$H$6:$H$101,MOD(22+$C38+(-4),$B$3)+1)*E38+INDEX(Symboles!$H$6:$H$101,MOD(22+$C38+(-3),$B$3)+1)*F38+INDEX(Symboles!$H$6:$H$101,MOD(22+$C38+(-2),$B$3)+1)*G38+INDEX(Symboles!$H$6:$H$101,MOD(22+$C38+(-1),$B$3)+1)*H38+INDEX(Symboles!$H$6:$H$101,MOD(22+$C38+(0),$B$3)+1)*I38+INDEX(Symboles!$H$6:$H$101,MOD(22+$C38+(1),$B$3)+1)*J38+INDEX(Symboles!$H$6:$H$101,MOD(22+$C38+(2),$B$3)+1)*K38+INDEX(Symboles!$H$6:$H$101,MOD(22+$C38+(3),$B$3)+1)*L38+INDEX(Symboles!$H$6:$H$101,MOD(22+$C38+(4),$B$3)+1)*M38+IF($B$6=0,0,$B$6*NORMSINV(0.000001+0.999998*RAND())))</f>
        <v/>
      </c>
      <c r="EF38" s="30">
        <f>IF(24&gt;$B$3,99,INDEX(Symboles!$H$6:$H$101,MOD(23+$C38+(-4),$B$3)+1)*E38+INDEX(Symboles!$H$6:$H$101,MOD(23+$C38+(-3),$B$3)+1)*F38+INDEX(Symboles!$H$6:$H$101,MOD(23+$C38+(-2),$B$3)+1)*G38+INDEX(Symboles!$H$6:$H$101,MOD(23+$C38+(-1),$B$3)+1)*H38+INDEX(Symboles!$H$6:$H$101,MOD(23+$C38+(0),$B$3)+1)*I38+INDEX(Symboles!$H$6:$H$101,MOD(23+$C38+(1),$B$3)+1)*J38+INDEX(Symboles!$H$6:$H$101,MOD(23+$C38+(2),$B$3)+1)*K38+INDEX(Symboles!$H$6:$H$101,MOD(23+$C38+(3),$B$3)+1)*L38+INDEX(Symboles!$H$6:$H$101,MOD(23+$C38+(4),$B$3)+1)*M38+IF($B$6=0,0,$B$6*NORMSINV(0.000001+0.999998*RAND())))</f>
        <v/>
      </c>
      <c r="EG38" s="30">
        <f>IF(25&gt;$B$3,99,INDEX(Symboles!$H$6:$H$101,MOD(24+$C38+(-4),$B$3)+1)*E38+INDEX(Symboles!$H$6:$H$101,MOD(24+$C38+(-3),$B$3)+1)*F38+INDEX(Symboles!$H$6:$H$101,MOD(24+$C38+(-2),$B$3)+1)*G38+INDEX(Symboles!$H$6:$H$101,MOD(24+$C38+(-1),$B$3)+1)*H38+INDEX(Symboles!$H$6:$H$101,MOD(24+$C38+(0),$B$3)+1)*I38+INDEX(Symboles!$H$6:$H$101,MOD(24+$C38+(1),$B$3)+1)*J38+INDEX(Symboles!$H$6:$H$101,MOD(24+$C38+(2),$B$3)+1)*K38+INDEX(Symboles!$H$6:$H$101,MOD(24+$C38+(3),$B$3)+1)*L38+INDEX(Symboles!$H$6:$H$101,MOD(24+$C38+(4),$B$3)+1)*M38+IF($B$6=0,0,$B$6*NORMSINV(0.000001+0.999998*RAND())))</f>
        <v/>
      </c>
      <c r="EH38" s="30">
        <f>IF(26&gt;$B$3,99,INDEX(Symboles!$H$6:$H$101,MOD(25+$C38+(-4),$B$3)+1)*E38+INDEX(Symboles!$H$6:$H$101,MOD(25+$C38+(-3),$B$3)+1)*F38+INDEX(Symboles!$H$6:$H$101,MOD(25+$C38+(-2),$B$3)+1)*G38+INDEX(Symboles!$H$6:$H$101,MOD(25+$C38+(-1),$B$3)+1)*H38+INDEX(Symboles!$H$6:$H$101,MOD(25+$C38+(0),$B$3)+1)*I38+INDEX(Symboles!$H$6:$H$101,MOD(25+$C38+(1),$B$3)+1)*J38+INDEX(Symboles!$H$6:$H$101,MOD(25+$C38+(2),$B$3)+1)*K38+INDEX(Symboles!$H$6:$H$101,MOD(25+$C38+(3),$B$3)+1)*L38+INDEX(Symboles!$H$6:$H$101,MOD(25+$C38+(4),$B$3)+1)*M38+IF($B$6=0,0,$B$6*NORMSINV(0.000001+0.999998*RAND())))</f>
        <v/>
      </c>
      <c r="EI38" s="30">
        <f>IF(27&gt;$B$3,99,INDEX(Symboles!$H$6:$H$101,MOD(26+$C38+(-4),$B$3)+1)*E38+INDEX(Symboles!$H$6:$H$101,MOD(26+$C38+(-3),$B$3)+1)*F38+INDEX(Symboles!$H$6:$H$101,MOD(26+$C38+(-2),$B$3)+1)*G38+INDEX(Symboles!$H$6:$H$101,MOD(26+$C38+(-1),$B$3)+1)*H38+INDEX(Symboles!$H$6:$H$101,MOD(26+$C38+(0),$B$3)+1)*I38+INDEX(Symboles!$H$6:$H$101,MOD(26+$C38+(1),$B$3)+1)*J38+INDEX(Symboles!$H$6:$H$101,MOD(26+$C38+(2),$B$3)+1)*K38+INDEX(Symboles!$H$6:$H$101,MOD(26+$C38+(3),$B$3)+1)*L38+INDEX(Symboles!$H$6:$H$101,MOD(26+$C38+(4),$B$3)+1)*M38+IF($B$6=0,0,$B$6*NORMSINV(0.000001+0.999998*RAND())))</f>
        <v/>
      </c>
      <c r="EJ38" s="30">
        <f>IF(28&gt;$B$3,99,INDEX(Symboles!$H$6:$H$101,MOD(27+$C38+(-4),$B$3)+1)*E38+INDEX(Symboles!$H$6:$H$101,MOD(27+$C38+(-3),$B$3)+1)*F38+INDEX(Symboles!$H$6:$H$101,MOD(27+$C38+(-2),$B$3)+1)*G38+INDEX(Symboles!$H$6:$H$101,MOD(27+$C38+(-1),$B$3)+1)*H38+INDEX(Symboles!$H$6:$H$101,MOD(27+$C38+(0),$B$3)+1)*I38+INDEX(Symboles!$H$6:$H$101,MOD(27+$C38+(1),$B$3)+1)*J38+INDEX(Symboles!$H$6:$H$101,MOD(27+$C38+(2),$B$3)+1)*K38+INDEX(Symboles!$H$6:$H$101,MOD(27+$C38+(3),$B$3)+1)*L38+INDEX(Symboles!$H$6:$H$101,MOD(27+$C38+(4),$B$3)+1)*M38+IF($B$6=0,0,$B$6*NORMSINV(0.000001+0.999998*RAND())))</f>
        <v/>
      </c>
      <c r="EK38" s="30">
        <f>IF(29&gt;$B$3,99,INDEX(Symboles!$H$6:$H$101,MOD(28+$C38+(-4),$B$3)+1)*E38+INDEX(Symboles!$H$6:$H$101,MOD(28+$C38+(-3),$B$3)+1)*F38+INDEX(Symboles!$H$6:$H$101,MOD(28+$C38+(-2),$B$3)+1)*G38+INDEX(Symboles!$H$6:$H$101,MOD(28+$C38+(-1),$B$3)+1)*H38+INDEX(Symboles!$H$6:$H$101,MOD(28+$C38+(0),$B$3)+1)*I38+INDEX(Symboles!$H$6:$H$101,MOD(28+$C38+(1),$B$3)+1)*J38+INDEX(Symboles!$H$6:$H$101,MOD(28+$C38+(2),$B$3)+1)*K38+INDEX(Symboles!$H$6:$H$101,MOD(28+$C38+(3),$B$3)+1)*L38+INDEX(Symboles!$H$6:$H$101,MOD(28+$C38+(4),$B$3)+1)*M38+IF($B$6=0,0,$B$6*NORMSINV(0.000001+0.999998*RAND())))</f>
        <v/>
      </c>
      <c r="EL38" s="30">
        <f>IF(30&gt;$B$3,99,INDEX(Symboles!$H$6:$H$101,MOD(29+$C38+(-4),$B$3)+1)*E38+INDEX(Symboles!$H$6:$H$101,MOD(29+$C38+(-3),$B$3)+1)*F38+INDEX(Symboles!$H$6:$H$101,MOD(29+$C38+(-2),$B$3)+1)*G38+INDEX(Symboles!$H$6:$H$101,MOD(29+$C38+(-1),$B$3)+1)*H38+INDEX(Symboles!$H$6:$H$101,MOD(29+$C38+(0),$B$3)+1)*I38+INDEX(Symboles!$H$6:$H$101,MOD(29+$C38+(1),$B$3)+1)*J38+INDEX(Symboles!$H$6:$H$101,MOD(29+$C38+(2),$B$3)+1)*K38+INDEX(Symboles!$H$6:$H$101,MOD(29+$C38+(3),$B$3)+1)*L38+INDEX(Symboles!$H$6:$H$101,MOD(29+$C38+(4),$B$3)+1)*M38+IF($B$6=0,0,$B$6*NORMSINV(0.000001+0.999998*RAND())))</f>
        <v/>
      </c>
      <c r="EM38" s="30">
        <f>IF(31&gt;$B$3,99,INDEX(Symboles!$H$6:$H$101,MOD(30+$C38+(-4),$B$3)+1)*E38+INDEX(Symboles!$H$6:$H$101,MOD(30+$C38+(-3),$B$3)+1)*F38+INDEX(Symboles!$H$6:$H$101,MOD(30+$C38+(-2),$B$3)+1)*G38+INDEX(Symboles!$H$6:$H$101,MOD(30+$C38+(-1),$B$3)+1)*H38+INDEX(Symboles!$H$6:$H$101,MOD(30+$C38+(0),$B$3)+1)*I38+INDEX(Symboles!$H$6:$H$101,MOD(30+$C38+(1),$B$3)+1)*J38+INDEX(Symboles!$H$6:$H$101,MOD(30+$C38+(2),$B$3)+1)*K38+INDEX(Symboles!$H$6:$H$101,MOD(30+$C38+(3),$B$3)+1)*L38+INDEX(Symboles!$H$6:$H$101,MOD(30+$C38+(4),$B$3)+1)*M38+IF($B$6=0,0,$B$6*NORMSINV(0.000001+0.999998*RAND())))</f>
        <v/>
      </c>
      <c r="EN38" s="30">
        <f>IF(32&gt;$B$3,99,INDEX(Symboles!$H$6:$H$101,MOD(31+$C38+(-4),$B$3)+1)*E38+INDEX(Symboles!$H$6:$H$101,MOD(31+$C38+(-3),$B$3)+1)*F38+INDEX(Symboles!$H$6:$H$101,MOD(31+$C38+(-2),$B$3)+1)*G38+INDEX(Symboles!$H$6:$H$101,MOD(31+$C38+(-1),$B$3)+1)*H38+INDEX(Symboles!$H$6:$H$101,MOD(31+$C38+(0),$B$3)+1)*I38+INDEX(Symboles!$H$6:$H$101,MOD(31+$C38+(1),$B$3)+1)*J38+INDEX(Symboles!$H$6:$H$101,MOD(31+$C38+(2),$B$3)+1)*K38+INDEX(Symboles!$H$6:$H$101,MOD(31+$C38+(3),$B$3)+1)*L38+INDEX(Symboles!$H$6:$H$101,MOD(31+$C38+(4),$B$3)+1)*M38+IF($B$6=0,0,$B$6*NORMSINV(0.000001+0.999998*RAND())))</f>
        <v/>
      </c>
      <c r="EO38" s="30">
        <f>IF(33&gt;$B$3,99,INDEX(Symboles!$H$6:$H$101,MOD(32+$C38+(-4),$B$3)+1)*E38+INDEX(Symboles!$H$6:$H$101,MOD(32+$C38+(-3),$B$3)+1)*F38+INDEX(Symboles!$H$6:$H$101,MOD(32+$C38+(-2),$B$3)+1)*G38+INDEX(Symboles!$H$6:$H$101,MOD(32+$C38+(-1),$B$3)+1)*H38+INDEX(Symboles!$H$6:$H$101,MOD(32+$C38+(0),$B$3)+1)*I38+INDEX(Symboles!$H$6:$H$101,MOD(32+$C38+(1),$B$3)+1)*J38+INDEX(Symboles!$H$6:$H$101,MOD(32+$C38+(2),$B$3)+1)*K38+INDEX(Symboles!$H$6:$H$101,MOD(32+$C38+(3),$B$3)+1)*L38+INDEX(Symboles!$H$6:$H$101,MOD(32+$C38+(4),$B$3)+1)*M38+IF($B$6=0,0,$B$6*NORMSINV(0.000001+0.999998*RAND())))</f>
        <v/>
      </c>
      <c r="EP38" s="30">
        <f>IF(34&gt;$B$3,99,INDEX(Symboles!$H$6:$H$101,MOD(33+$C38+(-4),$B$3)+1)*E38+INDEX(Symboles!$H$6:$H$101,MOD(33+$C38+(-3),$B$3)+1)*F38+INDEX(Symboles!$H$6:$H$101,MOD(33+$C38+(-2),$B$3)+1)*G38+INDEX(Symboles!$H$6:$H$101,MOD(33+$C38+(-1),$B$3)+1)*H38+INDEX(Symboles!$H$6:$H$101,MOD(33+$C38+(0),$B$3)+1)*I38+INDEX(Symboles!$H$6:$H$101,MOD(33+$C38+(1),$B$3)+1)*J38+INDEX(Symboles!$H$6:$H$101,MOD(33+$C38+(2),$B$3)+1)*K38+INDEX(Symboles!$H$6:$H$101,MOD(33+$C38+(3),$B$3)+1)*L38+INDEX(Symboles!$H$6:$H$101,MOD(33+$C38+(4),$B$3)+1)*M38+IF($B$6=0,0,$B$6*NORMSINV(0.000001+0.999998*RAND())))</f>
        <v/>
      </c>
      <c r="EQ38" s="30">
        <f>IF(35&gt;$B$3,99,INDEX(Symboles!$H$6:$H$101,MOD(34+$C38+(-4),$B$3)+1)*E38+INDEX(Symboles!$H$6:$H$101,MOD(34+$C38+(-3),$B$3)+1)*F38+INDEX(Symboles!$H$6:$H$101,MOD(34+$C38+(-2),$B$3)+1)*G38+INDEX(Symboles!$H$6:$H$101,MOD(34+$C38+(-1),$B$3)+1)*H38+INDEX(Symboles!$H$6:$H$101,MOD(34+$C38+(0),$B$3)+1)*I38+INDEX(Symboles!$H$6:$H$101,MOD(34+$C38+(1),$B$3)+1)*J38+INDEX(Symboles!$H$6:$H$101,MOD(34+$C38+(2),$B$3)+1)*K38+INDEX(Symboles!$H$6:$H$101,MOD(34+$C38+(3),$B$3)+1)*L38+INDEX(Symboles!$H$6:$H$101,MOD(34+$C38+(4),$B$3)+1)*M38+IF($B$6=0,0,$B$6*NORMSINV(0.000001+0.999998*RAND())))</f>
        <v/>
      </c>
      <c r="ER38" s="30">
        <f>IF(36&gt;$B$3,99,INDEX(Symboles!$H$6:$H$101,MOD(35+$C38+(-4),$B$3)+1)*E38+INDEX(Symboles!$H$6:$H$101,MOD(35+$C38+(-3),$B$3)+1)*F38+INDEX(Symboles!$H$6:$H$101,MOD(35+$C38+(-2),$B$3)+1)*G38+INDEX(Symboles!$H$6:$H$101,MOD(35+$C38+(-1),$B$3)+1)*H38+INDEX(Symboles!$H$6:$H$101,MOD(35+$C38+(0),$B$3)+1)*I38+INDEX(Symboles!$H$6:$H$101,MOD(35+$C38+(1),$B$3)+1)*J38+INDEX(Symboles!$H$6:$H$101,MOD(35+$C38+(2),$B$3)+1)*K38+INDEX(Symboles!$H$6:$H$101,MOD(35+$C38+(3),$B$3)+1)*L38+INDEX(Symboles!$H$6:$H$101,MOD(35+$C38+(4),$B$3)+1)*M38+IF($B$6=0,0,$B$6*NORMSINV(0.000001+0.999998*RAND())))</f>
        <v/>
      </c>
      <c r="ES38" s="30">
        <f>IF(37&gt;$B$3,99,INDEX(Symboles!$H$6:$H$101,MOD(36+$C38+(-4),$B$3)+1)*E38+INDEX(Symboles!$H$6:$H$101,MOD(36+$C38+(-3),$B$3)+1)*F38+INDEX(Symboles!$H$6:$H$101,MOD(36+$C38+(-2),$B$3)+1)*G38+INDEX(Symboles!$H$6:$H$101,MOD(36+$C38+(-1),$B$3)+1)*H38+INDEX(Symboles!$H$6:$H$101,MOD(36+$C38+(0),$B$3)+1)*I38+INDEX(Symboles!$H$6:$H$101,MOD(36+$C38+(1),$B$3)+1)*J38+INDEX(Symboles!$H$6:$H$101,MOD(36+$C38+(2),$B$3)+1)*K38+INDEX(Symboles!$H$6:$H$101,MOD(36+$C38+(3),$B$3)+1)*L38+INDEX(Symboles!$H$6:$H$101,MOD(36+$C38+(4),$B$3)+1)*M38+IF($B$6=0,0,$B$6*NORMSINV(0.000001+0.999998*RAND())))</f>
        <v/>
      </c>
      <c r="ET38" s="30">
        <f>IF(38&gt;$B$3,99,INDEX(Symboles!$H$6:$H$101,MOD(37+$C38+(-4),$B$3)+1)*E38+INDEX(Symboles!$H$6:$H$101,MOD(37+$C38+(-3),$B$3)+1)*F38+INDEX(Symboles!$H$6:$H$101,MOD(37+$C38+(-2),$B$3)+1)*G38+INDEX(Symboles!$H$6:$H$101,MOD(37+$C38+(-1),$B$3)+1)*H38+INDEX(Symboles!$H$6:$H$101,MOD(37+$C38+(0),$B$3)+1)*I38+INDEX(Symboles!$H$6:$H$101,MOD(37+$C38+(1),$B$3)+1)*J38+INDEX(Symboles!$H$6:$H$101,MOD(37+$C38+(2),$B$3)+1)*K38+INDEX(Symboles!$H$6:$H$101,MOD(37+$C38+(3),$B$3)+1)*L38+INDEX(Symboles!$H$6:$H$101,MOD(37+$C38+(4),$B$3)+1)*M38+IF($B$6=0,0,$B$6*NORMSINV(0.000001+0.999998*RAND())))</f>
        <v/>
      </c>
      <c r="EU38" s="30">
        <f>IF(39&gt;$B$3,99,INDEX(Symboles!$H$6:$H$101,MOD(38+$C38+(-4),$B$3)+1)*E38+INDEX(Symboles!$H$6:$H$101,MOD(38+$C38+(-3),$B$3)+1)*F38+INDEX(Symboles!$H$6:$H$101,MOD(38+$C38+(-2),$B$3)+1)*G38+INDEX(Symboles!$H$6:$H$101,MOD(38+$C38+(-1),$B$3)+1)*H38+INDEX(Symboles!$H$6:$H$101,MOD(38+$C38+(0),$B$3)+1)*I38+INDEX(Symboles!$H$6:$H$101,MOD(38+$C38+(1),$B$3)+1)*J38+INDEX(Symboles!$H$6:$H$101,MOD(38+$C38+(2),$B$3)+1)*K38+INDEX(Symboles!$H$6:$H$101,MOD(38+$C38+(3),$B$3)+1)*L38+INDEX(Symboles!$H$6:$H$101,MOD(38+$C38+(4),$B$3)+1)*M38+IF($B$6=0,0,$B$6*NORMSINV(0.000001+0.999998*RAND())))</f>
        <v/>
      </c>
      <c r="EV38" s="30">
        <f>IF(40&gt;$B$3,99,INDEX(Symboles!$H$6:$H$101,MOD(39+$C38+(-4),$B$3)+1)*E38+INDEX(Symboles!$H$6:$H$101,MOD(39+$C38+(-3),$B$3)+1)*F38+INDEX(Symboles!$H$6:$H$101,MOD(39+$C38+(-2),$B$3)+1)*G38+INDEX(Symboles!$H$6:$H$101,MOD(39+$C38+(-1),$B$3)+1)*H38+INDEX(Symboles!$H$6:$H$101,MOD(39+$C38+(0),$B$3)+1)*I38+INDEX(Symboles!$H$6:$H$101,MOD(39+$C38+(1),$B$3)+1)*J38+INDEX(Symboles!$H$6:$H$101,MOD(39+$C38+(2),$B$3)+1)*K38+INDEX(Symboles!$H$6:$H$101,MOD(39+$C38+(3),$B$3)+1)*L38+INDEX(Symboles!$H$6:$H$101,MOD(39+$C38+(4),$B$3)+1)*M38+IF($B$6=0,0,$B$6*NORMSINV(0.000001+0.999998*RAND())))</f>
        <v/>
      </c>
      <c r="EW38" s="30">
        <f>IF(41&gt;$B$3,99,INDEX(Symboles!$H$6:$H$101,MOD(40+$C38+(-4),$B$3)+1)*E38+INDEX(Symboles!$H$6:$H$101,MOD(40+$C38+(-3),$B$3)+1)*F38+INDEX(Symboles!$H$6:$H$101,MOD(40+$C38+(-2),$B$3)+1)*G38+INDEX(Symboles!$H$6:$H$101,MOD(40+$C38+(-1),$B$3)+1)*H38+INDEX(Symboles!$H$6:$H$101,MOD(40+$C38+(0),$B$3)+1)*I38+INDEX(Symboles!$H$6:$H$101,MOD(40+$C38+(1),$B$3)+1)*J38+INDEX(Symboles!$H$6:$H$101,MOD(40+$C38+(2),$B$3)+1)*K38+INDEX(Symboles!$H$6:$H$101,MOD(40+$C38+(3),$B$3)+1)*L38+INDEX(Symboles!$H$6:$H$101,MOD(40+$C38+(4),$B$3)+1)*M38+IF($B$6=0,0,$B$6*NORMSINV(0.000001+0.999998*RAND())))</f>
        <v/>
      </c>
      <c r="EX38" s="30">
        <f>IF(42&gt;$B$3,99,INDEX(Symboles!$H$6:$H$101,MOD(41+$C38+(-4),$B$3)+1)*E38+INDEX(Symboles!$H$6:$H$101,MOD(41+$C38+(-3),$B$3)+1)*F38+INDEX(Symboles!$H$6:$H$101,MOD(41+$C38+(-2),$B$3)+1)*G38+INDEX(Symboles!$H$6:$H$101,MOD(41+$C38+(-1),$B$3)+1)*H38+INDEX(Symboles!$H$6:$H$101,MOD(41+$C38+(0),$B$3)+1)*I38+INDEX(Symboles!$H$6:$H$101,MOD(41+$C38+(1),$B$3)+1)*J38+INDEX(Symboles!$H$6:$H$101,MOD(41+$C38+(2),$B$3)+1)*K38+INDEX(Symboles!$H$6:$H$101,MOD(41+$C38+(3),$B$3)+1)*L38+INDEX(Symboles!$H$6:$H$101,MOD(41+$C38+(4),$B$3)+1)*M38+IF($B$6=0,0,$B$6*NORMSINV(0.000001+0.999998*RAND())))</f>
        <v/>
      </c>
      <c r="EY38" s="30">
        <f>IF(43&gt;$B$3,99,INDEX(Symboles!$H$6:$H$101,MOD(42+$C38+(-4),$B$3)+1)*E38+INDEX(Symboles!$H$6:$H$101,MOD(42+$C38+(-3),$B$3)+1)*F38+INDEX(Symboles!$H$6:$H$101,MOD(42+$C38+(-2),$B$3)+1)*G38+INDEX(Symboles!$H$6:$H$101,MOD(42+$C38+(-1),$B$3)+1)*H38+INDEX(Symboles!$H$6:$H$101,MOD(42+$C38+(0),$B$3)+1)*I38+INDEX(Symboles!$H$6:$H$101,MOD(42+$C38+(1),$B$3)+1)*J38+INDEX(Symboles!$H$6:$H$101,MOD(42+$C38+(2),$B$3)+1)*K38+INDEX(Symboles!$H$6:$H$101,MOD(42+$C38+(3),$B$3)+1)*L38+INDEX(Symboles!$H$6:$H$101,MOD(42+$C38+(4),$B$3)+1)*M38+IF($B$6=0,0,$B$6*NORMSINV(0.000001+0.999998*RAND())))</f>
        <v/>
      </c>
      <c r="EZ38" s="30">
        <f>IF(44&gt;$B$3,99,INDEX(Symboles!$H$6:$H$101,MOD(43+$C38+(-4),$B$3)+1)*E38+INDEX(Symboles!$H$6:$H$101,MOD(43+$C38+(-3),$B$3)+1)*F38+INDEX(Symboles!$H$6:$H$101,MOD(43+$C38+(-2),$B$3)+1)*G38+INDEX(Symboles!$H$6:$H$101,MOD(43+$C38+(-1),$B$3)+1)*H38+INDEX(Symboles!$H$6:$H$101,MOD(43+$C38+(0),$B$3)+1)*I38+INDEX(Symboles!$H$6:$H$101,MOD(43+$C38+(1),$B$3)+1)*J38+INDEX(Symboles!$H$6:$H$101,MOD(43+$C38+(2),$B$3)+1)*K38+INDEX(Symboles!$H$6:$H$101,MOD(43+$C38+(3),$B$3)+1)*L38+INDEX(Symboles!$H$6:$H$101,MOD(43+$C38+(4),$B$3)+1)*M38+IF($B$6=0,0,$B$6*NORMSINV(0.000001+0.999998*RAND())))</f>
        <v/>
      </c>
      <c r="FA38" s="30">
        <f>IF(45&gt;$B$3,99,INDEX(Symboles!$H$6:$H$101,MOD(44+$C38+(-4),$B$3)+1)*E38+INDEX(Symboles!$H$6:$H$101,MOD(44+$C38+(-3),$B$3)+1)*F38+INDEX(Symboles!$H$6:$H$101,MOD(44+$C38+(-2),$B$3)+1)*G38+INDEX(Symboles!$H$6:$H$101,MOD(44+$C38+(-1),$B$3)+1)*H38+INDEX(Symboles!$H$6:$H$101,MOD(44+$C38+(0),$B$3)+1)*I38+INDEX(Symboles!$H$6:$H$101,MOD(44+$C38+(1),$B$3)+1)*J38+INDEX(Symboles!$H$6:$H$101,MOD(44+$C38+(2),$B$3)+1)*K38+INDEX(Symboles!$H$6:$H$101,MOD(44+$C38+(3),$B$3)+1)*L38+INDEX(Symboles!$H$6:$H$101,MOD(44+$C38+(4),$B$3)+1)*M38+IF($B$6=0,0,$B$6*NORMSINV(0.000001+0.999998*RAND())))</f>
        <v/>
      </c>
      <c r="FB38" s="30">
        <f>IF(46&gt;$B$3,99,INDEX(Symboles!$H$6:$H$101,MOD(45+$C38+(-4),$B$3)+1)*E38+INDEX(Symboles!$H$6:$H$101,MOD(45+$C38+(-3),$B$3)+1)*F38+INDEX(Symboles!$H$6:$H$101,MOD(45+$C38+(-2),$B$3)+1)*G38+INDEX(Symboles!$H$6:$H$101,MOD(45+$C38+(-1),$B$3)+1)*H38+INDEX(Symboles!$H$6:$H$101,MOD(45+$C38+(0),$B$3)+1)*I38+INDEX(Symboles!$H$6:$H$101,MOD(45+$C38+(1),$B$3)+1)*J38+INDEX(Symboles!$H$6:$H$101,MOD(45+$C38+(2),$B$3)+1)*K38+INDEX(Symboles!$H$6:$H$101,MOD(45+$C38+(3),$B$3)+1)*L38+INDEX(Symboles!$H$6:$H$101,MOD(45+$C38+(4),$B$3)+1)*M38+IF($B$6=0,0,$B$6*NORMSINV(0.000001+0.999998*RAND())))</f>
        <v/>
      </c>
      <c r="FC38" s="30">
        <f>IF(47&gt;$B$3,99,INDEX(Symboles!$H$6:$H$101,MOD(46+$C38+(-4),$B$3)+1)*E38+INDEX(Symboles!$H$6:$H$101,MOD(46+$C38+(-3),$B$3)+1)*F38+INDEX(Symboles!$H$6:$H$101,MOD(46+$C38+(-2),$B$3)+1)*G38+INDEX(Symboles!$H$6:$H$101,MOD(46+$C38+(-1),$B$3)+1)*H38+INDEX(Symboles!$H$6:$H$101,MOD(46+$C38+(0),$B$3)+1)*I38+INDEX(Symboles!$H$6:$H$101,MOD(46+$C38+(1),$B$3)+1)*J38+INDEX(Symboles!$H$6:$H$101,MOD(46+$C38+(2),$B$3)+1)*K38+INDEX(Symboles!$H$6:$H$101,MOD(46+$C38+(3),$B$3)+1)*L38+INDEX(Symboles!$H$6:$H$101,MOD(46+$C38+(4),$B$3)+1)*M38+IF($B$6=0,0,$B$6*NORMSINV(0.000001+0.999998*RAND())))</f>
        <v/>
      </c>
      <c r="FD38" s="30">
        <f>IF(48&gt;$B$3,99,INDEX(Symboles!$H$6:$H$101,MOD(47+$C38+(-4),$B$3)+1)*E38+INDEX(Symboles!$H$6:$H$101,MOD(47+$C38+(-3),$B$3)+1)*F38+INDEX(Symboles!$H$6:$H$101,MOD(47+$C38+(-2),$B$3)+1)*G38+INDEX(Symboles!$H$6:$H$101,MOD(47+$C38+(-1),$B$3)+1)*H38+INDEX(Symboles!$H$6:$H$101,MOD(47+$C38+(0),$B$3)+1)*I38+INDEX(Symboles!$H$6:$H$101,MOD(47+$C38+(1),$B$3)+1)*J38+INDEX(Symboles!$H$6:$H$101,MOD(47+$C38+(2),$B$3)+1)*K38+INDEX(Symboles!$H$6:$H$101,MOD(47+$C38+(3),$B$3)+1)*L38+INDEX(Symboles!$H$6:$H$101,MOD(47+$C38+(4),$B$3)+1)*M38+IF($B$6=0,0,$B$6*NORMSINV(0.000001+0.999998*RAND())))</f>
        <v/>
      </c>
      <c r="FE38" s="30">
        <f>IF(49&gt;$B$3,99,INDEX(Symboles!$H$6:$H$101,MOD(48+$C38+(-4),$B$3)+1)*E38+INDEX(Symboles!$H$6:$H$101,MOD(48+$C38+(-3),$B$3)+1)*F38+INDEX(Symboles!$H$6:$H$101,MOD(48+$C38+(-2),$B$3)+1)*G38+INDEX(Symboles!$H$6:$H$101,MOD(48+$C38+(-1),$B$3)+1)*H38+INDEX(Symboles!$H$6:$H$101,MOD(48+$C38+(0),$B$3)+1)*I38+INDEX(Symboles!$H$6:$H$101,MOD(48+$C38+(1),$B$3)+1)*J38+INDEX(Symboles!$H$6:$H$101,MOD(48+$C38+(2),$B$3)+1)*K38+INDEX(Symboles!$H$6:$H$101,MOD(48+$C38+(3),$B$3)+1)*L38+INDEX(Symboles!$H$6:$H$101,MOD(48+$C38+(4),$B$3)+1)*M38+IF($B$6=0,0,$B$6*NORMSINV(0.000001+0.999998*RAND())))</f>
        <v/>
      </c>
      <c r="FF38" s="30">
        <f>IF(50&gt;$B$3,99,INDEX(Symboles!$H$6:$H$101,MOD(49+$C38+(-4),$B$3)+1)*E38+INDEX(Symboles!$H$6:$H$101,MOD(49+$C38+(-3),$B$3)+1)*F38+INDEX(Symboles!$H$6:$H$101,MOD(49+$C38+(-2),$B$3)+1)*G38+INDEX(Symboles!$H$6:$H$101,MOD(49+$C38+(-1),$B$3)+1)*H38+INDEX(Symboles!$H$6:$H$101,MOD(49+$C38+(0),$B$3)+1)*I38+INDEX(Symboles!$H$6:$H$101,MOD(49+$C38+(1),$B$3)+1)*J38+INDEX(Symboles!$H$6:$H$101,MOD(49+$C38+(2),$B$3)+1)*K38+INDEX(Symboles!$H$6:$H$101,MOD(49+$C38+(3),$B$3)+1)*L38+INDEX(Symboles!$H$6:$H$101,MOD(49+$C38+(4),$B$3)+1)*M38+IF($B$6=0,0,$B$6*NORMSINV(0.000001+0.999998*RAND())))</f>
        <v/>
      </c>
      <c r="FG38" s="30">
        <f>IF(51&gt;$B$3,99,INDEX(Symboles!$H$6:$H$101,MOD(50+$C38+(-4),$B$3)+1)*E38+INDEX(Symboles!$H$6:$H$101,MOD(50+$C38+(-3),$B$3)+1)*F38+INDEX(Symboles!$H$6:$H$101,MOD(50+$C38+(-2),$B$3)+1)*G38+INDEX(Symboles!$H$6:$H$101,MOD(50+$C38+(-1),$B$3)+1)*H38+INDEX(Symboles!$H$6:$H$101,MOD(50+$C38+(0),$B$3)+1)*I38+INDEX(Symboles!$H$6:$H$101,MOD(50+$C38+(1),$B$3)+1)*J38+INDEX(Symboles!$H$6:$H$101,MOD(50+$C38+(2),$B$3)+1)*K38+INDEX(Symboles!$H$6:$H$101,MOD(50+$C38+(3),$B$3)+1)*L38+INDEX(Symboles!$H$6:$H$101,MOD(50+$C38+(4),$B$3)+1)*M38+IF($B$6=0,0,$B$6*NORMSINV(0.000001+0.999998*RAND())))</f>
        <v/>
      </c>
      <c r="FH38" s="30">
        <f>IF(52&gt;$B$3,99,INDEX(Symboles!$H$6:$H$101,MOD(51+$C38+(-4),$B$3)+1)*E38+INDEX(Symboles!$H$6:$H$101,MOD(51+$C38+(-3),$B$3)+1)*F38+INDEX(Symboles!$H$6:$H$101,MOD(51+$C38+(-2),$B$3)+1)*G38+INDEX(Symboles!$H$6:$H$101,MOD(51+$C38+(-1),$B$3)+1)*H38+INDEX(Symboles!$H$6:$H$101,MOD(51+$C38+(0),$B$3)+1)*I38+INDEX(Symboles!$H$6:$H$101,MOD(51+$C38+(1),$B$3)+1)*J38+INDEX(Symboles!$H$6:$H$101,MOD(51+$C38+(2),$B$3)+1)*K38+INDEX(Symboles!$H$6:$H$101,MOD(51+$C38+(3),$B$3)+1)*L38+INDEX(Symboles!$H$6:$H$101,MOD(51+$C38+(4),$B$3)+1)*M38+IF($B$6=0,0,$B$6*NORMSINV(0.000001+0.999998*RAND())))</f>
        <v/>
      </c>
      <c r="FI38" s="30">
        <f>IF(53&gt;$B$3,99,INDEX(Symboles!$H$6:$H$101,MOD(52+$C38+(-4),$B$3)+1)*E38+INDEX(Symboles!$H$6:$H$101,MOD(52+$C38+(-3),$B$3)+1)*F38+INDEX(Symboles!$H$6:$H$101,MOD(52+$C38+(-2),$B$3)+1)*G38+INDEX(Symboles!$H$6:$H$101,MOD(52+$C38+(-1),$B$3)+1)*H38+INDEX(Symboles!$H$6:$H$101,MOD(52+$C38+(0),$B$3)+1)*I38+INDEX(Symboles!$H$6:$H$101,MOD(52+$C38+(1),$B$3)+1)*J38+INDEX(Symboles!$H$6:$H$101,MOD(52+$C38+(2),$B$3)+1)*K38+INDEX(Symboles!$H$6:$H$101,MOD(52+$C38+(3),$B$3)+1)*L38+INDEX(Symboles!$H$6:$H$101,MOD(52+$C38+(4),$B$3)+1)*M38+IF($B$6=0,0,$B$6*NORMSINV(0.000001+0.999998*RAND())))</f>
        <v/>
      </c>
      <c r="FJ38" s="30">
        <f>IF(54&gt;$B$3,99,INDEX(Symboles!$H$6:$H$101,MOD(53+$C38+(-4),$B$3)+1)*E38+INDEX(Symboles!$H$6:$H$101,MOD(53+$C38+(-3),$B$3)+1)*F38+INDEX(Symboles!$H$6:$H$101,MOD(53+$C38+(-2),$B$3)+1)*G38+INDEX(Symboles!$H$6:$H$101,MOD(53+$C38+(-1),$B$3)+1)*H38+INDEX(Symboles!$H$6:$H$101,MOD(53+$C38+(0),$B$3)+1)*I38+INDEX(Symboles!$H$6:$H$101,MOD(53+$C38+(1),$B$3)+1)*J38+INDEX(Symboles!$H$6:$H$101,MOD(53+$C38+(2),$B$3)+1)*K38+INDEX(Symboles!$H$6:$H$101,MOD(53+$C38+(3),$B$3)+1)*L38+INDEX(Symboles!$H$6:$H$101,MOD(53+$C38+(4),$B$3)+1)*M38+IF($B$6=0,0,$B$6*NORMSINV(0.000001+0.999998*RAND())))</f>
        <v/>
      </c>
      <c r="FK38" s="30">
        <f>IF(55&gt;$B$3,99,INDEX(Symboles!$H$6:$H$101,MOD(54+$C38+(-4),$B$3)+1)*E38+INDEX(Symboles!$H$6:$H$101,MOD(54+$C38+(-3),$B$3)+1)*F38+INDEX(Symboles!$H$6:$H$101,MOD(54+$C38+(-2),$B$3)+1)*G38+INDEX(Symboles!$H$6:$H$101,MOD(54+$C38+(-1),$B$3)+1)*H38+INDEX(Symboles!$H$6:$H$101,MOD(54+$C38+(0),$B$3)+1)*I38+INDEX(Symboles!$H$6:$H$101,MOD(54+$C38+(1),$B$3)+1)*J38+INDEX(Symboles!$H$6:$H$101,MOD(54+$C38+(2),$B$3)+1)*K38+INDEX(Symboles!$H$6:$H$101,MOD(54+$C38+(3),$B$3)+1)*L38+INDEX(Symboles!$H$6:$H$101,MOD(54+$C38+(4),$B$3)+1)*M38+IF($B$6=0,0,$B$6*NORMSINV(0.000001+0.999998*RAND())))</f>
        <v/>
      </c>
      <c r="FL38" s="30">
        <f>IF(56&gt;$B$3,99,INDEX(Symboles!$H$6:$H$101,MOD(55+$C38+(-4),$B$3)+1)*E38+INDEX(Symboles!$H$6:$H$101,MOD(55+$C38+(-3),$B$3)+1)*F38+INDEX(Symboles!$H$6:$H$101,MOD(55+$C38+(-2),$B$3)+1)*G38+INDEX(Symboles!$H$6:$H$101,MOD(55+$C38+(-1),$B$3)+1)*H38+INDEX(Symboles!$H$6:$H$101,MOD(55+$C38+(0),$B$3)+1)*I38+INDEX(Symboles!$H$6:$H$101,MOD(55+$C38+(1),$B$3)+1)*J38+INDEX(Symboles!$H$6:$H$101,MOD(55+$C38+(2),$B$3)+1)*K38+INDEX(Symboles!$H$6:$H$101,MOD(55+$C38+(3),$B$3)+1)*L38+INDEX(Symboles!$H$6:$H$101,MOD(55+$C38+(4),$B$3)+1)*M38+IF($B$6=0,0,$B$6*NORMSINV(0.000001+0.999998*RAND())))</f>
        <v/>
      </c>
      <c r="FM38" s="30">
        <f>IF(57&gt;$B$3,99,INDEX(Symboles!$H$6:$H$101,MOD(56+$C38+(-4),$B$3)+1)*E38+INDEX(Symboles!$H$6:$H$101,MOD(56+$C38+(-3),$B$3)+1)*F38+INDEX(Symboles!$H$6:$H$101,MOD(56+$C38+(-2),$B$3)+1)*G38+INDEX(Symboles!$H$6:$H$101,MOD(56+$C38+(-1),$B$3)+1)*H38+INDEX(Symboles!$H$6:$H$101,MOD(56+$C38+(0),$B$3)+1)*I38+INDEX(Symboles!$H$6:$H$101,MOD(56+$C38+(1),$B$3)+1)*J38+INDEX(Symboles!$H$6:$H$101,MOD(56+$C38+(2),$B$3)+1)*K38+INDEX(Symboles!$H$6:$H$101,MOD(56+$C38+(3),$B$3)+1)*L38+INDEX(Symboles!$H$6:$H$101,MOD(56+$C38+(4),$B$3)+1)*M38+IF($B$6=0,0,$B$6*NORMSINV(0.000001+0.999998*RAND())))</f>
        <v/>
      </c>
      <c r="FN38" s="30">
        <f>IF(58&gt;$B$3,99,INDEX(Symboles!$H$6:$H$101,MOD(57+$C38+(-4),$B$3)+1)*E38+INDEX(Symboles!$H$6:$H$101,MOD(57+$C38+(-3),$B$3)+1)*F38+INDEX(Symboles!$H$6:$H$101,MOD(57+$C38+(-2),$B$3)+1)*G38+INDEX(Symboles!$H$6:$H$101,MOD(57+$C38+(-1),$B$3)+1)*H38+INDEX(Symboles!$H$6:$H$101,MOD(57+$C38+(0),$B$3)+1)*I38+INDEX(Symboles!$H$6:$H$101,MOD(57+$C38+(1),$B$3)+1)*J38+INDEX(Symboles!$H$6:$H$101,MOD(57+$C38+(2),$B$3)+1)*K38+INDEX(Symboles!$H$6:$H$101,MOD(57+$C38+(3),$B$3)+1)*L38+INDEX(Symboles!$H$6:$H$101,MOD(57+$C38+(4),$B$3)+1)*M38+IF($B$6=0,0,$B$6*NORMSINV(0.000001+0.999998*RAND())))</f>
        <v/>
      </c>
      <c r="FO38" s="30">
        <f>IF(59&gt;$B$3,99,INDEX(Symboles!$H$6:$H$101,MOD(58+$C38+(-4),$B$3)+1)*E38+INDEX(Symboles!$H$6:$H$101,MOD(58+$C38+(-3),$B$3)+1)*F38+INDEX(Symboles!$H$6:$H$101,MOD(58+$C38+(-2),$B$3)+1)*G38+INDEX(Symboles!$H$6:$H$101,MOD(58+$C38+(-1),$B$3)+1)*H38+INDEX(Symboles!$H$6:$H$101,MOD(58+$C38+(0),$B$3)+1)*I38+INDEX(Symboles!$H$6:$H$101,MOD(58+$C38+(1),$B$3)+1)*J38+INDEX(Symboles!$H$6:$H$101,MOD(58+$C38+(2),$B$3)+1)*K38+INDEX(Symboles!$H$6:$H$101,MOD(58+$C38+(3),$B$3)+1)*L38+INDEX(Symboles!$H$6:$H$101,MOD(58+$C38+(4),$B$3)+1)*M38+IF($B$6=0,0,$B$6*NORMSINV(0.000001+0.999998*RAND())))</f>
        <v/>
      </c>
      <c r="FP38" s="30">
        <f>IF(60&gt;$B$3,99,INDEX(Symboles!$H$6:$H$101,MOD(59+$C38+(-4),$B$3)+1)*E38+INDEX(Symboles!$H$6:$H$101,MOD(59+$C38+(-3),$B$3)+1)*F38+INDEX(Symboles!$H$6:$H$101,MOD(59+$C38+(-2),$B$3)+1)*G38+INDEX(Symboles!$H$6:$H$101,MOD(59+$C38+(-1),$B$3)+1)*H38+INDEX(Symboles!$H$6:$H$101,MOD(59+$C38+(0),$B$3)+1)*I38+INDEX(Symboles!$H$6:$H$101,MOD(59+$C38+(1),$B$3)+1)*J38+INDEX(Symboles!$H$6:$H$101,MOD(59+$C38+(2),$B$3)+1)*K38+INDEX(Symboles!$H$6:$H$101,MOD(59+$C38+(3),$B$3)+1)*L38+INDEX(Symboles!$H$6:$H$101,MOD(59+$C38+(4),$B$3)+1)*M38+IF($B$6=0,0,$B$6*NORMSINV(0.000001+0.999998*RAND())))</f>
        <v/>
      </c>
      <c r="FQ38" s="30">
        <f>IF(61&gt;$B$3,99,INDEX(Symboles!$H$6:$H$101,MOD(60+$C38+(-4),$B$3)+1)*E38+INDEX(Symboles!$H$6:$H$101,MOD(60+$C38+(-3),$B$3)+1)*F38+INDEX(Symboles!$H$6:$H$101,MOD(60+$C38+(-2),$B$3)+1)*G38+INDEX(Symboles!$H$6:$H$101,MOD(60+$C38+(-1),$B$3)+1)*H38+INDEX(Symboles!$H$6:$H$101,MOD(60+$C38+(0),$B$3)+1)*I38+INDEX(Symboles!$H$6:$H$101,MOD(60+$C38+(1),$B$3)+1)*J38+INDEX(Symboles!$H$6:$H$101,MOD(60+$C38+(2),$B$3)+1)*K38+INDEX(Symboles!$H$6:$H$101,MOD(60+$C38+(3),$B$3)+1)*L38+INDEX(Symboles!$H$6:$H$101,MOD(60+$C38+(4),$B$3)+1)*M38+IF($B$6=0,0,$B$6*NORMSINV(0.000001+0.999998*RAND())))</f>
        <v/>
      </c>
      <c r="FR38" s="30">
        <f>IF(62&gt;$B$3,99,INDEX(Symboles!$H$6:$H$101,MOD(61+$C38+(-4),$B$3)+1)*E38+INDEX(Symboles!$H$6:$H$101,MOD(61+$C38+(-3),$B$3)+1)*F38+INDEX(Symboles!$H$6:$H$101,MOD(61+$C38+(-2),$B$3)+1)*G38+INDEX(Symboles!$H$6:$H$101,MOD(61+$C38+(-1),$B$3)+1)*H38+INDEX(Symboles!$H$6:$H$101,MOD(61+$C38+(0),$B$3)+1)*I38+INDEX(Symboles!$H$6:$H$101,MOD(61+$C38+(1),$B$3)+1)*J38+INDEX(Symboles!$H$6:$H$101,MOD(61+$C38+(2),$B$3)+1)*K38+INDEX(Symboles!$H$6:$H$101,MOD(61+$C38+(3),$B$3)+1)*L38+INDEX(Symboles!$H$6:$H$101,MOD(61+$C38+(4),$B$3)+1)*M38+IF($B$6=0,0,$B$6*NORMSINV(0.000001+0.999998*RAND())))</f>
        <v/>
      </c>
      <c r="FS38" s="30">
        <f>IF(63&gt;$B$3,99,INDEX(Symboles!$H$6:$H$101,MOD(62+$C38+(-4),$B$3)+1)*E38+INDEX(Symboles!$H$6:$H$101,MOD(62+$C38+(-3),$B$3)+1)*F38+INDEX(Symboles!$H$6:$H$101,MOD(62+$C38+(-2),$B$3)+1)*G38+INDEX(Symboles!$H$6:$H$101,MOD(62+$C38+(-1),$B$3)+1)*H38+INDEX(Symboles!$H$6:$H$101,MOD(62+$C38+(0),$B$3)+1)*I38+INDEX(Symboles!$H$6:$H$101,MOD(62+$C38+(1),$B$3)+1)*J38+INDEX(Symboles!$H$6:$H$101,MOD(62+$C38+(2),$B$3)+1)*K38+INDEX(Symboles!$H$6:$H$101,MOD(62+$C38+(3),$B$3)+1)*L38+INDEX(Symboles!$H$6:$H$101,MOD(62+$C38+(4),$B$3)+1)*M38+IF($B$6=0,0,$B$6*NORMSINV(0.000001+0.999998*RAND())))</f>
        <v/>
      </c>
      <c r="FT38" s="30">
        <f>IF(64&gt;$B$3,99,INDEX(Symboles!$H$6:$H$101,MOD(63+$C38+(-4),$B$3)+1)*E38+INDEX(Symboles!$H$6:$H$101,MOD(63+$C38+(-3),$B$3)+1)*F38+INDEX(Symboles!$H$6:$H$101,MOD(63+$C38+(-2),$B$3)+1)*G38+INDEX(Symboles!$H$6:$H$101,MOD(63+$C38+(-1),$B$3)+1)*H38+INDEX(Symboles!$H$6:$H$101,MOD(63+$C38+(0),$B$3)+1)*I38+INDEX(Symboles!$H$6:$H$101,MOD(63+$C38+(1),$B$3)+1)*J38+INDEX(Symboles!$H$6:$H$101,MOD(63+$C38+(2),$B$3)+1)*K38+INDEX(Symboles!$H$6:$H$101,MOD(63+$C38+(3),$B$3)+1)*L38+INDEX(Symboles!$H$6:$H$101,MOD(63+$C38+(4),$B$3)+1)*M38+IF($B$6=0,0,$B$6*NORMSINV(0.000001+0.999998*RAND())))</f>
        <v/>
      </c>
      <c r="FU38" s="30">
        <f>IF(65&gt;$B$3,99,INDEX(Symboles!$H$6:$H$101,MOD(64+$C38+(-4),$B$3)+1)*E38+INDEX(Symboles!$H$6:$H$101,MOD(64+$C38+(-3),$B$3)+1)*F38+INDEX(Symboles!$H$6:$H$101,MOD(64+$C38+(-2),$B$3)+1)*G38+INDEX(Symboles!$H$6:$H$101,MOD(64+$C38+(-1),$B$3)+1)*H38+INDEX(Symboles!$H$6:$H$101,MOD(64+$C38+(0),$B$3)+1)*I38+INDEX(Symboles!$H$6:$H$101,MOD(64+$C38+(1),$B$3)+1)*J38+INDEX(Symboles!$H$6:$H$101,MOD(64+$C38+(2),$B$3)+1)*K38+INDEX(Symboles!$H$6:$H$101,MOD(64+$C38+(3),$B$3)+1)*L38+INDEX(Symboles!$H$6:$H$101,MOD(64+$C38+(4),$B$3)+1)*M38+IF($B$6=0,0,$B$6*NORMSINV(0.000001+0.999998*RAND())))</f>
        <v/>
      </c>
      <c r="FV38" s="30">
        <f>IF(66&gt;$B$3,99,INDEX(Symboles!$H$6:$H$101,MOD(65+$C38+(-4),$B$3)+1)*E38+INDEX(Symboles!$H$6:$H$101,MOD(65+$C38+(-3),$B$3)+1)*F38+INDEX(Symboles!$H$6:$H$101,MOD(65+$C38+(-2),$B$3)+1)*G38+INDEX(Symboles!$H$6:$H$101,MOD(65+$C38+(-1),$B$3)+1)*H38+INDEX(Symboles!$H$6:$H$101,MOD(65+$C38+(0),$B$3)+1)*I38+INDEX(Symboles!$H$6:$H$101,MOD(65+$C38+(1),$B$3)+1)*J38+INDEX(Symboles!$H$6:$H$101,MOD(65+$C38+(2),$B$3)+1)*K38+INDEX(Symboles!$H$6:$H$101,MOD(65+$C38+(3),$B$3)+1)*L38+INDEX(Symboles!$H$6:$H$101,MOD(65+$C38+(4),$B$3)+1)*M38+IF($B$6=0,0,$B$6*NORMSINV(0.000001+0.999998*RAND())))</f>
        <v/>
      </c>
      <c r="FW38" s="30">
        <f>IF(67&gt;$B$3,99,INDEX(Symboles!$H$6:$H$101,MOD(66+$C38+(-4),$B$3)+1)*E38+INDEX(Symboles!$H$6:$H$101,MOD(66+$C38+(-3),$B$3)+1)*F38+INDEX(Symboles!$H$6:$H$101,MOD(66+$C38+(-2),$B$3)+1)*G38+INDEX(Symboles!$H$6:$H$101,MOD(66+$C38+(-1),$B$3)+1)*H38+INDEX(Symboles!$H$6:$H$101,MOD(66+$C38+(0),$B$3)+1)*I38+INDEX(Symboles!$H$6:$H$101,MOD(66+$C38+(1),$B$3)+1)*J38+INDEX(Symboles!$H$6:$H$101,MOD(66+$C38+(2),$B$3)+1)*K38+INDEX(Symboles!$H$6:$H$101,MOD(66+$C38+(3),$B$3)+1)*L38+INDEX(Symboles!$H$6:$H$101,MOD(66+$C38+(4),$B$3)+1)*M38+IF($B$6=0,0,$B$6*NORMSINV(0.000001+0.999998*RAND())))</f>
        <v/>
      </c>
      <c r="FX38" s="30">
        <f>IF(68&gt;$B$3,99,INDEX(Symboles!$H$6:$H$101,MOD(67+$C38+(-4),$B$3)+1)*E38+INDEX(Symboles!$H$6:$H$101,MOD(67+$C38+(-3),$B$3)+1)*F38+INDEX(Symboles!$H$6:$H$101,MOD(67+$C38+(-2),$B$3)+1)*G38+INDEX(Symboles!$H$6:$H$101,MOD(67+$C38+(-1),$B$3)+1)*H38+INDEX(Symboles!$H$6:$H$101,MOD(67+$C38+(0),$B$3)+1)*I38+INDEX(Symboles!$H$6:$H$101,MOD(67+$C38+(1),$B$3)+1)*J38+INDEX(Symboles!$H$6:$H$101,MOD(67+$C38+(2),$B$3)+1)*K38+INDEX(Symboles!$H$6:$H$101,MOD(67+$C38+(3),$B$3)+1)*L38+INDEX(Symboles!$H$6:$H$101,MOD(67+$C38+(4),$B$3)+1)*M38+IF($B$6=0,0,$B$6*NORMSINV(0.000001+0.999998*RAND())))</f>
        <v/>
      </c>
      <c r="FY38" s="30">
        <f>IF(69&gt;$B$3,99,INDEX(Symboles!$H$6:$H$101,MOD(68+$C38+(-4),$B$3)+1)*E38+INDEX(Symboles!$H$6:$H$101,MOD(68+$C38+(-3),$B$3)+1)*F38+INDEX(Symboles!$H$6:$H$101,MOD(68+$C38+(-2),$B$3)+1)*G38+INDEX(Symboles!$H$6:$H$101,MOD(68+$C38+(-1),$B$3)+1)*H38+INDEX(Symboles!$H$6:$H$101,MOD(68+$C38+(0),$B$3)+1)*I38+INDEX(Symboles!$H$6:$H$101,MOD(68+$C38+(1),$B$3)+1)*J38+INDEX(Symboles!$H$6:$H$101,MOD(68+$C38+(2),$B$3)+1)*K38+INDEX(Symboles!$H$6:$H$101,MOD(68+$C38+(3),$B$3)+1)*L38+INDEX(Symboles!$H$6:$H$101,MOD(68+$C38+(4),$B$3)+1)*M38+IF($B$6=0,0,$B$6*NORMSINV(0.000001+0.999998*RAND())))</f>
        <v/>
      </c>
      <c r="FZ38" s="30">
        <f>IF(70&gt;$B$3,99,INDEX(Symboles!$H$6:$H$101,MOD(69+$C38+(-4),$B$3)+1)*E38+INDEX(Symboles!$H$6:$H$101,MOD(69+$C38+(-3),$B$3)+1)*F38+INDEX(Symboles!$H$6:$H$101,MOD(69+$C38+(-2),$B$3)+1)*G38+INDEX(Symboles!$H$6:$H$101,MOD(69+$C38+(-1),$B$3)+1)*H38+INDEX(Symboles!$H$6:$H$101,MOD(69+$C38+(0),$B$3)+1)*I38+INDEX(Symboles!$H$6:$H$101,MOD(69+$C38+(1),$B$3)+1)*J38+INDEX(Symboles!$H$6:$H$101,MOD(69+$C38+(2),$B$3)+1)*K38+INDEX(Symboles!$H$6:$H$101,MOD(69+$C38+(3),$B$3)+1)*L38+INDEX(Symboles!$H$6:$H$101,MOD(69+$C38+(4),$B$3)+1)*M38+IF($B$6=0,0,$B$6*NORMSINV(0.000001+0.999998*RAND())))</f>
        <v/>
      </c>
      <c r="GA38" s="30">
        <f>IF(71&gt;$B$3,99,INDEX(Symboles!$H$6:$H$101,MOD(70+$C38+(-4),$B$3)+1)*E38+INDEX(Symboles!$H$6:$H$101,MOD(70+$C38+(-3),$B$3)+1)*F38+INDEX(Symboles!$H$6:$H$101,MOD(70+$C38+(-2),$B$3)+1)*G38+INDEX(Symboles!$H$6:$H$101,MOD(70+$C38+(-1),$B$3)+1)*H38+INDEX(Symboles!$H$6:$H$101,MOD(70+$C38+(0),$B$3)+1)*I38+INDEX(Symboles!$H$6:$H$101,MOD(70+$C38+(1),$B$3)+1)*J38+INDEX(Symboles!$H$6:$H$101,MOD(70+$C38+(2),$B$3)+1)*K38+INDEX(Symboles!$H$6:$H$101,MOD(70+$C38+(3),$B$3)+1)*L38+INDEX(Symboles!$H$6:$H$101,MOD(70+$C38+(4),$B$3)+1)*M38+IF($B$6=0,0,$B$6*NORMSINV(0.000001+0.999998*RAND())))</f>
        <v/>
      </c>
      <c r="GB38" s="30">
        <f>IF(72&gt;$B$3,99,INDEX(Symboles!$H$6:$H$101,MOD(71+$C38+(-4),$B$3)+1)*E38+INDEX(Symboles!$H$6:$H$101,MOD(71+$C38+(-3),$B$3)+1)*F38+INDEX(Symboles!$H$6:$H$101,MOD(71+$C38+(-2),$B$3)+1)*G38+INDEX(Symboles!$H$6:$H$101,MOD(71+$C38+(-1),$B$3)+1)*H38+INDEX(Symboles!$H$6:$H$101,MOD(71+$C38+(0),$B$3)+1)*I38+INDEX(Symboles!$H$6:$H$101,MOD(71+$C38+(1),$B$3)+1)*J38+INDEX(Symboles!$H$6:$H$101,MOD(71+$C38+(2),$B$3)+1)*K38+INDEX(Symboles!$H$6:$H$101,MOD(71+$C38+(3),$B$3)+1)*L38+INDEX(Symboles!$H$6:$H$101,MOD(71+$C38+(4),$B$3)+1)*M38+IF($B$6=0,0,$B$6*NORMSINV(0.000001+0.999998*RAND())))</f>
        <v/>
      </c>
      <c r="GC38" s="30">
        <f>IF(73&gt;$B$3,99,INDEX(Symboles!$H$6:$H$101,MOD(72+$C38+(-4),$B$3)+1)*E38+INDEX(Symboles!$H$6:$H$101,MOD(72+$C38+(-3),$B$3)+1)*F38+INDEX(Symboles!$H$6:$H$101,MOD(72+$C38+(-2),$B$3)+1)*G38+INDEX(Symboles!$H$6:$H$101,MOD(72+$C38+(-1),$B$3)+1)*H38+INDEX(Symboles!$H$6:$H$101,MOD(72+$C38+(0),$B$3)+1)*I38+INDEX(Symboles!$H$6:$H$101,MOD(72+$C38+(1),$B$3)+1)*J38+INDEX(Symboles!$H$6:$H$101,MOD(72+$C38+(2),$B$3)+1)*K38+INDEX(Symboles!$H$6:$H$101,MOD(72+$C38+(3),$B$3)+1)*L38+INDEX(Symboles!$H$6:$H$101,MOD(72+$C38+(4),$B$3)+1)*M38+IF($B$6=0,0,$B$6*NORMSINV(0.000001+0.999998*RAND())))</f>
        <v/>
      </c>
      <c r="GD38" s="30">
        <f>IF(74&gt;$B$3,99,INDEX(Symboles!$H$6:$H$101,MOD(73+$C38+(-4),$B$3)+1)*E38+INDEX(Symboles!$H$6:$H$101,MOD(73+$C38+(-3),$B$3)+1)*F38+INDEX(Symboles!$H$6:$H$101,MOD(73+$C38+(-2),$B$3)+1)*G38+INDEX(Symboles!$H$6:$H$101,MOD(73+$C38+(-1),$B$3)+1)*H38+INDEX(Symboles!$H$6:$H$101,MOD(73+$C38+(0),$B$3)+1)*I38+INDEX(Symboles!$H$6:$H$101,MOD(73+$C38+(1),$B$3)+1)*J38+INDEX(Symboles!$H$6:$H$101,MOD(73+$C38+(2),$B$3)+1)*K38+INDEX(Symboles!$H$6:$H$101,MOD(73+$C38+(3),$B$3)+1)*L38+INDEX(Symboles!$H$6:$H$101,MOD(73+$C38+(4),$B$3)+1)*M38+IF($B$6=0,0,$B$6*NORMSINV(0.000001+0.999998*RAND())))</f>
        <v/>
      </c>
      <c r="GE38" s="30">
        <f>IF(75&gt;$B$3,99,INDEX(Symboles!$H$6:$H$101,MOD(74+$C38+(-4),$B$3)+1)*E38+INDEX(Symboles!$H$6:$H$101,MOD(74+$C38+(-3),$B$3)+1)*F38+INDEX(Symboles!$H$6:$H$101,MOD(74+$C38+(-2),$B$3)+1)*G38+INDEX(Symboles!$H$6:$H$101,MOD(74+$C38+(-1),$B$3)+1)*H38+INDEX(Symboles!$H$6:$H$101,MOD(74+$C38+(0),$B$3)+1)*I38+INDEX(Symboles!$H$6:$H$101,MOD(74+$C38+(1),$B$3)+1)*J38+INDEX(Symboles!$H$6:$H$101,MOD(74+$C38+(2),$B$3)+1)*K38+INDEX(Symboles!$H$6:$H$101,MOD(74+$C38+(3),$B$3)+1)*L38+INDEX(Symboles!$H$6:$H$101,MOD(74+$C38+(4),$B$3)+1)*M38+IF($B$6=0,0,$B$6*NORMSINV(0.000001+0.999998*RAND())))</f>
        <v/>
      </c>
      <c r="GF38" s="30">
        <f>IF(76&gt;$B$3,99,INDEX(Symboles!$H$6:$H$101,MOD(75+$C38+(-4),$B$3)+1)*E38+INDEX(Symboles!$H$6:$H$101,MOD(75+$C38+(-3),$B$3)+1)*F38+INDEX(Symboles!$H$6:$H$101,MOD(75+$C38+(-2),$B$3)+1)*G38+INDEX(Symboles!$H$6:$H$101,MOD(75+$C38+(-1),$B$3)+1)*H38+INDEX(Symboles!$H$6:$H$101,MOD(75+$C38+(0),$B$3)+1)*I38+INDEX(Symboles!$H$6:$H$101,MOD(75+$C38+(1),$B$3)+1)*J38+INDEX(Symboles!$H$6:$H$101,MOD(75+$C38+(2),$B$3)+1)*K38+INDEX(Symboles!$H$6:$H$101,MOD(75+$C38+(3),$B$3)+1)*L38+INDEX(Symboles!$H$6:$H$101,MOD(75+$C38+(4),$B$3)+1)*M38+IF($B$6=0,0,$B$6*NORMSINV(0.000001+0.999998*RAND())))</f>
        <v/>
      </c>
      <c r="GG38" s="30">
        <f>IF(77&gt;$B$3,99,INDEX(Symboles!$H$6:$H$101,MOD(76+$C38+(-4),$B$3)+1)*E38+INDEX(Symboles!$H$6:$H$101,MOD(76+$C38+(-3),$B$3)+1)*F38+INDEX(Symboles!$H$6:$H$101,MOD(76+$C38+(-2),$B$3)+1)*G38+INDEX(Symboles!$H$6:$H$101,MOD(76+$C38+(-1),$B$3)+1)*H38+INDEX(Symboles!$H$6:$H$101,MOD(76+$C38+(0),$B$3)+1)*I38+INDEX(Symboles!$H$6:$H$101,MOD(76+$C38+(1),$B$3)+1)*J38+INDEX(Symboles!$H$6:$H$101,MOD(76+$C38+(2),$B$3)+1)*K38+INDEX(Symboles!$H$6:$H$101,MOD(76+$C38+(3),$B$3)+1)*L38+INDEX(Symboles!$H$6:$H$101,MOD(76+$C38+(4),$B$3)+1)*M38+IF($B$6=0,0,$B$6*NORMSINV(0.000001+0.999998*RAND())))</f>
        <v/>
      </c>
      <c r="GH38" s="30">
        <f>IF(78&gt;$B$3,99,INDEX(Symboles!$H$6:$H$101,MOD(77+$C38+(-4),$B$3)+1)*E38+INDEX(Symboles!$H$6:$H$101,MOD(77+$C38+(-3),$B$3)+1)*F38+INDEX(Symboles!$H$6:$H$101,MOD(77+$C38+(-2),$B$3)+1)*G38+INDEX(Symboles!$H$6:$H$101,MOD(77+$C38+(-1),$B$3)+1)*H38+INDEX(Symboles!$H$6:$H$101,MOD(77+$C38+(0),$B$3)+1)*I38+INDEX(Symboles!$H$6:$H$101,MOD(77+$C38+(1),$B$3)+1)*J38+INDEX(Symboles!$H$6:$H$101,MOD(77+$C38+(2),$B$3)+1)*K38+INDEX(Symboles!$H$6:$H$101,MOD(77+$C38+(3),$B$3)+1)*L38+INDEX(Symboles!$H$6:$H$101,MOD(77+$C38+(4),$B$3)+1)*M38+IF($B$6=0,0,$B$6*NORMSINV(0.000001+0.999998*RAND())))</f>
        <v/>
      </c>
      <c r="GI38" s="30">
        <f>IF(79&gt;$B$3,99,INDEX(Symboles!$H$6:$H$101,MOD(78+$C38+(-4),$B$3)+1)*E38+INDEX(Symboles!$H$6:$H$101,MOD(78+$C38+(-3),$B$3)+1)*F38+INDEX(Symboles!$H$6:$H$101,MOD(78+$C38+(-2),$B$3)+1)*G38+INDEX(Symboles!$H$6:$H$101,MOD(78+$C38+(-1),$B$3)+1)*H38+INDEX(Symboles!$H$6:$H$101,MOD(78+$C38+(0),$B$3)+1)*I38+INDEX(Symboles!$H$6:$H$101,MOD(78+$C38+(1),$B$3)+1)*J38+INDEX(Symboles!$H$6:$H$101,MOD(78+$C38+(2),$B$3)+1)*K38+INDEX(Symboles!$H$6:$H$101,MOD(78+$C38+(3),$B$3)+1)*L38+INDEX(Symboles!$H$6:$H$101,MOD(78+$C38+(4),$B$3)+1)*M38+IF($B$6=0,0,$B$6*NORMSINV(0.000001+0.999998*RAND())))</f>
        <v/>
      </c>
      <c r="GJ38" s="30">
        <f>IF(80&gt;$B$3,99,INDEX(Symboles!$H$6:$H$101,MOD(79+$C38+(-4),$B$3)+1)*E38+INDEX(Symboles!$H$6:$H$101,MOD(79+$C38+(-3),$B$3)+1)*F38+INDEX(Symboles!$H$6:$H$101,MOD(79+$C38+(-2),$B$3)+1)*G38+INDEX(Symboles!$H$6:$H$101,MOD(79+$C38+(-1),$B$3)+1)*H38+INDEX(Symboles!$H$6:$H$101,MOD(79+$C38+(0),$B$3)+1)*I38+INDEX(Symboles!$H$6:$H$101,MOD(79+$C38+(1),$B$3)+1)*J38+INDEX(Symboles!$H$6:$H$101,MOD(79+$C38+(2),$B$3)+1)*K38+INDEX(Symboles!$H$6:$H$101,MOD(79+$C38+(3),$B$3)+1)*L38+INDEX(Symboles!$H$6:$H$101,MOD(79+$C38+(4),$B$3)+1)*M38+IF($B$6=0,0,$B$6*NORMSINV(0.000001+0.999998*RAND())))</f>
        <v/>
      </c>
      <c r="GK38" s="30">
        <f>IF(81&gt;$B$3,99,INDEX(Symboles!$H$6:$H$101,MOD(80+$C38+(-4),$B$3)+1)*E38+INDEX(Symboles!$H$6:$H$101,MOD(80+$C38+(-3),$B$3)+1)*F38+INDEX(Symboles!$H$6:$H$101,MOD(80+$C38+(-2),$B$3)+1)*G38+INDEX(Symboles!$H$6:$H$101,MOD(80+$C38+(-1),$B$3)+1)*H38+INDEX(Symboles!$H$6:$H$101,MOD(80+$C38+(0),$B$3)+1)*I38+INDEX(Symboles!$H$6:$H$101,MOD(80+$C38+(1),$B$3)+1)*J38+INDEX(Symboles!$H$6:$H$101,MOD(80+$C38+(2),$B$3)+1)*K38+INDEX(Symboles!$H$6:$H$101,MOD(80+$C38+(3),$B$3)+1)*L38+INDEX(Symboles!$H$6:$H$101,MOD(80+$C38+(4),$B$3)+1)*M38+IF($B$6=0,0,$B$6*NORMSINV(0.000001+0.999998*RAND())))</f>
        <v/>
      </c>
      <c r="GL38" s="30">
        <f>IF(82&gt;$B$3,99,INDEX(Symboles!$H$6:$H$101,MOD(81+$C38+(-4),$B$3)+1)*E38+INDEX(Symboles!$H$6:$H$101,MOD(81+$C38+(-3),$B$3)+1)*F38+INDEX(Symboles!$H$6:$H$101,MOD(81+$C38+(-2),$B$3)+1)*G38+INDEX(Symboles!$H$6:$H$101,MOD(81+$C38+(-1),$B$3)+1)*H38+INDEX(Symboles!$H$6:$H$101,MOD(81+$C38+(0),$B$3)+1)*I38+INDEX(Symboles!$H$6:$H$101,MOD(81+$C38+(1),$B$3)+1)*J38+INDEX(Symboles!$H$6:$H$101,MOD(81+$C38+(2),$B$3)+1)*K38+INDEX(Symboles!$H$6:$H$101,MOD(81+$C38+(3),$B$3)+1)*L38+INDEX(Symboles!$H$6:$H$101,MOD(81+$C38+(4),$B$3)+1)*M38+IF($B$6=0,0,$B$6*NORMSINV(0.000001+0.999998*RAND())))</f>
        <v/>
      </c>
      <c r="GM38" s="30">
        <f>IF(83&gt;$B$3,99,INDEX(Symboles!$H$6:$H$101,MOD(82+$C38+(-4),$B$3)+1)*E38+INDEX(Symboles!$H$6:$H$101,MOD(82+$C38+(-3),$B$3)+1)*F38+INDEX(Symboles!$H$6:$H$101,MOD(82+$C38+(-2),$B$3)+1)*G38+INDEX(Symboles!$H$6:$H$101,MOD(82+$C38+(-1),$B$3)+1)*H38+INDEX(Symboles!$H$6:$H$101,MOD(82+$C38+(0),$B$3)+1)*I38+INDEX(Symboles!$H$6:$H$101,MOD(82+$C38+(1),$B$3)+1)*J38+INDEX(Symboles!$H$6:$H$101,MOD(82+$C38+(2),$B$3)+1)*K38+INDEX(Symboles!$H$6:$H$101,MOD(82+$C38+(3),$B$3)+1)*L38+INDEX(Symboles!$H$6:$H$101,MOD(82+$C38+(4),$B$3)+1)*M38+IF($B$6=0,0,$B$6*NORMSINV(0.000001+0.999998*RAND())))</f>
        <v/>
      </c>
      <c r="GN38" s="30">
        <f>IF(84&gt;$B$3,99,INDEX(Symboles!$H$6:$H$101,MOD(83+$C38+(-4),$B$3)+1)*E38+INDEX(Symboles!$H$6:$H$101,MOD(83+$C38+(-3),$B$3)+1)*F38+INDEX(Symboles!$H$6:$H$101,MOD(83+$C38+(-2),$B$3)+1)*G38+INDEX(Symboles!$H$6:$H$101,MOD(83+$C38+(-1),$B$3)+1)*H38+INDEX(Symboles!$H$6:$H$101,MOD(83+$C38+(0),$B$3)+1)*I38+INDEX(Symboles!$H$6:$H$101,MOD(83+$C38+(1),$B$3)+1)*J38+INDEX(Symboles!$H$6:$H$101,MOD(83+$C38+(2),$B$3)+1)*K38+INDEX(Symboles!$H$6:$H$101,MOD(83+$C38+(3),$B$3)+1)*L38+INDEX(Symboles!$H$6:$H$101,MOD(83+$C38+(4),$B$3)+1)*M38+IF($B$6=0,0,$B$6*NORMSINV(0.000001+0.999998*RAND())))</f>
        <v/>
      </c>
      <c r="GO38" s="30">
        <f>IF(85&gt;$B$3,99,INDEX(Symboles!$H$6:$H$101,MOD(84+$C38+(-4),$B$3)+1)*E38+INDEX(Symboles!$H$6:$H$101,MOD(84+$C38+(-3),$B$3)+1)*F38+INDEX(Symboles!$H$6:$H$101,MOD(84+$C38+(-2),$B$3)+1)*G38+INDEX(Symboles!$H$6:$H$101,MOD(84+$C38+(-1),$B$3)+1)*H38+INDEX(Symboles!$H$6:$H$101,MOD(84+$C38+(0),$B$3)+1)*I38+INDEX(Symboles!$H$6:$H$101,MOD(84+$C38+(1),$B$3)+1)*J38+INDEX(Symboles!$H$6:$H$101,MOD(84+$C38+(2),$B$3)+1)*K38+INDEX(Symboles!$H$6:$H$101,MOD(84+$C38+(3),$B$3)+1)*L38+INDEX(Symboles!$H$6:$H$101,MOD(84+$C38+(4),$B$3)+1)*M38+IF($B$6=0,0,$B$6*NORMSINV(0.000001+0.999998*RAND())))</f>
        <v/>
      </c>
      <c r="GP38" s="30">
        <f>IF(86&gt;$B$3,99,INDEX(Symboles!$H$6:$H$101,MOD(85+$C38+(-4),$B$3)+1)*E38+INDEX(Symboles!$H$6:$H$101,MOD(85+$C38+(-3),$B$3)+1)*F38+INDEX(Symboles!$H$6:$H$101,MOD(85+$C38+(-2),$B$3)+1)*G38+INDEX(Symboles!$H$6:$H$101,MOD(85+$C38+(-1),$B$3)+1)*H38+INDEX(Symboles!$H$6:$H$101,MOD(85+$C38+(0),$B$3)+1)*I38+INDEX(Symboles!$H$6:$H$101,MOD(85+$C38+(1),$B$3)+1)*J38+INDEX(Symboles!$H$6:$H$101,MOD(85+$C38+(2),$B$3)+1)*K38+INDEX(Symboles!$H$6:$H$101,MOD(85+$C38+(3),$B$3)+1)*L38+INDEX(Symboles!$H$6:$H$101,MOD(85+$C38+(4),$B$3)+1)*M38+IF($B$6=0,0,$B$6*NORMSINV(0.000001+0.999998*RAND())))</f>
        <v/>
      </c>
      <c r="GQ38" s="30">
        <f>IF(87&gt;$B$3,99,INDEX(Symboles!$H$6:$H$101,MOD(86+$C38+(-4),$B$3)+1)*E38+INDEX(Symboles!$H$6:$H$101,MOD(86+$C38+(-3),$B$3)+1)*F38+INDEX(Symboles!$H$6:$H$101,MOD(86+$C38+(-2),$B$3)+1)*G38+INDEX(Symboles!$H$6:$H$101,MOD(86+$C38+(-1),$B$3)+1)*H38+INDEX(Symboles!$H$6:$H$101,MOD(86+$C38+(0),$B$3)+1)*I38+INDEX(Symboles!$H$6:$H$101,MOD(86+$C38+(1),$B$3)+1)*J38+INDEX(Symboles!$H$6:$H$101,MOD(86+$C38+(2),$B$3)+1)*K38+INDEX(Symboles!$H$6:$H$101,MOD(86+$C38+(3),$B$3)+1)*L38+INDEX(Symboles!$H$6:$H$101,MOD(86+$C38+(4),$B$3)+1)*M38+IF($B$6=0,0,$B$6*NORMSINV(0.000001+0.999998*RAND())))</f>
        <v/>
      </c>
      <c r="GR38" s="30">
        <f>IF(88&gt;$B$3,99,INDEX(Symboles!$H$6:$H$101,MOD(87+$C38+(-4),$B$3)+1)*E38+INDEX(Symboles!$H$6:$H$101,MOD(87+$C38+(-3),$B$3)+1)*F38+INDEX(Symboles!$H$6:$H$101,MOD(87+$C38+(-2),$B$3)+1)*G38+INDEX(Symboles!$H$6:$H$101,MOD(87+$C38+(-1),$B$3)+1)*H38+INDEX(Symboles!$H$6:$H$101,MOD(87+$C38+(0),$B$3)+1)*I38+INDEX(Symboles!$H$6:$H$101,MOD(87+$C38+(1),$B$3)+1)*J38+INDEX(Symboles!$H$6:$H$101,MOD(87+$C38+(2),$B$3)+1)*K38+INDEX(Symboles!$H$6:$H$101,MOD(87+$C38+(3),$B$3)+1)*L38+INDEX(Symboles!$H$6:$H$101,MOD(87+$C38+(4),$B$3)+1)*M38+IF($B$6=0,0,$B$6*NORMSINV(0.000001+0.999998*RAND())))</f>
        <v/>
      </c>
      <c r="GS38" s="30">
        <f>IF(89&gt;$B$3,99,INDEX(Symboles!$H$6:$H$101,MOD(88+$C38+(-4),$B$3)+1)*E38+INDEX(Symboles!$H$6:$H$101,MOD(88+$C38+(-3),$B$3)+1)*F38+INDEX(Symboles!$H$6:$H$101,MOD(88+$C38+(-2),$B$3)+1)*G38+INDEX(Symboles!$H$6:$H$101,MOD(88+$C38+(-1),$B$3)+1)*H38+INDEX(Symboles!$H$6:$H$101,MOD(88+$C38+(0),$B$3)+1)*I38+INDEX(Symboles!$H$6:$H$101,MOD(88+$C38+(1),$B$3)+1)*J38+INDEX(Symboles!$H$6:$H$101,MOD(88+$C38+(2),$B$3)+1)*K38+INDEX(Symboles!$H$6:$H$101,MOD(88+$C38+(3),$B$3)+1)*L38+INDEX(Symboles!$H$6:$H$101,MOD(88+$C38+(4),$B$3)+1)*M38+IF($B$6=0,0,$B$6*NORMSINV(0.000001+0.999998*RAND())))</f>
        <v/>
      </c>
      <c r="GT38" s="30">
        <f>IF(90&gt;$B$3,99,INDEX(Symboles!$H$6:$H$101,MOD(89+$C38+(-4),$B$3)+1)*E38+INDEX(Symboles!$H$6:$H$101,MOD(89+$C38+(-3),$B$3)+1)*F38+INDEX(Symboles!$H$6:$H$101,MOD(89+$C38+(-2),$B$3)+1)*G38+INDEX(Symboles!$H$6:$H$101,MOD(89+$C38+(-1),$B$3)+1)*H38+INDEX(Symboles!$H$6:$H$101,MOD(89+$C38+(0),$B$3)+1)*I38+INDEX(Symboles!$H$6:$H$101,MOD(89+$C38+(1),$B$3)+1)*J38+INDEX(Symboles!$H$6:$H$101,MOD(89+$C38+(2),$B$3)+1)*K38+INDEX(Symboles!$H$6:$H$101,MOD(89+$C38+(3),$B$3)+1)*L38+INDEX(Symboles!$H$6:$H$101,MOD(89+$C38+(4),$B$3)+1)*M38+IF($B$6=0,0,$B$6*NORMSINV(0.000001+0.999998*RAND())))</f>
        <v/>
      </c>
      <c r="GU38" s="30">
        <f>IF(91&gt;$B$3,99,INDEX(Symboles!$H$6:$H$101,MOD(90+$C38+(-4),$B$3)+1)*E38+INDEX(Symboles!$H$6:$H$101,MOD(90+$C38+(-3),$B$3)+1)*F38+INDEX(Symboles!$H$6:$H$101,MOD(90+$C38+(-2),$B$3)+1)*G38+INDEX(Symboles!$H$6:$H$101,MOD(90+$C38+(-1),$B$3)+1)*H38+INDEX(Symboles!$H$6:$H$101,MOD(90+$C38+(0),$B$3)+1)*I38+INDEX(Symboles!$H$6:$H$101,MOD(90+$C38+(1),$B$3)+1)*J38+INDEX(Symboles!$H$6:$H$101,MOD(90+$C38+(2),$B$3)+1)*K38+INDEX(Symboles!$H$6:$H$101,MOD(90+$C38+(3),$B$3)+1)*L38+INDEX(Symboles!$H$6:$H$101,MOD(90+$C38+(4),$B$3)+1)*M38+IF($B$6=0,0,$B$6*NORMSINV(0.000001+0.999998*RAND())))</f>
        <v/>
      </c>
      <c r="GV38" s="30">
        <f>IF(92&gt;$B$3,99,INDEX(Symboles!$H$6:$H$101,MOD(91+$C38+(-4),$B$3)+1)*E38+INDEX(Symboles!$H$6:$H$101,MOD(91+$C38+(-3),$B$3)+1)*F38+INDEX(Symboles!$H$6:$H$101,MOD(91+$C38+(-2),$B$3)+1)*G38+INDEX(Symboles!$H$6:$H$101,MOD(91+$C38+(-1),$B$3)+1)*H38+INDEX(Symboles!$H$6:$H$101,MOD(91+$C38+(0),$B$3)+1)*I38+INDEX(Symboles!$H$6:$H$101,MOD(91+$C38+(1),$B$3)+1)*J38+INDEX(Symboles!$H$6:$H$101,MOD(91+$C38+(2),$B$3)+1)*K38+INDEX(Symboles!$H$6:$H$101,MOD(91+$C38+(3),$B$3)+1)*L38+INDEX(Symboles!$H$6:$H$101,MOD(91+$C38+(4),$B$3)+1)*M38+IF($B$6=0,0,$B$6*NORMSINV(0.000001+0.999998*RAND())))</f>
        <v/>
      </c>
      <c r="GW38" s="30">
        <f>IF(93&gt;$B$3,99,INDEX(Symboles!$H$6:$H$101,MOD(92+$C38+(-4),$B$3)+1)*E38+INDEX(Symboles!$H$6:$H$101,MOD(92+$C38+(-3),$B$3)+1)*F38+INDEX(Symboles!$H$6:$H$101,MOD(92+$C38+(-2),$B$3)+1)*G38+INDEX(Symboles!$H$6:$H$101,MOD(92+$C38+(-1),$B$3)+1)*H38+INDEX(Symboles!$H$6:$H$101,MOD(92+$C38+(0),$B$3)+1)*I38+INDEX(Symboles!$H$6:$H$101,MOD(92+$C38+(1),$B$3)+1)*J38+INDEX(Symboles!$H$6:$H$101,MOD(92+$C38+(2),$B$3)+1)*K38+INDEX(Symboles!$H$6:$H$101,MOD(92+$C38+(3),$B$3)+1)*L38+INDEX(Symboles!$H$6:$H$101,MOD(92+$C38+(4),$B$3)+1)*M38+IF($B$6=0,0,$B$6*NORMSINV(0.000001+0.999998*RAND())))</f>
        <v/>
      </c>
      <c r="GX38" s="30">
        <f>IF(94&gt;$B$3,99,INDEX(Symboles!$H$6:$H$101,MOD(93+$C38+(-4),$B$3)+1)*E38+INDEX(Symboles!$H$6:$H$101,MOD(93+$C38+(-3),$B$3)+1)*F38+INDEX(Symboles!$H$6:$H$101,MOD(93+$C38+(-2),$B$3)+1)*G38+INDEX(Symboles!$H$6:$H$101,MOD(93+$C38+(-1),$B$3)+1)*H38+INDEX(Symboles!$H$6:$H$101,MOD(93+$C38+(0),$B$3)+1)*I38+INDEX(Symboles!$H$6:$H$101,MOD(93+$C38+(1),$B$3)+1)*J38+INDEX(Symboles!$H$6:$H$101,MOD(93+$C38+(2),$B$3)+1)*K38+INDEX(Symboles!$H$6:$H$101,MOD(93+$C38+(3),$B$3)+1)*L38+INDEX(Symboles!$H$6:$H$101,MOD(93+$C38+(4),$B$3)+1)*M38+IF($B$6=0,0,$B$6*NORMSINV(0.000001+0.999998*RAND())))</f>
        <v/>
      </c>
      <c r="GY38" s="30">
        <f>IF(95&gt;$B$3,99,INDEX(Symboles!$H$6:$H$101,MOD(94+$C38+(-4),$B$3)+1)*E38+INDEX(Symboles!$H$6:$H$101,MOD(94+$C38+(-3),$B$3)+1)*F38+INDEX(Symboles!$H$6:$H$101,MOD(94+$C38+(-2),$B$3)+1)*G38+INDEX(Symboles!$H$6:$H$101,MOD(94+$C38+(-1),$B$3)+1)*H38+INDEX(Symboles!$H$6:$H$101,MOD(94+$C38+(0),$B$3)+1)*I38+INDEX(Symboles!$H$6:$H$101,MOD(94+$C38+(1),$B$3)+1)*J38+INDEX(Symboles!$H$6:$H$101,MOD(94+$C38+(2),$B$3)+1)*K38+INDEX(Symboles!$H$6:$H$101,MOD(94+$C38+(3),$B$3)+1)*L38+INDEX(Symboles!$H$6:$H$101,MOD(94+$C38+(4),$B$3)+1)*M38+IF($B$6=0,0,$B$6*NORMSINV(0.000001+0.999998*RAND())))</f>
        <v/>
      </c>
      <c r="GZ38" s="30">
        <f>IF(96&gt;$B$3,99,INDEX(Symboles!$H$6:$H$101,MOD(95+$C38+(-4),$B$3)+1)*E38+INDEX(Symboles!$H$6:$H$101,MOD(95+$C38+(-3),$B$3)+1)*F38+INDEX(Symboles!$H$6:$H$101,MOD(95+$C38+(-2),$B$3)+1)*G38+INDEX(Symboles!$H$6:$H$101,MOD(95+$C38+(-1),$B$3)+1)*H38+INDEX(Symboles!$H$6:$H$101,MOD(95+$C38+(0),$B$3)+1)*I38+INDEX(Symboles!$H$6:$H$101,MOD(95+$C38+(1),$B$3)+1)*J38+INDEX(Symboles!$H$6:$H$101,MOD(95+$C38+(2),$B$3)+1)*K38+INDEX(Symboles!$H$6:$H$101,MOD(95+$C38+(3),$B$3)+1)*L38+INDEX(Symboles!$H$6:$H$101,MOD(95+$C38+(4),$B$3)+1)*M38+IF($B$6=0,0,$B$6*NORMSINV(0.000001+0.999998*RAND())))</f>
        <v/>
      </c>
    </row>
    <row r="39">
      <c r="A39" s="28" t="n">
        <v>29</v>
      </c>
      <c r="B39" s="28" t="n">
        <v>0.8125</v>
      </c>
      <c r="C39" s="28" t="n">
        <v>1</v>
      </c>
      <c r="D39" s="28" t="n">
        <v>5</v>
      </c>
      <c r="E39" s="29">
        <f>IF($B$4=1,0,IF(ABS(1-(2*$B$5*3.8125)^2)&lt;0.000001,PI()/4*SIN(PI()/(2*$B$5))/(PI()/(2*$B$5)),SIN(PI()*3.8125)/(PI()*3.8125)*COS(PI()*$B$5*3.8125)/(1-(2*$B$5*3.8125)^2)))</f>
        <v/>
      </c>
      <c r="F39" s="29">
        <f>IF($B$4=1,0,IF(ABS(1-(2*$B$5*2.8125)^2)&lt;0.000001,PI()/4*SIN(PI()/(2*$B$5))/(PI()/(2*$B$5)),SIN(PI()*2.8125)/(PI()*2.8125)*COS(PI()*$B$5*2.8125)/(1-(2*$B$5*2.8125)^2)))</f>
        <v/>
      </c>
      <c r="G39" s="29">
        <f>IF($B$4=1,0,IF(ABS(1-(2*$B$5*1.8125)^2)&lt;0.000001,PI()/4*SIN(PI()/(2*$B$5))/(PI()/(2*$B$5)),SIN(PI()*1.8125)/(PI()*1.8125)*COS(PI()*$B$5*1.8125)/(1-(2*$B$5*1.8125)^2)))</f>
        <v/>
      </c>
      <c r="H39" s="29">
        <f>IF($B$4=1,0,IF(ABS(1-(2*$B$5*0.8125)^2)&lt;0.000001,PI()/4*SIN(PI()/(2*$B$5))/(PI()/(2*$B$5)),SIN(PI()*0.8125)/(PI()*0.8125)*COS(PI()*$B$5*0.8125)/(1-(2*$B$5*0.8125)^2)))</f>
        <v/>
      </c>
      <c r="I39" s="29">
        <f>IF($B$4=1,1,IF(ABS(1-(2*$B$5*-0.1875)^2)&lt;0.000001,PI()/4*SIN(PI()/(2*$B$5))/(PI()/(2*$B$5)),SIN(PI()*-0.1875)/(PI()*-0.1875)*COS(PI()*$B$5*-0.1875)/(1-(2*$B$5*-0.1875)^2)))</f>
        <v/>
      </c>
      <c r="J39" s="29">
        <f>IF($B$4=1,0,IF(ABS(1-(2*$B$5*-1.1875)^2)&lt;0.000001,PI()/4*SIN(PI()/(2*$B$5))/(PI()/(2*$B$5)),SIN(PI()*-1.1875)/(PI()*-1.1875)*COS(PI()*$B$5*-1.1875)/(1-(2*$B$5*-1.1875)^2)))</f>
        <v/>
      </c>
      <c r="K39" s="29">
        <f>IF($B$4=1,0,IF(ABS(1-(2*$B$5*-2.1875)^2)&lt;0.000001,PI()/4*SIN(PI()/(2*$B$5))/(PI()/(2*$B$5)),SIN(PI()*-2.1875)/(PI()*-2.1875)*COS(PI()*$B$5*-2.1875)/(1-(2*$B$5*-2.1875)^2)))</f>
        <v/>
      </c>
      <c r="L39" s="29">
        <f>IF($B$4=1,0,IF(ABS(1-(2*$B$5*-3.1875)^2)&lt;0.000001,PI()/4*SIN(PI()/(2*$B$5))/(PI()/(2*$B$5)),SIN(PI()*-3.1875)/(PI()*-3.1875)*COS(PI()*$B$5*-3.1875)/(1-(2*$B$5*-3.1875)^2)))</f>
        <v/>
      </c>
      <c r="M39" s="29">
        <f>IF($B$4=1,0,IF(ABS(1-(2*$B$5*-4.1875)^2)&lt;0.000001,PI()/4*SIN(PI()/(2*$B$5))/(PI()/(2*$B$5)),SIN(PI()*-4.1875)/(PI()*-4.1875)*COS(PI()*$B$5*-4.1875)/(1-(2*$B$5*-4.1875)^2)))</f>
        <v/>
      </c>
      <c r="P39" s="30">
        <f>IF(1&gt;$B$3,99,INDEX(Symboles!$G$6:$G$101,MOD(0+$C39+(-4),$B$3)+1)*E39+INDEX(Symboles!$G$6:$G$101,MOD(0+$C39+(-3),$B$3)+1)*F39+INDEX(Symboles!$G$6:$G$101,MOD(0+$C39+(-2),$B$3)+1)*G39+INDEX(Symboles!$G$6:$G$101,MOD(0+$C39+(-1),$B$3)+1)*H39+INDEX(Symboles!$G$6:$G$101,MOD(0+$C39+(0),$B$3)+1)*I39+INDEX(Symboles!$G$6:$G$101,MOD(0+$C39+(1),$B$3)+1)*J39+INDEX(Symboles!$G$6:$G$101,MOD(0+$C39+(2),$B$3)+1)*K39+INDEX(Symboles!$G$6:$G$101,MOD(0+$C39+(3),$B$3)+1)*L39+INDEX(Symboles!$G$6:$G$101,MOD(0+$C39+(4),$B$3)+1)*M39+IF($B$6=0,0,$B$6*NORMSINV(0.000001+0.999998*RAND())))</f>
        <v/>
      </c>
      <c r="Q39" s="30">
        <f>IF(2&gt;$B$3,99,INDEX(Symboles!$G$6:$G$101,MOD(1+$C39+(-4),$B$3)+1)*E39+INDEX(Symboles!$G$6:$G$101,MOD(1+$C39+(-3),$B$3)+1)*F39+INDEX(Symboles!$G$6:$G$101,MOD(1+$C39+(-2),$B$3)+1)*G39+INDEX(Symboles!$G$6:$G$101,MOD(1+$C39+(-1),$B$3)+1)*H39+INDEX(Symboles!$G$6:$G$101,MOD(1+$C39+(0),$B$3)+1)*I39+INDEX(Symboles!$G$6:$G$101,MOD(1+$C39+(1),$B$3)+1)*J39+INDEX(Symboles!$G$6:$G$101,MOD(1+$C39+(2),$B$3)+1)*K39+INDEX(Symboles!$G$6:$G$101,MOD(1+$C39+(3),$B$3)+1)*L39+INDEX(Symboles!$G$6:$G$101,MOD(1+$C39+(4),$B$3)+1)*M39+IF($B$6=0,0,$B$6*NORMSINV(0.000001+0.999998*RAND())))</f>
        <v/>
      </c>
      <c r="R39" s="30">
        <f>IF(3&gt;$B$3,99,INDEX(Symboles!$G$6:$G$101,MOD(2+$C39+(-4),$B$3)+1)*E39+INDEX(Symboles!$G$6:$G$101,MOD(2+$C39+(-3),$B$3)+1)*F39+INDEX(Symboles!$G$6:$G$101,MOD(2+$C39+(-2),$B$3)+1)*G39+INDEX(Symboles!$G$6:$G$101,MOD(2+$C39+(-1),$B$3)+1)*H39+INDEX(Symboles!$G$6:$G$101,MOD(2+$C39+(0),$B$3)+1)*I39+INDEX(Symboles!$G$6:$G$101,MOD(2+$C39+(1),$B$3)+1)*J39+INDEX(Symboles!$G$6:$G$101,MOD(2+$C39+(2),$B$3)+1)*K39+INDEX(Symboles!$G$6:$G$101,MOD(2+$C39+(3),$B$3)+1)*L39+INDEX(Symboles!$G$6:$G$101,MOD(2+$C39+(4),$B$3)+1)*M39+IF($B$6=0,0,$B$6*NORMSINV(0.000001+0.999998*RAND())))</f>
        <v/>
      </c>
      <c r="S39" s="30">
        <f>IF(4&gt;$B$3,99,INDEX(Symboles!$G$6:$G$101,MOD(3+$C39+(-4),$B$3)+1)*E39+INDEX(Symboles!$G$6:$G$101,MOD(3+$C39+(-3),$B$3)+1)*F39+INDEX(Symboles!$G$6:$G$101,MOD(3+$C39+(-2),$B$3)+1)*G39+INDEX(Symboles!$G$6:$G$101,MOD(3+$C39+(-1),$B$3)+1)*H39+INDEX(Symboles!$G$6:$G$101,MOD(3+$C39+(0),$B$3)+1)*I39+INDEX(Symboles!$G$6:$G$101,MOD(3+$C39+(1),$B$3)+1)*J39+INDEX(Symboles!$G$6:$G$101,MOD(3+$C39+(2),$B$3)+1)*K39+INDEX(Symboles!$G$6:$G$101,MOD(3+$C39+(3),$B$3)+1)*L39+INDEX(Symboles!$G$6:$G$101,MOD(3+$C39+(4),$B$3)+1)*M39+IF($B$6=0,0,$B$6*NORMSINV(0.000001+0.999998*RAND())))</f>
        <v/>
      </c>
      <c r="T39" s="30">
        <f>IF(5&gt;$B$3,99,INDEX(Symboles!$G$6:$G$101,MOD(4+$C39+(-4),$B$3)+1)*E39+INDEX(Symboles!$G$6:$G$101,MOD(4+$C39+(-3),$B$3)+1)*F39+INDEX(Symboles!$G$6:$G$101,MOD(4+$C39+(-2),$B$3)+1)*G39+INDEX(Symboles!$G$6:$G$101,MOD(4+$C39+(-1),$B$3)+1)*H39+INDEX(Symboles!$G$6:$G$101,MOD(4+$C39+(0),$B$3)+1)*I39+INDEX(Symboles!$G$6:$G$101,MOD(4+$C39+(1),$B$3)+1)*J39+INDEX(Symboles!$G$6:$G$101,MOD(4+$C39+(2),$B$3)+1)*K39+INDEX(Symboles!$G$6:$G$101,MOD(4+$C39+(3),$B$3)+1)*L39+INDEX(Symboles!$G$6:$G$101,MOD(4+$C39+(4),$B$3)+1)*M39+IF($B$6=0,0,$B$6*NORMSINV(0.000001+0.999998*RAND())))</f>
        <v/>
      </c>
      <c r="U39" s="30">
        <f>IF(6&gt;$B$3,99,INDEX(Symboles!$G$6:$G$101,MOD(5+$C39+(-4),$B$3)+1)*E39+INDEX(Symboles!$G$6:$G$101,MOD(5+$C39+(-3),$B$3)+1)*F39+INDEX(Symboles!$G$6:$G$101,MOD(5+$C39+(-2),$B$3)+1)*G39+INDEX(Symboles!$G$6:$G$101,MOD(5+$C39+(-1),$B$3)+1)*H39+INDEX(Symboles!$G$6:$G$101,MOD(5+$C39+(0),$B$3)+1)*I39+INDEX(Symboles!$G$6:$G$101,MOD(5+$C39+(1),$B$3)+1)*J39+INDEX(Symboles!$G$6:$G$101,MOD(5+$C39+(2),$B$3)+1)*K39+INDEX(Symboles!$G$6:$G$101,MOD(5+$C39+(3),$B$3)+1)*L39+INDEX(Symboles!$G$6:$G$101,MOD(5+$C39+(4),$B$3)+1)*M39+IF($B$6=0,0,$B$6*NORMSINV(0.000001+0.999998*RAND())))</f>
        <v/>
      </c>
      <c r="V39" s="30">
        <f>IF(7&gt;$B$3,99,INDEX(Symboles!$G$6:$G$101,MOD(6+$C39+(-4),$B$3)+1)*E39+INDEX(Symboles!$G$6:$G$101,MOD(6+$C39+(-3),$B$3)+1)*F39+INDEX(Symboles!$G$6:$G$101,MOD(6+$C39+(-2),$B$3)+1)*G39+INDEX(Symboles!$G$6:$G$101,MOD(6+$C39+(-1),$B$3)+1)*H39+INDEX(Symboles!$G$6:$G$101,MOD(6+$C39+(0),$B$3)+1)*I39+INDEX(Symboles!$G$6:$G$101,MOD(6+$C39+(1),$B$3)+1)*J39+INDEX(Symboles!$G$6:$G$101,MOD(6+$C39+(2),$B$3)+1)*K39+INDEX(Symboles!$G$6:$G$101,MOD(6+$C39+(3),$B$3)+1)*L39+INDEX(Symboles!$G$6:$G$101,MOD(6+$C39+(4),$B$3)+1)*M39+IF($B$6=0,0,$B$6*NORMSINV(0.000001+0.999998*RAND())))</f>
        <v/>
      </c>
      <c r="W39" s="30">
        <f>IF(8&gt;$B$3,99,INDEX(Symboles!$G$6:$G$101,MOD(7+$C39+(-4),$B$3)+1)*E39+INDEX(Symboles!$G$6:$G$101,MOD(7+$C39+(-3),$B$3)+1)*F39+INDEX(Symboles!$G$6:$G$101,MOD(7+$C39+(-2),$B$3)+1)*G39+INDEX(Symboles!$G$6:$G$101,MOD(7+$C39+(-1),$B$3)+1)*H39+INDEX(Symboles!$G$6:$G$101,MOD(7+$C39+(0),$B$3)+1)*I39+INDEX(Symboles!$G$6:$G$101,MOD(7+$C39+(1),$B$3)+1)*J39+INDEX(Symboles!$G$6:$G$101,MOD(7+$C39+(2),$B$3)+1)*K39+INDEX(Symboles!$G$6:$G$101,MOD(7+$C39+(3),$B$3)+1)*L39+INDEX(Symboles!$G$6:$G$101,MOD(7+$C39+(4),$B$3)+1)*M39+IF($B$6=0,0,$B$6*NORMSINV(0.000001+0.999998*RAND())))</f>
        <v/>
      </c>
      <c r="X39" s="30">
        <f>IF(9&gt;$B$3,99,INDEX(Symboles!$G$6:$G$101,MOD(8+$C39+(-4),$B$3)+1)*E39+INDEX(Symboles!$G$6:$G$101,MOD(8+$C39+(-3),$B$3)+1)*F39+INDEX(Symboles!$G$6:$G$101,MOD(8+$C39+(-2),$B$3)+1)*G39+INDEX(Symboles!$G$6:$G$101,MOD(8+$C39+(-1),$B$3)+1)*H39+INDEX(Symboles!$G$6:$G$101,MOD(8+$C39+(0),$B$3)+1)*I39+INDEX(Symboles!$G$6:$G$101,MOD(8+$C39+(1),$B$3)+1)*J39+INDEX(Symboles!$G$6:$G$101,MOD(8+$C39+(2),$B$3)+1)*K39+INDEX(Symboles!$G$6:$G$101,MOD(8+$C39+(3),$B$3)+1)*L39+INDEX(Symboles!$G$6:$G$101,MOD(8+$C39+(4),$B$3)+1)*M39+IF($B$6=0,0,$B$6*NORMSINV(0.000001+0.999998*RAND())))</f>
        <v/>
      </c>
      <c r="Y39" s="30">
        <f>IF(10&gt;$B$3,99,INDEX(Symboles!$G$6:$G$101,MOD(9+$C39+(-4),$B$3)+1)*E39+INDEX(Symboles!$G$6:$G$101,MOD(9+$C39+(-3),$B$3)+1)*F39+INDEX(Symboles!$G$6:$G$101,MOD(9+$C39+(-2),$B$3)+1)*G39+INDEX(Symboles!$G$6:$G$101,MOD(9+$C39+(-1),$B$3)+1)*H39+INDEX(Symboles!$G$6:$G$101,MOD(9+$C39+(0),$B$3)+1)*I39+INDEX(Symboles!$G$6:$G$101,MOD(9+$C39+(1),$B$3)+1)*J39+INDEX(Symboles!$G$6:$G$101,MOD(9+$C39+(2),$B$3)+1)*K39+INDEX(Symboles!$G$6:$G$101,MOD(9+$C39+(3),$B$3)+1)*L39+INDEX(Symboles!$G$6:$G$101,MOD(9+$C39+(4),$B$3)+1)*M39+IF($B$6=0,0,$B$6*NORMSINV(0.000001+0.999998*RAND())))</f>
        <v/>
      </c>
      <c r="Z39" s="30">
        <f>IF(11&gt;$B$3,99,INDEX(Symboles!$G$6:$G$101,MOD(10+$C39+(-4),$B$3)+1)*E39+INDEX(Symboles!$G$6:$G$101,MOD(10+$C39+(-3),$B$3)+1)*F39+INDEX(Symboles!$G$6:$G$101,MOD(10+$C39+(-2),$B$3)+1)*G39+INDEX(Symboles!$G$6:$G$101,MOD(10+$C39+(-1),$B$3)+1)*H39+INDEX(Symboles!$G$6:$G$101,MOD(10+$C39+(0),$B$3)+1)*I39+INDEX(Symboles!$G$6:$G$101,MOD(10+$C39+(1),$B$3)+1)*J39+INDEX(Symboles!$G$6:$G$101,MOD(10+$C39+(2),$B$3)+1)*K39+INDEX(Symboles!$G$6:$G$101,MOD(10+$C39+(3),$B$3)+1)*L39+INDEX(Symboles!$G$6:$G$101,MOD(10+$C39+(4),$B$3)+1)*M39+IF($B$6=0,0,$B$6*NORMSINV(0.000001+0.999998*RAND())))</f>
        <v/>
      </c>
      <c r="AA39" s="30">
        <f>IF(12&gt;$B$3,99,INDEX(Symboles!$G$6:$G$101,MOD(11+$C39+(-4),$B$3)+1)*E39+INDEX(Symboles!$G$6:$G$101,MOD(11+$C39+(-3),$B$3)+1)*F39+INDEX(Symboles!$G$6:$G$101,MOD(11+$C39+(-2),$B$3)+1)*G39+INDEX(Symboles!$G$6:$G$101,MOD(11+$C39+(-1),$B$3)+1)*H39+INDEX(Symboles!$G$6:$G$101,MOD(11+$C39+(0),$B$3)+1)*I39+INDEX(Symboles!$G$6:$G$101,MOD(11+$C39+(1),$B$3)+1)*J39+INDEX(Symboles!$G$6:$G$101,MOD(11+$C39+(2),$B$3)+1)*K39+INDEX(Symboles!$G$6:$G$101,MOD(11+$C39+(3),$B$3)+1)*L39+INDEX(Symboles!$G$6:$G$101,MOD(11+$C39+(4),$B$3)+1)*M39+IF($B$6=0,0,$B$6*NORMSINV(0.000001+0.999998*RAND())))</f>
        <v/>
      </c>
      <c r="AB39" s="30">
        <f>IF(13&gt;$B$3,99,INDEX(Symboles!$G$6:$G$101,MOD(12+$C39+(-4),$B$3)+1)*E39+INDEX(Symboles!$G$6:$G$101,MOD(12+$C39+(-3),$B$3)+1)*F39+INDEX(Symboles!$G$6:$G$101,MOD(12+$C39+(-2),$B$3)+1)*G39+INDEX(Symboles!$G$6:$G$101,MOD(12+$C39+(-1),$B$3)+1)*H39+INDEX(Symboles!$G$6:$G$101,MOD(12+$C39+(0),$B$3)+1)*I39+INDEX(Symboles!$G$6:$G$101,MOD(12+$C39+(1),$B$3)+1)*J39+INDEX(Symboles!$G$6:$G$101,MOD(12+$C39+(2),$B$3)+1)*K39+INDEX(Symboles!$G$6:$G$101,MOD(12+$C39+(3),$B$3)+1)*L39+INDEX(Symboles!$G$6:$G$101,MOD(12+$C39+(4),$B$3)+1)*M39+IF($B$6=0,0,$B$6*NORMSINV(0.000001+0.999998*RAND())))</f>
        <v/>
      </c>
      <c r="AC39" s="30">
        <f>IF(14&gt;$B$3,99,INDEX(Symboles!$G$6:$G$101,MOD(13+$C39+(-4),$B$3)+1)*E39+INDEX(Symboles!$G$6:$G$101,MOD(13+$C39+(-3),$B$3)+1)*F39+INDEX(Symboles!$G$6:$G$101,MOD(13+$C39+(-2),$B$3)+1)*G39+INDEX(Symboles!$G$6:$G$101,MOD(13+$C39+(-1),$B$3)+1)*H39+INDEX(Symboles!$G$6:$G$101,MOD(13+$C39+(0),$B$3)+1)*I39+INDEX(Symboles!$G$6:$G$101,MOD(13+$C39+(1),$B$3)+1)*J39+INDEX(Symboles!$G$6:$G$101,MOD(13+$C39+(2),$B$3)+1)*K39+INDEX(Symboles!$G$6:$G$101,MOD(13+$C39+(3),$B$3)+1)*L39+INDEX(Symboles!$G$6:$G$101,MOD(13+$C39+(4),$B$3)+1)*M39+IF($B$6=0,0,$B$6*NORMSINV(0.000001+0.999998*RAND())))</f>
        <v/>
      </c>
      <c r="AD39" s="30">
        <f>IF(15&gt;$B$3,99,INDEX(Symboles!$G$6:$G$101,MOD(14+$C39+(-4),$B$3)+1)*E39+INDEX(Symboles!$G$6:$G$101,MOD(14+$C39+(-3),$B$3)+1)*F39+INDEX(Symboles!$G$6:$G$101,MOD(14+$C39+(-2),$B$3)+1)*G39+INDEX(Symboles!$G$6:$G$101,MOD(14+$C39+(-1),$B$3)+1)*H39+INDEX(Symboles!$G$6:$G$101,MOD(14+$C39+(0),$B$3)+1)*I39+INDEX(Symboles!$G$6:$G$101,MOD(14+$C39+(1),$B$3)+1)*J39+INDEX(Symboles!$G$6:$G$101,MOD(14+$C39+(2),$B$3)+1)*K39+INDEX(Symboles!$G$6:$G$101,MOD(14+$C39+(3),$B$3)+1)*L39+INDEX(Symboles!$G$6:$G$101,MOD(14+$C39+(4),$B$3)+1)*M39+IF($B$6=0,0,$B$6*NORMSINV(0.000001+0.999998*RAND())))</f>
        <v/>
      </c>
      <c r="AE39" s="30">
        <f>IF(16&gt;$B$3,99,INDEX(Symboles!$G$6:$G$101,MOD(15+$C39+(-4),$B$3)+1)*E39+INDEX(Symboles!$G$6:$G$101,MOD(15+$C39+(-3),$B$3)+1)*F39+INDEX(Symboles!$G$6:$G$101,MOD(15+$C39+(-2),$B$3)+1)*G39+INDEX(Symboles!$G$6:$G$101,MOD(15+$C39+(-1),$B$3)+1)*H39+INDEX(Symboles!$G$6:$G$101,MOD(15+$C39+(0),$B$3)+1)*I39+INDEX(Symboles!$G$6:$G$101,MOD(15+$C39+(1),$B$3)+1)*J39+INDEX(Symboles!$G$6:$G$101,MOD(15+$C39+(2),$B$3)+1)*K39+INDEX(Symboles!$G$6:$G$101,MOD(15+$C39+(3),$B$3)+1)*L39+INDEX(Symboles!$G$6:$G$101,MOD(15+$C39+(4),$B$3)+1)*M39+IF($B$6=0,0,$B$6*NORMSINV(0.000001+0.999998*RAND())))</f>
        <v/>
      </c>
      <c r="AF39" s="30">
        <f>IF(17&gt;$B$3,99,INDEX(Symboles!$G$6:$G$101,MOD(16+$C39+(-4),$B$3)+1)*E39+INDEX(Symboles!$G$6:$G$101,MOD(16+$C39+(-3),$B$3)+1)*F39+INDEX(Symboles!$G$6:$G$101,MOD(16+$C39+(-2),$B$3)+1)*G39+INDEX(Symboles!$G$6:$G$101,MOD(16+$C39+(-1),$B$3)+1)*H39+INDEX(Symboles!$G$6:$G$101,MOD(16+$C39+(0),$B$3)+1)*I39+INDEX(Symboles!$G$6:$G$101,MOD(16+$C39+(1),$B$3)+1)*J39+INDEX(Symboles!$G$6:$G$101,MOD(16+$C39+(2),$B$3)+1)*K39+INDEX(Symboles!$G$6:$G$101,MOD(16+$C39+(3),$B$3)+1)*L39+INDEX(Symboles!$G$6:$G$101,MOD(16+$C39+(4),$B$3)+1)*M39+IF($B$6=0,0,$B$6*NORMSINV(0.000001+0.999998*RAND())))</f>
        <v/>
      </c>
      <c r="AG39" s="30">
        <f>IF(18&gt;$B$3,99,INDEX(Symboles!$G$6:$G$101,MOD(17+$C39+(-4),$B$3)+1)*E39+INDEX(Symboles!$G$6:$G$101,MOD(17+$C39+(-3),$B$3)+1)*F39+INDEX(Symboles!$G$6:$G$101,MOD(17+$C39+(-2),$B$3)+1)*G39+INDEX(Symboles!$G$6:$G$101,MOD(17+$C39+(-1),$B$3)+1)*H39+INDEX(Symboles!$G$6:$G$101,MOD(17+$C39+(0),$B$3)+1)*I39+INDEX(Symboles!$G$6:$G$101,MOD(17+$C39+(1),$B$3)+1)*J39+INDEX(Symboles!$G$6:$G$101,MOD(17+$C39+(2),$B$3)+1)*K39+INDEX(Symboles!$G$6:$G$101,MOD(17+$C39+(3),$B$3)+1)*L39+INDEX(Symboles!$G$6:$G$101,MOD(17+$C39+(4),$B$3)+1)*M39+IF($B$6=0,0,$B$6*NORMSINV(0.000001+0.999998*RAND())))</f>
        <v/>
      </c>
      <c r="AH39" s="30">
        <f>IF(19&gt;$B$3,99,INDEX(Symboles!$G$6:$G$101,MOD(18+$C39+(-4),$B$3)+1)*E39+INDEX(Symboles!$G$6:$G$101,MOD(18+$C39+(-3),$B$3)+1)*F39+INDEX(Symboles!$G$6:$G$101,MOD(18+$C39+(-2),$B$3)+1)*G39+INDEX(Symboles!$G$6:$G$101,MOD(18+$C39+(-1),$B$3)+1)*H39+INDEX(Symboles!$G$6:$G$101,MOD(18+$C39+(0),$B$3)+1)*I39+INDEX(Symboles!$G$6:$G$101,MOD(18+$C39+(1),$B$3)+1)*J39+INDEX(Symboles!$G$6:$G$101,MOD(18+$C39+(2),$B$3)+1)*K39+INDEX(Symboles!$G$6:$G$101,MOD(18+$C39+(3),$B$3)+1)*L39+INDEX(Symboles!$G$6:$G$101,MOD(18+$C39+(4),$B$3)+1)*M39+IF($B$6=0,0,$B$6*NORMSINV(0.000001+0.999998*RAND())))</f>
        <v/>
      </c>
      <c r="AI39" s="30">
        <f>IF(20&gt;$B$3,99,INDEX(Symboles!$G$6:$G$101,MOD(19+$C39+(-4),$B$3)+1)*E39+INDEX(Symboles!$G$6:$G$101,MOD(19+$C39+(-3),$B$3)+1)*F39+INDEX(Symboles!$G$6:$G$101,MOD(19+$C39+(-2),$B$3)+1)*G39+INDEX(Symboles!$G$6:$G$101,MOD(19+$C39+(-1),$B$3)+1)*H39+INDEX(Symboles!$G$6:$G$101,MOD(19+$C39+(0),$B$3)+1)*I39+INDEX(Symboles!$G$6:$G$101,MOD(19+$C39+(1),$B$3)+1)*J39+INDEX(Symboles!$G$6:$G$101,MOD(19+$C39+(2),$B$3)+1)*K39+INDEX(Symboles!$G$6:$G$101,MOD(19+$C39+(3),$B$3)+1)*L39+INDEX(Symboles!$G$6:$G$101,MOD(19+$C39+(4),$B$3)+1)*M39+IF($B$6=0,0,$B$6*NORMSINV(0.000001+0.999998*RAND())))</f>
        <v/>
      </c>
      <c r="AJ39" s="30">
        <f>IF(21&gt;$B$3,99,INDEX(Symboles!$G$6:$G$101,MOD(20+$C39+(-4),$B$3)+1)*E39+INDEX(Symboles!$G$6:$G$101,MOD(20+$C39+(-3),$B$3)+1)*F39+INDEX(Symboles!$G$6:$G$101,MOD(20+$C39+(-2),$B$3)+1)*G39+INDEX(Symboles!$G$6:$G$101,MOD(20+$C39+(-1),$B$3)+1)*H39+INDEX(Symboles!$G$6:$G$101,MOD(20+$C39+(0),$B$3)+1)*I39+INDEX(Symboles!$G$6:$G$101,MOD(20+$C39+(1),$B$3)+1)*J39+INDEX(Symboles!$G$6:$G$101,MOD(20+$C39+(2),$B$3)+1)*K39+INDEX(Symboles!$G$6:$G$101,MOD(20+$C39+(3),$B$3)+1)*L39+INDEX(Symboles!$G$6:$G$101,MOD(20+$C39+(4),$B$3)+1)*M39+IF($B$6=0,0,$B$6*NORMSINV(0.000001+0.999998*RAND())))</f>
        <v/>
      </c>
      <c r="AK39" s="30">
        <f>IF(22&gt;$B$3,99,INDEX(Symboles!$G$6:$G$101,MOD(21+$C39+(-4),$B$3)+1)*E39+INDEX(Symboles!$G$6:$G$101,MOD(21+$C39+(-3),$B$3)+1)*F39+INDEX(Symboles!$G$6:$G$101,MOD(21+$C39+(-2),$B$3)+1)*G39+INDEX(Symboles!$G$6:$G$101,MOD(21+$C39+(-1),$B$3)+1)*H39+INDEX(Symboles!$G$6:$G$101,MOD(21+$C39+(0),$B$3)+1)*I39+INDEX(Symboles!$G$6:$G$101,MOD(21+$C39+(1),$B$3)+1)*J39+INDEX(Symboles!$G$6:$G$101,MOD(21+$C39+(2),$B$3)+1)*K39+INDEX(Symboles!$G$6:$G$101,MOD(21+$C39+(3),$B$3)+1)*L39+INDEX(Symboles!$G$6:$G$101,MOD(21+$C39+(4),$B$3)+1)*M39+IF($B$6=0,0,$B$6*NORMSINV(0.000001+0.999998*RAND())))</f>
        <v/>
      </c>
      <c r="AL39" s="30">
        <f>IF(23&gt;$B$3,99,INDEX(Symboles!$G$6:$G$101,MOD(22+$C39+(-4),$B$3)+1)*E39+INDEX(Symboles!$G$6:$G$101,MOD(22+$C39+(-3),$B$3)+1)*F39+INDEX(Symboles!$G$6:$G$101,MOD(22+$C39+(-2),$B$3)+1)*G39+INDEX(Symboles!$G$6:$G$101,MOD(22+$C39+(-1),$B$3)+1)*H39+INDEX(Symboles!$G$6:$G$101,MOD(22+$C39+(0),$B$3)+1)*I39+INDEX(Symboles!$G$6:$G$101,MOD(22+$C39+(1),$B$3)+1)*J39+INDEX(Symboles!$G$6:$G$101,MOD(22+$C39+(2),$B$3)+1)*K39+INDEX(Symboles!$G$6:$G$101,MOD(22+$C39+(3),$B$3)+1)*L39+INDEX(Symboles!$G$6:$G$101,MOD(22+$C39+(4),$B$3)+1)*M39+IF($B$6=0,0,$B$6*NORMSINV(0.000001+0.999998*RAND())))</f>
        <v/>
      </c>
      <c r="AM39" s="30">
        <f>IF(24&gt;$B$3,99,INDEX(Symboles!$G$6:$G$101,MOD(23+$C39+(-4),$B$3)+1)*E39+INDEX(Symboles!$G$6:$G$101,MOD(23+$C39+(-3),$B$3)+1)*F39+INDEX(Symboles!$G$6:$G$101,MOD(23+$C39+(-2),$B$3)+1)*G39+INDEX(Symboles!$G$6:$G$101,MOD(23+$C39+(-1),$B$3)+1)*H39+INDEX(Symboles!$G$6:$G$101,MOD(23+$C39+(0),$B$3)+1)*I39+INDEX(Symboles!$G$6:$G$101,MOD(23+$C39+(1),$B$3)+1)*J39+INDEX(Symboles!$G$6:$G$101,MOD(23+$C39+(2),$B$3)+1)*K39+INDEX(Symboles!$G$6:$G$101,MOD(23+$C39+(3),$B$3)+1)*L39+INDEX(Symboles!$G$6:$G$101,MOD(23+$C39+(4),$B$3)+1)*M39+IF($B$6=0,0,$B$6*NORMSINV(0.000001+0.999998*RAND())))</f>
        <v/>
      </c>
      <c r="AN39" s="30">
        <f>IF(25&gt;$B$3,99,INDEX(Symboles!$G$6:$G$101,MOD(24+$C39+(-4),$B$3)+1)*E39+INDEX(Symboles!$G$6:$G$101,MOD(24+$C39+(-3),$B$3)+1)*F39+INDEX(Symboles!$G$6:$G$101,MOD(24+$C39+(-2),$B$3)+1)*G39+INDEX(Symboles!$G$6:$G$101,MOD(24+$C39+(-1),$B$3)+1)*H39+INDEX(Symboles!$G$6:$G$101,MOD(24+$C39+(0),$B$3)+1)*I39+INDEX(Symboles!$G$6:$G$101,MOD(24+$C39+(1),$B$3)+1)*J39+INDEX(Symboles!$G$6:$G$101,MOD(24+$C39+(2),$B$3)+1)*K39+INDEX(Symboles!$G$6:$G$101,MOD(24+$C39+(3),$B$3)+1)*L39+INDEX(Symboles!$G$6:$G$101,MOD(24+$C39+(4),$B$3)+1)*M39+IF($B$6=0,0,$B$6*NORMSINV(0.000001+0.999998*RAND())))</f>
        <v/>
      </c>
      <c r="AO39" s="30">
        <f>IF(26&gt;$B$3,99,INDEX(Symboles!$G$6:$G$101,MOD(25+$C39+(-4),$B$3)+1)*E39+INDEX(Symboles!$G$6:$G$101,MOD(25+$C39+(-3),$B$3)+1)*F39+INDEX(Symboles!$G$6:$G$101,MOD(25+$C39+(-2),$B$3)+1)*G39+INDEX(Symboles!$G$6:$G$101,MOD(25+$C39+(-1),$B$3)+1)*H39+INDEX(Symboles!$G$6:$G$101,MOD(25+$C39+(0),$B$3)+1)*I39+INDEX(Symboles!$G$6:$G$101,MOD(25+$C39+(1),$B$3)+1)*J39+INDEX(Symboles!$G$6:$G$101,MOD(25+$C39+(2),$B$3)+1)*K39+INDEX(Symboles!$G$6:$G$101,MOD(25+$C39+(3),$B$3)+1)*L39+INDEX(Symboles!$G$6:$G$101,MOD(25+$C39+(4),$B$3)+1)*M39+IF($B$6=0,0,$B$6*NORMSINV(0.000001+0.999998*RAND())))</f>
        <v/>
      </c>
      <c r="AP39" s="30">
        <f>IF(27&gt;$B$3,99,INDEX(Symboles!$G$6:$G$101,MOD(26+$C39+(-4),$B$3)+1)*E39+INDEX(Symboles!$G$6:$G$101,MOD(26+$C39+(-3),$B$3)+1)*F39+INDEX(Symboles!$G$6:$G$101,MOD(26+$C39+(-2),$B$3)+1)*G39+INDEX(Symboles!$G$6:$G$101,MOD(26+$C39+(-1),$B$3)+1)*H39+INDEX(Symboles!$G$6:$G$101,MOD(26+$C39+(0),$B$3)+1)*I39+INDEX(Symboles!$G$6:$G$101,MOD(26+$C39+(1),$B$3)+1)*J39+INDEX(Symboles!$G$6:$G$101,MOD(26+$C39+(2),$B$3)+1)*K39+INDEX(Symboles!$G$6:$G$101,MOD(26+$C39+(3),$B$3)+1)*L39+INDEX(Symboles!$G$6:$G$101,MOD(26+$C39+(4),$B$3)+1)*M39+IF($B$6=0,0,$B$6*NORMSINV(0.000001+0.999998*RAND())))</f>
        <v/>
      </c>
      <c r="AQ39" s="30">
        <f>IF(28&gt;$B$3,99,INDEX(Symboles!$G$6:$G$101,MOD(27+$C39+(-4),$B$3)+1)*E39+INDEX(Symboles!$G$6:$G$101,MOD(27+$C39+(-3),$B$3)+1)*F39+INDEX(Symboles!$G$6:$G$101,MOD(27+$C39+(-2),$B$3)+1)*G39+INDEX(Symboles!$G$6:$G$101,MOD(27+$C39+(-1),$B$3)+1)*H39+INDEX(Symboles!$G$6:$G$101,MOD(27+$C39+(0),$B$3)+1)*I39+INDEX(Symboles!$G$6:$G$101,MOD(27+$C39+(1),$B$3)+1)*J39+INDEX(Symboles!$G$6:$G$101,MOD(27+$C39+(2),$B$3)+1)*K39+INDEX(Symboles!$G$6:$G$101,MOD(27+$C39+(3),$B$3)+1)*L39+INDEX(Symboles!$G$6:$G$101,MOD(27+$C39+(4),$B$3)+1)*M39+IF($B$6=0,0,$B$6*NORMSINV(0.000001+0.999998*RAND())))</f>
        <v/>
      </c>
      <c r="AR39" s="30">
        <f>IF(29&gt;$B$3,99,INDEX(Symboles!$G$6:$G$101,MOD(28+$C39+(-4),$B$3)+1)*E39+INDEX(Symboles!$G$6:$G$101,MOD(28+$C39+(-3),$B$3)+1)*F39+INDEX(Symboles!$G$6:$G$101,MOD(28+$C39+(-2),$B$3)+1)*G39+INDEX(Symboles!$G$6:$G$101,MOD(28+$C39+(-1),$B$3)+1)*H39+INDEX(Symboles!$G$6:$G$101,MOD(28+$C39+(0),$B$3)+1)*I39+INDEX(Symboles!$G$6:$G$101,MOD(28+$C39+(1),$B$3)+1)*J39+INDEX(Symboles!$G$6:$G$101,MOD(28+$C39+(2),$B$3)+1)*K39+INDEX(Symboles!$G$6:$G$101,MOD(28+$C39+(3),$B$3)+1)*L39+INDEX(Symboles!$G$6:$G$101,MOD(28+$C39+(4),$B$3)+1)*M39+IF($B$6=0,0,$B$6*NORMSINV(0.000001+0.999998*RAND())))</f>
        <v/>
      </c>
      <c r="AS39" s="30">
        <f>IF(30&gt;$B$3,99,INDEX(Symboles!$G$6:$G$101,MOD(29+$C39+(-4),$B$3)+1)*E39+INDEX(Symboles!$G$6:$G$101,MOD(29+$C39+(-3),$B$3)+1)*F39+INDEX(Symboles!$G$6:$G$101,MOD(29+$C39+(-2),$B$3)+1)*G39+INDEX(Symboles!$G$6:$G$101,MOD(29+$C39+(-1),$B$3)+1)*H39+INDEX(Symboles!$G$6:$G$101,MOD(29+$C39+(0),$B$3)+1)*I39+INDEX(Symboles!$G$6:$G$101,MOD(29+$C39+(1),$B$3)+1)*J39+INDEX(Symboles!$G$6:$G$101,MOD(29+$C39+(2),$B$3)+1)*K39+INDEX(Symboles!$G$6:$G$101,MOD(29+$C39+(3),$B$3)+1)*L39+INDEX(Symboles!$G$6:$G$101,MOD(29+$C39+(4),$B$3)+1)*M39+IF($B$6=0,0,$B$6*NORMSINV(0.000001+0.999998*RAND())))</f>
        <v/>
      </c>
      <c r="AT39" s="30">
        <f>IF(31&gt;$B$3,99,INDEX(Symboles!$G$6:$G$101,MOD(30+$C39+(-4),$B$3)+1)*E39+INDEX(Symboles!$G$6:$G$101,MOD(30+$C39+(-3),$B$3)+1)*F39+INDEX(Symboles!$G$6:$G$101,MOD(30+$C39+(-2),$B$3)+1)*G39+INDEX(Symboles!$G$6:$G$101,MOD(30+$C39+(-1),$B$3)+1)*H39+INDEX(Symboles!$G$6:$G$101,MOD(30+$C39+(0),$B$3)+1)*I39+INDEX(Symboles!$G$6:$G$101,MOD(30+$C39+(1),$B$3)+1)*J39+INDEX(Symboles!$G$6:$G$101,MOD(30+$C39+(2),$B$3)+1)*K39+INDEX(Symboles!$G$6:$G$101,MOD(30+$C39+(3),$B$3)+1)*L39+INDEX(Symboles!$G$6:$G$101,MOD(30+$C39+(4),$B$3)+1)*M39+IF($B$6=0,0,$B$6*NORMSINV(0.000001+0.999998*RAND())))</f>
        <v/>
      </c>
      <c r="AU39" s="30">
        <f>IF(32&gt;$B$3,99,INDEX(Symboles!$G$6:$G$101,MOD(31+$C39+(-4),$B$3)+1)*E39+INDEX(Symboles!$G$6:$G$101,MOD(31+$C39+(-3),$B$3)+1)*F39+INDEX(Symboles!$G$6:$G$101,MOD(31+$C39+(-2),$B$3)+1)*G39+INDEX(Symboles!$G$6:$G$101,MOD(31+$C39+(-1),$B$3)+1)*H39+INDEX(Symboles!$G$6:$G$101,MOD(31+$C39+(0),$B$3)+1)*I39+INDEX(Symboles!$G$6:$G$101,MOD(31+$C39+(1),$B$3)+1)*J39+INDEX(Symboles!$G$6:$G$101,MOD(31+$C39+(2),$B$3)+1)*K39+INDEX(Symboles!$G$6:$G$101,MOD(31+$C39+(3),$B$3)+1)*L39+INDEX(Symboles!$G$6:$G$101,MOD(31+$C39+(4),$B$3)+1)*M39+IF($B$6=0,0,$B$6*NORMSINV(0.000001+0.999998*RAND())))</f>
        <v/>
      </c>
      <c r="AV39" s="30">
        <f>IF(33&gt;$B$3,99,INDEX(Symboles!$G$6:$G$101,MOD(32+$C39+(-4),$B$3)+1)*E39+INDEX(Symboles!$G$6:$G$101,MOD(32+$C39+(-3),$B$3)+1)*F39+INDEX(Symboles!$G$6:$G$101,MOD(32+$C39+(-2),$B$3)+1)*G39+INDEX(Symboles!$G$6:$G$101,MOD(32+$C39+(-1),$B$3)+1)*H39+INDEX(Symboles!$G$6:$G$101,MOD(32+$C39+(0),$B$3)+1)*I39+INDEX(Symboles!$G$6:$G$101,MOD(32+$C39+(1),$B$3)+1)*J39+INDEX(Symboles!$G$6:$G$101,MOD(32+$C39+(2),$B$3)+1)*K39+INDEX(Symboles!$G$6:$G$101,MOD(32+$C39+(3),$B$3)+1)*L39+INDEX(Symboles!$G$6:$G$101,MOD(32+$C39+(4),$B$3)+1)*M39+IF($B$6=0,0,$B$6*NORMSINV(0.000001+0.999998*RAND())))</f>
        <v/>
      </c>
      <c r="AW39" s="30">
        <f>IF(34&gt;$B$3,99,INDEX(Symboles!$G$6:$G$101,MOD(33+$C39+(-4),$B$3)+1)*E39+INDEX(Symboles!$G$6:$G$101,MOD(33+$C39+(-3),$B$3)+1)*F39+INDEX(Symboles!$G$6:$G$101,MOD(33+$C39+(-2),$B$3)+1)*G39+INDEX(Symboles!$G$6:$G$101,MOD(33+$C39+(-1),$B$3)+1)*H39+INDEX(Symboles!$G$6:$G$101,MOD(33+$C39+(0),$B$3)+1)*I39+INDEX(Symboles!$G$6:$G$101,MOD(33+$C39+(1),$B$3)+1)*J39+INDEX(Symboles!$G$6:$G$101,MOD(33+$C39+(2),$B$3)+1)*K39+INDEX(Symboles!$G$6:$G$101,MOD(33+$C39+(3),$B$3)+1)*L39+INDEX(Symboles!$G$6:$G$101,MOD(33+$C39+(4),$B$3)+1)*M39+IF($B$6=0,0,$B$6*NORMSINV(0.000001+0.999998*RAND())))</f>
        <v/>
      </c>
      <c r="AX39" s="30">
        <f>IF(35&gt;$B$3,99,INDEX(Symboles!$G$6:$G$101,MOD(34+$C39+(-4),$B$3)+1)*E39+INDEX(Symboles!$G$6:$G$101,MOD(34+$C39+(-3),$B$3)+1)*F39+INDEX(Symboles!$G$6:$G$101,MOD(34+$C39+(-2),$B$3)+1)*G39+INDEX(Symboles!$G$6:$G$101,MOD(34+$C39+(-1),$B$3)+1)*H39+INDEX(Symboles!$G$6:$G$101,MOD(34+$C39+(0),$B$3)+1)*I39+INDEX(Symboles!$G$6:$G$101,MOD(34+$C39+(1),$B$3)+1)*J39+INDEX(Symboles!$G$6:$G$101,MOD(34+$C39+(2),$B$3)+1)*K39+INDEX(Symboles!$G$6:$G$101,MOD(34+$C39+(3),$B$3)+1)*L39+INDEX(Symboles!$G$6:$G$101,MOD(34+$C39+(4),$B$3)+1)*M39+IF($B$6=0,0,$B$6*NORMSINV(0.000001+0.999998*RAND())))</f>
        <v/>
      </c>
      <c r="AY39" s="30">
        <f>IF(36&gt;$B$3,99,INDEX(Symboles!$G$6:$G$101,MOD(35+$C39+(-4),$B$3)+1)*E39+INDEX(Symboles!$G$6:$G$101,MOD(35+$C39+(-3),$B$3)+1)*F39+INDEX(Symboles!$G$6:$G$101,MOD(35+$C39+(-2),$B$3)+1)*G39+INDEX(Symboles!$G$6:$G$101,MOD(35+$C39+(-1),$B$3)+1)*H39+INDEX(Symboles!$G$6:$G$101,MOD(35+$C39+(0),$B$3)+1)*I39+INDEX(Symboles!$G$6:$G$101,MOD(35+$C39+(1),$B$3)+1)*J39+INDEX(Symboles!$G$6:$G$101,MOD(35+$C39+(2),$B$3)+1)*K39+INDEX(Symboles!$G$6:$G$101,MOD(35+$C39+(3),$B$3)+1)*L39+INDEX(Symboles!$G$6:$G$101,MOD(35+$C39+(4),$B$3)+1)*M39+IF($B$6=0,0,$B$6*NORMSINV(0.000001+0.999998*RAND())))</f>
        <v/>
      </c>
      <c r="AZ39" s="30">
        <f>IF(37&gt;$B$3,99,INDEX(Symboles!$G$6:$G$101,MOD(36+$C39+(-4),$B$3)+1)*E39+INDEX(Symboles!$G$6:$G$101,MOD(36+$C39+(-3),$B$3)+1)*F39+INDEX(Symboles!$G$6:$G$101,MOD(36+$C39+(-2),$B$3)+1)*G39+INDEX(Symboles!$G$6:$G$101,MOD(36+$C39+(-1),$B$3)+1)*H39+INDEX(Symboles!$G$6:$G$101,MOD(36+$C39+(0),$B$3)+1)*I39+INDEX(Symboles!$G$6:$G$101,MOD(36+$C39+(1),$B$3)+1)*J39+INDEX(Symboles!$G$6:$G$101,MOD(36+$C39+(2),$B$3)+1)*K39+INDEX(Symboles!$G$6:$G$101,MOD(36+$C39+(3),$B$3)+1)*L39+INDEX(Symboles!$G$6:$G$101,MOD(36+$C39+(4),$B$3)+1)*M39+IF($B$6=0,0,$B$6*NORMSINV(0.000001+0.999998*RAND())))</f>
        <v/>
      </c>
      <c r="BA39" s="30">
        <f>IF(38&gt;$B$3,99,INDEX(Symboles!$G$6:$G$101,MOD(37+$C39+(-4),$B$3)+1)*E39+INDEX(Symboles!$G$6:$G$101,MOD(37+$C39+(-3),$B$3)+1)*F39+INDEX(Symboles!$G$6:$G$101,MOD(37+$C39+(-2),$B$3)+1)*G39+INDEX(Symboles!$G$6:$G$101,MOD(37+$C39+(-1),$B$3)+1)*H39+INDEX(Symboles!$G$6:$G$101,MOD(37+$C39+(0),$B$3)+1)*I39+INDEX(Symboles!$G$6:$G$101,MOD(37+$C39+(1),$B$3)+1)*J39+INDEX(Symboles!$G$6:$G$101,MOD(37+$C39+(2),$B$3)+1)*K39+INDEX(Symboles!$G$6:$G$101,MOD(37+$C39+(3),$B$3)+1)*L39+INDEX(Symboles!$G$6:$G$101,MOD(37+$C39+(4),$B$3)+1)*M39+IF($B$6=0,0,$B$6*NORMSINV(0.000001+0.999998*RAND())))</f>
        <v/>
      </c>
      <c r="BB39" s="30">
        <f>IF(39&gt;$B$3,99,INDEX(Symboles!$G$6:$G$101,MOD(38+$C39+(-4),$B$3)+1)*E39+INDEX(Symboles!$G$6:$G$101,MOD(38+$C39+(-3),$B$3)+1)*F39+INDEX(Symboles!$G$6:$G$101,MOD(38+$C39+(-2),$B$3)+1)*G39+INDEX(Symboles!$G$6:$G$101,MOD(38+$C39+(-1),$B$3)+1)*H39+INDEX(Symboles!$G$6:$G$101,MOD(38+$C39+(0),$B$3)+1)*I39+INDEX(Symboles!$G$6:$G$101,MOD(38+$C39+(1),$B$3)+1)*J39+INDEX(Symboles!$G$6:$G$101,MOD(38+$C39+(2),$B$3)+1)*K39+INDEX(Symboles!$G$6:$G$101,MOD(38+$C39+(3),$B$3)+1)*L39+INDEX(Symboles!$G$6:$G$101,MOD(38+$C39+(4),$B$3)+1)*M39+IF($B$6=0,0,$B$6*NORMSINV(0.000001+0.999998*RAND())))</f>
        <v/>
      </c>
      <c r="BC39" s="30">
        <f>IF(40&gt;$B$3,99,INDEX(Symboles!$G$6:$G$101,MOD(39+$C39+(-4),$B$3)+1)*E39+INDEX(Symboles!$G$6:$G$101,MOD(39+$C39+(-3),$B$3)+1)*F39+INDEX(Symboles!$G$6:$G$101,MOD(39+$C39+(-2),$B$3)+1)*G39+INDEX(Symboles!$G$6:$G$101,MOD(39+$C39+(-1),$B$3)+1)*H39+INDEX(Symboles!$G$6:$G$101,MOD(39+$C39+(0),$B$3)+1)*I39+INDEX(Symboles!$G$6:$G$101,MOD(39+$C39+(1),$B$3)+1)*J39+INDEX(Symboles!$G$6:$G$101,MOD(39+$C39+(2),$B$3)+1)*K39+INDEX(Symboles!$G$6:$G$101,MOD(39+$C39+(3),$B$3)+1)*L39+INDEX(Symboles!$G$6:$G$101,MOD(39+$C39+(4),$B$3)+1)*M39+IF($B$6=0,0,$B$6*NORMSINV(0.000001+0.999998*RAND())))</f>
        <v/>
      </c>
      <c r="BD39" s="30">
        <f>IF(41&gt;$B$3,99,INDEX(Symboles!$G$6:$G$101,MOD(40+$C39+(-4),$B$3)+1)*E39+INDEX(Symboles!$G$6:$G$101,MOD(40+$C39+(-3),$B$3)+1)*F39+INDEX(Symboles!$G$6:$G$101,MOD(40+$C39+(-2),$B$3)+1)*G39+INDEX(Symboles!$G$6:$G$101,MOD(40+$C39+(-1),$B$3)+1)*H39+INDEX(Symboles!$G$6:$G$101,MOD(40+$C39+(0),$B$3)+1)*I39+INDEX(Symboles!$G$6:$G$101,MOD(40+$C39+(1),$B$3)+1)*J39+INDEX(Symboles!$G$6:$G$101,MOD(40+$C39+(2),$B$3)+1)*K39+INDEX(Symboles!$G$6:$G$101,MOD(40+$C39+(3),$B$3)+1)*L39+INDEX(Symboles!$G$6:$G$101,MOD(40+$C39+(4),$B$3)+1)*M39+IF($B$6=0,0,$B$6*NORMSINV(0.000001+0.999998*RAND())))</f>
        <v/>
      </c>
      <c r="BE39" s="30">
        <f>IF(42&gt;$B$3,99,INDEX(Symboles!$G$6:$G$101,MOD(41+$C39+(-4),$B$3)+1)*E39+INDEX(Symboles!$G$6:$G$101,MOD(41+$C39+(-3),$B$3)+1)*F39+INDEX(Symboles!$G$6:$G$101,MOD(41+$C39+(-2),$B$3)+1)*G39+INDEX(Symboles!$G$6:$G$101,MOD(41+$C39+(-1),$B$3)+1)*H39+INDEX(Symboles!$G$6:$G$101,MOD(41+$C39+(0),$B$3)+1)*I39+INDEX(Symboles!$G$6:$G$101,MOD(41+$C39+(1),$B$3)+1)*J39+INDEX(Symboles!$G$6:$G$101,MOD(41+$C39+(2),$B$3)+1)*K39+INDEX(Symboles!$G$6:$G$101,MOD(41+$C39+(3),$B$3)+1)*L39+INDEX(Symboles!$G$6:$G$101,MOD(41+$C39+(4),$B$3)+1)*M39+IF($B$6=0,0,$B$6*NORMSINV(0.000001+0.999998*RAND())))</f>
        <v/>
      </c>
      <c r="BF39" s="30">
        <f>IF(43&gt;$B$3,99,INDEX(Symboles!$G$6:$G$101,MOD(42+$C39+(-4),$B$3)+1)*E39+INDEX(Symboles!$G$6:$G$101,MOD(42+$C39+(-3),$B$3)+1)*F39+INDEX(Symboles!$G$6:$G$101,MOD(42+$C39+(-2),$B$3)+1)*G39+INDEX(Symboles!$G$6:$G$101,MOD(42+$C39+(-1),$B$3)+1)*H39+INDEX(Symboles!$G$6:$G$101,MOD(42+$C39+(0),$B$3)+1)*I39+INDEX(Symboles!$G$6:$G$101,MOD(42+$C39+(1),$B$3)+1)*J39+INDEX(Symboles!$G$6:$G$101,MOD(42+$C39+(2),$B$3)+1)*K39+INDEX(Symboles!$G$6:$G$101,MOD(42+$C39+(3),$B$3)+1)*L39+INDEX(Symboles!$G$6:$G$101,MOD(42+$C39+(4),$B$3)+1)*M39+IF($B$6=0,0,$B$6*NORMSINV(0.000001+0.999998*RAND())))</f>
        <v/>
      </c>
      <c r="BG39" s="30">
        <f>IF(44&gt;$B$3,99,INDEX(Symboles!$G$6:$G$101,MOD(43+$C39+(-4),$B$3)+1)*E39+INDEX(Symboles!$G$6:$G$101,MOD(43+$C39+(-3),$B$3)+1)*F39+INDEX(Symboles!$G$6:$G$101,MOD(43+$C39+(-2),$B$3)+1)*G39+INDEX(Symboles!$G$6:$G$101,MOD(43+$C39+(-1),$B$3)+1)*H39+INDEX(Symboles!$G$6:$G$101,MOD(43+$C39+(0),$B$3)+1)*I39+INDEX(Symboles!$G$6:$G$101,MOD(43+$C39+(1),$B$3)+1)*J39+INDEX(Symboles!$G$6:$G$101,MOD(43+$C39+(2),$B$3)+1)*K39+INDEX(Symboles!$G$6:$G$101,MOD(43+$C39+(3),$B$3)+1)*L39+INDEX(Symboles!$G$6:$G$101,MOD(43+$C39+(4),$B$3)+1)*M39+IF($B$6=0,0,$B$6*NORMSINV(0.000001+0.999998*RAND())))</f>
        <v/>
      </c>
      <c r="BH39" s="30">
        <f>IF(45&gt;$B$3,99,INDEX(Symboles!$G$6:$G$101,MOD(44+$C39+(-4),$B$3)+1)*E39+INDEX(Symboles!$G$6:$G$101,MOD(44+$C39+(-3),$B$3)+1)*F39+INDEX(Symboles!$G$6:$G$101,MOD(44+$C39+(-2),$B$3)+1)*G39+INDEX(Symboles!$G$6:$G$101,MOD(44+$C39+(-1),$B$3)+1)*H39+INDEX(Symboles!$G$6:$G$101,MOD(44+$C39+(0),$B$3)+1)*I39+INDEX(Symboles!$G$6:$G$101,MOD(44+$C39+(1),$B$3)+1)*J39+INDEX(Symboles!$G$6:$G$101,MOD(44+$C39+(2),$B$3)+1)*K39+INDEX(Symboles!$G$6:$G$101,MOD(44+$C39+(3),$B$3)+1)*L39+INDEX(Symboles!$G$6:$G$101,MOD(44+$C39+(4),$B$3)+1)*M39+IF($B$6=0,0,$B$6*NORMSINV(0.000001+0.999998*RAND())))</f>
        <v/>
      </c>
      <c r="BI39" s="30">
        <f>IF(46&gt;$B$3,99,INDEX(Symboles!$G$6:$G$101,MOD(45+$C39+(-4),$B$3)+1)*E39+INDEX(Symboles!$G$6:$G$101,MOD(45+$C39+(-3),$B$3)+1)*F39+INDEX(Symboles!$G$6:$G$101,MOD(45+$C39+(-2),$B$3)+1)*G39+INDEX(Symboles!$G$6:$G$101,MOD(45+$C39+(-1),$B$3)+1)*H39+INDEX(Symboles!$G$6:$G$101,MOD(45+$C39+(0),$B$3)+1)*I39+INDEX(Symboles!$G$6:$G$101,MOD(45+$C39+(1),$B$3)+1)*J39+INDEX(Symboles!$G$6:$G$101,MOD(45+$C39+(2),$B$3)+1)*K39+INDEX(Symboles!$G$6:$G$101,MOD(45+$C39+(3),$B$3)+1)*L39+INDEX(Symboles!$G$6:$G$101,MOD(45+$C39+(4),$B$3)+1)*M39+IF($B$6=0,0,$B$6*NORMSINV(0.000001+0.999998*RAND())))</f>
        <v/>
      </c>
      <c r="BJ39" s="30">
        <f>IF(47&gt;$B$3,99,INDEX(Symboles!$G$6:$G$101,MOD(46+$C39+(-4),$B$3)+1)*E39+INDEX(Symboles!$G$6:$G$101,MOD(46+$C39+(-3),$B$3)+1)*F39+INDEX(Symboles!$G$6:$G$101,MOD(46+$C39+(-2),$B$3)+1)*G39+INDEX(Symboles!$G$6:$G$101,MOD(46+$C39+(-1),$B$3)+1)*H39+INDEX(Symboles!$G$6:$G$101,MOD(46+$C39+(0),$B$3)+1)*I39+INDEX(Symboles!$G$6:$G$101,MOD(46+$C39+(1),$B$3)+1)*J39+INDEX(Symboles!$G$6:$G$101,MOD(46+$C39+(2),$B$3)+1)*K39+INDEX(Symboles!$G$6:$G$101,MOD(46+$C39+(3),$B$3)+1)*L39+INDEX(Symboles!$G$6:$G$101,MOD(46+$C39+(4),$B$3)+1)*M39+IF($B$6=0,0,$B$6*NORMSINV(0.000001+0.999998*RAND())))</f>
        <v/>
      </c>
      <c r="BK39" s="30">
        <f>IF(48&gt;$B$3,99,INDEX(Symboles!$G$6:$G$101,MOD(47+$C39+(-4),$B$3)+1)*E39+INDEX(Symboles!$G$6:$G$101,MOD(47+$C39+(-3),$B$3)+1)*F39+INDEX(Symboles!$G$6:$G$101,MOD(47+$C39+(-2),$B$3)+1)*G39+INDEX(Symboles!$G$6:$G$101,MOD(47+$C39+(-1),$B$3)+1)*H39+INDEX(Symboles!$G$6:$G$101,MOD(47+$C39+(0),$B$3)+1)*I39+INDEX(Symboles!$G$6:$G$101,MOD(47+$C39+(1),$B$3)+1)*J39+INDEX(Symboles!$G$6:$G$101,MOD(47+$C39+(2),$B$3)+1)*K39+INDEX(Symboles!$G$6:$G$101,MOD(47+$C39+(3),$B$3)+1)*L39+INDEX(Symboles!$G$6:$G$101,MOD(47+$C39+(4),$B$3)+1)*M39+IF($B$6=0,0,$B$6*NORMSINV(0.000001+0.999998*RAND())))</f>
        <v/>
      </c>
      <c r="BL39" s="30">
        <f>IF(49&gt;$B$3,99,INDEX(Symboles!$G$6:$G$101,MOD(48+$C39+(-4),$B$3)+1)*E39+INDEX(Symboles!$G$6:$G$101,MOD(48+$C39+(-3),$B$3)+1)*F39+INDEX(Symboles!$G$6:$G$101,MOD(48+$C39+(-2),$B$3)+1)*G39+INDEX(Symboles!$G$6:$G$101,MOD(48+$C39+(-1),$B$3)+1)*H39+INDEX(Symboles!$G$6:$G$101,MOD(48+$C39+(0),$B$3)+1)*I39+INDEX(Symboles!$G$6:$G$101,MOD(48+$C39+(1),$B$3)+1)*J39+INDEX(Symboles!$G$6:$G$101,MOD(48+$C39+(2),$B$3)+1)*K39+INDEX(Symboles!$G$6:$G$101,MOD(48+$C39+(3),$B$3)+1)*L39+INDEX(Symboles!$G$6:$G$101,MOD(48+$C39+(4),$B$3)+1)*M39+IF($B$6=0,0,$B$6*NORMSINV(0.000001+0.999998*RAND())))</f>
        <v/>
      </c>
      <c r="BM39" s="30">
        <f>IF(50&gt;$B$3,99,INDEX(Symboles!$G$6:$G$101,MOD(49+$C39+(-4),$B$3)+1)*E39+INDEX(Symboles!$G$6:$G$101,MOD(49+$C39+(-3),$B$3)+1)*F39+INDEX(Symboles!$G$6:$G$101,MOD(49+$C39+(-2),$B$3)+1)*G39+INDEX(Symboles!$G$6:$G$101,MOD(49+$C39+(-1),$B$3)+1)*H39+INDEX(Symboles!$G$6:$G$101,MOD(49+$C39+(0),$B$3)+1)*I39+INDEX(Symboles!$G$6:$G$101,MOD(49+$C39+(1),$B$3)+1)*J39+INDEX(Symboles!$G$6:$G$101,MOD(49+$C39+(2),$B$3)+1)*K39+INDEX(Symboles!$G$6:$G$101,MOD(49+$C39+(3),$B$3)+1)*L39+INDEX(Symboles!$G$6:$G$101,MOD(49+$C39+(4),$B$3)+1)*M39+IF($B$6=0,0,$B$6*NORMSINV(0.000001+0.999998*RAND())))</f>
        <v/>
      </c>
      <c r="BN39" s="30">
        <f>IF(51&gt;$B$3,99,INDEX(Symboles!$G$6:$G$101,MOD(50+$C39+(-4),$B$3)+1)*E39+INDEX(Symboles!$G$6:$G$101,MOD(50+$C39+(-3),$B$3)+1)*F39+INDEX(Symboles!$G$6:$G$101,MOD(50+$C39+(-2),$B$3)+1)*G39+INDEX(Symboles!$G$6:$G$101,MOD(50+$C39+(-1),$B$3)+1)*H39+INDEX(Symboles!$G$6:$G$101,MOD(50+$C39+(0),$B$3)+1)*I39+INDEX(Symboles!$G$6:$G$101,MOD(50+$C39+(1),$B$3)+1)*J39+INDEX(Symboles!$G$6:$G$101,MOD(50+$C39+(2),$B$3)+1)*K39+INDEX(Symboles!$G$6:$G$101,MOD(50+$C39+(3),$B$3)+1)*L39+INDEX(Symboles!$G$6:$G$101,MOD(50+$C39+(4),$B$3)+1)*M39+IF($B$6=0,0,$B$6*NORMSINV(0.000001+0.999998*RAND())))</f>
        <v/>
      </c>
      <c r="BO39" s="30">
        <f>IF(52&gt;$B$3,99,INDEX(Symboles!$G$6:$G$101,MOD(51+$C39+(-4),$B$3)+1)*E39+INDEX(Symboles!$G$6:$G$101,MOD(51+$C39+(-3),$B$3)+1)*F39+INDEX(Symboles!$G$6:$G$101,MOD(51+$C39+(-2),$B$3)+1)*G39+INDEX(Symboles!$G$6:$G$101,MOD(51+$C39+(-1),$B$3)+1)*H39+INDEX(Symboles!$G$6:$G$101,MOD(51+$C39+(0),$B$3)+1)*I39+INDEX(Symboles!$G$6:$G$101,MOD(51+$C39+(1),$B$3)+1)*J39+INDEX(Symboles!$G$6:$G$101,MOD(51+$C39+(2),$B$3)+1)*K39+INDEX(Symboles!$G$6:$G$101,MOD(51+$C39+(3),$B$3)+1)*L39+INDEX(Symboles!$G$6:$G$101,MOD(51+$C39+(4),$B$3)+1)*M39+IF($B$6=0,0,$B$6*NORMSINV(0.000001+0.999998*RAND())))</f>
        <v/>
      </c>
      <c r="BP39" s="30">
        <f>IF(53&gt;$B$3,99,INDEX(Symboles!$G$6:$G$101,MOD(52+$C39+(-4),$B$3)+1)*E39+INDEX(Symboles!$G$6:$G$101,MOD(52+$C39+(-3),$B$3)+1)*F39+INDEX(Symboles!$G$6:$G$101,MOD(52+$C39+(-2),$B$3)+1)*G39+INDEX(Symboles!$G$6:$G$101,MOD(52+$C39+(-1),$B$3)+1)*H39+INDEX(Symboles!$G$6:$G$101,MOD(52+$C39+(0),$B$3)+1)*I39+INDEX(Symboles!$G$6:$G$101,MOD(52+$C39+(1),$B$3)+1)*J39+INDEX(Symboles!$G$6:$G$101,MOD(52+$C39+(2),$B$3)+1)*K39+INDEX(Symboles!$G$6:$G$101,MOD(52+$C39+(3),$B$3)+1)*L39+INDEX(Symboles!$G$6:$G$101,MOD(52+$C39+(4),$B$3)+1)*M39+IF($B$6=0,0,$B$6*NORMSINV(0.000001+0.999998*RAND())))</f>
        <v/>
      </c>
      <c r="BQ39" s="30">
        <f>IF(54&gt;$B$3,99,INDEX(Symboles!$G$6:$G$101,MOD(53+$C39+(-4),$B$3)+1)*E39+INDEX(Symboles!$G$6:$G$101,MOD(53+$C39+(-3),$B$3)+1)*F39+INDEX(Symboles!$G$6:$G$101,MOD(53+$C39+(-2),$B$3)+1)*G39+INDEX(Symboles!$G$6:$G$101,MOD(53+$C39+(-1),$B$3)+1)*H39+INDEX(Symboles!$G$6:$G$101,MOD(53+$C39+(0),$B$3)+1)*I39+INDEX(Symboles!$G$6:$G$101,MOD(53+$C39+(1),$B$3)+1)*J39+INDEX(Symboles!$G$6:$G$101,MOD(53+$C39+(2),$B$3)+1)*K39+INDEX(Symboles!$G$6:$G$101,MOD(53+$C39+(3),$B$3)+1)*L39+INDEX(Symboles!$G$6:$G$101,MOD(53+$C39+(4),$B$3)+1)*M39+IF($B$6=0,0,$B$6*NORMSINV(0.000001+0.999998*RAND())))</f>
        <v/>
      </c>
      <c r="BR39" s="30">
        <f>IF(55&gt;$B$3,99,INDEX(Symboles!$G$6:$G$101,MOD(54+$C39+(-4),$B$3)+1)*E39+INDEX(Symboles!$G$6:$G$101,MOD(54+$C39+(-3),$B$3)+1)*F39+INDEX(Symboles!$G$6:$G$101,MOD(54+$C39+(-2),$B$3)+1)*G39+INDEX(Symboles!$G$6:$G$101,MOD(54+$C39+(-1),$B$3)+1)*H39+INDEX(Symboles!$G$6:$G$101,MOD(54+$C39+(0),$B$3)+1)*I39+INDEX(Symboles!$G$6:$G$101,MOD(54+$C39+(1),$B$3)+1)*J39+INDEX(Symboles!$G$6:$G$101,MOD(54+$C39+(2),$B$3)+1)*K39+INDEX(Symboles!$G$6:$G$101,MOD(54+$C39+(3),$B$3)+1)*L39+INDEX(Symboles!$G$6:$G$101,MOD(54+$C39+(4),$B$3)+1)*M39+IF($B$6=0,0,$B$6*NORMSINV(0.000001+0.999998*RAND())))</f>
        <v/>
      </c>
      <c r="BS39" s="30">
        <f>IF(56&gt;$B$3,99,INDEX(Symboles!$G$6:$G$101,MOD(55+$C39+(-4),$B$3)+1)*E39+INDEX(Symboles!$G$6:$G$101,MOD(55+$C39+(-3),$B$3)+1)*F39+INDEX(Symboles!$G$6:$G$101,MOD(55+$C39+(-2),$B$3)+1)*G39+INDEX(Symboles!$G$6:$G$101,MOD(55+$C39+(-1),$B$3)+1)*H39+INDEX(Symboles!$G$6:$G$101,MOD(55+$C39+(0),$B$3)+1)*I39+INDEX(Symboles!$G$6:$G$101,MOD(55+$C39+(1),$B$3)+1)*J39+INDEX(Symboles!$G$6:$G$101,MOD(55+$C39+(2),$B$3)+1)*K39+INDEX(Symboles!$G$6:$G$101,MOD(55+$C39+(3),$B$3)+1)*L39+INDEX(Symboles!$G$6:$G$101,MOD(55+$C39+(4),$B$3)+1)*M39+IF($B$6=0,0,$B$6*NORMSINV(0.000001+0.999998*RAND())))</f>
        <v/>
      </c>
      <c r="BT39" s="30">
        <f>IF(57&gt;$B$3,99,INDEX(Symboles!$G$6:$G$101,MOD(56+$C39+(-4),$B$3)+1)*E39+INDEX(Symboles!$G$6:$G$101,MOD(56+$C39+(-3),$B$3)+1)*F39+INDEX(Symboles!$G$6:$G$101,MOD(56+$C39+(-2),$B$3)+1)*G39+INDEX(Symboles!$G$6:$G$101,MOD(56+$C39+(-1),$B$3)+1)*H39+INDEX(Symboles!$G$6:$G$101,MOD(56+$C39+(0),$B$3)+1)*I39+INDEX(Symboles!$G$6:$G$101,MOD(56+$C39+(1),$B$3)+1)*J39+INDEX(Symboles!$G$6:$G$101,MOD(56+$C39+(2),$B$3)+1)*K39+INDEX(Symboles!$G$6:$G$101,MOD(56+$C39+(3),$B$3)+1)*L39+INDEX(Symboles!$G$6:$G$101,MOD(56+$C39+(4),$B$3)+1)*M39+IF($B$6=0,0,$B$6*NORMSINV(0.000001+0.999998*RAND())))</f>
        <v/>
      </c>
      <c r="BU39" s="30">
        <f>IF(58&gt;$B$3,99,INDEX(Symboles!$G$6:$G$101,MOD(57+$C39+(-4),$B$3)+1)*E39+INDEX(Symboles!$G$6:$G$101,MOD(57+$C39+(-3),$B$3)+1)*F39+INDEX(Symboles!$G$6:$G$101,MOD(57+$C39+(-2),$B$3)+1)*G39+INDEX(Symboles!$G$6:$G$101,MOD(57+$C39+(-1),$B$3)+1)*H39+INDEX(Symboles!$G$6:$G$101,MOD(57+$C39+(0),$B$3)+1)*I39+INDEX(Symboles!$G$6:$G$101,MOD(57+$C39+(1),$B$3)+1)*J39+INDEX(Symboles!$G$6:$G$101,MOD(57+$C39+(2),$B$3)+1)*K39+INDEX(Symboles!$G$6:$G$101,MOD(57+$C39+(3),$B$3)+1)*L39+INDEX(Symboles!$G$6:$G$101,MOD(57+$C39+(4),$B$3)+1)*M39+IF($B$6=0,0,$B$6*NORMSINV(0.000001+0.999998*RAND())))</f>
        <v/>
      </c>
      <c r="BV39" s="30">
        <f>IF(59&gt;$B$3,99,INDEX(Symboles!$G$6:$G$101,MOD(58+$C39+(-4),$B$3)+1)*E39+INDEX(Symboles!$G$6:$G$101,MOD(58+$C39+(-3),$B$3)+1)*F39+INDEX(Symboles!$G$6:$G$101,MOD(58+$C39+(-2),$B$3)+1)*G39+INDEX(Symboles!$G$6:$G$101,MOD(58+$C39+(-1),$B$3)+1)*H39+INDEX(Symboles!$G$6:$G$101,MOD(58+$C39+(0),$B$3)+1)*I39+INDEX(Symboles!$G$6:$G$101,MOD(58+$C39+(1),$B$3)+1)*J39+INDEX(Symboles!$G$6:$G$101,MOD(58+$C39+(2),$B$3)+1)*K39+INDEX(Symboles!$G$6:$G$101,MOD(58+$C39+(3),$B$3)+1)*L39+INDEX(Symboles!$G$6:$G$101,MOD(58+$C39+(4),$B$3)+1)*M39+IF($B$6=0,0,$B$6*NORMSINV(0.000001+0.999998*RAND())))</f>
        <v/>
      </c>
      <c r="BW39" s="30">
        <f>IF(60&gt;$B$3,99,INDEX(Symboles!$G$6:$G$101,MOD(59+$C39+(-4),$B$3)+1)*E39+INDEX(Symboles!$G$6:$G$101,MOD(59+$C39+(-3),$B$3)+1)*F39+INDEX(Symboles!$G$6:$G$101,MOD(59+$C39+(-2),$B$3)+1)*G39+INDEX(Symboles!$G$6:$G$101,MOD(59+$C39+(-1),$B$3)+1)*H39+INDEX(Symboles!$G$6:$G$101,MOD(59+$C39+(0),$B$3)+1)*I39+INDEX(Symboles!$G$6:$G$101,MOD(59+$C39+(1),$B$3)+1)*J39+INDEX(Symboles!$G$6:$G$101,MOD(59+$C39+(2),$B$3)+1)*K39+INDEX(Symboles!$G$6:$G$101,MOD(59+$C39+(3),$B$3)+1)*L39+INDEX(Symboles!$G$6:$G$101,MOD(59+$C39+(4),$B$3)+1)*M39+IF($B$6=0,0,$B$6*NORMSINV(0.000001+0.999998*RAND())))</f>
        <v/>
      </c>
      <c r="BX39" s="30">
        <f>IF(61&gt;$B$3,99,INDEX(Symboles!$G$6:$G$101,MOD(60+$C39+(-4),$B$3)+1)*E39+INDEX(Symboles!$G$6:$G$101,MOD(60+$C39+(-3),$B$3)+1)*F39+INDEX(Symboles!$G$6:$G$101,MOD(60+$C39+(-2),$B$3)+1)*G39+INDEX(Symboles!$G$6:$G$101,MOD(60+$C39+(-1),$B$3)+1)*H39+INDEX(Symboles!$G$6:$G$101,MOD(60+$C39+(0),$B$3)+1)*I39+INDEX(Symboles!$G$6:$G$101,MOD(60+$C39+(1),$B$3)+1)*J39+INDEX(Symboles!$G$6:$G$101,MOD(60+$C39+(2),$B$3)+1)*K39+INDEX(Symboles!$G$6:$G$101,MOD(60+$C39+(3),$B$3)+1)*L39+INDEX(Symboles!$G$6:$G$101,MOD(60+$C39+(4),$B$3)+1)*M39+IF($B$6=0,0,$B$6*NORMSINV(0.000001+0.999998*RAND())))</f>
        <v/>
      </c>
      <c r="BY39" s="30">
        <f>IF(62&gt;$B$3,99,INDEX(Symboles!$G$6:$G$101,MOD(61+$C39+(-4),$B$3)+1)*E39+INDEX(Symboles!$G$6:$G$101,MOD(61+$C39+(-3),$B$3)+1)*F39+INDEX(Symboles!$G$6:$G$101,MOD(61+$C39+(-2),$B$3)+1)*G39+INDEX(Symboles!$G$6:$G$101,MOD(61+$C39+(-1),$B$3)+1)*H39+INDEX(Symboles!$G$6:$G$101,MOD(61+$C39+(0),$B$3)+1)*I39+INDEX(Symboles!$G$6:$G$101,MOD(61+$C39+(1),$B$3)+1)*J39+INDEX(Symboles!$G$6:$G$101,MOD(61+$C39+(2),$B$3)+1)*K39+INDEX(Symboles!$G$6:$G$101,MOD(61+$C39+(3),$B$3)+1)*L39+INDEX(Symboles!$G$6:$G$101,MOD(61+$C39+(4),$B$3)+1)*M39+IF($B$6=0,0,$B$6*NORMSINV(0.000001+0.999998*RAND())))</f>
        <v/>
      </c>
      <c r="BZ39" s="30">
        <f>IF(63&gt;$B$3,99,INDEX(Symboles!$G$6:$G$101,MOD(62+$C39+(-4),$B$3)+1)*E39+INDEX(Symboles!$G$6:$G$101,MOD(62+$C39+(-3),$B$3)+1)*F39+INDEX(Symboles!$G$6:$G$101,MOD(62+$C39+(-2),$B$3)+1)*G39+INDEX(Symboles!$G$6:$G$101,MOD(62+$C39+(-1),$B$3)+1)*H39+INDEX(Symboles!$G$6:$G$101,MOD(62+$C39+(0),$B$3)+1)*I39+INDEX(Symboles!$G$6:$G$101,MOD(62+$C39+(1),$B$3)+1)*J39+INDEX(Symboles!$G$6:$G$101,MOD(62+$C39+(2),$B$3)+1)*K39+INDEX(Symboles!$G$6:$G$101,MOD(62+$C39+(3),$B$3)+1)*L39+INDEX(Symboles!$G$6:$G$101,MOD(62+$C39+(4),$B$3)+1)*M39+IF($B$6=0,0,$B$6*NORMSINV(0.000001+0.999998*RAND())))</f>
        <v/>
      </c>
      <c r="CA39" s="30">
        <f>IF(64&gt;$B$3,99,INDEX(Symboles!$G$6:$G$101,MOD(63+$C39+(-4),$B$3)+1)*E39+INDEX(Symboles!$G$6:$G$101,MOD(63+$C39+(-3),$B$3)+1)*F39+INDEX(Symboles!$G$6:$G$101,MOD(63+$C39+(-2),$B$3)+1)*G39+INDEX(Symboles!$G$6:$G$101,MOD(63+$C39+(-1),$B$3)+1)*H39+INDEX(Symboles!$G$6:$G$101,MOD(63+$C39+(0),$B$3)+1)*I39+INDEX(Symboles!$G$6:$G$101,MOD(63+$C39+(1),$B$3)+1)*J39+INDEX(Symboles!$G$6:$G$101,MOD(63+$C39+(2),$B$3)+1)*K39+INDEX(Symboles!$G$6:$G$101,MOD(63+$C39+(3),$B$3)+1)*L39+INDEX(Symboles!$G$6:$G$101,MOD(63+$C39+(4),$B$3)+1)*M39+IF($B$6=0,0,$B$6*NORMSINV(0.000001+0.999998*RAND())))</f>
        <v/>
      </c>
      <c r="CB39" s="30">
        <f>IF(65&gt;$B$3,99,INDEX(Symboles!$G$6:$G$101,MOD(64+$C39+(-4),$B$3)+1)*E39+INDEX(Symboles!$G$6:$G$101,MOD(64+$C39+(-3),$B$3)+1)*F39+INDEX(Symboles!$G$6:$G$101,MOD(64+$C39+(-2),$B$3)+1)*G39+INDEX(Symboles!$G$6:$G$101,MOD(64+$C39+(-1),$B$3)+1)*H39+INDEX(Symboles!$G$6:$G$101,MOD(64+$C39+(0),$B$3)+1)*I39+INDEX(Symboles!$G$6:$G$101,MOD(64+$C39+(1),$B$3)+1)*J39+INDEX(Symboles!$G$6:$G$101,MOD(64+$C39+(2),$B$3)+1)*K39+INDEX(Symboles!$G$6:$G$101,MOD(64+$C39+(3),$B$3)+1)*L39+INDEX(Symboles!$G$6:$G$101,MOD(64+$C39+(4),$B$3)+1)*M39+IF($B$6=0,0,$B$6*NORMSINV(0.000001+0.999998*RAND())))</f>
        <v/>
      </c>
      <c r="CC39" s="30">
        <f>IF(66&gt;$B$3,99,INDEX(Symboles!$G$6:$G$101,MOD(65+$C39+(-4),$B$3)+1)*E39+INDEX(Symboles!$G$6:$G$101,MOD(65+$C39+(-3),$B$3)+1)*F39+INDEX(Symboles!$G$6:$G$101,MOD(65+$C39+(-2),$B$3)+1)*G39+INDEX(Symboles!$G$6:$G$101,MOD(65+$C39+(-1),$B$3)+1)*H39+INDEX(Symboles!$G$6:$G$101,MOD(65+$C39+(0),$B$3)+1)*I39+INDEX(Symboles!$G$6:$G$101,MOD(65+$C39+(1),$B$3)+1)*J39+INDEX(Symboles!$G$6:$G$101,MOD(65+$C39+(2),$B$3)+1)*K39+INDEX(Symboles!$G$6:$G$101,MOD(65+$C39+(3),$B$3)+1)*L39+INDEX(Symboles!$G$6:$G$101,MOD(65+$C39+(4),$B$3)+1)*M39+IF($B$6=0,0,$B$6*NORMSINV(0.000001+0.999998*RAND())))</f>
        <v/>
      </c>
      <c r="CD39" s="30">
        <f>IF(67&gt;$B$3,99,INDEX(Symboles!$G$6:$G$101,MOD(66+$C39+(-4),$B$3)+1)*E39+INDEX(Symboles!$G$6:$G$101,MOD(66+$C39+(-3),$B$3)+1)*F39+INDEX(Symboles!$G$6:$G$101,MOD(66+$C39+(-2),$B$3)+1)*G39+INDEX(Symboles!$G$6:$G$101,MOD(66+$C39+(-1),$B$3)+1)*H39+INDEX(Symboles!$G$6:$G$101,MOD(66+$C39+(0),$B$3)+1)*I39+INDEX(Symboles!$G$6:$G$101,MOD(66+$C39+(1),$B$3)+1)*J39+INDEX(Symboles!$G$6:$G$101,MOD(66+$C39+(2),$B$3)+1)*K39+INDEX(Symboles!$G$6:$G$101,MOD(66+$C39+(3),$B$3)+1)*L39+INDEX(Symboles!$G$6:$G$101,MOD(66+$C39+(4),$B$3)+1)*M39+IF($B$6=0,0,$B$6*NORMSINV(0.000001+0.999998*RAND())))</f>
        <v/>
      </c>
      <c r="CE39" s="30">
        <f>IF(68&gt;$B$3,99,INDEX(Symboles!$G$6:$G$101,MOD(67+$C39+(-4),$B$3)+1)*E39+INDEX(Symboles!$G$6:$G$101,MOD(67+$C39+(-3),$B$3)+1)*F39+INDEX(Symboles!$G$6:$G$101,MOD(67+$C39+(-2),$B$3)+1)*G39+INDEX(Symboles!$G$6:$G$101,MOD(67+$C39+(-1),$B$3)+1)*H39+INDEX(Symboles!$G$6:$G$101,MOD(67+$C39+(0),$B$3)+1)*I39+INDEX(Symboles!$G$6:$G$101,MOD(67+$C39+(1),$B$3)+1)*J39+INDEX(Symboles!$G$6:$G$101,MOD(67+$C39+(2),$B$3)+1)*K39+INDEX(Symboles!$G$6:$G$101,MOD(67+$C39+(3),$B$3)+1)*L39+INDEX(Symboles!$G$6:$G$101,MOD(67+$C39+(4),$B$3)+1)*M39+IF($B$6=0,0,$B$6*NORMSINV(0.000001+0.999998*RAND())))</f>
        <v/>
      </c>
      <c r="CF39" s="30">
        <f>IF(69&gt;$B$3,99,INDEX(Symboles!$G$6:$G$101,MOD(68+$C39+(-4),$B$3)+1)*E39+INDEX(Symboles!$G$6:$G$101,MOD(68+$C39+(-3),$B$3)+1)*F39+INDEX(Symboles!$G$6:$G$101,MOD(68+$C39+(-2),$B$3)+1)*G39+INDEX(Symboles!$G$6:$G$101,MOD(68+$C39+(-1),$B$3)+1)*H39+INDEX(Symboles!$G$6:$G$101,MOD(68+$C39+(0),$B$3)+1)*I39+INDEX(Symboles!$G$6:$G$101,MOD(68+$C39+(1),$B$3)+1)*J39+INDEX(Symboles!$G$6:$G$101,MOD(68+$C39+(2),$B$3)+1)*K39+INDEX(Symboles!$G$6:$G$101,MOD(68+$C39+(3),$B$3)+1)*L39+INDEX(Symboles!$G$6:$G$101,MOD(68+$C39+(4),$B$3)+1)*M39+IF($B$6=0,0,$B$6*NORMSINV(0.000001+0.999998*RAND())))</f>
        <v/>
      </c>
      <c r="CG39" s="30">
        <f>IF(70&gt;$B$3,99,INDEX(Symboles!$G$6:$G$101,MOD(69+$C39+(-4),$B$3)+1)*E39+INDEX(Symboles!$G$6:$G$101,MOD(69+$C39+(-3),$B$3)+1)*F39+INDEX(Symboles!$G$6:$G$101,MOD(69+$C39+(-2),$B$3)+1)*G39+INDEX(Symboles!$G$6:$G$101,MOD(69+$C39+(-1),$B$3)+1)*H39+INDEX(Symboles!$G$6:$G$101,MOD(69+$C39+(0),$B$3)+1)*I39+INDEX(Symboles!$G$6:$G$101,MOD(69+$C39+(1),$B$3)+1)*J39+INDEX(Symboles!$G$6:$G$101,MOD(69+$C39+(2),$B$3)+1)*K39+INDEX(Symboles!$G$6:$G$101,MOD(69+$C39+(3),$B$3)+1)*L39+INDEX(Symboles!$G$6:$G$101,MOD(69+$C39+(4),$B$3)+1)*M39+IF($B$6=0,0,$B$6*NORMSINV(0.000001+0.999998*RAND())))</f>
        <v/>
      </c>
      <c r="CH39" s="30">
        <f>IF(71&gt;$B$3,99,INDEX(Symboles!$G$6:$G$101,MOD(70+$C39+(-4),$B$3)+1)*E39+INDEX(Symboles!$G$6:$G$101,MOD(70+$C39+(-3),$B$3)+1)*F39+INDEX(Symboles!$G$6:$G$101,MOD(70+$C39+(-2),$B$3)+1)*G39+INDEX(Symboles!$G$6:$G$101,MOD(70+$C39+(-1),$B$3)+1)*H39+INDEX(Symboles!$G$6:$G$101,MOD(70+$C39+(0),$B$3)+1)*I39+INDEX(Symboles!$G$6:$G$101,MOD(70+$C39+(1),$B$3)+1)*J39+INDEX(Symboles!$G$6:$G$101,MOD(70+$C39+(2),$B$3)+1)*K39+INDEX(Symboles!$G$6:$G$101,MOD(70+$C39+(3),$B$3)+1)*L39+INDEX(Symboles!$G$6:$G$101,MOD(70+$C39+(4),$B$3)+1)*M39+IF($B$6=0,0,$B$6*NORMSINV(0.000001+0.999998*RAND())))</f>
        <v/>
      </c>
      <c r="CI39" s="30">
        <f>IF(72&gt;$B$3,99,INDEX(Symboles!$G$6:$G$101,MOD(71+$C39+(-4),$B$3)+1)*E39+INDEX(Symboles!$G$6:$G$101,MOD(71+$C39+(-3),$B$3)+1)*F39+INDEX(Symboles!$G$6:$G$101,MOD(71+$C39+(-2),$B$3)+1)*G39+INDEX(Symboles!$G$6:$G$101,MOD(71+$C39+(-1),$B$3)+1)*H39+INDEX(Symboles!$G$6:$G$101,MOD(71+$C39+(0),$B$3)+1)*I39+INDEX(Symboles!$G$6:$G$101,MOD(71+$C39+(1),$B$3)+1)*J39+INDEX(Symboles!$G$6:$G$101,MOD(71+$C39+(2),$B$3)+1)*K39+INDEX(Symboles!$G$6:$G$101,MOD(71+$C39+(3),$B$3)+1)*L39+INDEX(Symboles!$G$6:$G$101,MOD(71+$C39+(4),$B$3)+1)*M39+IF($B$6=0,0,$B$6*NORMSINV(0.000001+0.999998*RAND())))</f>
        <v/>
      </c>
      <c r="CJ39" s="30">
        <f>IF(73&gt;$B$3,99,INDEX(Symboles!$G$6:$G$101,MOD(72+$C39+(-4),$B$3)+1)*E39+INDEX(Symboles!$G$6:$G$101,MOD(72+$C39+(-3),$B$3)+1)*F39+INDEX(Symboles!$G$6:$G$101,MOD(72+$C39+(-2),$B$3)+1)*G39+INDEX(Symboles!$G$6:$G$101,MOD(72+$C39+(-1),$B$3)+1)*H39+INDEX(Symboles!$G$6:$G$101,MOD(72+$C39+(0),$B$3)+1)*I39+INDEX(Symboles!$G$6:$G$101,MOD(72+$C39+(1),$B$3)+1)*J39+INDEX(Symboles!$G$6:$G$101,MOD(72+$C39+(2),$B$3)+1)*K39+INDEX(Symboles!$G$6:$G$101,MOD(72+$C39+(3),$B$3)+1)*L39+INDEX(Symboles!$G$6:$G$101,MOD(72+$C39+(4),$B$3)+1)*M39+IF($B$6=0,0,$B$6*NORMSINV(0.000001+0.999998*RAND())))</f>
        <v/>
      </c>
      <c r="CK39" s="30">
        <f>IF(74&gt;$B$3,99,INDEX(Symboles!$G$6:$G$101,MOD(73+$C39+(-4),$B$3)+1)*E39+INDEX(Symboles!$G$6:$G$101,MOD(73+$C39+(-3),$B$3)+1)*F39+INDEX(Symboles!$G$6:$G$101,MOD(73+$C39+(-2),$B$3)+1)*G39+INDEX(Symboles!$G$6:$G$101,MOD(73+$C39+(-1),$B$3)+1)*H39+INDEX(Symboles!$G$6:$G$101,MOD(73+$C39+(0),$B$3)+1)*I39+INDEX(Symboles!$G$6:$G$101,MOD(73+$C39+(1),$B$3)+1)*J39+INDEX(Symboles!$G$6:$G$101,MOD(73+$C39+(2),$B$3)+1)*K39+INDEX(Symboles!$G$6:$G$101,MOD(73+$C39+(3),$B$3)+1)*L39+INDEX(Symboles!$G$6:$G$101,MOD(73+$C39+(4),$B$3)+1)*M39+IF($B$6=0,0,$B$6*NORMSINV(0.000001+0.999998*RAND())))</f>
        <v/>
      </c>
      <c r="CL39" s="30">
        <f>IF(75&gt;$B$3,99,INDEX(Symboles!$G$6:$G$101,MOD(74+$C39+(-4),$B$3)+1)*E39+INDEX(Symboles!$G$6:$G$101,MOD(74+$C39+(-3),$B$3)+1)*F39+INDEX(Symboles!$G$6:$G$101,MOD(74+$C39+(-2),$B$3)+1)*G39+INDEX(Symboles!$G$6:$G$101,MOD(74+$C39+(-1),$B$3)+1)*H39+INDEX(Symboles!$G$6:$G$101,MOD(74+$C39+(0),$B$3)+1)*I39+INDEX(Symboles!$G$6:$G$101,MOD(74+$C39+(1),$B$3)+1)*J39+INDEX(Symboles!$G$6:$G$101,MOD(74+$C39+(2),$B$3)+1)*K39+INDEX(Symboles!$G$6:$G$101,MOD(74+$C39+(3),$B$3)+1)*L39+INDEX(Symboles!$G$6:$G$101,MOD(74+$C39+(4),$B$3)+1)*M39+IF($B$6=0,0,$B$6*NORMSINV(0.000001+0.999998*RAND())))</f>
        <v/>
      </c>
      <c r="CM39" s="30">
        <f>IF(76&gt;$B$3,99,INDEX(Symboles!$G$6:$G$101,MOD(75+$C39+(-4),$B$3)+1)*E39+INDEX(Symboles!$G$6:$G$101,MOD(75+$C39+(-3),$B$3)+1)*F39+INDEX(Symboles!$G$6:$G$101,MOD(75+$C39+(-2),$B$3)+1)*G39+INDEX(Symboles!$G$6:$G$101,MOD(75+$C39+(-1),$B$3)+1)*H39+INDEX(Symboles!$G$6:$G$101,MOD(75+$C39+(0),$B$3)+1)*I39+INDEX(Symboles!$G$6:$G$101,MOD(75+$C39+(1),$B$3)+1)*J39+INDEX(Symboles!$G$6:$G$101,MOD(75+$C39+(2),$B$3)+1)*K39+INDEX(Symboles!$G$6:$G$101,MOD(75+$C39+(3),$B$3)+1)*L39+INDEX(Symboles!$G$6:$G$101,MOD(75+$C39+(4),$B$3)+1)*M39+IF($B$6=0,0,$B$6*NORMSINV(0.000001+0.999998*RAND())))</f>
        <v/>
      </c>
      <c r="CN39" s="30">
        <f>IF(77&gt;$B$3,99,INDEX(Symboles!$G$6:$G$101,MOD(76+$C39+(-4),$B$3)+1)*E39+INDEX(Symboles!$G$6:$G$101,MOD(76+$C39+(-3),$B$3)+1)*F39+INDEX(Symboles!$G$6:$G$101,MOD(76+$C39+(-2),$B$3)+1)*G39+INDEX(Symboles!$G$6:$G$101,MOD(76+$C39+(-1),$B$3)+1)*H39+INDEX(Symboles!$G$6:$G$101,MOD(76+$C39+(0),$B$3)+1)*I39+INDEX(Symboles!$G$6:$G$101,MOD(76+$C39+(1),$B$3)+1)*J39+INDEX(Symboles!$G$6:$G$101,MOD(76+$C39+(2),$B$3)+1)*K39+INDEX(Symboles!$G$6:$G$101,MOD(76+$C39+(3),$B$3)+1)*L39+INDEX(Symboles!$G$6:$G$101,MOD(76+$C39+(4),$B$3)+1)*M39+IF($B$6=0,0,$B$6*NORMSINV(0.000001+0.999998*RAND())))</f>
        <v/>
      </c>
      <c r="CO39" s="30">
        <f>IF(78&gt;$B$3,99,INDEX(Symboles!$G$6:$G$101,MOD(77+$C39+(-4),$B$3)+1)*E39+INDEX(Symboles!$G$6:$G$101,MOD(77+$C39+(-3),$B$3)+1)*F39+INDEX(Symboles!$G$6:$G$101,MOD(77+$C39+(-2),$B$3)+1)*G39+INDEX(Symboles!$G$6:$G$101,MOD(77+$C39+(-1),$B$3)+1)*H39+INDEX(Symboles!$G$6:$G$101,MOD(77+$C39+(0),$B$3)+1)*I39+INDEX(Symboles!$G$6:$G$101,MOD(77+$C39+(1),$B$3)+1)*J39+INDEX(Symboles!$G$6:$G$101,MOD(77+$C39+(2),$B$3)+1)*K39+INDEX(Symboles!$G$6:$G$101,MOD(77+$C39+(3),$B$3)+1)*L39+INDEX(Symboles!$G$6:$G$101,MOD(77+$C39+(4),$B$3)+1)*M39+IF($B$6=0,0,$B$6*NORMSINV(0.000001+0.999998*RAND())))</f>
        <v/>
      </c>
      <c r="CP39" s="30">
        <f>IF(79&gt;$B$3,99,INDEX(Symboles!$G$6:$G$101,MOD(78+$C39+(-4),$B$3)+1)*E39+INDEX(Symboles!$G$6:$G$101,MOD(78+$C39+(-3),$B$3)+1)*F39+INDEX(Symboles!$G$6:$G$101,MOD(78+$C39+(-2),$B$3)+1)*G39+INDEX(Symboles!$G$6:$G$101,MOD(78+$C39+(-1),$B$3)+1)*H39+INDEX(Symboles!$G$6:$G$101,MOD(78+$C39+(0),$B$3)+1)*I39+INDEX(Symboles!$G$6:$G$101,MOD(78+$C39+(1),$B$3)+1)*J39+INDEX(Symboles!$G$6:$G$101,MOD(78+$C39+(2),$B$3)+1)*K39+INDEX(Symboles!$G$6:$G$101,MOD(78+$C39+(3),$B$3)+1)*L39+INDEX(Symboles!$G$6:$G$101,MOD(78+$C39+(4),$B$3)+1)*M39+IF($B$6=0,0,$B$6*NORMSINV(0.000001+0.999998*RAND())))</f>
        <v/>
      </c>
      <c r="CQ39" s="30">
        <f>IF(80&gt;$B$3,99,INDEX(Symboles!$G$6:$G$101,MOD(79+$C39+(-4),$B$3)+1)*E39+INDEX(Symboles!$G$6:$G$101,MOD(79+$C39+(-3),$B$3)+1)*F39+INDEX(Symboles!$G$6:$G$101,MOD(79+$C39+(-2),$B$3)+1)*G39+INDEX(Symboles!$G$6:$G$101,MOD(79+$C39+(-1),$B$3)+1)*H39+INDEX(Symboles!$G$6:$G$101,MOD(79+$C39+(0),$B$3)+1)*I39+INDEX(Symboles!$G$6:$G$101,MOD(79+$C39+(1),$B$3)+1)*J39+INDEX(Symboles!$G$6:$G$101,MOD(79+$C39+(2),$B$3)+1)*K39+INDEX(Symboles!$G$6:$G$101,MOD(79+$C39+(3),$B$3)+1)*L39+INDEX(Symboles!$G$6:$G$101,MOD(79+$C39+(4),$B$3)+1)*M39+IF($B$6=0,0,$B$6*NORMSINV(0.000001+0.999998*RAND())))</f>
        <v/>
      </c>
      <c r="CR39" s="30">
        <f>IF(81&gt;$B$3,99,INDEX(Symboles!$G$6:$G$101,MOD(80+$C39+(-4),$B$3)+1)*E39+INDEX(Symboles!$G$6:$G$101,MOD(80+$C39+(-3),$B$3)+1)*F39+INDEX(Symboles!$G$6:$G$101,MOD(80+$C39+(-2),$B$3)+1)*G39+INDEX(Symboles!$G$6:$G$101,MOD(80+$C39+(-1),$B$3)+1)*H39+INDEX(Symboles!$G$6:$G$101,MOD(80+$C39+(0),$B$3)+1)*I39+INDEX(Symboles!$G$6:$G$101,MOD(80+$C39+(1),$B$3)+1)*J39+INDEX(Symboles!$G$6:$G$101,MOD(80+$C39+(2),$B$3)+1)*K39+INDEX(Symboles!$G$6:$G$101,MOD(80+$C39+(3),$B$3)+1)*L39+INDEX(Symboles!$G$6:$G$101,MOD(80+$C39+(4),$B$3)+1)*M39+IF($B$6=0,0,$B$6*NORMSINV(0.000001+0.999998*RAND())))</f>
        <v/>
      </c>
      <c r="CS39" s="30">
        <f>IF(82&gt;$B$3,99,INDEX(Symboles!$G$6:$G$101,MOD(81+$C39+(-4),$B$3)+1)*E39+INDEX(Symboles!$G$6:$G$101,MOD(81+$C39+(-3),$B$3)+1)*F39+INDEX(Symboles!$G$6:$G$101,MOD(81+$C39+(-2),$B$3)+1)*G39+INDEX(Symboles!$G$6:$G$101,MOD(81+$C39+(-1),$B$3)+1)*H39+INDEX(Symboles!$G$6:$G$101,MOD(81+$C39+(0),$B$3)+1)*I39+INDEX(Symboles!$G$6:$G$101,MOD(81+$C39+(1),$B$3)+1)*J39+INDEX(Symboles!$G$6:$G$101,MOD(81+$C39+(2),$B$3)+1)*K39+INDEX(Symboles!$G$6:$G$101,MOD(81+$C39+(3),$B$3)+1)*L39+INDEX(Symboles!$G$6:$G$101,MOD(81+$C39+(4),$B$3)+1)*M39+IF($B$6=0,0,$B$6*NORMSINV(0.000001+0.999998*RAND())))</f>
        <v/>
      </c>
      <c r="CT39" s="30">
        <f>IF(83&gt;$B$3,99,INDEX(Symboles!$G$6:$G$101,MOD(82+$C39+(-4),$B$3)+1)*E39+INDEX(Symboles!$G$6:$G$101,MOD(82+$C39+(-3),$B$3)+1)*F39+INDEX(Symboles!$G$6:$G$101,MOD(82+$C39+(-2),$B$3)+1)*G39+INDEX(Symboles!$G$6:$G$101,MOD(82+$C39+(-1),$B$3)+1)*H39+INDEX(Symboles!$G$6:$G$101,MOD(82+$C39+(0),$B$3)+1)*I39+INDEX(Symboles!$G$6:$G$101,MOD(82+$C39+(1),$B$3)+1)*J39+INDEX(Symboles!$G$6:$G$101,MOD(82+$C39+(2),$B$3)+1)*K39+INDEX(Symboles!$G$6:$G$101,MOD(82+$C39+(3),$B$3)+1)*L39+INDEX(Symboles!$G$6:$G$101,MOD(82+$C39+(4),$B$3)+1)*M39+IF($B$6=0,0,$B$6*NORMSINV(0.000001+0.999998*RAND())))</f>
        <v/>
      </c>
      <c r="CU39" s="30">
        <f>IF(84&gt;$B$3,99,INDEX(Symboles!$G$6:$G$101,MOD(83+$C39+(-4),$B$3)+1)*E39+INDEX(Symboles!$G$6:$G$101,MOD(83+$C39+(-3),$B$3)+1)*F39+INDEX(Symboles!$G$6:$G$101,MOD(83+$C39+(-2),$B$3)+1)*G39+INDEX(Symboles!$G$6:$G$101,MOD(83+$C39+(-1),$B$3)+1)*H39+INDEX(Symboles!$G$6:$G$101,MOD(83+$C39+(0),$B$3)+1)*I39+INDEX(Symboles!$G$6:$G$101,MOD(83+$C39+(1),$B$3)+1)*J39+INDEX(Symboles!$G$6:$G$101,MOD(83+$C39+(2),$B$3)+1)*K39+INDEX(Symboles!$G$6:$G$101,MOD(83+$C39+(3),$B$3)+1)*L39+INDEX(Symboles!$G$6:$G$101,MOD(83+$C39+(4),$B$3)+1)*M39+IF($B$6=0,0,$B$6*NORMSINV(0.000001+0.999998*RAND())))</f>
        <v/>
      </c>
      <c r="CV39" s="30">
        <f>IF(85&gt;$B$3,99,INDEX(Symboles!$G$6:$G$101,MOD(84+$C39+(-4),$B$3)+1)*E39+INDEX(Symboles!$G$6:$G$101,MOD(84+$C39+(-3),$B$3)+1)*F39+INDEX(Symboles!$G$6:$G$101,MOD(84+$C39+(-2),$B$3)+1)*G39+INDEX(Symboles!$G$6:$G$101,MOD(84+$C39+(-1),$B$3)+1)*H39+INDEX(Symboles!$G$6:$G$101,MOD(84+$C39+(0),$B$3)+1)*I39+INDEX(Symboles!$G$6:$G$101,MOD(84+$C39+(1),$B$3)+1)*J39+INDEX(Symboles!$G$6:$G$101,MOD(84+$C39+(2),$B$3)+1)*K39+INDEX(Symboles!$G$6:$G$101,MOD(84+$C39+(3),$B$3)+1)*L39+INDEX(Symboles!$G$6:$G$101,MOD(84+$C39+(4),$B$3)+1)*M39+IF($B$6=0,0,$B$6*NORMSINV(0.000001+0.999998*RAND())))</f>
        <v/>
      </c>
      <c r="CW39" s="30">
        <f>IF(86&gt;$B$3,99,INDEX(Symboles!$G$6:$G$101,MOD(85+$C39+(-4),$B$3)+1)*E39+INDEX(Symboles!$G$6:$G$101,MOD(85+$C39+(-3),$B$3)+1)*F39+INDEX(Symboles!$G$6:$G$101,MOD(85+$C39+(-2),$B$3)+1)*G39+INDEX(Symboles!$G$6:$G$101,MOD(85+$C39+(-1),$B$3)+1)*H39+INDEX(Symboles!$G$6:$G$101,MOD(85+$C39+(0),$B$3)+1)*I39+INDEX(Symboles!$G$6:$G$101,MOD(85+$C39+(1),$B$3)+1)*J39+INDEX(Symboles!$G$6:$G$101,MOD(85+$C39+(2),$B$3)+1)*K39+INDEX(Symboles!$G$6:$G$101,MOD(85+$C39+(3),$B$3)+1)*L39+INDEX(Symboles!$G$6:$G$101,MOD(85+$C39+(4),$B$3)+1)*M39+IF($B$6=0,0,$B$6*NORMSINV(0.000001+0.999998*RAND())))</f>
        <v/>
      </c>
      <c r="CX39" s="30">
        <f>IF(87&gt;$B$3,99,INDEX(Symboles!$G$6:$G$101,MOD(86+$C39+(-4),$B$3)+1)*E39+INDEX(Symboles!$G$6:$G$101,MOD(86+$C39+(-3),$B$3)+1)*F39+INDEX(Symboles!$G$6:$G$101,MOD(86+$C39+(-2),$B$3)+1)*G39+INDEX(Symboles!$G$6:$G$101,MOD(86+$C39+(-1),$B$3)+1)*H39+INDEX(Symboles!$G$6:$G$101,MOD(86+$C39+(0),$B$3)+1)*I39+INDEX(Symboles!$G$6:$G$101,MOD(86+$C39+(1),$B$3)+1)*J39+INDEX(Symboles!$G$6:$G$101,MOD(86+$C39+(2),$B$3)+1)*K39+INDEX(Symboles!$G$6:$G$101,MOD(86+$C39+(3),$B$3)+1)*L39+INDEX(Symboles!$G$6:$G$101,MOD(86+$C39+(4),$B$3)+1)*M39+IF($B$6=0,0,$B$6*NORMSINV(0.000001+0.999998*RAND())))</f>
        <v/>
      </c>
      <c r="CY39" s="30">
        <f>IF(88&gt;$B$3,99,INDEX(Symboles!$G$6:$G$101,MOD(87+$C39+(-4),$B$3)+1)*E39+INDEX(Symboles!$G$6:$G$101,MOD(87+$C39+(-3),$B$3)+1)*F39+INDEX(Symboles!$G$6:$G$101,MOD(87+$C39+(-2),$B$3)+1)*G39+INDEX(Symboles!$G$6:$G$101,MOD(87+$C39+(-1),$B$3)+1)*H39+INDEX(Symboles!$G$6:$G$101,MOD(87+$C39+(0),$B$3)+1)*I39+INDEX(Symboles!$G$6:$G$101,MOD(87+$C39+(1),$B$3)+1)*J39+INDEX(Symboles!$G$6:$G$101,MOD(87+$C39+(2),$B$3)+1)*K39+INDEX(Symboles!$G$6:$G$101,MOD(87+$C39+(3),$B$3)+1)*L39+INDEX(Symboles!$G$6:$G$101,MOD(87+$C39+(4),$B$3)+1)*M39+IF($B$6=0,0,$B$6*NORMSINV(0.000001+0.999998*RAND())))</f>
        <v/>
      </c>
      <c r="CZ39" s="30">
        <f>IF(89&gt;$B$3,99,INDEX(Symboles!$G$6:$G$101,MOD(88+$C39+(-4),$B$3)+1)*E39+INDEX(Symboles!$G$6:$G$101,MOD(88+$C39+(-3),$B$3)+1)*F39+INDEX(Symboles!$G$6:$G$101,MOD(88+$C39+(-2),$B$3)+1)*G39+INDEX(Symboles!$G$6:$G$101,MOD(88+$C39+(-1),$B$3)+1)*H39+INDEX(Symboles!$G$6:$G$101,MOD(88+$C39+(0),$B$3)+1)*I39+INDEX(Symboles!$G$6:$G$101,MOD(88+$C39+(1),$B$3)+1)*J39+INDEX(Symboles!$G$6:$G$101,MOD(88+$C39+(2),$B$3)+1)*K39+INDEX(Symboles!$G$6:$G$101,MOD(88+$C39+(3),$B$3)+1)*L39+INDEX(Symboles!$G$6:$G$101,MOD(88+$C39+(4),$B$3)+1)*M39+IF($B$6=0,0,$B$6*NORMSINV(0.000001+0.999998*RAND())))</f>
        <v/>
      </c>
      <c r="DA39" s="30">
        <f>IF(90&gt;$B$3,99,INDEX(Symboles!$G$6:$G$101,MOD(89+$C39+(-4),$B$3)+1)*E39+INDEX(Symboles!$G$6:$G$101,MOD(89+$C39+(-3),$B$3)+1)*F39+INDEX(Symboles!$G$6:$G$101,MOD(89+$C39+(-2),$B$3)+1)*G39+INDEX(Symboles!$G$6:$G$101,MOD(89+$C39+(-1),$B$3)+1)*H39+INDEX(Symboles!$G$6:$G$101,MOD(89+$C39+(0),$B$3)+1)*I39+INDEX(Symboles!$G$6:$G$101,MOD(89+$C39+(1),$B$3)+1)*J39+INDEX(Symboles!$G$6:$G$101,MOD(89+$C39+(2),$B$3)+1)*K39+INDEX(Symboles!$G$6:$G$101,MOD(89+$C39+(3),$B$3)+1)*L39+INDEX(Symboles!$G$6:$G$101,MOD(89+$C39+(4),$B$3)+1)*M39+IF($B$6=0,0,$B$6*NORMSINV(0.000001+0.999998*RAND())))</f>
        <v/>
      </c>
      <c r="DB39" s="30">
        <f>IF(91&gt;$B$3,99,INDEX(Symboles!$G$6:$G$101,MOD(90+$C39+(-4),$B$3)+1)*E39+INDEX(Symboles!$G$6:$G$101,MOD(90+$C39+(-3),$B$3)+1)*F39+INDEX(Symboles!$G$6:$G$101,MOD(90+$C39+(-2),$B$3)+1)*G39+INDEX(Symboles!$G$6:$G$101,MOD(90+$C39+(-1),$B$3)+1)*H39+INDEX(Symboles!$G$6:$G$101,MOD(90+$C39+(0),$B$3)+1)*I39+INDEX(Symboles!$G$6:$G$101,MOD(90+$C39+(1),$B$3)+1)*J39+INDEX(Symboles!$G$6:$G$101,MOD(90+$C39+(2),$B$3)+1)*K39+INDEX(Symboles!$G$6:$G$101,MOD(90+$C39+(3),$B$3)+1)*L39+INDEX(Symboles!$G$6:$G$101,MOD(90+$C39+(4),$B$3)+1)*M39+IF($B$6=0,0,$B$6*NORMSINV(0.000001+0.999998*RAND())))</f>
        <v/>
      </c>
      <c r="DC39" s="30">
        <f>IF(92&gt;$B$3,99,INDEX(Symboles!$G$6:$G$101,MOD(91+$C39+(-4),$B$3)+1)*E39+INDEX(Symboles!$G$6:$G$101,MOD(91+$C39+(-3),$B$3)+1)*F39+INDEX(Symboles!$G$6:$G$101,MOD(91+$C39+(-2),$B$3)+1)*G39+INDEX(Symboles!$G$6:$G$101,MOD(91+$C39+(-1),$B$3)+1)*H39+INDEX(Symboles!$G$6:$G$101,MOD(91+$C39+(0),$B$3)+1)*I39+INDEX(Symboles!$G$6:$G$101,MOD(91+$C39+(1),$B$3)+1)*J39+INDEX(Symboles!$G$6:$G$101,MOD(91+$C39+(2),$B$3)+1)*K39+INDEX(Symboles!$G$6:$G$101,MOD(91+$C39+(3),$B$3)+1)*L39+INDEX(Symboles!$G$6:$G$101,MOD(91+$C39+(4),$B$3)+1)*M39+IF($B$6=0,0,$B$6*NORMSINV(0.000001+0.999998*RAND())))</f>
        <v/>
      </c>
      <c r="DD39" s="30">
        <f>IF(93&gt;$B$3,99,INDEX(Symboles!$G$6:$G$101,MOD(92+$C39+(-4),$B$3)+1)*E39+INDEX(Symboles!$G$6:$G$101,MOD(92+$C39+(-3),$B$3)+1)*F39+INDEX(Symboles!$G$6:$G$101,MOD(92+$C39+(-2),$B$3)+1)*G39+INDEX(Symboles!$G$6:$G$101,MOD(92+$C39+(-1),$B$3)+1)*H39+INDEX(Symboles!$G$6:$G$101,MOD(92+$C39+(0),$B$3)+1)*I39+INDEX(Symboles!$G$6:$G$101,MOD(92+$C39+(1),$B$3)+1)*J39+INDEX(Symboles!$G$6:$G$101,MOD(92+$C39+(2),$B$3)+1)*K39+INDEX(Symboles!$G$6:$G$101,MOD(92+$C39+(3),$B$3)+1)*L39+INDEX(Symboles!$G$6:$G$101,MOD(92+$C39+(4),$B$3)+1)*M39+IF($B$6=0,0,$B$6*NORMSINV(0.000001+0.999998*RAND())))</f>
        <v/>
      </c>
      <c r="DE39" s="30">
        <f>IF(94&gt;$B$3,99,INDEX(Symboles!$G$6:$G$101,MOD(93+$C39+(-4),$B$3)+1)*E39+INDEX(Symboles!$G$6:$G$101,MOD(93+$C39+(-3),$B$3)+1)*F39+INDEX(Symboles!$G$6:$G$101,MOD(93+$C39+(-2),$B$3)+1)*G39+INDEX(Symboles!$G$6:$G$101,MOD(93+$C39+(-1),$B$3)+1)*H39+INDEX(Symboles!$G$6:$G$101,MOD(93+$C39+(0),$B$3)+1)*I39+INDEX(Symboles!$G$6:$G$101,MOD(93+$C39+(1),$B$3)+1)*J39+INDEX(Symboles!$G$6:$G$101,MOD(93+$C39+(2),$B$3)+1)*K39+INDEX(Symboles!$G$6:$G$101,MOD(93+$C39+(3),$B$3)+1)*L39+INDEX(Symboles!$G$6:$G$101,MOD(93+$C39+(4),$B$3)+1)*M39+IF($B$6=0,0,$B$6*NORMSINV(0.000001+0.999998*RAND())))</f>
        <v/>
      </c>
      <c r="DF39" s="30">
        <f>IF(95&gt;$B$3,99,INDEX(Symboles!$G$6:$G$101,MOD(94+$C39+(-4),$B$3)+1)*E39+INDEX(Symboles!$G$6:$G$101,MOD(94+$C39+(-3),$B$3)+1)*F39+INDEX(Symboles!$G$6:$G$101,MOD(94+$C39+(-2),$B$3)+1)*G39+INDEX(Symboles!$G$6:$G$101,MOD(94+$C39+(-1),$B$3)+1)*H39+INDEX(Symboles!$G$6:$G$101,MOD(94+$C39+(0),$B$3)+1)*I39+INDEX(Symboles!$G$6:$G$101,MOD(94+$C39+(1),$B$3)+1)*J39+INDEX(Symboles!$G$6:$G$101,MOD(94+$C39+(2),$B$3)+1)*K39+INDEX(Symboles!$G$6:$G$101,MOD(94+$C39+(3),$B$3)+1)*L39+INDEX(Symboles!$G$6:$G$101,MOD(94+$C39+(4),$B$3)+1)*M39+IF($B$6=0,0,$B$6*NORMSINV(0.000001+0.999998*RAND())))</f>
        <v/>
      </c>
      <c r="DG39" s="30">
        <f>IF(96&gt;$B$3,99,INDEX(Symboles!$G$6:$G$101,MOD(95+$C39+(-4),$B$3)+1)*E39+INDEX(Symboles!$G$6:$G$101,MOD(95+$C39+(-3),$B$3)+1)*F39+INDEX(Symboles!$G$6:$G$101,MOD(95+$C39+(-2),$B$3)+1)*G39+INDEX(Symboles!$G$6:$G$101,MOD(95+$C39+(-1),$B$3)+1)*H39+INDEX(Symboles!$G$6:$G$101,MOD(95+$C39+(0),$B$3)+1)*I39+INDEX(Symboles!$G$6:$G$101,MOD(95+$C39+(1),$B$3)+1)*J39+INDEX(Symboles!$G$6:$G$101,MOD(95+$C39+(2),$B$3)+1)*K39+INDEX(Symboles!$G$6:$G$101,MOD(95+$C39+(3),$B$3)+1)*L39+INDEX(Symboles!$G$6:$G$101,MOD(95+$C39+(4),$B$3)+1)*M39+IF($B$6=0,0,$B$6*NORMSINV(0.000001+0.999998*RAND())))</f>
        <v/>
      </c>
      <c r="DI39" s="30">
        <f>IF(1&gt;$B$3,99,INDEX(Symboles!$H$6:$H$101,MOD(0+$C39+(-4),$B$3)+1)*E39+INDEX(Symboles!$H$6:$H$101,MOD(0+$C39+(-3),$B$3)+1)*F39+INDEX(Symboles!$H$6:$H$101,MOD(0+$C39+(-2),$B$3)+1)*G39+INDEX(Symboles!$H$6:$H$101,MOD(0+$C39+(-1),$B$3)+1)*H39+INDEX(Symboles!$H$6:$H$101,MOD(0+$C39+(0),$B$3)+1)*I39+INDEX(Symboles!$H$6:$H$101,MOD(0+$C39+(1),$B$3)+1)*J39+INDEX(Symboles!$H$6:$H$101,MOD(0+$C39+(2),$B$3)+1)*K39+INDEX(Symboles!$H$6:$H$101,MOD(0+$C39+(3),$B$3)+1)*L39+INDEX(Symboles!$H$6:$H$101,MOD(0+$C39+(4),$B$3)+1)*M39+IF($B$6=0,0,$B$6*NORMSINV(0.000001+0.999998*RAND())))</f>
        <v/>
      </c>
      <c r="DJ39" s="30">
        <f>IF(2&gt;$B$3,99,INDEX(Symboles!$H$6:$H$101,MOD(1+$C39+(-4),$B$3)+1)*E39+INDEX(Symboles!$H$6:$H$101,MOD(1+$C39+(-3),$B$3)+1)*F39+INDEX(Symboles!$H$6:$H$101,MOD(1+$C39+(-2),$B$3)+1)*G39+INDEX(Symboles!$H$6:$H$101,MOD(1+$C39+(-1),$B$3)+1)*H39+INDEX(Symboles!$H$6:$H$101,MOD(1+$C39+(0),$B$3)+1)*I39+INDEX(Symboles!$H$6:$H$101,MOD(1+$C39+(1),$B$3)+1)*J39+INDEX(Symboles!$H$6:$H$101,MOD(1+$C39+(2),$B$3)+1)*K39+INDEX(Symboles!$H$6:$H$101,MOD(1+$C39+(3),$B$3)+1)*L39+INDEX(Symboles!$H$6:$H$101,MOD(1+$C39+(4),$B$3)+1)*M39+IF($B$6=0,0,$B$6*NORMSINV(0.000001+0.999998*RAND())))</f>
        <v/>
      </c>
      <c r="DK39" s="30">
        <f>IF(3&gt;$B$3,99,INDEX(Symboles!$H$6:$H$101,MOD(2+$C39+(-4),$B$3)+1)*E39+INDEX(Symboles!$H$6:$H$101,MOD(2+$C39+(-3),$B$3)+1)*F39+INDEX(Symboles!$H$6:$H$101,MOD(2+$C39+(-2),$B$3)+1)*G39+INDEX(Symboles!$H$6:$H$101,MOD(2+$C39+(-1),$B$3)+1)*H39+INDEX(Symboles!$H$6:$H$101,MOD(2+$C39+(0),$B$3)+1)*I39+INDEX(Symboles!$H$6:$H$101,MOD(2+$C39+(1),$B$3)+1)*J39+INDEX(Symboles!$H$6:$H$101,MOD(2+$C39+(2),$B$3)+1)*K39+INDEX(Symboles!$H$6:$H$101,MOD(2+$C39+(3),$B$3)+1)*L39+INDEX(Symboles!$H$6:$H$101,MOD(2+$C39+(4),$B$3)+1)*M39+IF($B$6=0,0,$B$6*NORMSINV(0.000001+0.999998*RAND())))</f>
        <v/>
      </c>
      <c r="DL39" s="30">
        <f>IF(4&gt;$B$3,99,INDEX(Symboles!$H$6:$H$101,MOD(3+$C39+(-4),$B$3)+1)*E39+INDEX(Symboles!$H$6:$H$101,MOD(3+$C39+(-3),$B$3)+1)*F39+INDEX(Symboles!$H$6:$H$101,MOD(3+$C39+(-2),$B$3)+1)*G39+INDEX(Symboles!$H$6:$H$101,MOD(3+$C39+(-1),$B$3)+1)*H39+INDEX(Symboles!$H$6:$H$101,MOD(3+$C39+(0),$B$3)+1)*I39+INDEX(Symboles!$H$6:$H$101,MOD(3+$C39+(1),$B$3)+1)*J39+INDEX(Symboles!$H$6:$H$101,MOD(3+$C39+(2),$B$3)+1)*K39+INDEX(Symboles!$H$6:$H$101,MOD(3+$C39+(3),$B$3)+1)*L39+INDEX(Symboles!$H$6:$H$101,MOD(3+$C39+(4),$B$3)+1)*M39+IF($B$6=0,0,$B$6*NORMSINV(0.000001+0.999998*RAND())))</f>
        <v/>
      </c>
      <c r="DM39" s="30">
        <f>IF(5&gt;$B$3,99,INDEX(Symboles!$H$6:$H$101,MOD(4+$C39+(-4),$B$3)+1)*E39+INDEX(Symboles!$H$6:$H$101,MOD(4+$C39+(-3),$B$3)+1)*F39+INDEX(Symboles!$H$6:$H$101,MOD(4+$C39+(-2),$B$3)+1)*G39+INDEX(Symboles!$H$6:$H$101,MOD(4+$C39+(-1),$B$3)+1)*H39+INDEX(Symboles!$H$6:$H$101,MOD(4+$C39+(0),$B$3)+1)*I39+INDEX(Symboles!$H$6:$H$101,MOD(4+$C39+(1),$B$3)+1)*J39+INDEX(Symboles!$H$6:$H$101,MOD(4+$C39+(2),$B$3)+1)*K39+INDEX(Symboles!$H$6:$H$101,MOD(4+$C39+(3),$B$3)+1)*L39+INDEX(Symboles!$H$6:$H$101,MOD(4+$C39+(4),$B$3)+1)*M39+IF($B$6=0,0,$B$6*NORMSINV(0.000001+0.999998*RAND())))</f>
        <v/>
      </c>
      <c r="DN39" s="30">
        <f>IF(6&gt;$B$3,99,INDEX(Symboles!$H$6:$H$101,MOD(5+$C39+(-4),$B$3)+1)*E39+INDEX(Symboles!$H$6:$H$101,MOD(5+$C39+(-3),$B$3)+1)*F39+INDEX(Symboles!$H$6:$H$101,MOD(5+$C39+(-2),$B$3)+1)*G39+INDEX(Symboles!$H$6:$H$101,MOD(5+$C39+(-1),$B$3)+1)*H39+INDEX(Symboles!$H$6:$H$101,MOD(5+$C39+(0),$B$3)+1)*I39+INDEX(Symboles!$H$6:$H$101,MOD(5+$C39+(1),$B$3)+1)*J39+INDEX(Symboles!$H$6:$H$101,MOD(5+$C39+(2),$B$3)+1)*K39+INDEX(Symboles!$H$6:$H$101,MOD(5+$C39+(3),$B$3)+1)*L39+INDEX(Symboles!$H$6:$H$101,MOD(5+$C39+(4),$B$3)+1)*M39+IF($B$6=0,0,$B$6*NORMSINV(0.000001+0.999998*RAND())))</f>
        <v/>
      </c>
      <c r="DO39" s="30">
        <f>IF(7&gt;$B$3,99,INDEX(Symboles!$H$6:$H$101,MOD(6+$C39+(-4),$B$3)+1)*E39+INDEX(Symboles!$H$6:$H$101,MOD(6+$C39+(-3),$B$3)+1)*F39+INDEX(Symboles!$H$6:$H$101,MOD(6+$C39+(-2),$B$3)+1)*G39+INDEX(Symboles!$H$6:$H$101,MOD(6+$C39+(-1),$B$3)+1)*H39+INDEX(Symboles!$H$6:$H$101,MOD(6+$C39+(0),$B$3)+1)*I39+INDEX(Symboles!$H$6:$H$101,MOD(6+$C39+(1),$B$3)+1)*J39+INDEX(Symboles!$H$6:$H$101,MOD(6+$C39+(2),$B$3)+1)*K39+INDEX(Symboles!$H$6:$H$101,MOD(6+$C39+(3),$B$3)+1)*L39+INDEX(Symboles!$H$6:$H$101,MOD(6+$C39+(4),$B$3)+1)*M39+IF($B$6=0,0,$B$6*NORMSINV(0.000001+0.999998*RAND())))</f>
        <v/>
      </c>
      <c r="DP39" s="30">
        <f>IF(8&gt;$B$3,99,INDEX(Symboles!$H$6:$H$101,MOD(7+$C39+(-4),$B$3)+1)*E39+INDEX(Symboles!$H$6:$H$101,MOD(7+$C39+(-3),$B$3)+1)*F39+INDEX(Symboles!$H$6:$H$101,MOD(7+$C39+(-2),$B$3)+1)*G39+INDEX(Symboles!$H$6:$H$101,MOD(7+$C39+(-1),$B$3)+1)*H39+INDEX(Symboles!$H$6:$H$101,MOD(7+$C39+(0),$B$3)+1)*I39+INDEX(Symboles!$H$6:$H$101,MOD(7+$C39+(1),$B$3)+1)*J39+INDEX(Symboles!$H$6:$H$101,MOD(7+$C39+(2),$B$3)+1)*K39+INDEX(Symboles!$H$6:$H$101,MOD(7+$C39+(3),$B$3)+1)*L39+INDEX(Symboles!$H$6:$H$101,MOD(7+$C39+(4),$B$3)+1)*M39+IF($B$6=0,0,$B$6*NORMSINV(0.000001+0.999998*RAND())))</f>
        <v/>
      </c>
      <c r="DQ39" s="30">
        <f>IF(9&gt;$B$3,99,INDEX(Symboles!$H$6:$H$101,MOD(8+$C39+(-4),$B$3)+1)*E39+INDEX(Symboles!$H$6:$H$101,MOD(8+$C39+(-3),$B$3)+1)*F39+INDEX(Symboles!$H$6:$H$101,MOD(8+$C39+(-2),$B$3)+1)*G39+INDEX(Symboles!$H$6:$H$101,MOD(8+$C39+(-1),$B$3)+1)*H39+INDEX(Symboles!$H$6:$H$101,MOD(8+$C39+(0),$B$3)+1)*I39+INDEX(Symboles!$H$6:$H$101,MOD(8+$C39+(1),$B$3)+1)*J39+INDEX(Symboles!$H$6:$H$101,MOD(8+$C39+(2),$B$3)+1)*K39+INDEX(Symboles!$H$6:$H$101,MOD(8+$C39+(3),$B$3)+1)*L39+INDEX(Symboles!$H$6:$H$101,MOD(8+$C39+(4),$B$3)+1)*M39+IF($B$6=0,0,$B$6*NORMSINV(0.000001+0.999998*RAND())))</f>
        <v/>
      </c>
      <c r="DR39" s="30">
        <f>IF(10&gt;$B$3,99,INDEX(Symboles!$H$6:$H$101,MOD(9+$C39+(-4),$B$3)+1)*E39+INDEX(Symboles!$H$6:$H$101,MOD(9+$C39+(-3),$B$3)+1)*F39+INDEX(Symboles!$H$6:$H$101,MOD(9+$C39+(-2),$B$3)+1)*G39+INDEX(Symboles!$H$6:$H$101,MOD(9+$C39+(-1),$B$3)+1)*H39+INDEX(Symboles!$H$6:$H$101,MOD(9+$C39+(0),$B$3)+1)*I39+INDEX(Symboles!$H$6:$H$101,MOD(9+$C39+(1),$B$3)+1)*J39+INDEX(Symboles!$H$6:$H$101,MOD(9+$C39+(2),$B$3)+1)*K39+INDEX(Symboles!$H$6:$H$101,MOD(9+$C39+(3),$B$3)+1)*L39+INDEX(Symboles!$H$6:$H$101,MOD(9+$C39+(4),$B$3)+1)*M39+IF($B$6=0,0,$B$6*NORMSINV(0.000001+0.999998*RAND())))</f>
        <v/>
      </c>
      <c r="DS39" s="30">
        <f>IF(11&gt;$B$3,99,INDEX(Symboles!$H$6:$H$101,MOD(10+$C39+(-4),$B$3)+1)*E39+INDEX(Symboles!$H$6:$H$101,MOD(10+$C39+(-3),$B$3)+1)*F39+INDEX(Symboles!$H$6:$H$101,MOD(10+$C39+(-2),$B$3)+1)*G39+INDEX(Symboles!$H$6:$H$101,MOD(10+$C39+(-1),$B$3)+1)*H39+INDEX(Symboles!$H$6:$H$101,MOD(10+$C39+(0),$B$3)+1)*I39+INDEX(Symboles!$H$6:$H$101,MOD(10+$C39+(1),$B$3)+1)*J39+INDEX(Symboles!$H$6:$H$101,MOD(10+$C39+(2),$B$3)+1)*K39+INDEX(Symboles!$H$6:$H$101,MOD(10+$C39+(3),$B$3)+1)*L39+INDEX(Symboles!$H$6:$H$101,MOD(10+$C39+(4),$B$3)+1)*M39+IF($B$6=0,0,$B$6*NORMSINV(0.000001+0.999998*RAND())))</f>
        <v/>
      </c>
      <c r="DT39" s="30">
        <f>IF(12&gt;$B$3,99,INDEX(Symboles!$H$6:$H$101,MOD(11+$C39+(-4),$B$3)+1)*E39+INDEX(Symboles!$H$6:$H$101,MOD(11+$C39+(-3),$B$3)+1)*F39+INDEX(Symboles!$H$6:$H$101,MOD(11+$C39+(-2),$B$3)+1)*G39+INDEX(Symboles!$H$6:$H$101,MOD(11+$C39+(-1),$B$3)+1)*H39+INDEX(Symboles!$H$6:$H$101,MOD(11+$C39+(0),$B$3)+1)*I39+INDEX(Symboles!$H$6:$H$101,MOD(11+$C39+(1),$B$3)+1)*J39+INDEX(Symboles!$H$6:$H$101,MOD(11+$C39+(2),$B$3)+1)*K39+INDEX(Symboles!$H$6:$H$101,MOD(11+$C39+(3),$B$3)+1)*L39+INDEX(Symboles!$H$6:$H$101,MOD(11+$C39+(4),$B$3)+1)*M39+IF($B$6=0,0,$B$6*NORMSINV(0.000001+0.999998*RAND())))</f>
        <v/>
      </c>
      <c r="DU39" s="30">
        <f>IF(13&gt;$B$3,99,INDEX(Symboles!$H$6:$H$101,MOD(12+$C39+(-4),$B$3)+1)*E39+INDEX(Symboles!$H$6:$H$101,MOD(12+$C39+(-3),$B$3)+1)*F39+INDEX(Symboles!$H$6:$H$101,MOD(12+$C39+(-2),$B$3)+1)*G39+INDEX(Symboles!$H$6:$H$101,MOD(12+$C39+(-1),$B$3)+1)*H39+INDEX(Symboles!$H$6:$H$101,MOD(12+$C39+(0),$B$3)+1)*I39+INDEX(Symboles!$H$6:$H$101,MOD(12+$C39+(1),$B$3)+1)*J39+INDEX(Symboles!$H$6:$H$101,MOD(12+$C39+(2),$B$3)+1)*K39+INDEX(Symboles!$H$6:$H$101,MOD(12+$C39+(3),$B$3)+1)*L39+INDEX(Symboles!$H$6:$H$101,MOD(12+$C39+(4),$B$3)+1)*M39+IF($B$6=0,0,$B$6*NORMSINV(0.000001+0.999998*RAND())))</f>
        <v/>
      </c>
      <c r="DV39" s="30">
        <f>IF(14&gt;$B$3,99,INDEX(Symboles!$H$6:$H$101,MOD(13+$C39+(-4),$B$3)+1)*E39+INDEX(Symboles!$H$6:$H$101,MOD(13+$C39+(-3),$B$3)+1)*F39+INDEX(Symboles!$H$6:$H$101,MOD(13+$C39+(-2),$B$3)+1)*G39+INDEX(Symboles!$H$6:$H$101,MOD(13+$C39+(-1),$B$3)+1)*H39+INDEX(Symboles!$H$6:$H$101,MOD(13+$C39+(0),$B$3)+1)*I39+INDEX(Symboles!$H$6:$H$101,MOD(13+$C39+(1),$B$3)+1)*J39+INDEX(Symboles!$H$6:$H$101,MOD(13+$C39+(2),$B$3)+1)*K39+INDEX(Symboles!$H$6:$H$101,MOD(13+$C39+(3),$B$3)+1)*L39+INDEX(Symboles!$H$6:$H$101,MOD(13+$C39+(4),$B$3)+1)*M39+IF($B$6=0,0,$B$6*NORMSINV(0.000001+0.999998*RAND())))</f>
        <v/>
      </c>
      <c r="DW39" s="30">
        <f>IF(15&gt;$B$3,99,INDEX(Symboles!$H$6:$H$101,MOD(14+$C39+(-4),$B$3)+1)*E39+INDEX(Symboles!$H$6:$H$101,MOD(14+$C39+(-3),$B$3)+1)*F39+INDEX(Symboles!$H$6:$H$101,MOD(14+$C39+(-2),$B$3)+1)*G39+INDEX(Symboles!$H$6:$H$101,MOD(14+$C39+(-1),$B$3)+1)*H39+INDEX(Symboles!$H$6:$H$101,MOD(14+$C39+(0),$B$3)+1)*I39+INDEX(Symboles!$H$6:$H$101,MOD(14+$C39+(1),$B$3)+1)*J39+INDEX(Symboles!$H$6:$H$101,MOD(14+$C39+(2),$B$3)+1)*K39+INDEX(Symboles!$H$6:$H$101,MOD(14+$C39+(3),$B$3)+1)*L39+INDEX(Symboles!$H$6:$H$101,MOD(14+$C39+(4),$B$3)+1)*M39+IF($B$6=0,0,$B$6*NORMSINV(0.000001+0.999998*RAND())))</f>
        <v/>
      </c>
      <c r="DX39" s="30">
        <f>IF(16&gt;$B$3,99,INDEX(Symboles!$H$6:$H$101,MOD(15+$C39+(-4),$B$3)+1)*E39+INDEX(Symboles!$H$6:$H$101,MOD(15+$C39+(-3),$B$3)+1)*F39+INDEX(Symboles!$H$6:$H$101,MOD(15+$C39+(-2),$B$3)+1)*G39+INDEX(Symboles!$H$6:$H$101,MOD(15+$C39+(-1),$B$3)+1)*H39+INDEX(Symboles!$H$6:$H$101,MOD(15+$C39+(0),$B$3)+1)*I39+INDEX(Symboles!$H$6:$H$101,MOD(15+$C39+(1),$B$3)+1)*J39+INDEX(Symboles!$H$6:$H$101,MOD(15+$C39+(2),$B$3)+1)*K39+INDEX(Symboles!$H$6:$H$101,MOD(15+$C39+(3),$B$3)+1)*L39+INDEX(Symboles!$H$6:$H$101,MOD(15+$C39+(4),$B$3)+1)*M39+IF($B$6=0,0,$B$6*NORMSINV(0.000001+0.999998*RAND())))</f>
        <v/>
      </c>
      <c r="DY39" s="30">
        <f>IF(17&gt;$B$3,99,INDEX(Symboles!$H$6:$H$101,MOD(16+$C39+(-4),$B$3)+1)*E39+INDEX(Symboles!$H$6:$H$101,MOD(16+$C39+(-3),$B$3)+1)*F39+INDEX(Symboles!$H$6:$H$101,MOD(16+$C39+(-2),$B$3)+1)*G39+INDEX(Symboles!$H$6:$H$101,MOD(16+$C39+(-1),$B$3)+1)*H39+INDEX(Symboles!$H$6:$H$101,MOD(16+$C39+(0),$B$3)+1)*I39+INDEX(Symboles!$H$6:$H$101,MOD(16+$C39+(1),$B$3)+1)*J39+INDEX(Symboles!$H$6:$H$101,MOD(16+$C39+(2),$B$3)+1)*K39+INDEX(Symboles!$H$6:$H$101,MOD(16+$C39+(3),$B$3)+1)*L39+INDEX(Symboles!$H$6:$H$101,MOD(16+$C39+(4),$B$3)+1)*M39+IF($B$6=0,0,$B$6*NORMSINV(0.000001+0.999998*RAND())))</f>
        <v/>
      </c>
      <c r="DZ39" s="30">
        <f>IF(18&gt;$B$3,99,INDEX(Symboles!$H$6:$H$101,MOD(17+$C39+(-4),$B$3)+1)*E39+INDEX(Symboles!$H$6:$H$101,MOD(17+$C39+(-3),$B$3)+1)*F39+INDEX(Symboles!$H$6:$H$101,MOD(17+$C39+(-2),$B$3)+1)*G39+INDEX(Symboles!$H$6:$H$101,MOD(17+$C39+(-1),$B$3)+1)*H39+INDEX(Symboles!$H$6:$H$101,MOD(17+$C39+(0),$B$3)+1)*I39+INDEX(Symboles!$H$6:$H$101,MOD(17+$C39+(1),$B$3)+1)*J39+INDEX(Symboles!$H$6:$H$101,MOD(17+$C39+(2),$B$3)+1)*K39+INDEX(Symboles!$H$6:$H$101,MOD(17+$C39+(3),$B$3)+1)*L39+INDEX(Symboles!$H$6:$H$101,MOD(17+$C39+(4),$B$3)+1)*M39+IF($B$6=0,0,$B$6*NORMSINV(0.000001+0.999998*RAND())))</f>
        <v/>
      </c>
      <c r="EA39" s="30">
        <f>IF(19&gt;$B$3,99,INDEX(Symboles!$H$6:$H$101,MOD(18+$C39+(-4),$B$3)+1)*E39+INDEX(Symboles!$H$6:$H$101,MOD(18+$C39+(-3),$B$3)+1)*F39+INDEX(Symboles!$H$6:$H$101,MOD(18+$C39+(-2),$B$3)+1)*G39+INDEX(Symboles!$H$6:$H$101,MOD(18+$C39+(-1),$B$3)+1)*H39+INDEX(Symboles!$H$6:$H$101,MOD(18+$C39+(0),$B$3)+1)*I39+INDEX(Symboles!$H$6:$H$101,MOD(18+$C39+(1),$B$3)+1)*J39+INDEX(Symboles!$H$6:$H$101,MOD(18+$C39+(2),$B$3)+1)*K39+INDEX(Symboles!$H$6:$H$101,MOD(18+$C39+(3),$B$3)+1)*L39+INDEX(Symboles!$H$6:$H$101,MOD(18+$C39+(4),$B$3)+1)*M39+IF($B$6=0,0,$B$6*NORMSINV(0.000001+0.999998*RAND())))</f>
        <v/>
      </c>
      <c r="EB39" s="30">
        <f>IF(20&gt;$B$3,99,INDEX(Symboles!$H$6:$H$101,MOD(19+$C39+(-4),$B$3)+1)*E39+INDEX(Symboles!$H$6:$H$101,MOD(19+$C39+(-3),$B$3)+1)*F39+INDEX(Symboles!$H$6:$H$101,MOD(19+$C39+(-2),$B$3)+1)*G39+INDEX(Symboles!$H$6:$H$101,MOD(19+$C39+(-1),$B$3)+1)*H39+INDEX(Symboles!$H$6:$H$101,MOD(19+$C39+(0),$B$3)+1)*I39+INDEX(Symboles!$H$6:$H$101,MOD(19+$C39+(1),$B$3)+1)*J39+INDEX(Symboles!$H$6:$H$101,MOD(19+$C39+(2),$B$3)+1)*K39+INDEX(Symboles!$H$6:$H$101,MOD(19+$C39+(3),$B$3)+1)*L39+INDEX(Symboles!$H$6:$H$101,MOD(19+$C39+(4),$B$3)+1)*M39+IF($B$6=0,0,$B$6*NORMSINV(0.000001+0.999998*RAND())))</f>
        <v/>
      </c>
      <c r="EC39" s="30">
        <f>IF(21&gt;$B$3,99,INDEX(Symboles!$H$6:$H$101,MOD(20+$C39+(-4),$B$3)+1)*E39+INDEX(Symboles!$H$6:$H$101,MOD(20+$C39+(-3),$B$3)+1)*F39+INDEX(Symboles!$H$6:$H$101,MOD(20+$C39+(-2),$B$3)+1)*G39+INDEX(Symboles!$H$6:$H$101,MOD(20+$C39+(-1),$B$3)+1)*H39+INDEX(Symboles!$H$6:$H$101,MOD(20+$C39+(0),$B$3)+1)*I39+INDEX(Symboles!$H$6:$H$101,MOD(20+$C39+(1),$B$3)+1)*J39+INDEX(Symboles!$H$6:$H$101,MOD(20+$C39+(2),$B$3)+1)*K39+INDEX(Symboles!$H$6:$H$101,MOD(20+$C39+(3),$B$3)+1)*L39+INDEX(Symboles!$H$6:$H$101,MOD(20+$C39+(4),$B$3)+1)*M39+IF($B$6=0,0,$B$6*NORMSINV(0.000001+0.999998*RAND())))</f>
        <v/>
      </c>
      <c r="ED39" s="30">
        <f>IF(22&gt;$B$3,99,INDEX(Symboles!$H$6:$H$101,MOD(21+$C39+(-4),$B$3)+1)*E39+INDEX(Symboles!$H$6:$H$101,MOD(21+$C39+(-3),$B$3)+1)*F39+INDEX(Symboles!$H$6:$H$101,MOD(21+$C39+(-2),$B$3)+1)*G39+INDEX(Symboles!$H$6:$H$101,MOD(21+$C39+(-1),$B$3)+1)*H39+INDEX(Symboles!$H$6:$H$101,MOD(21+$C39+(0),$B$3)+1)*I39+INDEX(Symboles!$H$6:$H$101,MOD(21+$C39+(1),$B$3)+1)*J39+INDEX(Symboles!$H$6:$H$101,MOD(21+$C39+(2),$B$3)+1)*K39+INDEX(Symboles!$H$6:$H$101,MOD(21+$C39+(3),$B$3)+1)*L39+INDEX(Symboles!$H$6:$H$101,MOD(21+$C39+(4),$B$3)+1)*M39+IF($B$6=0,0,$B$6*NORMSINV(0.000001+0.999998*RAND())))</f>
        <v/>
      </c>
      <c r="EE39" s="30">
        <f>IF(23&gt;$B$3,99,INDEX(Symboles!$H$6:$H$101,MOD(22+$C39+(-4),$B$3)+1)*E39+INDEX(Symboles!$H$6:$H$101,MOD(22+$C39+(-3),$B$3)+1)*F39+INDEX(Symboles!$H$6:$H$101,MOD(22+$C39+(-2),$B$3)+1)*G39+INDEX(Symboles!$H$6:$H$101,MOD(22+$C39+(-1),$B$3)+1)*H39+INDEX(Symboles!$H$6:$H$101,MOD(22+$C39+(0),$B$3)+1)*I39+INDEX(Symboles!$H$6:$H$101,MOD(22+$C39+(1),$B$3)+1)*J39+INDEX(Symboles!$H$6:$H$101,MOD(22+$C39+(2),$B$3)+1)*K39+INDEX(Symboles!$H$6:$H$101,MOD(22+$C39+(3),$B$3)+1)*L39+INDEX(Symboles!$H$6:$H$101,MOD(22+$C39+(4),$B$3)+1)*M39+IF($B$6=0,0,$B$6*NORMSINV(0.000001+0.999998*RAND())))</f>
        <v/>
      </c>
      <c r="EF39" s="30">
        <f>IF(24&gt;$B$3,99,INDEX(Symboles!$H$6:$H$101,MOD(23+$C39+(-4),$B$3)+1)*E39+INDEX(Symboles!$H$6:$H$101,MOD(23+$C39+(-3),$B$3)+1)*F39+INDEX(Symboles!$H$6:$H$101,MOD(23+$C39+(-2),$B$3)+1)*G39+INDEX(Symboles!$H$6:$H$101,MOD(23+$C39+(-1),$B$3)+1)*H39+INDEX(Symboles!$H$6:$H$101,MOD(23+$C39+(0),$B$3)+1)*I39+INDEX(Symboles!$H$6:$H$101,MOD(23+$C39+(1),$B$3)+1)*J39+INDEX(Symboles!$H$6:$H$101,MOD(23+$C39+(2),$B$3)+1)*K39+INDEX(Symboles!$H$6:$H$101,MOD(23+$C39+(3),$B$3)+1)*L39+INDEX(Symboles!$H$6:$H$101,MOD(23+$C39+(4),$B$3)+1)*M39+IF($B$6=0,0,$B$6*NORMSINV(0.000001+0.999998*RAND())))</f>
        <v/>
      </c>
      <c r="EG39" s="30">
        <f>IF(25&gt;$B$3,99,INDEX(Symboles!$H$6:$H$101,MOD(24+$C39+(-4),$B$3)+1)*E39+INDEX(Symboles!$H$6:$H$101,MOD(24+$C39+(-3),$B$3)+1)*F39+INDEX(Symboles!$H$6:$H$101,MOD(24+$C39+(-2),$B$3)+1)*G39+INDEX(Symboles!$H$6:$H$101,MOD(24+$C39+(-1),$B$3)+1)*H39+INDEX(Symboles!$H$6:$H$101,MOD(24+$C39+(0),$B$3)+1)*I39+INDEX(Symboles!$H$6:$H$101,MOD(24+$C39+(1),$B$3)+1)*J39+INDEX(Symboles!$H$6:$H$101,MOD(24+$C39+(2),$B$3)+1)*K39+INDEX(Symboles!$H$6:$H$101,MOD(24+$C39+(3),$B$3)+1)*L39+INDEX(Symboles!$H$6:$H$101,MOD(24+$C39+(4),$B$3)+1)*M39+IF($B$6=0,0,$B$6*NORMSINV(0.000001+0.999998*RAND())))</f>
        <v/>
      </c>
      <c r="EH39" s="30">
        <f>IF(26&gt;$B$3,99,INDEX(Symboles!$H$6:$H$101,MOD(25+$C39+(-4),$B$3)+1)*E39+INDEX(Symboles!$H$6:$H$101,MOD(25+$C39+(-3),$B$3)+1)*F39+INDEX(Symboles!$H$6:$H$101,MOD(25+$C39+(-2),$B$3)+1)*G39+INDEX(Symboles!$H$6:$H$101,MOD(25+$C39+(-1),$B$3)+1)*H39+INDEX(Symboles!$H$6:$H$101,MOD(25+$C39+(0),$B$3)+1)*I39+INDEX(Symboles!$H$6:$H$101,MOD(25+$C39+(1),$B$3)+1)*J39+INDEX(Symboles!$H$6:$H$101,MOD(25+$C39+(2),$B$3)+1)*K39+INDEX(Symboles!$H$6:$H$101,MOD(25+$C39+(3),$B$3)+1)*L39+INDEX(Symboles!$H$6:$H$101,MOD(25+$C39+(4),$B$3)+1)*M39+IF($B$6=0,0,$B$6*NORMSINV(0.000001+0.999998*RAND())))</f>
        <v/>
      </c>
      <c r="EI39" s="30">
        <f>IF(27&gt;$B$3,99,INDEX(Symboles!$H$6:$H$101,MOD(26+$C39+(-4),$B$3)+1)*E39+INDEX(Symboles!$H$6:$H$101,MOD(26+$C39+(-3),$B$3)+1)*F39+INDEX(Symboles!$H$6:$H$101,MOD(26+$C39+(-2),$B$3)+1)*G39+INDEX(Symboles!$H$6:$H$101,MOD(26+$C39+(-1),$B$3)+1)*H39+INDEX(Symboles!$H$6:$H$101,MOD(26+$C39+(0),$B$3)+1)*I39+INDEX(Symboles!$H$6:$H$101,MOD(26+$C39+(1),$B$3)+1)*J39+INDEX(Symboles!$H$6:$H$101,MOD(26+$C39+(2),$B$3)+1)*K39+INDEX(Symboles!$H$6:$H$101,MOD(26+$C39+(3),$B$3)+1)*L39+INDEX(Symboles!$H$6:$H$101,MOD(26+$C39+(4),$B$3)+1)*M39+IF($B$6=0,0,$B$6*NORMSINV(0.000001+0.999998*RAND())))</f>
        <v/>
      </c>
      <c r="EJ39" s="30">
        <f>IF(28&gt;$B$3,99,INDEX(Symboles!$H$6:$H$101,MOD(27+$C39+(-4),$B$3)+1)*E39+INDEX(Symboles!$H$6:$H$101,MOD(27+$C39+(-3),$B$3)+1)*F39+INDEX(Symboles!$H$6:$H$101,MOD(27+$C39+(-2),$B$3)+1)*G39+INDEX(Symboles!$H$6:$H$101,MOD(27+$C39+(-1),$B$3)+1)*H39+INDEX(Symboles!$H$6:$H$101,MOD(27+$C39+(0),$B$3)+1)*I39+INDEX(Symboles!$H$6:$H$101,MOD(27+$C39+(1),$B$3)+1)*J39+INDEX(Symboles!$H$6:$H$101,MOD(27+$C39+(2),$B$3)+1)*K39+INDEX(Symboles!$H$6:$H$101,MOD(27+$C39+(3),$B$3)+1)*L39+INDEX(Symboles!$H$6:$H$101,MOD(27+$C39+(4),$B$3)+1)*M39+IF($B$6=0,0,$B$6*NORMSINV(0.000001+0.999998*RAND())))</f>
        <v/>
      </c>
      <c r="EK39" s="30">
        <f>IF(29&gt;$B$3,99,INDEX(Symboles!$H$6:$H$101,MOD(28+$C39+(-4),$B$3)+1)*E39+INDEX(Symboles!$H$6:$H$101,MOD(28+$C39+(-3),$B$3)+1)*F39+INDEX(Symboles!$H$6:$H$101,MOD(28+$C39+(-2),$B$3)+1)*G39+INDEX(Symboles!$H$6:$H$101,MOD(28+$C39+(-1),$B$3)+1)*H39+INDEX(Symboles!$H$6:$H$101,MOD(28+$C39+(0),$B$3)+1)*I39+INDEX(Symboles!$H$6:$H$101,MOD(28+$C39+(1),$B$3)+1)*J39+INDEX(Symboles!$H$6:$H$101,MOD(28+$C39+(2),$B$3)+1)*K39+INDEX(Symboles!$H$6:$H$101,MOD(28+$C39+(3),$B$3)+1)*L39+INDEX(Symboles!$H$6:$H$101,MOD(28+$C39+(4),$B$3)+1)*M39+IF($B$6=0,0,$B$6*NORMSINV(0.000001+0.999998*RAND())))</f>
        <v/>
      </c>
      <c r="EL39" s="30">
        <f>IF(30&gt;$B$3,99,INDEX(Symboles!$H$6:$H$101,MOD(29+$C39+(-4),$B$3)+1)*E39+INDEX(Symboles!$H$6:$H$101,MOD(29+$C39+(-3),$B$3)+1)*F39+INDEX(Symboles!$H$6:$H$101,MOD(29+$C39+(-2),$B$3)+1)*G39+INDEX(Symboles!$H$6:$H$101,MOD(29+$C39+(-1),$B$3)+1)*H39+INDEX(Symboles!$H$6:$H$101,MOD(29+$C39+(0),$B$3)+1)*I39+INDEX(Symboles!$H$6:$H$101,MOD(29+$C39+(1),$B$3)+1)*J39+INDEX(Symboles!$H$6:$H$101,MOD(29+$C39+(2),$B$3)+1)*K39+INDEX(Symboles!$H$6:$H$101,MOD(29+$C39+(3),$B$3)+1)*L39+INDEX(Symboles!$H$6:$H$101,MOD(29+$C39+(4),$B$3)+1)*M39+IF($B$6=0,0,$B$6*NORMSINV(0.000001+0.999998*RAND())))</f>
        <v/>
      </c>
      <c r="EM39" s="30">
        <f>IF(31&gt;$B$3,99,INDEX(Symboles!$H$6:$H$101,MOD(30+$C39+(-4),$B$3)+1)*E39+INDEX(Symboles!$H$6:$H$101,MOD(30+$C39+(-3),$B$3)+1)*F39+INDEX(Symboles!$H$6:$H$101,MOD(30+$C39+(-2),$B$3)+1)*G39+INDEX(Symboles!$H$6:$H$101,MOD(30+$C39+(-1),$B$3)+1)*H39+INDEX(Symboles!$H$6:$H$101,MOD(30+$C39+(0),$B$3)+1)*I39+INDEX(Symboles!$H$6:$H$101,MOD(30+$C39+(1),$B$3)+1)*J39+INDEX(Symboles!$H$6:$H$101,MOD(30+$C39+(2),$B$3)+1)*K39+INDEX(Symboles!$H$6:$H$101,MOD(30+$C39+(3),$B$3)+1)*L39+INDEX(Symboles!$H$6:$H$101,MOD(30+$C39+(4),$B$3)+1)*M39+IF($B$6=0,0,$B$6*NORMSINV(0.000001+0.999998*RAND())))</f>
        <v/>
      </c>
      <c r="EN39" s="30">
        <f>IF(32&gt;$B$3,99,INDEX(Symboles!$H$6:$H$101,MOD(31+$C39+(-4),$B$3)+1)*E39+INDEX(Symboles!$H$6:$H$101,MOD(31+$C39+(-3),$B$3)+1)*F39+INDEX(Symboles!$H$6:$H$101,MOD(31+$C39+(-2),$B$3)+1)*G39+INDEX(Symboles!$H$6:$H$101,MOD(31+$C39+(-1),$B$3)+1)*H39+INDEX(Symboles!$H$6:$H$101,MOD(31+$C39+(0),$B$3)+1)*I39+INDEX(Symboles!$H$6:$H$101,MOD(31+$C39+(1),$B$3)+1)*J39+INDEX(Symboles!$H$6:$H$101,MOD(31+$C39+(2),$B$3)+1)*K39+INDEX(Symboles!$H$6:$H$101,MOD(31+$C39+(3),$B$3)+1)*L39+INDEX(Symboles!$H$6:$H$101,MOD(31+$C39+(4),$B$3)+1)*M39+IF($B$6=0,0,$B$6*NORMSINV(0.000001+0.999998*RAND())))</f>
        <v/>
      </c>
      <c r="EO39" s="30">
        <f>IF(33&gt;$B$3,99,INDEX(Symboles!$H$6:$H$101,MOD(32+$C39+(-4),$B$3)+1)*E39+INDEX(Symboles!$H$6:$H$101,MOD(32+$C39+(-3),$B$3)+1)*F39+INDEX(Symboles!$H$6:$H$101,MOD(32+$C39+(-2),$B$3)+1)*G39+INDEX(Symboles!$H$6:$H$101,MOD(32+$C39+(-1),$B$3)+1)*H39+INDEX(Symboles!$H$6:$H$101,MOD(32+$C39+(0),$B$3)+1)*I39+INDEX(Symboles!$H$6:$H$101,MOD(32+$C39+(1),$B$3)+1)*J39+INDEX(Symboles!$H$6:$H$101,MOD(32+$C39+(2),$B$3)+1)*K39+INDEX(Symboles!$H$6:$H$101,MOD(32+$C39+(3),$B$3)+1)*L39+INDEX(Symboles!$H$6:$H$101,MOD(32+$C39+(4),$B$3)+1)*M39+IF($B$6=0,0,$B$6*NORMSINV(0.000001+0.999998*RAND())))</f>
        <v/>
      </c>
      <c r="EP39" s="30">
        <f>IF(34&gt;$B$3,99,INDEX(Symboles!$H$6:$H$101,MOD(33+$C39+(-4),$B$3)+1)*E39+INDEX(Symboles!$H$6:$H$101,MOD(33+$C39+(-3),$B$3)+1)*F39+INDEX(Symboles!$H$6:$H$101,MOD(33+$C39+(-2),$B$3)+1)*G39+INDEX(Symboles!$H$6:$H$101,MOD(33+$C39+(-1),$B$3)+1)*H39+INDEX(Symboles!$H$6:$H$101,MOD(33+$C39+(0),$B$3)+1)*I39+INDEX(Symboles!$H$6:$H$101,MOD(33+$C39+(1),$B$3)+1)*J39+INDEX(Symboles!$H$6:$H$101,MOD(33+$C39+(2),$B$3)+1)*K39+INDEX(Symboles!$H$6:$H$101,MOD(33+$C39+(3),$B$3)+1)*L39+INDEX(Symboles!$H$6:$H$101,MOD(33+$C39+(4),$B$3)+1)*M39+IF($B$6=0,0,$B$6*NORMSINV(0.000001+0.999998*RAND())))</f>
        <v/>
      </c>
      <c r="EQ39" s="30">
        <f>IF(35&gt;$B$3,99,INDEX(Symboles!$H$6:$H$101,MOD(34+$C39+(-4),$B$3)+1)*E39+INDEX(Symboles!$H$6:$H$101,MOD(34+$C39+(-3),$B$3)+1)*F39+INDEX(Symboles!$H$6:$H$101,MOD(34+$C39+(-2),$B$3)+1)*G39+INDEX(Symboles!$H$6:$H$101,MOD(34+$C39+(-1),$B$3)+1)*H39+INDEX(Symboles!$H$6:$H$101,MOD(34+$C39+(0),$B$3)+1)*I39+INDEX(Symboles!$H$6:$H$101,MOD(34+$C39+(1),$B$3)+1)*J39+INDEX(Symboles!$H$6:$H$101,MOD(34+$C39+(2),$B$3)+1)*K39+INDEX(Symboles!$H$6:$H$101,MOD(34+$C39+(3),$B$3)+1)*L39+INDEX(Symboles!$H$6:$H$101,MOD(34+$C39+(4),$B$3)+1)*M39+IF($B$6=0,0,$B$6*NORMSINV(0.000001+0.999998*RAND())))</f>
        <v/>
      </c>
      <c r="ER39" s="30">
        <f>IF(36&gt;$B$3,99,INDEX(Symboles!$H$6:$H$101,MOD(35+$C39+(-4),$B$3)+1)*E39+INDEX(Symboles!$H$6:$H$101,MOD(35+$C39+(-3),$B$3)+1)*F39+INDEX(Symboles!$H$6:$H$101,MOD(35+$C39+(-2),$B$3)+1)*G39+INDEX(Symboles!$H$6:$H$101,MOD(35+$C39+(-1),$B$3)+1)*H39+INDEX(Symboles!$H$6:$H$101,MOD(35+$C39+(0),$B$3)+1)*I39+INDEX(Symboles!$H$6:$H$101,MOD(35+$C39+(1),$B$3)+1)*J39+INDEX(Symboles!$H$6:$H$101,MOD(35+$C39+(2),$B$3)+1)*K39+INDEX(Symboles!$H$6:$H$101,MOD(35+$C39+(3),$B$3)+1)*L39+INDEX(Symboles!$H$6:$H$101,MOD(35+$C39+(4),$B$3)+1)*M39+IF($B$6=0,0,$B$6*NORMSINV(0.000001+0.999998*RAND())))</f>
        <v/>
      </c>
      <c r="ES39" s="30">
        <f>IF(37&gt;$B$3,99,INDEX(Symboles!$H$6:$H$101,MOD(36+$C39+(-4),$B$3)+1)*E39+INDEX(Symboles!$H$6:$H$101,MOD(36+$C39+(-3),$B$3)+1)*F39+INDEX(Symboles!$H$6:$H$101,MOD(36+$C39+(-2),$B$3)+1)*G39+INDEX(Symboles!$H$6:$H$101,MOD(36+$C39+(-1),$B$3)+1)*H39+INDEX(Symboles!$H$6:$H$101,MOD(36+$C39+(0),$B$3)+1)*I39+INDEX(Symboles!$H$6:$H$101,MOD(36+$C39+(1),$B$3)+1)*J39+INDEX(Symboles!$H$6:$H$101,MOD(36+$C39+(2),$B$3)+1)*K39+INDEX(Symboles!$H$6:$H$101,MOD(36+$C39+(3),$B$3)+1)*L39+INDEX(Symboles!$H$6:$H$101,MOD(36+$C39+(4),$B$3)+1)*M39+IF($B$6=0,0,$B$6*NORMSINV(0.000001+0.999998*RAND())))</f>
        <v/>
      </c>
      <c r="ET39" s="30">
        <f>IF(38&gt;$B$3,99,INDEX(Symboles!$H$6:$H$101,MOD(37+$C39+(-4),$B$3)+1)*E39+INDEX(Symboles!$H$6:$H$101,MOD(37+$C39+(-3),$B$3)+1)*F39+INDEX(Symboles!$H$6:$H$101,MOD(37+$C39+(-2),$B$3)+1)*G39+INDEX(Symboles!$H$6:$H$101,MOD(37+$C39+(-1),$B$3)+1)*H39+INDEX(Symboles!$H$6:$H$101,MOD(37+$C39+(0),$B$3)+1)*I39+INDEX(Symboles!$H$6:$H$101,MOD(37+$C39+(1),$B$3)+1)*J39+INDEX(Symboles!$H$6:$H$101,MOD(37+$C39+(2),$B$3)+1)*K39+INDEX(Symboles!$H$6:$H$101,MOD(37+$C39+(3),$B$3)+1)*L39+INDEX(Symboles!$H$6:$H$101,MOD(37+$C39+(4),$B$3)+1)*M39+IF($B$6=0,0,$B$6*NORMSINV(0.000001+0.999998*RAND())))</f>
        <v/>
      </c>
      <c r="EU39" s="30">
        <f>IF(39&gt;$B$3,99,INDEX(Symboles!$H$6:$H$101,MOD(38+$C39+(-4),$B$3)+1)*E39+INDEX(Symboles!$H$6:$H$101,MOD(38+$C39+(-3),$B$3)+1)*F39+INDEX(Symboles!$H$6:$H$101,MOD(38+$C39+(-2),$B$3)+1)*G39+INDEX(Symboles!$H$6:$H$101,MOD(38+$C39+(-1),$B$3)+1)*H39+INDEX(Symboles!$H$6:$H$101,MOD(38+$C39+(0),$B$3)+1)*I39+INDEX(Symboles!$H$6:$H$101,MOD(38+$C39+(1),$B$3)+1)*J39+INDEX(Symboles!$H$6:$H$101,MOD(38+$C39+(2),$B$3)+1)*K39+INDEX(Symboles!$H$6:$H$101,MOD(38+$C39+(3),$B$3)+1)*L39+INDEX(Symboles!$H$6:$H$101,MOD(38+$C39+(4),$B$3)+1)*M39+IF($B$6=0,0,$B$6*NORMSINV(0.000001+0.999998*RAND())))</f>
        <v/>
      </c>
      <c r="EV39" s="30">
        <f>IF(40&gt;$B$3,99,INDEX(Symboles!$H$6:$H$101,MOD(39+$C39+(-4),$B$3)+1)*E39+INDEX(Symboles!$H$6:$H$101,MOD(39+$C39+(-3),$B$3)+1)*F39+INDEX(Symboles!$H$6:$H$101,MOD(39+$C39+(-2),$B$3)+1)*G39+INDEX(Symboles!$H$6:$H$101,MOD(39+$C39+(-1),$B$3)+1)*H39+INDEX(Symboles!$H$6:$H$101,MOD(39+$C39+(0),$B$3)+1)*I39+INDEX(Symboles!$H$6:$H$101,MOD(39+$C39+(1),$B$3)+1)*J39+INDEX(Symboles!$H$6:$H$101,MOD(39+$C39+(2),$B$3)+1)*K39+INDEX(Symboles!$H$6:$H$101,MOD(39+$C39+(3),$B$3)+1)*L39+INDEX(Symboles!$H$6:$H$101,MOD(39+$C39+(4),$B$3)+1)*M39+IF($B$6=0,0,$B$6*NORMSINV(0.000001+0.999998*RAND())))</f>
        <v/>
      </c>
      <c r="EW39" s="30">
        <f>IF(41&gt;$B$3,99,INDEX(Symboles!$H$6:$H$101,MOD(40+$C39+(-4),$B$3)+1)*E39+INDEX(Symboles!$H$6:$H$101,MOD(40+$C39+(-3),$B$3)+1)*F39+INDEX(Symboles!$H$6:$H$101,MOD(40+$C39+(-2),$B$3)+1)*G39+INDEX(Symboles!$H$6:$H$101,MOD(40+$C39+(-1),$B$3)+1)*H39+INDEX(Symboles!$H$6:$H$101,MOD(40+$C39+(0),$B$3)+1)*I39+INDEX(Symboles!$H$6:$H$101,MOD(40+$C39+(1),$B$3)+1)*J39+INDEX(Symboles!$H$6:$H$101,MOD(40+$C39+(2),$B$3)+1)*K39+INDEX(Symboles!$H$6:$H$101,MOD(40+$C39+(3),$B$3)+1)*L39+INDEX(Symboles!$H$6:$H$101,MOD(40+$C39+(4),$B$3)+1)*M39+IF($B$6=0,0,$B$6*NORMSINV(0.000001+0.999998*RAND())))</f>
        <v/>
      </c>
      <c r="EX39" s="30">
        <f>IF(42&gt;$B$3,99,INDEX(Symboles!$H$6:$H$101,MOD(41+$C39+(-4),$B$3)+1)*E39+INDEX(Symboles!$H$6:$H$101,MOD(41+$C39+(-3),$B$3)+1)*F39+INDEX(Symboles!$H$6:$H$101,MOD(41+$C39+(-2),$B$3)+1)*G39+INDEX(Symboles!$H$6:$H$101,MOD(41+$C39+(-1),$B$3)+1)*H39+INDEX(Symboles!$H$6:$H$101,MOD(41+$C39+(0),$B$3)+1)*I39+INDEX(Symboles!$H$6:$H$101,MOD(41+$C39+(1),$B$3)+1)*J39+INDEX(Symboles!$H$6:$H$101,MOD(41+$C39+(2),$B$3)+1)*K39+INDEX(Symboles!$H$6:$H$101,MOD(41+$C39+(3),$B$3)+1)*L39+INDEX(Symboles!$H$6:$H$101,MOD(41+$C39+(4),$B$3)+1)*M39+IF($B$6=0,0,$B$6*NORMSINV(0.000001+0.999998*RAND())))</f>
        <v/>
      </c>
      <c r="EY39" s="30">
        <f>IF(43&gt;$B$3,99,INDEX(Symboles!$H$6:$H$101,MOD(42+$C39+(-4),$B$3)+1)*E39+INDEX(Symboles!$H$6:$H$101,MOD(42+$C39+(-3),$B$3)+1)*F39+INDEX(Symboles!$H$6:$H$101,MOD(42+$C39+(-2),$B$3)+1)*G39+INDEX(Symboles!$H$6:$H$101,MOD(42+$C39+(-1),$B$3)+1)*H39+INDEX(Symboles!$H$6:$H$101,MOD(42+$C39+(0),$B$3)+1)*I39+INDEX(Symboles!$H$6:$H$101,MOD(42+$C39+(1),$B$3)+1)*J39+INDEX(Symboles!$H$6:$H$101,MOD(42+$C39+(2),$B$3)+1)*K39+INDEX(Symboles!$H$6:$H$101,MOD(42+$C39+(3),$B$3)+1)*L39+INDEX(Symboles!$H$6:$H$101,MOD(42+$C39+(4),$B$3)+1)*M39+IF($B$6=0,0,$B$6*NORMSINV(0.000001+0.999998*RAND())))</f>
        <v/>
      </c>
      <c r="EZ39" s="30">
        <f>IF(44&gt;$B$3,99,INDEX(Symboles!$H$6:$H$101,MOD(43+$C39+(-4),$B$3)+1)*E39+INDEX(Symboles!$H$6:$H$101,MOD(43+$C39+(-3),$B$3)+1)*F39+INDEX(Symboles!$H$6:$H$101,MOD(43+$C39+(-2),$B$3)+1)*G39+INDEX(Symboles!$H$6:$H$101,MOD(43+$C39+(-1),$B$3)+1)*H39+INDEX(Symboles!$H$6:$H$101,MOD(43+$C39+(0),$B$3)+1)*I39+INDEX(Symboles!$H$6:$H$101,MOD(43+$C39+(1),$B$3)+1)*J39+INDEX(Symboles!$H$6:$H$101,MOD(43+$C39+(2),$B$3)+1)*K39+INDEX(Symboles!$H$6:$H$101,MOD(43+$C39+(3),$B$3)+1)*L39+INDEX(Symboles!$H$6:$H$101,MOD(43+$C39+(4),$B$3)+1)*M39+IF($B$6=0,0,$B$6*NORMSINV(0.000001+0.999998*RAND())))</f>
        <v/>
      </c>
      <c r="FA39" s="30">
        <f>IF(45&gt;$B$3,99,INDEX(Symboles!$H$6:$H$101,MOD(44+$C39+(-4),$B$3)+1)*E39+INDEX(Symboles!$H$6:$H$101,MOD(44+$C39+(-3),$B$3)+1)*F39+INDEX(Symboles!$H$6:$H$101,MOD(44+$C39+(-2),$B$3)+1)*G39+INDEX(Symboles!$H$6:$H$101,MOD(44+$C39+(-1),$B$3)+1)*H39+INDEX(Symboles!$H$6:$H$101,MOD(44+$C39+(0),$B$3)+1)*I39+INDEX(Symboles!$H$6:$H$101,MOD(44+$C39+(1),$B$3)+1)*J39+INDEX(Symboles!$H$6:$H$101,MOD(44+$C39+(2),$B$3)+1)*K39+INDEX(Symboles!$H$6:$H$101,MOD(44+$C39+(3),$B$3)+1)*L39+INDEX(Symboles!$H$6:$H$101,MOD(44+$C39+(4),$B$3)+1)*M39+IF($B$6=0,0,$B$6*NORMSINV(0.000001+0.999998*RAND())))</f>
        <v/>
      </c>
      <c r="FB39" s="30">
        <f>IF(46&gt;$B$3,99,INDEX(Symboles!$H$6:$H$101,MOD(45+$C39+(-4),$B$3)+1)*E39+INDEX(Symboles!$H$6:$H$101,MOD(45+$C39+(-3),$B$3)+1)*F39+INDEX(Symboles!$H$6:$H$101,MOD(45+$C39+(-2),$B$3)+1)*G39+INDEX(Symboles!$H$6:$H$101,MOD(45+$C39+(-1),$B$3)+1)*H39+INDEX(Symboles!$H$6:$H$101,MOD(45+$C39+(0),$B$3)+1)*I39+INDEX(Symboles!$H$6:$H$101,MOD(45+$C39+(1),$B$3)+1)*J39+INDEX(Symboles!$H$6:$H$101,MOD(45+$C39+(2),$B$3)+1)*K39+INDEX(Symboles!$H$6:$H$101,MOD(45+$C39+(3),$B$3)+1)*L39+INDEX(Symboles!$H$6:$H$101,MOD(45+$C39+(4),$B$3)+1)*M39+IF($B$6=0,0,$B$6*NORMSINV(0.000001+0.999998*RAND())))</f>
        <v/>
      </c>
      <c r="FC39" s="30">
        <f>IF(47&gt;$B$3,99,INDEX(Symboles!$H$6:$H$101,MOD(46+$C39+(-4),$B$3)+1)*E39+INDEX(Symboles!$H$6:$H$101,MOD(46+$C39+(-3),$B$3)+1)*F39+INDEX(Symboles!$H$6:$H$101,MOD(46+$C39+(-2),$B$3)+1)*G39+INDEX(Symboles!$H$6:$H$101,MOD(46+$C39+(-1),$B$3)+1)*H39+INDEX(Symboles!$H$6:$H$101,MOD(46+$C39+(0),$B$3)+1)*I39+INDEX(Symboles!$H$6:$H$101,MOD(46+$C39+(1),$B$3)+1)*J39+INDEX(Symboles!$H$6:$H$101,MOD(46+$C39+(2),$B$3)+1)*K39+INDEX(Symboles!$H$6:$H$101,MOD(46+$C39+(3),$B$3)+1)*L39+INDEX(Symboles!$H$6:$H$101,MOD(46+$C39+(4),$B$3)+1)*M39+IF($B$6=0,0,$B$6*NORMSINV(0.000001+0.999998*RAND())))</f>
        <v/>
      </c>
      <c r="FD39" s="30">
        <f>IF(48&gt;$B$3,99,INDEX(Symboles!$H$6:$H$101,MOD(47+$C39+(-4),$B$3)+1)*E39+INDEX(Symboles!$H$6:$H$101,MOD(47+$C39+(-3),$B$3)+1)*F39+INDEX(Symboles!$H$6:$H$101,MOD(47+$C39+(-2),$B$3)+1)*G39+INDEX(Symboles!$H$6:$H$101,MOD(47+$C39+(-1),$B$3)+1)*H39+INDEX(Symboles!$H$6:$H$101,MOD(47+$C39+(0),$B$3)+1)*I39+INDEX(Symboles!$H$6:$H$101,MOD(47+$C39+(1),$B$3)+1)*J39+INDEX(Symboles!$H$6:$H$101,MOD(47+$C39+(2),$B$3)+1)*K39+INDEX(Symboles!$H$6:$H$101,MOD(47+$C39+(3),$B$3)+1)*L39+INDEX(Symboles!$H$6:$H$101,MOD(47+$C39+(4),$B$3)+1)*M39+IF($B$6=0,0,$B$6*NORMSINV(0.000001+0.999998*RAND())))</f>
        <v/>
      </c>
      <c r="FE39" s="30">
        <f>IF(49&gt;$B$3,99,INDEX(Symboles!$H$6:$H$101,MOD(48+$C39+(-4),$B$3)+1)*E39+INDEX(Symboles!$H$6:$H$101,MOD(48+$C39+(-3),$B$3)+1)*F39+INDEX(Symboles!$H$6:$H$101,MOD(48+$C39+(-2),$B$3)+1)*G39+INDEX(Symboles!$H$6:$H$101,MOD(48+$C39+(-1),$B$3)+1)*H39+INDEX(Symboles!$H$6:$H$101,MOD(48+$C39+(0),$B$3)+1)*I39+INDEX(Symboles!$H$6:$H$101,MOD(48+$C39+(1),$B$3)+1)*J39+INDEX(Symboles!$H$6:$H$101,MOD(48+$C39+(2),$B$3)+1)*K39+INDEX(Symboles!$H$6:$H$101,MOD(48+$C39+(3),$B$3)+1)*L39+INDEX(Symboles!$H$6:$H$101,MOD(48+$C39+(4),$B$3)+1)*M39+IF($B$6=0,0,$B$6*NORMSINV(0.000001+0.999998*RAND())))</f>
        <v/>
      </c>
      <c r="FF39" s="30">
        <f>IF(50&gt;$B$3,99,INDEX(Symboles!$H$6:$H$101,MOD(49+$C39+(-4),$B$3)+1)*E39+INDEX(Symboles!$H$6:$H$101,MOD(49+$C39+(-3),$B$3)+1)*F39+INDEX(Symboles!$H$6:$H$101,MOD(49+$C39+(-2),$B$3)+1)*G39+INDEX(Symboles!$H$6:$H$101,MOD(49+$C39+(-1),$B$3)+1)*H39+INDEX(Symboles!$H$6:$H$101,MOD(49+$C39+(0),$B$3)+1)*I39+INDEX(Symboles!$H$6:$H$101,MOD(49+$C39+(1),$B$3)+1)*J39+INDEX(Symboles!$H$6:$H$101,MOD(49+$C39+(2),$B$3)+1)*K39+INDEX(Symboles!$H$6:$H$101,MOD(49+$C39+(3),$B$3)+1)*L39+INDEX(Symboles!$H$6:$H$101,MOD(49+$C39+(4),$B$3)+1)*M39+IF($B$6=0,0,$B$6*NORMSINV(0.000001+0.999998*RAND())))</f>
        <v/>
      </c>
      <c r="FG39" s="30">
        <f>IF(51&gt;$B$3,99,INDEX(Symboles!$H$6:$H$101,MOD(50+$C39+(-4),$B$3)+1)*E39+INDEX(Symboles!$H$6:$H$101,MOD(50+$C39+(-3),$B$3)+1)*F39+INDEX(Symboles!$H$6:$H$101,MOD(50+$C39+(-2),$B$3)+1)*G39+INDEX(Symboles!$H$6:$H$101,MOD(50+$C39+(-1),$B$3)+1)*H39+INDEX(Symboles!$H$6:$H$101,MOD(50+$C39+(0),$B$3)+1)*I39+INDEX(Symboles!$H$6:$H$101,MOD(50+$C39+(1),$B$3)+1)*J39+INDEX(Symboles!$H$6:$H$101,MOD(50+$C39+(2),$B$3)+1)*K39+INDEX(Symboles!$H$6:$H$101,MOD(50+$C39+(3),$B$3)+1)*L39+INDEX(Symboles!$H$6:$H$101,MOD(50+$C39+(4),$B$3)+1)*M39+IF($B$6=0,0,$B$6*NORMSINV(0.000001+0.999998*RAND())))</f>
        <v/>
      </c>
      <c r="FH39" s="30">
        <f>IF(52&gt;$B$3,99,INDEX(Symboles!$H$6:$H$101,MOD(51+$C39+(-4),$B$3)+1)*E39+INDEX(Symboles!$H$6:$H$101,MOD(51+$C39+(-3),$B$3)+1)*F39+INDEX(Symboles!$H$6:$H$101,MOD(51+$C39+(-2),$B$3)+1)*G39+INDEX(Symboles!$H$6:$H$101,MOD(51+$C39+(-1),$B$3)+1)*H39+INDEX(Symboles!$H$6:$H$101,MOD(51+$C39+(0),$B$3)+1)*I39+INDEX(Symboles!$H$6:$H$101,MOD(51+$C39+(1),$B$3)+1)*J39+INDEX(Symboles!$H$6:$H$101,MOD(51+$C39+(2),$B$3)+1)*K39+INDEX(Symboles!$H$6:$H$101,MOD(51+$C39+(3),$B$3)+1)*L39+INDEX(Symboles!$H$6:$H$101,MOD(51+$C39+(4),$B$3)+1)*M39+IF($B$6=0,0,$B$6*NORMSINV(0.000001+0.999998*RAND())))</f>
        <v/>
      </c>
      <c r="FI39" s="30">
        <f>IF(53&gt;$B$3,99,INDEX(Symboles!$H$6:$H$101,MOD(52+$C39+(-4),$B$3)+1)*E39+INDEX(Symboles!$H$6:$H$101,MOD(52+$C39+(-3),$B$3)+1)*F39+INDEX(Symboles!$H$6:$H$101,MOD(52+$C39+(-2),$B$3)+1)*G39+INDEX(Symboles!$H$6:$H$101,MOD(52+$C39+(-1),$B$3)+1)*H39+INDEX(Symboles!$H$6:$H$101,MOD(52+$C39+(0),$B$3)+1)*I39+INDEX(Symboles!$H$6:$H$101,MOD(52+$C39+(1),$B$3)+1)*J39+INDEX(Symboles!$H$6:$H$101,MOD(52+$C39+(2),$B$3)+1)*K39+INDEX(Symboles!$H$6:$H$101,MOD(52+$C39+(3),$B$3)+1)*L39+INDEX(Symboles!$H$6:$H$101,MOD(52+$C39+(4),$B$3)+1)*M39+IF($B$6=0,0,$B$6*NORMSINV(0.000001+0.999998*RAND())))</f>
        <v/>
      </c>
      <c r="FJ39" s="30">
        <f>IF(54&gt;$B$3,99,INDEX(Symboles!$H$6:$H$101,MOD(53+$C39+(-4),$B$3)+1)*E39+INDEX(Symboles!$H$6:$H$101,MOD(53+$C39+(-3),$B$3)+1)*F39+INDEX(Symboles!$H$6:$H$101,MOD(53+$C39+(-2),$B$3)+1)*G39+INDEX(Symboles!$H$6:$H$101,MOD(53+$C39+(-1),$B$3)+1)*H39+INDEX(Symboles!$H$6:$H$101,MOD(53+$C39+(0),$B$3)+1)*I39+INDEX(Symboles!$H$6:$H$101,MOD(53+$C39+(1),$B$3)+1)*J39+INDEX(Symboles!$H$6:$H$101,MOD(53+$C39+(2),$B$3)+1)*K39+INDEX(Symboles!$H$6:$H$101,MOD(53+$C39+(3),$B$3)+1)*L39+INDEX(Symboles!$H$6:$H$101,MOD(53+$C39+(4),$B$3)+1)*M39+IF($B$6=0,0,$B$6*NORMSINV(0.000001+0.999998*RAND())))</f>
        <v/>
      </c>
      <c r="FK39" s="30">
        <f>IF(55&gt;$B$3,99,INDEX(Symboles!$H$6:$H$101,MOD(54+$C39+(-4),$B$3)+1)*E39+INDEX(Symboles!$H$6:$H$101,MOD(54+$C39+(-3),$B$3)+1)*F39+INDEX(Symboles!$H$6:$H$101,MOD(54+$C39+(-2),$B$3)+1)*G39+INDEX(Symboles!$H$6:$H$101,MOD(54+$C39+(-1),$B$3)+1)*H39+INDEX(Symboles!$H$6:$H$101,MOD(54+$C39+(0),$B$3)+1)*I39+INDEX(Symboles!$H$6:$H$101,MOD(54+$C39+(1),$B$3)+1)*J39+INDEX(Symboles!$H$6:$H$101,MOD(54+$C39+(2),$B$3)+1)*K39+INDEX(Symboles!$H$6:$H$101,MOD(54+$C39+(3),$B$3)+1)*L39+INDEX(Symboles!$H$6:$H$101,MOD(54+$C39+(4),$B$3)+1)*M39+IF($B$6=0,0,$B$6*NORMSINV(0.000001+0.999998*RAND())))</f>
        <v/>
      </c>
      <c r="FL39" s="30">
        <f>IF(56&gt;$B$3,99,INDEX(Symboles!$H$6:$H$101,MOD(55+$C39+(-4),$B$3)+1)*E39+INDEX(Symboles!$H$6:$H$101,MOD(55+$C39+(-3),$B$3)+1)*F39+INDEX(Symboles!$H$6:$H$101,MOD(55+$C39+(-2),$B$3)+1)*G39+INDEX(Symboles!$H$6:$H$101,MOD(55+$C39+(-1),$B$3)+1)*H39+INDEX(Symboles!$H$6:$H$101,MOD(55+$C39+(0),$B$3)+1)*I39+INDEX(Symboles!$H$6:$H$101,MOD(55+$C39+(1),$B$3)+1)*J39+INDEX(Symboles!$H$6:$H$101,MOD(55+$C39+(2),$B$3)+1)*K39+INDEX(Symboles!$H$6:$H$101,MOD(55+$C39+(3),$B$3)+1)*L39+INDEX(Symboles!$H$6:$H$101,MOD(55+$C39+(4),$B$3)+1)*M39+IF($B$6=0,0,$B$6*NORMSINV(0.000001+0.999998*RAND())))</f>
        <v/>
      </c>
      <c r="FM39" s="30">
        <f>IF(57&gt;$B$3,99,INDEX(Symboles!$H$6:$H$101,MOD(56+$C39+(-4),$B$3)+1)*E39+INDEX(Symboles!$H$6:$H$101,MOD(56+$C39+(-3),$B$3)+1)*F39+INDEX(Symboles!$H$6:$H$101,MOD(56+$C39+(-2),$B$3)+1)*G39+INDEX(Symboles!$H$6:$H$101,MOD(56+$C39+(-1),$B$3)+1)*H39+INDEX(Symboles!$H$6:$H$101,MOD(56+$C39+(0),$B$3)+1)*I39+INDEX(Symboles!$H$6:$H$101,MOD(56+$C39+(1),$B$3)+1)*J39+INDEX(Symboles!$H$6:$H$101,MOD(56+$C39+(2),$B$3)+1)*K39+INDEX(Symboles!$H$6:$H$101,MOD(56+$C39+(3),$B$3)+1)*L39+INDEX(Symboles!$H$6:$H$101,MOD(56+$C39+(4),$B$3)+1)*M39+IF($B$6=0,0,$B$6*NORMSINV(0.000001+0.999998*RAND())))</f>
        <v/>
      </c>
      <c r="FN39" s="30">
        <f>IF(58&gt;$B$3,99,INDEX(Symboles!$H$6:$H$101,MOD(57+$C39+(-4),$B$3)+1)*E39+INDEX(Symboles!$H$6:$H$101,MOD(57+$C39+(-3),$B$3)+1)*F39+INDEX(Symboles!$H$6:$H$101,MOD(57+$C39+(-2),$B$3)+1)*G39+INDEX(Symboles!$H$6:$H$101,MOD(57+$C39+(-1),$B$3)+1)*H39+INDEX(Symboles!$H$6:$H$101,MOD(57+$C39+(0),$B$3)+1)*I39+INDEX(Symboles!$H$6:$H$101,MOD(57+$C39+(1),$B$3)+1)*J39+INDEX(Symboles!$H$6:$H$101,MOD(57+$C39+(2),$B$3)+1)*K39+INDEX(Symboles!$H$6:$H$101,MOD(57+$C39+(3),$B$3)+1)*L39+INDEX(Symboles!$H$6:$H$101,MOD(57+$C39+(4),$B$3)+1)*M39+IF($B$6=0,0,$B$6*NORMSINV(0.000001+0.999998*RAND())))</f>
        <v/>
      </c>
      <c r="FO39" s="30">
        <f>IF(59&gt;$B$3,99,INDEX(Symboles!$H$6:$H$101,MOD(58+$C39+(-4),$B$3)+1)*E39+INDEX(Symboles!$H$6:$H$101,MOD(58+$C39+(-3),$B$3)+1)*F39+INDEX(Symboles!$H$6:$H$101,MOD(58+$C39+(-2),$B$3)+1)*G39+INDEX(Symboles!$H$6:$H$101,MOD(58+$C39+(-1),$B$3)+1)*H39+INDEX(Symboles!$H$6:$H$101,MOD(58+$C39+(0),$B$3)+1)*I39+INDEX(Symboles!$H$6:$H$101,MOD(58+$C39+(1),$B$3)+1)*J39+INDEX(Symboles!$H$6:$H$101,MOD(58+$C39+(2),$B$3)+1)*K39+INDEX(Symboles!$H$6:$H$101,MOD(58+$C39+(3),$B$3)+1)*L39+INDEX(Symboles!$H$6:$H$101,MOD(58+$C39+(4),$B$3)+1)*M39+IF($B$6=0,0,$B$6*NORMSINV(0.000001+0.999998*RAND())))</f>
        <v/>
      </c>
      <c r="FP39" s="30">
        <f>IF(60&gt;$B$3,99,INDEX(Symboles!$H$6:$H$101,MOD(59+$C39+(-4),$B$3)+1)*E39+INDEX(Symboles!$H$6:$H$101,MOD(59+$C39+(-3),$B$3)+1)*F39+INDEX(Symboles!$H$6:$H$101,MOD(59+$C39+(-2),$B$3)+1)*G39+INDEX(Symboles!$H$6:$H$101,MOD(59+$C39+(-1),$B$3)+1)*H39+INDEX(Symboles!$H$6:$H$101,MOD(59+$C39+(0),$B$3)+1)*I39+INDEX(Symboles!$H$6:$H$101,MOD(59+$C39+(1),$B$3)+1)*J39+INDEX(Symboles!$H$6:$H$101,MOD(59+$C39+(2),$B$3)+1)*K39+INDEX(Symboles!$H$6:$H$101,MOD(59+$C39+(3),$B$3)+1)*L39+INDEX(Symboles!$H$6:$H$101,MOD(59+$C39+(4),$B$3)+1)*M39+IF($B$6=0,0,$B$6*NORMSINV(0.000001+0.999998*RAND())))</f>
        <v/>
      </c>
      <c r="FQ39" s="30">
        <f>IF(61&gt;$B$3,99,INDEX(Symboles!$H$6:$H$101,MOD(60+$C39+(-4),$B$3)+1)*E39+INDEX(Symboles!$H$6:$H$101,MOD(60+$C39+(-3),$B$3)+1)*F39+INDEX(Symboles!$H$6:$H$101,MOD(60+$C39+(-2),$B$3)+1)*G39+INDEX(Symboles!$H$6:$H$101,MOD(60+$C39+(-1),$B$3)+1)*H39+INDEX(Symboles!$H$6:$H$101,MOD(60+$C39+(0),$B$3)+1)*I39+INDEX(Symboles!$H$6:$H$101,MOD(60+$C39+(1),$B$3)+1)*J39+INDEX(Symboles!$H$6:$H$101,MOD(60+$C39+(2),$B$3)+1)*K39+INDEX(Symboles!$H$6:$H$101,MOD(60+$C39+(3),$B$3)+1)*L39+INDEX(Symboles!$H$6:$H$101,MOD(60+$C39+(4),$B$3)+1)*M39+IF($B$6=0,0,$B$6*NORMSINV(0.000001+0.999998*RAND())))</f>
        <v/>
      </c>
      <c r="FR39" s="30">
        <f>IF(62&gt;$B$3,99,INDEX(Symboles!$H$6:$H$101,MOD(61+$C39+(-4),$B$3)+1)*E39+INDEX(Symboles!$H$6:$H$101,MOD(61+$C39+(-3),$B$3)+1)*F39+INDEX(Symboles!$H$6:$H$101,MOD(61+$C39+(-2),$B$3)+1)*G39+INDEX(Symboles!$H$6:$H$101,MOD(61+$C39+(-1),$B$3)+1)*H39+INDEX(Symboles!$H$6:$H$101,MOD(61+$C39+(0),$B$3)+1)*I39+INDEX(Symboles!$H$6:$H$101,MOD(61+$C39+(1),$B$3)+1)*J39+INDEX(Symboles!$H$6:$H$101,MOD(61+$C39+(2),$B$3)+1)*K39+INDEX(Symboles!$H$6:$H$101,MOD(61+$C39+(3),$B$3)+1)*L39+INDEX(Symboles!$H$6:$H$101,MOD(61+$C39+(4),$B$3)+1)*M39+IF($B$6=0,0,$B$6*NORMSINV(0.000001+0.999998*RAND())))</f>
        <v/>
      </c>
      <c r="FS39" s="30">
        <f>IF(63&gt;$B$3,99,INDEX(Symboles!$H$6:$H$101,MOD(62+$C39+(-4),$B$3)+1)*E39+INDEX(Symboles!$H$6:$H$101,MOD(62+$C39+(-3),$B$3)+1)*F39+INDEX(Symboles!$H$6:$H$101,MOD(62+$C39+(-2),$B$3)+1)*G39+INDEX(Symboles!$H$6:$H$101,MOD(62+$C39+(-1),$B$3)+1)*H39+INDEX(Symboles!$H$6:$H$101,MOD(62+$C39+(0),$B$3)+1)*I39+INDEX(Symboles!$H$6:$H$101,MOD(62+$C39+(1),$B$3)+1)*J39+INDEX(Symboles!$H$6:$H$101,MOD(62+$C39+(2),$B$3)+1)*K39+INDEX(Symboles!$H$6:$H$101,MOD(62+$C39+(3),$B$3)+1)*L39+INDEX(Symboles!$H$6:$H$101,MOD(62+$C39+(4),$B$3)+1)*M39+IF($B$6=0,0,$B$6*NORMSINV(0.000001+0.999998*RAND())))</f>
        <v/>
      </c>
      <c r="FT39" s="30">
        <f>IF(64&gt;$B$3,99,INDEX(Symboles!$H$6:$H$101,MOD(63+$C39+(-4),$B$3)+1)*E39+INDEX(Symboles!$H$6:$H$101,MOD(63+$C39+(-3),$B$3)+1)*F39+INDEX(Symboles!$H$6:$H$101,MOD(63+$C39+(-2),$B$3)+1)*G39+INDEX(Symboles!$H$6:$H$101,MOD(63+$C39+(-1),$B$3)+1)*H39+INDEX(Symboles!$H$6:$H$101,MOD(63+$C39+(0),$B$3)+1)*I39+INDEX(Symboles!$H$6:$H$101,MOD(63+$C39+(1),$B$3)+1)*J39+INDEX(Symboles!$H$6:$H$101,MOD(63+$C39+(2),$B$3)+1)*K39+INDEX(Symboles!$H$6:$H$101,MOD(63+$C39+(3),$B$3)+1)*L39+INDEX(Symboles!$H$6:$H$101,MOD(63+$C39+(4),$B$3)+1)*M39+IF($B$6=0,0,$B$6*NORMSINV(0.000001+0.999998*RAND())))</f>
        <v/>
      </c>
      <c r="FU39" s="30">
        <f>IF(65&gt;$B$3,99,INDEX(Symboles!$H$6:$H$101,MOD(64+$C39+(-4),$B$3)+1)*E39+INDEX(Symboles!$H$6:$H$101,MOD(64+$C39+(-3),$B$3)+1)*F39+INDEX(Symboles!$H$6:$H$101,MOD(64+$C39+(-2),$B$3)+1)*G39+INDEX(Symboles!$H$6:$H$101,MOD(64+$C39+(-1),$B$3)+1)*H39+INDEX(Symboles!$H$6:$H$101,MOD(64+$C39+(0),$B$3)+1)*I39+INDEX(Symboles!$H$6:$H$101,MOD(64+$C39+(1),$B$3)+1)*J39+INDEX(Symboles!$H$6:$H$101,MOD(64+$C39+(2),$B$3)+1)*K39+INDEX(Symboles!$H$6:$H$101,MOD(64+$C39+(3),$B$3)+1)*L39+INDEX(Symboles!$H$6:$H$101,MOD(64+$C39+(4),$B$3)+1)*M39+IF($B$6=0,0,$B$6*NORMSINV(0.000001+0.999998*RAND())))</f>
        <v/>
      </c>
      <c r="FV39" s="30">
        <f>IF(66&gt;$B$3,99,INDEX(Symboles!$H$6:$H$101,MOD(65+$C39+(-4),$B$3)+1)*E39+INDEX(Symboles!$H$6:$H$101,MOD(65+$C39+(-3),$B$3)+1)*F39+INDEX(Symboles!$H$6:$H$101,MOD(65+$C39+(-2),$B$3)+1)*G39+INDEX(Symboles!$H$6:$H$101,MOD(65+$C39+(-1),$B$3)+1)*H39+INDEX(Symboles!$H$6:$H$101,MOD(65+$C39+(0),$B$3)+1)*I39+INDEX(Symboles!$H$6:$H$101,MOD(65+$C39+(1),$B$3)+1)*J39+INDEX(Symboles!$H$6:$H$101,MOD(65+$C39+(2),$B$3)+1)*K39+INDEX(Symboles!$H$6:$H$101,MOD(65+$C39+(3),$B$3)+1)*L39+INDEX(Symboles!$H$6:$H$101,MOD(65+$C39+(4),$B$3)+1)*M39+IF($B$6=0,0,$B$6*NORMSINV(0.000001+0.999998*RAND())))</f>
        <v/>
      </c>
      <c r="FW39" s="30">
        <f>IF(67&gt;$B$3,99,INDEX(Symboles!$H$6:$H$101,MOD(66+$C39+(-4),$B$3)+1)*E39+INDEX(Symboles!$H$6:$H$101,MOD(66+$C39+(-3),$B$3)+1)*F39+INDEX(Symboles!$H$6:$H$101,MOD(66+$C39+(-2),$B$3)+1)*G39+INDEX(Symboles!$H$6:$H$101,MOD(66+$C39+(-1),$B$3)+1)*H39+INDEX(Symboles!$H$6:$H$101,MOD(66+$C39+(0),$B$3)+1)*I39+INDEX(Symboles!$H$6:$H$101,MOD(66+$C39+(1),$B$3)+1)*J39+INDEX(Symboles!$H$6:$H$101,MOD(66+$C39+(2),$B$3)+1)*K39+INDEX(Symboles!$H$6:$H$101,MOD(66+$C39+(3),$B$3)+1)*L39+INDEX(Symboles!$H$6:$H$101,MOD(66+$C39+(4),$B$3)+1)*M39+IF($B$6=0,0,$B$6*NORMSINV(0.000001+0.999998*RAND())))</f>
        <v/>
      </c>
      <c r="FX39" s="30">
        <f>IF(68&gt;$B$3,99,INDEX(Symboles!$H$6:$H$101,MOD(67+$C39+(-4),$B$3)+1)*E39+INDEX(Symboles!$H$6:$H$101,MOD(67+$C39+(-3),$B$3)+1)*F39+INDEX(Symboles!$H$6:$H$101,MOD(67+$C39+(-2),$B$3)+1)*G39+INDEX(Symboles!$H$6:$H$101,MOD(67+$C39+(-1),$B$3)+1)*H39+INDEX(Symboles!$H$6:$H$101,MOD(67+$C39+(0),$B$3)+1)*I39+INDEX(Symboles!$H$6:$H$101,MOD(67+$C39+(1),$B$3)+1)*J39+INDEX(Symboles!$H$6:$H$101,MOD(67+$C39+(2),$B$3)+1)*K39+INDEX(Symboles!$H$6:$H$101,MOD(67+$C39+(3),$B$3)+1)*L39+INDEX(Symboles!$H$6:$H$101,MOD(67+$C39+(4),$B$3)+1)*M39+IF($B$6=0,0,$B$6*NORMSINV(0.000001+0.999998*RAND())))</f>
        <v/>
      </c>
      <c r="FY39" s="30">
        <f>IF(69&gt;$B$3,99,INDEX(Symboles!$H$6:$H$101,MOD(68+$C39+(-4),$B$3)+1)*E39+INDEX(Symboles!$H$6:$H$101,MOD(68+$C39+(-3),$B$3)+1)*F39+INDEX(Symboles!$H$6:$H$101,MOD(68+$C39+(-2),$B$3)+1)*G39+INDEX(Symboles!$H$6:$H$101,MOD(68+$C39+(-1),$B$3)+1)*H39+INDEX(Symboles!$H$6:$H$101,MOD(68+$C39+(0),$B$3)+1)*I39+INDEX(Symboles!$H$6:$H$101,MOD(68+$C39+(1),$B$3)+1)*J39+INDEX(Symboles!$H$6:$H$101,MOD(68+$C39+(2),$B$3)+1)*K39+INDEX(Symboles!$H$6:$H$101,MOD(68+$C39+(3),$B$3)+1)*L39+INDEX(Symboles!$H$6:$H$101,MOD(68+$C39+(4),$B$3)+1)*M39+IF($B$6=0,0,$B$6*NORMSINV(0.000001+0.999998*RAND())))</f>
        <v/>
      </c>
      <c r="FZ39" s="30">
        <f>IF(70&gt;$B$3,99,INDEX(Symboles!$H$6:$H$101,MOD(69+$C39+(-4),$B$3)+1)*E39+INDEX(Symboles!$H$6:$H$101,MOD(69+$C39+(-3),$B$3)+1)*F39+INDEX(Symboles!$H$6:$H$101,MOD(69+$C39+(-2),$B$3)+1)*G39+INDEX(Symboles!$H$6:$H$101,MOD(69+$C39+(-1),$B$3)+1)*H39+INDEX(Symboles!$H$6:$H$101,MOD(69+$C39+(0),$B$3)+1)*I39+INDEX(Symboles!$H$6:$H$101,MOD(69+$C39+(1),$B$3)+1)*J39+INDEX(Symboles!$H$6:$H$101,MOD(69+$C39+(2),$B$3)+1)*K39+INDEX(Symboles!$H$6:$H$101,MOD(69+$C39+(3),$B$3)+1)*L39+INDEX(Symboles!$H$6:$H$101,MOD(69+$C39+(4),$B$3)+1)*M39+IF($B$6=0,0,$B$6*NORMSINV(0.000001+0.999998*RAND())))</f>
        <v/>
      </c>
      <c r="GA39" s="30">
        <f>IF(71&gt;$B$3,99,INDEX(Symboles!$H$6:$H$101,MOD(70+$C39+(-4),$B$3)+1)*E39+INDEX(Symboles!$H$6:$H$101,MOD(70+$C39+(-3),$B$3)+1)*F39+INDEX(Symboles!$H$6:$H$101,MOD(70+$C39+(-2),$B$3)+1)*G39+INDEX(Symboles!$H$6:$H$101,MOD(70+$C39+(-1),$B$3)+1)*H39+INDEX(Symboles!$H$6:$H$101,MOD(70+$C39+(0),$B$3)+1)*I39+INDEX(Symboles!$H$6:$H$101,MOD(70+$C39+(1),$B$3)+1)*J39+INDEX(Symboles!$H$6:$H$101,MOD(70+$C39+(2),$B$3)+1)*K39+INDEX(Symboles!$H$6:$H$101,MOD(70+$C39+(3),$B$3)+1)*L39+INDEX(Symboles!$H$6:$H$101,MOD(70+$C39+(4),$B$3)+1)*M39+IF($B$6=0,0,$B$6*NORMSINV(0.000001+0.999998*RAND())))</f>
        <v/>
      </c>
      <c r="GB39" s="30">
        <f>IF(72&gt;$B$3,99,INDEX(Symboles!$H$6:$H$101,MOD(71+$C39+(-4),$B$3)+1)*E39+INDEX(Symboles!$H$6:$H$101,MOD(71+$C39+(-3),$B$3)+1)*F39+INDEX(Symboles!$H$6:$H$101,MOD(71+$C39+(-2),$B$3)+1)*G39+INDEX(Symboles!$H$6:$H$101,MOD(71+$C39+(-1),$B$3)+1)*H39+INDEX(Symboles!$H$6:$H$101,MOD(71+$C39+(0),$B$3)+1)*I39+INDEX(Symboles!$H$6:$H$101,MOD(71+$C39+(1),$B$3)+1)*J39+INDEX(Symboles!$H$6:$H$101,MOD(71+$C39+(2),$B$3)+1)*K39+INDEX(Symboles!$H$6:$H$101,MOD(71+$C39+(3),$B$3)+1)*L39+INDEX(Symboles!$H$6:$H$101,MOD(71+$C39+(4),$B$3)+1)*M39+IF($B$6=0,0,$B$6*NORMSINV(0.000001+0.999998*RAND())))</f>
        <v/>
      </c>
      <c r="GC39" s="30">
        <f>IF(73&gt;$B$3,99,INDEX(Symboles!$H$6:$H$101,MOD(72+$C39+(-4),$B$3)+1)*E39+INDEX(Symboles!$H$6:$H$101,MOD(72+$C39+(-3),$B$3)+1)*F39+INDEX(Symboles!$H$6:$H$101,MOD(72+$C39+(-2),$B$3)+1)*G39+INDEX(Symboles!$H$6:$H$101,MOD(72+$C39+(-1),$B$3)+1)*H39+INDEX(Symboles!$H$6:$H$101,MOD(72+$C39+(0),$B$3)+1)*I39+INDEX(Symboles!$H$6:$H$101,MOD(72+$C39+(1),$B$3)+1)*J39+INDEX(Symboles!$H$6:$H$101,MOD(72+$C39+(2),$B$3)+1)*K39+INDEX(Symboles!$H$6:$H$101,MOD(72+$C39+(3),$B$3)+1)*L39+INDEX(Symboles!$H$6:$H$101,MOD(72+$C39+(4),$B$3)+1)*M39+IF($B$6=0,0,$B$6*NORMSINV(0.000001+0.999998*RAND())))</f>
        <v/>
      </c>
      <c r="GD39" s="30">
        <f>IF(74&gt;$B$3,99,INDEX(Symboles!$H$6:$H$101,MOD(73+$C39+(-4),$B$3)+1)*E39+INDEX(Symboles!$H$6:$H$101,MOD(73+$C39+(-3),$B$3)+1)*F39+INDEX(Symboles!$H$6:$H$101,MOD(73+$C39+(-2),$B$3)+1)*G39+INDEX(Symboles!$H$6:$H$101,MOD(73+$C39+(-1),$B$3)+1)*H39+INDEX(Symboles!$H$6:$H$101,MOD(73+$C39+(0),$B$3)+1)*I39+INDEX(Symboles!$H$6:$H$101,MOD(73+$C39+(1),$B$3)+1)*J39+INDEX(Symboles!$H$6:$H$101,MOD(73+$C39+(2),$B$3)+1)*K39+INDEX(Symboles!$H$6:$H$101,MOD(73+$C39+(3),$B$3)+1)*L39+INDEX(Symboles!$H$6:$H$101,MOD(73+$C39+(4),$B$3)+1)*M39+IF($B$6=0,0,$B$6*NORMSINV(0.000001+0.999998*RAND())))</f>
        <v/>
      </c>
      <c r="GE39" s="30">
        <f>IF(75&gt;$B$3,99,INDEX(Symboles!$H$6:$H$101,MOD(74+$C39+(-4),$B$3)+1)*E39+INDEX(Symboles!$H$6:$H$101,MOD(74+$C39+(-3),$B$3)+1)*F39+INDEX(Symboles!$H$6:$H$101,MOD(74+$C39+(-2),$B$3)+1)*G39+INDEX(Symboles!$H$6:$H$101,MOD(74+$C39+(-1),$B$3)+1)*H39+INDEX(Symboles!$H$6:$H$101,MOD(74+$C39+(0),$B$3)+1)*I39+INDEX(Symboles!$H$6:$H$101,MOD(74+$C39+(1),$B$3)+1)*J39+INDEX(Symboles!$H$6:$H$101,MOD(74+$C39+(2),$B$3)+1)*K39+INDEX(Symboles!$H$6:$H$101,MOD(74+$C39+(3),$B$3)+1)*L39+INDEX(Symboles!$H$6:$H$101,MOD(74+$C39+(4),$B$3)+1)*M39+IF($B$6=0,0,$B$6*NORMSINV(0.000001+0.999998*RAND())))</f>
        <v/>
      </c>
      <c r="GF39" s="30">
        <f>IF(76&gt;$B$3,99,INDEX(Symboles!$H$6:$H$101,MOD(75+$C39+(-4),$B$3)+1)*E39+INDEX(Symboles!$H$6:$H$101,MOD(75+$C39+(-3),$B$3)+1)*F39+INDEX(Symboles!$H$6:$H$101,MOD(75+$C39+(-2),$B$3)+1)*G39+INDEX(Symboles!$H$6:$H$101,MOD(75+$C39+(-1),$B$3)+1)*H39+INDEX(Symboles!$H$6:$H$101,MOD(75+$C39+(0),$B$3)+1)*I39+INDEX(Symboles!$H$6:$H$101,MOD(75+$C39+(1),$B$3)+1)*J39+INDEX(Symboles!$H$6:$H$101,MOD(75+$C39+(2),$B$3)+1)*K39+INDEX(Symboles!$H$6:$H$101,MOD(75+$C39+(3),$B$3)+1)*L39+INDEX(Symboles!$H$6:$H$101,MOD(75+$C39+(4),$B$3)+1)*M39+IF($B$6=0,0,$B$6*NORMSINV(0.000001+0.999998*RAND())))</f>
        <v/>
      </c>
      <c r="GG39" s="30">
        <f>IF(77&gt;$B$3,99,INDEX(Symboles!$H$6:$H$101,MOD(76+$C39+(-4),$B$3)+1)*E39+INDEX(Symboles!$H$6:$H$101,MOD(76+$C39+(-3),$B$3)+1)*F39+INDEX(Symboles!$H$6:$H$101,MOD(76+$C39+(-2),$B$3)+1)*G39+INDEX(Symboles!$H$6:$H$101,MOD(76+$C39+(-1),$B$3)+1)*H39+INDEX(Symboles!$H$6:$H$101,MOD(76+$C39+(0),$B$3)+1)*I39+INDEX(Symboles!$H$6:$H$101,MOD(76+$C39+(1),$B$3)+1)*J39+INDEX(Symboles!$H$6:$H$101,MOD(76+$C39+(2),$B$3)+1)*K39+INDEX(Symboles!$H$6:$H$101,MOD(76+$C39+(3),$B$3)+1)*L39+INDEX(Symboles!$H$6:$H$101,MOD(76+$C39+(4),$B$3)+1)*M39+IF($B$6=0,0,$B$6*NORMSINV(0.000001+0.999998*RAND())))</f>
        <v/>
      </c>
      <c r="GH39" s="30">
        <f>IF(78&gt;$B$3,99,INDEX(Symboles!$H$6:$H$101,MOD(77+$C39+(-4),$B$3)+1)*E39+INDEX(Symboles!$H$6:$H$101,MOD(77+$C39+(-3),$B$3)+1)*F39+INDEX(Symboles!$H$6:$H$101,MOD(77+$C39+(-2),$B$3)+1)*G39+INDEX(Symboles!$H$6:$H$101,MOD(77+$C39+(-1),$B$3)+1)*H39+INDEX(Symboles!$H$6:$H$101,MOD(77+$C39+(0),$B$3)+1)*I39+INDEX(Symboles!$H$6:$H$101,MOD(77+$C39+(1),$B$3)+1)*J39+INDEX(Symboles!$H$6:$H$101,MOD(77+$C39+(2),$B$3)+1)*K39+INDEX(Symboles!$H$6:$H$101,MOD(77+$C39+(3),$B$3)+1)*L39+INDEX(Symboles!$H$6:$H$101,MOD(77+$C39+(4),$B$3)+1)*M39+IF($B$6=0,0,$B$6*NORMSINV(0.000001+0.999998*RAND())))</f>
        <v/>
      </c>
      <c r="GI39" s="30">
        <f>IF(79&gt;$B$3,99,INDEX(Symboles!$H$6:$H$101,MOD(78+$C39+(-4),$B$3)+1)*E39+INDEX(Symboles!$H$6:$H$101,MOD(78+$C39+(-3),$B$3)+1)*F39+INDEX(Symboles!$H$6:$H$101,MOD(78+$C39+(-2),$B$3)+1)*G39+INDEX(Symboles!$H$6:$H$101,MOD(78+$C39+(-1),$B$3)+1)*H39+INDEX(Symboles!$H$6:$H$101,MOD(78+$C39+(0),$B$3)+1)*I39+INDEX(Symboles!$H$6:$H$101,MOD(78+$C39+(1),$B$3)+1)*J39+INDEX(Symboles!$H$6:$H$101,MOD(78+$C39+(2),$B$3)+1)*K39+INDEX(Symboles!$H$6:$H$101,MOD(78+$C39+(3),$B$3)+1)*L39+INDEX(Symboles!$H$6:$H$101,MOD(78+$C39+(4),$B$3)+1)*M39+IF($B$6=0,0,$B$6*NORMSINV(0.000001+0.999998*RAND())))</f>
        <v/>
      </c>
      <c r="GJ39" s="30">
        <f>IF(80&gt;$B$3,99,INDEX(Symboles!$H$6:$H$101,MOD(79+$C39+(-4),$B$3)+1)*E39+INDEX(Symboles!$H$6:$H$101,MOD(79+$C39+(-3),$B$3)+1)*F39+INDEX(Symboles!$H$6:$H$101,MOD(79+$C39+(-2),$B$3)+1)*G39+INDEX(Symboles!$H$6:$H$101,MOD(79+$C39+(-1),$B$3)+1)*H39+INDEX(Symboles!$H$6:$H$101,MOD(79+$C39+(0),$B$3)+1)*I39+INDEX(Symboles!$H$6:$H$101,MOD(79+$C39+(1),$B$3)+1)*J39+INDEX(Symboles!$H$6:$H$101,MOD(79+$C39+(2),$B$3)+1)*K39+INDEX(Symboles!$H$6:$H$101,MOD(79+$C39+(3),$B$3)+1)*L39+INDEX(Symboles!$H$6:$H$101,MOD(79+$C39+(4),$B$3)+1)*M39+IF($B$6=0,0,$B$6*NORMSINV(0.000001+0.999998*RAND())))</f>
        <v/>
      </c>
      <c r="GK39" s="30">
        <f>IF(81&gt;$B$3,99,INDEX(Symboles!$H$6:$H$101,MOD(80+$C39+(-4),$B$3)+1)*E39+INDEX(Symboles!$H$6:$H$101,MOD(80+$C39+(-3),$B$3)+1)*F39+INDEX(Symboles!$H$6:$H$101,MOD(80+$C39+(-2),$B$3)+1)*G39+INDEX(Symboles!$H$6:$H$101,MOD(80+$C39+(-1),$B$3)+1)*H39+INDEX(Symboles!$H$6:$H$101,MOD(80+$C39+(0),$B$3)+1)*I39+INDEX(Symboles!$H$6:$H$101,MOD(80+$C39+(1),$B$3)+1)*J39+INDEX(Symboles!$H$6:$H$101,MOD(80+$C39+(2),$B$3)+1)*K39+INDEX(Symboles!$H$6:$H$101,MOD(80+$C39+(3),$B$3)+1)*L39+INDEX(Symboles!$H$6:$H$101,MOD(80+$C39+(4),$B$3)+1)*M39+IF($B$6=0,0,$B$6*NORMSINV(0.000001+0.999998*RAND())))</f>
        <v/>
      </c>
      <c r="GL39" s="30">
        <f>IF(82&gt;$B$3,99,INDEX(Symboles!$H$6:$H$101,MOD(81+$C39+(-4),$B$3)+1)*E39+INDEX(Symboles!$H$6:$H$101,MOD(81+$C39+(-3),$B$3)+1)*F39+INDEX(Symboles!$H$6:$H$101,MOD(81+$C39+(-2),$B$3)+1)*G39+INDEX(Symboles!$H$6:$H$101,MOD(81+$C39+(-1),$B$3)+1)*H39+INDEX(Symboles!$H$6:$H$101,MOD(81+$C39+(0),$B$3)+1)*I39+INDEX(Symboles!$H$6:$H$101,MOD(81+$C39+(1),$B$3)+1)*J39+INDEX(Symboles!$H$6:$H$101,MOD(81+$C39+(2),$B$3)+1)*K39+INDEX(Symboles!$H$6:$H$101,MOD(81+$C39+(3),$B$3)+1)*L39+INDEX(Symboles!$H$6:$H$101,MOD(81+$C39+(4),$B$3)+1)*M39+IF($B$6=0,0,$B$6*NORMSINV(0.000001+0.999998*RAND())))</f>
        <v/>
      </c>
      <c r="GM39" s="30">
        <f>IF(83&gt;$B$3,99,INDEX(Symboles!$H$6:$H$101,MOD(82+$C39+(-4),$B$3)+1)*E39+INDEX(Symboles!$H$6:$H$101,MOD(82+$C39+(-3),$B$3)+1)*F39+INDEX(Symboles!$H$6:$H$101,MOD(82+$C39+(-2),$B$3)+1)*G39+INDEX(Symboles!$H$6:$H$101,MOD(82+$C39+(-1),$B$3)+1)*H39+INDEX(Symboles!$H$6:$H$101,MOD(82+$C39+(0),$B$3)+1)*I39+INDEX(Symboles!$H$6:$H$101,MOD(82+$C39+(1),$B$3)+1)*J39+INDEX(Symboles!$H$6:$H$101,MOD(82+$C39+(2),$B$3)+1)*K39+INDEX(Symboles!$H$6:$H$101,MOD(82+$C39+(3),$B$3)+1)*L39+INDEX(Symboles!$H$6:$H$101,MOD(82+$C39+(4),$B$3)+1)*M39+IF($B$6=0,0,$B$6*NORMSINV(0.000001+0.999998*RAND())))</f>
        <v/>
      </c>
      <c r="GN39" s="30">
        <f>IF(84&gt;$B$3,99,INDEX(Symboles!$H$6:$H$101,MOD(83+$C39+(-4),$B$3)+1)*E39+INDEX(Symboles!$H$6:$H$101,MOD(83+$C39+(-3),$B$3)+1)*F39+INDEX(Symboles!$H$6:$H$101,MOD(83+$C39+(-2),$B$3)+1)*G39+INDEX(Symboles!$H$6:$H$101,MOD(83+$C39+(-1),$B$3)+1)*H39+INDEX(Symboles!$H$6:$H$101,MOD(83+$C39+(0),$B$3)+1)*I39+INDEX(Symboles!$H$6:$H$101,MOD(83+$C39+(1),$B$3)+1)*J39+INDEX(Symboles!$H$6:$H$101,MOD(83+$C39+(2),$B$3)+1)*K39+INDEX(Symboles!$H$6:$H$101,MOD(83+$C39+(3),$B$3)+1)*L39+INDEX(Symboles!$H$6:$H$101,MOD(83+$C39+(4),$B$3)+1)*M39+IF($B$6=0,0,$B$6*NORMSINV(0.000001+0.999998*RAND())))</f>
        <v/>
      </c>
      <c r="GO39" s="30">
        <f>IF(85&gt;$B$3,99,INDEX(Symboles!$H$6:$H$101,MOD(84+$C39+(-4),$B$3)+1)*E39+INDEX(Symboles!$H$6:$H$101,MOD(84+$C39+(-3),$B$3)+1)*F39+INDEX(Symboles!$H$6:$H$101,MOD(84+$C39+(-2),$B$3)+1)*G39+INDEX(Symboles!$H$6:$H$101,MOD(84+$C39+(-1),$B$3)+1)*H39+INDEX(Symboles!$H$6:$H$101,MOD(84+$C39+(0),$B$3)+1)*I39+INDEX(Symboles!$H$6:$H$101,MOD(84+$C39+(1),$B$3)+1)*J39+INDEX(Symboles!$H$6:$H$101,MOD(84+$C39+(2),$B$3)+1)*K39+INDEX(Symboles!$H$6:$H$101,MOD(84+$C39+(3),$B$3)+1)*L39+INDEX(Symboles!$H$6:$H$101,MOD(84+$C39+(4),$B$3)+1)*M39+IF($B$6=0,0,$B$6*NORMSINV(0.000001+0.999998*RAND())))</f>
        <v/>
      </c>
      <c r="GP39" s="30">
        <f>IF(86&gt;$B$3,99,INDEX(Symboles!$H$6:$H$101,MOD(85+$C39+(-4),$B$3)+1)*E39+INDEX(Symboles!$H$6:$H$101,MOD(85+$C39+(-3),$B$3)+1)*F39+INDEX(Symboles!$H$6:$H$101,MOD(85+$C39+(-2),$B$3)+1)*G39+INDEX(Symboles!$H$6:$H$101,MOD(85+$C39+(-1),$B$3)+1)*H39+INDEX(Symboles!$H$6:$H$101,MOD(85+$C39+(0),$B$3)+1)*I39+INDEX(Symboles!$H$6:$H$101,MOD(85+$C39+(1),$B$3)+1)*J39+INDEX(Symboles!$H$6:$H$101,MOD(85+$C39+(2),$B$3)+1)*K39+INDEX(Symboles!$H$6:$H$101,MOD(85+$C39+(3),$B$3)+1)*L39+INDEX(Symboles!$H$6:$H$101,MOD(85+$C39+(4),$B$3)+1)*M39+IF($B$6=0,0,$B$6*NORMSINV(0.000001+0.999998*RAND())))</f>
        <v/>
      </c>
      <c r="GQ39" s="30">
        <f>IF(87&gt;$B$3,99,INDEX(Symboles!$H$6:$H$101,MOD(86+$C39+(-4),$B$3)+1)*E39+INDEX(Symboles!$H$6:$H$101,MOD(86+$C39+(-3),$B$3)+1)*F39+INDEX(Symboles!$H$6:$H$101,MOD(86+$C39+(-2),$B$3)+1)*G39+INDEX(Symboles!$H$6:$H$101,MOD(86+$C39+(-1),$B$3)+1)*H39+INDEX(Symboles!$H$6:$H$101,MOD(86+$C39+(0),$B$3)+1)*I39+INDEX(Symboles!$H$6:$H$101,MOD(86+$C39+(1),$B$3)+1)*J39+INDEX(Symboles!$H$6:$H$101,MOD(86+$C39+(2),$B$3)+1)*K39+INDEX(Symboles!$H$6:$H$101,MOD(86+$C39+(3),$B$3)+1)*L39+INDEX(Symboles!$H$6:$H$101,MOD(86+$C39+(4),$B$3)+1)*M39+IF($B$6=0,0,$B$6*NORMSINV(0.000001+0.999998*RAND())))</f>
        <v/>
      </c>
      <c r="GR39" s="30">
        <f>IF(88&gt;$B$3,99,INDEX(Symboles!$H$6:$H$101,MOD(87+$C39+(-4),$B$3)+1)*E39+INDEX(Symboles!$H$6:$H$101,MOD(87+$C39+(-3),$B$3)+1)*F39+INDEX(Symboles!$H$6:$H$101,MOD(87+$C39+(-2),$B$3)+1)*G39+INDEX(Symboles!$H$6:$H$101,MOD(87+$C39+(-1),$B$3)+1)*H39+INDEX(Symboles!$H$6:$H$101,MOD(87+$C39+(0),$B$3)+1)*I39+INDEX(Symboles!$H$6:$H$101,MOD(87+$C39+(1),$B$3)+1)*J39+INDEX(Symboles!$H$6:$H$101,MOD(87+$C39+(2),$B$3)+1)*K39+INDEX(Symboles!$H$6:$H$101,MOD(87+$C39+(3),$B$3)+1)*L39+INDEX(Symboles!$H$6:$H$101,MOD(87+$C39+(4),$B$3)+1)*M39+IF($B$6=0,0,$B$6*NORMSINV(0.000001+0.999998*RAND())))</f>
        <v/>
      </c>
      <c r="GS39" s="30">
        <f>IF(89&gt;$B$3,99,INDEX(Symboles!$H$6:$H$101,MOD(88+$C39+(-4),$B$3)+1)*E39+INDEX(Symboles!$H$6:$H$101,MOD(88+$C39+(-3),$B$3)+1)*F39+INDEX(Symboles!$H$6:$H$101,MOD(88+$C39+(-2),$B$3)+1)*G39+INDEX(Symboles!$H$6:$H$101,MOD(88+$C39+(-1),$B$3)+1)*H39+INDEX(Symboles!$H$6:$H$101,MOD(88+$C39+(0),$B$3)+1)*I39+INDEX(Symboles!$H$6:$H$101,MOD(88+$C39+(1),$B$3)+1)*J39+INDEX(Symboles!$H$6:$H$101,MOD(88+$C39+(2),$B$3)+1)*K39+INDEX(Symboles!$H$6:$H$101,MOD(88+$C39+(3),$B$3)+1)*L39+INDEX(Symboles!$H$6:$H$101,MOD(88+$C39+(4),$B$3)+1)*M39+IF($B$6=0,0,$B$6*NORMSINV(0.000001+0.999998*RAND())))</f>
        <v/>
      </c>
      <c r="GT39" s="30">
        <f>IF(90&gt;$B$3,99,INDEX(Symboles!$H$6:$H$101,MOD(89+$C39+(-4),$B$3)+1)*E39+INDEX(Symboles!$H$6:$H$101,MOD(89+$C39+(-3),$B$3)+1)*F39+INDEX(Symboles!$H$6:$H$101,MOD(89+$C39+(-2),$B$3)+1)*G39+INDEX(Symboles!$H$6:$H$101,MOD(89+$C39+(-1),$B$3)+1)*H39+INDEX(Symboles!$H$6:$H$101,MOD(89+$C39+(0),$B$3)+1)*I39+INDEX(Symboles!$H$6:$H$101,MOD(89+$C39+(1),$B$3)+1)*J39+INDEX(Symboles!$H$6:$H$101,MOD(89+$C39+(2),$B$3)+1)*K39+INDEX(Symboles!$H$6:$H$101,MOD(89+$C39+(3),$B$3)+1)*L39+INDEX(Symboles!$H$6:$H$101,MOD(89+$C39+(4),$B$3)+1)*M39+IF($B$6=0,0,$B$6*NORMSINV(0.000001+0.999998*RAND())))</f>
        <v/>
      </c>
      <c r="GU39" s="30">
        <f>IF(91&gt;$B$3,99,INDEX(Symboles!$H$6:$H$101,MOD(90+$C39+(-4),$B$3)+1)*E39+INDEX(Symboles!$H$6:$H$101,MOD(90+$C39+(-3),$B$3)+1)*F39+INDEX(Symboles!$H$6:$H$101,MOD(90+$C39+(-2),$B$3)+1)*G39+INDEX(Symboles!$H$6:$H$101,MOD(90+$C39+(-1),$B$3)+1)*H39+INDEX(Symboles!$H$6:$H$101,MOD(90+$C39+(0),$B$3)+1)*I39+INDEX(Symboles!$H$6:$H$101,MOD(90+$C39+(1),$B$3)+1)*J39+INDEX(Symboles!$H$6:$H$101,MOD(90+$C39+(2),$B$3)+1)*K39+INDEX(Symboles!$H$6:$H$101,MOD(90+$C39+(3),$B$3)+1)*L39+INDEX(Symboles!$H$6:$H$101,MOD(90+$C39+(4),$B$3)+1)*M39+IF($B$6=0,0,$B$6*NORMSINV(0.000001+0.999998*RAND())))</f>
        <v/>
      </c>
      <c r="GV39" s="30">
        <f>IF(92&gt;$B$3,99,INDEX(Symboles!$H$6:$H$101,MOD(91+$C39+(-4),$B$3)+1)*E39+INDEX(Symboles!$H$6:$H$101,MOD(91+$C39+(-3),$B$3)+1)*F39+INDEX(Symboles!$H$6:$H$101,MOD(91+$C39+(-2),$B$3)+1)*G39+INDEX(Symboles!$H$6:$H$101,MOD(91+$C39+(-1),$B$3)+1)*H39+INDEX(Symboles!$H$6:$H$101,MOD(91+$C39+(0),$B$3)+1)*I39+INDEX(Symboles!$H$6:$H$101,MOD(91+$C39+(1),$B$3)+1)*J39+INDEX(Symboles!$H$6:$H$101,MOD(91+$C39+(2),$B$3)+1)*K39+INDEX(Symboles!$H$6:$H$101,MOD(91+$C39+(3),$B$3)+1)*L39+INDEX(Symboles!$H$6:$H$101,MOD(91+$C39+(4),$B$3)+1)*M39+IF($B$6=0,0,$B$6*NORMSINV(0.000001+0.999998*RAND())))</f>
        <v/>
      </c>
      <c r="GW39" s="30">
        <f>IF(93&gt;$B$3,99,INDEX(Symboles!$H$6:$H$101,MOD(92+$C39+(-4),$B$3)+1)*E39+INDEX(Symboles!$H$6:$H$101,MOD(92+$C39+(-3),$B$3)+1)*F39+INDEX(Symboles!$H$6:$H$101,MOD(92+$C39+(-2),$B$3)+1)*G39+INDEX(Symboles!$H$6:$H$101,MOD(92+$C39+(-1),$B$3)+1)*H39+INDEX(Symboles!$H$6:$H$101,MOD(92+$C39+(0),$B$3)+1)*I39+INDEX(Symboles!$H$6:$H$101,MOD(92+$C39+(1),$B$3)+1)*J39+INDEX(Symboles!$H$6:$H$101,MOD(92+$C39+(2),$B$3)+1)*K39+INDEX(Symboles!$H$6:$H$101,MOD(92+$C39+(3),$B$3)+1)*L39+INDEX(Symboles!$H$6:$H$101,MOD(92+$C39+(4),$B$3)+1)*M39+IF($B$6=0,0,$B$6*NORMSINV(0.000001+0.999998*RAND())))</f>
        <v/>
      </c>
      <c r="GX39" s="30">
        <f>IF(94&gt;$B$3,99,INDEX(Symboles!$H$6:$H$101,MOD(93+$C39+(-4),$B$3)+1)*E39+INDEX(Symboles!$H$6:$H$101,MOD(93+$C39+(-3),$B$3)+1)*F39+INDEX(Symboles!$H$6:$H$101,MOD(93+$C39+(-2),$B$3)+1)*G39+INDEX(Symboles!$H$6:$H$101,MOD(93+$C39+(-1),$B$3)+1)*H39+INDEX(Symboles!$H$6:$H$101,MOD(93+$C39+(0),$B$3)+1)*I39+INDEX(Symboles!$H$6:$H$101,MOD(93+$C39+(1),$B$3)+1)*J39+INDEX(Symboles!$H$6:$H$101,MOD(93+$C39+(2),$B$3)+1)*K39+INDEX(Symboles!$H$6:$H$101,MOD(93+$C39+(3),$B$3)+1)*L39+INDEX(Symboles!$H$6:$H$101,MOD(93+$C39+(4),$B$3)+1)*M39+IF($B$6=0,0,$B$6*NORMSINV(0.000001+0.999998*RAND())))</f>
        <v/>
      </c>
      <c r="GY39" s="30">
        <f>IF(95&gt;$B$3,99,INDEX(Symboles!$H$6:$H$101,MOD(94+$C39+(-4),$B$3)+1)*E39+INDEX(Symboles!$H$6:$H$101,MOD(94+$C39+(-3),$B$3)+1)*F39+INDEX(Symboles!$H$6:$H$101,MOD(94+$C39+(-2),$B$3)+1)*G39+INDEX(Symboles!$H$6:$H$101,MOD(94+$C39+(-1),$B$3)+1)*H39+INDEX(Symboles!$H$6:$H$101,MOD(94+$C39+(0),$B$3)+1)*I39+INDEX(Symboles!$H$6:$H$101,MOD(94+$C39+(1),$B$3)+1)*J39+INDEX(Symboles!$H$6:$H$101,MOD(94+$C39+(2),$B$3)+1)*K39+INDEX(Symboles!$H$6:$H$101,MOD(94+$C39+(3),$B$3)+1)*L39+INDEX(Symboles!$H$6:$H$101,MOD(94+$C39+(4),$B$3)+1)*M39+IF($B$6=0,0,$B$6*NORMSINV(0.000001+0.999998*RAND())))</f>
        <v/>
      </c>
      <c r="GZ39" s="30">
        <f>IF(96&gt;$B$3,99,INDEX(Symboles!$H$6:$H$101,MOD(95+$C39+(-4),$B$3)+1)*E39+INDEX(Symboles!$H$6:$H$101,MOD(95+$C39+(-3),$B$3)+1)*F39+INDEX(Symboles!$H$6:$H$101,MOD(95+$C39+(-2),$B$3)+1)*G39+INDEX(Symboles!$H$6:$H$101,MOD(95+$C39+(-1),$B$3)+1)*H39+INDEX(Symboles!$H$6:$H$101,MOD(95+$C39+(0),$B$3)+1)*I39+INDEX(Symboles!$H$6:$H$101,MOD(95+$C39+(1),$B$3)+1)*J39+INDEX(Symboles!$H$6:$H$101,MOD(95+$C39+(2),$B$3)+1)*K39+INDEX(Symboles!$H$6:$H$101,MOD(95+$C39+(3),$B$3)+1)*L39+INDEX(Symboles!$H$6:$H$101,MOD(95+$C39+(4),$B$3)+1)*M39+IF($B$6=0,0,$B$6*NORMSINV(0.000001+0.999998*RAND())))</f>
        <v/>
      </c>
    </row>
    <row r="40">
      <c r="A40" s="28" t="n">
        <v>30</v>
      </c>
      <c r="B40" s="28" t="n">
        <v>0.875</v>
      </c>
      <c r="C40" s="28" t="n">
        <v>1</v>
      </c>
      <c r="D40" s="28" t="n">
        <v>6</v>
      </c>
      <c r="E40" s="29">
        <f>IF($B$4=1,0,IF(ABS(1-(2*$B$5*3.875)^2)&lt;0.000001,PI()/4*SIN(PI()/(2*$B$5))/(PI()/(2*$B$5)),SIN(PI()*3.875)/(PI()*3.875)*COS(PI()*$B$5*3.875)/(1-(2*$B$5*3.875)^2)))</f>
        <v/>
      </c>
      <c r="F40" s="29">
        <f>IF($B$4=1,0,IF(ABS(1-(2*$B$5*2.875)^2)&lt;0.000001,PI()/4*SIN(PI()/(2*$B$5))/(PI()/(2*$B$5)),SIN(PI()*2.875)/(PI()*2.875)*COS(PI()*$B$5*2.875)/(1-(2*$B$5*2.875)^2)))</f>
        <v/>
      </c>
      <c r="G40" s="29">
        <f>IF($B$4=1,0,IF(ABS(1-(2*$B$5*1.875)^2)&lt;0.000001,PI()/4*SIN(PI()/(2*$B$5))/(PI()/(2*$B$5)),SIN(PI()*1.875)/(PI()*1.875)*COS(PI()*$B$5*1.875)/(1-(2*$B$5*1.875)^2)))</f>
        <v/>
      </c>
      <c r="H40" s="29">
        <f>IF($B$4=1,0,IF(ABS(1-(2*$B$5*0.875)^2)&lt;0.000001,PI()/4*SIN(PI()/(2*$B$5))/(PI()/(2*$B$5)),SIN(PI()*0.875)/(PI()*0.875)*COS(PI()*$B$5*0.875)/(1-(2*$B$5*0.875)^2)))</f>
        <v/>
      </c>
      <c r="I40" s="29">
        <f>IF($B$4=1,1,IF(ABS(1-(2*$B$5*-0.125)^2)&lt;0.000001,PI()/4*SIN(PI()/(2*$B$5))/(PI()/(2*$B$5)),SIN(PI()*-0.125)/(PI()*-0.125)*COS(PI()*$B$5*-0.125)/(1-(2*$B$5*-0.125)^2)))</f>
        <v/>
      </c>
      <c r="J40" s="29">
        <f>IF($B$4=1,0,IF(ABS(1-(2*$B$5*-1.125)^2)&lt;0.000001,PI()/4*SIN(PI()/(2*$B$5))/(PI()/(2*$B$5)),SIN(PI()*-1.125)/(PI()*-1.125)*COS(PI()*$B$5*-1.125)/(1-(2*$B$5*-1.125)^2)))</f>
        <v/>
      </c>
      <c r="K40" s="29">
        <f>IF($B$4=1,0,IF(ABS(1-(2*$B$5*-2.125)^2)&lt;0.000001,PI()/4*SIN(PI()/(2*$B$5))/(PI()/(2*$B$5)),SIN(PI()*-2.125)/(PI()*-2.125)*COS(PI()*$B$5*-2.125)/(1-(2*$B$5*-2.125)^2)))</f>
        <v/>
      </c>
      <c r="L40" s="29">
        <f>IF($B$4=1,0,IF(ABS(1-(2*$B$5*-3.125)^2)&lt;0.000001,PI()/4*SIN(PI()/(2*$B$5))/(PI()/(2*$B$5)),SIN(PI()*-3.125)/(PI()*-3.125)*COS(PI()*$B$5*-3.125)/(1-(2*$B$5*-3.125)^2)))</f>
        <v/>
      </c>
      <c r="M40" s="29">
        <f>IF($B$4=1,0,IF(ABS(1-(2*$B$5*-4.125)^2)&lt;0.000001,PI()/4*SIN(PI()/(2*$B$5))/(PI()/(2*$B$5)),SIN(PI()*-4.125)/(PI()*-4.125)*COS(PI()*$B$5*-4.125)/(1-(2*$B$5*-4.125)^2)))</f>
        <v/>
      </c>
      <c r="P40" s="30">
        <f>IF(1&gt;$B$3,99,INDEX(Symboles!$G$6:$G$101,MOD(0+$C40+(-4),$B$3)+1)*E40+INDEX(Symboles!$G$6:$G$101,MOD(0+$C40+(-3),$B$3)+1)*F40+INDEX(Symboles!$G$6:$G$101,MOD(0+$C40+(-2),$B$3)+1)*G40+INDEX(Symboles!$G$6:$G$101,MOD(0+$C40+(-1),$B$3)+1)*H40+INDEX(Symboles!$G$6:$G$101,MOD(0+$C40+(0),$B$3)+1)*I40+INDEX(Symboles!$G$6:$G$101,MOD(0+$C40+(1),$B$3)+1)*J40+INDEX(Symboles!$G$6:$G$101,MOD(0+$C40+(2),$B$3)+1)*K40+INDEX(Symboles!$G$6:$G$101,MOD(0+$C40+(3),$B$3)+1)*L40+INDEX(Symboles!$G$6:$G$101,MOD(0+$C40+(4),$B$3)+1)*M40+IF($B$6=0,0,$B$6*NORMSINV(0.000001+0.999998*RAND())))</f>
        <v/>
      </c>
      <c r="Q40" s="30">
        <f>IF(2&gt;$B$3,99,INDEX(Symboles!$G$6:$G$101,MOD(1+$C40+(-4),$B$3)+1)*E40+INDEX(Symboles!$G$6:$G$101,MOD(1+$C40+(-3),$B$3)+1)*F40+INDEX(Symboles!$G$6:$G$101,MOD(1+$C40+(-2),$B$3)+1)*G40+INDEX(Symboles!$G$6:$G$101,MOD(1+$C40+(-1),$B$3)+1)*H40+INDEX(Symboles!$G$6:$G$101,MOD(1+$C40+(0),$B$3)+1)*I40+INDEX(Symboles!$G$6:$G$101,MOD(1+$C40+(1),$B$3)+1)*J40+INDEX(Symboles!$G$6:$G$101,MOD(1+$C40+(2),$B$3)+1)*K40+INDEX(Symboles!$G$6:$G$101,MOD(1+$C40+(3),$B$3)+1)*L40+INDEX(Symboles!$G$6:$G$101,MOD(1+$C40+(4),$B$3)+1)*M40+IF($B$6=0,0,$B$6*NORMSINV(0.000001+0.999998*RAND())))</f>
        <v/>
      </c>
      <c r="R40" s="30">
        <f>IF(3&gt;$B$3,99,INDEX(Symboles!$G$6:$G$101,MOD(2+$C40+(-4),$B$3)+1)*E40+INDEX(Symboles!$G$6:$G$101,MOD(2+$C40+(-3),$B$3)+1)*F40+INDEX(Symboles!$G$6:$G$101,MOD(2+$C40+(-2),$B$3)+1)*G40+INDEX(Symboles!$G$6:$G$101,MOD(2+$C40+(-1),$B$3)+1)*H40+INDEX(Symboles!$G$6:$G$101,MOD(2+$C40+(0),$B$3)+1)*I40+INDEX(Symboles!$G$6:$G$101,MOD(2+$C40+(1),$B$3)+1)*J40+INDEX(Symboles!$G$6:$G$101,MOD(2+$C40+(2),$B$3)+1)*K40+INDEX(Symboles!$G$6:$G$101,MOD(2+$C40+(3),$B$3)+1)*L40+INDEX(Symboles!$G$6:$G$101,MOD(2+$C40+(4),$B$3)+1)*M40+IF($B$6=0,0,$B$6*NORMSINV(0.000001+0.999998*RAND())))</f>
        <v/>
      </c>
      <c r="S40" s="30">
        <f>IF(4&gt;$B$3,99,INDEX(Symboles!$G$6:$G$101,MOD(3+$C40+(-4),$B$3)+1)*E40+INDEX(Symboles!$G$6:$G$101,MOD(3+$C40+(-3),$B$3)+1)*F40+INDEX(Symboles!$G$6:$G$101,MOD(3+$C40+(-2),$B$3)+1)*G40+INDEX(Symboles!$G$6:$G$101,MOD(3+$C40+(-1),$B$3)+1)*H40+INDEX(Symboles!$G$6:$G$101,MOD(3+$C40+(0),$B$3)+1)*I40+INDEX(Symboles!$G$6:$G$101,MOD(3+$C40+(1),$B$3)+1)*J40+INDEX(Symboles!$G$6:$G$101,MOD(3+$C40+(2),$B$3)+1)*K40+INDEX(Symboles!$G$6:$G$101,MOD(3+$C40+(3),$B$3)+1)*L40+INDEX(Symboles!$G$6:$G$101,MOD(3+$C40+(4),$B$3)+1)*M40+IF($B$6=0,0,$B$6*NORMSINV(0.000001+0.999998*RAND())))</f>
        <v/>
      </c>
      <c r="T40" s="30">
        <f>IF(5&gt;$B$3,99,INDEX(Symboles!$G$6:$G$101,MOD(4+$C40+(-4),$B$3)+1)*E40+INDEX(Symboles!$G$6:$G$101,MOD(4+$C40+(-3),$B$3)+1)*F40+INDEX(Symboles!$G$6:$G$101,MOD(4+$C40+(-2),$B$3)+1)*G40+INDEX(Symboles!$G$6:$G$101,MOD(4+$C40+(-1),$B$3)+1)*H40+INDEX(Symboles!$G$6:$G$101,MOD(4+$C40+(0),$B$3)+1)*I40+INDEX(Symboles!$G$6:$G$101,MOD(4+$C40+(1),$B$3)+1)*J40+INDEX(Symboles!$G$6:$G$101,MOD(4+$C40+(2),$B$3)+1)*K40+INDEX(Symboles!$G$6:$G$101,MOD(4+$C40+(3),$B$3)+1)*L40+INDEX(Symboles!$G$6:$G$101,MOD(4+$C40+(4),$B$3)+1)*M40+IF($B$6=0,0,$B$6*NORMSINV(0.000001+0.999998*RAND())))</f>
        <v/>
      </c>
      <c r="U40" s="30">
        <f>IF(6&gt;$B$3,99,INDEX(Symboles!$G$6:$G$101,MOD(5+$C40+(-4),$B$3)+1)*E40+INDEX(Symboles!$G$6:$G$101,MOD(5+$C40+(-3),$B$3)+1)*F40+INDEX(Symboles!$G$6:$G$101,MOD(5+$C40+(-2),$B$3)+1)*G40+INDEX(Symboles!$G$6:$G$101,MOD(5+$C40+(-1),$B$3)+1)*H40+INDEX(Symboles!$G$6:$G$101,MOD(5+$C40+(0),$B$3)+1)*I40+INDEX(Symboles!$G$6:$G$101,MOD(5+$C40+(1),$B$3)+1)*J40+INDEX(Symboles!$G$6:$G$101,MOD(5+$C40+(2),$B$3)+1)*K40+INDEX(Symboles!$G$6:$G$101,MOD(5+$C40+(3),$B$3)+1)*L40+INDEX(Symboles!$G$6:$G$101,MOD(5+$C40+(4),$B$3)+1)*M40+IF($B$6=0,0,$B$6*NORMSINV(0.000001+0.999998*RAND())))</f>
        <v/>
      </c>
      <c r="V40" s="30">
        <f>IF(7&gt;$B$3,99,INDEX(Symboles!$G$6:$G$101,MOD(6+$C40+(-4),$B$3)+1)*E40+INDEX(Symboles!$G$6:$G$101,MOD(6+$C40+(-3),$B$3)+1)*F40+INDEX(Symboles!$G$6:$G$101,MOD(6+$C40+(-2),$B$3)+1)*G40+INDEX(Symboles!$G$6:$G$101,MOD(6+$C40+(-1),$B$3)+1)*H40+INDEX(Symboles!$G$6:$G$101,MOD(6+$C40+(0),$B$3)+1)*I40+INDEX(Symboles!$G$6:$G$101,MOD(6+$C40+(1),$B$3)+1)*J40+INDEX(Symboles!$G$6:$G$101,MOD(6+$C40+(2),$B$3)+1)*K40+INDEX(Symboles!$G$6:$G$101,MOD(6+$C40+(3),$B$3)+1)*L40+INDEX(Symboles!$G$6:$G$101,MOD(6+$C40+(4),$B$3)+1)*M40+IF($B$6=0,0,$B$6*NORMSINV(0.000001+0.999998*RAND())))</f>
        <v/>
      </c>
      <c r="W40" s="30">
        <f>IF(8&gt;$B$3,99,INDEX(Symboles!$G$6:$G$101,MOD(7+$C40+(-4),$B$3)+1)*E40+INDEX(Symboles!$G$6:$G$101,MOD(7+$C40+(-3),$B$3)+1)*F40+INDEX(Symboles!$G$6:$G$101,MOD(7+$C40+(-2),$B$3)+1)*G40+INDEX(Symboles!$G$6:$G$101,MOD(7+$C40+(-1),$B$3)+1)*H40+INDEX(Symboles!$G$6:$G$101,MOD(7+$C40+(0),$B$3)+1)*I40+INDEX(Symboles!$G$6:$G$101,MOD(7+$C40+(1),$B$3)+1)*J40+INDEX(Symboles!$G$6:$G$101,MOD(7+$C40+(2),$B$3)+1)*K40+INDEX(Symboles!$G$6:$G$101,MOD(7+$C40+(3),$B$3)+1)*L40+INDEX(Symboles!$G$6:$G$101,MOD(7+$C40+(4),$B$3)+1)*M40+IF($B$6=0,0,$B$6*NORMSINV(0.000001+0.999998*RAND())))</f>
        <v/>
      </c>
      <c r="X40" s="30">
        <f>IF(9&gt;$B$3,99,INDEX(Symboles!$G$6:$G$101,MOD(8+$C40+(-4),$B$3)+1)*E40+INDEX(Symboles!$G$6:$G$101,MOD(8+$C40+(-3),$B$3)+1)*F40+INDEX(Symboles!$G$6:$G$101,MOD(8+$C40+(-2),$B$3)+1)*G40+INDEX(Symboles!$G$6:$G$101,MOD(8+$C40+(-1),$B$3)+1)*H40+INDEX(Symboles!$G$6:$G$101,MOD(8+$C40+(0),$B$3)+1)*I40+INDEX(Symboles!$G$6:$G$101,MOD(8+$C40+(1),$B$3)+1)*J40+INDEX(Symboles!$G$6:$G$101,MOD(8+$C40+(2),$B$3)+1)*K40+INDEX(Symboles!$G$6:$G$101,MOD(8+$C40+(3),$B$3)+1)*L40+INDEX(Symboles!$G$6:$G$101,MOD(8+$C40+(4),$B$3)+1)*M40+IF($B$6=0,0,$B$6*NORMSINV(0.000001+0.999998*RAND())))</f>
        <v/>
      </c>
      <c r="Y40" s="30">
        <f>IF(10&gt;$B$3,99,INDEX(Symboles!$G$6:$G$101,MOD(9+$C40+(-4),$B$3)+1)*E40+INDEX(Symboles!$G$6:$G$101,MOD(9+$C40+(-3),$B$3)+1)*F40+INDEX(Symboles!$G$6:$G$101,MOD(9+$C40+(-2),$B$3)+1)*G40+INDEX(Symboles!$G$6:$G$101,MOD(9+$C40+(-1),$B$3)+1)*H40+INDEX(Symboles!$G$6:$G$101,MOD(9+$C40+(0),$B$3)+1)*I40+INDEX(Symboles!$G$6:$G$101,MOD(9+$C40+(1),$B$3)+1)*J40+INDEX(Symboles!$G$6:$G$101,MOD(9+$C40+(2),$B$3)+1)*K40+INDEX(Symboles!$G$6:$G$101,MOD(9+$C40+(3),$B$3)+1)*L40+INDEX(Symboles!$G$6:$G$101,MOD(9+$C40+(4),$B$3)+1)*M40+IF($B$6=0,0,$B$6*NORMSINV(0.000001+0.999998*RAND())))</f>
        <v/>
      </c>
      <c r="Z40" s="30">
        <f>IF(11&gt;$B$3,99,INDEX(Symboles!$G$6:$G$101,MOD(10+$C40+(-4),$B$3)+1)*E40+INDEX(Symboles!$G$6:$G$101,MOD(10+$C40+(-3),$B$3)+1)*F40+INDEX(Symboles!$G$6:$G$101,MOD(10+$C40+(-2),$B$3)+1)*G40+INDEX(Symboles!$G$6:$G$101,MOD(10+$C40+(-1),$B$3)+1)*H40+INDEX(Symboles!$G$6:$G$101,MOD(10+$C40+(0),$B$3)+1)*I40+INDEX(Symboles!$G$6:$G$101,MOD(10+$C40+(1),$B$3)+1)*J40+INDEX(Symboles!$G$6:$G$101,MOD(10+$C40+(2),$B$3)+1)*K40+INDEX(Symboles!$G$6:$G$101,MOD(10+$C40+(3),$B$3)+1)*L40+INDEX(Symboles!$G$6:$G$101,MOD(10+$C40+(4),$B$3)+1)*M40+IF($B$6=0,0,$B$6*NORMSINV(0.000001+0.999998*RAND())))</f>
        <v/>
      </c>
      <c r="AA40" s="30">
        <f>IF(12&gt;$B$3,99,INDEX(Symboles!$G$6:$G$101,MOD(11+$C40+(-4),$B$3)+1)*E40+INDEX(Symboles!$G$6:$G$101,MOD(11+$C40+(-3),$B$3)+1)*F40+INDEX(Symboles!$G$6:$G$101,MOD(11+$C40+(-2),$B$3)+1)*G40+INDEX(Symboles!$G$6:$G$101,MOD(11+$C40+(-1),$B$3)+1)*H40+INDEX(Symboles!$G$6:$G$101,MOD(11+$C40+(0),$B$3)+1)*I40+INDEX(Symboles!$G$6:$G$101,MOD(11+$C40+(1),$B$3)+1)*J40+INDEX(Symboles!$G$6:$G$101,MOD(11+$C40+(2),$B$3)+1)*K40+INDEX(Symboles!$G$6:$G$101,MOD(11+$C40+(3),$B$3)+1)*L40+INDEX(Symboles!$G$6:$G$101,MOD(11+$C40+(4),$B$3)+1)*M40+IF($B$6=0,0,$B$6*NORMSINV(0.000001+0.999998*RAND())))</f>
        <v/>
      </c>
      <c r="AB40" s="30">
        <f>IF(13&gt;$B$3,99,INDEX(Symboles!$G$6:$G$101,MOD(12+$C40+(-4),$B$3)+1)*E40+INDEX(Symboles!$G$6:$G$101,MOD(12+$C40+(-3),$B$3)+1)*F40+INDEX(Symboles!$G$6:$G$101,MOD(12+$C40+(-2),$B$3)+1)*G40+INDEX(Symboles!$G$6:$G$101,MOD(12+$C40+(-1),$B$3)+1)*H40+INDEX(Symboles!$G$6:$G$101,MOD(12+$C40+(0),$B$3)+1)*I40+INDEX(Symboles!$G$6:$G$101,MOD(12+$C40+(1),$B$3)+1)*J40+INDEX(Symboles!$G$6:$G$101,MOD(12+$C40+(2),$B$3)+1)*K40+INDEX(Symboles!$G$6:$G$101,MOD(12+$C40+(3),$B$3)+1)*L40+INDEX(Symboles!$G$6:$G$101,MOD(12+$C40+(4),$B$3)+1)*M40+IF($B$6=0,0,$B$6*NORMSINV(0.000001+0.999998*RAND())))</f>
        <v/>
      </c>
      <c r="AC40" s="30">
        <f>IF(14&gt;$B$3,99,INDEX(Symboles!$G$6:$G$101,MOD(13+$C40+(-4),$B$3)+1)*E40+INDEX(Symboles!$G$6:$G$101,MOD(13+$C40+(-3),$B$3)+1)*F40+INDEX(Symboles!$G$6:$G$101,MOD(13+$C40+(-2),$B$3)+1)*G40+INDEX(Symboles!$G$6:$G$101,MOD(13+$C40+(-1),$B$3)+1)*H40+INDEX(Symboles!$G$6:$G$101,MOD(13+$C40+(0),$B$3)+1)*I40+INDEX(Symboles!$G$6:$G$101,MOD(13+$C40+(1),$B$3)+1)*J40+INDEX(Symboles!$G$6:$G$101,MOD(13+$C40+(2),$B$3)+1)*K40+INDEX(Symboles!$G$6:$G$101,MOD(13+$C40+(3),$B$3)+1)*L40+INDEX(Symboles!$G$6:$G$101,MOD(13+$C40+(4),$B$3)+1)*M40+IF($B$6=0,0,$B$6*NORMSINV(0.000001+0.999998*RAND())))</f>
        <v/>
      </c>
      <c r="AD40" s="30">
        <f>IF(15&gt;$B$3,99,INDEX(Symboles!$G$6:$G$101,MOD(14+$C40+(-4),$B$3)+1)*E40+INDEX(Symboles!$G$6:$G$101,MOD(14+$C40+(-3),$B$3)+1)*F40+INDEX(Symboles!$G$6:$G$101,MOD(14+$C40+(-2),$B$3)+1)*G40+INDEX(Symboles!$G$6:$G$101,MOD(14+$C40+(-1),$B$3)+1)*H40+INDEX(Symboles!$G$6:$G$101,MOD(14+$C40+(0),$B$3)+1)*I40+INDEX(Symboles!$G$6:$G$101,MOD(14+$C40+(1),$B$3)+1)*J40+INDEX(Symboles!$G$6:$G$101,MOD(14+$C40+(2),$B$3)+1)*K40+INDEX(Symboles!$G$6:$G$101,MOD(14+$C40+(3),$B$3)+1)*L40+INDEX(Symboles!$G$6:$G$101,MOD(14+$C40+(4),$B$3)+1)*M40+IF($B$6=0,0,$B$6*NORMSINV(0.000001+0.999998*RAND())))</f>
        <v/>
      </c>
      <c r="AE40" s="30">
        <f>IF(16&gt;$B$3,99,INDEX(Symboles!$G$6:$G$101,MOD(15+$C40+(-4),$B$3)+1)*E40+INDEX(Symboles!$G$6:$G$101,MOD(15+$C40+(-3),$B$3)+1)*F40+INDEX(Symboles!$G$6:$G$101,MOD(15+$C40+(-2),$B$3)+1)*G40+INDEX(Symboles!$G$6:$G$101,MOD(15+$C40+(-1),$B$3)+1)*H40+INDEX(Symboles!$G$6:$G$101,MOD(15+$C40+(0),$B$3)+1)*I40+INDEX(Symboles!$G$6:$G$101,MOD(15+$C40+(1),$B$3)+1)*J40+INDEX(Symboles!$G$6:$G$101,MOD(15+$C40+(2),$B$3)+1)*K40+INDEX(Symboles!$G$6:$G$101,MOD(15+$C40+(3),$B$3)+1)*L40+INDEX(Symboles!$G$6:$G$101,MOD(15+$C40+(4),$B$3)+1)*M40+IF($B$6=0,0,$B$6*NORMSINV(0.000001+0.999998*RAND())))</f>
        <v/>
      </c>
      <c r="AF40" s="30">
        <f>IF(17&gt;$B$3,99,INDEX(Symboles!$G$6:$G$101,MOD(16+$C40+(-4),$B$3)+1)*E40+INDEX(Symboles!$G$6:$G$101,MOD(16+$C40+(-3),$B$3)+1)*F40+INDEX(Symboles!$G$6:$G$101,MOD(16+$C40+(-2),$B$3)+1)*G40+INDEX(Symboles!$G$6:$G$101,MOD(16+$C40+(-1),$B$3)+1)*H40+INDEX(Symboles!$G$6:$G$101,MOD(16+$C40+(0),$B$3)+1)*I40+INDEX(Symboles!$G$6:$G$101,MOD(16+$C40+(1),$B$3)+1)*J40+INDEX(Symboles!$G$6:$G$101,MOD(16+$C40+(2),$B$3)+1)*K40+INDEX(Symboles!$G$6:$G$101,MOD(16+$C40+(3),$B$3)+1)*L40+INDEX(Symboles!$G$6:$G$101,MOD(16+$C40+(4),$B$3)+1)*M40+IF($B$6=0,0,$B$6*NORMSINV(0.000001+0.999998*RAND())))</f>
        <v/>
      </c>
      <c r="AG40" s="30">
        <f>IF(18&gt;$B$3,99,INDEX(Symboles!$G$6:$G$101,MOD(17+$C40+(-4),$B$3)+1)*E40+INDEX(Symboles!$G$6:$G$101,MOD(17+$C40+(-3),$B$3)+1)*F40+INDEX(Symboles!$G$6:$G$101,MOD(17+$C40+(-2),$B$3)+1)*G40+INDEX(Symboles!$G$6:$G$101,MOD(17+$C40+(-1),$B$3)+1)*H40+INDEX(Symboles!$G$6:$G$101,MOD(17+$C40+(0),$B$3)+1)*I40+INDEX(Symboles!$G$6:$G$101,MOD(17+$C40+(1),$B$3)+1)*J40+INDEX(Symboles!$G$6:$G$101,MOD(17+$C40+(2),$B$3)+1)*K40+INDEX(Symboles!$G$6:$G$101,MOD(17+$C40+(3),$B$3)+1)*L40+INDEX(Symboles!$G$6:$G$101,MOD(17+$C40+(4),$B$3)+1)*M40+IF($B$6=0,0,$B$6*NORMSINV(0.000001+0.999998*RAND())))</f>
        <v/>
      </c>
      <c r="AH40" s="30">
        <f>IF(19&gt;$B$3,99,INDEX(Symboles!$G$6:$G$101,MOD(18+$C40+(-4),$B$3)+1)*E40+INDEX(Symboles!$G$6:$G$101,MOD(18+$C40+(-3),$B$3)+1)*F40+INDEX(Symboles!$G$6:$G$101,MOD(18+$C40+(-2),$B$3)+1)*G40+INDEX(Symboles!$G$6:$G$101,MOD(18+$C40+(-1),$B$3)+1)*H40+INDEX(Symboles!$G$6:$G$101,MOD(18+$C40+(0),$B$3)+1)*I40+INDEX(Symboles!$G$6:$G$101,MOD(18+$C40+(1),$B$3)+1)*J40+INDEX(Symboles!$G$6:$G$101,MOD(18+$C40+(2),$B$3)+1)*K40+INDEX(Symboles!$G$6:$G$101,MOD(18+$C40+(3),$B$3)+1)*L40+INDEX(Symboles!$G$6:$G$101,MOD(18+$C40+(4),$B$3)+1)*M40+IF($B$6=0,0,$B$6*NORMSINV(0.000001+0.999998*RAND())))</f>
        <v/>
      </c>
      <c r="AI40" s="30">
        <f>IF(20&gt;$B$3,99,INDEX(Symboles!$G$6:$G$101,MOD(19+$C40+(-4),$B$3)+1)*E40+INDEX(Symboles!$G$6:$G$101,MOD(19+$C40+(-3),$B$3)+1)*F40+INDEX(Symboles!$G$6:$G$101,MOD(19+$C40+(-2),$B$3)+1)*G40+INDEX(Symboles!$G$6:$G$101,MOD(19+$C40+(-1),$B$3)+1)*H40+INDEX(Symboles!$G$6:$G$101,MOD(19+$C40+(0),$B$3)+1)*I40+INDEX(Symboles!$G$6:$G$101,MOD(19+$C40+(1),$B$3)+1)*J40+INDEX(Symboles!$G$6:$G$101,MOD(19+$C40+(2),$B$3)+1)*K40+INDEX(Symboles!$G$6:$G$101,MOD(19+$C40+(3),$B$3)+1)*L40+INDEX(Symboles!$G$6:$G$101,MOD(19+$C40+(4),$B$3)+1)*M40+IF($B$6=0,0,$B$6*NORMSINV(0.000001+0.999998*RAND())))</f>
        <v/>
      </c>
      <c r="AJ40" s="30">
        <f>IF(21&gt;$B$3,99,INDEX(Symboles!$G$6:$G$101,MOD(20+$C40+(-4),$B$3)+1)*E40+INDEX(Symboles!$G$6:$G$101,MOD(20+$C40+(-3),$B$3)+1)*F40+INDEX(Symboles!$G$6:$G$101,MOD(20+$C40+(-2),$B$3)+1)*G40+INDEX(Symboles!$G$6:$G$101,MOD(20+$C40+(-1),$B$3)+1)*H40+INDEX(Symboles!$G$6:$G$101,MOD(20+$C40+(0),$B$3)+1)*I40+INDEX(Symboles!$G$6:$G$101,MOD(20+$C40+(1),$B$3)+1)*J40+INDEX(Symboles!$G$6:$G$101,MOD(20+$C40+(2),$B$3)+1)*K40+INDEX(Symboles!$G$6:$G$101,MOD(20+$C40+(3),$B$3)+1)*L40+INDEX(Symboles!$G$6:$G$101,MOD(20+$C40+(4),$B$3)+1)*M40+IF($B$6=0,0,$B$6*NORMSINV(0.000001+0.999998*RAND())))</f>
        <v/>
      </c>
      <c r="AK40" s="30">
        <f>IF(22&gt;$B$3,99,INDEX(Symboles!$G$6:$G$101,MOD(21+$C40+(-4),$B$3)+1)*E40+INDEX(Symboles!$G$6:$G$101,MOD(21+$C40+(-3),$B$3)+1)*F40+INDEX(Symboles!$G$6:$G$101,MOD(21+$C40+(-2),$B$3)+1)*G40+INDEX(Symboles!$G$6:$G$101,MOD(21+$C40+(-1),$B$3)+1)*H40+INDEX(Symboles!$G$6:$G$101,MOD(21+$C40+(0),$B$3)+1)*I40+INDEX(Symboles!$G$6:$G$101,MOD(21+$C40+(1),$B$3)+1)*J40+INDEX(Symboles!$G$6:$G$101,MOD(21+$C40+(2),$B$3)+1)*K40+INDEX(Symboles!$G$6:$G$101,MOD(21+$C40+(3),$B$3)+1)*L40+INDEX(Symboles!$G$6:$G$101,MOD(21+$C40+(4),$B$3)+1)*M40+IF($B$6=0,0,$B$6*NORMSINV(0.000001+0.999998*RAND())))</f>
        <v/>
      </c>
      <c r="AL40" s="30">
        <f>IF(23&gt;$B$3,99,INDEX(Symboles!$G$6:$G$101,MOD(22+$C40+(-4),$B$3)+1)*E40+INDEX(Symboles!$G$6:$G$101,MOD(22+$C40+(-3),$B$3)+1)*F40+INDEX(Symboles!$G$6:$G$101,MOD(22+$C40+(-2),$B$3)+1)*G40+INDEX(Symboles!$G$6:$G$101,MOD(22+$C40+(-1),$B$3)+1)*H40+INDEX(Symboles!$G$6:$G$101,MOD(22+$C40+(0),$B$3)+1)*I40+INDEX(Symboles!$G$6:$G$101,MOD(22+$C40+(1),$B$3)+1)*J40+INDEX(Symboles!$G$6:$G$101,MOD(22+$C40+(2),$B$3)+1)*K40+INDEX(Symboles!$G$6:$G$101,MOD(22+$C40+(3),$B$3)+1)*L40+INDEX(Symboles!$G$6:$G$101,MOD(22+$C40+(4),$B$3)+1)*M40+IF($B$6=0,0,$B$6*NORMSINV(0.000001+0.999998*RAND())))</f>
        <v/>
      </c>
      <c r="AM40" s="30">
        <f>IF(24&gt;$B$3,99,INDEX(Symboles!$G$6:$G$101,MOD(23+$C40+(-4),$B$3)+1)*E40+INDEX(Symboles!$G$6:$G$101,MOD(23+$C40+(-3),$B$3)+1)*F40+INDEX(Symboles!$G$6:$G$101,MOD(23+$C40+(-2),$B$3)+1)*G40+INDEX(Symboles!$G$6:$G$101,MOD(23+$C40+(-1),$B$3)+1)*H40+INDEX(Symboles!$G$6:$G$101,MOD(23+$C40+(0),$B$3)+1)*I40+INDEX(Symboles!$G$6:$G$101,MOD(23+$C40+(1),$B$3)+1)*J40+INDEX(Symboles!$G$6:$G$101,MOD(23+$C40+(2),$B$3)+1)*K40+INDEX(Symboles!$G$6:$G$101,MOD(23+$C40+(3),$B$3)+1)*L40+INDEX(Symboles!$G$6:$G$101,MOD(23+$C40+(4),$B$3)+1)*M40+IF($B$6=0,0,$B$6*NORMSINV(0.000001+0.999998*RAND())))</f>
        <v/>
      </c>
      <c r="AN40" s="30">
        <f>IF(25&gt;$B$3,99,INDEX(Symboles!$G$6:$G$101,MOD(24+$C40+(-4),$B$3)+1)*E40+INDEX(Symboles!$G$6:$G$101,MOD(24+$C40+(-3),$B$3)+1)*F40+INDEX(Symboles!$G$6:$G$101,MOD(24+$C40+(-2),$B$3)+1)*G40+INDEX(Symboles!$G$6:$G$101,MOD(24+$C40+(-1),$B$3)+1)*H40+INDEX(Symboles!$G$6:$G$101,MOD(24+$C40+(0),$B$3)+1)*I40+INDEX(Symboles!$G$6:$G$101,MOD(24+$C40+(1),$B$3)+1)*J40+INDEX(Symboles!$G$6:$G$101,MOD(24+$C40+(2),$B$3)+1)*K40+INDEX(Symboles!$G$6:$G$101,MOD(24+$C40+(3),$B$3)+1)*L40+INDEX(Symboles!$G$6:$G$101,MOD(24+$C40+(4),$B$3)+1)*M40+IF($B$6=0,0,$B$6*NORMSINV(0.000001+0.999998*RAND())))</f>
        <v/>
      </c>
      <c r="AO40" s="30">
        <f>IF(26&gt;$B$3,99,INDEX(Symboles!$G$6:$G$101,MOD(25+$C40+(-4),$B$3)+1)*E40+INDEX(Symboles!$G$6:$G$101,MOD(25+$C40+(-3),$B$3)+1)*F40+INDEX(Symboles!$G$6:$G$101,MOD(25+$C40+(-2),$B$3)+1)*G40+INDEX(Symboles!$G$6:$G$101,MOD(25+$C40+(-1),$B$3)+1)*H40+INDEX(Symboles!$G$6:$G$101,MOD(25+$C40+(0),$B$3)+1)*I40+INDEX(Symboles!$G$6:$G$101,MOD(25+$C40+(1),$B$3)+1)*J40+INDEX(Symboles!$G$6:$G$101,MOD(25+$C40+(2),$B$3)+1)*K40+INDEX(Symboles!$G$6:$G$101,MOD(25+$C40+(3),$B$3)+1)*L40+INDEX(Symboles!$G$6:$G$101,MOD(25+$C40+(4),$B$3)+1)*M40+IF($B$6=0,0,$B$6*NORMSINV(0.000001+0.999998*RAND())))</f>
        <v/>
      </c>
      <c r="AP40" s="30">
        <f>IF(27&gt;$B$3,99,INDEX(Symboles!$G$6:$G$101,MOD(26+$C40+(-4),$B$3)+1)*E40+INDEX(Symboles!$G$6:$G$101,MOD(26+$C40+(-3),$B$3)+1)*F40+INDEX(Symboles!$G$6:$G$101,MOD(26+$C40+(-2),$B$3)+1)*G40+INDEX(Symboles!$G$6:$G$101,MOD(26+$C40+(-1),$B$3)+1)*H40+INDEX(Symboles!$G$6:$G$101,MOD(26+$C40+(0),$B$3)+1)*I40+INDEX(Symboles!$G$6:$G$101,MOD(26+$C40+(1),$B$3)+1)*J40+INDEX(Symboles!$G$6:$G$101,MOD(26+$C40+(2),$B$3)+1)*K40+INDEX(Symboles!$G$6:$G$101,MOD(26+$C40+(3),$B$3)+1)*L40+INDEX(Symboles!$G$6:$G$101,MOD(26+$C40+(4),$B$3)+1)*M40+IF($B$6=0,0,$B$6*NORMSINV(0.000001+0.999998*RAND())))</f>
        <v/>
      </c>
      <c r="AQ40" s="30">
        <f>IF(28&gt;$B$3,99,INDEX(Symboles!$G$6:$G$101,MOD(27+$C40+(-4),$B$3)+1)*E40+INDEX(Symboles!$G$6:$G$101,MOD(27+$C40+(-3),$B$3)+1)*F40+INDEX(Symboles!$G$6:$G$101,MOD(27+$C40+(-2),$B$3)+1)*G40+INDEX(Symboles!$G$6:$G$101,MOD(27+$C40+(-1),$B$3)+1)*H40+INDEX(Symboles!$G$6:$G$101,MOD(27+$C40+(0),$B$3)+1)*I40+INDEX(Symboles!$G$6:$G$101,MOD(27+$C40+(1),$B$3)+1)*J40+INDEX(Symboles!$G$6:$G$101,MOD(27+$C40+(2),$B$3)+1)*K40+INDEX(Symboles!$G$6:$G$101,MOD(27+$C40+(3),$B$3)+1)*L40+INDEX(Symboles!$G$6:$G$101,MOD(27+$C40+(4),$B$3)+1)*M40+IF($B$6=0,0,$B$6*NORMSINV(0.000001+0.999998*RAND())))</f>
        <v/>
      </c>
      <c r="AR40" s="30">
        <f>IF(29&gt;$B$3,99,INDEX(Symboles!$G$6:$G$101,MOD(28+$C40+(-4),$B$3)+1)*E40+INDEX(Symboles!$G$6:$G$101,MOD(28+$C40+(-3),$B$3)+1)*F40+INDEX(Symboles!$G$6:$G$101,MOD(28+$C40+(-2),$B$3)+1)*G40+INDEX(Symboles!$G$6:$G$101,MOD(28+$C40+(-1),$B$3)+1)*H40+INDEX(Symboles!$G$6:$G$101,MOD(28+$C40+(0),$B$3)+1)*I40+INDEX(Symboles!$G$6:$G$101,MOD(28+$C40+(1),$B$3)+1)*J40+INDEX(Symboles!$G$6:$G$101,MOD(28+$C40+(2),$B$3)+1)*K40+INDEX(Symboles!$G$6:$G$101,MOD(28+$C40+(3),$B$3)+1)*L40+INDEX(Symboles!$G$6:$G$101,MOD(28+$C40+(4),$B$3)+1)*M40+IF($B$6=0,0,$B$6*NORMSINV(0.000001+0.999998*RAND())))</f>
        <v/>
      </c>
      <c r="AS40" s="30">
        <f>IF(30&gt;$B$3,99,INDEX(Symboles!$G$6:$G$101,MOD(29+$C40+(-4),$B$3)+1)*E40+INDEX(Symboles!$G$6:$G$101,MOD(29+$C40+(-3),$B$3)+1)*F40+INDEX(Symboles!$G$6:$G$101,MOD(29+$C40+(-2),$B$3)+1)*G40+INDEX(Symboles!$G$6:$G$101,MOD(29+$C40+(-1),$B$3)+1)*H40+INDEX(Symboles!$G$6:$G$101,MOD(29+$C40+(0),$B$3)+1)*I40+INDEX(Symboles!$G$6:$G$101,MOD(29+$C40+(1),$B$3)+1)*J40+INDEX(Symboles!$G$6:$G$101,MOD(29+$C40+(2),$B$3)+1)*K40+INDEX(Symboles!$G$6:$G$101,MOD(29+$C40+(3),$B$3)+1)*L40+INDEX(Symboles!$G$6:$G$101,MOD(29+$C40+(4),$B$3)+1)*M40+IF($B$6=0,0,$B$6*NORMSINV(0.000001+0.999998*RAND())))</f>
        <v/>
      </c>
      <c r="AT40" s="30">
        <f>IF(31&gt;$B$3,99,INDEX(Symboles!$G$6:$G$101,MOD(30+$C40+(-4),$B$3)+1)*E40+INDEX(Symboles!$G$6:$G$101,MOD(30+$C40+(-3),$B$3)+1)*F40+INDEX(Symboles!$G$6:$G$101,MOD(30+$C40+(-2),$B$3)+1)*G40+INDEX(Symboles!$G$6:$G$101,MOD(30+$C40+(-1),$B$3)+1)*H40+INDEX(Symboles!$G$6:$G$101,MOD(30+$C40+(0),$B$3)+1)*I40+INDEX(Symboles!$G$6:$G$101,MOD(30+$C40+(1),$B$3)+1)*J40+INDEX(Symboles!$G$6:$G$101,MOD(30+$C40+(2),$B$3)+1)*K40+INDEX(Symboles!$G$6:$G$101,MOD(30+$C40+(3),$B$3)+1)*L40+INDEX(Symboles!$G$6:$G$101,MOD(30+$C40+(4),$B$3)+1)*M40+IF($B$6=0,0,$B$6*NORMSINV(0.000001+0.999998*RAND())))</f>
        <v/>
      </c>
      <c r="AU40" s="30">
        <f>IF(32&gt;$B$3,99,INDEX(Symboles!$G$6:$G$101,MOD(31+$C40+(-4),$B$3)+1)*E40+INDEX(Symboles!$G$6:$G$101,MOD(31+$C40+(-3),$B$3)+1)*F40+INDEX(Symboles!$G$6:$G$101,MOD(31+$C40+(-2),$B$3)+1)*G40+INDEX(Symboles!$G$6:$G$101,MOD(31+$C40+(-1),$B$3)+1)*H40+INDEX(Symboles!$G$6:$G$101,MOD(31+$C40+(0),$B$3)+1)*I40+INDEX(Symboles!$G$6:$G$101,MOD(31+$C40+(1),$B$3)+1)*J40+INDEX(Symboles!$G$6:$G$101,MOD(31+$C40+(2),$B$3)+1)*K40+INDEX(Symboles!$G$6:$G$101,MOD(31+$C40+(3),$B$3)+1)*L40+INDEX(Symboles!$G$6:$G$101,MOD(31+$C40+(4),$B$3)+1)*M40+IF($B$6=0,0,$B$6*NORMSINV(0.000001+0.999998*RAND())))</f>
        <v/>
      </c>
      <c r="AV40" s="30">
        <f>IF(33&gt;$B$3,99,INDEX(Symboles!$G$6:$G$101,MOD(32+$C40+(-4),$B$3)+1)*E40+INDEX(Symboles!$G$6:$G$101,MOD(32+$C40+(-3),$B$3)+1)*F40+INDEX(Symboles!$G$6:$G$101,MOD(32+$C40+(-2),$B$3)+1)*G40+INDEX(Symboles!$G$6:$G$101,MOD(32+$C40+(-1),$B$3)+1)*H40+INDEX(Symboles!$G$6:$G$101,MOD(32+$C40+(0),$B$3)+1)*I40+INDEX(Symboles!$G$6:$G$101,MOD(32+$C40+(1),$B$3)+1)*J40+INDEX(Symboles!$G$6:$G$101,MOD(32+$C40+(2),$B$3)+1)*K40+INDEX(Symboles!$G$6:$G$101,MOD(32+$C40+(3),$B$3)+1)*L40+INDEX(Symboles!$G$6:$G$101,MOD(32+$C40+(4),$B$3)+1)*M40+IF($B$6=0,0,$B$6*NORMSINV(0.000001+0.999998*RAND())))</f>
        <v/>
      </c>
      <c r="AW40" s="30">
        <f>IF(34&gt;$B$3,99,INDEX(Symboles!$G$6:$G$101,MOD(33+$C40+(-4),$B$3)+1)*E40+INDEX(Symboles!$G$6:$G$101,MOD(33+$C40+(-3),$B$3)+1)*F40+INDEX(Symboles!$G$6:$G$101,MOD(33+$C40+(-2),$B$3)+1)*G40+INDEX(Symboles!$G$6:$G$101,MOD(33+$C40+(-1),$B$3)+1)*H40+INDEX(Symboles!$G$6:$G$101,MOD(33+$C40+(0),$B$3)+1)*I40+INDEX(Symboles!$G$6:$G$101,MOD(33+$C40+(1),$B$3)+1)*J40+INDEX(Symboles!$G$6:$G$101,MOD(33+$C40+(2),$B$3)+1)*K40+INDEX(Symboles!$G$6:$G$101,MOD(33+$C40+(3),$B$3)+1)*L40+INDEX(Symboles!$G$6:$G$101,MOD(33+$C40+(4),$B$3)+1)*M40+IF($B$6=0,0,$B$6*NORMSINV(0.000001+0.999998*RAND())))</f>
        <v/>
      </c>
      <c r="AX40" s="30">
        <f>IF(35&gt;$B$3,99,INDEX(Symboles!$G$6:$G$101,MOD(34+$C40+(-4),$B$3)+1)*E40+INDEX(Symboles!$G$6:$G$101,MOD(34+$C40+(-3),$B$3)+1)*F40+INDEX(Symboles!$G$6:$G$101,MOD(34+$C40+(-2),$B$3)+1)*G40+INDEX(Symboles!$G$6:$G$101,MOD(34+$C40+(-1),$B$3)+1)*H40+INDEX(Symboles!$G$6:$G$101,MOD(34+$C40+(0),$B$3)+1)*I40+INDEX(Symboles!$G$6:$G$101,MOD(34+$C40+(1),$B$3)+1)*J40+INDEX(Symboles!$G$6:$G$101,MOD(34+$C40+(2),$B$3)+1)*K40+INDEX(Symboles!$G$6:$G$101,MOD(34+$C40+(3),$B$3)+1)*L40+INDEX(Symboles!$G$6:$G$101,MOD(34+$C40+(4),$B$3)+1)*M40+IF($B$6=0,0,$B$6*NORMSINV(0.000001+0.999998*RAND())))</f>
        <v/>
      </c>
      <c r="AY40" s="30">
        <f>IF(36&gt;$B$3,99,INDEX(Symboles!$G$6:$G$101,MOD(35+$C40+(-4),$B$3)+1)*E40+INDEX(Symboles!$G$6:$G$101,MOD(35+$C40+(-3),$B$3)+1)*F40+INDEX(Symboles!$G$6:$G$101,MOD(35+$C40+(-2),$B$3)+1)*G40+INDEX(Symboles!$G$6:$G$101,MOD(35+$C40+(-1),$B$3)+1)*H40+INDEX(Symboles!$G$6:$G$101,MOD(35+$C40+(0),$B$3)+1)*I40+INDEX(Symboles!$G$6:$G$101,MOD(35+$C40+(1),$B$3)+1)*J40+INDEX(Symboles!$G$6:$G$101,MOD(35+$C40+(2),$B$3)+1)*K40+INDEX(Symboles!$G$6:$G$101,MOD(35+$C40+(3),$B$3)+1)*L40+INDEX(Symboles!$G$6:$G$101,MOD(35+$C40+(4),$B$3)+1)*M40+IF($B$6=0,0,$B$6*NORMSINV(0.000001+0.999998*RAND())))</f>
        <v/>
      </c>
      <c r="AZ40" s="30">
        <f>IF(37&gt;$B$3,99,INDEX(Symboles!$G$6:$G$101,MOD(36+$C40+(-4),$B$3)+1)*E40+INDEX(Symboles!$G$6:$G$101,MOD(36+$C40+(-3),$B$3)+1)*F40+INDEX(Symboles!$G$6:$G$101,MOD(36+$C40+(-2),$B$3)+1)*G40+INDEX(Symboles!$G$6:$G$101,MOD(36+$C40+(-1),$B$3)+1)*H40+INDEX(Symboles!$G$6:$G$101,MOD(36+$C40+(0),$B$3)+1)*I40+INDEX(Symboles!$G$6:$G$101,MOD(36+$C40+(1),$B$3)+1)*J40+INDEX(Symboles!$G$6:$G$101,MOD(36+$C40+(2),$B$3)+1)*K40+INDEX(Symboles!$G$6:$G$101,MOD(36+$C40+(3),$B$3)+1)*L40+INDEX(Symboles!$G$6:$G$101,MOD(36+$C40+(4),$B$3)+1)*M40+IF($B$6=0,0,$B$6*NORMSINV(0.000001+0.999998*RAND())))</f>
        <v/>
      </c>
      <c r="BA40" s="30">
        <f>IF(38&gt;$B$3,99,INDEX(Symboles!$G$6:$G$101,MOD(37+$C40+(-4),$B$3)+1)*E40+INDEX(Symboles!$G$6:$G$101,MOD(37+$C40+(-3),$B$3)+1)*F40+INDEX(Symboles!$G$6:$G$101,MOD(37+$C40+(-2),$B$3)+1)*G40+INDEX(Symboles!$G$6:$G$101,MOD(37+$C40+(-1),$B$3)+1)*H40+INDEX(Symboles!$G$6:$G$101,MOD(37+$C40+(0),$B$3)+1)*I40+INDEX(Symboles!$G$6:$G$101,MOD(37+$C40+(1),$B$3)+1)*J40+INDEX(Symboles!$G$6:$G$101,MOD(37+$C40+(2),$B$3)+1)*K40+INDEX(Symboles!$G$6:$G$101,MOD(37+$C40+(3),$B$3)+1)*L40+INDEX(Symboles!$G$6:$G$101,MOD(37+$C40+(4),$B$3)+1)*M40+IF($B$6=0,0,$B$6*NORMSINV(0.000001+0.999998*RAND())))</f>
        <v/>
      </c>
      <c r="BB40" s="30">
        <f>IF(39&gt;$B$3,99,INDEX(Symboles!$G$6:$G$101,MOD(38+$C40+(-4),$B$3)+1)*E40+INDEX(Symboles!$G$6:$G$101,MOD(38+$C40+(-3),$B$3)+1)*F40+INDEX(Symboles!$G$6:$G$101,MOD(38+$C40+(-2),$B$3)+1)*G40+INDEX(Symboles!$G$6:$G$101,MOD(38+$C40+(-1),$B$3)+1)*H40+INDEX(Symboles!$G$6:$G$101,MOD(38+$C40+(0),$B$3)+1)*I40+INDEX(Symboles!$G$6:$G$101,MOD(38+$C40+(1),$B$3)+1)*J40+INDEX(Symboles!$G$6:$G$101,MOD(38+$C40+(2),$B$3)+1)*K40+INDEX(Symboles!$G$6:$G$101,MOD(38+$C40+(3),$B$3)+1)*L40+INDEX(Symboles!$G$6:$G$101,MOD(38+$C40+(4),$B$3)+1)*M40+IF($B$6=0,0,$B$6*NORMSINV(0.000001+0.999998*RAND())))</f>
        <v/>
      </c>
      <c r="BC40" s="30">
        <f>IF(40&gt;$B$3,99,INDEX(Symboles!$G$6:$G$101,MOD(39+$C40+(-4),$B$3)+1)*E40+INDEX(Symboles!$G$6:$G$101,MOD(39+$C40+(-3),$B$3)+1)*F40+INDEX(Symboles!$G$6:$G$101,MOD(39+$C40+(-2),$B$3)+1)*G40+INDEX(Symboles!$G$6:$G$101,MOD(39+$C40+(-1),$B$3)+1)*H40+INDEX(Symboles!$G$6:$G$101,MOD(39+$C40+(0),$B$3)+1)*I40+INDEX(Symboles!$G$6:$G$101,MOD(39+$C40+(1),$B$3)+1)*J40+INDEX(Symboles!$G$6:$G$101,MOD(39+$C40+(2),$B$3)+1)*K40+INDEX(Symboles!$G$6:$G$101,MOD(39+$C40+(3),$B$3)+1)*L40+INDEX(Symboles!$G$6:$G$101,MOD(39+$C40+(4),$B$3)+1)*M40+IF($B$6=0,0,$B$6*NORMSINV(0.000001+0.999998*RAND())))</f>
        <v/>
      </c>
      <c r="BD40" s="30">
        <f>IF(41&gt;$B$3,99,INDEX(Symboles!$G$6:$G$101,MOD(40+$C40+(-4),$B$3)+1)*E40+INDEX(Symboles!$G$6:$G$101,MOD(40+$C40+(-3),$B$3)+1)*F40+INDEX(Symboles!$G$6:$G$101,MOD(40+$C40+(-2),$B$3)+1)*G40+INDEX(Symboles!$G$6:$G$101,MOD(40+$C40+(-1),$B$3)+1)*H40+INDEX(Symboles!$G$6:$G$101,MOD(40+$C40+(0),$B$3)+1)*I40+INDEX(Symboles!$G$6:$G$101,MOD(40+$C40+(1),$B$3)+1)*J40+INDEX(Symboles!$G$6:$G$101,MOD(40+$C40+(2),$B$3)+1)*K40+INDEX(Symboles!$G$6:$G$101,MOD(40+$C40+(3),$B$3)+1)*L40+INDEX(Symboles!$G$6:$G$101,MOD(40+$C40+(4),$B$3)+1)*M40+IF($B$6=0,0,$B$6*NORMSINV(0.000001+0.999998*RAND())))</f>
        <v/>
      </c>
      <c r="BE40" s="30">
        <f>IF(42&gt;$B$3,99,INDEX(Symboles!$G$6:$G$101,MOD(41+$C40+(-4),$B$3)+1)*E40+INDEX(Symboles!$G$6:$G$101,MOD(41+$C40+(-3),$B$3)+1)*F40+INDEX(Symboles!$G$6:$G$101,MOD(41+$C40+(-2),$B$3)+1)*G40+INDEX(Symboles!$G$6:$G$101,MOD(41+$C40+(-1),$B$3)+1)*H40+INDEX(Symboles!$G$6:$G$101,MOD(41+$C40+(0),$B$3)+1)*I40+INDEX(Symboles!$G$6:$G$101,MOD(41+$C40+(1),$B$3)+1)*J40+INDEX(Symboles!$G$6:$G$101,MOD(41+$C40+(2),$B$3)+1)*K40+INDEX(Symboles!$G$6:$G$101,MOD(41+$C40+(3),$B$3)+1)*L40+INDEX(Symboles!$G$6:$G$101,MOD(41+$C40+(4),$B$3)+1)*M40+IF($B$6=0,0,$B$6*NORMSINV(0.000001+0.999998*RAND())))</f>
        <v/>
      </c>
      <c r="BF40" s="30">
        <f>IF(43&gt;$B$3,99,INDEX(Symboles!$G$6:$G$101,MOD(42+$C40+(-4),$B$3)+1)*E40+INDEX(Symboles!$G$6:$G$101,MOD(42+$C40+(-3),$B$3)+1)*F40+INDEX(Symboles!$G$6:$G$101,MOD(42+$C40+(-2),$B$3)+1)*G40+INDEX(Symboles!$G$6:$G$101,MOD(42+$C40+(-1),$B$3)+1)*H40+INDEX(Symboles!$G$6:$G$101,MOD(42+$C40+(0),$B$3)+1)*I40+INDEX(Symboles!$G$6:$G$101,MOD(42+$C40+(1),$B$3)+1)*J40+INDEX(Symboles!$G$6:$G$101,MOD(42+$C40+(2),$B$3)+1)*K40+INDEX(Symboles!$G$6:$G$101,MOD(42+$C40+(3),$B$3)+1)*L40+INDEX(Symboles!$G$6:$G$101,MOD(42+$C40+(4),$B$3)+1)*M40+IF($B$6=0,0,$B$6*NORMSINV(0.000001+0.999998*RAND())))</f>
        <v/>
      </c>
      <c r="BG40" s="30">
        <f>IF(44&gt;$B$3,99,INDEX(Symboles!$G$6:$G$101,MOD(43+$C40+(-4),$B$3)+1)*E40+INDEX(Symboles!$G$6:$G$101,MOD(43+$C40+(-3),$B$3)+1)*F40+INDEX(Symboles!$G$6:$G$101,MOD(43+$C40+(-2),$B$3)+1)*G40+INDEX(Symboles!$G$6:$G$101,MOD(43+$C40+(-1),$B$3)+1)*H40+INDEX(Symboles!$G$6:$G$101,MOD(43+$C40+(0),$B$3)+1)*I40+INDEX(Symboles!$G$6:$G$101,MOD(43+$C40+(1),$B$3)+1)*J40+INDEX(Symboles!$G$6:$G$101,MOD(43+$C40+(2),$B$3)+1)*K40+INDEX(Symboles!$G$6:$G$101,MOD(43+$C40+(3),$B$3)+1)*L40+INDEX(Symboles!$G$6:$G$101,MOD(43+$C40+(4),$B$3)+1)*M40+IF($B$6=0,0,$B$6*NORMSINV(0.000001+0.999998*RAND())))</f>
        <v/>
      </c>
      <c r="BH40" s="30">
        <f>IF(45&gt;$B$3,99,INDEX(Symboles!$G$6:$G$101,MOD(44+$C40+(-4),$B$3)+1)*E40+INDEX(Symboles!$G$6:$G$101,MOD(44+$C40+(-3),$B$3)+1)*F40+INDEX(Symboles!$G$6:$G$101,MOD(44+$C40+(-2),$B$3)+1)*G40+INDEX(Symboles!$G$6:$G$101,MOD(44+$C40+(-1),$B$3)+1)*H40+INDEX(Symboles!$G$6:$G$101,MOD(44+$C40+(0),$B$3)+1)*I40+INDEX(Symboles!$G$6:$G$101,MOD(44+$C40+(1),$B$3)+1)*J40+INDEX(Symboles!$G$6:$G$101,MOD(44+$C40+(2),$B$3)+1)*K40+INDEX(Symboles!$G$6:$G$101,MOD(44+$C40+(3),$B$3)+1)*L40+INDEX(Symboles!$G$6:$G$101,MOD(44+$C40+(4),$B$3)+1)*M40+IF($B$6=0,0,$B$6*NORMSINV(0.000001+0.999998*RAND())))</f>
        <v/>
      </c>
      <c r="BI40" s="30">
        <f>IF(46&gt;$B$3,99,INDEX(Symboles!$G$6:$G$101,MOD(45+$C40+(-4),$B$3)+1)*E40+INDEX(Symboles!$G$6:$G$101,MOD(45+$C40+(-3),$B$3)+1)*F40+INDEX(Symboles!$G$6:$G$101,MOD(45+$C40+(-2),$B$3)+1)*G40+INDEX(Symboles!$G$6:$G$101,MOD(45+$C40+(-1),$B$3)+1)*H40+INDEX(Symboles!$G$6:$G$101,MOD(45+$C40+(0),$B$3)+1)*I40+INDEX(Symboles!$G$6:$G$101,MOD(45+$C40+(1),$B$3)+1)*J40+INDEX(Symboles!$G$6:$G$101,MOD(45+$C40+(2),$B$3)+1)*K40+INDEX(Symboles!$G$6:$G$101,MOD(45+$C40+(3),$B$3)+1)*L40+INDEX(Symboles!$G$6:$G$101,MOD(45+$C40+(4),$B$3)+1)*M40+IF($B$6=0,0,$B$6*NORMSINV(0.000001+0.999998*RAND())))</f>
        <v/>
      </c>
      <c r="BJ40" s="30">
        <f>IF(47&gt;$B$3,99,INDEX(Symboles!$G$6:$G$101,MOD(46+$C40+(-4),$B$3)+1)*E40+INDEX(Symboles!$G$6:$G$101,MOD(46+$C40+(-3),$B$3)+1)*F40+INDEX(Symboles!$G$6:$G$101,MOD(46+$C40+(-2),$B$3)+1)*G40+INDEX(Symboles!$G$6:$G$101,MOD(46+$C40+(-1),$B$3)+1)*H40+INDEX(Symboles!$G$6:$G$101,MOD(46+$C40+(0),$B$3)+1)*I40+INDEX(Symboles!$G$6:$G$101,MOD(46+$C40+(1),$B$3)+1)*J40+INDEX(Symboles!$G$6:$G$101,MOD(46+$C40+(2),$B$3)+1)*K40+INDEX(Symboles!$G$6:$G$101,MOD(46+$C40+(3),$B$3)+1)*L40+INDEX(Symboles!$G$6:$G$101,MOD(46+$C40+(4),$B$3)+1)*M40+IF($B$6=0,0,$B$6*NORMSINV(0.000001+0.999998*RAND())))</f>
        <v/>
      </c>
      <c r="BK40" s="30">
        <f>IF(48&gt;$B$3,99,INDEX(Symboles!$G$6:$G$101,MOD(47+$C40+(-4),$B$3)+1)*E40+INDEX(Symboles!$G$6:$G$101,MOD(47+$C40+(-3),$B$3)+1)*F40+INDEX(Symboles!$G$6:$G$101,MOD(47+$C40+(-2),$B$3)+1)*G40+INDEX(Symboles!$G$6:$G$101,MOD(47+$C40+(-1),$B$3)+1)*H40+INDEX(Symboles!$G$6:$G$101,MOD(47+$C40+(0),$B$3)+1)*I40+INDEX(Symboles!$G$6:$G$101,MOD(47+$C40+(1),$B$3)+1)*J40+INDEX(Symboles!$G$6:$G$101,MOD(47+$C40+(2),$B$3)+1)*K40+INDEX(Symboles!$G$6:$G$101,MOD(47+$C40+(3),$B$3)+1)*L40+INDEX(Symboles!$G$6:$G$101,MOD(47+$C40+(4),$B$3)+1)*M40+IF($B$6=0,0,$B$6*NORMSINV(0.000001+0.999998*RAND())))</f>
        <v/>
      </c>
      <c r="BL40" s="30">
        <f>IF(49&gt;$B$3,99,INDEX(Symboles!$G$6:$G$101,MOD(48+$C40+(-4),$B$3)+1)*E40+INDEX(Symboles!$G$6:$G$101,MOD(48+$C40+(-3),$B$3)+1)*F40+INDEX(Symboles!$G$6:$G$101,MOD(48+$C40+(-2),$B$3)+1)*G40+INDEX(Symboles!$G$6:$G$101,MOD(48+$C40+(-1),$B$3)+1)*H40+INDEX(Symboles!$G$6:$G$101,MOD(48+$C40+(0),$B$3)+1)*I40+INDEX(Symboles!$G$6:$G$101,MOD(48+$C40+(1),$B$3)+1)*J40+INDEX(Symboles!$G$6:$G$101,MOD(48+$C40+(2),$B$3)+1)*K40+INDEX(Symboles!$G$6:$G$101,MOD(48+$C40+(3),$B$3)+1)*L40+INDEX(Symboles!$G$6:$G$101,MOD(48+$C40+(4),$B$3)+1)*M40+IF($B$6=0,0,$B$6*NORMSINV(0.000001+0.999998*RAND())))</f>
        <v/>
      </c>
      <c r="BM40" s="30">
        <f>IF(50&gt;$B$3,99,INDEX(Symboles!$G$6:$G$101,MOD(49+$C40+(-4),$B$3)+1)*E40+INDEX(Symboles!$G$6:$G$101,MOD(49+$C40+(-3),$B$3)+1)*F40+INDEX(Symboles!$G$6:$G$101,MOD(49+$C40+(-2),$B$3)+1)*G40+INDEX(Symboles!$G$6:$G$101,MOD(49+$C40+(-1),$B$3)+1)*H40+INDEX(Symboles!$G$6:$G$101,MOD(49+$C40+(0),$B$3)+1)*I40+INDEX(Symboles!$G$6:$G$101,MOD(49+$C40+(1),$B$3)+1)*J40+INDEX(Symboles!$G$6:$G$101,MOD(49+$C40+(2),$B$3)+1)*K40+INDEX(Symboles!$G$6:$G$101,MOD(49+$C40+(3),$B$3)+1)*L40+INDEX(Symboles!$G$6:$G$101,MOD(49+$C40+(4),$B$3)+1)*M40+IF($B$6=0,0,$B$6*NORMSINV(0.000001+0.999998*RAND())))</f>
        <v/>
      </c>
      <c r="BN40" s="30">
        <f>IF(51&gt;$B$3,99,INDEX(Symboles!$G$6:$G$101,MOD(50+$C40+(-4),$B$3)+1)*E40+INDEX(Symboles!$G$6:$G$101,MOD(50+$C40+(-3),$B$3)+1)*F40+INDEX(Symboles!$G$6:$G$101,MOD(50+$C40+(-2),$B$3)+1)*G40+INDEX(Symboles!$G$6:$G$101,MOD(50+$C40+(-1),$B$3)+1)*H40+INDEX(Symboles!$G$6:$G$101,MOD(50+$C40+(0),$B$3)+1)*I40+INDEX(Symboles!$G$6:$G$101,MOD(50+$C40+(1),$B$3)+1)*J40+INDEX(Symboles!$G$6:$G$101,MOD(50+$C40+(2),$B$3)+1)*K40+INDEX(Symboles!$G$6:$G$101,MOD(50+$C40+(3),$B$3)+1)*L40+INDEX(Symboles!$G$6:$G$101,MOD(50+$C40+(4),$B$3)+1)*M40+IF($B$6=0,0,$B$6*NORMSINV(0.000001+0.999998*RAND())))</f>
        <v/>
      </c>
      <c r="BO40" s="30">
        <f>IF(52&gt;$B$3,99,INDEX(Symboles!$G$6:$G$101,MOD(51+$C40+(-4),$B$3)+1)*E40+INDEX(Symboles!$G$6:$G$101,MOD(51+$C40+(-3),$B$3)+1)*F40+INDEX(Symboles!$G$6:$G$101,MOD(51+$C40+(-2),$B$3)+1)*G40+INDEX(Symboles!$G$6:$G$101,MOD(51+$C40+(-1),$B$3)+1)*H40+INDEX(Symboles!$G$6:$G$101,MOD(51+$C40+(0),$B$3)+1)*I40+INDEX(Symboles!$G$6:$G$101,MOD(51+$C40+(1),$B$3)+1)*J40+INDEX(Symboles!$G$6:$G$101,MOD(51+$C40+(2),$B$3)+1)*K40+INDEX(Symboles!$G$6:$G$101,MOD(51+$C40+(3),$B$3)+1)*L40+INDEX(Symboles!$G$6:$G$101,MOD(51+$C40+(4),$B$3)+1)*M40+IF($B$6=0,0,$B$6*NORMSINV(0.000001+0.999998*RAND())))</f>
        <v/>
      </c>
      <c r="BP40" s="30">
        <f>IF(53&gt;$B$3,99,INDEX(Symboles!$G$6:$G$101,MOD(52+$C40+(-4),$B$3)+1)*E40+INDEX(Symboles!$G$6:$G$101,MOD(52+$C40+(-3),$B$3)+1)*F40+INDEX(Symboles!$G$6:$G$101,MOD(52+$C40+(-2),$B$3)+1)*G40+INDEX(Symboles!$G$6:$G$101,MOD(52+$C40+(-1),$B$3)+1)*H40+INDEX(Symboles!$G$6:$G$101,MOD(52+$C40+(0),$B$3)+1)*I40+INDEX(Symboles!$G$6:$G$101,MOD(52+$C40+(1),$B$3)+1)*J40+INDEX(Symboles!$G$6:$G$101,MOD(52+$C40+(2),$B$3)+1)*K40+INDEX(Symboles!$G$6:$G$101,MOD(52+$C40+(3),$B$3)+1)*L40+INDEX(Symboles!$G$6:$G$101,MOD(52+$C40+(4),$B$3)+1)*M40+IF($B$6=0,0,$B$6*NORMSINV(0.000001+0.999998*RAND())))</f>
        <v/>
      </c>
      <c r="BQ40" s="30">
        <f>IF(54&gt;$B$3,99,INDEX(Symboles!$G$6:$G$101,MOD(53+$C40+(-4),$B$3)+1)*E40+INDEX(Symboles!$G$6:$G$101,MOD(53+$C40+(-3),$B$3)+1)*F40+INDEX(Symboles!$G$6:$G$101,MOD(53+$C40+(-2),$B$3)+1)*G40+INDEX(Symboles!$G$6:$G$101,MOD(53+$C40+(-1),$B$3)+1)*H40+INDEX(Symboles!$G$6:$G$101,MOD(53+$C40+(0),$B$3)+1)*I40+INDEX(Symboles!$G$6:$G$101,MOD(53+$C40+(1),$B$3)+1)*J40+INDEX(Symboles!$G$6:$G$101,MOD(53+$C40+(2),$B$3)+1)*K40+INDEX(Symboles!$G$6:$G$101,MOD(53+$C40+(3),$B$3)+1)*L40+INDEX(Symboles!$G$6:$G$101,MOD(53+$C40+(4),$B$3)+1)*M40+IF($B$6=0,0,$B$6*NORMSINV(0.000001+0.999998*RAND())))</f>
        <v/>
      </c>
      <c r="BR40" s="30">
        <f>IF(55&gt;$B$3,99,INDEX(Symboles!$G$6:$G$101,MOD(54+$C40+(-4),$B$3)+1)*E40+INDEX(Symboles!$G$6:$G$101,MOD(54+$C40+(-3),$B$3)+1)*F40+INDEX(Symboles!$G$6:$G$101,MOD(54+$C40+(-2),$B$3)+1)*G40+INDEX(Symboles!$G$6:$G$101,MOD(54+$C40+(-1),$B$3)+1)*H40+INDEX(Symboles!$G$6:$G$101,MOD(54+$C40+(0),$B$3)+1)*I40+INDEX(Symboles!$G$6:$G$101,MOD(54+$C40+(1),$B$3)+1)*J40+INDEX(Symboles!$G$6:$G$101,MOD(54+$C40+(2),$B$3)+1)*K40+INDEX(Symboles!$G$6:$G$101,MOD(54+$C40+(3),$B$3)+1)*L40+INDEX(Symboles!$G$6:$G$101,MOD(54+$C40+(4),$B$3)+1)*M40+IF($B$6=0,0,$B$6*NORMSINV(0.000001+0.999998*RAND())))</f>
        <v/>
      </c>
      <c r="BS40" s="30">
        <f>IF(56&gt;$B$3,99,INDEX(Symboles!$G$6:$G$101,MOD(55+$C40+(-4),$B$3)+1)*E40+INDEX(Symboles!$G$6:$G$101,MOD(55+$C40+(-3),$B$3)+1)*F40+INDEX(Symboles!$G$6:$G$101,MOD(55+$C40+(-2),$B$3)+1)*G40+INDEX(Symboles!$G$6:$G$101,MOD(55+$C40+(-1),$B$3)+1)*H40+INDEX(Symboles!$G$6:$G$101,MOD(55+$C40+(0),$B$3)+1)*I40+INDEX(Symboles!$G$6:$G$101,MOD(55+$C40+(1),$B$3)+1)*J40+INDEX(Symboles!$G$6:$G$101,MOD(55+$C40+(2),$B$3)+1)*K40+INDEX(Symboles!$G$6:$G$101,MOD(55+$C40+(3),$B$3)+1)*L40+INDEX(Symboles!$G$6:$G$101,MOD(55+$C40+(4),$B$3)+1)*M40+IF($B$6=0,0,$B$6*NORMSINV(0.000001+0.999998*RAND())))</f>
        <v/>
      </c>
      <c r="BT40" s="30">
        <f>IF(57&gt;$B$3,99,INDEX(Symboles!$G$6:$G$101,MOD(56+$C40+(-4),$B$3)+1)*E40+INDEX(Symboles!$G$6:$G$101,MOD(56+$C40+(-3),$B$3)+1)*F40+INDEX(Symboles!$G$6:$G$101,MOD(56+$C40+(-2),$B$3)+1)*G40+INDEX(Symboles!$G$6:$G$101,MOD(56+$C40+(-1),$B$3)+1)*H40+INDEX(Symboles!$G$6:$G$101,MOD(56+$C40+(0),$B$3)+1)*I40+INDEX(Symboles!$G$6:$G$101,MOD(56+$C40+(1),$B$3)+1)*J40+INDEX(Symboles!$G$6:$G$101,MOD(56+$C40+(2),$B$3)+1)*K40+INDEX(Symboles!$G$6:$G$101,MOD(56+$C40+(3),$B$3)+1)*L40+INDEX(Symboles!$G$6:$G$101,MOD(56+$C40+(4),$B$3)+1)*M40+IF($B$6=0,0,$B$6*NORMSINV(0.000001+0.999998*RAND())))</f>
        <v/>
      </c>
      <c r="BU40" s="30">
        <f>IF(58&gt;$B$3,99,INDEX(Symboles!$G$6:$G$101,MOD(57+$C40+(-4),$B$3)+1)*E40+INDEX(Symboles!$G$6:$G$101,MOD(57+$C40+(-3),$B$3)+1)*F40+INDEX(Symboles!$G$6:$G$101,MOD(57+$C40+(-2),$B$3)+1)*G40+INDEX(Symboles!$G$6:$G$101,MOD(57+$C40+(-1),$B$3)+1)*H40+INDEX(Symboles!$G$6:$G$101,MOD(57+$C40+(0),$B$3)+1)*I40+INDEX(Symboles!$G$6:$G$101,MOD(57+$C40+(1),$B$3)+1)*J40+INDEX(Symboles!$G$6:$G$101,MOD(57+$C40+(2),$B$3)+1)*K40+INDEX(Symboles!$G$6:$G$101,MOD(57+$C40+(3),$B$3)+1)*L40+INDEX(Symboles!$G$6:$G$101,MOD(57+$C40+(4),$B$3)+1)*M40+IF($B$6=0,0,$B$6*NORMSINV(0.000001+0.999998*RAND())))</f>
        <v/>
      </c>
      <c r="BV40" s="30">
        <f>IF(59&gt;$B$3,99,INDEX(Symboles!$G$6:$G$101,MOD(58+$C40+(-4),$B$3)+1)*E40+INDEX(Symboles!$G$6:$G$101,MOD(58+$C40+(-3),$B$3)+1)*F40+INDEX(Symboles!$G$6:$G$101,MOD(58+$C40+(-2),$B$3)+1)*G40+INDEX(Symboles!$G$6:$G$101,MOD(58+$C40+(-1),$B$3)+1)*H40+INDEX(Symboles!$G$6:$G$101,MOD(58+$C40+(0),$B$3)+1)*I40+INDEX(Symboles!$G$6:$G$101,MOD(58+$C40+(1),$B$3)+1)*J40+INDEX(Symboles!$G$6:$G$101,MOD(58+$C40+(2),$B$3)+1)*K40+INDEX(Symboles!$G$6:$G$101,MOD(58+$C40+(3),$B$3)+1)*L40+INDEX(Symboles!$G$6:$G$101,MOD(58+$C40+(4),$B$3)+1)*M40+IF($B$6=0,0,$B$6*NORMSINV(0.000001+0.999998*RAND())))</f>
        <v/>
      </c>
      <c r="BW40" s="30">
        <f>IF(60&gt;$B$3,99,INDEX(Symboles!$G$6:$G$101,MOD(59+$C40+(-4),$B$3)+1)*E40+INDEX(Symboles!$G$6:$G$101,MOD(59+$C40+(-3),$B$3)+1)*F40+INDEX(Symboles!$G$6:$G$101,MOD(59+$C40+(-2),$B$3)+1)*G40+INDEX(Symboles!$G$6:$G$101,MOD(59+$C40+(-1),$B$3)+1)*H40+INDEX(Symboles!$G$6:$G$101,MOD(59+$C40+(0),$B$3)+1)*I40+INDEX(Symboles!$G$6:$G$101,MOD(59+$C40+(1),$B$3)+1)*J40+INDEX(Symboles!$G$6:$G$101,MOD(59+$C40+(2),$B$3)+1)*K40+INDEX(Symboles!$G$6:$G$101,MOD(59+$C40+(3),$B$3)+1)*L40+INDEX(Symboles!$G$6:$G$101,MOD(59+$C40+(4),$B$3)+1)*M40+IF($B$6=0,0,$B$6*NORMSINV(0.000001+0.999998*RAND())))</f>
        <v/>
      </c>
      <c r="BX40" s="30">
        <f>IF(61&gt;$B$3,99,INDEX(Symboles!$G$6:$G$101,MOD(60+$C40+(-4),$B$3)+1)*E40+INDEX(Symboles!$G$6:$G$101,MOD(60+$C40+(-3),$B$3)+1)*F40+INDEX(Symboles!$G$6:$G$101,MOD(60+$C40+(-2),$B$3)+1)*G40+INDEX(Symboles!$G$6:$G$101,MOD(60+$C40+(-1),$B$3)+1)*H40+INDEX(Symboles!$G$6:$G$101,MOD(60+$C40+(0),$B$3)+1)*I40+INDEX(Symboles!$G$6:$G$101,MOD(60+$C40+(1),$B$3)+1)*J40+INDEX(Symboles!$G$6:$G$101,MOD(60+$C40+(2),$B$3)+1)*K40+INDEX(Symboles!$G$6:$G$101,MOD(60+$C40+(3),$B$3)+1)*L40+INDEX(Symboles!$G$6:$G$101,MOD(60+$C40+(4),$B$3)+1)*M40+IF($B$6=0,0,$B$6*NORMSINV(0.000001+0.999998*RAND())))</f>
        <v/>
      </c>
      <c r="BY40" s="30">
        <f>IF(62&gt;$B$3,99,INDEX(Symboles!$G$6:$G$101,MOD(61+$C40+(-4),$B$3)+1)*E40+INDEX(Symboles!$G$6:$G$101,MOD(61+$C40+(-3),$B$3)+1)*F40+INDEX(Symboles!$G$6:$G$101,MOD(61+$C40+(-2),$B$3)+1)*G40+INDEX(Symboles!$G$6:$G$101,MOD(61+$C40+(-1),$B$3)+1)*H40+INDEX(Symboles!$G$6:$G$101,MOD(61+$C40+(0),$B$3)+1)*I40+INDEX(Symboles!$G$6:$G$101,MOD(61+$C40+(1),$B$3)+1)*J40+INDEX(Symboles!$G$6:$G$101,MOD(61+$C40+(2),$B$3)+1)*K40+INDEX(Symboles!$G$6:$G$101,MOD(61+$C40+(3),$B$3)+1)*L40+INDEX(Symboles!$G$6:$G$101,MOD(61+$C40+(4),$B$3)+1)*M40+IF($B$6=0,0,$B$6*NORMSINV(0.000001+0.999998*RAND())))</f>
        <v/>
      </c>
      <c r="BZ40" s="30">
        <f>IF(63&gt;$B$3,99,INDEX(Symboles!$G$6:$G$101,MOD(62+$C40+(-4),$B$3)+1)*E40+INDEX(Symboles!$G$6:$G$101,MOD(62+$C40+(-3),$B$3)+1)*F40+INDEX(Symboles!$G$6:$G$101,MOD(62+$C40+(-2),$B$3)+1)*G40+INDEX(Symboles!$G$6:$G$101,MOD(62+$C40+(-1),$B$3)+1)*H40+INDEX(Symboles!$G$6:$G$101,MOD(62+$C40+(0),$B$3)+1)*I40+INDEX(Symboles!$G$6:$G$101,MOD(62+$C40+(1),$B$3)+1)*J40+INDEX(Symboles!$G$6:$G$101,MOD(62+$C40+(2),$B$3)+1)*K40+INDEX(Symboles!$G$6:$G$101,MOD(62+$C40+(3),$B$3)+1)*L40+INDEX(Symboles!$G$6:$G$101,MOD(62+$C40+(4),$B$3)+1)*M40+IF($B$6=0,0,$B$6*NORMSINV(0.000001+0.999998*RAND())))</f>
        <v/>
      </c>
      <c r="CA40" s="30">
        <f>IF(64&gt;$B$3,99,INDEX(Symboles!$G$6:$G$101,MOD(63+$C40+(-4),$B$3)+1)*E40+INDEX(Symboles!$G$6:$G$101,MOD(63+$C40+(-3),$B$3)+1)*F40+INDEX(Symboles!$G$6:$G$101,MOD(63+$C40+(-2),$B$3)+1)*G40+INDEX(Symboles!$G$6:$G$101,MOD(63+$C40+(-1),$B$3)+1)*H40+INDEX(Symboles!$G$6:$G$101,MOD(63+$C40+(0),$B$3)+1)*I40+INDEX(Symboles!$G$6:$G$101,MOD(63+$C40+(1),$B$3)+1)*J40+INDEX(Symboles!$G$6:$G$101,MOD(63+$C40+(2),$B$3)+1)*K40+INDEX(Symboles!$G$6:$G$101,MOD(63+$C40+(3),$B$3)+1)*L40+INDEX(Symboles!$G$6:$G$101,MOD(63+$C40+(4),$B$3)+1)*M40+IF($B$6=0,0,$B$6*NORMSINV(0.000001+0.999998*RAND())))</f>
        <v/>
      </c>
      <c r="CB40" s="30">
        <f>IF(65&gt;$B$3,99,INDEX(Symboles!$G$6:$G$101,MOD(64+$C40+(-4),$B$3)+1)*E40+INDEX(Symboles!$G$6:$G$101,MOD(64+$C40+(-3),$B$3)+1)*F40+INDEX(Symboles!$G$6:$G$101,MOD(64+$C40+(-2),$B$3)+1)*G40+INDEX(Symboles!$G$6:$G$101,MOD(64+$C40+(-1),$B$3)+1)*H40+INDEX(Symboles!$G$6:$G$101,MOD(64+$C40+(0),$B$3)+1)*I40+INDEX(Symboles!$G$6:$G$101,MOD(64+$C40+(1),$B$3)+1)*J40+INDEX(Symboles!$G$6:$G$101,MOD(64+$C40+(2),$B$3)+1)*K40+INDEX(Symboles!$G$6:$G$101,MOD(64+$C40+(3),$B$3)+1)*L40+INDEX(Symboles!$G$6:$G$101,MOD(64+$C40+(4),$B$3)+1)*M40+IF($B$6=0,0,$B$6*NORMSINV(0.000001+0.999998*RAND())))</f>
        <v/>
      </c>
      <c r="CC40" s="30">
        <f>IF(66&gt;$B$3,99,INDEX(Symboles!$G$6:$G$101,MOD(65+$C40+(-4),$B$3)+1)*E40+INDEX(Symboles!$G$6:$G$101,MOD(65+$C40+(-3),$B$3)+1)*F40+INDEX(Symboles!$G$6:$G$101,MOD(65+$C40+(-2),$B$3)+1)*G40+INDEX(Symboles!$G$6:$G$101,MOD(65+$C40+(-1),$B$3)+1)*H40+INDEX(Symboles!$G$6:$G$101,MOD(65+$C40+(0),$B$3)+1)*I40+INDEX(Symboles!$G$6:$G$101,MOD(65+$C40+(1),$B$3)+1)*J40+INDEX(Symboles!$G$6:$G$101,MOD(65+$C40+(2),$B$3)+1)*K40+INDEX(Symboles!$G$6:$G$101,MOD(65+$C40+(3),$B$3)+1)*L40+INDEX(Symboles!$G$6:$G$101,MOD(65+$C40+(4),$B$3)+1)*M40+IF($B$6=0,0,$B$6*NORMSINV(0.000001+0.999998*RAND())))</f>
        <v/>
      </c>
      <c r="CD40" s="30">
        <f>IF(67&gt;$B$3,99,INDEX(Symboles!$G$6:$G$101,MOD(66+$C40+(-4),$B$3)+1)*E40+INDEX(Symboles!$G$6:$G$101,MOD(66+$C40+(-3),$B$3)+1)*F40+INDEX(Symboles!$G$6:$G$101,MOD(66+$C40+(-2),$B$3)+1)*G40+INDEX(Symboles!$G$6:$G$101,MOD(66+$C40+(-1),$B$3)+1)*H40+INDEX(Symboles!$G$6:$G$101,MOD(66+$C40+(0),$B$3)+1)*I40+INDEX(Symboles!$G$6:$G$101,MOD(66+$C40+(1),$B$3)+1)*J40+INDEX(Symboles!$G$6:$G$101,MOD(66+$C40+(2),$B$3)+1)*K40+INDEX(Symboles!$G$6:$G$101,MOD(66+$C40+(3),$B$3)+1)*L40+INDEX(Symboles!$G$6:$G$101,MOD(66+$C40+(4),$B$3)+1)*M40+IF($B$6=0,0,$B$6*NORMSINV(0.000001+0.999998*RAND())))</f>
        <v/>
      </c>
      <c r="CE40" s="30">
        <f>IF(68&gt;$B$3,99,INDEX(Symboles!$G$6:$G$101,MOD(67+$C40+(-4),$B$3)+1)*E40+INDEX(Symboles!$G$6:$G$101,MOD(67+$C40+(-3),$B$3)+1)*F40+INDEX(Symboles!$G$6:$G$101,MOD(67+$C40+(-2),$B$3)+1)*G40+INDEX(Symboles!$G$6:$G$101,MOD(67+$C40+(-1),$B$3)+1)*H40+INDEX(Symboles!$G$6:$G$101,MOD(67+$C40+(0),$B$3)+1)*I40+INDEX(Symboles!$G$6:$G$101,MOD(67+$C40+(1),$B$3)+1)*J40+INDEX(Symboles!$G$6:$G$101,MOD(67+$C40+(2),$B$3)+1)*K40+INDEX(Symboles!$G$6:$G$101,MOD(67+$C40+(3),$B$3)+1)*L40+INDEX(Symboles!$G$6:$G$101,MOD(67+$C40+(4),$B$3)+1)*M40+IF($B$6=0,0,$B$6*NORMSINV(0.000001+0.999998*RAND())))</f>
        <v/>
      </c>
      <c r="CF40" s="30">
        <f>IF(69&gt;$B$3,99,INDEX(Symboles!$G$6:$G$101,MOD(68+$C40+(-4),$B$3)+1)*E40+INDEX(Symboles!$G$6:$G$101,MOD(68+$C40+(-3),$B$3)+1)*F40+INDEX(Symboles!$G$6:$G$101,MOD(68+$C40+(-2),$B$3)+1)*G40+INDEX(Symboles!$G$6:$G$101,MOD(68+$C40+(-1),$B$3)+1)*H40+INDEX(Symboles!$G$6:$G$101,MOD(68+$C40+(0),$B$3)+1)*I40+INDEX(Symboles!$G$6:$G$101,MOD(68+$C40+(1),$B$3)+1)*J40+INDEX(Symboles!$G$6:$G$101,MOD(68+$C40+(2),$B$3)+1)*K40+INDEX(Symboles!$G$6:$G$101,MOD(68+$C40+(3),$B$3)+1)*L40+INDEX(Symboles!$G$6:$G$101,MOD(68+$C40+(4),$B$3)+1)*M40+IF($B$6=0,0,$B$6*NORMSINV(0.000001+0.999998*RAND())))</f>
        <v/>
      </c>
      <c r="CG40" s="30">
        <f>IF(70&gt;$B$3,99,INDEX(Symboles!$G$6:$G$101,MOD(69+$C40+(-4),$B$3)+1)*E40+INDEX(Symboles!$G$6:$G$101,MOD(69+$C40+(-3),$B$3)+1)*F40+INDEX(Symboles!$G$6:$G$101,MOD(69+$C40+(-2),$B$3)+1)*G40+INDEX(Symboles!$G$6:$G$101,MOD(69+$C40+(-1),$B$3)+1)*H40+INDEX(Symboles!$G$6:$G$101,MOD(69+$C40+(0),$B$3)+1)*I40+INDEX(Symboles!$G$6:$G$101,MOD(69+$C40+(1),$B$3)+1)*J40+INDEX(Symboles!$G$6:$G$101,MOD(69+$C40+(2),$B$3)+1)*K40+INDEX(Symboles!$G$6:$G$101,MOD(69+$C40+(3),$B$3)+1)*L40+INDEX(Symboles!$G$6:$G$101,MOD(69+$C40+(4),$B$3)+1)*M40+IF($B$6=0,0,$B$6*NORMSINV(0.000001+0.999998*RAND())))</f>
        <v/>
      </c>
      <c r="CH40" s="30">
        <f>IF(71&gt;$B$3,99,INDEX(Symboles!$G$6:$G$101,MOD(70+$C40+(-4),$B$3)+1)*E40+INDEX(Symboles!$G$6:$G$101,MOD(70+$C40+(-3),$B$3)+1)*F40+INDEX(Symboles!$G$6:$G$101,MOD(70+$C40+(-2),$B$3)+1)*G40+INDEX(Symboles!$G$6:$G$101,MOD(70+$C40+(-1),$B$3)+1)*H40+INDEX(Symboles!$G$6:$G$101,MOD(70+$C40+(0),$B$3)+1)*I40+INDEX(Symboles!$G$6:$G$101,MOD(70+$C40+(1),$B$3)+1)*J40+INDEX(Symboles!$G$6:$G$101,MOD(70+$C40+(2),$B$3)+1)*K40+INDEX(Symboles!$G$6:$G$101,MOD(70+$C40+(3),$B$3)+1)*L40+INDEX(Symboles!$G$6:$G$101,MOD(70+$C40+(4),$B$3)+1)*M40+IF($B$6=0,0,$B$6*NORMSINV(0.000001+0.999998*RAND())))</f>
        <v/>
      </c>
      <c r="CI40" s="30">
        <f>IF(72&gt;$B$3,99,INDEX(Symboles!$G$6:$G$101,MOD(71+$C40+(-4),$B$3)+1)*E40+INDEX(Symboles!$G$6:$G$101,MOD(71+$C40+(-3),$B$3)+1)*F40+INDEX(Symboles!$G$6:$G$101,MOD(71+$C40+(-2),$B$3)+1)*G40+INDEX(Symboles!$G$6:$G$101,MOD(71+$C40+(-1),$B$3)+1)*H40+INDEX(Symboles!$G$6:$G$101,MOD(71+$C40+(0),$B$3)+1)*I40+INDEX(Symboles!$G$6:$G$101,MOD(71+$C40+(1),$B$3)+1)*J40+INDEX(Symboles!$G$6:$G$101,MOD(71+$C40+(2),$B$3)+1)*K40+INDEX(Symboles!$G$6:$G$101,MOD(71+$C40+(3),$B$3)+1)*L40+INDEX(Symboles!$G$6:$G$101,MOD(71+$C40+(4),$B$3)+1)*M40+IF($B$6=0,0,$B$6*NORMSINV(0.000001+0.999998*RAND())))</f>
        <v/>
      </c>
      <c r="CJ40" s="30">
        <f>IF(73&gt;$B$3,99,INDEX(Symboles!$G$6:$G$101,MOD(72+$C40+(-4),$B$3)+1)*E40+INDEX(Symboles!$G$6:$G$101,MOD(72+$C40+(-3),$B$3)+1)*F40+INDEX(Symboles!$G$6:$G$101,MOD(72+$C40+(-2),$B$3)+1)*G40+INDEX(Symboles!$G$6:$G$101,MOD(72+$C40+(-1),$B$3)+1)*H40+INDEX(Symboles!$G$6:$G$101,MOD(72+$C40+(0),$B$3)+1)*I40+INDEX(Symboles!$G$6:$G$101,MOD(72+$C40+(1),$B$3)+1)*J40+INDEX(Symboles!$G$6:$G$101,MOD(72+$C40+(2),$B$3)+1)*K40+INDEX(Symboles!$G$6:$G$101,MOD(72+$C40+(3),$B$3)+1)*L40+INDEX(Symboles!$G$6:$G$101,MOD(72+$C40+(4),$B$3)+1)*M40+IF($B$6=0,0,$B$6*NORMSINV(0.000001+0.999998*RAND())))</f>
        <v/>
      </c>
      <c r="CK40" s="30">
        <f>IF(74&gt;$B$3,99,INDEX(Symboles!$G$6:$G$101,MOD(73+$C40+(-4),$B$3)+1)*E40+INDEX(Symboles!$G$6:$G$101,MOD(73+$C40+(-3),$B$3)+1)*F40+INDEX(Symboles!$G$6:$G$101,MOD(73+$C40+(-2),$B$3)+1)*G40+INDEX(Symboles!$G$6:$G$101,MOD(73+$C40+(-1),$B$3)+1)*H40+INDEX(Symboles!$G$6:$G$101,MOD(73+$C40+(0),$B$3)+1)*I40+INDEX(Symboles!$G$6:$G$101,MOD(73+$C40+(1),$B$3)+1)*J40+INDEX(Symboles!$G$6:$G$101,MOD(73+$C40+(2),$B$3)+1)*K40+INDEX(Symboles!$G$6:$G$101,MOD(73+$C40+(3),$B$3)+1)*L40+INDEX(Symboles!$G$6:$G$101,MOD(73+$C40+(4),$B$3)+1)*M40+IF($B$6=0,0,$B$6*NORMSINV(0.000001+0.999998*RAND())))</f>
        <v/>
      </c>
      <c r="CL40" s="30">
        <f>IF(75&gt;$B$3,99,INDEX(Symboles!$G$6:$G$101,MOD(74+$C40+(-4),$B$3)+1)*E40+INDEX(Symboles!$G$6:$G$101,MOD(74+$C40+(-3),$B$3)+1)*F40+INDEX(Symboles!$G$6:$G$101,MOD(74+$C40+(-2),$B$3)+1)*G40+INDEX(Symboles!$G$6:$G$101,MOD(74+$C40+(-1),$B$3)+1)*H40+INDEX(Symboles!$G$6:$G$101,MOD(74+$C40+(0),$B$3)+1)*I40+INDEX(Symboles!$G$6:$G$101,MOD(74+$C40+(1),$B$3)+1)*J40+INDEX(Symboles!$G$6:$G$101,MOD(74+$C40+(2),$B$3)+1)*K40+INDEX(Symboles!$G$6:$G$101,MOD(74+$C40+(3),$B$3)+1)*L40+INDEX(Symboles!$G$6:$G$101,MOD(74+$C40+(4),$B$3)+1)*M40+IF($B$6=0,0,$B$6*NORMSINV(0.000001+0.999998*RAND())))</f>
        <v/>
      </c>
      <c r="CM40" s="30">
        <f>IF(76&gt;$B$3,99,INDEX(Symboles!$G$6:$G$101,MOD(75+$C40+(-4),$B$3)+1)*E40+INDEX(Symboles!$G$6:$G$101,MOD(75+$C40+(-3),$B$3)+1)*F40+INDEX(Symboles!$G$6:$G$101,MOD(75+$C40+(-2),$B$3)+1)*G40+INDEX(Symboles!$G$6:$G$101,MOD(75+$C40+(-1),$B$3)+1)*H40+INDEX(Symboles!$G$6:$G$101,MOD(75+$C40+(0),$B$3)+1)*I40+INDEX(Symboles!$G$6:$G$101,MOD(75+$C40+(1),$B$3)+1)*J40+INDEX(Symboles!$G$6:$G$101,MOD(75+$C40+(2),$B$3)+1)*K40+INDEX(Symboles!$G$6:$G$101,MOD(75+$C40+(3),$B$3)+1)*L40+INDEX(Symboles!$G$6:$G$101,MOD(75+$C40+(4),$B$3)+1)*M40+IF($B$6=0,0,$B$6*NORMSINV(0.000001+0.999998*RAND())))</f>
        <v/>
      </c>
      <c r="CN40" s="30">
        <f>IF(77&gt;$B$3,99,INDEX(Symboles!$G$6:$G$101,MOD(76+$C40+(-4),$B$3)+1)*E40+INDEX(Symboles!$G$6:$G$101,MOD(76+$C40+(-3),$B$3)+1)*F40+INDEX(Symboles!$G$6:$G$101,MOD(76+$C40+(-2),$B$3)+1)*G40+INDEX(Symboles!$G$6:$G$101,MOD(76+$C40+(-1),$B$3)+1)*H40+INDEX(Symboles!$G$6:$G$101,MOD(76+$C40+(0),$B$3)+1)*I40+INDEX(Symboles!$G$6:$G$101,MOD(76+$C40+(1),$B$3)+1)*J40+INDEX(Symboles!$G$6:$G$101,MOD(76+$C40+(2),$B$3)+1)*K40+INDEX(Symboles!$G$6:$G$101,MOD(76+$C40+(3),$B$3)+1)*L40+INDEX(Symboles!$G$6:$G$101,MOD(76+$C40+(4),$B$3)+1)*M40+IF($B$6=0,0,$B$6*NORMSINV(0.000001+0.999998*RAND())))</f>
        <v/>
      </c>
      <c r="CO40" s="30">
        <f>IF(78&gt;$B$3,99,INDEX(Symboles!$G$6:$G$101,MOD(77+$C40+(-4),$B$3)+1)*E40+INDEX(Symboles!$G$6:$G$101,MOD(77+$C40+(-3),$B$3)+1)*F40+INDEX(Symboles!$G$6:$G$101,MOD(77+$C40+(-2),$B$3)+1)*G40+INDEX(Symboles!$G$6:$G$101,MOD(77+$C40+(-1),$B$3)+1)*H40+INDEX(Symboles!$G$6:$G$101,MOD(77+$C40+(0),$B$3)+1)*I40+INDEX(Symboles!$G$6:$G$101,MOD(77+$C40+(1),$B$3)+1)*J40+INDEX(Symboles!$G$6:$G$101,MOD(77+$C40+(2),$B$3)+1)*K40+INDEX(Symboles!$G$6:$G$101,MOD(77+$C40+(3),$B$3)+1)*L40+INDEX(Symboles!$G$6:$G$101,MOD(77+$C40+(4),$B$3)+1)*M40+IF($B$6=0,0,$B$6*NORMSINV(0.000001+0.999998*RAND())))</f>
        <v/>
      </c>
      <c r="CP40" s="30">
        <f>IF(79&gt;$B$3,99,INDEX(Symboles!$G$6:$G$101,MOD(78+$C40+(-4),$B$3)+1)*E40+INDEX(Symboles!$G$6:$G$101,MOD(78+$C40+(-3),$B$3)+1)*F40+INDEX(Symboles!$G$6:$G$101,MOD(78+$C40+(-2),$B$3)+1)*G40+INDEX(Symboles!$G$6:$G$101,MOD(78+$C40+(-1),$B$3)+1)*H40+INDEX(Symboles!$G$6:$G$101,MOD(78+$C40+(0),$B$3)+1)*I40+INDEX(Symboles!$G$6:$G$101,MOD(78+$C40+(1),$B$3)+1)*J40+INDEX(Symboles!$G$6:$G$101,MOD(78+$C40+(2),$B$3)+1)*K40+INDEX(Symboles!$G$6:$G$101,MOD(78+$C40+(3),$B$3)+1)*L40+INDEX(Symboles!$G$6:$G$101,MOD(78+$C40+(4),$B$3)+1)*M40+IF($B$6=0,0,$B$6*NORMSINV(0.000001+0.999998*RAND())))</f>
        <v/>
      </c>
      <c r="CQ40" s="30">
        <f>IF(80&gt;$B$3,99,INDEX(Symboles!$G$6:$G$101,MOD(79+$C40+(-4),$B$3)+1)*E40+INDEX(Symboles!$G$6:$G$101,MOD(79+$C40+(-3),$B$3)+1)*F40+INDEX(Symboles!$G$6:$G$101,MOD(79+$C40+(-2),$B$3)+1)*G40+INDEX(Symboles!$G$6:$G$101,MOD(79+$C40+(-1),$B$3)+1)*H40+INDEX(Symboles!$G$6:$G$101,MOD(79+$C40+(0),$B$3)+1)*I40+INDEX(Symboles!$G$6:$G$101,MOD(79+$C40+(1),$B$3)+1)*J40+INDEX(Symboles!$G$6:$G$101,MOD(79+$C40+(2),$B$3)+1)*K40+INDEX(Symboles!$G$6:$G$101,MOD(79+$C40+(3),$B$3)+1)*L40+INDEX(Symboles!$G$6:$G$101,MOD(79+$C40+(4),$B$3)+1)*M40+IF($B$6=0,0,$B$6*NORMSINV(0.000001+0.999998*RAND())))</f>
        <v/>
      </c>
      <c r="CR40" s="30">
        <f>IF(81&gt;$B$3,99,INDEX(Symboles!$G$6:$G$101,MOD(80+$C40+(-4),$B$3)+1)*E40+INDEX(Symboles!$G$6:$G$101,MOD(80+$C40+(-3),$B$3)+1)*F40+INDEX(Symboles!$G$6:$G$101,MOD(80+$C40+(-2),$B$3)+1)*G40+INDEX(Symboles!$G$6:$G$101,MOD(80+$C40+(-1),$B$3)+1)*H40+INDEX(Symboles!$G$6:$G$101,MOD(80+$C40+(0),$B$3)+1)*I40+INDEX(Symboles!$G$6:$G$101,MOD(80+$C40+(1),$B$3)+1)*J40+INDEX(Symboles!$G$6:$G$101,MOD(80+$C40+(2),$B$3)+1)*K40+INDEX(Symboles!$G$6:$G$101,MOD(80+$C40+(3),$B$3)+1)*L40+INDEX(Symboles!$G$6:$G$101,MOD(80+$C40+(4),$B$3)+1)*M40+IF($B$6=0,0,$B$6*NORMSINV(0.000001+0.999998*RAND())))</f>
        <v/>
      </c>
      <c r="CS40" s="30">
        <f>IF(82&gt;$B$3,99,INDEX(Symboles!$G$6:$G$101,MOD(81+$C40+(-4),$B$3)+1)*E40+INDEX(Symboles!$G$6:$G$101,MOD(81+$C40+(-3),$B$3)+1)*F40+INDEX(Symboles!$G$6:$G$101,MOD(81+$C40+(-2),$B$3)+1)*G40+INDEX(Symboles!$G$6:$G$101,MOD(81+$C40+(-1),$B$3)+1)*H40+INDEX(Symboles!$G$6:$G$101,MOD(81+$C40+(0),$B$3)+1)*I40+INDEX(Symboles!$G$6:$G$101,MOD(81+$C40+(1),$B$3)+1)*J40+INDEX(Symboles!$G$6:$G$101,MOD(81+$C40+(2),$B$3)+1)*K40+INDEX(Symboles!$G$6:$G$101,MOD(81+$C40+(3),$B$3)+1)*L40+INDEX(Symboles!$G$6:$G$101,MOD(81+$C40+(4),$B$3)+1)*M40+IF($B$6=0,0,$B$6*NORMSINV(0.000001+0.999998*RAND())))</f>
        <v/>
      </c>
      <c r="CT40" s="30">
        <f>IF(83&gt;$B$3,99,INDEX(Symboles!$G$6:$G$101,MOD(82+$C40+(-4),$B$3)+1)*E40+INDEX(Symboles!$G$6:$G$101,MOD(82+$C40+(-3),$B$3)+1)*F40+INDEX(Symboles!$G$6:$G$101,MOD(82+$C40+(-2),$B$3)+1)*G40+INDEX(Symboles!$G$6:$G$101,MOD(82+$C40+(-1),$B$3)+1)*H40+INDEX(Symboles!$G$6:$G$101,MOD(82+$C40+(0),$B$3)+1)*I40+INDEX(Symboles!$G$6:$G$101,MOD(82+$C40+(1),$B$3)+1)*J40+INDEX(Symboles!$G$6:$G$101,MOD(82+$C40+(2),$B$3)+1)*K40+INDEX(Symboles!$G$6:$G$101,MOD(82+$C40+(3),$B$3)+1)*L40+INDEX(Symboles!$G$6:$G$101,MOD(82+$C40+(4),$B$3)+1)*M40+IF($B$6=0,0,$B$6*NORMSINV(0.000001+0.999998*RAND())))</f>
        <v/>
      </c>
      <c r="CU40" s="30">
        <f>IF(84&gt;$B$3,99,INDEX(Symboles!$G$6:$G$101,MOD(83+$C40+(-4),$B$3)+1)*E40+INDEX(Symboles!$G$6:$G$101,MOD(83+$C40+(-3),$B$3)+1)*F40+INDEX(Symboles!$G$6:$G$101,MOD(83+$C40+(-2),$B$3)+1)*G40+INDEX(Symboles!$G$6:$G$101,MOD(83+$C40+(-1),$B$3)+1)*H40+INDEX(Symboles!$G$6:$G$101,MOD(83+$C40+(0),$B$3)+1)*I40+INDEX(Symboles!$G$6:$G$101,MOD(83+$C40+(1),$B$3)+1)*J40+INDEX(Symboles!$G$6:$G$101,MOD(83+$C40+(2),$B$3)+1)*K40+INDEX(Symboles!$G$6:$G$101,MOD(83+$C40+(3),$B$3)+1)*L40+INDEX(Symboles!$G$6:$G$101,MOD(83+$C40+(4),$B$3)+1)*M40+IF($B$6=0,0,$B$6*NORMSINV(0.000001+0.999998*RAND())))</f>
        <v/>
      </c>
      <c r="CV40" s="30">
        <f>IF(85&gt;$B$3,99,INDEX(Symboles!$G$6:$G$101,MOD(84+$C40+(-4),$B$3)+1)*E40+INDEX(Symboles!$G$6:$G$101,MOD(84+$C40+(-3),$B$3)+1)*F40+INDEX(Symboles!$G$6:$G$101,MOD(84+$C40+(-2),$B$3)+1)*G40+INDEX(Symboles!$G$6:$G$101,MOD(84+$C40+(-1),$B$3)+1)*H40+INDEX(Symboles!$G$6:$G$101,MOD(84+$C40+(0),$B$3)+1)*I40+INDEX(Symboles!$G$6:$G$101,MOD(84+$C40+(1),$B$3)+1)*J40+INDEX(Symboles!$G$6:$G$101,MOD(84+$C40+(2),$B$3)+1)*K40+INDEX(Symboles!$G$6:$G$101,MOD(84+$C40+(3),$B$3)+1)*L40+INDEX(Symboles!$G$6:$G$101,MOD(84+$C40+(4),$B$3)+1)*M40+IF($B$6=0,0,$B$6*NORMSINV(0.000001+0.999998*RAND())))</f>
        <v/>
      </c>
      <c r="CW40" s="30">
        <f>IF(86&gt;$B$3,99,INDEX(Symboles!$G$6:$G$101,MOD(85+$C40+(-4),$B$3)+1)*E40+INDEX(Symboles!$G$6:$G$101,MOD(85+$C40+(-3),$B$3)+1)*F40+INDEX(Symboles!$G$6:$G$101,MOD(85+$C40+(-2),$B$3)+1)*G40+INDEX(Symboles!$G$6:$G$101,MOD(85+$C40+(-1),$B$3)+1)*H40+INDEX(Symboles!$G$6:$G$101,MOD(85+$C40+(0),$B$3)+1)*I40+INDEX(Symboles!$G$6:$G$101,MOD(85+$C40+(1),$B$3)+1)*J40+INDEX(Symboles!$G$6:$G$101,MOD(85+$C40+(2),$B$3)+1)*K40+INDEX(Symboles!$G$6:$G$101,MOD(85+$C40+(3),$B$3)+1)*L40+INDEX(Symboles!$G$6:$G$101,MOD(85+$C40+(4),$B$3)+1)*M40+IF($B$6=0,0,$B$6*NORMSINV(0.000001+0.999998*RAND())))</f>
        <v/>
      </c>
      <c r="CX40" s="30">
        <f>IF(87&gt;$B$3,99,INDEX(Symboles!$G$6:$G$101,MOD(86+$C40+(-4),$B$3)+1)*E40+INDEX(Symboles!$G$6:$G$101,MOD(86+$C40+(-3),$B$3)+1)*F40+INDEX(Symboles!$G$6:$G$101,MOD(86+$C40+(-2),$B$3)+1)*G40+INDEX(Symboles!$G$6:$G$101,MOD(86+$C40+(-1),$B$3)+1)*H40+INDEX(Symboles!$G$6:$G$101,MOD(86+$C40+(0),$B$3)+1)*I40+INDEX(Symboles!$G$6:$G$101,MOD(86+$C40+(1),$B$3)+1)*J40+INDEX(Symboles!$G$6:$G$101,MOD(86+$C40+(2),$B$3)+1)*K40+INDEX(Symboles!$G$6:$G$101,MOD(86+$C40+(3),$B$3)+1)*L40+INDEX(Symboles!$G$6:$G$101,MOD(86+$C40+(4),$B$3)+1)*M40+IF($B$6=0,0,$B$6*NORMSINV(0.000001+0.999998*RAND())))</f>
        <v/>
      </c>
      <c r="CY40" s="30">
        <f>IF(88&gt;$B$3,99,INDEX(Symboles!$G$6:$G$101,MOD(87+$C40+(-4),$B$3)+1)*E40+INDEX(Symboles!$G$6:$G$101,MOD(87+$C40+(-3),$B$3)+1)*F40+INDEX(Symboles!$G$6:$G$101,MOD(87+$C40+(-2),$B$3)+1)*G40+INDEX(Symboles!$G$6:$G$101,MOD(87+$C40+(-1),$B$3)+1)*H40+INDEX(Symboles!$G$6:$G$101,MOD(87+$C40+(0),$B$3)+1)*I40+INDEX(Symboles!$G$6:$G$101,MOD(87+$C40+(1),$B$3)+1)*J40+INDEX(Symboles!$G$6:$G$101,MOD(87+$C40+(2),$B$3)+1)*K40+INDEX(Symboles!$G$6:$G$101,MOD(87+$C40+(3),$B$3)+1)*L40+INDEX(Symboles!$G$6:$G$101,MOD(87+$C40+(4),$B$3)+1)*M40+IF($B$6=0,0,$B$6*NORMSINV(0.000001+0.999998*RAND())))</f>
        <v/>
      </c>
      <c r="CZ40" s="30">
        <f>IF(89&gt;$B$3,99,INDEX(Symboles!$G$6:$G$101,MOD(88+$C40+(-4),$B$3)+1)*E40+INDEX(Symboles!$G$6:$G$101,MOD(88+$C40+(-3),$B$3)+1)*F40+INDEX(Symboles!$G$6:$G$101,MOD(88+$C40+(-2),$B$3)+1)*G40+INDEX(Symboles!$G$6:$G$101,MOD(88+$C40+(-1),$B$3)+1)*H40+INDEX(Symboles!$G$6:$G$101,MOD(88+$C40+(0),$B$3)+1)*I40+INDEX(Symboles!$G$6:$G$101,MOD(88+$C40+(1),$B$3)+1)*J40+INDEX(Symboles!$G$6:$G$101,MOD(88+$C40+(2),$B$3)+1)*K40+INDEX(Symboles!$G$6:$G$101,MOD(88+$C40+(3),$B$3)+1)*L40+INDEX(Symboles!$G$6:$G$101,MOD(88+$C40+(4),$B$3)+1)*M40+IF($B$6=0,0,$B$6*NORMSINV(0.000001+0.999998*RAND())))</f>
        <v/>
      </c>
      <c r="DA40" s="30">
        <f>IF(90&gt;$B$3,99,INDEX(Symboles!$G$6:$G$101,MOD(89+$C40+(-4),$B$3)+1)*E40+INDEX(Symboles!$G$6:$G$101,MOD(89+$C40+(-3),$B$3)+1)*F40+INDEX(Symboles!$G$6:$G$101,MOD(89+$C40+(-2),$B$3)+1)*G40+INDEX(Symboles!$G$6:$G$101,MOD(89+$C40+(-1),$B$3)+1)*H40+INDEX(Symboles!$G$6:$G$101,MOD(89+$C40+(0),$B$3)+1)*I40+INDEX(Symboles!$G$6:$G$101,MOD(89+$C40+(1),$B$3)+1)*J40+INDEX(Symboles!$G$6:$G$101,MOD(89+$C40+(2),$B$3)+1)*K40+INDEX(Symboles!$G$6:$G$101,MOD(89+$C40+(3),$B$3)+1)*L40+INDEX(Symboles!$G$6:$G$101,MOD(89+$C40+(4),$B$3)+1)*M40+IF($B$6=0,0,$B$6*NORMSINV(0.000001+0.999998*RAND())))</f>
        <v/>
      </c>
      <c r="DB40" s="30">
        <f>IF(91&gt;$B$3,99,INDEX(Symboles!$G$6:$G$101,MOD(90+$C40+(-4),$B$3)+1)*E40+INDEX(Symboles!$G$6:$G$101,MOD(90+$C40+(-3),$B$3)+1)*F40+INDEX(Symboles!$G$6:$G$101,MOD(90+$C40+(-2),$B$3)+1)*G40+INDEX(Symboles!$G$6:$G$101,MOD(90+$C40+(-1),$B$3)+1)*H40+INDEX(Symboles!$G$6:$G$101,MOD(90+$C40+(0),$B$3)+1)*I40+INDEX(Symboles!$G$6:$G$101,MOD(90+$C40+(1),$B$3)+1)*J40+INDEX(Symboles!$G$6:$G$101,MOD(90+$C40+(2),$B$3)+1)*K40+INDEX(Symboles!$G$6:$G$101,MOD(90+$C40+(3),$B$3)+1)*L40+INDEX(Symboles!$G$6:$G$101,MOD(90+$C40+(4),$B$3)+1)*M40+IF($B$6=0,0,$B$6*NORMSINV(0.000001+0.999998*RAND())))</f>
        <v/>
      </c>
      <c r="DC40" s="30">
        <f>IF(92&gt;$B$3,99,INDEX(Symboles!$G$6:$G$101,MOD(91+$C40+(-4),$B$3)+1)*E40+INDEX(Symboles!$G$6:$G$101,MOD(91+$C40+(-3),$B$3)+1)*F40+INDEX(Symboles!$G$6:$G$101,MOD(91+$C40+(-2),$B$3)+1)*G40+INDEX(Symboles!$G$6:$G$101,MOD(91+$C40+(-1),$B$3)+1)*H40+INDEX(Symboles!$G$6:$G$101,MOD(91+$C40+(0),$B$3)+1)*I40+INDEX(Symboles!$G$6:$G$101,MOD(91+$C40+(1),$B$3)+1)*J40+INDEX(Symboles!$G$6:$G$101,MOD(91+$C40+(2),$B$3)+1)*K40+INDEX(Symboles!$G$6:$G$101,MOD(91+$C40+(3),$B$3)+1)*L40+INDEX(Symboles!$G$6:$G$101,MOD(91+$C40+(4),$B$3)+1)*M40+IF($B$6=0,0,$B$6*NORMSINV(0.000001+0.999998*RAND())))</f>
        <v/>
      </c>
      <c r="DD40" s="30">
        <f>IF(93&gt;$B$3,99,INDEX(Symboles!$G$6:$G$101,MOD(92+$C40+(-4),$B$3)+1)*E40+INDEX(Symboles!$G$6:$G$101,MOD(92+$C40+(-3),$B$3)+1)*F40+INDEX(Symboles!$G$6:$G$101,MOD(92+$C40+(-2),$B$3)+1)*G40+INDEX(Symboles!$G$6:$G$101,MOD(92+$C40+(-1),$B$3)+1)*H40+INDEX(Symboles!$G$6:$G$101,MOD(92+$C40+(0),$B$3)+1)*I40+INDEX(Symboles!$G$6:$G$101,MOD(92+$C40+(1),$B$3)+1)*J40+INDEX(Symboles!$G$6:$G$101,MOD(92+$C40+(2),$B$3)+1)*K40+INDEX(Symboles!$G$6:$G$101,MOD(92+$C40+(3),$B$3)+1)*L40+INDEX(Symboles!$G$6:$G$101,MOD(92+$C40+(4),$B$3)+1)*M40+IF($B$6=0,0,$B$6*NORMSINV(0.000001+0.999998*RAND())))</f>
        <v/>
      </c>
      <c r="DE40" s="30">
        <f>IF(94&gt;$B$3,99,INDEX(Symboles!$G$6:$G$101,MOD(93+$C40+(-4),$B$3)+1)*E40+INDEX(Symboles!$G$6:$G$101,MOD(93+$C40+(-3),$B$3)+1)*F40+INDEX(Symboles!$G$6:$G$101,MOD(93+$C40+(-2),$B$3)+1)*G40+INDEX(Symboles!$G$6:$G$101,MOD(93+$C40+(-1),$B$3)+1)*H40+INDEX(Symboles!$G$6:$G$101,MOD(93+$C40+(0),$B$3)+1)*I40+INDEX(Symboles!$G$6:$G$101,MOD(93+$C40+(1),$B$3)+1)*J40+INDEX(Symboles!$G$6:$G$101,MOD(93+$C40+(2),$B$3)+1)*K40+INDEX(Symboles!$G$6:$G$101,MOD(93+$C40+(3),$B$3)+1)*L40+INDEX(Symboles!$G$6:$G$101,MOD(93+$C40+(4),$B$3)+1)*M40+IF($B$6=0,0,$B$6*NORMSINV(0.000001+0.999998*RAND())))</f>
        <v/>
      </c>
      <c r="DF40" s="30">
        <f>IF(95&gt;$B$3,99,INDEX(Symboles!$G$6:$G$101,MOD(94+$C40+(-4),$B$3)+1)*E40+INDEX(Symboles!$G$6:$G$101,MOD(94+$C40+(-3),$B$3)+1)*F40+INDEX(Symboles!$G$6:$G$101,MOD(94+$C40+(-2),$B$3)+1)*G40+INDEX(Symboles!$G$6:$G$101,MOD(94+$C40+(-1),$B$3)+1)*H40+INDEX(Symboles!$G$6:$G$101,MOD(94+$C40+(0),$B$3)+1)*I40+INDEX(Symboles!$G$6:$G$101,MOD(94+$C40+(1),$B$3)+1)*J40+INDEX(Symboles!$G$6:$G$101,MOD(94+$C40+(2),$B$3)+1)*K40+INDEX(Symboles!$G$6:$G$101,MOD(94+$C40+(3),$B$3)+1)*L40+INDEX(Symboles!$G$6:$G$101,MOD(94+$C40+(4),$B$3)+1)*M40+IF($B$6=0,0,$B$6*NORMSINV(0.000001+0.999998*RAND())))</f>
        <v/>
      </c>
      <c r="DG40" s="30">
        <f>IF(96&gt;$B$3,99,INDEX(Symboles!$G$6:$G$101,MOD(95+$C40+(-4),$B$3)+1)*E40+INDEX(Symboles!$G$6:$G$101,MOD(95+$C40+(-3),$B$3)+1)*F40+INDEX(Symboles!$G$6:$G$101,MOD(95+$C40+(-2),$B$3)+1)*G40+INDEX(Symboles!$G$6:$G$101,MOD(95+$C40+(-1),$B$3)+1)*H40+INDEX(Symboles!$G$6:$G$101,MOD(95+$C40+(0),$B$3)+1)*I40+INDEX(Symboles!$G$6:$G$101,MOD(95+$C40+(1),$B$3)+1)*J40+INDEX(Symboles!$G$6:$G$101,MOD(95+$C40+(2),$B$3)+1)*K40+INDEX(Symboles!$G$6:$G$101,MOD(95+$C40+(3),$B$3)+1)*L40+INDEX(Symboles!$G$6:$G$101,MOD(95+$C40+(4),$B$3)+1)*M40+IF($B$6=0,0,$B$6*NORMSINV(0.000001+0.999998*RAND())))</f>
        <v/>
      </c>
      <c r="DI40" s="30">
        <f>IF(1&gt;$B$3,99,INDEX(Symboles!$H$6:$H$101,MOD(0+$C40+(-4),$B$3)+1)*E40+INDEX(Symboles!$H$6:$H$101,MOD(0+$C40+(-3),$B$3)+1)*F40+INDEX(Symboles!$H$6:$H$101,MOD(0+$C40+(-2),$B$3)+1)*G40+INDEX(Symboles!$H$6:$H$101,MOD(0+$C40+(-1),$B$3)+1)*H40+INDEX(Symboles!$H$6:$H$101,MOD(0+$C40+(0),$B$3)+1)*I40+INDEX(Symboles!$H$6:$H$101,MOD(0+$C40+(1),$B$3)+1)*J40+INDEX(Symboles!$H$6:$H$101,MOD(0+$C40+(2),$B$3)+1)*K40+INDEX(Symboles!$H$6:$H$101,MOD(0+$C40+(3),$B$3)+1)*L40+INDEX(Symboles!$H$6:$H$101,MOD(0+$C40+(4),$B$3)+1)*M40+IF($B$6=0,0,$B$6*NORMSINV(0.000001+0.999998*RAND())))</f>
        <v/>
      </c>
      <c r="DJ40" s="30">
        <f>IF(2&gt;$B$3,99,INDEX(Symboles!$H$6:$H$101,MOD(1+$C40+(-4),$B$3)+1)*E40+INDEX(Symboles!$H$6:$H$101,MOD(1+$C40+(-3),$B$3)+1)*F40+INDEX(Symboles!$H$6:$H$101,MOD(1+$C40+(-2),$B$3)+1)*G40+INDEX(Symboles!$H$6:$H$101,MOD(1+$C40+(-1),$B$3)+1)*H40+INDEX(Symboles!$H$6:$H$101,MOD(1+$C40+(0),$B$3)+1)*I40+INDEX(Symboles!$H$6:$H$101,MOD(1+$C40+(1),$B$3)+1)*J40+INDEX(Symboles!$H$6:$H$101,MOD(1+$C40+(2),$B$3)+1)*K40+INDEX(Symboles!$H$6:$H$101,MOD(1+$C40+(3),$B$3)+1)*L40+INDEX(Symboles!$H$6:$H$101,MOD(1+$C40+(4),$B$3)+1)*M40+IF($B$6=0,0,$B$6*NORMSINV(0.000001+0.999998*RAND())))</f>
        <v/>
      </c>
      <c r="DK40" s="30">
        <f>IF(3&gt;$B$3,99,INDEX(Symboles!$H$6:$H$101,MOD(2+$C40+(-4),$B$3)+1)*E40+INDEX(Symboles!$H$6:$H$101,MOD(2+$C40+(-3),$B$3)+1)*F40+INDEX(Symboles!$H$6:$H$101,MOD(2+$C40+(-2),$B$3)+1)*G40+INDEX(Symboles!$H$6:$H$101,MOD(2+$C40+(-1),$B$3)+1)*H40+INDEX(Symboles!$H$6:$H$101,MOD(2+$C40+(0),$B$3)+1)*I40+INDEX(Symboles!$H$6:$H$101,MOD(2+$C40+(1),$B$3)+1)*J40+INDEX(Symboles!$H$6:$H$101,MOD(2+$C40+(2),$B$3)+1)*K40+INDEX(Symboles!$H$6:$H$101,MOD(2+$C40+(3),$B$3)+1)*L40+INDEX(Symboles!$H$6:$H$101,MOD(2+$C40+(4),$B$3)+1)*M40+IF($B$6=0,0,$B$6*NORMSINV(0.000001+0.999998*RAND())))</f>
        <v/>
      </c>
      <c r="DL40" s="30">
        <f>IF(4&gt;$B$3,99,INDEX(Symboles!$H$6:$H$101,MOD(3+$C40+(-4),$B$3)+1)*E40+INDEX(Symboles!$H$6:$H$101,MOD(3+$C40+(-3),$B$3)+1)*F40+INDEX(Symboles!$H$6:$H$101,MOD(3+$C40+(-2),$B$3)+1)*G40+INDEX(Symboles!$H$6:$H$101,MOD(3+$C40+(-1),$B$3)+1)*H40+INDEX(Symboles!$H$6:$H$101,MOD(3+$C40+(0),$B$3)+1)*I40+INDEX(Symboles!$H$6:$H$101,MOD(3+$C40+(1),$B$3)+1)*J40+INDEX(Symboles!$H$6:$H$101,MOD(3+$C40+(2),$B$3)+1)*K40+INDEX(Symboles!$H$6:$H$101,MOD(3+$C40+(3),$B$3)+1)*L40+INDEX(Symboles!$H$6:$H$101,MOD(3+$C40+(4),$B$3)+1)*M40+IF($B$6=0,0,$B$6*NORMSINV(0.000001+0.999998*RAND())))</f>
        <v/>
      </c>
      <c r="DM40" s="30">
        <f>IF(5&gt;$B$3,99,INDEX(Symboles!$H$6:$H$101,MOD(4+$C40+(-4),$B$3)+1)*E40+INDEX(Symboles!$H$6:$H$101,MOD(4+$C40+(-3),$B$3)+1)*F40+INDEX(Symboles!$H$6:$H$101,MOD(4+$C40+(-2),$B$3)+1)*G40+INDEX(Symboles!$H$6:$H$101,MOD(4+$C40+(-1),$B$3)+1)*H40+INDEX(Symboles!$H$6:$H$101,MOD(4+$C40+(0),$B$3)+1)*I40+INDEX(Symboles!$H$6:$H$101,MOD(4+$C40+(1),$B$3)+1)*J40+INDEX(Symboles!$H$6:$H$101,MOD(4+$C40+(2),$B$3)+1)*K40+INDEX(Symboles!$H$6:$H$101,MOD(4+$C40+(3),$B$3)+1)*L40+INDEX(Symboles!$H$6:$H$101,MOD(4+$C40+(4),$B$3)+1)*M40+IF($B$6=0,0,$B$6*NORMSINV(0.000001+0.999998*RAND())))</f>
        <v/>
      </c>
      <c r="DN40" s="30">
        <f>IF(6&gt;$B$3,99,INDEX(Symboles!$H$6:$H$101,MOD(5+$C40+(-4),$B$3)+1)*E40+INDEX(Symboles!$H$6:$H$101,MOD(5+$C40+(-3),$B$3)+1)*F40+INDEX(Symboles!$H$6:$H$101,MOD(5+$C40+(-2),$B$3)+1)*G40+INDEX(Symboles!$H$6:$H$101,MOD(5+$C40+(-1),$B$3)+1)*H40+INDEX(Symboles!$H$6:$H$101,MOD(5+$C40+(0),$B$3)+1)*I40+INDEX(Symboles!$H$6:$H$101,MOD(5+$C40+(1),$B$3)+1)*J40+INDEX(Symboles!$H$6:$H$101,MOD(5+$C40+(2),$B$3)+1)*K40+INDEX(Symboles!$H$6:$H$101,MOD(5+$C40+(3),$B$3)+1)*L40+INDEX(Symboles!$H$6:$H$101,MOD(5+$C40+(4),$B$3)+1)*M40+IF($B$6=0,0,$B$6*NORMSINV(0.000001+0.999998*RAND())))</f>
        <v/>
      </c>
      <c r="DO40" s="30">
        <f>IF(7&gt;$B$3,99,INDEX(Symboles!$H$6:$H$101,MOD(6+$C40+(-4),$B$3)+1)*E40+INDEX(Symboles!$H$6:$H$101,MOD(6+$C40+(-3),$B$3)+1)*F40+INDEX(Symboles!$H$6:$H$101,MOD(6+$C40+(-2),$B$3)+1)*G40+INDEX(Symboles!$H$6:$H$101,MOD(6+$C40+(-1),$B$3)+1)*H40+INDEX(Symboles!$H$6:$H$101,MOD(6+$C40+(0),$B$3)+1)*I40+INDEX(Symboles!$H$6:$H$101,MOD(6+$C40+(1),$B$3)+1)*J40+INDEX(Symboles!$H$6:$H$101,MOD(6+$C40+(2),$B$3)+1)*K40+INDEX(Symboles!$H$6:$H$101,MOD(6+$C40+(3),$B$3)+1)*L40+INDEX(Symboles!$H$6:$H$101,MOD(6+$C40+(4),$B$3)+1)*M40+IF($B$6=0,0,$B$6*NORMSINV(0.000001+0.999998*RAND())))</f>
        <v/>
      </c>
      <c r="DP40" s="30">
        <f>IF(8&gt;$B$3,99,INDEX(Symboles!$H$6:$H$101,MOD(7+$C40+(-4),$B$3)+1)*E40+INDEX(Symboles!$H$6:$H$101,MOD(7+$C40+(-3),$B$3)+1)*F40+INDEX(Symboles!$H$6:$H$101,MOD(7+$C40+(-2),$B$3)+1)*G40+INDEX(Symboles!$H$6:$H$101,MOD(7+$C40+(-1),$B$3)+1)*H40+INDEX(Symboles!$H$6:$H$101,MOD(7+$C40+(0),$B$3)+1)*I40+INDEX(Symboles!$H$6:$H$101,MOD(7+$C40+(1),$B$3)+1)*J40+INDEX(Symboles!$H$6:$H$101,MOD(7+$C40+(2),$B$3)+1)*K40+INDEX(Symboles!$H$6:$H$101,MOD(7+$C40+(3),$B$3)+1)*L40+INDEX(Symboles!$H$6:$H$101,MOD(7+$C40+(4),$B$3)+1)*M40+IF($B$6=0,0,$B$6*NORMSINV(0.000001+0.999998*RAND())))</f>
        <v/>
      </c>
      <c r="DQ40" s="30">
        <f>IF(9&gt;$B$3,99,INDEX(Symboles!$H$6:$H$101,MOD(8+$C40+(-4),$B$3)+1)*E40+INDEX(Symboles!$H$6:$H$101,MOD(8+$C40+(-3),$B$3)+1)*F40+INDEX(Symboles!$H$6:$H$101,MOD(8+$C40+(-2),$B$3)+1)*G40+INDEX(Symboles!$H$6:$H$101,MOD(8+$C40+(-1),$B$3)+1)*H40+INDEX(Symboles!$H$6:$H$101,MOD(8+$C40+(0),$B$3)+1)*I40+INDEX(Symboles!$H$6:$H$101,MOD(8+$C40+(1),$B$3)+1)*J40+INDEX(Symboles!$H$6:$H$101,MOD(8+$C40+(2),$B$3)+1)*K40+INDEX(Symboles!$H$6:$H$101,MOD(8+$C40+(3),$B$3)+1)*L40+INDEX(Symboles!$H$6:$H$101,MOD(8+$C40+(4),$B$3)+1)*M40+IF($B$6=0,0,$B$6*NORMSINV(0.000001+0.999998*RAND())))</f>
        <v/>
      </c>
      <c r="DR40" s="30">
        <f>IF(10&gt;$B$3,99,INDEX(Symboles!$H$6:$H$101,MOD(9+$C40+(-4),$B$3)+1)*E40+INDEX(Symboles!$H$6:$H$101,MOD(9+$C40+(-3),$B$3)+1)*F40+INDEX(Symboles!$H$6:$H$101,MOD(9+$C40+(-2),$B$3)+1)*G40+INDEX(Symboles!$H$6:$H$101,MOD(9+$C40+(-1),$B$3)+1)*H40+INDEX(Symboles!$H$6:$H$101,MOD(9+$C40+(0),$B$3)+1)*I40+INDEX(Symboles!$H$6:$H$101,MOD(9+$C40+(1),$B$3)+1)*J40+INDEX(Symboles!$H$6:$H$101,MOD(9+$C40+(2),$B$3)+1)*K40+INDEX(Symboles!$H$6:$H$101,MOD(9+$C40+(3),$B$3)+1)*L40+INDEX(Symboles!$H$6:$H$101,MOD(9+$C40+(4),$B$3)+1)*M40+IF($B$6=0,0,$B$6*NORMSINV(0.000001+0.999998*RAND())))</f>
        <v/>
      </c>
      <c r="DS40" s="30">
        <f>IF(11&gt;$B$3,99,INDEX(Symboles!$H$6:$H$101,MOD(10+$C40+(-4),$B$3)+1)*E40+INDEX(Symboles!$H$6:$H$101,MOD(10+$C40+(-3),$B$3)+1)*F40+INDEX(Symboles!$H$6:$H$101,MOD(10+$C40+(-2),$B$3)+1)*G40+INDEX(Symboles!$H$6:$H$101,MOD(10+$C40+(-1),$B$3)+1)*H40+INDEX(Symboles!$H$6:$H$101,MOD(10+$C40+(0),$B$3)+1)*I40+INDEX(Symboles!$H$6:$H$101,MOD(10+$C40+(1),$B$3)+1)*J40+INDEX(Symboles!$H$6:$H$101,MOD(10+$C40+(2),$B$3)+1)*K40+INDEX(Symboles!$H$6:$H$101,MOD(10+$C40+(3),$B$3)+1)*L40+INDEX(Symboles!$H$6:$H$101,MOD(10+$C40+(4),$B$3)+1)*M40+IF($B$6=0,0,$B$6*NORMSINV(0.000001+0.999998*RAND())))</f>
        <v/>
      </c>
      <c r="DT40" s="30">
        <f>IF(12&gt;$B$3,99,INDEX(Symboles!$H$6:$H$101,MOD(11+$C40+(-4),$B$3)+1)*E40+INDEX(Symboles!$H$6:$H$101,MOD(11+$C40+(-3),$B$3)+1)*F40+INDEX(Symboles!$H$6:$H$101,MOD(11+$C40+(-2),$B$3)+1)*G40+INDEX(Symboles!$H$6:$H$101,MOD(11+$C40+(-1),$B$3)+1)*H40+INDEX(Symboles!$H$6:$H$101,MOD(11+$C40+(0),$B$3)+1)*I40+INDEX(Symboles!$H$6:$H$101,MOD(11+$C40+(1),$B$3)+1)*J40+INDEX(Symboles!$H$6:$H$101,MOD(11+$C40+(2),$B$3)+1)*K40+INDEX(Symboles!$H$6:$H$101,MOD(11+$C40+(3),$B$3)+1)*L40+INDEX(Symboles!$H$6:$H$101,MOD(11+$C40+(4),$B$3)+1)*M40+IF($B$6=0,0,$B$6*NORMSINV(0.000001+0.999998*RAND())))</f>
        <v/>
      </c>
      <c r="DU40" s="30">
        <f>IF(13&gt;$B$3,99,INDEX(Symboles!$H$6:$H$101,MOD(12+$C40+(-4),$B$3)+1)*E40+INDEX(Symboles!$H$6:$H$101,MOD(12+$C40+(-3),$B$3)+1)*F40+INDEX(Symboles!$H$6:$H$101,MOD(12+$C40+(-2),$B$3)+1)*G40+INDEX(Symboles!$H$6:$H$101,MOD(12+$C40+(-1),$B$3)+1)*H40+INDEX(Symboles!$H$6:$H$101,MOD(12+$C40+(0),$B$3)+1)*I40+INDEX(Symboles!$H$6:$H$101,MOD(12+$C40+(1),$B$3)+1)*J40+INDEX(Symboles!$H$6:$H$101,MOD(12+$C40+(2),$B$3)+1)*K40+INDEX(Symboles!$H$6:$H$101,MOD(12+$C40+(3),$B$3)+1)*L40+INDEX(Symboles!$H$6:$H$101,MOD(12+$C40+(4),$B$3)+1)*M40+IF($B$6=0,0,$B$6*NORMSINV(0.000001+0.999998*RAND())))</f>
        <v/>
      </c>
      <c r="DV40" s="30">
        <f>IF(14&gt;$B$3,99,INDEX(Symboles!$H$6:$H$101,MOD(13+$C40+(-4),$B$3)+1)*E40+INDEX(Symboles!$H$6:$H$101,MOD(13+$C40+(-3),$B$3)+1)*F40+INDEX(Symboles!$H$6:$H$101,MOD(13+$C40+(-2),$B$3)+1)*G40+INDEX(Symboles!$H$6:$H$101,MOD(13+$C40+(-1),$B$3)+1)*H40+INDEX(Symboles!$H$6:$H$101,MOD(13+$C40+(0),$B$3)+1)*I40+INDEX(Symboles!$H$6:$H$101,MOD(13+$C40+(1),$B$3)+1)*J40+INDEX(Symboles!$H$6:$H$101,MOD(13+$C40+(2),$B$3)+1)*K40+INDEX(Symboles!$H$6:$H$101,MOD(13+$C40+(3),$B$3)+1)*L40+INDEX(Symboles!$H$6:$H$101,MOD(13+$C40+(4),$B$3)+1)*M40+IF($B$6=0,0,$B$6*NORMSINV(0.000001+0.999998*RAND())))</f>
        <v/>
      </c>
      <c r="DW40" s="30">
        <f>IF(15&gt;$B$3,99,INDEX(Symboles!$H$6:$H$101,MOD(14+$C40+(-4),$B$3)+1)*E40+INDEX(Symboles!$H$6:$H$101,MOD(14+$C40+(-3),$B$3)+1)*F40+INDEX(Symboles!$H$6:$H$101,MOD(14+$C40+(-2),$B$3)+1)*G40+INDEX(Symboles!$H$6:$H$101,MOD(14+$C40+(-1),$B$3)+1)*H40+INDEX(Symboles!$H$6:$H$101,MOD(14+$C40+(0),$B$3)+1)*I40+INDEX(Symboles!$H$6:$H$101,MOD(14+$C40+(1),$B$3)+1)*J40+INDEX(Symboles!$H$6:$H$101,MOD(14+$C40+(2),$B$3)+1)*K40+INDEX(Symboles!$H$6:$H$101,MOD(14+$C40+(3),$B$3)+1)*L40+INDEX(Symboles!$H$6:$H$101,MOD(14+$C40+(4),$B$3)+1)*M40+IF($B$6=0,0,$B$6*NORMSINV(0.000001+0.999998*RAND())))</f>
        <v/>
      </c>
      <c r="DX40" s="30">
        <f>IF(16&gt;$B$3,99,INDEX(Symboles!$H$6:$H$101,MOD(15+$C40+(-4),$B$3)+1)*E40+INDEX(Symboles!$H$6:$H$101,MOD(15+$C40+(-3),$B$3)+1)*F40+INDEX(Symboles!$H$6:$H$101,MOD(15+$C40+(-2),$B$3)+1)*G40+INDEX(Symboles!$H$6:$H$101,MOD(15+$C40+(-1),$B$3)+1)*H40+INDEX(Symboles!$H$6:$H$101,MOD(15+$C40+(0),$B$3)+1)*I40+INDEX(Symboles!$H$6:$H$101,MOD(15+$C40+(1),$B$3)+1)*J40+INDEX(Symboles!$H$6:$H$101,MOD(15+$C40+(2),$B$3)+1)*K40+INDEX(Symboles!$H$6:$H$101,MOD(15+$C40+(3),$B$3)+1)*L40+INDEX(Symboles!$H$6:$H$101,MOD(15+$C40+(4),$B$3)+1)*M40+IF($B$6=0,0,$B$6*NORMSINV(0.000001+0.999998*RAND())))</f>
        <v/>
      </c>
      <c r="DY40" s="30">
        <f>IF(17&gt;$B$3,99,INDEX(Symboles!$H$6:$H$101,MOD(16+$C40+(-4),$B$3)+1)*E40+INDEX(Symboles!$H$6:$H$101,MOD(16+$C40+(-3),$B$3)+1)*F40+INDEX(Symboles!$H$6:$H$101,MOD(16+$C40+(-2),$B$3)+1)*G40+INDEX(Symboles!$H$6:$H$101,MOD(16+$C40+(-1),$B$3)+1)*H40+INDEX(Symboles!$H$6:$H$101,MOD(16+$C40+(0),$B$3)+1)*I40+INDEX(Symboles!$H$6:$H$101,MOD(16+$C40+(1),$B$3)+1)*J40+INDEX(Symboles!$H$6:$H$101,MOD(16+$C40+(2),$B$3)+1)*K40+INDEX(Symboles!$H$6:$H$101,MOD(16+$C40+(3),$B$3)+1)*L40+INDEX(Symboles!$H$6:$H$101,MOD(16+$C40+(4),$B$3)+1)*M40+IF($B$6=0,0,$B$6*NORMSINV(0.000001+0.999998*RAND())))</f>
        <v/>
      </c>
      <c r="DZ40" s="30">
        <f>IF(18&gt;$B$3,99,INDEX(Symboles!$H$6:$H$101,MOD(17+$C40+(-4),$B$3)+1)*E40+INDEX(Symboles!$H$6:$H$101,MOD(17+$C40+(-3),$B$3)+1)*F40+INDEX(Symboles!$H$6:$H$101,MOD(17+$C40+(-2),$B$3)+1)*G40+INDEX(Symboles!$H$6:$H$101,MOD(17+$C40+(-1),$B$3)+1)*H40+INDEX(Symboles!$H$6:$H$101,MOD(17+$C40+(0),$B$3)+1)*I40+INDEX(Symboles!$H$6:$H$101,MOD(17+$C40+(1),$B$3)+1)*J40+INDEX(Symboles!$H$6:$H$101,MOD(17+$C40+(2),$B$3)+1)*K40+INDEX(Symboles!$H$6:$H$101,MOD(17+$C40+(3),$B$3)+1)*L40+INDEX(Symboles!$H$6:$H$101,MOD(17+$C40+(4),$B$3)+1)*M40+IF($B$6=0,0,$B$6*NORMSINV(0.000001+0.999998*RAND())))</f>
        <v/>
      </c>
      <c r="EA40" s="30">
        <f>IF(19&gt;$B$3,99,INDEX(Symboles!$H$6:$H$101,MOD(18+$C40+(-4),$B$3)+1)*E40+INDEX(Symboles!$H$6:$H$101,MOD(18+$C40+(-3),$B$3)+1)*F40+INDEX(Symboles!$H$6:$H$101,MOD(18+$C40+(-2),$B$3)+1)*G40+INDEX(Symboles!$H$6:$H$101,MOD(18+$C40+(-1),$B$3)+1)*H40+INDEX(Symboles!$H$6:$H$101,MOD(18+$C40+(0),$B$3)+1)*I40+INDEX(Symboles!$H$6:$H$101,MOD(18+$C40+(1),$B$3)+1)*J40+INDEX(Symboles!$H$6:$H$101,MOD(18+$C40+(2),$B$3)+1)*K40+INDEX(Symboles!$H$6:$H$101,MOD(18+$C40+(3),$B$3)+1)*L40+INDEX(Symboles!$H$6:$H$101,MOD(18+$C40+(4),$B$3)+1)*M40+IF($B$6=0,0,$B$6*NORMSINV(0.000001+0.999998*RAND())))</f>
        <v/>
      </c>
      <c r="EB40" s="30">
        <f>IF(20&gt;$B$3,99,INDEX(Symboles!$H$6:$H$101,MOD(19+$C40+(-4),$B$3)+1)*E40+INDEX(Symboles!$H$6:$H$101,MOD(19+$C40+(-3),$B$3)+1)*F40+INDEX(Symboles!$H$6:$H$101,MOD(19+$C40+(-2),$B$3)+1)*G40+INDEX(Symboles!$H$6:$H$101,MOD(19+$C40+(-1),$B$3)+1)*H40+INDEX(Symboles!$H$6:$H$101,MOD(19+$C40+(0),$B$3)+1)*I40+INDEX(Symboles!$H$6:$H$101,MOD(19+$C40+(1),$B$3)+1)*J40+INDEX(Symboles!$H$6:$H$101,MOD(19+$C40+(2),$B$3)+1)*K40+INDEX(Symboles!$H$6:$H$101,MOD(19+$C40+(3),$B$3)+1)*L40+INDEX(Symboles!$H$6:$H$101,MOD(19+$C40+(4),$B$3)+1)*M40+IF($B$6=0,0,$B$6*NORMSINV(0.000001+0.999998*RAND())))</f>
        <v/>
      </c>
      <c r="EC40" s="30">
        <f>IF(21&gt;$B$3,99,INDEX(Symboles!$H$6:$H$101,MOD(20+$C40+(-4),$B$3)+1)*E40+INDEX(Symboles!$H$6:$H$101,MOD(20+$C40+(-3),$B$3)+1)*F40+INDEX(Symboles!$H$6:$H$101,MOD(20+$C40+(-2),$B$3)+1)*G40+INDEX(Symboles!$H$6:$H$101,MOD(20+$C40+(-1),$B$3)+1)*H40+INDEX(Symboles!$H$6:$H$101,MOD(20+$C40+(0),$B$3)+1)*I40+INDEX(Symboles!$H$6:$H$101,MOD(20+$C40+(1),$B$3)+1)*J40+INDEX(Symboles!$H$6:$H$101,MOD(20+$C40+(2),$B$3)+1)*K40+INDEX(Symboles!$H$6:$H$101,MOD(20+$C40+(3),$B$3)+1)*L40+INDEX(Symboles!$H$6:$H$101,MOD(20+$C40+(4),$B$3)+1)*M40+IF($B$6=0,0,$B$6*NORMSINV(0.000001+0.999998*RAND())))</f>
        <v/>
      </c>
      <c r="ED40" s="30">
        <f>IF(22&gt;$B$3,99,INDEX(Symboles!$H$6:$H$101,MOD(21+$C40+(-4),$B$3)+1)*E40+INDEX(Symboles!$H$6:$H$101,MOD(21+$C40+(-3),$B$3)+1)*F40+INDEX(Symboles!$H$6:$H$101,MOD(21+$C40+(-2),$B$3)+1)*G40+INDEX(Symboles!$H$6:$H$101,MOD(21+$C40+(-1),$B$3)+1)*H40+INDEX(Symboles!$H$6:$H$101,MOD(21+$C40+(0),$B$3)+1)*I40+INDEX(Symboles!$H$6:$H$101,MOD(21+$C40+(1),$B$3)+1)*J40+INDEX(Symboles!$H$6:$H$101,MOD(21+$C40+(2),$B$3)+1)*K40+INDEX(Symboles!$H$6:$H$101,MOD(21+$C40+(3),$B$3)+1)*L40+INDEX(Symboles!$H$6:$H$101,MOD(21+$C40+(4),$B$3)+1)*M40+IF($B$6=0,0,$B$6*NORMSINV(0.000001+0.999998*RAND())))</f>
        <v/>
      </c>
      <c r="EE40" s="30">
        <f>IF(23&gt;$B$3,99,INDEX(Symboles!$H$6:$H$101,MOD(22+$C40+(-4),$B$3)+1)*E40+INDEX(Symboles!$H$6:$H$101,MOD(22+$C40+(-3),$B$3)+1)*F40+INDEX(Symboles!$H$6:$H$101,MOD(22+$C40+(-2),$B$3)+1)*G40+INDEX(Symboles!$H$6:$H$101,MOD(22+$C40+(-1),$B$3)+1)*H40+INDEX(Symboles!$H$6:$H$101,MOD(22+$C40+(0),$B$3)+1)*I40+INDEX(Symboles!$H$6:$H$101,MOD(22+$C40+(1),$B$3)+1)*J40+INDEX(Symboles!$H$6:$H$101,MOD(22+$C40+(2),$B$3)+1)*K40+INDEX(Symboles!$H$6:$H$101,MOD(22+$C40+(3),$B$3)+1)*L40+INDEX(Symboles!$H$6:$H$101,MOD(22+$C40+(4),$B$3)+1)*M40+IF($B$6=0,0,$B$6*NORMSINV(0.000001+0.999998*RAND())))</f>
        <v/>
      </c>
      <c r="EF40" s="30">
        <f>IF(24&gt;$B$3,99,INDEX(Symboles!$H$6:$H$101,MOD(23+$C40+(-4),$B$3)+1)*E40+INDEX(Symboles!$H$6:$H$101,MOD(23+$C40+(-3),$B$3)+1)*F40+INDEX(Symboles!$H$6:$H$101,MOD(23+$C40+(-2),$B$3)+1)*G40+INDEX(Symboles!$H$6:$H$101,MOD(23+$C40+(-1),$B$3)+1)*H40+INDEX(Symboles!$H$6:$H$101,MOD(23+$C40+(0),$B$3)+1)*I40+INDEX(Symboles!$H$6:$H$101,MOD(23+$C40+(1),$B$3)+1)*J40+INDEX(Symboles!$H$6:$H$101,MOD(23+$C40+(2),$B$3)+1)*K40+INDEX(Symboles!$H$6:$H$101,MOD(23+$C40+(3),$B$3)+1)*L40+INDEX(Symboles!$H$6:$H$101,MOD(23+$C40+(4),$B$3)+1)*M40+IF($B$6=0,0,$B$6*NORMSINV(0.000001+0.999998*RAND())))</f>
        <v/>
      </c>
      <c r="EG40" s="30">
        <f>IF(25&gt;$B$3,99,INDEX(Symboles!$H$6:$H$101,MOD(24+$C40+(-4),$B$3)+1)*E40+INDEX(Symboles!$H$6:$H$101,MOD(24+$C40+(-3),$B$3)+1)*F40+INDEX(Symboles!$H$6:$H$101,MOD(24+$C40+(-2),$B$3)+1)*G40+INDEX(Symboles!$H$6:$H$101,MOD(24+$C40+(-1),$B$3)+1)*H40+INDEX(Symboles!$H$6:$H$101,MOD(24+$C40+(0),$B$3)+1)*I40+INDEX(Symboles!$H$6:$H$101,MOD(24+$C40+(1),$B$3)+1)*J40+INDEX(Symboles!$H$6:$H$101,MOD(24+$C40+(2),$B$3)+1)*K40+INDEX(Symboles!$H$6:$H$101,MOD(24+$C40+(3),$B$3)+1)*L40+INDEX(Symboles!$H$6:$H$101,MOD(24+$C40+(4),$B$3)+1)*M40+IF($B$6=0,0,$B$6*NORMSINV(0.000001+0.999998*RAND())))</f>
        <v/>
      </c>
      <c r="EH40" s="30">
        <f>IF(26&gt;$B$3,99,INDEX(Symboles!$H$6:$H$101,MOD(25+$C40+(-4),$B$3)+1)*E40+INDEX(Symboles!$H$6:$H$101,MOD(25+$C40+(-3),$B$3)+1)*F40+INDEX(Symboles!$H$6:$H$101,MOD(25+$C40+(-2),$B$3)+1)*G40+INDEX(Symboles!$H$6:$H$101,MOD(25+$C40+(-1),$B$3)+1)*H40+INDEX(Symboles!$H$6:$H$101,MOD(25+$C40+(0),$B$3)+1)*I40+INDEX(Symboles!$H$6:$H$101,MOD(25+$C40+(1),$B$3)+1)*J40+INDEX(Symboles!$H$6:$H$101,MOD(25+$C40+(2),$B$3)+1)*K40+INDEX(Symboles!$H$6:$H$101,MOD(25+$C40+(3),$B$3)+1)*L40+INDEX(Symboles!$H$6:$H$101,MOD(25+$C40+(4),$B$3)+1)*M40+IF($B$6=0,0,$B$6*NORMSINV(0.000001+0.999998*RAND())))</f>
        <v/>
      </c>
      <c r="EI40" s="30">
        <f>IF(27&gt;$B$3,99,INDEX(Symboles!$H$6:$H$101,MOD(26+$C40+(-4),$B$3)+1)*E40+INDEX(Symboles!$H$6:$H$101,MOD(26+$C40+(-3),$B$3)+1)*F40+INDEX(Symboles!$H$6:$H$101,MOD(26+$C40+(-2),$B$3)+1)*G40+INDEX(Symboles!$H$6:$H$101,MOD(26+$C40+(-1),$B$3)+1)*H40+INDEX(Symboles!$H$6:$H$101,MOD(26+$C40+(0),$B$3)+1)*I40+INDEX(Symboles!$H$6:$H$101,MOD(26+$C40+(1),$B$3)+1)*J40+INDEX(Symboles!$H$6:$H$101,MOD(26+$C40+(2),$B$3)+1)*K40+INDEX(Symboles!$H$6:$H$101,MOD(26+$C40+(3),$B$3)+1)*L40+INDEX(Symboles!$H$6:$H$101,MOD(26+$C40+(4),$B$3)+1)*M40+IF($B$6=0,0,$B$6*NORMSINV(0.000001+0.999998*RAND())))</f>
        <v/>
      </c>
      <c r="EJ40" s="30">
        <f>IF(28&gt;$B$3,99,INDEX(Symboles!$H$6:$H$101,MOD(27+$C40+(-4),$B$3)+1)*E40+INDEX(Symboles!$H$6:$H$101,MOD(27+$C40+(-3),$B$3)+1)*F40+INDEX(Symboles!$H$6:$H$101,MOD(27+$C40+(-2),$B$3)+1)*G40+INDEX(Symboles!$H$6:$H$101,MOD(27+$C40+(-1),$B$3)+1)*H40+INDEX(Symboles!$H$6:$H$101,MOD(27+$C40+(0),$B$3)+1)*I40+INDEX(Symboles!$H$6:$H$101,MOD(27+$C40+(1),$B$3)+1)*J40+INDEX(Symboles!$H$6:$H$101,MOD(27+$C40+(2),$B$3)+1)*K40+INDEX(Symboles!$H$6:$H$101,MOD(27+$C40+(3),$B$3)+1)*L40+INDEX(Symboles!$H$6:$H$101,MOD(27+$C40+(4),$B$3)+1)*M40+IF($B$6=0,0,$B$6*NORMSINV(0.000001+0.999998*RAND())))</f>
        <v/>
      </c>
      <c r="EK40" s="30">
        <f>IF(29&gt;$B$3,99,INDEX(Symboles!$H$6:$H$101,MOD(28+$C40+(-4),$B$3)+1)*E40+INDEX(Symboles!$H$6:$H$101,MOD(28+$C40+(-3),$B$3)+1)*F40+INDEX(Symboles!$H$6:$H$101,MOD(28+$C40+(-2),$B$3)+1)*G40+INDEX(Symboles!$H$6:$H$101,MOD(28+$C40+(-1),$B$3)+1)*H40+INDEX(Symboles!$H$6:$H$101,MOD(28+$C40+(0),$B$3)+1)*I40+INDEX(Symboles!$H$6:$H$101,MOD(28+$C40+(1),$B$3)+1)*J40+INDEX(Symboles!$H$6:$H$101,MOD(28+$C40+(2),$B$3)+1)*K40+INDEX(Symboles!$H$6:$H$101,MOD(28+$C40+(3),$B$3)+1)*L40+INDEX(Symboles!$H$6:$H$101,MOD(28+$C40+(4),$B$3)+1)*M40+IF($B$6=0,0,$B$6*NORMSINV(0.000001+0.999998*RAND())))</f>
        <v/>
      </c>
      <c r="EL40" s="30">
        <f>IF(30&gt;$B$3,99,INDEX(Symboles!$H$6:$H$101,MOD(29+$C40+(-4),$B$3)+1)*E40+INDEX(Symboles!$H$6:$H$101,MOD(29+$C40+(-3),$B$3)+1)*F40+INDEX(Symboles!$H$6:$H$101,MOD(29+$C40+(-2),$B$3)+1)*G40+INDEX(Symboles!$H$6:$H$101,MOD(29+$C40+(-1),$B$3)+1)*H40+INDEX(Symboles!$H$6:$H$101,MOD(29+$C40+(0),$B$3)+1)*I40+INDEX(Symboles!$H$6:$H$101,MOD(29+$C40+(1),$B$3)+1)*J40+INDEX(Symboles!$H$6:$H$101,MOD(29+$C40+(2),$B$3)+1)*K40+INDEX(Symboles!$H$6:$H$101,MOD(29+$C40+(3),$B$3)+1)*L40+INDEX(Symboles!$H$6:$H$101,MOD(29+$C40+(4),$B$3)+1)*M40+IF($B$6=0,0,$B$6*NORMSINV(0.000001+0.999998*RAND())))</f>
        <v/>
      </c>
      <c r="EM40" s="30">
        <f>IF(31&gt;$B$3,99,INDEX(Symboles!$H$6:$H$101,MOD(30+$C40+(-4),$B$3)+1)*E40+INDEX(Symboles!$H$6:$H$101,MOD(30+$C40+(-3),$B$3)+1)*F40+INDEX(Symboles!$H$6:$H$101,MOD(30+$C40+(-2),$B$3)+1)*G40+INDEX(Symboles!$H$6:$H$101,MOD(30+$C40+(-1),$B$3)+1)*H40+INDEX(Symboles!$H$6:$H$101,MOD(30+$C40+(0),$B$3)+1)*I40+INDEX(Symboles!$H$6:$H$101,MOD(30+$C40+(1),$B$3)+1)*J40+INDEX(Symboles!$H$6:$H$101,MOD(30+$C40+(2),$B$3)+1)*K40+INDEX(Symboles!$H$6:$H$101,MOD(30+$C40+(3),$B$3)+1)*L40+INDEX(Symboles!$H$6:$H$101,MOD(30+$C40+(4),$B$3)+1)*M40+IF($B$6=0,0,$B$6*NORMSINV(0.000001+0.999998*RAND())))</f>
        <v/>
      </c>
      <c r="EN40" s="30">
        <f>IF(32&gt;$B$3,99,INDEX(Symboles!$H$6:$H$101,MOD(31+$C40+(-4),$B$3)+1)*E40+INDEX(Symboles!$H$6:$H$101,MOD(31+$C40+(-3),$B$3)+1)*F40+INDEX(Symboles!$H$6:$H$101,MOD(31+$C40+(-2),$B$3)+1)*G40+INDEX(Symboles!$H$6:$H$101,MOD(31+$C40+(-1),$B$3)+1)*H40+INDEX(Symboles!$H$6:$H$101,MOD(31+$C40+(0),$B$3)+1)*I40+INDEX(Symboles!$H$6:$H$101,MOD(31+$C40+(1),$B$3)+1)*J40+INDEX(Symboles!$H$6:$H$101,MOD(31+$C40+(2),$B$3)+1)*K40+INDEX(Symboles!$H$6:$H$101,MOD(31+$C40+(3),$B$3)+1)*L40+INDEX(Symboles!$H$6:$H$101,MOD(31+$C40+(4),$B$3)+1)*M40+IF($B$6=0,0,$B$6*NORMSINV(0.000001+0.999998*RAND())))</f>
        <v/>
      </c>
      <c r="EO40" s="30">
        <f>IF(33&gt;$B$3,99,INDEX(Symboles!$H$6:$H$101,MOD(32+$C40+(-4),$B$3)+1)*E40+INDEX(Symboles!$H$6:$H$101,MOD(32+$C40+(-3),$B$3)+1)*F40+INDEX(Symboles!$H$6:$H$101,MOD(32+$C40+(-2),$B$3)+1)*G40+INDEX(Symboles!$H$6:$H$101,MOD(32+$C40+(-1),$B$3)+1)*H40+INDEX(Symboles!$H$6:$H$101,MOD(32+$C40+(0),$B$3)+1)*I40+INDEX(Symboles!$H$6:$H$101,MOD(32+$C40+(1),$B$3)+1)*J40+INDEX(Symboles!$H$6:$H$101,MOD(32+$C40+(2),$B$3)+1)*K40+INDEX(Symboles!$H$6:$H$101,MOD(32+$C40+(3),$B$3)+1)*L40+INDEX(Symboles!$H$6:$H$101,MOD(32+$C40+(4),$B$3)+1)*M40+IF($B$6=0,0,$B$6*NORMSINV(0.000001+0.999998*RAND())))</f>
        <v/>
      </c>
      <c r="EP40" s="30">
        <f>IF(34&gt;$B$3,99,INDEX(Symboles!$H$6:$H$101,MOD(33+$C40+(-4),$B$3)+1)*E40+INDEX(Symboles!$H$6:$H$101,MOD(33+$C40+(-3),$B$3)+1)*F40+INDEX(Symboles!$H$6:$H$101,MOD(33+$C40+(-2),$B$3)+1)*G40+INDEX(Symboles!$H$6:$H$101,MOD(33+$C40+(-1),$B$3)+1)*H40+INDEX(Symboles!$H$6:$H$101,MOD(33+$C40+(0),$B$3)+1)*I40+INDEX(Symboles!$H$6:$H$101,MOD(33+$C40+(1),$B$3)+1)*J40+INDEX(Symboles!$H$6:$H$101,MOD(33+$C40+(2),$B$3)+1)*K40+INDEX(Symboles!$H$6:$H$101,MOD(33+$C40+(3),$B$3)+1)*L40+INDEX(Symboles!$H$6:$H$101,MOD(33+$C40+(4),$B$3)+1)*M40+IF($B$6=0,0,$B$6*NORMSINV(0.000001+0.999998*RAND())))</f>
        <v/>
      </c>
      <c r="EQ40" s="30">
        <f>IF(35&gt;$B$3,99,INDEX(Symboles!$H$6:$H$101,MOD(34+$C40+(-4),$B$3)+1)*E40+INDEX(Symboles!$H$6:$H$101,MOD(34+$C40+(-3),$B$3)+1)*F40+INDEX(Symboles!$H$6:$H$101,MOD(34+$C40+(-2),$B$3)+1)*G40+INDEX(Symboles!$H$6:$H$101,MOD(34+$C40+(-1),$B$3)+1)*H40+INDEX(Symboles!$H$6:$H$101,MOD(34+$C40+(0),$B$3)+1)*I40+INDEX(Symboles!$H$6:$H$101,MOD(34+$C40+(1),$B$3)+1)*J40+INDEX(Symboles!$H$6:$H$101,MOD(34+$C40+(2),$B$3)+1)*K40+INDEX(Symboles!$H$6:$H$101,MOD(34+$C40+(3),$B$3)+1)*L40+INDEX(Symboles!$H$6:$H$101,MOD(34+$C40+(4),$B$3)+1)*M40+IF($B$6=0,0,$B$6*NORMSINV(0.000001+0.999998*RAND())))</f>
        <v/>
      </c>
      <c r="ER40" s="30">
        <f>IF(36&gt;$B$3,99,INDEX(Symboles!$H$6:$H$101,MOD(35+$C40+(-4),$B$3)+1)*E40+INDEX(Symboles!$H$6:$H$101,MOD(35+$C40+(-3),$B$3)+1)*F40+INDEX(Symboles!$H$6:$H$101,MOD(35+$C40+(-2),$B$3)+1)*G40+INDEX(Symboles!$H$6:$H$101,MOD(35+$C40+(-1),$B$3)+1)*H40+INDEX(Symboles!$H$6:$H$101,MOD(35+$C40+(0),$B$3)+1)*I40+INDEX(Symboles!$H$6:$H$101,MOD(35+$C40+(1),$B$3)+1)*J40+INDEX(Symboles!$H$6:$H$101,MOD(35+$C40+(2),$B$3)+1)*K40+INDEX(Symboles!$H$6:$H$101,MOD(35+$C40+(3),$B$3)+1)*L40+INDEX(Symboles!$H$6:$H$101,MOD(35+$C40+(4),$B$3)+1)*M40+IF($B$6=0,0,$B$6*NORMSINV(0.000001+0.999998*RAND())))</f>
        <v/>
      </c>
      <c r="ES40" s="30">
        <f>IF(37&gt;$B$3,99,INDEX(Symboles!$H$6:$H$101,MOD(36+$C40+(-4),$B$3)+1)*E40+INDEX(Symboles!$H$6:$H$101,MOD(36+$C40+(-3),$B$3)+1)*F40+INDEX(Symboles!$H$6:$H$101,MOD(36+$C40+(-2),$B$3)+1)*G40+INDEX(Symboles!$H$6:$H$101,MOD(36+$C40+(-1),$B$3)+1)*H40+INDEX(Symboles!$H$6:$H$101,MOD(36+$C40+(0),$B$3)+1)*I40+INDEX(Symboles!$H$6:$H$101,MOD(36+$C40+(1),$B$3)+1)*J40+INDEX(Symboles!$H$6:$H$101,MOD(36+$C40+(2),$B$3)+1)*K40+INDEX(Symboles!$H$6:$H$101,MOD(36+$C40+(3),$B$3)+1)*L40+INDEX(Symboles!$H$6:$H$101,MOD(36+$C40+(4),$B$3)+1)*M40+IF($B$6=0,0,$B$6*NORMSINV(0.000001+0.999998*RAND())))</f>
        <v/>
      </c>
      <c r="ET40" s="30">
        <f>IF(38&gt;$B$3,99,INDEX(Symboles!$H$6:$H$101,MOD(37+$C40+(-4),$B$3)+1)*E40+INDEX(Symboles!$H$6:$H$101,MOD(37+$C40+(-3),$B$3)+1)*F40+INDEX(Symboles!$H$6:$H$101,MOD(37+$C40+(-2),$B$3)+1)*G40+INDEX(Symboles!$H$6:$H$101,MOD(37+$C40+(-1),$B$3)+1)*H40+INDEX(Symboles!$H$6:$H$101,MOD(37+$C40+(0),$B$3)+1)*I40+INDEX(Symboles!$H$6:$H$101,MOD(37+$C40+(1),$B$3)+1)*J40+INDEX(Symboles!$H$6:$H$101,MOD(37+$C40+(2),$B$3)+1)*K40+INDEX(Symboles!$H$6:$H$101,MOD(37+$C40+(3),$B$3)+1)*L40+INDEX(Symboles!$H$6:$H$101,MOD(37+$C40+(4),$B$3)+1)*M40+IF($B$6=0,0,$B$6*NORMSINV(0.000001+0.999998*RAND())))</f>
        <v/>
      </c>
      <c r="EU40" s="30">
        <f>IF(39&gt;$B$3,99,INDEX(Symboles!$H$6:$H$101,MOD(38+$C40+(-4),$B$3)+1)*E40+INDEX(Symboles!$H$6:$H$101,MOD(38+$C40+(-3),$B$3)+1)*F40+INDEX(Symboles!$H$6:$H$101,MOD(38+$C40+(-2),$B$3)+1)*G40+INDEX(Symboles!$H$6:$H$101,MOD(38+$C40+(-1),$B$3)+1)*H40+INDEX(Symboles!$H$6:$H$101,MOD(38+$C40+(0),$B$3)+1)*I40+INDEX(Symboles!$H$6:$H$101,MOD(38+$C40+(1),$B$3)+1)*J40+INDEX(Symboles!$H$6:$H$101,MOD(38+$C40+(2),$B$3)+1)*K40+INDEX(Symboles!$H$6:$H$101,MOD(38+$C40+(3),$B$3)+1)*L40+INDEX(Symboles!$H$6:$H$101,MOD(38+$C40+(4),$B$3)+1)*M40+IF($B$6=0,0,$B$6*NORMSINV(0.000001+0.999998*RAND())))</f>
        <v/>
      </c>
      <c r="EV40" s="30">
        <f>IF(40&gt;$B$3,99,INDEX(Symboles!$H$6:$H$101,MOD(39+$C40+(-4),$B$3)+1)*E40+INDEX(Symboles!$H$6:$H$101,MOD(39+$C40+(-3),$B$3)+1)*F40+INDEX(Symboles!$H$6:$H$101,MOD(39+$C40+(-2),$B$3)+1)*G40+INDEX(Symboles!$H$6:$H$101,MOD(39+$C40+(-1),$B$3)+1)*H40+INDEX(Symboles!$H$6:$H$101,MOD(39+$C40+(0),$B$3)+1)*I40+INDEX(Symboles!$H$6:$H$101,MOD(39+$C40+(1),$B$3)+1)*J40+INDEX(Symboles!$H$6:$H$101,MOD(39+$C40+(2),$B$3)+1)*K40+INDEX(Symboles!$H$6:$H$101,MOD(39+$C40+(3),$B$3)+1)*L40+INDEX(Symboles!$H$6:$H$101,MOD(39+$C40+(4),$B$3)+1)*M40+IF($B$6=0,0,$B$6*NORMSINV(0.000001+0.999998*RAND())))</f>
        <v/>
      </c>
      <c r="EW40" s="30">
        <f>IF(41&gt;$B$3,99,INDEX(Symboles!$H$6:$H$101,MOD(40+$C40+(-4),$B$3)+1)*E40+INDEX(Symboles!$H$6:$H$101,MOD(40+$C40+(-3),$B$3)+1)*F40+INDEX(Symboles!$H$6:$H$101,MOD(40+$C40+(-2),$B$3)+1)*G40+INDEX(Symboles!$H$6:$H$101,MOD(40+$C40+(-1),$B$3)+1)*H40+INDEX(Symboles!$H$6:$H$101,MOD(40+$C40+(0),$B$3)+1)*I40+INDEX(Symboles!$H$6:$H$101,MOD(40+$C40+(1),$B$3)+1)*J40+INDEX(Symboles!$H$6:$H$101,MOD(40+$C40+(2),$B$3)+1)*K40+INDEX(Symboles!$H$6:$H$101,MOD(40+$C40+(3),$B$3)+1)*L40+INDEX(Symboles!$H$6:$H$101,MOD(40+$C40+(4),$B$3)+1)*M40+IF($B$6=0,0,$B$6*NORMSINV(0.000001+0.999998*RAND())))</f>
        <v/>
      </c>
      <c r="EX40" s="30">
        <f>IF(42&gt;$B$3,99,INDEX(Symboles!$H$6:$H$101,MOD(41+$C40+(-4),$B$3)+1)*E40+INDEX(Symboles!$H$6:$H$101,MOD(41+$C40+(-3),$B$3)+1)*F40+INDEX(Symboles!$H$6:$H$101,MOD(41+$C40+(-2),$B$3)+1)*G40+INDEX(Symboles!$H$6:$H$101,MOD(41+$C40+(-1),$B$3)+1)*H40+INDEX(Symboles!$H$6:$H$101,MOD(41+$C40+(0),$B$3)+1)*I40+INDEX(Symboles!$H$6:$H$101,MOD(41+$C40+(1),$B$3)+1)*J40+INDEX(Symboles!$H$6:$H$101,MOD(41+$C40+(2),$B$3)+1)*K40+INDEX(Symboles!$H$6:$H$101,MOD(41+$C40+(3),$B$3)+1)*L40+INDEX(Symboles!$H$6:$H$101,MOD(41+$C40+(4),$B$3)+1)*M40+IF($B$6=0,0,$B$6*NORMSINV(0.000001+0.999998*RAND())))</f>
        <v/>
      </c>
      <c r="EY40" s="30">
        <f>IF(43&gt;$B$3,99,INDEX(Symboles!$H$6:$H$101,MOD(42+$C40+(-4),$B$3)+1)*E40+INDEX(Symboles!$H$6:$H$101,MOD(42+$C40+(-3),$B$3)+1)*F40+INDEX(Symboles!$H$6:$H$101,MOD(42+$C40+(-2),$B$3)+1)*G40+INDEX(Symboles!$H$6:$H$101,MOD(42+$C40+(-1),$B$3)+1)*H40+INDEX(Symboles!$H$6:$H$101,MOD(42+$C40+(0),$B$3)+1)*I40+INDEX(Symboles!$H$6:$H$101,MOD(42+$C40+(1),$B$3)+1)*J40+INDEX(Symboles!$H$6:$H$101,MOD(42+$C40+(2),$B$3)+1)*K40+INDEX(Symboles!$H$6:$H$101,MOD(42+$C40+(3),$B$3)+1)*L40+INDEX(Symboles!$H$6:$H$101,MOD(42+$C40+(4),$B$3)+1)*M40+IF($B$6=0,0,$B$6*NORMSINV(0.000001+0.999998*RAND())))</f>
        <v/>
      </c>
      <c r="EZ40" s="30">
        <f>IF(44&gt;$B$3,99,INDEX(Symboles!$H$6:$H$101,MOD(43+$C40+(-4),$B$3)+1)*E40+INDEX(Symboles!$H$6:$H$101,MOD(43+$C40+(-3),$B$3)+1)*F40+INDEX(Symboles!$H$6:$H$101,MOD(43+$C40+(-2),$B$3)+1)*G40+INDEX(Symboles!$H$6:$H$101,MOD(43+$C40+(-1),$B$3)+1)*H40+INDEX(Symboles!$H$6:$H$101,MOD(43+$C40+(0),$B$3)+1)*I40+INDEX(Symboles!$H$6:$H$101,MOD(43+$C40+(1),$B$3)+1)*J40+INDEX(Symboles!$H$6:$H$101,MOD(43+$C40+(2),$B$3)+1)*K40+INDEX(Symboles!$H$6:$H$101,MOD(43+$C40+(3),$B$3)+1)*L40+INDEX(Symboles!$H$6:$H$101,MOD(43+$C40+(4),$B$3)+1)*M40+IF($B$6=0,0,$B$6*NORMSINV(0.000001+0.999998*RAND())))</f>
        <v/>
      </c>
      <c r="FA40" s="30">
        <f>IF(45&gt;$B$3,99,INDEX(Symboles!$H$6:$H$101,MOD(44+$C40+(-4),$B$3)+1)*E40+INDEX(Symboles!$H$6:$H$101,MOD(44+$C40+(-3),$B$3)+1)*F40+INDEX(Symboles!$H$6:$H$101,MOD(44+$C40+(-2),$B$3)+1)*G40+INDEX(Symboles!$H$6:$H$101,MOD(44+$C40+(-1),$B$3)+1)*H40+INDEX(Symboles!$H$6:$H$101,MOD(44+$C40+(0),$B$3)+1)*I40+INDEX(Symboles!$H$6:$H$101,MOD(44+$C40+(1),$B$3)+1)*J40+INDEX(Symboles!$H$6:$H$101,MOD(44+$C40+(2),$B$3)+1)*K40+INDEX(Symboles!$H$6:$H$101,MOD(44+$C40+(3),$B$3)+1)*L40+INDEX(Symboles!$H$6:$H$101,MOD(44+$C40+(4),$B$3)+1)*M40+IF($B$6=0,0,$B$6*NORMSINV(0.000001+0.999998*RAND())))</f>
        <v/>
      </c>
      <c r="FB40" s="30">
        <f>IF(46&gt;$B$3,99,INDEX(Symboles!$H$6:$H$101,MOD(45+$C40+(-4),$B$3)+1)*E40+INDEX(Symboles!$H$6:$H$101,MOD(45+$C40+(-3),$B$3)+1)*F40+INDEX(Symboles!$H$6:$H$101,MOD(45+$C40+(-2),$B$3)+1)*G40+INDEX(Symboles!$H$6:$H$101,MOD(45+$C40+(-1),$B$3)+1)*H40+INDEX(Symboles!$H$6:$H$101,MOD(45+$C40+(0),$B$3)+1)*I40+INDEX(Symboles!$H$6:$H$101,MOD(45+$C40+(1),$B$3)+1)*J40+INDEX(Symboles!$H$6:$H$101,MOD(45+$C40+(2),$B$3)+1)*K40+INDEX(Symboles!$H$6:$H$101,MOD(45+$C40+(3),$B$3)+1)*L40+INDEX(Symboles!$H$6:$H$101,MOD(45+$C40+(4),$B$3)+1)*M40+IF($B$6=0,0,$B$6*NORMSINV(0.000001+0.999998*RAND())))</f>
        <v/>
      </c>
      <c r="FC40" s="30">
        <f>IF(47&gt;$B$3,99,INDEX(Symboles!$H$6:$H$101,MOD(46+$C40+(-4),$B$3)+1)*E40+INDEX(Symboles!$H$6:$H$101,MOD(46+$C40+(-3),$B$3)+1)*F40+INDEX(Symboles!$H$6:$H$101,MOD(46+$C40+(-2),$B$3)+1)*G40+INDEX(Symboles!$H$6:$H$101,MOD(46+$C40+(-1),$B$3)+1)*H40+INDEX(Symboles!$H$6:$H$101,MOD(46+$C40+(0),$B$3)+1)*I40+INDEX(Symboles!$H$6:$H$101,MOD(46+$C40+(1),$B$3)+1)*J40+INDEX(Symboles!$H$6:$H$101,MOD(46+$C40+(2),$B$3)+1)*K40+INDEX(Symboles!$H$6:$H$101,MOD(46+$C40+(3),$B$3)+1)*L40+INDEX(Symboles!$H$6:$H$101,MOD(46+$C40+(4),$B$3)+1)*M40+IF($B$6=0,0,$B$6*NORMSINV(0.000001+0.999998*RAND())))</f>
        <v/>
      </c>
      <c r="FD40" s="30">
        <f>IF(48&gt;$B$3,99,INDEX(Symboles!$H$6:$H$101,MOD(47+$C40+(-4),$B$3)+1)*E40+INDEX(Symboles!$H$6:$H$101,MOD(47+$C40+(-3),$B$3)+1)*F40+INDEX(Symboles!$H$6:$H$101,MOD(47+$C40+(-2),$B$3)+1)*G40+INDEX(Symboles!$H$6:$H$101,MOD(47+$C40+(-1),$B$3)+1)*H40+INDEX(Symboles!$H$6:$H$101,MOD(47+$C40+(0),$B$3)+1)*I40+INDEX(Symboles!$H$6:$H$101,MOD(47+$C40+(1),$B$3)+1)*J40+INDEX(Symboles!$H$6:$H$101,MOD(47+$C40+(2),$B$3)+1)*K40+INDEX(Symboles!$H$6:$H$101,MOD(47+$C40+(3),$B$3)+1)*L40+INDEX(Symboles!$H$6:$H$101,MOD(47+$C40+(4),$B$3)+1)*M40+IF($B$6=0,0,$B$6*NORMSINV(0.000001+0.999998*RAND())))</f>
        <v/>
      </c>
      <c r="FE40" s="30">
        <f>IF(49&gt;$B$3,99,INDEX(Symboles!$H$6:$H$101,MOD(48+$C40+(-4),$B$3)+1)*E40+INDEX(Symboles!$H$6:$H$101,MOD(48+$C40+(-3),$B$3)+1)*F40+INDEX(Symboles!$H$6:$H$101,MOD(48+$C40+(-2),$B$3)+1)*G40+INDEX(Symboles!$H$6:$H$101,MOD(48+$C40+(-1),$B$3)+1)*H40+INDEX(Symboles!$H$6:$H$101,MOD(48+$C40+(0),$B$3)+1)*I40+INDEX(Symboles!$H$6:$H$101,MOD(48+$C40+(1),$B$3)+1)*J40+INDEX(Symboles!$H$6:$H$101,MOD(48+$C40+(2),$B$3)+1)*K40+INDEX(Symboles!$H$6:$H$101,MOD(48+$C40+(3),$B$3)+1)*L40+INDEX(Symboles!$H$6:$H$101,MOD(48+$C40+(4),$B$3)+1)*M40+IF($B$6=0,0,$B$6*NORMSINV(0.000001+0.999998*RAND())))</f>
        <v/>
      </c>
      <c r="FF40" s="30">
        <f>IF(50&gt;$B$3,99,INDEX(Symboles!$H$6:$H$101,MOD(49+$C40+(-4),$B$3)+1)*E40+INDEX(Symboles!$H$6:$H$101,MOD(49+$C40+(-3),$B$3)+1)*F40+INDEX(Symboles!$H$6:$H$101,MOD(49+$C40+(-2),$B$3)+1)*G40+INDEX(Symboles!$H$6:$H$101,MOD(49+$C40+(-1),$B$3)+1)*H40+INDEX(Symboles!$H$6:$H$101,MOD(49+$C40+(0),$B$3)+1)*I40+INDEX(Symboles!$H$6:$H$101,MOD(49+$C40+(1),$B$3)+1)*J40+INDEX(Symboles!$H$6:$H$101,MOD(49+$C40+(2),$B$3)+1)*K40+INDEX(Symboles!$H$6:$H$101,MOD(49+$C40+(3),$B$3)+1)*L40+INDEX(Symboles!$H$6:$H$101,MOD(49+$C40+(4),$B$3)+1)*M40+IF($B$6=0,0,$B$6*NORMSINV(0.000001+0.999998*RAND())))</f>
        <v/>
      </c>
      <c r="FG40" s="30">
        <f>IF(51&gt;$B$3,99,INDEX(Symboles!$H$6:$H$101,MOD(50+$C40+(-4),$B$3)+1)*E40+INDEX(Symboles!$H$6:$H$101,MOD(50+$C40+(-3),$B$3)+1)*F40+INDEX(Symboles!$H$6:$H$101,MOD(50+$C40+(-2),$B$3)+1)*G40+INDEX(Symboles!$H$6:$H$101,MOD(50+$C40+(-1),$B$3)+1)*H40+INDEX(Symboles!$H$6:$H$101,MOD(50+$C40+(0),$B$3)+1)*I40+INDEX(Symboles!$H$6:$H$101,MOD(50+$C40+(1),$B$3)+1)*J40+INDEX(Symboles!$H$6:$H$101,MOD(50+$C40+(2),$B$3)+1)*K40+INDEX(Symboles!$H$6:$H$101,MOD(50+$C40+(3),$B$3)+1)*L40+INDEX(Symboles!$H$6:$H$101,MOD(50+$C40+(4),$B$3)+1)*M40+IF($B$6=0,0,$B$6*NORMSINV(0.000001+0.999998*RAND())))</f>
        <v/>
      </c>
      <c r="FH40" s="30">
        <f>IF(52&gt;$B$3,99,INDEX(Symboles!$H$6:$H$101,MOD(51+$C40+(-4),$B$3)+1)*E40+INDEX(Symboles!$H$6:$H$101,MOD(51+$C40+(-3),$B$3)+1)*F40+INDEX(Symboles!$H$6:$H$101,MOD(51+$C40+(-2),$B$3)+1)*G40+INDEX(Symboles!$H$6:$H$101,MOD(51+$C40+(-1),$B$3)+1)*H40+INDEX(Symboles!$H$6:$H$101,MOD(51+$C40+(0),$B$3)+1)*I40+INDEX(Symboles!$H$6:$H$101,MOD(51+$C40+(1),$B$3)+1)*J40+INDEX(Symboles!$H$6:$H$101,MOD(51+$C40+(2),$B$3)+1)*K40+INDEX(Symboles!$H$6:$H$101,MOD(51+$C40+(3),$B$3)+1)*L40+INDEX(Symboles!$H$6:$H$101,MOD(51+$C40+(4),$B$3)+1)*M40+IF($B$6=0,0,$B$6*NORMSINV(0.000001+0.999998*RAND())))</f>
        <v/>
      </c>
      <c r="FI40" s="30">
        <f>IF(53&gt;$B$3,99,INDEX(Symboles!$H$6:$H$101,MOD(52+$C40+(-4),$B$3)+1)*E40+INDEX(Symboles!$H$6:$H$101,MOD(52+$C40+(-3),$B$3)+1)*F40+INDEX(Symboles!$H$6:$H$101,MOD(52+$C40+(-2),$B$3)+1)*G40+INDEX(Symboles!$H$6:$H$101,MOD(52+$C40+(-1),$B$3)+1)*H40+INDEX(Symboles!$H$6:$H$101,MOD(52+$C40+(0),$B$3)+1)*I40+INDEX(Symboles!$H$6:$H$101,MOD(52+$C40+(1),$B$3)+1)*J40+INDEX(Symboles!$H$6:$H$101,MOD(52+$C40+(2),$B$3)+1)*K40+INDEX(Symboles!$H$6:$H$101,MOD(52+$C40+(3),$B$3)+1)*L40+INDEX(Symboles!$H$6:$H$101,MOD(52+$C40+(4),$B$3)+1)*M40+IF($B$6=0,0,$B$6*NORMSINV(0.000001+0.999998*RAND())))</f>
        <v/>
      </c>
      <c r="FJ40" s="30">
        <f>IF(54&gt;$B$3,99,INDEX(Symboles!$H$6:$H$101,MOD(53+$C40+(-4),$B$3)+1)*E40+INDEX(Symboles!$H$6:$H$101,MOD(53+$C40+(-3),$B$3)+1)*F40+INDEX(Symboles!$H$6:$H$101,MOD(53+$C40+(-2),$B$3)+1)*G40+INDEX(Symboles!$H$6:$H$101,MOD(53+$C40+(-1),$B$3)+1)*H40+INDEX(Symboles!$H$6:$H$101,MOD(53+$C40+(0),$B$3)+1)*I40+INDEX(Symboles!$H$6:$H$101,MOD(53+$C40+(1),$B$3)+1)*J40+INDEX(Symboles!$H$6:$H$101,MOD(53+$C40+(2),$B$3)+1)*K40+INDEX(Symboles!$H$6:$H$101,MOD(53+$C40+(3),$B$3)+1)*L40+INDEX(Symboles!$H$6:$H$101,MOD(53+$C40+(4),$B$3)+1)*M40+IF($B$6=0,0,$B$6*NORMSINV(0.000001+0.999998*RAND())))</f>
        <v/>
      </c>
      <c r="FK40" s="30">
        <f>IF(55&gt;$B$3,99,INDEX(Symboles!$H$6:$H$101,MOD(54+$C40+(-4),$B$3)+1)*E40+INDEX(Symboles!$H$6:$H$101,MOD(54+$C40+(-3),$B$3)+1)*F40+INDEX(Symboles!$H$6:$H$101,MOD(54+$C40+(-2),$B$3)+1)*G40+INDEX(Symboles!$H$6:$H$101,MOD(54+$C40+(-1),$B$3)+1)*H40+INDEX(Symboles!$H$6:$H$101,MOD(54+$C40+(0),$B$3)+1)*I40+INDEX(Symboles!$H$6:$H$101,MOD(54+$C40+(1),$B$3)+1)*J40+INDEX(Symboles!$H$6:$H$101,MOD(54+$C40+(2),$B$3)+1)*K40+INDEX(Symboles!$H$6:$H$101,MOD(54+$C40+(3),$B$3)+1)*L40+INDEX(Symboles!$H$6:$H$101,MOD(54+$C40+(4),$B$3)+1)*M40+IF($B$6=0,0,$B$6*NORMSINV(0.000001+0.999998*RAND())))</f>
        <v/>
      </c>
      <c r="FL40" s="30">
        <f>IF(56&gt;$B$3,99,INDEX(Symboles!$H$6:$H$101,MOD(55+$C40+(-4),$B$3)+1)*E40+INDEX(Symboles!$H$6:$H$101,MOD(55+$C40+(-3),$B$3)+1)*F40+INDEX(Symboles!$H$6:$H$101,MOD(55+$C40+(-2),$B$3)+1)*G40+INDEX(Symboles!$H$6:$H$101,MOD(55+$C40+(-1),$B$3)+1)*H40+INDEX(Symboles!$H$6:$H$101,MOD(55+$C40+(0),$B$3)+1)*I40+INDEX(Symboles!$H$6:$H$101,MOD(55+$C40+(1),$B$3)+1)*J40+INDEX(Symboles!$H$6:$H$101,MOD(55+$C40+(2),$B$3)+1)*K40+INDEX(Symboles!$H$6:$H$101,MOD(55+$C40+(3),$B$3)+1)*L40+INDEX(Symboles!$H$6:$H$101,MOD(55+$C40+(4),$B$3)+1)*M40+IF($B$6=0,0,$B$6*NORMSINV(0.000001+0.999998*RAND())))</f>
        <v/>
      </c>
      <c r="FM40" s="30">
        <f>IF(57&gt;$B$3,99,INDEX(Symboles!$H$6:$H$101,MOD(56+$C40+(-4),$B$3)+1)*E40+INDEX(Symboles!$H$6:$H$101,MOD(56+$C40+(-3),$B$3)+1)*F40+INDEX(Symboles!$H$6:$H$101,MOD(56+$C40+(-2),$B$3)+1)*G40+INDEX(Symboles!$H$6:$H$101,MOD(56+$C40+(-1),$B$3)+1)*H40+INDEX(Symboles!$H$6:$H$101,MOD(56+$C40+(0),$B$3)+1)*I40+INDEX(Symboles!$H$6:$H$101,MOD(56+$C40+(1),$B$3)+1)*J40+INDEX(Symboles!$H$6:$H$101,MOD(56+$C40+(2),$B$3)+1)*K40+INDEX(Symboles!$H$6:$H$101,MOD(56+$C40+(3),$B$3)+1)*L40+INDEX(Symboles!$H$6:$H$101,MOD(56+$C40+(4),$B$3)+1)*M40+IF($B$6=0,0,$B$6*NORMSINV(0.000001+0.999998*RAND())))</f>
        <v/>
      </c>
      <c r="FN40" s="30">
        <f>IF(58&gt;$B$3,99,INDEX(Symboles!$H$6:$H$101,MOD(57+$C40+(-4),$B$3)+1)*E40+INDEX(Symboles!$H$6:$H$101,MOD(57+$C40+(-3),$B$3)+1)*F40+INDEX(Symboles!$H$6:$H$101,MOD(57+$C40+(-2),$B$3)+1)*G40+INDEX(Symboles!$H$6:$H$101,MOD(57+$C40+(-1),$B$3)+1)*H40+INDEX(Symboles!$H$6:$H$101,MOD(57+$C40+(0),$B$3)+1)*I40+INDEX(Symboles!$H$6:$H$101,MOD(57+$C40+(1),$B$3)+1)*J40+INDEX(Symboles!$H$6:$H$101,MOD(57+$C40+(2),$B$3)+1)*K40+INDEX(Symboles!$H$6:$H$101,MOD(57+$C40+(3),$B$3)+1)*L40+INDEX(Symboles!$H$6:$H$101,MOD(57+$C40+(4),$B$3)+1)*M40+IF($B$6=0,0,$B$6*NORMSINV(0.000001+0.999998*RAND())))</f>
        <v/>
      </c>
      <c r="FO40" s="30">
        <f>IF(59&gt;$B$3,99,INDEX(Symboles!$H$6:$H$101,MOD(58+$C40+(-4),$B$3)+1)*E40+INDEX(Symboles!$H$6:$H$101,MOD(58+$C40+(-3),$B$3)+1)*F40+INDEX(Symboles!$H$6:$H$101,MOD(58+$C40+(-2),$B$3)+1)*G40+INDEX(Symboles!$H$6:$H$101,MOD(58+$C40+(-1),$B$3)+1)*H40+INDEX(Symboles!$H$6:$H$101,MOD(58+$C40+(0),$B$3)+1)*I40+INDEX(Symboles!$H$6:$H$101,MOD(58+$C40+(1),$B$3)+1)*J40+INDEX(Symboles!$H$6:$H$101,MOD(58+$C40+(2),$B$3)+1)*K40+INDEX(Symboles!$H$6:$H$101,MOD(58+$C40+(3),$B$3)+1)*L40+INDEX(Symboles!$H$6:$H$101,MOD(58+$C40+(4),$B$3)+1)*M40+IF($B$6=0,0,$B$6*NORMSINV(0.000001+0.999998*RAND())))</f>
        <v/>
      </c>
      <c r="FP40" s="30">
        <f>IF(60&gt;$B$3,99,INDEX(Symboles!$H$6:$H$101,MOD(59+$C40+(-4),$B$3)+1)*E40+INDEX(Symboles!$H$6:$H$101,MOD(59+$C40+(-3),$B$3)+1)*F40+INDEX(Symboles!$H$6:$H$101,MOD(59+$C40+(-2),$B$3)+1)*G40+INDEX(Symboles!$H$6:$H$101,MOD(59+$C40+(-1),$B$3)+1)*H40+INDEX(Symboles!$H$6:$H$101,MOD(59+$C40+(0),$B$3)+1)*I40+INDEX(Symboles!$H$6:$H$101,MOD(59+$C40+(1),$B$3)+1)*J40+INDEX(Symboles!$H$6:$H$101,MOD(59+$C40+(2),$B$3)+1)*K40+INDEX(Symboles!$H$6:$H$101,MOD(59+$C40+(3),$B$3)+1)*L40+INDEX(Symboles!$H$6:$H$101,MOD(59+$C40+(4),$B$3)+1)*M40+IF($B$6=0,0,$B$6*NORMSINV(0.000001+0.999998*RAND())))</f>
        <v/>
      </c>
      <c r="FQ40" s="30">
        <f>IF(61&gt;$B$3,99,INDEX(Symboles!$H$6:$H$101,MOD(60+$C40+(-4),$B$3)+1)*E40+INDEX(Symboles!$H$6:$H$101,MOD(60+$C40+(-3),$B$3)+1)*F40+INDEX(Symboles!$H$6:$H$101,MOD(60+$C40+(-2),$B$3)+1)*G40+INDEX(Symboles!$H$6:$H$101,MOD(60+$C40+(-1),$B$3)+1)*H40+INDEX(Symboles!$H$6:$H$101,MOD(60+$C40+(0),$B$3)+1)*I40+INDEX(Symboles!$H$6:$H$101,MOD(60+$C40+(1),$B$3)+1)*J40+INDEX(Symboles!$H$6:$H$101,MOD(60+$C40+(2),$B$3)+1)*K40+INDEX(Symboles!$H$6:$H$101,MOD(60+$C40+(3),$B$3)+1)*L40+INDEX(Symboles!$H$6:$H$101,MOD(60+$C40+(4),$B$3)+1)*M40+IF($B$6=0,0,$B$6*NORMSINV(0.000001+0.999998*RAND())))</f>
        <v/>
      </c>
      <c r="FR40" s="30">
        <f>IF(62&gt;$B$3,99,INDEX(Symboles!$H$6:$H$101,MOD(61+$C40+(-4),$B$3)+1)*E40+INDEX(Symboles!$H$6:$H$101,MOD(61+$C40+(-3),$B$3)+1)*F40+INDEX(Symboles!$H$6:$H$101,MOD(61+$C40+(-2),$B$3)+1)*G40+INDEX(Symboles!$H$6:$H$101,MOD(61+$C40+(-1),$B$3)+1)*H40+INDEX(Symboles!$H$6:$H$101,MOD(61+$C40+(0),$B$3)+1)*I40+INDEX(Symboles!$H$6:$H$101,MOD(61+$C40+(1),$B$3)+1)*J40+INDEX(Symboles!$H$6:$H$101,MOD(61+$C40+(2),$B$3)+1)*K40+INDEX(Symboles!$H$6:$H$101,MOD(61+$C40+(3),$B$3)+1)*L40+INDEX(Symboles!$H$6:$H$101,MOD(61+$C40+(4),$B$3)+1)*M40+IF($B$6=0,0,$B$6*NORMSINV(0.000001+0.999998*RAND())))</f>
        <v/>
      </c>
      <c r="FS40" s="30">
        <f>IF(63&gt;$B$3,99,INDEX(Symboles!$H$6:$H$101,MOD(62+$C40+(-4),$B$3)+1)*E40+INDEX(Symboles!$H$6:$H$101,MOD(62+$C40+(-3),$B$3)+1)*F40+INDEX(Symboles!$H$6:$H$101,MOD(62+$C40+(-2),$B$3)+1)*G40+INDEX(Symboles!$H$6:$H$101,MOD(62+$C40+(-1),$B$3)+1)*H40+INDEX(Symboles!$H$6:$H$101,MOD(62+$C40+(0),$B$3)+1)*I40+INDEX(Symboles!$H$6:$H$101,MOD(62+$C40+(1),$B$3)+1)*J40+INDEX(Symboles!$H$6:$H$101,MOD(62+$C40+(2),$B$3)+1)*K40+INDEX(Symboles!$H$6:$H$101,MOD(62+$C40+(3),$B$3)+1)*L40+INDEX(Symboles!$H$6:$H$101,MOD(62+$C40+(4),$B$3)+1)*M40+IF($B$6=0,0,$B$6*NORMSINV(0.000001+0.999998*RAND())))</f>
        <v/>
      </c>
      <c r="FT40" s="30">
        <f>IF(64&gt;$B$3,99,INDEX(Symboles!$H$6:$H$101,MOD(63+$C40+(-4),$B$3)+1)*E40+INDEX(Symboles!$H$6:$H$101,MOD(63+$C40+(-3),$B$3)+1)*F40+INDEX(Symboles!$H$6:$H$101,MOD(63+$C40+(-2),$B$3)+1)*G40+INDEX(Symboles!$H$6:$H$101,MOD(63+$C40+(-1),$B$3)+1)*H40+INDEX(Symboles!$H$6:$H$101,MOD(63+$C40+(0),$B$3)+1)*I40+INDEX(Symboles!$H$6:$H$101,MOD(63+$C40+(1),$B$3)+1)*J40+INDEX(Symboles!$H$6:$H$101,MOD(63+$C40+(2),$B$3)+1)*K40+INDEX(Symboles!$H$6:$H$101,MOD(63+$C40+(3),$B$3)+1)*L40+INDEX(Symboles!$H$6:$H$101,MOD(63+$C40+(4),$B$3)+1)*M40+IF($B$6=0,0,$B$6*NORMSINV(0.000001+0.999998*RAND())))</f>
        <v/>
      </c>
      <c r="FU40" s="30">
        <f>IF(65&gt;$B$3,99,INDEX(Symboles!$H$6:$H$101,MOD(64+$C40+(-4),$B$3)+1)*E40+INDEX(Symboles!$H$6:$H$101,MOD(64+$C40+(-3),$B$3)+1)*F40+INDEX(Symboles!$H$6:$H$101,MOD(64+$C40+(-2),$B$3)+1)*G40+INDEX(Symboles!$H$6:$H$101,MOD(64+$C40+(-1),$B$3)+1)*H40+INDEX(Symboles!$H$6:$H$101,MOD(64+$C40+(0),$B$3)+1)*I40+INDEX(Symboles!$H$6:$H$101,MOD(64+$C40+(1),$B$3)+1)*J40+INDEX(Symboles!$H$6:$H$101,MOD(64+$C40+(2),$B$3)+1)*K40+INDEX(Symboles!$H$6:$H$101,MOD(64+$C40+(3),$B$3)+1)*L40+INDEX(Symboles!$H$6:$H$101,MOD(64+$C40+(4),$B$3)+1)*M40+IF($B$6=0,0,$B$6*NORMSINV(0.000001+0.999998*RAND())))</f>
        <v/>
      </c>
      <c r="FV40" s="30">
        <f>IF(66&gt;$B$3,99,INDEX(Symboles!$H$6:$H$101,MOD(65+$C40+(-4),$B$3)+1)*E40+INDEX(Symboles!$H$6:$H$101,MOD(65+$C40+(-3),$B$3)+1)*F40+INDEX(Symboles!$H$6:$H$101,MOD(65+$C40+(-2),$B$3)+1)*G40+INDEX(Symboles!$H$6:$H$101,MOD(65+$C40+(-1),$B$3)+1)*H40+INDEX(Symboles!$H$6:$H$101,MOD(65+$C40+(0),$B$3)+1)*I40+INDEX(Symboles!$H$6:$H$101,MOD(65+$C40+(1),$B$3)+1)*J40+INDEX(Symboles!$H$6:$H$101,MOD(65+$C40+(2),$B$3)+1)*K40+INDEX(Symboles!$H$6:$H$101,MOD(65+$C40+(3),$B$3)+1)*L40+INDEX(Symboles!$H$6:$H$101,MOD(65+$C40+(4),$B$3)+1)*M40+IF($B$6=0,0,$B$6*NORMSINV(0.000001+0.999998*RAND())))</f>
        <v/>
      </c>
      <c r="FW40" s="30">
        <f>IF(67&gt;$B$3,99,INDEX(Symboles!$H$6:$H$101,MOD(66+$C40+(-4),$B$3)+1)*E40+INDEX(Symboles!$H$6:$H$101,MOD(66+$C40+(-3),$B$3)+1)*F40+INDEX(Symboles!$H$6:$H$101,MOD(66+$C40+(-2),$B$3)+1)*G40+INDEX(Symboles!$H$6:$H$101,MOD(66+$C40+(-1),$B$3)+1)*H40+INDEX(Symboles!$H$6:$H$101,MOD(66+$C40+(0),$B$3)+1)*I40+INDEX(Symboles!$H$6:$H$101,MOD(66+$C40+(1),$B$3)+1)*J40+INDEX(Symboles!$H$6:$H$101,MOD(66+$C40+(2),$B$3)+1)*K40+INDEX(Symboles!$H$6:$H$101,MOD(66+$C40+(3),$B$3)+1)*L40+INDEX(Symboles!$H$6:$H$101,MOD(66+$C40+(4),$B$3)+1)*M40+IF($B$6=0,0,$B$6*NORMSINV(0.000001+0.999998*RAND())))</f>
        <v/>
      </c>
      <c r="FX40" s="30">
        <f>IF(68&gt;$B$3,99,INDEX(Symboles!$H$6:$H$101,MOD(67+$C40+(-4),$B$3)+1)*E40+INDEX(Symboles!$H$6:$H$101,MOD(67+$C40+(-3),$B$3)+1)*F40+INDEX(Symboles!$H$6:$H$101,MOD(67+$C40+(-2),$B$3)+1)*G40+INDEX(Symboles!$H$6:$H$101,MOD(67+$C40+(-1),$B$3)+1)*H40+INDEX(Symboles!$H$6:$H$101,MOD(67+$C40+(0),$B$3)+1)*I40+INDEX(Symboles!$H$6:$H$101,MOD(67+$C40+(1),$B$3)+1)*J40+INDEX(Symboles!$H$6:$H$101,MOD(67+$C40+(2),$B$3)+1)*K40+INDEX(Symboles!$H$6:$H$101,MOD(67+$C40+(3),$B$3)+1)*L40+INDEX(Symboles!$H$6:$H$101,MOD(67+$C40+(4),$B$3)+1)*M40+IF($B$6=0,0,$B$6*NORMSINV(0.000001+0.999998*RAND())))</f>
        <v/>
      </c>
      <c r="FY40" s="30">
        <f>IF(69&gt;$B$3,99,INDEX(Symboles!$H$6:$H$101,MOD(68+$C40+(-4),$B$3)+1)*E40+INDEX(Symboles!$H$6:$H$101,MOD(68+$C40+(-3),$B$3)+1)*F40+INDEX(Symboles!$H$6:$H$101,MOD(68+$C40+(-2),$B$3)+1)*G40+INDEX(Symboles!$H$6:$H$101,MOD(68+$C40+(-1),$B$3)+1)*H40+INDEX(Symboles!$H$6:$H$101,MOD(68+$C40+(0),$B$3)+1)*I40+INDEX(Symboles!$H$6:$H$101,MOD(68+$C40+(1),$B$3)+1)*J40+INDEX(Symboles!$H$6:$H$101,MOD(68+$C40+(2),$B$3)+1)*K40+INDEX(Symboles!$H$6:$H$101,MOD(68+$C40+(3),$B$3)+1)*L40+INDEX(Symboles!$H$6:$H$101,MOD(68+$C40+(4),$B$3)+1)*M40+IF($B$6=0,0,$B$6*NORMSINV(0.000001+0.999998*RAND())))</f>
        <v/>
      </c>
      <c r="FZ40" s="30">
        <f>IF(70&gt;$B$3,99,INDEX(Symboles!$H$6:$H$101,MOD(69+$C40+(-4),$B$3)+1)*E40+INDEX(Symboles!$H$6:$H$101,MOD(69+$C40+(-3),$B$3)+1)*F40+INDEX(Symboles!$H$6:$H$101,MOD(69+$C40+(-2),$B$3)+1)*G40+INDEX(Symboles!$H$6:$H$101,MOD(69+$C40+(-1),$B$3)+1)*H40+INDEX(Symboles!$H$6:$H$101,MOD(69+$C40+(0),$B$3)+1)*I40+INDEX(Symboles!$H$6:$H$101,MOD(69+$C40+(1),$B$3)+1)*J40+INDEX(Symboles!$H$6:$H$101,MOD(69+$C40+(2),$B$3)+1)*K40+INDEX(Symboles!$H$6:$H$101,MOD(69+$C40+(3),$B$3)+1)*L40+INDEX(Symboles!$H$6:$H$101,MOD(69+$C40+(4),$B$3)+1)*M40+IF($B$6=0,0,$B$6*NORMSINV(0.000001+0.999998*RAND())))</f>
        <v/>
      </c>
      <c r="GA40" s="30">
        <f>IF(71&gt;$B$3,99,INDEX(Symboles!$H$6:$H$101,MOD(70+$C40+(-4),$B$3)+1)*E40+INDEX(Symboles!$H$6:$H$101,MOD(70+$C40+(-3),$B$3)+1)*F40+INDEX(Symboles!$H$6:$H$101,MOD(70+$C40+(-2),$B$3)+1)*G40+INDEX(Symboles!$H$6:$H$101,MOD(70+$C40+(-1),$B$3)+1)*H40+INDEX(Symboles!$H$6:$H$101,MOD(70+$C40+(0),$B$3)+1)*I40+INDEX(Symboles!$H$6:$H$101,MOD(70+$C40+(1),$B$3)+1)*J40+INDEX(Symboles!$H$6:$H$101,MOD(70+$C40+(2),$B$3)+1)*K40+INDEX(Symboles!$H$6:$H$101,MOD(70+$C40+(3),$B$3)+1)*L40+INDEX(Symboles!$H$6:$H$101,MOD(70+$C40+(4),$B$3)+1)*M40+IF($B$6=0,0,$B$6*NORMSINV(0.000001+0.999998*RAND())))</f>
        <v/>
      </c>
      <c r="GB40" s="30">
        <f>IF(72&gt;$B$3,99,INDEX(Symboles!$H$6:$H$101,MOD(71+$C40+(-4),$B$3)+1)*E40+INDEX(Symboles!$H$6:$H$101,MOD(71+$C40+(-3),$B$3)+1)*F40+INDEX(Symboles!$H$6:$H$101,MOD(71+$C40+(-2),$B$3)+1)*G40+INDEX(Symboles!$H$6:$H$101,MOD(71+$C40+(-1),$B$3)+1)*H40+INDEX(Symboles!$H$6:$H$101,MOD(71+$C40+(0),$B$3)+1)*I40+INDEX(Symboles!$H$6:$H$101,MOD(71+$C40+(1),$B$3)+1)*J40+INDEX(Symboles!$H$6:$H$101,MOD(71+$C40+(2),$B$3)+1)*K40+INDEX(Symboles!$H$6:$H$101,MOD(71+$C40+(3),$B$3)+1)*L40+INDEX(Symboles!$H$6:$H$101,MOD(71+$C40+(4),$B$3)+1)*M40+IF($B$6=0,0,$B$6*NORMSINV(0.000001+0.999998*RAND())))</f>
        <v/>
      </c>
      <c r="GC40" s="30">
        <f>IF(73&gt;$B$3,99,INDEX(Symboles!$H$6:$H$101,MOD(72+$C40+(-4),$B$3)+1)*E40+INDEX(Symboles!$H$6:$H$101,MOD(72+$C40+(-3),$B$3)+1)*F40+INDEX(Symboles!$H$6:$H$101,MOD(72+$C40+(-2),$B$3)+1)*G40+INDEX(Symboles!$H$6:$H$101,MOD(72+$C40+(-1),$B$3)+1)*H40+INDEX(Symboles!$H$6:$H$101,MOD(72+$C40+(0),$B$3)+1)*I40+INDEX(Symboles!$H$6:$H$101,MOD(72+$C40+(1),$B$3)+1)*J40+INDEX(Symboles!$H$6:$H$101,MOD(72+$C40+(2),$B$3)+1)*K40+INDEX(Symboles!$H$6:$H$101,MOD(72+$C40+(3),$B$3)+1)*L40+INDEX(Symboles!$H$6:$H$101,MOD(72+$C40+(4),$B$3)+1)*M40+IF($B$6=0,0,$B$6*NORMSINV(0.000001+0.999998*RAND())))</f>
        <v/>
      </c>
      <c r="GD40" s="30">
        <f>IF(74&gt;$B$3,99,INDEX(Symboles!$H$6:$H$101,MOD(73+$C40+(-4),$B$3)+1)*E40+INDEX(Symboles!$H$6:$H$101,MOD(73+$C40+(-3),$B$3)+1)*F40+INDEX(Symboles!$H$6:$H$101,MOD(73+$C40+(-2),$B$3)+1)*G40+INDEX(Symboles!$H$6:$H$101,MOD(73+$C40+(-1),$B$3)+1)*H40+INDEX(Symboles!$H$6:$H$101,MOD(73+$C40+(0),$B$3)+1)*I40+INDEX(Symboles!$H$6:$H$101,MOD(73+$C40+(1),$B$3)+1)*J40+INDEX(Symboles!$H$6:$H$101,MOD(73+$C40+(2),$B$3)+1)*K40+INDEX(Symboles!$H$6:$H$101,MOD(73+$C40+(3),$B$3)+1)*L40+INDEX(Symboles!$H$6:$H$101,MOD(73+$C40+(4),$B$3)+1)*M40+IF($B$6=0,0,$B$6*NORMSINV(0.000001+0.999998*RAND())))</f>
        <v/>
      </c>
      <c r="GE40" s="30">
        <f>IF(75&gt;$B$3,99,INDEX(Symboles!$H$6:$H$101,MOD(74+$C40+(-4),$B$3)+1)*E40+INDEX(Symboles!$H$6:$H$101,MOD(74+$C40+(-3),$B$3)+1)*F40+INDEX(Symboles!$H$6:$H$101,MOD(74+$C40+(-2),$B$3)+1)*G40+INDEX(Symboles!$H$6:$H$101,MOD(74+$C40+(-1),$B$3)+1)*H40+INDEX(Symboles!$H$6:$H$101,MOD(74+$C40+(0),$B$3)+1)*I40+INDEX(Symboles!$H$6:$H$101,MOD(74+$C40+(1),$B$3)+1)*J40+INDEX(Symboles!$H$6:$H$101,MOD(74+$C40+(2),$B$3)+1)*K40+INDEX(Symboles!$H$6:$H$101,MOD(74+$C40+(3),$B$3)+1)*L40+INDEX(Symboles!$H$6:$H$101,MOD(74+$C40+(4),$B$3)+1)*M40+IF($B$6=0,0,$B$6*NORMSINV(0.000001+0.999998*RAND())))</f>
        <v/>
      </c>
      <c r="GF40" s="30">
        <f>IF(76&gt;$B$3,99,INDEX(Symboles!$H$6:$H$101,MOD(75+$C40+(-4),$B$3)+1)*E40+INDEX(Symboles!$H$6:$H$101,MOD(75+$C40+(-3),$B$3)+1)*F40+INDEX(Symboles!$H$6:$H$101,MOD(75+$C40+(-2),$B$3)+1)*G40+INDEX(Symboles!$H$6:$H$101,MOD(75+$C40+(-1),$B$3)+1)*H40+INDEX(Symboles!$H$6:$H$101,MOD(75+$C40+(0),$B$3)+1)*I40+INDEX(Symboles!$H$6:$H$101,MOD(75+$C40+(1),$B$3)+1)*J40+INDEX(Symboles!$H$6:$H$101,MOD(75+$C40+(2),$B$3)+1)*K40+INDEX(Symboles!$H$6:$H$101,MOD(75+$C40+(3),$B$3)+1)*L40+INDEX(Symboles!$H$6:$H$101,MOD(75+$C40+(4),$B$3)+1)*M40+IF($B$6=0,0,$B$6*NORMSINV(0.000001+0.999998*RAND())))</f>
        <v/>
      </c>
      <c r="GG40" s="30">
        <f>IF(77&gt;$B$3,99,INDEX(Symboles!$H$6:$H$101,MOD(76+$C40+(-4),$B$3)+1)*E40+INDEX(Symboles!$H$6:$H$101,MOD(76+$C40+(-3),$B$3)+1)*F40+INDEX(Symboles!$H$6:$H$101,MOD(76+$C40+(-2),$B$3)+1)*G40+INDEX(Symboles!$H$6:$H$101,MOD(76+$C40+(-1),$B$3)+1)*H40+INDEX(Symboles!$H$6:$H$101,MOD(76+$C40+(0),$B$3)+1)*I40+INDEX(Symboles!$H$6:$H$101,MOD(76+$C40+(1),$B$3)+1)*J40+INDEX(Symboles!$H$6:$H$101,MOD(76+$C40+(2),$B$3)+1)*K40+INDEX(Symboles!$H$6:$H$101,MOD(76+$C40+(3),$B$3)+1)*L40+INDEX(Symboles!$H$6:$H$101,MOD(76+$C40+(4),$B$3)+1)*M40+IF($B$6=0,0,$B$6*NORMSINV(0.000001+0.999998*RAND())))</f>
        <v/>
      </c>
      <c r="GH40" s="30">
        <f>IF(78&gt;$B$3,99,INDEX(Symboles!$H$6:$H$101,MOD(77+$C40+(-4),$B$3)+1)*E40+INDEX(Symboles!$H$6:$H$101,MOD(77+$C40+(-3),$B$3)+1)*F40+INDEX(Symboles!$H$6:$H$101,MOD(77+$C40+(-2),$B$3)+1)*G40+INDEX(Symboles!$H$6:$H$101,MOD(77+$C40+(-1),$B$3)+1)*H40+INDEX(Symboles!$H$6:$H$101,MOD(77+$C40+(0),$B$3)+1)*I40+INDEX(Symboles!$H$6:$H$101,MOD(77+$C40+(1),$B$3)+1)*J40+INDEX(Symboles!$H$6:$H$101,MOD(77+$C40+(2),$B$3)+1)*K40+INDEX(Symboles!$H$6:$H$101,MOD(77+$C40+(3),$B$3)+1)*L40+INDEX(Symboles!$H$6:$H$101,MOD(77+$C40+(4),$B$3)+1)*M40+IF($B$6=0,0,$B$6*NORMSINV(0.000001+0.999998*RAND())))</f>
        <v/>
      </c>
      <c r="GI40" s="30">
        <f>IF(79&gt;$B$3,99,INDEX(Symboles!$H$6:$H$101,MOD(78+$C40+(-4),$B$3)+1)*E40+INDEX(Symboles!$H$6:$H$101,MOD(78+$C40+(-3),$B$3)+1)*F40+INDEX(Symboles!$H$6:$H$101,MOD(78+$C40+(-2),$B$3)+1)*G40+INDEX(Symboles!$H$6:$H$101,MOD(78+$C40+(-1),$B$3)+1)*H40+INDEX(Symboles!$H$6:$H$101,MOD(78+$C40+(0),$B$3)+1)*I40+INDEX(Symboles!$H$6:$H$101,MOD(78+$C40+(1),$B$3)+1)*J40+INDEX(Symboles!$H$6:$H$101,MOD(78+$C40+(2),$B$3)+1)*K40+INDEX(Symboles!$H$6:$H$101,MOD(78+$C40+(3),$B$3)+1)*L40+INDEX(Symboles!$H$6:$H$101,MOD(78+$C40+(4),$B$3)+1)*M40+IF($B$6=0,0,$B$6*NORMSINV(0.000001+0.999998*RAND())))</f>
        <v/>
      </c>
      <c r="GJ40" s="30">
        <f>IF(80&gt;$B$3,99,INDEX(Symboles!$H$6:$H$101,MOD(79+$C40+(-4),$B$3)+1)*E40+INDEX(Symboles!$H$6:$H$101,MOD(79+$C40+(-3),$B$3)+1)*F40+INDEX(Symboles!$H$6:$H$101,MOD(79+$C40+(-2),$B$3)+1)*G40+INDEX(Symboles!$H$6:$H$101,MOD(79+$C40+(-1),$B$3)+1)*H40+INDEX(Symboles!$H$6:$H$101,MOD(79+$C40+(0),$B$3)+1)*I40+INDEX(Symboles!$H$6:$H$101,MOD(79+$C40+(1),$B$3)+1)*J40+INDEX(Symboles!$H$6:$H$101,MOD(79+$C40+(2),$B$3)+1)*K40+INDEX(Symboles!$H$6:$H$101,MOD(79+$C40+(3),$B$3)+1)*L40+INDEX(Symboles!$H$6:$H$101,MOD(79+$C40+(4),$B$3)+1)*M40+IF($B$6=0,0,$B$6*NORMSINV(0.000001+0.999998*RAND())))</f>
        <v/>
      </c>
      <c r="GK40" s="30">
        <f>IF(81&gt;$B$3,99,INDEX(Symboles!$H$6:$H$101,MOD(80+$C40+(-4),$B$3)+1)*E40+INDEX(Symboles!$H$6:$H$101,MOD(80+$C40+(-3),$B$3)+1)*F40+INDEX(Symboles!$H$6:$H$101,MOD(80+$C40+(-2),$B$3)+1)*G40+INDEX(Symboles!$H$6:$H$101,MOD(80+$C40+(-1),$B$3)+1)*H40+INDEX(Symboles!$H$6:$H$101,MOD(80+$C40+(0),$B$3)+1)*I40+INDEX(Symboles!$H$6:$H$101,MOD(80+$C40+(1),$B$3)+1)*J40+INDEX(Symboles!$H$6:$H$101,MOD(80+$C40+(2),$B$3)+1)*K40+INDEX(Symboles!$H$6:$H$101,MOD(80+$C40+(3),$B$3)+1)*L40+INDEX(Symboles!$H$6:$H$101,MOD(80+$C40+(4),$B$3)+1)*M40+IF($B$6=0,0,$B$6*NORMSINV(0.000001+0.999998*RAND())))</f>
        <v/>
      </c>
      <c r="GL40" s="30">
        <f>IF(82&gt;$B$3,99,INDEX(Symboles!$H$6:$H$101,MOD(81+$C40+(-4),$B$3)+1)*E40+INDEX(Symboles!$H$6:$H$101,MOD(81+$C40+(-3),$B$3)+1)*F40+INDEX(Symboles!$H$6:$H$101,MOD(81+$C40+(-2),$B$3)+1)*G40+INDEX(Symboles!$H$6:$H$101,MOD(81+$C40+(-1),$B$3)+1)*H40+INDEX(Symboles!$H$6:$H$101,MOD(81+$C40+(0),$B$3)+1)*I40+INDEX(Symboles!$H$6:$H$101,MOD(81+$C40+(1),$B$3)+1)*J40+INDEX(Symboles!$H$6:$H$101,MOD(81+$C40+(2),$B$3)+1)*K40+INDEX(Symboles!$H$6:$H$101,MOD(81+$C40+(3),$B$3)+1)*L40+INDEX(Symboles!$H$6:$H$101,MOD(81+$C40+(4),$B$3)+1)*M40+IF($B$6=0,0,$B$6*NORMSINV(0.000001+0.999998*RAND())))</f>
        <v/>
      </c>
      <c r="GM40" s="30">
        <f>IF(83&gt;$B$3,99,INDEX(Symboles!$H$6:$H$101,MOD(82+$C40+(-4),$B$3)+1)*E40+INDEX(Symboles!$H$6:$H$101,MOD(82+$C40+(-3),$B$3)+1)*F40+INDEX(Symboles!$H$6:$H$101,MOD(82+$C40+(-2),$B$3)+1)*G40+INDEX(Symboles!$H$6:$H$101,MOD(82+$C40+(-1),$B$3)+1)*H40+INDEX(Symboles!$H$6:$H$101,MOD(82+$C40+(0),$B$3)+1)*I40+INDEX(Symboles!$H$6:$H$101,MOD(82+$C40+(1),$B$3)+1)*J40+INDEX(Symboles!$H$6:$H$101,MOD(82+$C40+(2),$B$3)+1)*K40+INDEX(Symboles!$H$6:$H$101,MOD(82+$C40+(3),$B$3)+1)*L40+INDEX(Symboles!$H$6:$H$101,MOD(82+$C40+(4),$B$3)+1)*M40+IF($B$6=0,0,$B$6*NORMSINV(0.000001+0.999998*RAND())))</f>
        <v/>
      </c>
      <c r="GN40" s="30">
        <f>IF(84&gt;$B$3,99,INDEX(Symboles!$H$6:$H$101,MOD(83+$C40+(-4),$B$3)+1)*E40+INDEX(Symboles!$H$6:$H$101,MOD(83+$C40+(-3),$B$3)+1)*F40+INDEX(Symboles!$H$6:$H$101,MOD(83+$C40+(-2),$B$3)+1)*G40+INDEX(Symboles!$H$6:$H$101,MOD(83+$C40+(-1),$B$3)+1)*H40+INDEX(Symboles!$H$6:$H$101,MOD(83+$C40+(0),$B$3)+1)*I40+INDEX(Symboles!$H$6:$H$101,MOD(83+$C40+(1),$B$3)+1)*J40+INDEX(Symboles!$H$6:$H$101,MOD(83+$C40+(2),$B$3)+1)*K40+INDEX(Symboles!$H$6:$H$101,MOD(83+$C40+(3),$B$3)+1)*L40+INDEX(Symboles!$H$6:$H$101,MOD(83+$C40+(4),$B$3)+1)*M40+IF($B$6=0,0,$B$6*NORMSINV(0.000001+0.999998*RAND())))</f>
        <v/>
      </c>
      <c r="GO40" s="30">
        <f>IF(85&gt;$B$3,99,INDEX(Symboles!$H$6:$H$101,MOD(84+$C40+(-4),$B$3)+1)*E40+INDEX(Symboles!$H$6:$H$101,MOD(84+$C40+(-3),$B$3)+1)*F40+INDEX(Symboles!$H$6:$H$101,MOD(84+$C40+(-2),$B$3)+1)*G40+INDEX(Symboles!$H$6:$H$101,MOD(84+$C40+(-1),$B$3)+1)*H40+INDEX(Symboles!$H$6:$H$101,MOD(84+$C40+(0),$B$3)+1)*I40+INDEX(Symboles!$H$6:$H$101,MOD(84+$C40+(1),$B$3)+1)*J40+INDEX(Symboles!$H$6:$H$101,MOD(84+$C40+(2),$B$3)+1)*K40+INDEX(Symboles!$H$6:$H$101,MOD(84+$C40+(3),$B$3)+1)*L40+INDEX(Symboles!$H$6:$H$101,MOD(84+$C40+(4),$B$3)+1)*M40+IF($B$6=0,0,$B$6*NORMSINV(0.000001+0.999998*RAND())))</f>
        <v/>
      </c>
      <c r="GP40" s="30">
        <f>IF(86&gt;$B$3,99,INDEX(Symboles!$H$6:$H$101,MOD(85+$C40+(-4),$B$3)+1)*E40+INDEX(Symboles!$H$6:$H$101,MOD(85+$C40+(-3),$B$3)+1)*F40+INDEX(Symboles!$H$6:$H$101,MOD(85+$C40+(-2),$B$3)+1)*G40+INDEX(Symboles!$H$6:$H$101,MOD(85+$C40+(-1),$B$3)+1)*H40+INDEX(Symboles!$H$6:$H$101,MOD(85+$C40+(0),$B$3)+1)*I40+INDEX(Symboles!$H$6:$H$101,MOD(85+$C40+(1),$B$3)+1)*J40+INDEX(Symboles!$H$6:$H$101,MOD(85+$C40+(2),$B$3)+1)*K40+INDEX(Symboles!$H$6:$H$101,MOD(85+$C40+(3),$B$3)+1)*L40+INDEX(Symboles!$H$6:$H$101,MOD(85+$C40+(4),$B$3)+1)*M40+IF($B$6=0,0,$B$6*NORMSINV(0.000001+0.999998*RAND())))</f>
        <v/>
      </c>
      <c r="GQ40" s="30">
        <f>IF(87&gt;$B$3,99,INDEX(Symboles!$H$6:$H$101,MOD(86+$C40+(-4),$B$3)+1)*E40+INDEX(Symboles!$H$6:$H$101,MOD(86+$C40+(-3),$B$3)+1)*F40+INDEX(Symboles!$H$6:$H$101,MOD(86+$C40+(-2),$B$3)+1)*G40+INDEX(Symboles!$H$6:$H$101,MOD(86+$C40+(-1),$B$3)+1)*H40+INDEX(Symboles!$H$6:$H$101,MOD(86+$C40+(0),$B$3)+1)*I40+INDEX(Symboles!$H$6:$H$101,MOD(86+$C40+(1),$B$3)+1)*J40+INDEX(Symboles!$H$6:$H$101,MOD(86+$C40+(2),$B$3)+1)*K40+INDEX(Symboles!$H$6:$H$101,MOD(86+$C40+(3),$B$3)+1)*L40+INDEX(Symboles!$H$6:$H$101,MOD(86+$C40+(4),$B$3)+1)*M40+IF($B$6=0,0,$B$6*NORMSINV(0.000001+0.999998*RAND())))</f>
        <v/>
      </c>
      <c r="GR40" s="30">
        <f>IF(88&gt;$B$3,99,INDEX(Symboles!$H$6:$H$101,MOD(87+$C40+(-4),$B$3)+1)*E40+INDEX(Symboles!$H$6:$H$101,MOD(87+$C40+(-3),$B$3)+1)*F40+INDEX(Symboles!$H$6:$H$101,MOD(87+$C40+(-2),$B$3)+1)*G40+INDEX(Symboles!$H$6:$H$101,MOD(87+$C40+(-1),$B$3)+1)*H40+INDEX(Symboles!$H$6:$H$101,MOD(87+$C40+(0),$B$3)+1)*I40+INDEX(Symboles!$H$6:$H$101,MOD(87+$C40+(1),$B$3)+1)*J40+INDEX(Symboles!$H$6:$H$101,MOD(87+$C40+(2),$B$3)+1)*K40+INDEX(Symboles!$H$6:$H$101,MOD(87+$C40+(3),$B$3)+1)*L40+INDEX(Symboles!$H$6:$H$101,MOD(87+$C40+(4),$B$3)+1)*M40+IF($B$6=0,0,$B$6*NORMSINV(0.000001+0.999998*RAND())))</f>
        <v/>
      </c>
      <c r="GS40" s="30">
        <f>IF(89&gt;$B$3,99,INDEX(Symboles!$H$6:$H$101,MOD(88+$C40+(-4),$B$3)+1)*E40+INDEX(Symboles!$H$6:$H$101,MOD(88+$C40+(-3),$B$3)+1)*F40+INDEX(Symboles!$H$6:$H$101,MOD(88+$C40+(-2),$B$3)+1)*G40+INDEX(Symboles!$H$6:$H$101,MOD(88+$C40+(-1),$B$3)+1)*H40+INDEX(Symboles!$H$6:$H$101,MOD(88+$C40+(0),$B$3)+1)*I40+INDEX(Symboles!$H$6:$H$101,MOD(88+$C40+(1),$B$3)+1)*J40+INDEX(Symboles!$H$6:$H$101,MOD(88+$C40+(2),$B$3)+1)*K40+INDEX(Symboles!$H$6:$H$101,MOD(88+$C40+(3),$B$3)+1)*L40+INDEX(Symboles!$H$6:$H$101,MOD(88+$C40+(4),$B$3)+1)*M40+IF($B$6=0,0,$B$6*NORMSINV(0.000001+0.999998*RAND())))</f>
        <v/>
      </c>
      <c r="GT40" s="30">
        <f>IF(90&gt;$B$3,99,INDEX(Symboles!$H$6:$H$101,MOD(89+$C40+(-4),$B$3)+1)*E40+INDEX(Symboles!$H$6:$H$101,MOD(89+$C40+(-3),$B$3)+1)*F40+INDEX(Symboles!$H$6:$H$101,MOD(89+$C40+(-2),$B$3)+1)*G40+INDEX(Symboles!$H$6:$H$101,MOD(89+$C40+(-1),$B$3)+1)*H40+INDEX(Symboles!$H$6:$H$101,MOD(89+$C40+(0),$B$3)+1)*I40+INDEX(Symboles!$H$6:$H$101,MOD(89+$C40+(1),$B$3)+1)*J40+INDEX(Symboles!$H$6:$H$101,MOD(89+$C40+(2),$B$3)+1)*K40+INDEX(Symboles!$H$6:$H$101,MOD(89+$C40+(3),$B$3)+1)*L40+INDEX(Symboles!$H$6:$H$101,MOD(89+$C40+(4),$B$3)+1)*M40+IF($B$6=0,0,$B$6*NORMSINV(0.000001+0.999998*RAND())))</f>
        <v/>
      </c>
      <c r="GU40" s="30">
        <f>IF(91&gt;$B$3,99,INDEX(Symboles!$H$6:$H$101,MOD(90+$C40+(-4),$B$3)+1)*E40+INDEX(Symboles!$H$6:$H$101,MOD(90+$C40+(-3),$B$3)+1)*F40+INDEX(Symboles!$H$6:$H$101,MOD(90+$C40+(-2),$B$3)+1)*G40+INDEX(Symboles!$H$6:$H$101,MOD(90+$C40+(-1),$B$3)+1)*H40+INDEX(Symboles!$H$6:$H$101,MOD(90+$C40+(0),$B$3)+1)*I40+INDEX(Symboles!$H$6:$H$101,MOD(90+$C40+(1),$B$3)+1)*J40+INDEX(Symboles!$H$6:$H$101,MOD(90+$C40+(2),$B$3)+1)*K40+INDEX(Symboles!$H$6:$H$101,MOD(90+$C40+(3),$B$3)+1)*L40+INDEX(Symboles!$H$6:$H$101,MOD(90+$C40+(4),$B$3)+1)*M40+IF($B$6=0,0,$B$6*NORMSINV(0.000001+0.999998*RAND())))</f>
        <v/>
      </c>
      <c r="GV40" s="30">
        <f>IF(92&gt;$B$3,99,INDEX(Symboles!$H$6:$H$101,MOD(91+$C40+(-4),$B$3)+1)*E40+INDEX(Symboles!$H$6:$H$101,MOD(91+$C40+(-3),$B$3)+1)*F40+INDEX(Symboles!$H$6:$H$101,MOD(91+$C40+(-2),$B$3)+1)*G40+INDEX(Symboles!$H$6:$H$101,MOD(91+$C40+(-1),$B$3)+1)*H40+INDEX(Symboles!$H$6:$H$101,MOD(91+$C40+(0),$B$3)+1)*I40+INDEX(Symboles!$H$6:$H$101,MOD(91+$C40+(1),$B$3)+1)*J40+INDEX(Symboles!$H$6:$H$101,MOD(91+$C40+(2),$B$3)+1)*K40+INDEX(Symboles!$H$6:$H$101,MOD(91+$C40+(3),$B$3)+1)*L40+INDEX(Symboles!$H$6:$H$101,MOD(91+$C40+(4),$B$3)+1)*M40+IF($B$6=0,0,$B$6*NORMSINV(0.000001+0.999998*RAND())))</f>
        <v/>
      </c>
      <c r="GW40" s="30">
        <f>IF(93&gt;$B$3,99,INDEX(Symboles!$H$6:$H$101,MOD(92+$C40+(-4),$B$3)+1)*E40+INDEX(Symboles!$H$6:$H$101,MOD(92+$C40+(-3),$B$3)+1)*F40+INDEX(Symboles!$H$6:$H$101,MOD(92+$C40+(-2),$B$3)+1)*G40+INDEX(Symboles!$H$6:$H$101,MOD(92+$C40+(-1),$B$3)+1)*H40+INDEX(Symboles!$H$6:$H$101,MOD(92+$C40+(0),$B$3)+1)*I40+INDEX(Symboles!$H$6:$H$101,MOD(92+$C40+(1),$B$3)+1)*J40+INDEX(Symboles!$H$6:$H$101,MOD(92+$C40+(2),$B$3)+1)*K40+INDEX(Symboles!$H$6:$H$101,MOD(92+$C40+(3),$B$3)+1)*L40+INDEX(Symboles!$H$6:$H$101,MOD(92+$C40+(4),$B$3)+1)*M40+IF($B$6=0,0,$B$6*NORMSINV(0.000001+0.999998*RAND())))</f>
        <v/>
      </c>
      <c r="GX40" s="30">
        <f>IF(94&gt;$B$3,99,INDEX(Symboles!$H$6:$H$101,MOD(93+$C40+(-4),$B$3)+1)*E40+INDEX(Symboles!$H$6:$H$101,MOD(93+$C40+(-3),$B$3)+1)*F40+INDEX(Symboles!$H$6:$H$101,MOD(93+$C40+(-2),$B$3)+1)*G40+INDEX(Symboles!$H$6:$H$101,MOD(93+$C40+(-1),$B$3)+1)*H40+INDEX(Symboles!$H$6:$H$101,MOD(93+$C40+(0),$B$3)+1)*I40+INDEX(Symboles!$H$6:$H$101,MOD(93+$C40+(1),$B$3)+1)*J40+INDEX(Symboles!$H$6:$H$101,MOD(93+$C40+(2),$B$3)+1)*K40+INDEX(Symboles!$H$6:$H$101,MOD(93+$C40+(3),$B$3)+1)*L40+INDEX(Symboles!$H$6:$H$101,MOD(93+$C40+(4),$B$3)+1)*M40+IF($B$6=0,0,$B$6*NORMSINV(0.000001+0.999998*RAND())))</f>
        <v/>
      </c>
      <c r="GY40" s="30">
        <f>IF(95&gt;$B$3,99,INDEX(Symboles!$H$6:$H$101,MOD(94+$C40+(-4),$B$3)+1)*E40+INDEX(Symboles!$H$6:$H$101,MOD(94+$C40+(-3),$B$3)+1)*F40+INDEX(Symboles!$H$6:$H$101,MOD(94+$C40+(-2),$B$3)+1)*G40+INDEX(Symboles!$H$6:$H$101,MOD(94+$C40+(-1),$B$3)+1)*H40+INDEX(Symboles!$H$6:$H$101,MOD(94+$C40+(0),$B$3)+1)*I40+INDEX(Symboles!$H$6:$H$101,MOD(94+$C40+(1),$B$3)+1)*J40+INDEX(Symboles!$H$6:$H$101,MOD(94+$C40+(2),$B$3)+1)*K40+INDEX(Symboles!$H$6:$H$101,MOD(94+$C40+(3),$B$3)+1)*L40+INDEX(Symboles!$H$6:$H$101,MOD(94+$C40+(4),$B$3)+1)*M40+IF($B$6=0,0,$B$6*NORMSINV(0.000001+0.999998*RAND())))</f>
        <v/>
      </c>
      <c r="GZ40" s="30">
        <f>IF(96&gt;$B$3,99,INDEX(Symboles!$H$6:$H$101,MOD(95+$C40+(-4),$B$3)+1)*E40+INDEX(Symboles!$H$6:$H$101,MOD(95+$C40+(-3),$B$3)+1)*F40+INDEX(Symboles!$H$6:$H$101,MOD(95+$C40+(-2),$B$3)+1)*G40+INDEX(Symboles!$H$6:$H$101,MOD(95+$C40+(-1),$B$3)+1)*H40+INDEX(Symboles!$H$6:$H$101,MOD(95+$C40+(0),$B$3)+1)*I40+INDEX(Symboles!$H$6:$H$101,MOD(95+$C40+(1),$B$3)+1)*J40+INDEX(Symboles!$H$6:$H$101,MOD(95+$C40+(2),$B$3)+1)*K40+INDEX(Symboles!$H$6:$H$101,MOD(95+$C40+(3),$B$3)+1)*L40+INDEX(Symboles!$H$6:$H$101,MOD(95+$C40+(4),$B$3)+1)*M40+IF($B$6=0,0,$B$6*NORMSINV(0.000001+0.999998*RAND())))</f>
        <v/>
      </c>
    </row>
    <row r="41">
      <c r="A41" s="28" t="n">
        <v>31</v>
      </c>
      <c r="B41" s="28" t="n">
        <v>0.9375</v>
      </c>
      <c r="C41" s="28" t="n">
        <v>1</v>
      </c>
      <c r="D41" s="28" t="n">
        <v>7</v>
      </c>
      <c r="E41" s="29">
        <f>IF($B$4=1,0,IF(ABS(1-(2*$B$5*3.9375)^2)&lt;0.000001,PI()/4*SIN(PI()/(2*$B$5))/(PI()/(2*$B$5)),SIN(PI()*3.9375)/(PI()*3.9375)*COS(PI()*$B$5*3.9375)/(1-(2*$B$5*3.9375)^2)))</f>
        <v/>
      </c>
      <c r="F41" s="29">
        <f>IF($B$4=1,0,IF(ABS(1-(2*$B$5*2.9375)^2)&lt;0.000001,PI()/4*SIN(PI()/(2*$B$5))/(PI()/(2*$B$5)),SIN(PI()*2.9375)/(PI()*2.9375)*COS(PI()*$B$5*2.9375)/(1-(2*$B$5*2.9375)^2)))</f>
        <v/>
      </c>
      <c r="G41" s="29">
        <f>IF($B$4=1,0,IF(ABS(1-(2*$B$5*1.9375)^2)&lt;0.000001,PI()/4*SIN(PI()/(2*$B$5))/(PI()/(2*$B$5)),SIN(PI()*1.9375)/(PI()*1.9375)*COS(PI()*$B$5*1.9375)/(1-(2*$B$5*1.9375)^2)))</f>
        <v/>
      </c>
      <c r="H41" s="29">
        <f>IF($B$4=1,0,IF(ABS(1-(2*$B$5*0.9375)^2)&lt;0.000001,PI()/4*SIN(PI()/(2*$B$5))/(PI()/(2*$B$5)),SIN(PI()*0.9375)/(PI()*0.9375)*COS(PI()*$B$5*0.9375)/(1-(2*$B$5*0.9375)^2)))</f>
        <v/>
      </c>
      <c r="I41" s="29">
        <f>IF($B$4=1,1,IF(ABS(1-(2*$B$5*-0.0625)^2)&lt;0.000001,PI()/4*SIN(PI()/(2*$B$5))/(PI()/(2*$B$5)),SIN(PI()*-0.0625)/(PI()*-0.0625)*COS(PI()*$B$5*-0.0625)/(1-(2*$B$5*-0.0625)^2)))</f>
        <v/>
      </c>
      <c r="J41" s="29">
        <f>IF($B$4=1,0,IF(ABS(1-(2*$B$5*-1.0625)^2)&lt;0.000001,PI()/4*SIN(PI()/(2*$B$5))/(PI()/(2*$B$5)),SIN(PI()*-1.0625)/(PI()*-1.0625)*COS(PI()*$B$5*-1.0625)/(1-(2*$B$5*-1.0625)^2)))</f>
        <v/>
      </c>
      <c r="K41" s="29">
        <f>IF($B$4=1,0,IF(ABS(1-(2*$B$5*-2.0625)^2)&lt;0.000001,PI()/4*SIN(PI()/(2*$B$5))/(PI()/(2*$B$5)),SIN(PI()*-2.0625)/(PI()*-2.0625)*COS(PI()*$B$5*-2.0625)/(1-(2*$B$5*-2.0625)^2)))</f>
        <v/>
      </c>
      <c r="L41" s="29">
        <f>IF($B$4=1,0,IF(ABS(1-(2*$B$5*-3.0625)^2)&lt;0.000001,PI()/4*SIN(PI()/(2*$B$5))/(PI()/(2*$B$5)),SIN(PI()*-3.0625)/(PI()*-3.0625)*COS(PI()*$B$5*-3.0625)/(1-(2*$B$5*-3.0625)^2)))</f>
        <v/>
      </c>
      <c r="M41" s="29">
        <f>IF($B$4=1,0,IF(ABS(1-(2*$B$5*-4.0625)^2)&lt;0.000001,PI()/4*SIN(PI()/(2*$B$5))/(PI()/(2*$B$5)),SIN(PI()*-4.0625)/(PI()*-4.0625)*COS(PI()*$B$5*-4.0625)/(1-(2*$B$5*-4.0625)^2)))</f>
        <v/>
      </c>
      <c r="P41" s="30">
        <f>IF(1&gt;$B$3,99,INDEX(Symboles!$G$6:$G$101,MOD(0+$C41+(-4),$B$3)+1)*E41+INDEX(Symboles!$G$6:$G$101,MOD(0+$C41+(-3),$B$3)+1)*F41+INDEX(Symboles!$G$6:$G$101,MOD(0+$C41+(-2),$B$3)+1)*G41+INDEX(Symboles!$G$6:$G$101,MOD(0+$C41+(-1),$B$3)+1)*H41+INDEX(Symboles!$G$6:$G$101,MOD(0+$C41+(0),$B$3)+1)*I41+INDEX(Symboles!$G$6:$G$101,MOD(0+$C41+(1),$B$3)+1)*J41+INDEX(Symboles!$G$6:$G$101,MOD(0+$C41+(2),$B$3)+1)*K41+INDEX(Symboles!$G$6:$G$101,MOD(0+$C41+(3),$B$3)+1)*L41+INDEX(Symboles!$G$6:$G$101,MOD(0+$C41+(4),$B$3)+1)*M41+IF($B$6=0,0,$B$6*NORMSINV(0.000001+0.999998*RAND())))</f>
        <v/>
      </c>
      <c r="Q41" s="30">
        <f>IF(2&gt;$B$3,99,INDEX(Symboles!$G$6:$G$101,MOD(1+$C41+(-4),$B$3)+1)*E41+INDEX(Symboles!$G$6:$G$101,MOD(1+$C41+(-3),$B$3)+1)*F41+INDEX(Symboles!$G$6:$G$101,MOD(1+$C41+(-2),$B$3)+1)*G41+INDEX(Symboles!$G$6:$G$101,MOD(1+$C41+(-1),$B$3)+1)*H41+INDEX(Symboles!$G$6:$G$101,MOD(1+$C41+(0),$B$3)+1)*I41+INDEX(Symboles!$G$6:$G$101,MOD(1+$C41+(1),$B$3)+1)*J41+INDEX(Symboles!$G$6:$G$101,MOD(1+$C41+(2),$B$3)+1)*K41+INDEX(Symboles!$G$6:$G$101,MOD(1+$C41+(3),$B$3)+1)*L41+INDEX(Symboles!$G$6:$G$101,MOD(1+$C41+(4),$B$3)+1)*M41+IF($B$6=0,0,$B$6*NORMSINV(0.000001+0.999998*RAND())))</f>
        <v/>
      </c>
      <c r="R41" s="30">
        <f>IF(3&gt;$B$3,99,INDEX(Symboles!$G$6:$G$101,MOD(2+$C41+(-4),$B$3)+1)*E41+INDEX(Symboles!$G$6:$G$101,MOD(2+$C41+(-3),$B$3)+1)*F41+INDEX(Symboles!$G$6:$G$101,MOD(2+$C41+(-2),$B$3)+1)*G41+INDEX(Symboles!$G$6:$G$101,MOD(2+$C41+(-1),$B$3)+1)*H41+INDEX(Symboles!$G$6:$G$101,MOD(2+$C41+(0),$B$3)+1)*I41+INDEX(Symboles!$G$6:$G$101,MOD(2+$C41+(1),$B$3)+1)*J41+INDEX(Symboles!$G$6:$G$101,MOD(2+$C41+(2),$B$3)+1)*K41+INDEX(Symboles!$G$6:$G$101,MOD(2+$C41+(3),$B$3)+1)*L41+INDEX(Symboles!$G$6:$G$101,MOD(2+$C41+(4),$B$3)+1)*M41+IF($B$6=0,0,$B$6*NORMSINV(0.000001+0.999998*RAND())))</f>
        <v/>
      </c>
      <c r="S41" s="30">
        <f>IF(4&gt;$B$3,99,INDEX(Symboles!$G$6:$G$101,MOD(3+$C41+(-4),$B$3)+1)*E41+INDEX(Symboles!$G$6:$G$101,MOD(3+$C41+(-3),$B$3)+1)*F41+INDEX(Symboles!$G$6:$G$101,MOD(3+$C41+(-2),$B$3)+1)*G41+INDEX(Symboles!$G$6:$G$101,MOD(3+$C41+(-1),$B$3)+1)*H41+INDEX(Symboles!$G$6:$G$101,MOD(3+$C41+(0),$B$3)+1)*I41+INDEX(Symboles!$G$6:$G$101,MOD(3+$C41+(1),$B$3)+1)*J41+INDEX(Symboles!$G$6:$G$101,MOD(3+$C41+(2),$B$3)+1)*K41+INDEX(Symboles!$G$6:$G$101,MOD(3+$C41+(3),$B$3)+1)*L41+INDEX(Symboles!$G$6:$G$101,MOD(3+$C41+(4),$B$3)+1)*M41+IF($B$6=0,0,$B$6*NORMSINV(0.000001+0.999998*RAND())))</f>
        <v/>
      </c>
      <c r="T41" s="30">
        <f>IF(5&gt;$B$3,99,INDEX(Symboles!$G$6:$G$101,MOD(4+$C41+(-4),$B$3)+1)*E41+INDEX(Symboles!$G$6:$G$101,MOD(4+$C41+(-3),$B$3)+1)*F41+INDEX(Symboles!$G$6:$G$101,MOD(4+$C41+(-2),$B$3)+1)*G41+INDEX(Symboles!$G$6:$G$101,MOD(4+$C41+(-1),$B$3)+1)*H41+INDEX(Symboles!$G$6:$G$101,MOD(4+$C41+(0),$B$3)+1)*I41+INDEX(Symboles!$G$6:$G$101,MOD(4+$C41+(1),$B$3)+1)*J41+INDEX(Symboles!$G$6:$G$101,MOD(4+$C41+(2),$B$3)+1)*K41+INDEX(Symboles!$G$6:$G$101,MOD(4+$C41+(3),$B$3)+1)*L41+INDEX(Symboles!$G$6:$G$101,MOD(4+$C41+(4),$B$3)+1)*M41+IF($B$6=0,0,$B$6*NORMSINV(0.000001+0.999998*RAND())))</f>
        <v/>
      </c>
      <c r="U41" s="30">
        <f>IF(6&gt;$B$3,99,INDEX(Symboles!$G$6:$G$101,MOD(5+$C41+(-4),$B$3)+1)*E41+INDEX(Symboles!$G$6:$G$101,MOD(5+$C41+(-3),$B$3)+1)*F41+INDEX(Symboles!$G$6:$G$101,MOD(5+$C41+(-2),$B$3)+1)*G41+INDEX(Symboles!$G$6:$G$101,MOD(5+$C41+(-1),$B$3)+1)*H41+INDEX(Symboles!$G$6:$G$101,MOD(5+$C41+(0),$B$3)+1)*I41+INDEX(Symboles!$G$6:$G$101,MOD(5+$C41+(1),$B$3)+1)*J41+INDEX(Symboles!$G$6:$G$101,MOD(5+$C41+(2),$B$3)+1)*K41+INDEX(Symboles!$G$6:$G$101,MOD(5+$C41+(3),$B$3)+1)*L41+INDEX(Symboles!$G$6:$G$101,MOD(5+$C41+(4),$B$3)+1)*M41+IF($B$6=0,0,$B$6*NORMSINV(0.000001+0.999998*RAND())))</f>
        <v/>
      </c>
      <c r="V41" s="30">
        <f>IF(7&gt;$B$3,99,INDEX(Symboles!$G$6:$G$101,MOD(6+$C41+(-4),$B$3)+1)*E41+INDEX(Symboles!$G$6:$G$101,MOD(6+$C41+(-3),$B$3)+1)*F41+INDEX(Symboles!$G$6:$G$101,MOD(6+$C41+(-2),$B$3)+1)*G41+INDEX(Symboles!$G$6:$G$101,MOD(6+$C41+(-1),$B$3)+1)*H41+INDEX(Symboles!$G$6:$G$101,MOD(6+$C41+(0),$B$3)+1)*I41+INDEX(Symboles!$G$6:$G$101,MOD(6+$C41+(1),$B$3)+1)*J41+INDEX(Symboles!$G$6:$G$101,MOD(6+$C41+(2),$B$3)+1)*K41+INDEX(Symboles!$G$6:$G$101,MOD(6+$C41+(3),$B$3)+1)*L41+INDEX(Symboles!$G$6:$G$101,MOD(6+$C41+(4),$B$3)+1)*M41+IF($B$6=0,0,$B$6*NORMSINV(0.000001+0.999998*RAND())))</f>
        <v/>
      </c>
      <c r="W41" s="30">
        <f>IF(8&gt;$B$3,99,INDEX(Symboles!$G$6:$G$101,MOD(7+$C41+(-4),$B$3)+1)*E41+INDEX(Symboles!$G$6:$G$101,MOD(7+$C41+(-3),$B$3)+1)*F41+INDEX(Symboles!$G$6:$G$101,MOD(7+$C41+(-2),$B$3)+1)*G41+INDEX(Symboles!$G$6:$G$101,MOD(7+$C41+(-1),$B$3)+1)*H41+INDEX(Symboles!$G$6:$G$101,MOD(7+$C41+(0),$B$3)+1)*I41+INDEX(Symboles!$G$6:$G$101,MOD(7+$C41+(1),$B$3)+1)*J41+INDEX(Symboles!$G$6:$G$101,MOD(7+$C41+(2),$B$3)+1)*K41+INDEX(Symboles!$G$6:$G$101,MOD(7+$C41+(3),$B$3)+1)*L41+INDEX(Symboles!$G$6:$G$101,MOD(7+$C41+(4),$B$3)+1)*M41+IF($B$6=0,0,$B$6*NORMSINV(0.000001+0.999998*RAND())))</f>
        <v/>
      </c>
      <c r="X41" s="30">
        <f>IF(9&gt;$B$3,99,INDEX(Symboles!$G$6:$G$101,MOD(8+$C41+(-4),$B$3)+1)*E41+INDEX(Symboles!$G$6:$G$101,MOD(8+$C41+(-3),$B$3)+1)*F41+INDEX(Symboles!$G$6:$G$101,MOD(8+$C41+(-2),$B$3)+1)*G41+INDEX(Symboles!$G$6:$G$101,MOD(8+$C41+(-1),$B$3)+1)*H41+INDEX(Symboles!$G$6:$G$101,MOD(8+$C41+(0),$B$3)+1)*I41+INDEX(Symboles!$G$6:$G$101,MOD(8+$C41+(1),$B$3)+1)*J41+INDEX(Symboles!$G$6:$G$101,MOD(8+$C41+(2),$B$3)+1)*K41+INDEX(Symboles!$G$6:$G$101,MOD(8+$C41+(3),$B$3)+1)*L41+INDEX(Symboles!$G$6:$G$101,MOD(8+$C41+(4),$B$3)+1)*M41+IF($B$6=0,0,$B$6*NORMSINV(0.000001+0.999998*RAND())))</f>
        <v/>
      </c>
      <c r="Y41" s="30">
        <f>IF(10&gt;$B$3,99,INDEX(Symboles!$G$6:$G$101,MOD(9+$C41+(-4),$B$3)+1)*E41+INDEX(Symboles!$G$6:$G$101,MOD(9+$C41+(-3),$B$3)+1)*F41+INDEX(Symboles!$G$6:$G$101,MOD(9+$C41+(-2),$B$3)+1)*G41+INDEX(Symboles!$G$6:$G$101,MOD(9+$C41+(-1),$B$3)+1)*H41+INDEX(Symboles!$G$6:$G$101,MOD(9+$C41+(0),$B$3)+1)*I41+INDEX(Symboles!$G$6:$G$101,MOD(9+$C41+(1),$B$3)+1)*J41+INDEX(Symboles!$G$6:$G$101,MOD(9+$C41+(2),$B$3)+1)*K41+INDEX(Symboles!$G$6:$G$101,MOD(9+$C41+(3),$B$3)+1)*L41+INDEX(Symboles!$G$6:$G$101,MOD(9+$C41+(4),$B$3)+1)*M41+IF($B$6=0,0,$B$6*NORMSINV(0.000001+0.999998*RAND())))</f>
        <v/>
      </c>
      <c r="Z41" s="30">
        <f>IF(11&gt;$B$3,99,INDEX(Symboles!$G$6:$G$101,MOD(10+$C41+(-4),$B$3)+1)*E41+INDEX(Symboles!$G$6:$G$101,MOD(10+$C41+(-3),$B$3)+1)*F41+INDEX(Symboles!$G$6:$G$101,MOD(10+$C41+(-2),$B$3)+1)*G41+INDEX(Symboles!$G$6:$G$101,MOD(10+$C41+(-1),$B$3)+1)*H41+INDEX(Symboles!$G$6:$G$101,MOD(10+$C41+(0),$B$3)+1)*I41+INDEX(Symboles!$G$6:$G$101,MOD(10+$C41+(1),$B$3)+1)*J41+INDEX(Symboles!$G$6:$G$101,MOD(10+$C41+(2),$B$3)+1)*K41+INDEX(Symboles!$G$6:$G$101,MOD(10+$C41+(3),$B$3)+1)*L41+INDEX(Symboles!$G$6:$G$101,MOD(10+$C41+(4),$B$3)+1)*M41+IF($B$6=0,0,$B$6*NORMSINV(0.000001+0.999998*RAND())))</f>
        <v/>
      </c>
      <c r="AA41" s="30">
        <f>IF(12&gt;$B$3,99,INDEX(Symboles!$G$6:$G$101,MOD(11+$C41+(-4),$B$3)+1)*E41+INDEX(Symboles!$G$6:$G$101,MOD(11+$C41+(-3),$B$3)+1)*F41+INDEX(Symboles!$G$6:$G$101,MOD(11+$C41+(-2),$B$3)+1)*G41+INDEX(Symboles!$G$6:$G$101,MOD(11+$C41+(-1),$B$3)+1)*H41+INDEX(Symboles!$G$6:$G$101,MOD(11+$C41+(0),$B$3)+1)*I41+INDEX(Symboles!$G$6:$G$101,MOD(11+$C41+(1),$B$3)+1)*J41+INDEX(Symboles!$G$6:$G$101,MOD(11+$C41+(2),$B$3)+1)*K41+INDEX(Symboles!$G$6:$G$101,MOD(11+$C41+(3),$B$3)+1)*L41+INDEX(Symboles!$G$6:$G$101,MOD(11+$C41+(4),$B$3)+1)*M41+IF($B$6=0,0,$B$6*NORMSINV(0.000001+0.999998*RAND())))</f>
        <v/>
      </c>
      <c r="AB41" s="30">
        <f>IF(13&gt;$B$3,99,INDEX(Symboles!$G$6:$G$101,MOD(12+$C41+(-4),$B$3)+1)*E41+INDEX(Symboles!$G$6:$G$101,MOD(12+$C41+(-3),$B$3)+1)*F41+INDEX(Symboles!$G$6:$G$101,MOD(12+$C41+(-2),$B$3)+1)*G41+INDEX(Symboles!$G$6:$G$101,MOD(12+$C41+(-1),$B$3)+1)*H41+INDEX(Symboles!$G$6:$G$101,MOD(12+$C41+(0),$B$3)+1)*I41+INDEX(Symboles!$G$6:$G$101,MOD(12+$C41+(1),$B$3)+1)*J41+INDEX(Symboles!$G$6:$G$101,MOD(12+$C41+(2),$B$3)+1)*K41+INDEX(Symboles!$G$6:$G$101,MOD(12+$C41+(3),$B$3)+1)*L41+INDEX(Symboles!$G$6:$G$101,MOD(12+$C41+(4),$B$3)+1)*M41+IF($B$6=0,0,$B$6*NORMSINV(0.000001+0.999998*RAND())))</f>
        <v/>
      </c>
      <c r="AC41" s="30">
        <f>IF(14&gt;$B$3,99,INDEX(Symboles!$G$6:$G$101,MOD(13+$C41+(-4),$B$3)+1)*E41+INDEX(Symboles!$G$6:$G$101,MOD(13+$C41+(-3),$B$3)+1)*F41+INDEX(Symboles!$G$6:$G$101,MOD(13+$C41+(-2),$B$3)+1)*G41+INDEX(Symboles!$G$6:$G$101,MOD(13+$C41+(-1),$B$3)+1)*H41+INDEX(Symboles!$G$6:$G$101,MOD(13+$C41+(0),$B$3)+1)*I41+INDEX(Symboles!$G$6:$G$101,MOD(13+$C41+(1),$B$3)+1)*J41+INDEX(Symboles!$G$6:$G$101,MOD(13+$C41+(2),$B$3)+1)*K41+INDEX(Symboles!$G$6:$G$101,MOD(13+$C41+(3),$B$3)+1)*L41+INDEX(Symboles!$G$6:$G$101,MOD(13+$C41+(4),$B$3)+1)*M41+IF($B$6=0,0,$B$6*NORMSINV(0.000001+0.999998*RAND())))</f>
        <v/>
      </c>
      <c r="AD41" s="30">
        <f>IF(15&gt;$B$3,99,INDEX(Symboles!$G$6:$G$101,MOD(14+$C41+(-4),$B$3)+1)*E41+INDEX(Symboles!$G$6:$G$101,MOD(14+$C41+(-3),$B$3)+1)*F41+INDEX(Symboles!$G$6:$G$101,MOD(14+$C41+(-2),$B$3)+1)*G41+INDEX(Symboles!$G$6:$G$101,MOD(14+$C41+(-1),$B$3)+1)*H41+INDEX(Symboles!$G$6:$G$101,MOD(14+$C41+(0),$B$3)+1)*I41+INDEX(Symboles!$G$6:$G$101,MOD(14+$C41+(1),$B$3)+1)*J41+INDEX(Symboles!$G$6:$G$101,MOD(14+$C41+(2),$B$3)+1)*K41+INDEX(Symboles!$G$6:$G$101,MOD(14+$C41+(3),$B$3)+1)*L41+INDEX(Symboles!$G$6:$G$101,MOD(14+$C41+(4),$B$3)+1)*M41+IF($B$6=0,0,$B$6*NORMSINV(0.000001+0.999998*RAND())))</f>
        <v/>
      </c>
      <c r="AE41" s="30">
        <f>IF(16&gt;$B$3,99,INDEX(Symboles!$G$6:$G$101,MOD(15+$C41+(-4),$B$3)+1)*E41+INDEX(Symboles!$G$6:$G$101,MOD(15+$C41+(-3),$B$3)+1)*F41+INDEX(Symboles!$G$6:$G$101,MOD(15+$C41+(-2),$B$3)+1)*G41+INDEX(Symboles!$G$6:$G$101,MOD(15+$C41+(-1),$B$3)+1)*H41+INDEX(Symboles!$G$6:$G$101,MOD(15+$C41+(0),$B$3)+1)*I41+INDEX(Symboles!$G$6:$G$101,MOD(15+$C41+(1),$B$3)+1)*J41+INDEX(Symboles!$G$6:$G$101,MOD(15+$C41+(2),$B$3)+1)*K41+INDEX(Symboles!$G$6:$G$101,MOD(15+$C41+(3),$B$3)+1)*L41+INDEX(Symboles!$G$6:$G$101,MOD(15+$C41+(4),$B$3)+1)*M41+IF($B$6=0,0,$B$6*NORMSINV(0.000001+0.999998*RAND())))</f>
        <v/>
      </c>
      <c r="AF41" s="30">
        <f>IF(17&gt;$B$3,99,INDEX(Symboles!$G$6:$G$101,MOD(16+$C41+(-4),$B$3)+1)*E41+INDEX(Symboles!$G$6:$G$101,MOD(16+$C41+(-3),$B$3)+1)*F41+INDEX(Symboles!$G$6:$G$101,MOD(16+$C41+(-2),$B$3)+1)*G41+INDEX(Symboles!$G$6:$G$101,MOD(16+$C41+(-1),$B$3)+1)*H41+INDEX(Symboles!$G$6:$G$101,MOD(16+$C41+(0),$B$3)+1)*I41+INDEX(Symboles!$G$6:$G$101,MOD(16+$C41+(1),$B$3)+1)*J41+INDEX(Symboles!$G$6:$G$101,MOD(16+$C41+(2),$B$3)+1)*K41+INDEX(Symboles!$G$6:$G$101,MOD(16+$C41+(3),$B$3)+1)*L41+INDEX(Symboles!$G$6:$G$101,MOD(16+$C41+(4),$B$3)+1)*M41+IF($B$6=0,0,$B$6*NORMSINV(0.000001+0.999998*RAND())))</f>
        <v/>
      </c>
      <c r="AG41" s="30">
        <f>IF(18&gt;$B$3,99,INDEX(Symboles!$G$6:$G$101,MOD(17+$C41+(-4),$B$3)+1)*E41+INDEX(Symboles!$G$6:$G$101,MOD(17+$C41+(-3),$B$3)+1)*F41+INDEX(Symboles!$G$6:$G$101,MOD(17+$C41+(-2),$B$3)+1)*G41+INDEX(Symboles!$G$6:$G$101,MOD(17+$C41+(-1),$B$3)+1)*H41+INDEX(Symboles!$G$6:$G$101,MOD(17+$C41+(0),$B$3)+1)*I41+INDEX(Symboles!$G$6:$G$101,MOD(17+$C41+(1),$B$3)+1)*J41+INDEX(Symboles!$G$6:$G$101,MOD(17+$C41+(2),$B$3)+1)*K41+INDEX(Symboles!$G$6:$G$101,MOD(17+$C41+(3),$B$3)+1)*L41+INDEX(Symboles!$G$6:$G$101,MOD(17+$C41+(4),$B$3)+1)*M41+IF($B$6=0,0,$B$6*NORMSINV(0.000001+0.999998*RAND())))</f>
        <v/>
      </c>
      <c r="AH41" s="30">
        <f>IF(19&gt;$B$3,99,INDEX(Symboles!$G$6:$G$101,MOD(18+$C41+(-4),$B$3)+1)*E41+INDEX(Symboles!$G$6:$G$101,MOD(18+$C41+(-3),$B$3)+1)*F41+INDEX(Symboles!$G$6:$G$101,MOD(18+$C41+(-2),$B$3)+1)*G41+INDEX(Symboles!$G$6:$G$101,MOD(18+$C41+(-1),$B$3)+1)*H41+INDEX(Symboles!$G$6:$G$101,MOD(18+$C41+(0),$B$3)+1)*I41+INDEX(Symboles!$G$6:$G$101,MOD(18+$C41+(1),$B$3)+1)*J41+INDEX(Symboles!$G$6:$G$101,MOD(18+$C41+(2),$B$3)+1)*K41+INDEX(Symboles!$G$6:$G$101,MOD(18+$C41+(3),$B$3)+1)*L41+INDEX(Symboles!$G$6:$G$101,MOD(18+$C41+(4),$B$3)+1)*M41+IF($B$6=0,0,$B$6*NORMSINV(0.000001+0.999998*RAND())))</f>
        <v/>
      </c>
      <c r="AI41" s="30">
        <f>IF(20&gt;$B$3,99,INDEX(Symboles!$G$6:$G$101,MOD(19+$C41+(-4),$B$3)+1)*E41+INDEX(Symboles!$G$6:$G$101,MOD(19+$C41+(-3),$B$3)+1)*F41+INDEX(Symboles!$G$6:$G$101,MOD(19+$C41+(-2),$B$3)+1)*G41+INDEX(Symboles!$G$6:$G$101,MOD(19+$C41+(-1),$B$3)+1)*H41+INDEX(Symboles!$G$6:$G$101,MOD(19+$C41+(0),$B$3)+1)*I41+INDEX(Symboles!$G$6:$G$101,MOD(19+$C41+(1),$B$3)+1)*J41+INDEX(Symboles!$G$6:$G$101,MOD(19+$C41+(2),$B$3)+1)*K41+INDEX(Symboles!$G$6:$G$101,MOD(19+$C41+(3),$B$3)+1)*L41+INDEX(Symboles!$G$6:$G$101,MOD(19+$C41+(4),$B$3)+1)*M41+IF($B$6=0,0,$B$6*NORMSINV(0.000001+0.999998*RAND())))</f>
        <v/>
      </c>
      <c r="AJ41" s="30">
        <f>IF(21&gt;$B$3,99,INDEX(Symboles!$G$6:$G$101,MOD(20+$C41+(-4),$B$3)+1)*E41+INDEX(Symboles!$G$6:$G$101,MOD(20+$C41+(-3),$B$3)+1)*F41+INDEX(Symboles!$G$6:$G$101,MOD(20+$C41+(-2),$B$3)+1)*G41+INDEX(Symboles!$G$6:$G$101,MOD(20+$C41+(-1),$B$3)+1)*H41+INDEX(Symboles!$G$6:$G$101,MOD(20+$C41+(0),$B$3)+1)*I41+INDEX(Symboles!$G$6:$G$101,MOD(20+$C41+(1),$B$3)+1)*J41+INDEX(Symboles!$G$6:$G$101,MOD(20+$C41+(2),$B$3)+1)*K41+INDEX(Symboles!$G$6:$G$101,MOD(20+$C41+(3),$B$3)+1)*L41+INDEX(Symboles!$G$6:$G$101,MOD(20+$C41+(4),$B$3)+1)*M41+IF($B$6=0,0,$B$6*NORMSINV(0.000001+0.999998*RAND())))</f>
        <v/>
      </c>
      <c r="AK41" s="30">
        <f>IF(22&gt;$B$3,99,INDEX(Symboles!$G$6:$G$101,MOD(21+$C41+(-4),$B$3)+1)*E41+INDEX(Symboles!$G$6:$G$101,MOD(21+$C41+(-3),$B$3)+1)*F41+INDEX(Symboles!$G$6:$G$101,MOD(21+$C41+(-2),$B$3)+1)*G41+INDEX(Symboles!$G$6:$G$101,MOD(21+$C41+(-1),$B$3)+1)*H41+INDEX(Symboles!$G$6:$G$101,MOD(21+$C41+(0),$B$3)+1)*I41+INDEX(Symboles!$G$6:$G$101,MOD(21+$C41+(1),$B$3)+1)*J41+INDEX(Symboles!$G$6:$G$101,MOD(21+$C41+(2),$B$3)+1)*K41+INDEX(Symboles!$G$6:$G$101,MOD(21+$C41+(3),$B$3)+1)*L41+INDEX(Symboles!$G$6:$G$101,MOD(21+$C41+(4),$B$3)+1)*M41+IF($B$6=0,0,$B$6*NORMSINV(0.000001+0.999998*RAND())))</f>
        <v/>
      </c>
      <c r="AL41" s="30">
        <f>IF(23&gt;$B$3,99,INDEX(Symboles!$G$6:$G$101,MOD(22+$C41+(-4),$B$3)+1)*E41+INDEX(Symboles!$G$6:$G$101,MOD(22+$C41+(-3),$B$3)+1)*F41+INDEX(Symboles!$G$6:$G$101,MOD(22+$C41+(-2),$B$3)+1)*G41+INDEX(Symboles!$G$6:$G$101,MOD(22+$C41+(-1),$B$3)+1)*H41+INDEX(Symboles!$G$6:$G$101,MOD(22+$C41+(0),$B$3)+1)*I41+INDEX(Symboles!$G$6:$G$101,MOD(22+$C41+(1),$B$3)+1)*J41+INDEX(Symboles!$G$6:$G$101,MOD(22+$C41+(2),$B$3)+1)*K41+INDEX(Symboles!$G$6:$G$101,MOD(22+$C41+(3),$B$3)+1)*L41+INDEX(Symboles!$G$6:$G$101,MOD(22+$C41+(4),$B$3)+1)*M41+IF($B$6=0,0,$B$6*NORMSINV(0.000001+0.999998*RAND())))</f>
        <v/>
      </c>
      <c r="AM41" s="30">
        <f>IF(24&gt;$B$3,99,INDEX(Symboles!$G$6:$G$101,MOD(23+$C41+(-4),$B$3)+1)*E41+INDEX(Symboles!$G$6:$G$101,MOD(23+$C41+(-3),$B$3)+1)*F41+INDEX(Symboles!$G$6:$G$101,MOD(23+$C41+(-2),$B$3)+1)*G41+INDEX(Symboles!$G$6:$G$101,MOD(23+$C41+(-1),$B$3)+1)*H41+INDEX(Symboles!$G$6:$G$101,MOD(23+$C41+(0),$B$3)+1)*I41+INDEX(Symboles!$G$6:$G$101,MOD(23+$C41+(1),$B$3)+1)*J41+INDEX(Symboles!$G$6:$G$101,MOD(23+$C41+(2),$B$3)+1)*K41+INDEX(Symboles!$G$6:$G$101,MOD(23+$C41+(3),$B$3)+1)*L41+INDEX(Symboles!$G$6:$G$101,MOD(23+$C41+(4),$B$3)+1)*M41+IF($B$6=0,0,$B$6*NORMSINV(0.000001+0.999998*RAND())))</f>
        <v/>
      </c>
      <c r="AN41" s="30">
        <f>IF(25&gt;$B$3,99,INDEX(Symboles!$G$6:$G$101,MOD(24+$C41+(-4),$B$3)+1)*E41+INDEX(Symboles!$G$6:$G$101,MOD(24+$C41+(-3),$B$3)+1)*F41+INDEX(Symboles!$G$6:$G$101,MOD(24+$C41+(-2),$B$3)+1)*G41+INDEX(Symboles!$G$6:$G$101,MOD(24+$C41+(-1),$B$3)+1)*H41+INDEX(Symboles!$G$6:$G$101,MOD(24+$C41+(0),$B$3)+1)*I41+INDEX(Symboles!$G$6:$G$101,MOD(24+$C41+(1),$B$3)+1)*J41+INDEX(Symboles!$G$6:$G$101,MOD(24+$C41+(2),$B$3)+1)*K41+INDEX(Symboles!$G$6:$G$101,MOD(24+$C41+(3),$B$3)+1)*L41+INDEX(Symboles!$G$6:$G$101,MOD(24+$C41+(4),$B$3)+1)*M41+IF($B$6=0,0,$B$6*NORMSINV(0.000001+0.999998*RAND())))</f>
        <v/>
      </c>
      <c r="AO41" s="30">
        <f>IF(26&gt;$B$3,99,INDEX(Symboles!$G$6:$G$101,MOD(25+$C41+(-4),$B$3)+1)*E41+INDEX(Symboles!$G$6:$G$101,MOD(25+$C41+(-3),$B$3)+1)*F41+INDEX(Symboles!$G$6:$G$101,MOD(25+$C41+(-2),$B$3)+1)*G41+INDEX(Symboles!$G$6:$G$101,MOD(25+$C41+(-1),$B$3)+1)*H41+INDEX(Symboles!$G$6:$G$101,MOD(25+$C41+(0),$B$3)+1)*I41+INDEX(Symboles!$G$6:$G$101,MOD(25+$C41+(1),$B$3)+1)*J41+INDEX(Symboles!$G$6:$G$101,MOD(25+$C41+(2),$B$3)+1)*K41+INDEX(Symboles!$G$6:$G$101,MOD(25+$C41+(3),$B$3)+1)*L41+INDEX(Symboles!$G$6:$G$101,MOD(25+$C41+(4),$B$3)+1)*M41+IF($B$6=0,0,$B$6*NORMSINV(0.000001+0.999998*RAND())))</f>
        <v/>
      </c>
      <c r="AP41" s="30">
        <f>IF(27&gt;$B$3,99,INDEX(Symboles!$G$6:$G$101,MOD(26+$C41+(-4),$B$3)+1)*E41+INDEX(Symboles!$G$6:$G$101,MOD(26+$C41+(-3),$B$3)+1)*F41+INDEX(Symboles!$G$6:$G$101,MOD(26+$C41+(-2),$B$3)+1)*G41+INDEX(Symboles!$G$6:$G$101,MOD(26+$C41+(-1),$B$3)+1)*H41+INDEX(Symboles!$G$6:$G$101,MOD(26+$C41+(0),$B$3)+1)*I41+INDEX(Symboles!$G$6:$G$101,MOD(26+$C41+(1),$B$3)+1)*J41+INDEX(Symboles!$G$6:$G$101,MOD(26+$C41+(2),$B$3)+1)*K41+INDEX(Symboles!$G$6:$G$101,MOD(26+$C41+(3),$B$3)+1)*L41+INDEX(Symboles!$G$6:$G$101,MOD(26+$C41+(4),$B$3)+1)*M41+IF($B$6=0,0,$B$6*NORMSINV(0.000001+0.999998*RAND())))</f>
        <v/>
      </c>
      <c r="AQ41" s="30">
        <f>IF(28&gt;$B$3,99,INDEX(Symboles!$G$6:$G$101,MOD(27+$C41+(-4),$B$3)+1)*E41+INDEX(Symboles!$G$6:$G$101,MOD(27+$C41+(-3),$B$3)+1)*F41+INDEX(Symboles!$G$6:$G$101,MOD(27+$C41+(-2),$B$3)+1)*G41+INDEX(Symboles!$G$6:$G$101,MOD(27+$C41+(-1),$B$3)+1)*H41+INDEX(Symboles!$G$6:$G$101,MOD(27+$C41+(0),$B$3)+1)*I41+INDEX(Symboles!$G$6:$G$101,MOD(27+$C41+(1),$B$3)+1)*J41+INDEX(Symboles!$G$6:$G$101,MOD(27+$C41+(2),$B$3)+1)*K41+INDEX(Symboles!$G$6:$G$101,MOD(27+$C41+(3),$B$3)+1)*L41+INDEX(Symboles!$G$6:$G$101,MOD(27+$C41+(4),$B$3)+1)*M41+IF($B$6=0,0,$B$6*NORMSINV(0.000001+0.999998*RAND())))</f>
        <v/>
      </c>
      <c r="AR41" s="30">
        <f>IF(29&gt;$B$3,99,INDEX(Symboles!$G$6:$G$101,MOD(28+$C41+(-4),$B$3)+1)*E41+INDEX(Symboles!$G$6:$G$101,MOD(28+$C41+(-3),$B$3)+1)*F41+INDEX(Symboles!$G$6:$G$101,MOD(28+$C41+(-2),$B$3)+1)*G41+INDEX(Symboles!$G$6:$G$101,MOD(28+$C41+(-1),$B$3)+1)*H41+INDEX(Symboles!$G$6:$G$101,MOD(28+$C41+(0),$B$3)+1)*I41+INDEX(Symboles!$G$6:$G$101,MOD(28+$C41+(1),$B$3)+1)*J41+INDEX(Symboles!$G$6:$G$101,MOD(28+$C41+(2),$B$3)+1)*K41+INDEX(Symboles!$G$6:$G$101,MOD(28+$C41+(3),$B$3)+1)*L41+INDEX(Symboles!$G$6:$G$101,MOD(28+$C41+(4),$B$3)+1)*M41+IF($B$6=0,0,$B$6*NORMSINV(0.000001+0.999998*RAND())))</f>
        <v/>
      </c>
      <c r="AS41" s="30">
        <f>IF(30&gt;$B$3,99,INDEX(Symboles!$G$6:$G$101,MOD(29+$C41+(-4),$B$3)+1)*E41+INDEX(Symboles!$G$6:$G$101,MOD(29+$C41+(-3),$B$3)+1)*F41+INDEX(Symboles!$G$6:$G$101,MOD(29+$C41+(-2),$B$3)+1)*G41+INDEX(Symboles!$G$6:$G$101,MOD(29+$C41+(-1),$B$3)+1)*H41+INDEX(Symboles!$G$6:$G$101,MOD(29+$C41+(0),$B$3)+1)*I41+INDEX(Symboles!$G$6:$G$101,MOD(29+$C41+(1),$B$3)+1)*J41+INDEX(Symboles!$G$6:$G$101,MOD(29+$C41+(2),$B$3)+1)*K41+INDEX(Symboles!$G$6:$G$101,MOD(29+$C41+(3),$B$3)+1)*L41+INDEX(Symboles!$G$6:$G$101,MOD(29+$C41+(4),$B$3)+1)*M41+IF($B$6=0,0,$B$6*NORMSINV(0.000001+0.999998*RAND())))</f>
        <v/>
      </c>
      <c r="AT41" s="30">
        <f>IF(31&gt;$B$3,99,INDEX(Symboles!$G$6:$G$101,MOD(30+$C41+(-4),$B$3)+1)*E41+INDEX(Symboles!$G$6:$G$101,MOD(30+$C41+(-3),$B$3)+1)*F41+INDEX(Symboles!$G$6:$G$101,MOD(30+$C41+(-2),$B$3)+1)*G41+INDEX(Symboles!$G$6:$G$101,MOD(30+$C41+(-1),$B$3)+1)*H41+INDEX(Symboles!$G$6:$G$101,MOD(30+$C41+(0),$B$3)+1)*I41+INDEX(Symboles!$G$6:$G$101,MOD(30+$C41+(1),$B$3)+1)*J41+INDEX(Symboles!$G$6:$G$101,MOD(30+$C41+(2),$B$3)+1)*K41+INDEX(Symboles!$G$6:$G$101,MOD(30+$C41+(3),$B$3)+1)*L41+INDEX(Symboles!$G$6:$G$101,MOD(30+$C41+(4),$B$3)+1)*M41+IF($B$6=0,0,$B$6*NORMSINV(0.000001+0.999998*RAND())))</f>
        <v/>
      </c>
      <c r="AU41" s="30">
        <f>IF(32&gt;$B$3,99,INDEX(Symboles!$G$6:$G$101,MOD(31+$C41+(-4),$B$3)+1)*E41+INDEX(Symboles!$G$6:$G$101,MOD(31+$C41+(-3),$B$3)+1)*F41+INDEX(Symboles!$G$6:$G$101,MOD(31+$C41+(-2),$B$3)+1)*G41+INDEX(Symboles!$G$6:$G$101,MOD(31+$C41+(-1),$B$3)+1)*H41+INDEX(Symboles!$G$6:$G$101,MOD(31+$C41+(0),$B$3)+1)*I41+INDEX(Symboles!$G$6:$G$101,MOD(31+$C41+(1),$B$3)+1)*J41+INDEX(Symboles!$G$6:$G$101,MOD(31+$C41+(2),$B$3)+1)*K41+INDEX(Symboles!$G$6:$G$101,MOD(31+$C41+(3),$B$3)+1)*L41+INDEX(Symboles!$G$6:$G$101,MOD(31+$C41+(4),$B$3)+1)*M41+IF($B$6=0,0,$B$6*NORMSINV(0.000001+0.999998*RAND())))</f>
        <v/>
      </c>
      <c r="AV41" s="30">
        <f>IF(33&gt;$B$3,99,INDEX(Symboles!$G$6:$G$101,MOD(32+$C41+(-4),$B$3)+1)*E41+INDEX(Symboles!$G$6:$G$101,MOD(32+$C41+(-3),$B$3)+1)*F41+INDEX(Symboles!$G$6:$G$101,MOD(32+$C41+(-2),$B$3)+1)*G41+INDEX(Symboles!$G$6:$G$101,MOD(32+$C41+(-1),$B$3)+1)*H41+INDEX(Symboles!$G$6:$G$101,MOD(32+$C41+(0),$B$3)+1)*I41+INDEX(Symboles!$G$6:$G$101,MOD(32+$C41+(1),$B$3)+1)*J41+INDEX(Symboles!$G$6:$G$101,MOD(32+$C41+(2),$B$3)+1)*K41+INDEX(Symboles!$G$6:$G$101,MOD(32+$C41+(3),$B$3)+1)*L41+INDEX(Symboles!$G$6:$G$101,MOD(32+$C41+(4),$B$3)+1)*M41+IF($B$6=0,0,$B$6*NORMSINV(0.000001+0.999998*RAND())))</f>
        <v/>
      </c>
      <c r="AW41" s="30">
        <f>IF(34&gt;$B$3,99,INDEX(Symboles!$G$6:$G$101,MOD(33+$C41+(-4),$B$3)+1)*E41+INDEX(Symboles!$G$6:$G$101,MOD(33+$C41+(-3),$B$3)+1)*F41+INDEX(Symboles!$G$6:$G$101,MOD(33+$C41+(-2),$B$3)+1)*G41+INDEX(Symboles!$G$6:$G$101,MOD(33+$C41+(-1),$B$3)+1)*H41+INDEX(Symboles!$G$6:$G$101,MOD(33+$C41+(0),$B$3)+1)*I41+INDEX(Symboles!$G$6:$G$101,MOD(33+$C41+(1),$B$3)+1)*J41+INDEX(Symboles!$G$6:$G$101,MOD(33+$C41+(2),$B$3)+1)*K41+INDEX(Symboles!$G$6:$G$101,MOD(33+$C41+(3),$B$3)+1)*L41+INDEX(Symboles!$G$6:$G$101,MOD(33+$C41+(4),$B$3)+1)*M41+IF($B$6=0,0,$B$6*NORMSINV(0.000001+0.999998*RAND())))</f>
        <v/>
      </c>
      <c r="AX41" s="30">
        <f>IF(35&gt;$B$3,99,INDEX(Symboles!$G$6:$G$101,MOD(34+$C41+(-4),$B$3)+1)*E41+INDEX(Symboles!$G$6:$G$101,MOD(34+$C41+(-3),$B$3)+1)*F41+INDEX(Symboles!$G$6:$G$101,MOD(34+$C41+(-2),$B$3)+1)*G41+INDEX(Symboles!$G$6:$G$101,MOD(34+$C41+(-1),$B$3)+1)*H41+INDEX(Symboles!$G$6:$G$101,MOD(34+$C41+(0),$B$3)+1)*I41+INDEX(Symboles!$G$6:$G$101,MOD(34+$C41+(1),$B$3)+1)*J41+INDEX(Symboles!$G$6:$G$101,MOD(34+$C41+(2),$B$3)+1)*K41+INDEX(Symboles!$G$6:$G$101,MOD(34+$C41+(3),$B$3)+1)*L41+INDEX(Symboles!$G$6:$G$101,MOD(34+$C41+(4),$B$3)+1)*M41+IF($B$6=0,0,$B$6*NORMSINV(0.000001+0.999998*RAND())))</f>
        <v/>
      </c>
      <c r="AY41" s="30">
        <f>IF(36&gt;$B$3,99,INDEX(Symboles!$G$6:$G$101,MOD(35+$C41+(-4),$B$3)+1)*E41+INDEX(Symboles!$G$6:$G$101,MOD(35+$C41+(-3),$B$3)+1)*F41+INDEX(Symboles!$G$6:$G$101,MOD(35+$C41+(-2),$B$3)+1)*G41+INDEX(Symboles!$G$6:$G$101,MOD(35+$C41+(-1),$B$3)+1)*H41+INDEX(Symboles!$G$6:$G$101,MOD(35+$C41+(0),$B$3)+1)*I41+INDEX(Symboles!$G$6:$G$101,MOD(35+$C41+(1),$B$3)+1)*J41+INDEX(Symboles!$G$6:$G$101,MOD(35+$C41+(2),$B$3)+1)*K41+INDEX(Symboles!$G$6:$G$101,MOD(35+$C41+(3),$B$3)+1)*L41+INDEX(Symboles!$G$6:$G$101,MOD(35+$C41+(4),$B$3)+1)*M41+IF($B$6=0,0,$B$6*NORMSINV(0.000001+0.999998*RAND())))</f>
        <v/>
      </c>
      <c r="AZ41" s="30">
        <f>IF(37&gt;$B$3,99,INDEX(Symboles!$G$6:$G$101,MOD(36+$C41+(-4),$B$3)+1)*E41+INDEX(Symboles!$G$6:$G$101,MOD(36+$C41+(-3),$B$3)+1)*F41+INDEX(Symboles!$G$6:$G$101,MOD(36+$C41+(-2),$B$3)+1)*G41+INDEX(Symboles!$G$6:$G$101,MOD(36+$C41+(-1),$B$3)+1)*H41+INDEX(Symboles!$G$6:$G$101,MOD(36+$C41+(0),$B$3)+1)*I41+INDEX(Symboles!$G$6:$G$101,MOD(36+$C41+(1),$B$3)+1)*J41+INDEX(Symboles!$G$6:$G$101,MOD(36+$C41+(2),$B$3)+1)*K41+INDEX(Symboles!$G$6:$G$101,MOD(36+$C41+(3),$B$3)+1)*L41+INDEX(Symboles!$G$6:$G$101,MOD(36+$C41+(4),$B$3)+1)*M41+IF($B$6=0,0,$B$6*NORMSINV(0.000001+0.999998*RAND())))</f>
        <v/>
      </c>
      <c r="BA41" s="30">
        <f>IF(38&gt;$B$3,99,INDEX(Symboles!$G$6:$G$101,MOD(37+$C41+(-4),$B$3)+1)*E41+INDEX(Symboles!$G$6:$G$101,MOD(37+$C41+(-3),$B$3)+1)*F41+INDEX(Symboles!$G$6:$G$101,MOD(37+$C41+(-2),$B$3)+1)*G41+INDEX(Symboles!$G$6:$G$101,MOD(37+$C41+(-1),$B$3)+1)*H41+INDEX(Symboles!$G$6:$G$101,MOD(37+$C41+(0),$B$3)+1)*I41+INDEX(Symboles!$G$6:$G$101,MOD(37+$C41+(1),$B$3)+1)*J41+INDEX(Symboles!$G$6:$G$101,MOD(37+$C41+(2),$B$3)+1)*K41+INDEX(Symboles!$G$6:$G$101,MOD(37+$C41+(3),$B$3)+1)*L41+INDEX(Symboles!$G$6:$G$101,MOD(37+$C41+(4),$B$3)+1)*M41+IF($B$6=0,0,$B$6*NORMSINV(0.000001+0.999998*RAND())))</f>
        <v/>
      </c>
      <c r="BB41" s="30">
        <f>IF(39&gt;$B$3,99,INDEX(Symboles!$G$6:$G$101,MOD(38+$C41+(-4),$B$3)+1)*E41+INDEX(Symboles!$G$6:$G$101,MOD(38+$C41+(-3),$B$3)+1)*F41+INDEX(Symboles!$G$6:$G$101,MOD(38+$C41+(-2),$B$3)+1)*G41+INDEX(Symboles!$G$6:$G$101,MOD(38+$C41+(-1),$B$3)+1)*H41+INDEX(Symboles!$G$6:$G$101,MOD(38+$C41+(0),$B$3)+1)*I41+INDEX(Symboles!$G$6:$G$101,MOD(38+$C41+(1),$B$3)+1)*J41+INDEX(Symboles!$G$6:$G$101,MOD(38+$C41+(2),$B$3)+1)*K41+INDEX(Symboles!$G$6:$G$101,MOD(38+$C41+(3),$B$3)+1)*L41+INDEX(Symboles!$G$6:$G$101,MOD(38+$C41+(4),$B$3)+1)*M41+IF($B$6=0,0,$B$6*NORMSINV(0.000001+0.999998*RAND())))</f>
        <v/>
      </c>
      <c r="BC41" s="30">
        <f>IF(40&gt;$B$3,99,INDEX(Symboles!$G$6:$G$101,MOD(39+$C41+(-4),$B$3)+1)*E41+INDEX(Symboles!$G$6:$G$101,MOD(39+$C41+(-3),$B$3)+1)*F41+INDEX(Symboles!$G$6:$G$101,MOD(39+$C41+(-2),$B$3)+1)*G41+INDEX(Symboles!$G$6:$G$101,MOD(39+$C41+(-1),$B$3)+1)*H41+INDEX(Symboles!$G$6:$G$101,MOD(39+$C41+(0),$B$3)+1)*I41+INDEX(Symboles!$G$6:$G$101,MOD(39+$C41+(1),$B$3)+1)*J41+INDEX(Symboles!$G$6:$G$101,MOD(39+$C41+(2),$B$3)+1)*K41+INDEX(Symboles!$G$6:$G$101,MOD(39+$C41+(3),$B$3)+1)*L41+INDEX(Symboles!$G$6:$G$101,MOD(39+$C41+(4),$B$3)+1)*M41+IF($B$6=0,0,$B$6*NORMSINV(0.000001+0.999998*RAND())))</f>
        <v/>
      </c>
      <c r="BD41" s="30">
        <f>IF(41&gt;$B$3,99,INDEX(Symboles!$G$6:$G$101,MOD(40+$C41+(-4),$B$3)+1)*E41+INDEX(Symboles!$G$6:$G$101,MOD(40+$C41+(-3),$B$3)+1)*F41+INDEX(Symboles!$G$6:$G$101,MOD(40+$C41+(-2),$B$3)+1)*G41+INDEX(Symboles!$G$6:$G$101,MOD(40+$C41+(-1),$B$3)+1)*H41+INDEX(Symboles!$G$6:$G$101,MOD(40+$C41+(0),$B$3)+1)*I41+INDEX(Symboles!$G$6:$G$101,MOD(40+$C41+(1),$B$3)+1)*J41+INDEX(Symboles!$G$6:$G$101,MOD(40+$C41+(2),$B$3)+1)*K41+INDEX(Symboles!$G$6:$G$101,MOD(40+$C41+(3),$B$3)+1)*L41+INDEX(Symboles!$G$6:$G$101,MOD(40+$C41+(4),$B$3)+1)*M41+IF($B$6=0,0,$B$6*NORMSINV(0.000001+0.999998*RAND())))</f>
        <v/>
      </c>
      <c r="BE41" s="30">
        <f>IF(42&gt;$B$3,99,INDEX(Symboles!$G$6:$G$101,MOD(41+$C41+(-4),$B$3)+1)*E41+INDEX(Symboles!$G$6:$G$101,MOD(41+$C41+(-3),$B$3)+1)*F41+INDEX(Symboles!$G$6:$G$101,MOD(41+$C41+(-2),$B$3)+1)*G41+INDEX(Symboles!$G$6:$G$101,MOD(41+$C41+(-1),$B$3)+1)*H41+INDEX(Symboles!$G$6:$G$101,MOD(41+$C41+(0),$B$3)+1)*I41+INDEX(Symboles!$G$6:$G$101,MOD(41+$C41+(1),$B$3)+1)*J41+INDEX(Symboles!$G$6:$G$101,MOD(41+$C41+(2),$B$3)+1)*K41+INDEX(Symboles!$G$6:$G$101,MOD(41+$C41+(3),$B$3)+1)*L41+INDEX(Symboles!$G$6:$G$101,MOD(41+$C41+(4),$B$3)+1)*M41+IF($B$6=0,0,$B$6*NORMSINV(0.000001+0.999998*RAND())))</f>
        <v/>
      </c>
      <c r="BF41" s="30">
        <f>IF(43&gt;$B$3,99,INDEX(Symboles!$G$6:$G$101,MOD(42+$C41+(-4),$B$3)+1)*E41+INDEX(Symboles!$G$6:$G$101,MOD(42+$C41+(-3),$B$3)+1)*F41+INDEX(Symboles!$G$6:$G$101,MOD(42+$C41+(-2),$B$3)+1)*G41+INDEX(Symboles!$G$6:$G$101,MOD(42+$C41+(-1),$B$3)+1)*H41+INDEX(Symboles!$G$6:$G$101,MOD(42+$C41+(0),$B$3)+1)*I41+INDEX(Symboles!$G$6:$G$101,MOD(42+$C41+(1),$B$3)+1)*J41+INDEX(Symboles!$G$6:$G$101,MOD(42+$C41+(2),$B$3)+1)*K41+INDEX(Symboles!$G$6:$G$101,MOD(42+$C41+(3),$B$3)+1)*L41+INDEX(Symboles!$G$6:$G$101,MOD(42+$C41+(4),$B$3)+1)*M41+IF($B$6=0,0,$B$6*NORMSINV(0.000001+0.999998*RAND())))</f>
        <v/>
      </c>
      <c r="BG41" s="30">
        <f>IF(44&gt;$B$3,99,INDEX(Symboles!$G$6:$G$101,MOD(43+$C41+(-4),$B$3)+1)*E41+INDEX(Symboles!$G$6:$G$101,MOD(43+$C41+(-3),$B$3)+1)*F41+INDEX(Symboles!$G$6:$G$101,MOD(43+$C41+(-2),$B$3)+1)*G41+INDEX(Symboles!$G$6:$G$101,MOD(43+$C41+(-1),$B$3)+1)*H41+INDEX(Symboles!$G$6:$G$101,MOD(43+$C41+(0),$B$3)+1)*I41+INDEX(Symboles!$G$6:$G$101,MOD(43+$C41+(1),$B$3)+1)*J41+INDEX(Symboles!$G$6:$G$101,MOD(43+$C41+(2),$B$3)+1)*K41+INDEX(Symboles!$G$6:$G$101,MOD(43+$C41+(3),$B$3)+1)*L41+INDEX(Symboles!$G$6:$G$101,MOD(43+$C41+(4),$B$3)+1)*M41+IF($B$6=0,0,$B$6*NORMSINV(0.000001+0.999998*RAND())))</f>
        <v/>
      </c>
      <c r="BH41" s="30">
        <f>IF(45&gt;$B$3,99,INDEX(Symboles!$G$6:$G$101,MOD(44+$C41+(-4),$B$3)+1)*E41+INDEX(Symboles!$G$6:$G$101,MOD(44+$C41+(-3),$B$3)+1)*F41+INDEX(Symboles!$G$6:$G$101,MOD(44+$C41+(-2),$B$3)+1)*G41+INDEX(Symboles!$G$6:$G$101,MOD(44+$C41+(-1),$B$3)+1)*H41+INDEX(Symboles!$G$6:$G$101,MOD(44+$C41+(0),$B$3)+1)*I41+INDEX(Symboles!$G$6:$G$101,MOD(44+$C41+(1),$B$3)+1)*J41+INDEX(Symboles!$G$6:$G$101,MOD(44+$C41+(2),$B$3)+1)*K41+INDEX(Symboles!$G$6:$G$101,MOD(44+$C41+(3),$B$3)+1)*L41+INDEX(Symboles!$G$6:$G$101,MOD(44+$C41+(4),$B$3)+1)*M41+IF($B$6=0,0,$B$6*NORMSINV(0.000001+0.999998*RAND())))</f>
        <v/>
      </c>
      <c r="BI41" s="30">
        <f>IF(46&gt;$B$3,99,INDEX(Symboles!$G$6:$G$101,MOD(45+$C41+(-4),$B$3)+1)*E41+INDEX(Symboles!$G$6:$G$101,MOD(45+$C41+(-3),$B$3)+1)*F41+INDEX(Symboles!$G$6:$G$101,MOD(45+$C41+(-2),$B$3)+1)*G41+INDEX(Symboles!$G$6:$G$101,MOD(45+$C41+(-1),$B$3)+1)*H41+INDEX(Symboles!$G$6:$G$101,MOD(45+$C41+(0),$B$3)+1)*I41+INDEX(Symboles!$G$6:$G$101,MOD(45+$C41+(1),$B$3)+1)*J41+INDEX(Symboles!$G$6:$G$101,MOD(45+$C41+(2),$B$3)+1)*K41+INDEX(Symboles!$G$6:$G$101,MOD(45+$C41+(3),$B$3)+1)*L41+INDEX(Symboles!$G$6:$G$101,MOD(45+$C41+(4),$B$3)+1)*M41+IF($B$6=0,0,$B$6*NORMSINV(0.000001+0.999998*RAND())))</f>
        <v/>
      </c>
      <c r="BJ41" s="30">
        <f>IF(47&gt;$B$3,99,INDEX(Symboles!$G$6:$G$101,MOD(46+$C41+(-4),$B$3)+1)*E41+INDEX(Symboles!$G$6:$G$101,MOD(46+$C41+(-3),$B$3)+1)*F41+INDEX(Symboles!$G$6:$G$101,MOD(46+$C41+(-2),$B$3)+1)*G41+INDEX(Symboles!$G$6:$G$101,MOD(46+$C41+(-1),$B$3)+1)*H41+INDEX(Symboles!$G$6:$G$101,MOD(46+$C41+(0),$B$3)+1)*I41+INDEX(Symboles!$G$6:$G$101,MOD(46+$C41+(1),$B$3)+1)*J41+INDEX(Symboles!$G$6:$G$101,MOD(46+$C41+(2),$B$3)+1)*K41+INDEX(Symboles!$G$6:$G$101,MOD(46+$C41+(3),$B$3)+1)*L41+INDEX(Symboles!$G$6:$G$101,MOD(46+$C41+(4),$B$3)+1)*M41+IF($B$6=0,0,$B$6*NORMSINV(0.000001+0.999998*RAND())))</f>
        <v/>
      </c>
      <c r="BK41" s="30">
        <f>IF(48&gt;$B$3,99,INDEX(Symboles!$G$6:$G$101,MOD(47+$C41+(-4),$B$3)+1)*E41+INDEX(Symboles!$G$6:$G$101,MOD(47+$C41+(-3),$B$3)+1)*F41+INDEX(Symboles!$G$6:$G$101,MOD(47+$C41+(-2),$B$3)+1)*G41+INDEX(Symboles!$G$6:$G$101,MOD(47+$C41+(-1),$B$3)+1)*H41+INDEX(Symboles!$G$6:$G$101,MOD(47+$C41+(0),$B$3)+1)*I41+INDEX(Symboles!$G$6:$G$101,MOD(47+$C41+(1),$B$3)+1)*J41+INDEX(Symboles!$G$6:$G$101,MOD(47+$C41+(2),$B$3)+1)*K41+INDEX(Symboles!$G$6:$G$101,MOD(47+$C41+(3),$B$3)+1)*L41+INDEX(Symboles!$G$6:$G$101,MOD(47+$C41+(4),$B$3)+1)*M41+IF($B$6=0,0,$B$6*NORMSINV(0.000001+0.999998*RAND())))</f>
        <v/>
      </c>
      <c r="BL41" s="30">
        <f>IF(49&gt;$B$3,99,INDEX(Symboles!$G$6:$G$101,MOD(48+$C41+(-4),$B$3)+1)*E41+INDEX(Symboles!$G$6:$G$101,MOD(48+$C41+(-3),$B$3)+1)*F41+INDEX(Symboles!$G$6:$G$101,MOD(48+$C41+(-2),$B$3)+1)*G41+INDEX(Symboles!$G$6:$G$101,MOD(48+$C41+(-1),$B$3)+1)*H41+INDEX(Symboles!$G$6:$G$101,MOD(48+$C41+(0),$B$3)+1)*I41+INDEX(Symboles!$G$6:$G$101,MOD(48+$C41+(1),$B$3)+1)*J41+INDEX(Symboles!$G$6:$G$101,MOD(48+$C41+(2),$B$3)+1)*K41+INDEX(Symboles!$G$6:$G$101,MOD(48+$C41+(3),$B$3)+1)*L41+INDEX(Symboles!$G$6:$G$101,MOD(48+$C41+(4),$B$3)+1)*M41+IF($B$6=0,0,$B$6*NORMSINV(0.000001+0.999998*RAND())))</f>
        <v/>
      </c>
      <c r="BM41" s="30">
        <f>IF(50&gt;$B$3,99,INDEX(Symboles!$G$6:$G$101,MOD(49+$C41+(-4),$B$3)+1)*E41+INDEX(Symboles!$G$6:$G$101,MOD(49+$C41+(-3),$B$3)+1)*F41+INDEX(Symboles!$G$6:$G$101,MOD(49+$C41+(-2),$B$3)+1)*G41+INDEX(Symboles!$G$6:$G$101,MOD(49+$C41+(-1),$B$3)+1)*H41+INDEX(Symboles!$G$6:$G$101,MOD(49+$C41+(0),$B$3)+1)*I41+INDEX(Symboles!$G$6:$G$101,MOD(49+$C41+(1),$B$3)+1)*J41+INDEX(Symboles!$G$6:$G$101,MOD(49+$C41+(2),$B$3)+1)*K41+INDEX(Symboles!$G$6:$G$101,MOD(49+$C41+(3),$B$3)+1)*L41+INDEX(Symboles!$G$6:$G$101,MOD(49+$C41+(4),$B$3)+1)*M41+IF($B$6=0,0,$B$6*NORMSINV(0.000001+0.999998*RAND())))</f>
        <v/>
      </c>
      <c r="BN41" s="30">
        <f>IF(51&gt;$B$3,99,INDEX(Symboles!$G$6:$G$101,MOD(50+$C41+(-4),$B$3)+1)*E41+INDEX(Symboles!$G$6:$G$101,MOD(50+$C41+(-3),$B$3)+1)*F41+INDEX(Symboles!$G$6:$G$101,MOD(50+$C41+(-2),$B$3)+1)*G41+INDEX(Symboles!$G$6:$G$101,MOD(50+$C41+(-1),$B$3)+1)*H41+INDEX(Symboles!$G$6:$G$101,MOD(50+$C41+(0),$B$3)+1)*I41+INDEX(Symboles!$G$6:$G$101,MOD(50+$C41+(1),$B$3)+1)*J41+INDEX(Symboles!$G$6:$G$101,MOD(50+$C41+(2),$B$3)+1)*K41+INDEX(Symboles!$G$6:$G$101,MOD(50+$C41+(3),$B$3)+1)*L41+INDEX(Symboles!$G$6:$G$101,MOD(50+$C41+(4),$B$3)+1)*M41+IF($B$6=0,0,$B$6*NORMSINV(0.000001+0.999998*RAND())))</f>
        <v/>
      </c>
      <c r="BO41" s="30">
        <f>IF(52&gt;$B$3,99,INDEX(Symboles!$G$6:$G$101,MOD(51+$C41+(-4),$B$3)+1)*E41+INDEX(Symboles!$G$6:$G$101,MOD(51+$C41+(-3),$B$3)+1)*F41+INDEX(Symboles!$G$6:$G$101,MOD(51+$C41+(-2),$B$3)+1)*G41+INDEX(Symboles!$G$6:$G$101,MOD(51+$C41+(-1),$B$3)+1)*H41+INDEX(Symboles!$G$6:$G$101,MOD(51+$C41+(0),$B$3)+1)*I41+INDEX(Symboles!$G$6:$G$101,MOD(51+$C41+(1),$B$3)+1)*J41+INDEX(Symboles!$G$6:$G$101,MOD(51+$C41+(2),$B$3)+1)*K41+INDEX(Symboles!$G$6:$G$101,MOD(51+$C41+(3),$B$3)+1)*L41+INDEX(Symboles!$G$6:$G$101,MOD(51+$C41+(4),$B$3)+1)*M41+IF($B$6=0,0,$B$6*NORMSINV(0.000001+0.999998*RAND())))</f>
        <v/>
      </c>
      <c r="BP41" s="30">
        <f>IF(53&gt;$B$3,99,INDEX(Symboles!$G$6:$G$101,MOD(52+$C41+(-4),$B$3)+1)*E41+INDEX(Symboles!$G$6:$G$101,MOD(52+$C41+(-3),$B$3)+1)*F41+INDEX(Symboles!$G$6:$G$101,MOD(52+$C41+(-2),$B$3)+1)*G41+INDEX(Symboles!$G$6:$G$101,MOD(52+$C41+(-1),$B$3)+1)*H41+INDEX(Symboles!$G$6:$G$101,MOD(52+$C41+(0),$B$3)+1)*I41+INDEX(Symboles!$G$6:$G$101,MOD(52+$C41+(1),$B$3)+1)*J41+INDEX(Symboles!$G$6:$G$101,MOD(52+$C41+(2),$B$3)+1)*K41+INDEX(Symboles!$G$6:$G$101,MOD(52+$C41+(3),$B$3)+1)*L41+INDEX(Symboles!$G$6:$G$101,MOD(52+$C41+(4),$B$3)+1)*M41+IF($B$6=0,0,$B$6*NORMSINV(0.000001+0.999998*RAND())))</f>
        <v/>
      </c>
      <c r="BQ41" s="30">
        <f>IF(54&gt;$B$3,99,INDEX(Symboles!$G$6:$G$101,MOD(53+$C41+(-4),$B$3)+1)*E41+INDEX(Symboles!$G$6:$G$101,MOD(53+$C41+(-3),$B$3)+1)*F41+INDEX(Symboles!$G$6:$G$101,MOD(53+$C41+(-2),$B$3)+1)*G41+INDEX(Symboles!$G$6:$G$101,MOD(53+$C41+(-1),$B$3)+1)*H41+INDEX(Symboles!$G$6:$G$101,MOD(53+$C41+(0),$B$3)+1)*I41+INDEX(Symboles!$G$6:$G$101,MOD(53+$C41+(1),$B$3)+1)*J41+INDEX(Symboles!$G$6:$G$101,MOD(53+$C41+(2),$B$3)+1)*K41+INDEX(Symboles!$G$6:$G$101,MOD(53+$C41+(3),$B$3)+1)*L41+INDEX(Symboles!$G$6:$G$101,MOD(53+$C41+(4),$B$3)+1)*M41+IF($B$6=0,0,$B$6*NORMSINV(0.000001+0.999998*RAND())))</f>
        <v/>
      </c>
      <c r="BR41" s="30">
        <f>IF(55&gt;$B$3,99,INDEX(Symboles!$G$6:$G$101,MOD(54+$C41+(-4),$B$3)+1)*E41+INDEX(Symboles!$G$6:$G$101,MOD(54+$C41+(-3),$B$3)+1)*F41+INDEX(Symboles!$G$6:$G$101,MOD(54+$C41+(-2),$B$3)+1)*G41+INDEX(Symboles!$G$6:$G$101,MOD(54+$C41+(-1),$B$3)+1)*H41+INDEX(Symboles!$G$6:$G$101,MOD(54+$C41+(0),$B$3)+1)*I41+INDEX(Symboles!$G$6:$G$101,MOD(54+$C41+(1),$B$3)+1)*J41+INDEX(Symboles!$G$6:$G$101,MOD(54+$C41+(2),$B$3)+1)*K41+INDEX(Symboles!$G$6:$G$101,MOD(54+$C41+(3),$B$3)+1)*L41+INDEX(Symboles!$G$6:$G$101,MOD(54+$C41+(4),$B$3)+1)*M41+IF($B$6=0,0,$B$6*NORMSINV(0.000001+0.999998*RAND())))</f>
        <v/>
      </c>
      <c r="BS41" s="30">
        <f>IF(56&gt;$B$3,99,INDEX(Symboles!$G$6:$G$101,MOD(55+$C41+(-4),$B$3)+1)*E41+INDEX(Symboles!$G$6:$G$101,MOD(55+$C41+(-3),$B$3)+1)*F41+INDEX(Symboles!$G$6:$G$101,MOD(55+$C41+(-2),$B$3)+1)*G41+INDEX(Symboles!$G$6:$G$101,MOD(55+$C41+(-1),$B$3)+1)*H41+INDEX(Symboles!$G$6:$G$101,MOD(55+$C41+(0),$B$3)+1)*I41+INDEX(Symboles!$G$6:$G$101,MOD(55+$C41+(1),$B$3)+1)*J41+INDEX(Symboles!$G$6:$G$101,MOD(55+$C41+(2),$B$3)+1)*K41+INDEX(Symboles!$G$6:$G$101,MOD(55+$C41+(3),$B$3)+1)*L41+INDEX(Symboles!$G$6:$G$101,MOD(55+$C41+(4),$B$3)+1)*M41+IF($B$6=0,0,$B$6*NORMSINV(0.000001+0.999998*RAND())))</f>
        <v/>
      </c>
      <c r="BT41" s="30">
        <f>IF(57&gt;$B$3,99,INDEX(Symboles!$G$6:$G$101,MOD(56+$C41+(-4),$B$3)+1)*E41+INDEX(Symboles!$G$6:$G$101,MOD(56+$C41+(-3),$B$3)+1)*F41+INDEX(Symboles!$G$6:$G$101,MOD(56+$C41+(-2),$B$3)+1)*G41+INDEX(Symboles!$G$6:$G$101,MOD(56+$C41+(-1),$B$3)+1)*H41+INDEX(Symboles!$G$6:$G$101,MOD(56+$C41+(0),$B$3)+1)*I41+INDEX(Symboles!$G$6:$G$101,MOD(56+$C41+(1),$B$3)+1)*J41+INDEX(Symboles!$G$6:$G$101,MOD(56+$C41+(2),$B$3)+1)*K41+INDEX(Symboles!$G$6:$G$101,MOD(56+$C41+(3),$B$3)+1)*L41+INDEX(Symboles!$G$6:$G$101,MOD(56+$C41+(4),$B$3)+1)*M41+IF($B$6=0,0,$B$6*NORMSINV(0.000001+0.999998*RAND())))</f>
        <v/>
      </c>
      <c r="BU41" s="30">
        <f>IF(58&gt;$B$3,99,INDEX(Symboles!$G$6:$G$101,MOD(57+$C41+(-4),$B$3)+1)*E41+INDEX(Symboles!$G$6:$G$101,MOD(57+$C41+(-3),$B$3)+1)*F41+INDEX(Symboles!$G$6:$G$101,MOD(57+$C41+(-2),$B$3)+1)*G41+INDEX(Symboles!$G$6:$G$101,MOD(57+$C41+(-1),$B$3)+1)*H41+INDEX(Symboles!$G$6:$G$101,MOD(57+$C41+(0),$B$3)+1)*I41+INDEX(Symboles!$G$6:$G$101,MOD(57+$C41+(1),$B$3)+1)*J41+INDEX(Symboles!$G$6:$G$101,MOD(57+$C41+(2),$B$3)+1)*K41+INDEX(Symboles!$G$6:$G$101,MOD(57+$C41+(3),$B$3)+1)*L41+INDEX(Symboles!$G$6:$G$101,MOD(57+$C41+(4),$B$3)+1)*M41+IF($B$6=0,0,$B$6*NORMSINV(0.000001+0.999998*RAND())))</f>
        <v/>
      </c>
      <c r="BV41" s="30">
        <f>IF(59&gt;$B$3,99,INDEX(Symboles!$G$6:$G$101,MOD(58+$C41+(-4),$B$3)+1)*E41+INDEX(Symboles!$G$6:$G$101,MOD(58+$C41+(-3),$B$3)+1)*F41+INDEX(Symboles!$G$6:$G$101,MOD(58+$C41+(-2),$B$3)+1)*G41+INDEX(Symboles!$G$6:$G$101,MOD(58+$C41+(-1),$B$3)+1)*H41+INDEX(Symboles!$G$6:$G$101,MOD(58+$C41+(0),$B$3)+1)*I41+INDEX(Symboles!$G$6:$G$101,MOD(58+$C41+(1),$B$3)+1)*J41+INDEX(Symboles!$G$6:$G$101,MOD(58+$C41+(2),$B$3)+1)*K41+INDEX(Symboles!$G$6:$G$101,MOD(58+$C41+(3),$B$3)+1)*L41+INDEX(Symboles!$G$6:$G$101,MOD(58+$C41+(4),$B$3)+1)*M41+IF($B$6=0,0,$B$6*NORMSINV(0.000001+0.999998*RAND())))</f>
        <v/>
      </c>
      <c r="BW41" s="30">
        <f>IF(60&gt;$B$3,99,INDEX(Symboles!$G$6:$G$101,MOD(59+$C41+(-4),$B$3)+1)*E41+INDEX(Symboles!$G$6:$G$101,MOD(59+$C41+(-3),$B$3)+1)*F41+INDEX(Symboles!$G$6:$G$101,MOD(59+$C41+(-2),$B$3)+1)*G41+INDEX(Symboles!$G$6:$G$101,MOD(59+$C41+(-1),$B$3)+1)*H41+INDEX(Symboles!$G$6:$G$101,MOD(59+$C41+(0),$B$3)+1)*I41+INDEX(Symboles!$G$6:$G$101,MOD(59+$C41+(1),$B$3)+1)*J41+INDEX(Symboles!$G$6:$G$101,MOD(59+$C41+(2),$B$3)+1)*K41+INDEX(Symboles!$G$6:$G$101,MOD(59+$C41+(3),$B$3)+1)*L41+INDEX(Symboles!$G$6:$G$101,MOD(59+$C41+(4),$B$3)+1)*M41+IF($B$6=0,0,$B$6*NORMSINV(0.000001+0.999998*RAND())))</f>
        <v/>
      </c>
      <c r="BX41" s="30">
        <f>IF(61&gt;$B$3,99,INDEX(Symboles!$G$6:$G$101,MOD(60+$C41+(-4),$B$3)+1)*E41+INDEX(Symboles!$G$6:$G$101,MOD(60+$C41+(-3),$B$3)+1)*F41+INDEX(Symboles!$G$6:$G$101,MOD(60+$C41+(-2),$B$3)+1)*G41+INDEX(Symboles!$G$6:$G$101,MOD(60+$C41+(-1),$B$3)+1)*H41+INDEX(Symboles!$G$6:$G$101,MOD(60+$C41+(0),$B$3)+1)*I41+INDEX(Symboles!$G$6:$G$101,MOD(60+$C41+(1),$B$3)+1)*J41+INDEX(Symboles!$G$6:$G$101,MOD(60+$C41+(2),$B$3)+1)*K41+INDEX(Symboles!$G$6:$G$101,MOD(60+$C41+(3),$B$3)+1)*L41+INDEX(Symboles!$G$6:$G$101,MOD(60+$C41+(4),$B$3)+1)*M41+IF($B$6=0,0,$B$6*NORMSINV(0.000001+0.999998*RAND())))</f>
        <v/>
      </c>
      <c r="BY41" s="30">
        <f>IF(62&gt;$B$3,99,INDEX(Symboles!$G$6:$G$101,MOD(61+$C41+(-4),$B$3)+1)*E41+INDEX(Symboles!$G$6:$G$101,MOD(61+$C41+(-3),$B$3)+1)*F41+INDEX(Symboles!$G$6:$G$101,MOD(61+$C41+(-2),$B$3)+1)*G41+INDEX(Symboles!$G$6:$G$101,MOD(61+$C41+(-1),$B$3)+1)*H41+INDEX(Symboles!$G$6:$G$101,MOD(61+$C41+(0),$B$3)+1)*I41+INDEX(Symboles!$G$6:$G$101,MOD(61+$C41+(1),$B$3)+1)*J41+INDEX(Symboles!$G$6:$G$101,MOD(61+$C41+(2),$B$3)+1)*K41+INDEX(Symboles!$G$6:$G$101,MOD(61+$C41+(3),$B$3)+1)*L41+INDEX(Symboles!$G$6:$G$101,MOD(61+$C41+(4),$B$3)+1)*M41+IF($B$6=0,0,$B$6*NORMSINV(0.000001+0.999998*RAND())))</f>
        <v/>
      </c>
      <c r="BZ41" s="30">
        <f>IF(63&gt;$B$3,99,INDEX(Symboles!$G$6:$G$101,MOD(62+$C41+(-4),$B$3)+1)*E41+INDEX(Symboles!$G$6:$G$101,MOD(62+$C41+(-3),$B$3)+1)*F41+INDEX(Symboles!$G$6:$G$101,MOD(62+$C41+(-2),$B$3)+1)*G41+INDEX(Symboles!$G$6:$G$101,MOD(62+$C41+(-1),$B$3)+1)*H41+INDEX(Symboles!$G$6:$G$101,MOD(62+$C41+(0),$B$3)+1)*I41+INDEX(Symboles!$G$6:$G$101,MOD(62+$C41+(1),$B$3)+1)*J41+INDEX(Symboles!$G$6:$G$101,MOD(62+$C41+(2),$B$3)+1)*K41+INDEX(Symboles!$G$6:$G$101,MOD(62+$C41+(3),$B$3)+1)*L41+INDEX(Symboles!$G$6:$G$101,MOD(62+$C41+(4),$B$3)+1)*M41+IF($B$6=0,0,$B$6*NORMSINV(0.000001+0.999998*RAND())))</f>
        <v/>
      </c>
      <c r="CA41" s="30">
        <f>IF(64&gt;$B$3,99,INDEX(Symboles!$G$6:$G$101,MOD(63+$C41+(-4),$B$3)+1)*E41+INDEX(Symboles!$G$6:$G$101,MOD(63+$C41+(-3),$B$3)+1)*F41+INDEX(Symboles!$G$6:$G$101,MOD(63+$C41+(-2),$B$3)+1)*G41+INDEX(Symboles!$G$6:$G$101,MOD(63+$C41+(-1),$B$3)+1)*H41+INDEX(Symboles!$G$6:$G$101,MOD(63+$C41+(0),$B$3)+1)*I41+INDEX(Symboles!$G$6:$G$101,MOD(63+$C41+(1),$B$3)+1)*J41+INDEX(Symboles!$G$6:$G$101,MOD(63+$C41+(2),$B$3)+1)*K41+INDEX(Symboles!$G$6:$G$101,MOD(63+$C41+(3),$B$3)+1)*L41+INDEX(Symboles!$G$6:$G$101,MOD(63+$C41+(4),$B$3)+1)*M41+IF($B$6=0,0,$B$6*NORMSINV(0.000001+0.999998*RAND())))</f>
        <v/>
      </c>
      <c r="CB41" s="30">
        <f>IF(65&gt;$B$3,99,INDEX(Symboles!$G$6:$G$101,MOD(64+$C41+(-4),$B$3)+1)*E41+INDEX(Symboles!$G$6:$G$101,MOD(64+$C41+(-3),$B$3)+1)*F41+INDEX(Symboles!$G$6:$G$101,MOD(64+$C41+(-2),$B$3)+1)*G41+INDEX(Symboles!$G$6:$G$101,MOD(64+$C41+(-1),$B$3)+1)*H41+INDEX(Symboles!$G$6:$G$101,MOD(64+$C41+(0),$B$3)+1)*I41+INDEX(Symboles!$G$6:$G$101,MOD(64+$C41+(1),$B$3)+1)*J41+INDEX(Symboles!$G$6:$G$101,MOD(64+$C41+(2),$B$3)+1)*K41+INDEX(Symboles!$G$6:$G$101,MOD(64+$C41+(3),$B$3)+1)*L41+INDEX(Symboles!$G$6:$G$101,MOD(64+$C41+(4),$B$3)+1)*M41+IF($B$6=0,0,$B$6*NORMSINV(0.000001+0.999998*RAND())))</f>
        <v/>
      </c>
      <c r="CC41" s="30">
        <f>IF(66&gt;$B$3,99,INDEX(Symboles!$G$6:$G$101,MOD(65+$C41+(-4),$B$3)+1)*E41+INDEX(Symboles!$G$6:$G$101,MOD(65+$C41+(-3),$B$3)+1)*F41+INDEX(Symboles!$G$6:$G$101,MOD(65+$C41+(-2),$B$3)+1)*G41+INDEX(Symboles!$G$6:$G$101,MOD(65+$C41+(-1),$B$3)+1)*H41+INDEX(Symboles!$G$6:$G$101,MOD(65+$C41+(0),$B$3)+1)*I41+INDEX(Symboles!$G$6:$G$101,MOD(65+$C41+(1),$B$3)+1)*J41+INDEX(Symboles!$G$6:$G$101,MOD(65+$C41+(2),$B$3)+1)*K41+INDEX(Symboles!$G$6:$G$101,MOD(65+$C41+(3),$B$3)+1)*L41+INDEX(Symboles!$G$6:$G$101,MOD(65+$C41+(4),$B$3)+1)*M41+IF($B$6=0,0,$B$6*NORMSINV(0.000001+0.999998*RAND())))</f>
        <v/>
      </c>
      <c r="CD41" s="30">
        <f>IF(67&gt;$B$3,99,INDEX(Symboles!$G$6:$G$101,MOD(66+$C41+(-4),$B$3)+1)*E41+INDEX(Symboles!$G$6:$G$101,MOD(66+$C41+(-3),$B$3)+1)*F41+INDEX(Symboles!$G$6:$G$101,MOD(66+$C41+(-2),$B$3)+1)*G41+INDEX(Symboles!$G$6:$G$101,MOD(66+$C41+(-1),$B$3)+1)*H41+INDEX(Symboles!$G$6:$G$101,MOD(66+$C41+(0),$B$3)+1)*I41+INDEX(Symboles!$G$6:$G$101,MOD(66+$C41+(1),$B$3)+1)*J41+INDEX(Symboles!$G$6:$G$101,MOD(66+$C41+(2),$B$3)+1)*K41+INDEX(Symboles!$G$6:$G$101,MOD(66+$C41+(3),$B$3)+1)*L41+INDEX(Symboles!$G$6:$G$101,MOD(66+$C41+(4),$B$3)+1)*M41+IF($B$6=0,0,$B$6*NORMSINV(0.000001+0.999998*RAND())))</f>
        <v/>
      </c>
      <c r="CE41" s="30">
        <f>IF(68&gt;$B$3,99,INDEX(Symboles!$G$6:$G$101,MOD(67+$C41+(-4),$B$3)+1)*E41+INDEX(Symboles!$G$6:$G$101,MOD(67+$C41+(-3),$B$3)+1)*F41+INDEX(Symboles!$G$6:$G$101,MOD(67+$C41+(-2),$B$3)+1)*G41+INDEX(Symboles!$G$6:$G$101,MOD(67+$C41+(-1),$B$3)+1)*H41+INDEX(Symboles!$G$6:$G$101,MOD(67+$C41+(0),$B$3)+1)*I41+INDEX(Symboles!$G$6:$G$101,MOD(67+$C41+(1),$B$3)+1)*J41+INDEX(Symboles!$G$6:$G$101,MOD(67+$C41+(2),$B$3)+1)*K41+INDEX(Symboles!$G$6:$G$101,MOD(67+$C41+(3),$B$3)+1)*L41+INDEX(Symboles!$G$6:$G$101,MOD(67+$C41+(4),$B$3)+1)*M41+IF($B$6=0,0,$B$6*NORMSINV(0.000001+0.999998*RAND())))</f>
        <v/>
      </c>
      <c r="CF41" s="30">
        <f>IF(69&gt;$B$3,99,INDEX(Symboles!$G$6:$G$101,MOD(68+$C41+(-4),$B$3)+1)*E41+INDEX(Symboles!$G$6:$G$101,MOD(68+$C41+(-3),$B$3)+1)*F41+INDEX(Symboles!$G$6:$G$101,MOD(68+$C41+(-2),$B$3)+1)*G41+INDEX(Symboles!$G$6:$G$101,MOD(68+$C41+(-1),$B$3)+1)*H41+INDEX(Symboles!$G$6:$G$101,MOD(68+$C41+(0),$B$3)+1)*I41+INDEX(Symboles!$G$6:$G$101,MOD(68+$C41+(1),$B$3)+1)*J41+INDEX(Symboles!$G$6:$G$101,MOD(68+$C41+(2),$B$3)+1)*K41+INDEX(Symboles!$G$6:$G$101,MOD(68+$C41+(3),$B$3)+1)*L41+INDEX(Symboles!$G$6:$G$101,MOD(68+$C41+(4),$B$3)+1)*M41+IF($B$6=0,0,$B$6*NORMSINV(0.000001+0.999998*RAND())))</f>
        <v/>
      </c>
      <c r="CG41" s="30">
        <f>IF(70&gt;$B$3,99,INDEX(Symboles!$G$6:$G$101,MOD(69+$C41+(-4),$B$3)+1)*E41+INDEX(Symboles!$G$6:$G$101,MOD(69+$C41+(-3),$B$3)+1)*F41+INDEX(Symboles!$G$6:$G$101,MOD(69+$C41+(-2),$B$3)+1)*G41+INDEX(Symboles!$G$6:$G$101,MOD(69+$C41+(-1),$B$3)+1)*H41+INDEX(Symboles!$G$6:$G$101,MOD(69+$C41+(0),$B$3)+1)*I41+INDEX(Symboles!$G$6:$G$101,MOD(69+$C41+(1),$B$3)+1)*J41+INDEX(Symboles!$G$6:$G$101,MOD(69+$C41+(2),$B$3)+1)*K41+INDEX(Symboles!$G$6:$G$101,MOD(69+$C41+(3),$B$3)+1)*L41+INDEX(Symboles!$G$6:$G$101,MOD(69+$C41+(4),$B$3)+1)*M41+IF($B$6=0,0,$B$6*NORMSINV(0.000001+0.999998*RAND())))</f>
        <v/>
      </c>
      <c r="CH41" s="30">
        <f>IF(71&gt;$B$3,99,INDEX(Symboles!$G$6:$G$101,MOD(70+$C41+(-4),$B$3)+1)*E41+INDEX(Symboles!$G$6:$G$101,MOD(70+$C41+(-3),$B$3)+1)*F41+INDEX(Symboles!$G$6:$G$101,MOD(70+$C41+(-2),$B$3)+1)*G41+INDEX(Symboles!$G$6:$G$101,MOD(70+$C41+(-1),$B$3)+1)*H41+INDEX(Symboles!$G$6:$G$101,MOD(70+$C41+(0),$B$3)+1)*I41+INDEX(Symboles!$G$6:$G$101,MOD(70+$C41+(1),$B$3)+1)*J41+INDEX(Symboles!$G$6:$G$101,MOD(70+$C41+(2),$B$3)+1)*K41+INDEX(Symboles!$G$6:$G$101,MOD(70+$C41+(3),$B$3)+1)*L41+INDEX(Symboles!$G$6:$G$101,MOD(70+$C41+(4),$B$3)+1)*M41+IF($B$6=0,0,$B$6*NORMSINV(0.000001+0.999998*RAND())))</f>
        <v/>
      </c>
      <c r="CI41" s="30">
        <f>IF(72&gt;$B$3,99,INDEX(Symboles!$G$6:$G$101,MOD(71+$C41+(-4),$B$3)+1)*E41+INDEX(Symboles!$G$6:$G$101,MOD(71+$C41+(-3),$B$3)+1)*F41+INDEX(Symboles!$G$6:$G$101,MOD(71+$C41+(-2),$B$3)+1)*G41+INDEX(Symboles!$G$6:$G$101,MOD(71+$C41+(-1),$B$3)+1)*H41+INDEX(Symboles!$G$6:$G$101,MOD(71+$C41+(0),$B$3)+1)*I41+INDEX(Symboles!$G$6:$G$101,MOD(71+$C41+(1),$B$3)+1)*J41+INDEX(Symboles!$G$6:$G$101,MOD(71+$C41+(2),$B$3)+1)*K41+INDEX(Symboles!$G$6:$G$101,MOD(71+$C41+(3),$B$3)+1)*L41+INDEX(Symboles!$G$6:$G$101,MOD(71+$C41+(4),$B$3)+1)*M41+IF($B$6=0,0,$B$6*NORMSINV(0.000001+0.999998*RAND())))</f>
        <v/>
      </c>
      <c r="CJ41" s="30">
        <f>IF(73&gt;$B$3,99,INDEX(Symboles!$G$6:$G$101,MOD(72+$C41+(-4),$B$3)+1)*E41+INDEX(Symboles!$G$6:$G$101,MOD(72+$C41+(-3),$B$3)+1)*F41+INDEX(Symboles!$G$6:$G$101,MOD(72+$C41+(-2),$B$3)+1)*G41+INDEX(Symboles!$G$6:$G$101,MOD(72+$C41+(-1),$B$3)+1)*H41+INDEX(Symboles!$G$6:$G$101,MOD(72+$C41+(0),$B$3)+1)*I41+INDEX(Symboles!$G$6:$G$101,MOD(72+$C41+(1),$B$3)+1)*J41+INDEX(Symboles!$G$6:$G$101,MOD(72+$C41+(2),$B$3)+1)*K41+INDEX(Symboles!$G$6:$G$101,MOD(72+$C41+(3),$B$3)+1)*L41+INDEX(Symboles!$G$6:$G$101,MOD(72+$C41+(4),$B$3)+1)*M41+IF($B$6=0,0,$B$6*NORMSINV(0.000001+0.999998*RAND())))</f>
        <v/>
      </c>
      <c r="CK41" s="30">
        <f>IF(74&gt;$B$3,99,INDEX(Symboles!$G$6:$G$101,MOD(73+$C41+(-4),$B$3)+1)*E41+INDEX(Symboles!$G$6:$G$101,MOD(73+$C41+(-3),$B$3)+1)*F41+INDEX(Symboles!$G$6:$G$101,MOD(73+$C41+(-2),$B$3)+1)*G41+INDEX(Symboles!$G$6:$G$101,MOD(73+$C41+(-1),$B$3)+1)*H41+INDEX(Symboles!$G$6:$G$101,MOD(73+$C41+(0),$B$3)+1)*I41+INDEX(Symboles!$G$6:$G$101,MOD(73+$C41+(1),$B$3)+1)*J41+INDEX(Symboles!$G$6:$G$101,MOD(73+$C41+(2),$B$3)+1)*K41+INDEX(Symboles!$G$6:$G$101,MOD(73+$C41+(3),$B$3)+1)*L41+INDEX(Symboles!$G$6:$G$101,MOD(73+$C41+(4),$B$3)+1)*M41+IF($B$6=0,0,$B$6*NORMSINV(0.000001+0.999998*RAND())))</f>
        <v/>
      </c>
      <c r="CL41" s="30">
        <f>IF(75&gt;$B$3,99,INDEX(Symboles!$G$6:$G$101,MOD(74+$C41+(-4),$B$3)+1)*E41+INDEX(Symboles!$G$6:$G$101,MOD(74+$C41+(-3),$B$3)+1)*F41+INDEX(Symboles!$G$6:$G$101,MOD(74+$C41+(-2),$B$3)+1)*G41+INDEX(Symboles!$G$6:$G$101,MOD(74+$C41+(-1),$B$3)+1)*H41+INDEX(Symboles!$G$6:$G$101,MOD(74+$C41+(0),$B$3)+1)*I41+INDEX(Symboles!$G$6:$G$101,MOD(74+$C41+(1),$B$3)+1)*J41+INDEX(Symboles!$G$6:$G$101,MOD(74+$C41+(2),$B$3)+1)*K41+INDEX(Symboles!$G$6:$G$101,MOD(74+$C41+(3),$B$3)+1)*L41+INDEX(Symboles!$G$6:$G$101,MOD(74+$C41+(4),$B$3)+1)*M41+IF($B$6=0,0,$B$6*NORMSINV(0.000001+0.999998*RAND())))</f>
        <v/>
      </c>
      <c r="CM41" s="30">
        <f>IF(76&gt;$B$3,99,INDEX(Symboles!$G$6:$G$101,MOD(75+$C41+(-4),$B$3)+1)*E41+INDEX(Symboles!$G$6:$G$101,MOD(75+$C41+(-3),$B$3)+1)*F41+INDEX(Symboles!$G$6:$G$101,MOD(75+$C41+(-2),$B$3)+1)*G41+INDEX(Symboles!$G$6:$G$101,MOD(75+$C41+(-1),$B$3)+1)*H41+INDEX(Symboles!$G$6:$G$101,MOD(75+$C41+(0),$B$3)+1)*I41+INDEX(Symboles!$G$6:$G$101,MOD(75+$C41+(1),$B$3)+1)*J41+INDEX(Symboles!$G$6:$G$101,MOD(75+$C41+(2),$B$3)+1)*K41+INDEX(Symboles!$G$6:$G$101,MOD(75+$C41+(3),$B$3)+1)*L41+INDEX(Symboles!$G$6:$G$101,MOD(75+$C41+(4),$B$3)+1)*M41+IF($B$6=0,0,$B$6*NORMSINV(0.000001+0.999998*RAND())))</f>
        <v/>
      </c>
      <c r="CN41" s="30">
        <f>IF(77&gt;$B$3,99,INDEX(Symboles!$G$6:$G$101,MOD(76+$C41+(-4),$B$3)+1)*E41+INDEX(Symboles!$G$6:$G$101,MOD(76+$C41+(-3),$B$3)+1)*F41+INDEX(Symboles!$G$6:$G$101,MOD(76+$C41+(-2),$B$3)+1)*G41+INDEX(Symboles!$G$6:$G$101,MOD(76+$C41+(-1),$B$3)+1)*H41+INDEX(Symboles!$G$6:$G$101,MOD(76+$C41+(0),$B$3)+1)*I41+INDEX(Symboles!$G$6:$G$101,MOD(76+$C41+(1),$B$3)+1)*J41+INDEX(Symboles!$G$6:$G$101,MOD(76+$C41+(2),$B$3)+1)*K41+INDEX(Symboles!$G$6:$G$101,MOD(76+$C41+(3),$B$3)+1)*L41+INDEX(Symboles!$G$6:$G$101,MOD(76+$C41+(4),$B$3)+1)*M41+IF($B$6=0,0,$B$6*NORMSINV(0.000001+0.999998*RAND())))</f>
        <v/>
      </c>
      <c r="CO41" s="30">
        <f>IF(78&gt;$B$3,99,INDEX(Symboles!$G$6:$G$101,MOD(77+$C41+(-4),$B$3)+1)*E41+INDEX(Symboles!$G$6:$G$101,MOD(77+$C41+(-3),$B$3)+1)*F41+INDEX(Symboles!$G$6:$G$101,MOD(77+$C41+(-2),$B$3)+1)*G41+INDEX(Symboles!$G$6:$G$101,MOD(77+$C41+(-1),$B$3)+1)*H41+INDEX(Symboles!$G$6:$G$101,MOD(77+$C41+(0),$B$3)+1)*I41+INDEX(Symboles!$G$6:$G$101,MOD(77+$C41+(1),$B$3)+1)*J41+INDEX(Symboles!$G$6:$G$101,MOD(77+$C41+(2),$B$3)+1)*K41+INDEX(Symboles!$G$6:$G$101,MOD(77+$C41+(3),$B$3)+1)*L41+INDEX(Symboles!$G$6:$G$101,MOD(77+$C41+(4),$B$3)+1)*M41+IF($B$6=0,0,$B$6*NORMSINV(0.000001+0.999998*RAND())))</f>
        <v/>
      </c>
      <c r="CP41" s="30">
        <f>IF(79&gt;$B$3,99,INDEX(Symboles!$G$6:$G$101,MOD(78+$C41+(-4),$B$3)+1)*E41+INDEX(Symboles!$G$6:$G$101,MOD(78+$C41+(-3),$B$3)+1)*F41+INDEX(Symboles!$G$6:$G$101,MOD(78+$C41+(-2),$B$3)+1)*G41+INDEX(Symboles!$G$6:$G$101,MOD(78+$C41+(-1),$B$3)+1)*H41+INDEX(Symboles!$G$6:$G$101,MOD(78+$C41+(0),$B$3)+1)*I41+INDEX(Symboles!$G$6:$G$101,MOD(78+$C41+(1),$B$3)+1)*J41+INDEX(Symboles!$G$6:$G$101,MOD(78+$C41+(2),$B$3)+1)*K41+INDEX(Symboles!$G$6:$G$101,MOD(78+$C41+(3),$B$3)+1)*L41+INDEX(Symboles!$G$6:$G$101,MOD(78+$C41+(4),$B$3)+1)*M41+IF($B$6=0,0,$B$6*NORMSINV(0.000001+0.999998*RAND())))</f>
        <v/>
      </c>
      <c r="CQ41" s="30">
        <f>IF(80&gt;$B$3,99,INDEX(Symboles!$G$6:$G$101,MOD(79+$C41+(-4),$B$3)+1)*E41+INDEX(Symboles!$G$6:$G$101,MOD(79+$C41+(-3),$B$3)+1)*F41+INDEX(Symboles!$G$6:$G$101,MOD(79+$C41+(-2),$B$3)+1)*G41+INDEX(Symboles!$G$6:$G$101,MOD(79+$C41+(-1),$B$3)+1)*H41+INDEX(Symboles!$G$6:$G$101,MOD(79+$C41+(0),$B$3)+1)*I41+INDEX(Symboles!$G$6:$G$101,MOD(79+$C41+(1),$B$3)+1)*J41+INDEX(Symboles!$G$6:$G$101,MOD(79+$C41+(2),$B$3)+1)*K41+INDEX(Symboles!$G$6:$G$101,MOD(79+$C41+(3),$B$3)+1)*L41+INDEX(Symboles!$G$6:$G$101,MOD(79+$C41+(4),$B$3)+1)*M41+IF($B$6=0,0,$B$6*NORMSINV(0.000001+0.999998*RAND())))</f>
        <v/>
      </c>
      <c r="CR41" s="30">
        <f>IF(81&gt;$B$3,99,INDEX(Symboles!$G$6:$G$101,MOD(80+$C41+(-4),$B$3)+1)*E41+INDEX(Symboles!$G$6:$G$101,MOD(80+$C41+(-3),$B$3)+1)*F41+INDEX(Symboles!$G$6:$G$101,MOD(80+$C41+(-2),$B$3)+1)*G41+INDEX(Symboles!$G$6:$G$101,MOD(80+$C41+(-1),$B$3)+1)*H41+INDEX(Symboles!$G$6:$G$101,MOD(80+$C41+(0),$B$3)+1)*I41+INDEX(Symboles!$G$6:$G$101,MOD(80+$C41+(1),$B$3)+1)*J41+INDEX(Symboles!$G$6:$G$101,MOD(80+$C41+(2),$B$3)+1)*K41+INDEX(Symboles!$G$6:$G$101,MOD(80+$C41+(3),$B$3)+1)*L41+INDEX(Symboles!$G$6:$G$101,MOD(80+$C41+(4),$B$3)+1)*M41+IF($B$6=0,0,$B$6*NORMSINV(0.000001+0.999998*RAND())))</f>
        <v/>
      </c>
      <c r="CS41" s="30">
        <f>IF(82&gt;$B$3,99,INDEX(Symboles!$G$6:$G$101,MOD(81+$C41+(-4),$B$3)+1)*E41+INDEX(Symboles!$G$6:$G$101,MOD(81+$C41+(-3),$B$3)+1)*F41+INDEX(Symboles!$G$6:$G$101,MOD(81+$C41+(-2),$B$3)+1)*G41+INDEX(Symboles!$G$6:$G$101,MOD(81+$C41+(-1),$B$3)+1)*H41+INDEX(Symboles!$G$6:$G$101,MOD(81+$C41+(0),$B$3)+1)*I41+INDEX(Symboles!$G$6:$G$101,MOD(81+$C41+(1),$B$3)+1)*J41+INDEX(Symboles!$G$6:$G$101,MOD(81+$C41+(2),$B$3)+1)*K41+INDEX(Symboles!$G$6:$G$101,MOD(81+$C41+(3),$B$3)+1)*L41+INDEX(Symboles!$G$6:$G$101,MOD(81+$C41+(4),$B$3)+1)*M41+IF($B$6=0,0,$B$6*NORMSINV(0.000001+0.999998*RAND())))</f>
        <v/>
      </c>
      <c r="CT41" s="30">
        <f>IF(83&gt;$B$3,99,INDEX(Symboles!$G$6:$G$101,MOD(82+$C41+(-4),$B$3)+1)*E41+INDEX(Symboles!$G$6:$G$101,MOD(82+$C41+(-3),$B$3)+1)*F41+INDEX(Symboles!$G$6:$G$101,MOD(82+$C41+(-2),$B$3)+1)*G41+INDEX(Symboles!$G$6:$G$101,MOD(82+$C41+(-1),$B$3)+1)*H41+INDEX(Symboles!$G$6:$G$101,MOD(82+$C41+(0),$B$3)+1)*I41+INDEX(Symboles!$G$6:$G$101,MOD(82+$C41+(1),$B$3)+1)*J41+INDEX(Symboles!$G$6:$G$101,MOD(82+$C41+(2),$B$3)+1)*K41+INDEX(Symboles!$G$6:$G$101,MOD(82+$C41+(3),$B$3)+1)*L41+INDEX(Symboles!$G$6:$G$101,MOD(82+$C41+(4),$B$3)+1)*M41+IF($B$6=0,0,$B$6*NORMSINV(0.000001+0.999998*RAND())))</f>
        <v/>
      </c>
      <c r="CU41" s="30">
        <f>IF(84&gt;$B$3,99,INDEX(Symboles!$G$6:$G$101,MOD(83+$C41+(-4),$B$3)+1)*E41+INDEX(Symboles!$G$6:$G$101,MOD(83+$C41+(-3),$B$3)+1)*F41+INDEX(Symboles!$G$6:$G$101,MOD(83+$C41+(-2),$B$3)+1)*G41+INDEX(Symboles!$G$6:$G$101,MOD(83+$C41+(-1),$B$3)+1)*H41+INDEX(Symboles!$G$6:$G$101,MOD(83+$C41+(0),$B$3)+1)*I41+INDEX(Symboles!$G$6:$G$101,MOD(83+$C41+(1),$B$3)+1)*J41+INDEX(Symboles!$G$6:$G$101,MOD(83+$C41+(2),$B$3)+1)*K41+INDEX(Symboles!$G$6:$G$101,MOD(83+$C41+(3),$B$3)+1)*L41+INDEX(Symboles!$G$6:$G$101,MOD(83+$C41+(4),$B$3)+1)*M41+IF($B$6=0,0,$B$6*NORMSINV(0.000001+0.999998*RAND())))</f>
        <v/>
      </c>
      <c r="CV41" s="30">
        <f>IF(85&gt;$B$3,99,INDEX(Symboles!$G$6:$G$101,MOD(84+$C41+(-4),$B$3)+1)*E41+INDEX(Symboles!$G$6:$G$101,MOD(84+$C41+(-3),$B$3)+1)*F41+INDEX(Symboles!$G$6:$G$101,MOD(84+$C41+(-2),$B$3)+1)*G41+INDEX(Symboles!$G$6:$G$101,MOD(84+$C41+(-1),$B$3)+1)*H41+INDEX(Symboles!$G$6:$G$101,MOD(84+$C41+(0),$B$3)+1)*I41+INDEX(Symboles!$G$6:$G$101,MOD(84+$C41+(1),$B$3)+1)*J41+INDEX(Symboles!$G$6:$G$101,MOD(84+$C41+(2),$B$3)+1)*K41+INDEX(Symboles!$G$6:$G$101,MOD(84+$C41+(3),$B$3)+1)*L41+INDEX(Symboles!$G$6:$G$101,MOD(84+$C41+(4),$B$3)+1)*M41+IF($B$6=0,0,$B$6*NORMSINV(0.000001+0.999998*RAND())))</f>
        <v/>
      </c>
      <c r="CW41" s="30">
        <f>IF(86&gt;$B$3,99,INDEX(Symboles!$G$6:$G$101,MOD(85+$C41+(-4),$B$3)+1)*E41+INDEX(Symboles!$G$6:$G$101,MOD(85+$C41+(-3),$B$3)+1)*F41+INDEX(Symboles!$G$6:$G$101,MOD(85+$C41+(-2),$B$3)+1)*G41+INDEX(Symboles!$G$6:$G$101,MOD(85+$C41+(-1),$B$3)+1)*H41+INDEX(Symboles!$G$6:$G$101,MOD(85+$C41+(0),$B$3)+1)*I41+INDEX(Symboles!$G$6:$G$101,MOD(85+$C41+(1),$B$3)+1)*J41+INDEX(Symboles!$G$6:$G$101,MOD(85+$C41+(2),$B$3)+1)*K41+INDEX(Symboles!$G$6:$G$101,MOD(85+$C41+(3),$B$3)+1)*L41+INDEX(Symboles!$G$6:$G$101,MOD(85+$C41+(4),$B$3)+1)*M41+IF($B$6=0,0,$B$6*NORMSINV(0.000001+0.999998*RAND())))</f>
        <v/>
      </c>
      <c r="CX41" s="30">
        <f>IF(87&gt;$B$3,99,INDEX(Symboles!$G$6:$G$101,MOD(86+$C41+(-4),$B$3)+1)*E41+INDEX(Symboles!$G$6:$G$101,MOD(86+$C41+(-3),$B$3)+1)*F41+INDEX(Symboles!$G$6:$G$101,MOD(86+$C41+(-2),$B$3)+1)*G41+INDEX(Symboles!$G$6:$G$101,MOD(86+$C41+(-1),$B$3)+1)*H41+INDEX(Symboles!$G$6:$G$101,MOD(86+$C41+(0),$B$3)+1)*I41+INDEX(Symboles!$G$6:$G$101,MOD(86+$C41+(1),$B$3)+1)*J41+INDEX(Symboles!$G$6:$G$101,MOD(86+$C41+(2),$B$3)+1)*K41+INDEX(Symboles!$G$6:$G$101,MOD(86+$C41+(3),$B$3)+1)*L41+INDEX(Symboles!$G$6:$G$101,MOD(86+$C41+(4),$B$3)+1)*M41+IF($B$6=0,0,$B$6*NORMSINV(0.000001+0.999998*RAND())))</f>
        <v/>
      </c>
      <c r="CY41" s="30">
        <f>IF(88&gt;$B$3,99,INDEX(Symboles!$G$6:$G$101,MOD(87+$C41+(-4),$B$3)+1)*E41+INDEX(Symboles!$G$6:$G$101,MOD(87+$C41+(-3),$B$3)+1)*F41+INDEX(Symboles!$G$6:$G$101,MOD(87+$C41+(-2),$B$3)+1)*G41+INDEX(Symboles!$G$6:$G$101,MOD(87+$C41+(-1),$B$3)+1)*H41+INDEX(Symboles!$G$6:$G$101,MOD(87+$C41+(0),$B$3)+1)*I41+INDEX(Symboles!$G$6:$G$101,MOD(87+$C41+(1),$B$3)+1)*J41+INDEX(Symboles!$G$6:$G$101,MOD(87+$C41+(2),$B$3)+1)*K41+INDEX(Symboles!$G$6:$G$101,MOD(87+$C41+(3),$B$3)+1)*L41+INDEX(Symboles!$G$6:$G$101,MOD(87+$C41+(4),$B$3)+1)*M41+IF($B$6=0,0,$B$6*NORMSINV(0.000001+0.999998*RAND())))</f>
        <v/>
      </c>
      <c r="CZ41" s="30">
        <f>IF(89&gt;$B$3,99,INDEX(Symboles!$G$6:$G$101,MOD(88+$C41+(-4),$B$3)+1)*E41+INDEX(Symboles!$G$6:$G$101,MOD(88+$C41+(-3),$B$3)+1)*F41+INDEX(Symboles!$G$6:$G$101,MOD(88+$C41+(-2),$B$3)+1)*G41+INDEX(Symboles!$G$6:$G$101,MOD(88+$C41+(-1),$B$3)+1)*H41+INDEX(Symboles!$G$6:$G$101,MOD(88+$C41+(0),$B$3)+1)*I41+INDEX(Symboles!$G$6:$G$101,MOD(88+$C41+(1),$B$3)+1)*J41+INDEX(Symboles!$G$6:$G$101,MOD(88+$C41+(2),$B$3)+1)*K41+INDEX(Symboles!$G$6:$G$101,MOD(88+$C41+(3),$B$3)+1)*L41+INDEX(Symboles!$G$6:$G$101,MOD(88+$C41+(4),$B$3)+1)*M41+IF($B$6=0,0,$B$6*NORMSINV(0.000001+0.999998*RAND())))</f>
        <v/>
      </c>
      <c r="DA41" s="30">
        <f>IF(90&gt;$B$3,99,INDEX(Symboles!$G$6:$G$101,MOD(89+$C41+(-4),$B$3)+1)*E41+INDEX(Symboles!$G$6:$G$101,MOD(89+$C41+(-3),$B$3)+1)*F41+INDEX(Symboles!$G$6:$G$101,MOD(89+$C41+(-2),$B$3)+1)*G41+INDEX(Symboles!$G$6:$G$101,MOD(89+$C41+(-1),$B$3)+1)*H41+INDEX(Symboles!$G$6:$G$101,MOD(89+$C41+(0),$B$3)+1)*I41+INDEX(Symboles!$G$6:$G$101,MOD(89+$C41+(1),$B$3)+1)*J41+INDEX(Symboles!$G$6:$G$101,MOD(89+$C41+(2),$B$3)+1)*K41+INDEX(Symboles!$G$6:$G$101,MOD(89+$C41+(3),$B$3)+1)*L41+INDEX(Symboles!$G$6:$G$101,MOD(89+$C41+(4),$B$3)+1)*M41+IF($B$6=0,0,$B$6*NORMSINV(0.000001+0.999998*RAND())))</f>
        <v/>
      </c>
      <c r="DB41" s="30">
        <f>IF(91&gt;$B$3,99,INDEX(Symboles!$G$6:$G$101,MOD(90+$C41+(-4),$B$3)+1)*E41+INDEX(Symboles!$G$6:$G$101,MOD(90+$C41+(-3),$B$3)+1)*F41+INDEX(Symboles!$G$6:$G$101,MOD(90+$C41+(-2),$B$3)+1)*G41+INDEX(Symboles!$G$6:$G$101,MOD(90+$C41+(-1),$B$3)+1)*H41+INDEX(Symboles!$G$6:$G$101,MOD(90+$C41+(0),$B$3)+1)*I41+INDEX(Symboles!$G$6:$G$101,MOD(90+$C41+(1),$B$3)+1)*J41+INDEX(Symboles!$G$6:$G$101,MOD(90+$C41+(2),$B$3)+1)*K41+INDEX(Symboles!$G$6:$G$101,MOD(90+$C41+(3),$B$3)+1)*L41+INDEX(Symboles!$G$6:$G$101,MOD(90+$C41+(4),$B$3)+1)*M41+IF($B$6=0,0,$B$6*NORMSINV(0.000001+0.999998*RAND())))</f>
        <v/>
      </c>
      <c r="DC41" s="30">
        <f>IF(92&gt;$B$3,99,INDEX(Symboles!$G$6:$G$101,MOD(91+$C41+(-4),$B$3)+1)*E41+INDEX(Symboles!$G$6:$G$101,MOD(91+$C41+(-3),$B$3)+1)*F41+INDEX(Symboles!$G$6:$G$101,MOD(91+$C41+(-2),$B$3)+1)*G41+INDEX(Symboles!$G$6:$G$101,MOD(91+$C41+(-1),$B$3)+1)*H41+INDEX(Symboles!$G$6:$G$101,MOD(91+$C41+(0),$B$3)+1)*I41+INDEX(Symboles!$G$6:$G$101,MOD(91+$C41+(1),$B$3)+1)*J41+INDEX(Symboles!$G$6:$G$101,MOD(91+$C41+(2),$B$3)+1)*K41+INDEX(Symboles!$G$6:$G$101,MOD(91+$C41+(3),$B$3)+1)*L41+INDEX(Symboles!$G$6:$G$101,MOD(91+$C41+(4),$B$3)+1)*M41+IF($B$6=0,0,$B$6*NORMSINV(0.000001+0.999998*RAND())))</f>
        <v/>
      </c>
      <c r="DD41" s="30">
        <f>IF(93&gt;$B$3,99,INDEX(Symboles!$G$6:$G$101,MOD(92+$C41+(-4),$B$3)+1)*E41+INDEX(Symboles!$G$6:$G$101,MOD(92+$C41+(-3),$B$3)+1)*F41+INDEX(Symboles!$G$6:$G$101,MOD(92+$C41+(-2),$B$3)+1)*G41+INDEX(Symboles!$G$6:$G$101,MOD(92+$C41+(-1),$B$3)+1)*H41+INDEX(Symboles!$G$6:$G$101,MOD(92+$C41+(0),$B$3)+1)*I41+INDEX(Symboles!$G$6:$G$101,MOD(92+$C41+(1),$B$3)+1)*J41+INDEX(Symboles!$G$6:$G$101,MOD(92+$C41+(2),$B$3)+1)*K41+INDEX(Symboles!$G$6:$G$101,MOD(92+$C41+(3),$B$3)+1)*L41+INDEX(Symboles!$G$6:$G$101,MOD(92+$C41+(4),$B$3)+1)*M41+IF($B$6=0,0,$B$6*NORMSINV(0.000001+0.999998*RAND())))</f>
        <v/>
      </c>
      <c r="DE41" s="30">
        <f>IF(94&gt;$B$3,99,INDEX(Symboles!$G$6:$G$101,MOD(93+$C41+(-4),$B$3)+1)*E41+INDEX(Symboles!$G$6:$G$101,MOD(93+$C41+(-3),$B$3)+1)*F41+INDEX(Symboles!$G$6:$G$101,MOD(93+$C41+(-2),$B$3)+1)*G41+INDEX(Symboles!$G$6:$G$101,MOD(93+$C41+(-1),$B$3)+1)*H41+INDEX(Symboles!$G$6:$G$101,MOD(93+$C41+(0),$B$3)+1)*I41+INDEX(Symboles!$G$6:$G$101,MOD(93+$C41+(1),$B$3)+1)*J41+INDEX(Symboles!$G$6:$G$101,MOD(93+$C41+(2),$B$3)+1)*K41+INDEX(Symboles!$G$6:$G$101,MOD(93+$C41+(3),$B$3)+1)*L41+INDEX(Symboles!$G$6:$G$101,MOD(93+$C41+(4),$B$3)+1)*M41+IF($B$6=0,0,$B$6*NORMSINV(0.000001+0.999998*RAND())))</f>
        <v/>
      </c>
      <c r="DF41" s="30">
        <f>IF(95&gt;$B$3,99,INDEX(Symboles!$G$6:$G$101,MOD(94+$C41+(-4),$B$3)+1)*E41+INDEX(Symboles!$G$6:$G$101,MOD(94+$C41+(-3),$B$3)+1)*F41+INDEX(Symboles!$G$6:$G$101,MOD(94+$C41+(-2),$B$3)+1)*G41+INDEX(Symboles!$G$6:$G$101,MOD(94+$C41+(-1),$B$3)+1)*H41+INDEX(Symboles!$G$6:$G$101,MOD(94+$C41+(0),$B$3)+1)*I41+INDEX(Symboles!$G$6:$G$101,MOD(94+$C41+(1),$B$3)+1)*J41+INDEX(Symboles!$G$6:$G$101,MOD(94+$C41+(2),$B$3)+1)*K41+INDEX(Symboles!$G$6:$G$101,MOD(94+$C41+(3),$B$3)+1)*L41+INDEX(Symboles!$G$6:$G$101,MOD(94+$C41+(4),$B$3)+1)*M41+IF($B$6=0,0,$B$6*NORMSINV(0.000001+0.999998*RAND())))</f>
        <v/>
      </c>
      <c r="DG41" s="30">
        <f>IF(96&gt;$B$3,99,INDEX(Symboles!$G$6:$G$101,MOD(95+$C41+(-4),$B$3)+1)*E41+INDEX(Symboles!$G$6:$G$101,MOD(95+$C41+(-3),$B$3)+1)*F41+INDEX(Symboles!$G$6:$G$101,MOD(95+$C41+(-2),$B$3)+1)*G41+INDEX(Symboles!$G$6:$G$101,MOD(95+$C41+(-1),$B$3)+1)*H41+INDEX(Symboles!$G$6:$G$101,MOD(95+$C41+(0),$B$3)+1)*I41+INDEX(Symboles!$G$6:$G$101,MOD(95+$C41+(1),$B$3)+1)*J41+INDEX(Symboles!$G$6:$G$101,MOD(95+$C41+(2),$B$3)+1)*K41+INDEX(Symboles!$G$6:$G$101,MOD(95+$C41+(3),$B$3)+1)*L41+INDEX(Symboles!$G$6:$G$101,MOD(95+$C41+(4),$B$3)+1)*M41+IF($B$6=0,0,$B$6*NORMSINV(0.000001+0.999998*RAND())))</f>
        <v/>
      </c>
      <c r="DI41" s="30">
        <f>IF(1&gt;$B$3,99,INDEX(Symboles!$H$6:$H$101,MOD(0+$C41+(-4),$B$3)+1)*E41+INDEX(Symboles!$H$6:$H$101,MOD(0+$C41+(-3),$B$3)+1)*F41+INDEX(Symboles!$H$6:$H$101,MOD(0+$C41+(-2),$B$3)+1)*G41+INDEX(Symboles!$H$6:$H$101,MOD(0+$C41+(-1),$B$3)+1)*H41+INDEX(Symboles!$H$6:$H$101,MOD(0+$C41+(0),$B$3)+1)*I41+INDEX(Symboles!$H$6:$H$101,MOD(0+$C41+(1),$B$3)+1)*J41+INDEX(Symboles!$H$6:$H$101,MOD(0+$C41+(2),$B$3)+1)*K41+INDEX(Symboles!$H$6:$H$101,MOD(0+$C41+(3),$B$3)+1)*L41+INDEX(Symboles!$H$6:$H$101,MOD(0+$C41+(4),$B$3)+1)*M41+IF($B$6=0,0,$B$6*NORMSINV(0.000001+0.999998*RAND())))</f>
        <v/>
      </c>
      <c r="DJ41" s="30">
        <f>IF(2&gt;$B$3,99,INDEX(Symboles!$H$6:$H$101,MOD(1+$C41+(-4),$B$3)+1)*E41+INDEX(Symboles!$H$6:$H$101,MOD(1+$C41+(-3),$B$3)+1)*F41+INDEX(Symboles!$H$6:$H$101,MOD(1+$C41+(-2),$B$3)+1)*G41+INDEX(Symboles!$H$6:$H$101,MOD(1+$C41+(-1),$B$3)+1)*H41+INDEX(Symboles!$H$6:$H$101,MOD(1+$C41+(0),$B$3)+1)*I41+INDEX(Symboles!$H$6:$H$101,MOD(1+$C41+(1),$B$3)+1)*J41+INDEX(Symboles!$H$6:$H$101,MOD(1+$C41+(2),$B$3)+1)*K41+INDEX(Symboles!$H$6:$H$101,MOD(1+$C41+(3),$B$3)+1)*L41+INDEX(Symboles!$H$6:$H$101,MOD(1+$C41+(4),$B$3)+1)*M41+IF($B$6=0,0,$B$6*NORMSINV(0.000001+0.999998*RAND())))</f>
        <v/>
      </c>
      <c r="DK41" s="30">
        <f>IF(3&gt;$B$3,99,INDEX(Symboles!$H$6:$H$101,MOD(2+$C41+(-4),$B$3)+1)*E41+INDEX(Symboles!$H$6:$H$101,MOD(2+$C41+(-3),$B$3)+1)*F41+INDEX(Symboles!$H$6:$H$101,MOD(2+$C41+(-2),$B$3)+1)*G41+INDEX(Symboles!$H$6:$H$101,MOD(2+$C41+(-1),$B$3)+1)*H41+INDEX(Symboles!$H$6:$H$101,MOD(2+$C41+(0),$B$3)+1)*I41+INDEX(Symboles!$H$6:$H$101,MOD(2+$C41+(1),$B$3)+1)*J41+INDEX(Symboles!$H$6:$H$101,MOD(2+$C41+(2),$B$3)+1)*K41+INDEX(Symboles!$H$6:$H$101,MOD(2+$C41+(3),$B$3)+1)*L41+INDEX(Symboles!$H$6:$H$101,MOD(2+$C41+(4),$B$3)+1)*M41+IF($B$6=0,0,$B$6*NORMSINV(0.000001+0.999998*RAND())))</f>
        <v/>
      </c>
      <c r="DL41" s="30">
        <f>IF(4&gt;$B$3,99,INDEX(Symboles!$H$6:$H$101,MOD(3+$C41+(-4),$B$3)+1)*E41+INDEX(Symboles!$H$6:$H$101,MOD(3+$C41+(-3),$B$3)+1)*F41+INDEX(Symboles!$H$6:$H$101,MOD(3+$C41+(-2),$B$3)+1)*G41+INDEX(Symboles!$H$6:$H$101,MOD(3+$C41+(-1),$B$3)+1)*H41+INDEX(Symboles!$H$6:$H$101,MOD(3+$C41+(0),$B$3)+1)*I41+INDEX(Symboles!$H$6:$H$101,MOD(3+$C41+(1),$B$3)+1)*J41+INDEX(Symboles!$H$6:$H$101,MOD(3+$C41+(2),$B$3)+1)*K41+INDEX(Symboles!$H$6:$H$101,MOD(3+$C41+(3),$B$3)+1)*L41+INDEX(Symboles!$H$6:$H$101,MOD(3+$C41+(4),$B$3)+1)*M41+IF($B$6=0,0,$B$6*NORMSINV(0.000001+0.999998*RAND())))</f>
        <v/>
      </c>
      <c r="DM41" s="30">
        <f>IF(5&gt;$B$3,99,INDEX(Symboles!$H$6:$H$101,MOD(4+$C41+(-4),$B$3)+1)*E41+INDEX(Symboles!$H$6:$H$101,MOD(4+$C41+(-3),$B$3)+1)*F41+INDEX(Symboles!$H$6:$H$101,MOD(4+$C41+(-2),$B$3)+1)*G41+INDEX(Symboles!$H$6:$H$101,MOD(4+$C41+(-1),$B$3)+1)*H41+INDEX(Symboles!$H$6:$H$101,MOD(4+$C41+(0),$B$3)+1)*I41+INDEX(Symboles!$H$6:$H$101,MOD(4+$C41+(1),$B$3)+1)*J41+INDEX(Symboles!$H$6:$H$101,MOD(4+$C41+(2),$B$3)+1)*K41+INDEX(Symboles!$H$6:$H$101,MOD(4+$C41+(3),$B$3)+1)*L41+INDEX(Symboles!$H$6:$H$101,MOD(4+$C41+(4),$B$3)+1)*M41+IF($B$6=0,0,$B$6*NORMSINV(0.000001+0.999998*RAND())))</f>
        <v/>
      </c>
      <c r="DN41" s="30">
        <f>IF(6&gt;$B$3,99,INDEX(Symboles!$H$6:$H$101,MOD(5+$C41+(-4),$B$3)+1)*E41+INDEX(Symboles!$H$6:$H$101,MOD(5+$C41+(-3),$B$3)+1)*F41+INDEX(Symboles!$H$6:$H$101,MOD(5+$C41+(-2),$B$3)+1)*G41+INDEX(Symboles!$H$6:$H$101,MOD(5+$C41+(-1),$B$3)+1)*H41+INDEX(Symboles!$H$6:$H$101,MOD(5+$C41+(0),$B$3)+1)*I41+INDEX(Symboles!$H$6:$H$101,MOD(5+$C41+(1),$B$3)+1)*J41+INDEX(Symboles!$H$6:$H$101,MOD(5+$C41+(2),$B$3)+1)*K41+INDEX(Symboles!$H$6:$H$101,MOD(5+$C41+(3),$B$3)+1)*L41+INDEX(Symboles!$H$6:$H$101,MOD(5+$C41+(4),$B$3)+1)*M41+IF($B$6=0,0,$B$6*NORMSINV(0.000001+0.999998*RAND())))</f>
        <v/>
      </c>
      <c r="DO41" s="30">
        <f>IF(7&gt;$B$3,99,INDEX(Symboles!$H$6:$H$101,MOD(6+$C41+(-4),$B$3)+1)*E41+INDEX(Symboles!$H$6:$H$101,MOD(6+$C41+(-3),$B$3)+1)*F41+INDEX(Symboles!$H$6:$H$101,MOD(6+$C41+(-2),$B$3)+1)*G41+INDEX(Symboles!$H$6:$H$101,MOD(6+$C41+(-1),$B$3)+1)*H41+INDEX(Symboles!$H$6:$H$101,MOD(6+$C41+(0),$B$3)+1)*I41+INDEX(Symboles!$H$6:$H$101,MOD(6+$C41+(1),$B$3)+1)*J41+INDEX(Symboles!$H$6:$H$101,MOD(6+$C41+(2),$B$3)+1)*K41+INDEX(Symboles!$H$6:$H$101,MOD(6+$C41+(3),$B$3)+1)*L41+INDEX(Symboles!$H$6:$H$101,MOD(6+$C41+(4),$B$3)+1)*M41+IF($B$6=0,0,$B$6*NORMSINV(0.000001+0.999998*RAND())))</f>
        <v/>
      </c>
      <c r="DP41" s="30">
        <f>IF(8&gt;$B$3,99,INDEX(Symboles!$H$6:$H$101,MOD(7+$C41+(-4),$B$3)+1)*E41+INDEX(Symboles!$H$6:$H$101,MOD(7+$C41+(-3),$B$3)+1)*F41+INDEX(Symboles!$H$6:$H$101,MOD(7+$C41+(-2),$B$3)+1)*G41+INDEX(Symboles!$H$6:$H$101,MOD(7+$C41+(-1),$B$3)+1)*H41+INDEX(Symboles!$H$6:$H$101,MOD(7+$C41+(0),$B$3)+1)*I41+INDEX(Symboles!$H$6:$H$101,MOD(7+$C41+(1),$B$3)+1)*J41+INDEX(Symboles!$H$6:$H$101,MOD(7+$C41+(2),$B$3)+1)*K41+INDEX(Symboles!$H$6:$H$101,MOD(7+$C41+(3),$B$3)+1)*L41+INDEX(Symboles!$H$6:$H$101,MOD(7+$C41+(4),$B$3)+1)*M41+IF($B$6=0,0,$B$6*NORMSINV(0.000001+0.999998*RAND())))</f>
        <v/>
      </c>
      <c r="DQ41" s="30">
        <f>IF(9&gt;$B$3,99,INDEX(Symboles!$H$6:$H$101,MOD(8+$C41+(-4),$B$3)+1)*E41+INDEX(Symboles!$H$6:$H$101,MOD(8+$C41+(-3),$B$3)+1)*F41+INDEX(Symboles!$H$6:$H$101,MOD(8+$C41+(-2),$B$3)+1)*G41+INDEX(Symboles!$H$6:$H$101,MOD(8+$C41+(-1),$B$3)+1)*H41+INDEX(Symboles!$H$6:$H$101,MOD(8+$C41+(0),$B$3)+1)*I41+INDEX(Symboles!$H$6:$H$101,MOD(8+$C41+(1),$B$3)+1)*J41+INDEX(Symboles!$H$6:$H$101,MOD(8+$C41+(2),$B$3)+1)*K41+INDEX(Symboles!$H$6:$H$101,MOD(8+$C41+(3),$B$3)+1)*L41+INDEX(Symboles!$H$6:$H$101,MOD(8+$C41+(4),$B$3)+1)*M41+IF($B$6=0,0,$B$6*NORMSINV(0.000001+0.999998*RAND())))</f>
        <v/>
      </c>
      <c r="DR41" s="30">
        <f>IF(10&gt;$B$3,99,INDEX(Symboles!$H$6:$H$101,MOD(9+$C41+(-4),$B$3)+1)*E41+INDEX(Symboles!$H$6:$H$101,MOD(9+$C41+(-3),$B$3)+1)*F41+INDEX(Symboles!$H$6:$H$101,MOD(9+$C41+(-2),$B$3)+1)*G41+INDEX(Symboles!$H$6:$H$101,MOD(9+$C41+(-1),$B$3)+1)*H41+INDEX(Symboles!$H$6:$H$101,MOD(9+$C41+(0),$B$3)+1)*I41+INDEX(Symboles!$H$6:$H$101,MOD(9+$C41+(1),$B$3)+1)*J41+INDEX(Symboles!$H$6:$H$101,MOD(9+$C41+(2),$B$3)+1)*K41+INDEX(Symboles!$H$6:$H$101,MOD(9+$C41+(3),$B$3)+1)*L41+INDEX(Symboles!$H$6:$H$101,MOD(9+$C41+(4),$B$3)+1)*M41+IF($B$6=0,0,$B$6*NORMSINV(0.000001+0.999998*RAND())))</f>
        <v/>
      </c>
      <c r="DS41" s="30">
        <f>IF(11&gt;$B$3,99,INDEX(Symboles!$H$6:$H$101,MOD(10+$C41+(-4),$B$3)+1)*E41+INDEX(Symboles!$H$6:$H$101,MOD(10+$C41+(-3),$B$3)+1)*F41+INDEX(Symboles!$H$6:$H$101,MOD(10+$C41+(-2),$B$3)+1)*G41+INDEX(Symboles!$H$6:$H$101,MOD(10+$C41+(-1),$B$3)+1)*H41+INDEX(Symboles!$H$6:$H$101,MOD(10+$C41+(0),$B$3)+1)*I41+INDEX(Symboles!$H$6:$H$101,MOD(10+$C41+(1),$B$3)+1)*J41+INDEX(Symboles!$H$6:$H$101,MOD(10+$C41+(2),$B$3)+1)*K41+INDEX(Symboles!$H$6:$H$101,MOD(10+$C41+(3),$B$3)+1)*L41+INDEX(Symboles!$H$6:$H$101,MOD(10+$C41+(4),$B$3)+1)*M41+IF($B$6=0,0,$B$6*NORMSINV(0.000001+0.999998*RAND())))</f>
        <v/>
      </c>
      <c r="DT41" s="30">
        <f>IF(12&gt;$B$3,99,INDEX(Symboles!$H$6:$H$101,MOD(11+$C41+(-4),$B$3)+1)*E41+INDEX(Symboles!$H$6:$H$101,MOD(11+$C41+(-3),$B$3)+1)*F41+INDEX(Symboles!$H$6:$H$101,MOD(11+$C41+(-2),$B$3)+1)*G41+INDEX(Symboles!$H$6:$H$101,MOD(11+$C41+(-1),$B$3)+1)*H41+INDEX(Symboles!$H$6:$H$101,MOD(11+$C41+(0),$B$3)+1)*I41+INDEX(Symboles!$H$6:$H$101,MOD(11+$C41+(1),$B$3)+1)*J41+INDEX(Symboles!$H$6:$H$101,MOD(11+$C41+(2),$B$3)+1)*K41+INDEX(Symboles!$H$6:$H$101,MOD(11+$C41+(3),$B$3)+1)*L41+INDEX(Symboles!$H$6:$H$101,MOD(11+$C41+(4),$B$3)+1)*M41+IF($B$6=0,0,$B$6*NORMSINV(0.000001+0.999998*RAND())))</f>
        <v/>
      </c>
      <c r="DU41" s="30">
        <f>IF(13&gt;$B$3,99,INDEX(Symboles!$H$6:$H$101,MOD(12+$C41+(-4),$B$3)+1)*E41+INDEX(Symboles!$H$6:$H$101,MOD(12+$C41+(-3),$B$3)+1)*F41+INDEX(Symboles!$H$6:$H$101,MOD(12+$C41+(-2),$B$3)+1)*G41+INDEX(Symboles!$H$6:$H$101,MOD(12+$C41+(-1),$B$3)+1)*H41+INDEX(Symboles!$H$6:$H$101,MOD(12+$C41+(0),$B$3)+1)*I41+INDEX(Symboles!$H$6:$H$101,MOD(12+$C41+(1),$B$3)+1)*J41+INDEX(Symboles!$H$6:$H$101,MOD(12+$C41+(2),$B$3)+1)*K41+INDEX(Symboles!$H$6:$H$101,MOD(12+$C41+(3),$B$3)+1)*L41+INDEX(Symboles!$H$6:$H$101,MOD(12+$C41+(4),$B$3)+1)*M41+IF($B$6=0,0,$B$6*NORMSINV(0.000001+0.999998*RAND())))</f>
        <v/>
      </c>
      <c r="DV41" s="30">
        <f>IF(14&gt;$B$3,99,INDEX(Symboles!$H$6:$H$101,MOD(13+$C41+(-4),$B$3)+1)*E41+INDEX(Symboles!$H$6:$H$101,MOD(13+$C41+(-3),$B$3)+1)*F41+INDEX(Symboles!$H$6:$H$101,MOD(13+$C41+(-2),$B$3)+1)*G41+INDEX(Symboles!$H$6:$H$101,MOD(13+$C41+(-1),$B$3)+1)*H41+INDEX(Symboles!$H$6:$H$101,MOD(13+$C41+(0),$B$3)+1)*I41+INDEX(Symboles!$H$6:$H$101,MOD(13+$C41+(1),$B$3)+1)*J41+INDEX(Symboles!$H$6:$H$101,MOD(13+$C41+(2),$B$3)+1)*K41+INDEX(Symboles!$H$6:$H$101,MOD(13+$C41+(3),$B$3)+1)*L41+INDEX(Symboles!$H$6:$H$101,MOD(13+$C41+(4),$B$3)+1)*M41+IF($B$6=0,0,$B$6*NORMSINV(0.000001+0.999998*RAND())))</f>
        <v/>
      </c>
      <c r="DW41" s="30">
        <f>IF(15&gt;$B$3,99,INDEX(Symboles!$H$6:$H$101,MOD(14+$C41+(-4),$B$3)+1)*E41+INDEX(Symboles!$H$6:$H$101,MOD(14+$C41+(-3),$B$3)+1)*F41+INDEX(Symboles!$H$6:$H$101,MOD(14+$C41+(-2),$B$3)+1)*G41+INDEX(Symboles!$H$6:$H$101,MOD(14+$C41+(-1),$B$3)+1)*H41+INDEX(Symboles!$H$6:$H$101,MOD(14+$C41+(0),$B$3)+1)*I41+INDEX(Symboles!$H$6:$H$101,MOD(14+$C41+(1),$B$3)+1)*J41+INDEX(Symboles!$H$6:$H$101,MOD(14+$C41+(2),$B$3)+1)*K41+INDEX(Symboles!$H$6:$H$101,MOD(14+$C41+(3),$B$3)+1)*L41+INDEX(Symboles!$H$6:$H$101,MOD(14+$C41+(4),$B$3)+1)*M41+IF($B$6=0,0,$B$6*NORMSINV(0.000001+0.999998*RAND())))</f>
        <v/>
      </c>
      <c r="DX41" s="30">
        <f>IF(16&gt;$B$3,99,INDEX(Symboles!$H$6:$H$101,MOD(15+$C41+(-4),$B$3)+1)*E41+INDEX(Symboles!$H$6:$H$101,MOD(15+$C41+(-3),$B$3)+1)*F41+INDEX(Symboles!$H$6:$H$101,MOD(15+$C41+(-2),$B$3)+1)*G41+INDEX(Symboles!$H$6:$H$101,MOD(15+$C41+(-1),$B$3)+1)*H41+INDEX(Symboles!$H$6:$H$101,MOD(15+$C41+(0),$B$3)+1)*I41+INDEX(Symboles!$H$6:$H$101,MOD(15+$C41+(1),$B$3)+1)*J41+INDEX(Symboles!$H$6:$H$101,MOD(15+$C41+(2),$B$3)+1)*K41+INDEX(Symboles!$H$6:$H$101,MOD(15+$C41+(3),$B$3)+1)*L41+INDEX(Symboles!$H$6:$H$101,MOD(15+$C41+(4),$B$3)+1)*M41+IF($B$6=0,0,$B$6*NORMSINV(0.000001+0.999998*RAND())))</f>
        <v/>
      </c>
      <c r="DY41" s="30">
        <f>IF(17&gt;$B$3,99,INDEX(Symboles!$H$6:$H$101,MOD(16+$C41+(-4),$B$3)+1)*E41+INDEX(Symboles!$H$6:$H$101,MOD(16+$C41+(-3),$B$3)+1)*F41+INDEX(Symboles!$H$6:$H$101,MOD(16+$C41+(-2),$B$3)+1)*G41+INDEX(Symboles!$H$6:$H$101,MOD(16+$C41+(-1),$B$3)+1)*H41+INDEX(Symboles!$H$6:$H$101,MOD(16+$C41+(0),$B$3)+1)*I41+INDEX(Symboles!$H$6:$H$101,MOD(16+$C41+(1),$B$3)+1)*J41+INDEX(Symboles!$H$6:$H$101,MOD(16+$C41+(2),$B$3)+1)*K41+INDEX(Symboles!$H$6:$H$101,MOD(16+$C41+(3),$B$3)+1)*L41+INDEX(Symboles!$H$6:$H$101,MOD(16+$C41+(4),$B$3)+1)*M41+IF($B$6=0,0,$B$6*NORMSINV(0.000001+0.999998*RAND())))</f>
        <v/>
      </c>
      <c r="DZ41" s="30">
        <f>IF(18&gt;$B$3,99,INDEX(Symboles!$H$6:$H$101,MOD(17+$C41+(-4),$B$3)+1)*E41+INDEX(Symboles!$H$6:$H$101,MOD(17+$C41+(-3),$B$3)+1)*F41+INDEX(Symboles!$H$6:$H$101,MOD(17+$C41+(-2),$B$3)+1)*G41+INDEX(Symboles!$H$6:$H$101,MOD(17+$C41+(-1),$B$3)+1)*H41+INDEX(Symboles!$H$6:$H$101,MOD(17+$C41+(0),$B$3)+1)*I41+INDEX(Symboles!$H$6:$H$101,MOD(17+$C41+(1),$B$3)+1)*J41+INDEX(Symboles!$H$6:$H$101,MOD(17+$C41+(2),$B$3)+1)*K41+INDEX(Symboles!$H$6:$H$101,MOD(17+$C41+(3),$B$3)+1)*L41+INDEX(Symboles!$H$6:$H$101,MOD(17+$C41+(4),$B$3)+1)*M41+IF($B$6=0,0,$B$6*NORMSINV(0.000001+0.999998*RAND())))</f>
        <v/>
      </c>
      <c r="EA41" s="30">
        <f>IF(19&gt;$B$3,99,INDEX(Symboles!$H$6:$H$101,MOD(18+$C41+(-4),$B$3)+1)*E41+INDEX(Symboles!$H$6:$H$101,MOD(18+$C41+(-3),$B$3)+1)*F41+INDEX(Symboles!$H$6:$H$101,MOD(18+$C41+(-2),$B$3)+1)*G41+INDEX(Symboles!$H$6:$H$101,MOD(18+$C41+(-1),$B$3)+1)*H41+INDEX(Symboles!$H$6:$H$101,MOD(18+$C41+(0),$B$3)+1)*I41+INDEX(Symboles!$H$6:$H$101,MOD(18+$C41+(1),$B$3)+1)*J41+INDEX(Symboles!$H$6:$H$101,MOD(18+$C41+(2),$B$3)+1)*K41+INDEX(Symboles!$H$6:$H$101,MOD(18+$C41+(3),$B$3)+1)*L41+INDEX(Symboles!$H$6:$H$101,MOD(18+$C41+(4),$B$3)+1)*M41+IF($B$6=0,0,$B$6*NORMSINV(0.000001+0.999998*RAND())))</f>
        <v/>
      </c>
      <c r="EB41" s="30">
        <f>IF(20&gt;$B$3,99,INDEX(Symboles!$H$6:$H$101,MOD(19+$C41+(-4),$B$3)+1)*E41+INDEX(Symboles!$H$6:$H$101,MOD(19+$C41+(-3),$B$3)+1)*F41+INDEX(Symboles!$H$6:$H$101,MOD(19+$C41+(-2),$B$3)+1)*G41+INDEX(Symboles!$H$6:$H$101,MOD(19+$C41+(-1),$B$3)+1)*H41+INDEX(Symboles!$H$6:$H$101,MOD(19+$C41+(0),$B$3)+1)*I41+INDEX(Symboles!$H$6:$H$101,MOD(19+$C41+(1),$B$3)+1)*J41+INDEX(Symboles!$H$6:$H$101,MOD(19+$C41+(2),$B$3)+1)*K41+INDEX(Symboles!$H$6:$H$101,MOD(19+$C41+(3),$B$3)+1)*L41+INDEX(Symboles!$H$6:$H$101,MOD(19+$C41+(4),$B$3)+1)*M41+IF($B$6=0,0,$B$6*NORMSINV(0.000001+0.999998*RAND())))</f>
        <v/>
      </c>
      <c r="EC41" s="30">
        <f>IF(21&gt;$B$3,99,INDEX(Symboles!$H$6:$H$101,MOD(20+$C41+(-4),$B$3)+1)*E41+INDEX(Symboles!$H$6:$H$101,MOD(20+$C41+(-3),$B$3)+1)*F41+INDEX(Symboles!$H$6:$H$101,MOD(20+$C41+(-2),$B$3)+1)*G41+INDEX(Symboles!$H$6:$H$101,MOD(20+$C41+(-1),$B$3)+1)*H41+INDEX(Symboles!$H$6:$H$101,MOD(20+$C41+(0),$B$3)+1)*I41+INDEX(Symboles!$H$6:$H$101,MOD(20+$C41+(1),$B$3)+1)*J41+INDEX(Symboles!$H$6:$H$101,MOD(20+$C41+(2),$B$3)+1)*K41+INDEX(Symboles!$H$6:$H$101,MOD(20+$C41+(3),$B$3)+1)*L41+INDEX(Symboles!$H$6:$H$101,MOD(20+$C41+(4),$B$3)+1)*M41+IF($B$6=0,0,$B$6*NORMSINV(0.000001+0.999998*RAND())))</f>
        <v/>
      </c>
      <c r="ED41" s="30">
        <f>IF(22&gt;$B$3,99,INDEX(Symboles!$H$6:$H$101,MOD(21+$C41+(-4),$B$3)+1)*E41+INDEX(Symboles!$H$6:$H$101,MOD(21+$C41+(-3),$B$3)+1)*F41+INDEX(Symboles!$H$6:$H$101,MOD(21+$C41+(-2),$B$3)+1)*G41+INDEX(Symboles!$H$6:$H$101,MOD(21+$C41+(-1),$B$3)+1)*H41+INDEX(Symboles!$H$6:$H$101,MOD(21+$C41+(0),$B$3)+1)*I41+INDEX(Symboles!$H$6:$H$101,MOD(21+$C41+(1),$B$3)+1)*J41+INDEX(Symboles!$H$6:$H$101,MOD(21+$C41+(2),$B$3)+1)*K41+INDEX(Symboles!$H$6:$H$101,MOD(21+$C41+(3),$B$3)+1)*L41+INDEX(Symboles!$H$6:$H$101,MOD(21+$C41+(4),$B$3)+1)*M41+IF($B$6=0,0,$B$6*NORMSINV(0.000001+0.999998*RAND())))</f>
        <v/>
      </c>
      <c r="EE41" s="30">
        <f>IF(23&gt;$B$3,99,INDEX(Symboles!$H$6:$H$101,MOD(22+$C41+(-4),$B$3)+1)*E41+INDEX(Symboles!$H$6:$H$101,MOD(22+$C41+(-3),$B$3)+1)*F41+INDEX(Symboles!$H$6:$H$101,MOD(22+$C41+(-2),$B$3)+1)*G41+INDEX(Symboles!$H$6:$H$101,MOD(22+$C41+(-1),$B$3)+1)*H41+INDEX(Symboles!$H$6:$H$101,MOD(22+$C41+(0),$B$3)+1)*I41+INDEX(Symboles!$H$6:$H$101,MOD(22+$C41+(1),$B$3)+1)*J41+INDEX(Symboles!$H$6:$H$101,MOD(22+$C41+(2),$B$3)+1)*K41+INDEX(Symboles!$H$6:$H$101,MOD(22+$C41+(3),$B$3)+1)*L41+INDEX(Symboles!$H$6:$H$101,MOD(22+$C41+(4),$B$3)+1)*M41+IF($B$6=0,0,$B$6*NORMSINV(0.000001+0.999998*RAND())))</f>
        <v/>
      </c>
      <c r="EF41" s="30">
        <f>IF(24&gt;$B$3,99,INDEX(Symboles!$H$6:$H$101,MOD(23+$C41+(-4),$B$3)+1)*E41+INDEX(Symboles!$H$6:$H$101,MOD(23+$C41+(-3),$B$3)+1)*F41+INDEX(Symboles!$H$6:$H$101,MOD(23+$C41+(-2),$B$3)+1)*G41+INDEX(Symboles!$H$6:$H$101,MOD(23+$C41+(-1),$B$3)+1)*H41+INDEX(Symboles!$H$6:$H$101,MOD(23+$C41+(0),$B$3)+1)*I41+INDEX(Symboles!$H$6:$H$101,MOD(23+$C41+(1),$B$3)+1)*J41+INDEX(Symboles!$H$6:$H$101,MOD(23+$C41+(2),$B$3)+1)*K41+INDEX(Symboles!$H$6:$H$101,MOD(23+$C41+(3),$B$3)+1)*L41+INDEX(Symboles!$H$6:$H$101,MOD(23+$C41+(4),$B$3)+1)*M41+IF($B$6=0,0,$B$6*NORMSINV(0.000001+0.999998*RAND())))</f>
        <v/>
      </c>
      <c r="EG41" s="30">
        <f>IF(25&gt;$B$3,99,INDEX(Symboles!$H$6:$H$101,MOD(24+$C41+(-4),$B$3)+1)*E41+INDEX(Symboles!$H$6:$H$101,MOD(24+$C41+(-3),$B$3)+1)*F41+INDEX(Symboles!$H$6:$H$101,MOD(24+$C41+(-2),$B$3)+1)*G41+INDEX(Symboles!$H$6:$H$101,MOD(24+$C41+(-1),$B$3)+1)*H41+INDEX(Symboles!$H$6:$H$101,MOD(24+$C41+(0),$B$3)+1)*I41+INDEX(Symboles!$H$6:$H$101,MOD(24+$C41+(1),$B$3)+1)*J41+INDEX(Symboles!$H$6:$H$101,MOD(24+$C41+(2),$B$3)+1)*K41+INDEX(Symboles!$H$6:$H$101,MOD(24+$C41+(3),$B$3)+1)*L41+INDEX(Symboles!$H$6:$H$101,MOD(24+$C41+(4),$B$3)+1)*M41+IF($B$6=0,0,$B$6*NORMSINV(0.000001+0.999998*RAND())))</f>
        <v/>
      </c>
      <c r="EH41" s="30">
        <f>IF(26&gt;$B$3,99,INDEX(Symboles!$H$6:$H$101,MOD(25+$C41+(-4),$B$3)+1)*E41+INDEX(Symboles!$H$6:$H$101,MOD(25+$C41+(-3),$B$3)+1)*F41+INDEX(Symboles!$H$6:$H$101,MOD(25+$C41+(-2),$B$3)+1)*G41+INDEX(Symboles!$H$6:$H$101,MOD(25+$C41+(-1),$B$3)+1)*H41+INDEX(Symboles!$H$6:$H$101,MOD(25+$C41+(0),$B$3)+1)*I41+INDEX(Symboles!$H$6:$H$101,MOD(25+$C41+(1),$B$3)+1)*J41+INDEX(Symboles!$H$6:$H$101,MOD(25+$C41+(2),$B$3)+1)*K41+INDEX(Symboles!$H$6:$H$101,MOD(25+$C41+(3),$B$3)+1)*L41+INDEX(Symboles!$H$6:$H$101,MOD(25+$C41+(4),$B$3)+1)*M41+IF($B$6=0,0,$B$6*NORMSINV(0.000001+0.999998*RAND())))</f>
        <v/>
      </c>
      <c r="EI41" s="30">
        <f>IF(27&gt;$B$3,99,INDEX(Symboles!$H$6:$H$101,MOD(26+$C41+(-4),$B$3)+1)*E41+INDEX(Symboles!$H$6:$H$101,MOD(26+$C41+(-3),$B$3)+1)*F41+INDEX(Symboles!$H$6:$H$101,MOD(26+$C41+(-2),$B$3)+1)*G41+INDEX(Symboles!$H$6:$H$101,MOD(26+$C41+(-1),$B$3)+1)*H41+INDEX(Symboles!$H$6:$H$101,MOD(26+$C41+(0),$B$3)+1)*I41+INDEX(Symboles!$H$6:$H$101,MOD(26+$C41+(1),$B$3)+1)*J41+INDEX(Symboles!$H$6:$H$101,MOD(26+$C41+(2),$B$3)+1)*K41+INDEX(Symboles!$H$6:$H$101,MOD(26+$C41+(3),$B$3)+1)*L41+INDEX(Symboles!$H$6:$H$101,MOD(26+$C41+(4),$B$3)+1)*M41+IF($B$6=0,0,$B$6*NORMSINV(0.000001+0.999998*RAND())))</f>
        <v/>
      </c>
      <c r="EJ41" s="30">
        <f>IF(28&gt;$B$3,99,INDEX(Symboles!$H$6:$H$101,MOD(27+$C41+(-4),$B$3)+1)*E41+INDEX(Symboles!$H$6:$H$101,MOD(27+$C41+(-3),$B$3)+1)*F41+INDEX(Symboles!$H$6:$H$101,MOD(27+$C41+(-2),$B$3)+1)*G41+INDEX(Symboles!$H$6:$H$101,MOD(27+$C41+(-1),$B$3)+1)*H41+INDEX(Symboles!$H$6:$H$101,MOD(27+$C41+(0),$B$3)+1)*I41+INDEX(Symboles!$H$6:$H$101,MOD(27+$C41+(1),$B$3)+1)*J41+INDEX(Symboles!$H$6:$H$101,MOD(27+$C41+(2),$B$3)+1)*K41+INDEX(Symboles!$H$6:$H$101,MOD(27+$C41+(3),$B$3)+1)*L41+INDEX(Symboles!$H$6:$H$101,MOD(27+$C41+(4),$B$3)+1)*M41+IF($B$6=0,0,$B$6*NORMSINV(0.000001+0.999998*RAND())))</f>
        <v/>
      </c>
      <c r="EK41" s="30">
        <f>IF(29&gt;$B$3,99,INDEX(Symboles!$H$6:$H$101,MOD(28+$C41+(-4),$B$3)+1)*E41+INDEX(Symboles!$H$6:$H$101,MOD(28+$C41+(-3),$B$3)+1)*F41+INDEX(Symboles!$H$6:$H$101,MOD(28+$C41+(-2),$B$3)+1)*G41+INDEX(Symboles!$H$6:$H$101,MOD(28+$C41+(-1),$B$3)+1)*H41+INDEX(Symboles!$H$6:$H$101,MOD(28+$C41+(0),$B$3)+1)*I41+INDEX(Symboles!$H$6:$H$101,MOD(28+$C41+(1),$B$3)+1)*J41+INDEX(Symboles!$H$6:$H$101,MOD(28+$C41+(2),$B$3)+1)*K41+INDEX(Symboles!$H$6:$H$101,MOD(28+$C41+(3),$B$3)+1)*L41+INDEX(Symboles!$H$6:$H$101,MOD(28+$C41+(4),$B$3)+1)*M41+IF($B$6=0,0,$B$6*NORMSINV(0.000001+0.999998*RAND())))</f>
        <v/>
      </c>
      <c r="EL41" s="30">
        <f>IF(30&gt;$B$3,99,INDEX(Symboles!$H$6:$H$101,MOD(29+$C41+(-4),$B$3)+1)*E41+INDEX(Symboles!$H$6:$H$101,MOD(29+$C41+(-3),$B$3)+1)*F41+INDEX(Symboles!$H$6:$H$101,MOD(29+$C41+(-2),$B$3)+1)*G41+INDEX(Symboles!$H$6:$H$101,MOD(29+$C41+(-1),$B$3)+1)*H41+INDEX(Symboles!$H$6:$H$101,MOD(29+$C41+(0),$B$3)+1)*I41+INDEX(Symboles!$H$6:$H$101,MOD(29+$C41+(1),$B$3)+1)*J41+INDEX(Symboles!$H$6:$H$101,MOD(29+$C41+(2),$B$3)+1)*K41+INDEX(Symboles!$H$6:$H$101,MOD(29+$C41+(3),$B$3)+1)*L41+INDEX(Symboles!$H$6:$H$101,MOD(29+$C41+(4),$B$3)+1)*M41+IF($B$6=0,0,$B$6*NORMSINV(0.000001+0.999998*RAND())))</f>
        <v/>
      </c>
      <c r="EM41" s="30">
        <f>IF(31&gt;$B$3,99,INDEX(Symboles!$H$6:$H$101,MOD(30+$C41+(-4),$B$3)+1)*E41+INDEX(Symboles!$H$6:$H$101,MOD(30+$C41+(-3),$B$3)+1)*F41+INDEX(Symboles!$H$6:$H$101,MOD(30+$C41+(-2),$B$3)+1)*G41+INDEX(Symboles!$H$6:$H$101,MOD(30+$C41+(-1),$B$3)+1)*H41+INDEX(Symboles!$H$6:$H$101,MOD(30+$C41+(0),$B$3)+1)*I41+INDEX(Symboles!$H$6:$H$101,MOD(30+$C41+(1),$B$3)+1)*J41+INDEX(Symboles!$H$6:$H$101,MOD(30+$C41+(2),$B$3)+1)*K41+INDEX(Symboles!$H$6:$H$101,MOD(30+$C41+(3),$B$3)+1)*L41+INDEX(Symboles!$H$6:$H$101,MOD(30+$C41+(4),$B$3)+1)*M41+IF($B$6=0,0,$B$6*NORMSINV(0.000001+0.999998*RAND())))</f>
        <v/>
      </c>
      <c r="EN41" s="30">
        <f>IF(32&gt;$B$3,99,INDEX(Symboles!$H$6:$H$101,MOD(31+$C41+(-4),$B$3)+1)*E41+INDEX(Symboles!$H$6:$H$101,MOD(31+$C41+(-3),$B$3)+1)*F41+INDEX(Symboles!$H$6:$H$101,MOD(31+$C41+(-2),$B$3)+1)*G41+INDEX(Symboles!$H$6:$H$101,MOD(31+$C41+(-1),$B$3)+1)*H41+INDEX(Symboles!$H$6:$H$101,MOD(31+$C41+(0),$B$3)+1)*I41+INDEX(Symboles!$H$6:$H$101,MOD(31+$C41+(1),$B$3)+1)*J41+INDEX(Symboles!$H$6:$H$101,MOD(31+$C41+(2),$B$3)+1)*K41+INDEX(Symboles!$H$6:$H$101,MOD(31+$C41+(3),$B$3)+1)*L41+INDEX(Symboles!$H$6:$H$101,MOD(31+$C41+(4),$B$3)+1)*M41+IF($B$6=0,0,$B$6*NORMSINV(0.000001+0.999998*RAND())))</f>
        <v/>
      </c>
      <c r="EO41" s="30">
        <f>IF(33&gt;$B$3,99,INDEX(Symboles!$H$6:$H$101,MOD(32+$C41+(-4),$B$3)+1)*E41+INDEX(Symboles!$H$6:$H$101,MOD(32+$C41+(-3),$B$3)+1)*F41+INDEX(Symboles!$H$6:$H$101,MOD(32+$C41+(-2),$B$3)+1)*G41+INDEX(Symboles!$H$6:$H$101,MOD(32+$C41+(-1),$B$3)+1)*H41+INDEX(Symboles!$H$6:$H$101,MOD(32+$C41+(0),$B$3)+1)*I41+INDEX(Symboles!$H$6:$H$101,MOD(32+$C41+(1),$B$3)+1)*J41+INDEX(Symboles!$H$6:$H$101,MOD(32+$C41+(2),$B$3)+1)*K41+INDEX(Symboles!$H$6:$H$101,MOD(32+$C41+(3),$B$3)+1)*L41+INDEX(Symboles!$H$6:$H$101,MOD(32+$C41+(4),$B$3)+1)*M41+IF($B$6=0,0,$B$6*NORMSINV(0.000001+0.999998*RAND())))</f>
        <v/>
      </c>
      <c r="EP41" s="30">
        <f>IF(34&gt;$B$3,99,INDEX(Symboles!$H$6:$H$101,MOD(33+$C41+(-4),$B$3)+1)*E41+INDEX(Symboles!$H$6:$H$101,MOD(33+$C41+(-3),$B$3)+1)*F41+INDEX(Symboles!$H$6:$H$101,MOD(33+$C41+(-2),$B$3)+1)*G41+INDEX(Symboles!$H$6:$H$101,MOD(33+$C41+(-1),$B$3)+1)*H41+INDEX(Symboles!$H$6:$H$101,MOD(33+$C41+(0),$B$3)+1)*I41+INDEX(Symboles!$H$6:$H$101,MOD(33+$C41+(1),$B$3)+1)*J41+INDEX(Symboles!$H$6:$H$101,MOD(33+$C41+(2),$B$3)+1)*K41+INDEX(Symboles!$H$6:$H$101,MOD(33+$C41+(3),$B$3)+1)*L41+INDEX(Symboles!$H$6:$H$101,MOD(33+$C41+(4),$B$3)+1)*M41+IF($B$6=0,0,$B$6*NORMSINV(0.000001+0.999998*RAND())))</f>
        <v/>
      </c>
      <c r="EQ41" s="30">
        <f>IF(35&gt;$B$3,99,INDEX(Symboles!$H$6:$H$101,MOD(34+$C41+(-4),$B$3)+1)*E41+INDEX(Symboles!$H$6:$H$101,MOD(34+$C41+(-3),$B$3)+1)*F41+INDEX(Symboles!$H$6:$H$101,MOD(34+$C41+(-2),$B$3)+1)*G41+INDEX(Symboles!$H$6:$H$101,MOD(34+$C41+(-1),$B$3)+1)*H41+INDEX(Symboles!$H$6:$H$101,MOD(34+$C41+(0),$B$3)+1)*I41+INDEX(Symboles!$H$6:$H$101,MOD(34+$C41+(1),$B$3)+1)*J41+INDEX(Symboles!$H$6:$H$101,MOD(34+$C41+(2),$B$3)+1)*K41+INDEX(Symboles!$H$6:$H$101,MOD(34+$C41+(3),$B$3)+1)*L41+INDEX(Symboles!$H$6:$H$101,MOD(34+$C41+(4),$B$3)+1)*M41+IF($B$6=0,0,$B$6*NORMSINV(0.000001+0.999998*RAND())))</f>
        <v/>
      </c>
      <c r="ER41" s="30">
        <f>IF(36&gt;$B$3,99,INDEX(Symboles!$H$6:$H$101,MOD(35+$C41+(-4),$B$3)+1)*E41+INDEX(Symboles!$H$6:$H$101,MOD(35+$C41+(-3),$B$3)+1)*F41+INDEX(Symboles!$H$6:$H$101,MOD(35+$C41+(-2),$B$3)+1)*G41+INDEX(Symboles!$H$6:$H$101,MOD(35+$C41+(-1),$B$3)+1)*H41+INDEX(Symboles!$H$6:$H$101,MOD(35+$C41+(0),$B$3)+1)*I41+INDEX(Symboles!$H$6:$H$101,MOD(35+$C41+(1),$B$3)+1)*J41+INDEX(Symboles!$H$6:$H$101,MOD(35+$C41+(2),$B$3)+1)*K41+INDEX(Symboles!$H$6:$H$101,MOD(35+$C41+(3),$B$3)+1)*L41+INDEX(Symboles!$H$6:$H$101,MOD(35+$C41+(4),$B$3)+1)*M41+IF($B$6=0,0,$B$6*NORMSINV(0.000001+0.999998*RAND())))</f>
        <v/>
      </c>
      <c r="ES41" s="30">
        <f>IF(37&gt;$B$3,99,INDEX(Symboles!$H$6:$H$101,MOD(36+$C41+(-4),$B$3)+1)*E41+INDEX(Symboles!$H$6:$H$101,MOD(36+$C41+(-3),$B$3)+1)*F41+INDEX(Symboles!$H$6:$H$101,MOD(36+$C41+(-2),$B$3)+1)*G41+INDEX(Symboles!$H$6:$H$101,MOD(36+$C41+(-1),$B$3)+1)*H41+INDEX(Symboles!$H$6:$H$101,MOD(36+$C41+(0),$B$3)+1)*I41+INDEX(Symboles!$H$6:$H$101,MOD(36+$C41+(1),$B$3)+1)*J41+INDEX(Symboles!$H$6:$H$101,MOD(36+$C41+(2),$B$3)+1)*K41+INDEX(Symboles!$H$6:$H$101,MOD(36+$C41+(3),$B$3)+1)*L41+INDEX(Symboles!$H$6:$H$101,MOD(36+$C41+(4),$B$3)+1)*M41+IF($B$6=0,0,$B$6*NORMSINV(0.000001+0.999998*RAND())))</f>
        <v/>
      </c>
      <c r="ET41" s="30">
        <f>IF(38&gt;$B$3,99,INDEX(Symboles!$H$6:$H$101,MOD(37+$C41+(-4),$B$3)+1)*E41+INDEX(Symboles!$H$6:$H$101,MOD(37+$C41+(-3),$B$3)+1)*F41+INDEX(Symboles!$H$6:$H$101,MOD(37+$C41+(-2),$B$3)+1)*G41+INDEX(Symboles!$H$6:$H$101,MOD(37+$C41+(-1),$B$3)+1)*H41+INDEX(Symboles!$H$6:$H$101,MOD(37+$C41+(0),$B$3)+1)*I41+INDEX(Symboles!$H$6:$H$101,MOD(37+$C41+(1),$B$3)+1)*J41+INDEX(Symboles!$H$6:$H$101,MOD(37+$C41+(2),$B$3)+1)*K41+INDEX(Symboles!$H$6:$H$101,MOD(37+$C41+(3),$B$3)+1)*L41+INDEX(Symboles!$H$6:$H$101,MOD(37+$C41+(4),$B$3)+1)*M41+IF($B$6=0,0,$B$6*NORMSINV(0.000001+0.999998*RAND())))</f>
        <v/>
      </c>
      <c r="EU41" s="30">
        <f>IF(39&gt;$B$3,99,INDEX(Symboles!$H$6:$H$101,MOD(38+$C41+(-4),$B$3)+1)*E41+INDEX(Symboles!$H$6:$H$101,MOD(38+$C41+(-3),$B$3)+1)*F41+INDEX(Symboles!$H$6:$H$101,MOD(38+$C41+(-2),$B$3)+1)*G41+INDEX(Symboles!$H$6:$H$101,MOD(38+$C41+(-1),$B$3)+1)*H41+INDEX(Symboles!$H$6:$H$101,MOD(38+$C41+(0),$B$3)+1)*I41+INDEX(Symboles!$H$6:$H$101,MOD(38+$C41+(1),$B$3)+1)*J41+INDEX(Symboles!$H$6:$H$101,MOD(38+$C41+(2),$B$3)+1)*K41+INDEX(Symboles!$H$6:$H$101,MOD(38+$C41+(3),$B$3)+1)*L41+INDEX(Symboles!$H$6:$H$101,MOD(38+$C41+(4),$B$3)+1)*M41+IF($B$6=0,0,$B$6*NORMSINV(0.000001+0.999998*RAND())))</f>
        <v/>
      </c>
      <c r="EV41" s="30">
        <f>IF(40&gt;$B$3,99,INDEX(Symboles!$H$6:$H$101,MOD(39+$C41+(-4),$B$3)+1)*E41+INDEX(Symboles!$H$6:$H$101,MOD(39+$C41+(-3),$B$3)+1)*F41+INDEX(Symboles!$H$6:$H$101,MOD(39+$C41+(-2),$B$3)+1)*G41+INDEX(Symboles!$H$6:$H$101,MOD(39+$C41+(-1),$B$3)+1)*H41+INDEX(Symboles!$H$6:$H$101,MOD(39+$C41+(0),$B$3)+1)*I41+INDEX(Symboles!$H$6:$H$101,MOD(39+$C41+(1),$B$3)+1)*J41+INDEX(Symboles!$H$6:$H$101,MOD(39+$C41+(2),$B$3)+1)*K41+INDEX(Symboles!$H$6:$H$101,MOD(39+$C41+(3),$B$3)+1)*L41+INDEX(Symboles!$H$6:$H$101,MOD(39+$C41+(4),$B$3)+1)*M41+IF($B$6=0,0,$B$6*NORMSINV(0.000001+0.999998*RAND())))</f>
        <v/>
      </c>
      <c r="EW41" s="30">
        <f>IF(41&gt;$B$3,99,INDEX(Symboles!$H$6:$H$101,MOD(40+$C41+(-4),$B$3)+1)*E41+INDEX(Symboles!$H$6:$H$101,MOD(40+$C41+(-3),$B$3)+1)*F41+INDEX(Symboles!$H$6:$H$101,MOD(40+$C41+(-2),$B$3)+1)*G41+INDEX(Symboles!$H$6:$H$101,MOD(40+$C41+(-1),$B$3)+1)*H41+INDEX(Symboles!$H$6:$H$101,MOD(40+$C41+(0),$B$3)+1)*I41+INDEX(Symboles!$H$6:$H$101,MOD(40+$C41+(1),$B$3)+1)*J41+INDEX(Symboles!$H$6:$H$101,MOD(40+$C41+(2),$B$3)+1)*K41+INDEX(Symboles!$H$6:$H$101,MOD(40+$C41+(3),$B$3)+1)*L41+INDEX(Symboles!$H$6:$H$101,MOD(40+$C41+(4),$B$3)+1)*M41+IF($B$6=0,0,$B$6*NORMSINV(0.000001+0.999998*RAND())))</f>
        <v/>
      </c>
      <c r="EX41" s="30">
        <f>IF(42&gt;$B$3,99,INDEX(Symboles!$H$6:$H$101,MOD(41+$C41+(-4),$B$3)+1)*E41+INDEX(Symboles!$H$6:$H$101,MOD(41+$C41+(-3),$B$3)+1)*F41+INDEX(Symboles!$H$6:$H$101,MOD(41+$C41+(-2),$B$3)+1)*G41+INDEX(Symboles!$H$6:$H$101,MOD(41+$C41+(-1),$B$3)+1)*H41+INDEX(Symboles!$H$6:$H$101,MOD(41+$C41+(0),$B$3)+1)*I41+INDEX(Symboles!$H$6:$H$101,MOD(41+$C41+(1),$B$3)+1)*J41+INDEX(Symboles!$H$6:$H$101,MOD(41+$C41+(2),$B$3)+1)*K41+INDEX(Symboles!$H$6:$H$101,MOD(41+$C41+(3),$B$3)+1)*L41+INDEX(Symboles!$H$6:$H$101,MOD(41+$C41+(4),$B$3)+1)*M41+IF($B$6=0,0,$B$6*NORMSINV(0.000001+0.999998*RAND())))</f>
        <v/>
      </c>
      <c r="EY41" s="30">
        <f>IF(43&gt;$B$3,99,INDEX(Symboles!$H$6:$H$101,MOD(42+$C41+(-4),$B$3)+1)*E41+INDEX(Symboles!$H$6:$H$101,MOD(42+$C41+(-3),$B$3)+1)*F41+INDEX(Symboles!$H$6:$H$101,MOD(42+$C41+(-2),$B$3)+1)*G41+INDEX(Symboles!$H$6:$H$101,MOD(42+$C41+(-1),$B$3)+1)*H41+INDEX(Symboles!$H$6:$H$101,MOD(42+$C41+(0),$B$3)+1)*I41+INDEX(Symboles!$H$6:$H$101,MOD(42+$C41+(1),$B$3)+1)*J41+INDEX(Symboles!$H$6:$H$101,MOD(42+$C41+(2),$B$3)+1)*K41+INDEX(Symboles!$H$6:$H$101,MOD(42+$C41+(3),$B$3)+1)*L41+INDEX(Symboles!$H$6:$H$101,MOD(42+$C41+(4),$B$3)+1)*M41+IF($B$6=0,0,$B$6*NORMSINV(0.000001+0.999998*RAND())))</f>
        <v/>
      </c>
      <c r="EZ41" s="30">
        <f>IF(44&gt;$B$3,99,INDEX(Symboles!$H$6:$H$101,MOD(43+$C41+(-4),$B$3)+1)*E41+INDEX(Symboles!$H$6:$H$101,MOD(43+$C41+(-3),$B$3)+1)*F41+INDEX(Symboles!$H$6:$H$101,MOD(43+$C41+(-2),$B$3)+1)*G41+INDEX(Symboles!$H$6:$H$101,MOD(43+$C41+(-1),$B$3)+1)*H41+INDEX(Symboles!$H$6:$H$101,MOD(43+$C41+(0),$B$3)+1)*I41+INDEX(Symboles!$H$6:$H$101,MOD(43+$C41+(1),$B$3)+1)*J41+INDEX(Symboles!$H$6:$H$101,MOD(43+$C41+(2),$B$3)+1)*K41+INDEX(Symboles!$H$6:$H$101,MOD(43+$C41+(3),$B$3)+1)*L41+INDEX(Symboles!$H$6:$H$101,MOD(43+$C41+(4),$B$3)+1)*M41+IF($B$6=0,0,$B$6*NORMSINV(0.000001+0.999998*RAND())))</f>
        <v/>
      </c>
      <c r="FA41" s="30">
        <f>IF(45&gt;$B$3,99,INDEX(Symboles!$H$6:$H$101,MOD(44+$C41+(-4),$B$3)+1)*E41+INDEX(Symboles!$H$6:$H$101,MOD(44+$C41+(-3),$B$3)+1)*F41+INDEX(Symboles!$H$6:$H$101,MOD(44+$C41+(-2),$B$3)+1)*G41+INDEX(Symboles!$H$6:$H$101,MOD(44+$C41+(-1),$B$3)+1)*H41+INDEX(Symboles!$H$6:$H$101,MOD(44+$C41+(0),$B$3)+1)*I41+INDEX(Symboles!$H$6:$H$101,MOD(44+$C41+(1),$B$3)+1)*J41+INDEX(Symboles!$H$6:$H$101,MOD(44+$C41+(2),$B$3)+1)*K41+INDEX(Symboles!$H$6:$H$101,MOD(44+$C41+(3),$B$3)+1)*L41+INDEX(Symboles!$H$6:$H$101,MOD(44+$C41+(4),$B$3)+1)*M41+IF($B$6=0,0,$B$6*NORMSINV(0.000001+0.999998*RAND())))</f>
        <v/>
      </c>
      <c r="FB41" s="30">
        <f>IF(46&gt;$B$3,99,INDEX(Symboles!$H$6:$H$101,MOD(45+$C41+(-4),$B$3)+1)*E41+INDEX(Symboles!$H$6:$H$101,MOD(45+$C41+(-3),$B$3)+1)*F41+INDEX(Symboles!$H$6:$H$101,MOD(45+$C41+(-2),$B$3)+1)*G41+INDEX(Symboles!$H$6:$H$101,MOD(45+$C41+(-1),$B$3)+1)*H41+INDEX(Symboles!$H$6:$H$101,MOD(45+$C41+(0),$B$3)+1)*I41+INDEX(Symboles!$H$6:$H$101,MOD(45+$C41+(1),$B$3)+1)*J41+INDEX(Symboles!$H$6:$H$101,MOD(45+$C41+(2),$B$3)+1)*K41+INDEX(Symboles!$H$6:$H$101,MOD(45+$C41+(3),$B$3)+1)*L41+INDEX(Symboles!$H$6:$H$101,MOD(45+$C41+(4),$B$3)+1)*M41+IF($B$6=0,0,$B$6*NORMSINV(0.000001+0.999998*RAND())))</f>
        <v/>
      </c>
      <c r="FC41" s="30">
        <f>IF(47&gt;$B$3,99,INDEX(Symboles!$H$6:$H$101,MOD(46+$C41+(-4),$B$3)+1)*E41+INDEX(Symboles!$H$6:$H$101,MOD(46+$C41+(-3),$B$3)+1)*F41+INDEX(Symboles!$H$6:$H$101,MOD(46+$C41+(-2),$B$3)+1)*G41+INDEX(Symboles!$H$6:$H$101,MOD(46+$C41+(-1),$B$3)+1)*H41+INDEX(Symboles!$H$6:$H$101,MOD(46+$C41+(0),$B$3)+1)*I41+INDEX(Symboles!$H$6:$H$101,MOD(46+$C41+(1),$B$3)+1)*J41+INDEX(Symboles!$H$6:$H$101,MOD(46+$C41+(2),$B$3)+1)*K41+INDEX(Symboles!$H$6:$H$101,MOD(46+$C41+(3),$B$3)+1)*L41+INDEX(Symboles!$H$6:$H$101,MOD(46+$C41+(4),$B$3)+1)*M41+IF($B$6=0,0,$B$6*NORMSINV(0.000001+0.999998*RAND())))</f>
        <v/>
      </c>
      <c r="FD41" s="30">
        <f>IF(48&gt;$B$3,99,INDEX(Symboles!$H$6:$H$101,MOD(47+$C41+(-4),$B$3)+1)*E41+INDEX(Symboles!$H$6:$H$101,MOD(47+$C41+(-3),$B$3)+1)*F41+INDEX(Symboles!$H$6:$H$101,MOD(47+$C41+(-2),$B$3)+1)*G41+INDEX(Symboles!$H$6:$H$101,MOD(47+$C41+(-1),$B$3)+1)*H41+INDEX(Symboles!$H$6:$H$101,MOD(47+$C41+(0),$B$3)+1)*I41+INDEX(Symboles!$H$6:$H$101,MOD(47+$C41+(1),$B$3)+1)*J41+INDEX(Symboles!$H$6:$H$101,MOD(47+$C41+(2),$B$3)+1)*K41+INDEX(Symboles!$H$6:$H$101,MOD(47+$C41+(3),$B$3)+1)*L41+INDEX(Symboles!$H$6:$H$101,MOD(47+$C41+(4),$B$3)+1)*M41+IF($B$6=0,0,$B$6*NORMSINV(0.000001+0.999998*RAND())))</f>
        <v/>
      </c>
      <c r="FE41" s="30">
        <f>IF(49&gt;$B$3,99,INDEX(Symboles!$H$6:$H$101,MOD(48+$C41+(-4),$B$3)+1)*E41+INDEX(Symboles!$H$6:$H$101,MOD(48+$C41+(-3),$B$3)+1)*F41+INDEX(Symboles!$H$6:$H$101,MOD(48+$C41+(-2),$B$3)+1)*G41+INDEX(Symboles!$H$6:$H$101,MOD(48+$C41+(-1),$B$3)+1)*H41+INDEX(Symboles!$H$6:$H$101,MOD(48+$C41+(0),$B$3)+1)*I41+INDEX(Symboles!$H$6:$H$101,MOD(48+$C41+(1),$B$3)+1)*J41+INDEX(Symboles!$H$6:$H$101,MOD(48+$C41+(2),$B$3)+1)*K41+INDEX(Symboles!$H$6:$H$101,MOD(48+$C41+(3),$B$3)+1)*L41+INDEX(Symboles!$H$6:$H$101,MOD(48+$C41+(4),$B$3)+1)*M41+IF($B$6=0,0,$B$6*NORMSINV(0.000001+0.999998*RAND())))</f>
        <v/>
      </c>
      <c r="FF41" s="30">
        <f>IF(50&gt;$B$3,99,INDEX(Symboles!$H$6:$H$101,MOD(49+$C41+(-4),$B$3)+1)*E41+INDEX(Symboles!$H$6:$H$101,MOD(49+$C41+(-3),$B$3)+1)*F41+INDEX(Symboles!$H$6:$H$101,MOD(49+$C41+(-2),$B$3)+1)*G41+INDEX(Symboles!$H$6:$H$101,MOD(49+$C41+(-1),$B$3)+1)*H41+INDEX(Symboles!$H$6:$H$101,MOD(49+$C41+(0),$B$3)+1)*I41+INDEX(Symboles!$H$6:$H$101,MOD(49+$C41+(1),$B$3)+1)*J41+INDEX(Symboles!$H$6:$H$101,MOD(49+$C41+(2),$B$3)+1)*K41+INDEX(Symboles!$H$6:$H$101,MOD(49+$C41+(3),$B$3)+1)*L41+INDEX(Symboles!$H$6:$H$101,MOD(49+$C41+(4),$B$3)+1)*M41+IF($B$6=0,0,$B$6*NORMSINV(0.000001+0.999998*RAND())))</f>
        <v/>
      </c>
      <c r="FG41" s="30">
        <f>IF(51&gt;$B$3,99,INDEX(Symboles!$H$6:$H$101,MOD(50+$C41+(-4),$B$3)+1)*E41+INDEX(Symboles!$H$6:$H$101,MOD(50+$C41+(-3),$B$3)+1)*F41+INDEX(Symboles!$H$6:$H$101,MOD(50+$C41+(-2),$B$3)+1)*G41+INDEX(Symboles!$H$6:$H$101,MOD(50+$C41+(-1),$B$3)+1)*H41+INDEX(Symboles!$H$6:$H$101,MOD(50+$C41+(0),$B$3)+1)*I41+INDEX(Symboles!$H$6:$H$101,MOD(50+$C41+(1),$B$3)+1)*J41+INDEX(Symboles!$H$6:$H$101,MOD(50+$C41+(2),$B$3)+1)*K41+INDEX(Symboles!$H$6:$H$101,MOD(50+$C41+(3),$B$3)+1)*L41+INDEX(Symboles!$H$6:$H$101,MOD(50+$C41+(4),$B$3)+1)*M41+IF($B$6=0,0,$B$6*NORMSINV(0.000001+0.999998*RAND())))</f>
        <v/>
      </c>
      <c r="FH41" s="30">
        <f>IF(52&gt;$B$3,99,INDEX(Symboles!$H$6:$H$101,MOD(51+$C41+(-4),$B$3)+1)*E41+INDEX(Symboles!$H$6:$H$101,MOD(51+$C41+(-3),$B$3)+1)*F41+INDEX(Symboles!$H$6:$H$101,MOD(51+$C41+(-2),$B$3)+1)*G41+INDEX(Symboles!$H$6:$H$101,MOD(51+$C41+(-1),$B$3)+1)*H41+INDEX(Symboles!$H$6:$H$101,MOD(51+$C41+(0),$B$3)+1)*I41+INDEX(Symboles!$H$6:$H$101,MOD(51+$C41+(1),$B$3)+1)*J41+INDEX(Symboles!$H$6:$H$101,MOD(51+$C41+(2),$B$3)+1)*K41+INDEX(Symboles!$H$6:$H$101,MOD(51+$C41+(3),$B$3)+1)*L41+INDEX(Symboles!$H$6:$H$101,MOD(51+$C41+(4),$B$3)+1)*M41+IF($B$6=0,0,$B$6*NORMSINV(0.000001+0.999998*RAND())))</f>
        <v/>
      </c>
      <c r="FI41" s="30">
        <f>IF(53&gt;$B$3,99,INDEX(Symboles!$H$6:$H$101,MOD(52+$C41+(-4),$B$3)+1)*E41+INDEX(Symboles!$H$6:$H$101,MOD(52+$C41+(-3),$B$3)+1)*F41+INDEX(Symboles!$H$6:$H$101,MOD(52+$C41+(-2),$B$3)+1)*G41+INDEX(Symboles!$H$6:$H$101,MOD(52+$C41+(-1),$B$3)+1)*H41+INDEX(Symboles!$H$6:$H$101,MOD(52+$C41+(0),$B$3)+1)*I41+INDEX(Symboles!$H$6:$H$101,MOD(52+$C41+(1),$B$3)+1)*J41+INDEX(Symboles!$H$6:$H$101,MOD(52+$C41+(2),$B$3)+1)*K41+INDEX(Symboles!$H$6:$H$101,MOD(52+$C41+(3),$B$3)+1)*L41+INDEX(Symboles!$H$6:$H$101,MOD(52+$C41+(4),$B$3)+1)*M41+IF($B$6=0,0,$B$6*NORMSINV(0.000001+0.999998*RAND())))</f>
        <v/>
      </c>
      <c r="FJ41" s="30">
        <f>IF(54&gt;$B$3,99,INDEX(Symboles!$H$6:$H$101,MOD(53+$C41+(-4),$B$3)+1)*E41+INDEX(Symboles!$H$6:$H$101,MOD(53+$C41+(-3),$B$3)+1)*F41+INDEX(Symboles!$H$6:$H$101,MOD(53+$C41+(-2),$B$3)+1)*G41+INDEX(Symboles!$H$6:$H$101,MOD(53+$C41+(-1),$B$3)+1)*H41+INDEX(Symboles!$H$6:$H$101,MOD(53+$C41+(0),$B$3)+1)*I41+INDEX(Symboles!$H$6:$H$101,MOD(53+$C41+(1),$B$3)+1)*J41+INDEX(Symboles!$H$6:$H$101,MOD(53+$C41+(2),$B$3)+1)*K41+INDEX(Symboles!$H$6:$H$101,MOD(53+$C41+(3),$B$3)+1)*L41+INDEX(Symboles!$H$6:$H$101,MOD(53+$C41+(4),$B$3)+1)*M41+IF($B$6=0,0,$B$6*NORMSINV(0.000001+0.999998*RAND())))</f>
        <v/>
      </c>
      <c r="FK41" s="30">
        <f>IF(55&gt;$B$3,99,INDEX(Symboles!$H$6:$H$101,MOD(54+$C41+(-4),$B$3)+1)*E41+INDEX(Symboles!$H$6:$H$101,MOD(54+$C41+(-3),$B$3)+1)*F41+INDEX(Symboles!$H$6:$H$101,MOD(54+$C41+(-2),$B$3)+1)*G41+INDEX(Symboles!$H$6:$H$101,MOD(54+$C41+(-1),$B$3)+1)*H41+INDEX(Symboles!$H$6:$H$101,MOD(54+$C41+(0),$B$3)+1)*I41+INDEX(Symboles!$H$6:$H$101,MOD(54+$C41+(1),$B$3)+1)*J41+INDEX(Symboles!$H$6:$H$101,MOD(54+$C41+(2),$B$3)+1)*K41+INDEX(Symboles!$H$6:$H$101,MOD(54+$C41+(3),$B$3)+1)*L41+INDEX(Symboles!$H$6:$H$101,MOD(54+$C41+(4),$B$3)+1)*M41+IF($B$6=0,0,$B$6*NORMSINV(0.000001+0.999998*RAND())))</f>
        <v/>
      </c>
      <c r="FL41" s="30">
        <f>IF(56&gt;$B$3,99,INDEX(Symboles!$H$6:$H$101,MOD(55+$C41+(-4),$B$3)+1)*E41+INDEX(Symboles!$H$6:$H$101,MOD(55+$C41+(-3),$B$3)+1)*F41+INDEX(Symboles!$H$6:$H$101,MOD(55+$C41+(-2),$B$3)+1)*G41+INDEX(Symboles!$H$6:$H$101,MOD(55+$C41+(-1),$B$3)+1)*H41+INDEX(Symboles!$H$6:$H$101,MOD(55+$C41+(0),$B$3)+1)*I41+INDEX(Symboles!$H$6:$H$101,MOD(55+$C41+(1),$B$3)+1)*J41+INDEX(Symboles!$H$6:$H$101,MOD(55+$C41+(2),$B$3)+1)*K41+INDEX(Symboles!$H$6:$H$101,MOD(55+$C41+(3),$B$3)+1)*L41+INDEX(Symboles!$H$6:$H$101,MOD(55+$C41+(4),$B$3)+1)*M41+IF($B$6=0,0,$B$6*NORMSINV(0.000001+0.999998*RAND())))</f>
        <v/>
      </c>
      <c r="FM41" s="30">
        <f>IF(57&gt;$B$3,99,INDEX(Symboles!$H$6:$H$101,MOD(56+$C41+(-4),$B$3)+1)*E41+INDEX(Symboles!$H$6:$H$101,MOD(56+$C41+(-3),$B$3)+1)*F41+INDEX(Symboles!$H$6:$H$101,MOD(56+$C41+(-2),$B$3)+1)*G41+INDEX(Symboles!$H$6:$H$101,MOD(56+$C41+(-1),$B$3)+1)*H41+INDEX(Symboles!$H$6:$H$101,MOD(56+$C41+(0),$B$3)+1)*I41+INDEX(Symboles!$H$6:$H$101,MOD(56+$C41+(1),$B$3)+1)*J41+INDEX(Symboles!$H$6:$H$101,MOD(56+$C41+(2),$B$3)+1)*K41+INDEX(Symboles!$H$6:$H$101,MOD(56+$C41+(3),$B$3)+1)*L41+INDEX(Symboles!$H$6:$H$101,MOD(56+$C41+(4),$B$3)+1)*M41+IF($B$6=0,0,$B$6*NORMSINV(0.000001+0.999998*RAND())))</f>
        <v/>
      </c>
      <c r="FN41" s="30">
        <f>IF(58&gt;$B$3,99,INDEX(Symboles!$H$6:$H$101,MOD(57+$C41+(-4),$B$3)+1)*E41+INDEX(Symboles!$H$6:$H$101,MOD(57+$C41+(-3),$B$3)+1)*F41+INDEX(Symboles!$H$6:$H$101,MOD(57+$C41+(-2),$B$3)+1)*G41+INDEX(Symboles!$H$6:$H$101,MOD(57+$C41+(-1),$B$3)+1)*H41+INDEX(Symboles!$H$6:$H$101,MOD(57+$C41+(0),$B$3)+1)*I41+INDEX(Symboles!$H$6:$H$101,MOD(57+$C41+(1),$B$3)+1)*J41+INDEX(Symboles!$H$6:$H$101,MOD(57+$C41+(2),$B$3)+1)*K41+INDEX(Symboles!$H$6:$H$101,MOD(57+$C41+(3),$B$3)+1)*L41+INDEX(Symboles!$H$6:$H$101,MOD(57+$C41+(4),$B$3)+1)*M41+IF($B$6=0,0,$B$6*NORMSINV(0.000001+0.999998*RAND())))</f>
        <v/>
      </c>
      <c r="FO41" s="30">
        <f>IF(59&gt;$B$3,99,INDEX(Symboles!$H$6:$H$101,MOD(58+$C41+(-4),$B$3)+1)*E41+INDEX(Symboles!$H$6:$H$101,MOD(58+$C41+(-3),$B$3)+1)*F41+INDEX(Symboles!$H$6:$H$101,MOD(58+$C41+(-2),$B$3)+1)*G41+INDEX(Symboles!$H$6:$H$101,MOD(58+$C41+(-1),$B$3)+1)*H41+INDEX(Symboles!$H$6:$H$101,MOD(58+$C41+(0),$B$3)+1)*I41+INDEX(Symboles!$H$6:$H$101,MOD(58+$C41+(1),$B$3)+1)*J41+INDEX(Symboles!$H$6:$H$101,MOD(58+$C41+(2),$B$3)+1)*K41+INDEX(Symboles!$H$6:$H$101,MOD(58+$C41+(3),$B$3)+1)*L41+INDEX(Symboles!$H$6:$H$101,MOD(58+$C41+(4),$B$3)+1)*M41+IF($B$6=0,0,$B$6*NORMSINV(0.000001+0.999998*RAND())))</f>
        <v/>
      </c>
      <c r="FP41" s="30">
        <f>IF(60&gt;$B$3,99,INDEX(Symboles!$H$6:$H$101,MOD(59+$C41+(-4),$B$3)+1)*E41+INDEX(Symboles!$H$6:$H$101,MOD(59+$C41+(-3),$B$3)+1)*F41+INDEX(Symboles!$H$6:$H$101,MOD(59+$C41+(-2),$B$3)+1)*G41+INDEX(Symboles!$H$6:$H$101,MOD(59+$C41+(-1),$B$3)+1)*H41+INDEX(Symboles!$H$6:$H$101,MOD(59+$C41+(0),$B$3)+1)*I41+INDEX(Symboles!$H$6:$H$101,MOD(59+$C41+(1),$B$3)+1)*J41+INDEX(Symboles!$H$6:$H$101,MOD(59+$C41+(2),$B$3)+1)*K41+INDEX(Symboles!$H$6:$H$101,MOD(59+$C41+(3),$B$3)+1)*L41+INDEX(Symboles!$H$6:$H$101,MOD(59+$C41+(4),$B$3)+1)*M41+IF($B$6=0,0,$B$6*NORMSINV(0.000001+0.999998*RAND())))</f>
        <v/>
      </c>
      <c r="FQ41" s="30">
        <f>IF(61&gt;$B$3,99,INDEX(Symboles!$H$6:$H$101,MOD(60+$C41+(-4),$B$3)+1)*E41+INDEX(Symboles!$H$6:$H$101,MOD(60+$C41+(-3),$B$3)+1)*F41+INDEX(Symboles!$H$6:$H$101,MOD(60+$C41+(-2),$B$3)+1)*G41+INDEX(Symboles!$H$6:$H$101,MOD(60+$C41+(-1),$B$3)+1)*H41+INDEX(Symboles!$H$6:$H$101,MOD(60+$C41+(0),$B$3)+1)*I41+INDEX(Symboles!$H$6:$H$101,MOD(60+$C41+(1),$B$3)+1)*J41+INDEX(Symboles!$H$6:$H$101,MOD(60+$C41+(2),$B$3)+1)*K41+INDEX(Symboles!$H$6:$H$101,MOD(60+$C41+(3),$B$3)+1)*L41+INDEX(Symboles!$H$6:$H$101,MOD(60+$C41+(4),$B$3)+1)*M41+IF($B$6=0,0,$B$6*NORMSINV(0.000001+0.999998*RAND())))</f>
        <v/>
      </c>
      <c r="FR41" s="30">
        <f>IF(62&gt;$B$3,99,INDEX(Symboles!$H$6:$H$101,MOD(61+$C41+(-4),$B$3)+1)*E41+INDEX(Symboles!$H$6:$H$101,MOD(61+$C41+(-3),$B$3)+1)*F41+INDEX(Symboles!$H$6:$H$101,MOD(61+$C41+(-2),$B$3)+1)*G41+INDEX(Symboles!$H$6:$H$101,MOD(61+$C41+(-1),$B$3)+1)*H41+INDEX(Symboles!$H$6:$H$101,MOD(61+$C41+(0),$B$3)+1)*I41+INDEX(Symboles!$H$6:$H$101,MOD(61+$C41+(1),$B$3)+1)*J41+INDEX(Symboles!$H$6:$H$101,MOD(61+$C41+(2),$B$3)+1)*K41+INDEX(Symboles!$H$6:$H$101,MOD(61+$C41+(3),$B$3)+1)*L41+INDEX(Symboles!$H$6:$H$101,MOD(61+$C41+(4),$B$3)+1)*M41+IF($B$6=0,0,$B$6*NORMSINV(0.000001+0.999998*RAND())))</f>
        <v/>
      </c>
      <c r="FS41" s="30">
        <f>IF(63&gt;$B$3,99,INDEX(Symboles!$H$6:$H$101,MOD(62+$C41+(-4),$B$3)+1)*E41+INDEX(Symboles!$H$6:$H$101,MOD(62+$C41+(-3),$B$3)+1)*F41+INDEX(Symboles!$H$6:$H$101,MOD(62+$C41+(-2),$B$3)+1)*G41+INDEX(Symboles!$H$6:$H$101,MOD(62+$C41+(-1),$B$3)+1)*H41+INDEX(Symboles!$H$6:$H$101,MOD(62+$C41+(0),$B$3)+1)*I41+INDEX(Symboles!$H$6:$H$101,MOD(62+$C41+(1),$B$3)+1)*J41+INDEX(Symboles!$H$6:$H$101,MOD(62+$C41+(2),$B$3)+1)*K41+INDEX(Symboles!$H$6:$H$101,MOD(62+$C41+(3),$B$3)+1)*L41+INDEX(Symboles!$H$6:$H$101,MOD(62+$C41+(4),$B$3)+1)*M41+IF($B$6=0,0,$B$6*NORMSINV(0.000001+0.999998*RAND())))</f>
        <v/>
      </c>
      <c r="FT41" s="30">
        <f>IF(64&gt;$B$3,99,INDEX(Symboles!$H$6:$H$101,MOD(63+$C41+(-4),$B$3)+1)*E41+INDEX(Symboles!$H$6:$H$101,MOD(63+$C41+(-3),$B$3)+1)*F41+INDEX(Symboles!$H$6:$H$101,MOD(63+$C41+(-2),$B$3)+1)*G41+INDEX(Symboles!$H$6:$H$101,MOD(63+$C41+(-1),$B$3)+1)*H41+INDEX(Symboles!$H$6:$H$101,MOD(63+$C41+(0),$B$3)+1)*I41+INDEX(Symboles!$H$6:$H$101,MOD(63+$C41+(1),$B$3)+1)*J41+INDEX(Symboles!$H$6:$H$101,MOD(63+$C41+(2),$B$3)+1)*K41+INDEX(Symboles!$H$6:$H$101,MOD(63+$C41+(3),$B$3)+1)*L41+INDEX(Symboles!$H$6:$H$101,MOD(63+$C41+(4),$B$3)+1)*M41+IF($B$6=0,0,$B$6*NORMSINV(0.000001+0.999998*RAND())))</f>
        <v/>
      </c>
      <c r="FU41" s="30">
        <f>IF(65&gt;$B$3,99,INDEX(Symboles!$H$6:$H$101,MOD(64+$C41+(-4),$B$3)+1)*E41+INDEX(Symboles!$H$6:$H$101,MOD(64+$C41+(-3),$B$3)+1)*F41+INDEX(Symboles!$H$6:$H$101,MOD(64+$C41+(-2),$B$3)+1)*G41+INDEX(Symboles!$H$6:$H$101,MOD(64+$C41+(-1),$B$3)+1)*H41+INDEX(Symboles!$H$6:$H$101,MOD(64+$C41+(0),$B$3)+1)*I41+INDEX(Symboles!$H$6:$H$101,MOD(64+$C41+(1),$B$3)+1)*J41+INDEX(Symboles!$H$6:$H$101,MOD(64+$C41+(2),$B$3)+1)*K41+INDEX(Symboles!$H$6:$H$101,MOD(64+$C41+(3),$B$3)+1)*L41+INDEX(Symboles!$H$6:$H$101,MOD(64+$C41+(4),$B$3)+1)*M41+IF($B$6=0,0,$B$6*NORMSINV(0.000001+0.999998*RAND())))</f>
        <v/>
      </c>
      <c r="FV41" s="30">
        <f>IF(66&gt;$B$3,99,INDEX(Symboles!$H$6:$H$101,MOD(65+$C41+(-4),$B$3)+1)*E41+INDEX(Symboles!$H$6:$H$101,MOD(65+$C41+(-3),$B$3)+1)*F41+INDEX(Symboles!$H$6:$H$101,MOD(65+$C41+(-2),$B$3)+1)*G41+INDEX(Symboles!$H$6:$H$101,MOD(65+$C41+(-1),$B$3)+1)*H41+INDEX(Symboles!$H$6:$H$101,MOD(65+$C41+(0),$B$3)+1)*I41+INDEX(Symboles!$H$6:$H$101,MOD(65+$C41+(1),$B$3)+1)*J41+INDEX(Symboles!$H$6:$H$101,MOD(65+$C41+(2),$B$3)+1)*K41+INDEX(Symboles!$H$6:$H$101,MOD(65+$C41+(3),$B$3)+1)*L41+INDEX(Symboles!$H$6:$H$101,MOD(65+$C41+(4),$B$3)+1)*M41+IF($B$6=0,0,$B$6*NORMSINV(0.000001+0.999998*RAND())))</f>
        <v/>
      </c>
      <c r="FW41" s="30">
        <f>IF(67&gt;$B$3,99,INDEX(Symboles!$H$6:$H$101,MOD(66+$C41+(-4),$B$3)+1)*E41+INDEX(Symboles!$H$6:$H$101,MOD(66+$C41+(-3),$B$3)+1)*F41+INDEX(Symboles!$H$6:$H$101,MOD(66+$C41+(-2),$B$3)+1)*G41+INDEX(Symboles!$H$6:$H$101,MOD(66+$C41+(-1),$B$3)+1)*H41+INDEX(Symboles!$H$6:$H$101,MOD(66+$C41+(0),$B$3)+1)*I41+INDEX(Symboles!$H$6:$H$101,MOD(66+$C41+(1),$B$3)+1)*J41+INDEX(Symboles!$H$6:$H$101,MOD(66+$C41+(2),$B$3)+1)*K41+INDEX(Symboles!$H$6:$H$101,MOD(66+$C41+(3),$B$3)+1)*L41+INDEX(Symboles!$H$6:$H$101,MOD(66+$C41+(4),$B$3)+1)*M41+IF($B$6=0,0,$B$6*NORMSINV(0.000001+0.999998*RAND())))</f>
        <v/>
      </c>
      <c r="FX41" s="30">
        <f>IF(68&gt;$B$3,99,INDEX(Symboles!$H$6:$H$101,MOD(67+$C41+(-4),$B$3)+1)*E41+INDEX(Symboles!$H$6:$H$101,MOD(67+$C41+(-3),$B$3)+1)*F41+INDEX(Symboles!$H$6:$H$101,MOD(67+$C41+(-2),$B$3)+1)*G41+INDEX(Symboles!$H$6:$H$101,MOD(67+$C41+(-1),$B$3)+1)*H41+INDEX(Symboles!$H$6:$H$101,MOD(67+$C41+(0),$B$3)+1)*I41+INDEX(Symboles!$H$6:$H$101,MOD(67+$C41+(1),$B$3)+1)*J41+INDEX(Symboles!$H$6:$H$101,MOD(67+$C41+(2),$B$3)+1)*K41+INDEX(Symboles!$H$6:$H$101,MOD(67+$C41+(3),$B$3)+1)*L41+INDEX(Symboles!$H$6:$H$101,MOD(67+$C41+(4),$B$3)+1)*M41+IF($B$6=0,0,$B$6*NORMSINV(0.000001+0.999998*RAND())))</f>
        <v/>
      </c>
      <c r="FY41" s="30">
        <f>IF(69&gt;$B$3,99,INDEX(Symboles!$H$6:$H$101,MOD(68+$C41+(-4),$B$3)+1)*E41+INDEX(Symboles!$H$6:$H$101,MOD(68+$C41+(-3),$B$3)+1)*F41+INDEX(Symboles!$H$6:$H$101,MOD(68+$C41+(-2),$B$3)+1)*G41+INDEX(Symboles!$H$6:$H$101,MOD(68+$C41+(-1),$B$3)+1)*H41+INDEX(Symboles!$H$6:$H$101,MOD(68+$C41+(0),$B$3)+1)*I41+INDEX(Symboles!$H$6:$H$101,MOD(68+$C41+(1),$B$3)+1)*J41+INDEX(Symboles!$H$6:$H$101,MOD(68+$C41+(2),$B$3)+1)*K41+INDEX(Symboles!$H$6:$H$101,MOD(68+$C41+(3),$B$3)+1)*L41+INDEX(Symboles!$H$6:$H$101,MOD(68+$C41+(4),$B$3)+1)*M41+IF($B$6=0,0,$B$6*NORMSINV(0.000001+0.999998*RAND())))</f>
        <v/>
      </c>
      <c r="FZ41" s="30">
        <f>IF(70&gt;$B$3,99,INDEX(Symboles!$H$6:$H$101,MOD(69+$C41+(-4),$B$3)+1)*E41+INDEX(Symboles!$H$6:$H$101,MOD(69+$C41+(-3),$B$3)+1)*F41+INDEX(Symboles!$H$6:$H$101,MOD(69+$C41+(-2),$B$3)+1)*G41+INDEX(Symboles!$H$6:$H$101,MOD(69+$C41+(-1),$B$3)+1)*H41+INDEX(Symboles!$H$6:$H$101,MOD(69+$C41+(0),$B$3)+1)*I41+INDEX(Symboles!$H$6:$H$101,MOD(69+$C41+(1),$B$3)+1)*J41+INDEX(Symboles!$H$6:$H$101,MOD(69+$C41+(2),$B$3)+1)*K41+INDEX(Symboles!$H$6:$H$101,MOD(69+$C41+(3),$B$3)+1)*L41+INDEX(Symboles!$H$6:$H$101,MOD(69+$C41+(4),$B$3)+1)*M41+IF($B$6=0,0,$B$6*NORMSINV(0.000001+0.999998*RAND())))</f>
        <v/>
      </c>
      <c r="GA41" s="30">
        <f>IF(71&gt;$B$3,99,INDEX(Symboles!$H$6:$H$101,MOD(70+$C41+(-4),$B$3)+1)*E41+INDEX(Symboles!$H$6:$H$101,MOD(70+$C41+(-3),$B$3)+1)*F41+INDEX(Symboles!$H$6:$H$101,MOD(70+$C41+(-2),$B$3)+1)*G41+INDEX(Symboles!$H$6:$H$101,MOD(70+$C41+(-1),$B$3)+1)*H41+INDEX(Symboles!$H$6:$H$101,MOD(70+$C41+(0),$B$3)+1)*I41+INDEX(Symboles!$H$6:$H$101,MOD(70+$C41+(1),$B$3)+1)*J41+INDEX(Symboles!$H$6:$H$101,MOD(70+$C41+(2),$B$3)+1)*K41+INDEX(Symboles!$H$6:$H$101,MOD(70+$C41+(3),$B$3)+1)*L41+INDEX(Symboles!$H$6:$H$101,MOD(70+$C41+(4),$B$3)+1)*M41+IF($B$6=0,0,$B$6*NORMSINV(0.000001+0.999998*RAND())))</f>
        <v/>
      </c>
      <c r="GB41" s="30">
        <f>IF(72&gt;$B$3,99,INDEX(Symboles!$H$6:$H$101,MOD(71+$C41+(-4),$B$3)+1)*E41+INDEX(Symboles!$H$6:$H$101,MOD(71+$C41+(-3),$B$3)+1)*F41+INDEX(Symboles!$H$6:$H$101,MOD(71+$C41+(-2),$B$3)+1)*G41+INDEX(Symboles!$H$6:$H$101,MOD(71+$C41+(-1),$B$3)+1)*H41+INDEX(Symboles!$H$6:$H$101,MOD(71+$C41+(0),$B$3)+1)*I41+INDEX(Symboles!$H$6:$H$101,MOD(71+$C41+(1),$B$3)+1)*J41+INDEX(Symboles!$H$6:$H$101,MOD(71+$C41+(2),$B$3)+1)*K41+INDEX(Symboles!$H$6:$H$101,MOD(71+$C41+(3),$B$3)+1)*L41+INDEX(Symboles!$H$6:$H$101,MOD(71+$C41+(4),$B$3)+1)*M41+IF($B$6=0,0,$B$6*NORMSINV(0.000001+0.999998*RAND())))</f>
        <v/>
      </c>
      <c r="GC41" s="30">
        <f>IF(73&gt;$B$3,99,INDEX(Symboles!$H$6:$H$101,MOD(72+$C41+(-4),$B$3)+1)*E41+INDEX(Symboles!$H$6:$H$101,MOD(72+$C41+(-3),$B$3)+1)*F41+INDEX(Symboles!$H$6:$H$101,MOD(72+$C41+(-2),$B$3)+1)*G41+INDEX(Symboles!$H$6:$H$101,MOD(72+$C41+(-1),$B$3)+1)*H41+INDEX(Symboles!$H$6:$H$101,MOD(72+$C41+(0),$B$3)+1)*I41+INDEX(Symboles!$H$6:$H$101,MOD(72+$C41+(1),$B$3)+1)*J41+INDEX(Symboles!$H$6:$H$101,MOD(72+$C41+(2),$B$3)+1)*K41+INDEX(Symboles!$H$6:$H$101,MOD(72+$C41+(3),$B$3)+1)*L41+INDEX(Symboles!$H$6:$H$101,MOD(72+$C41+(4),$B$3)+1)*M41+IF($B$6=0,0,$B$6*NORMSINV(0.000001+0.999998*RAND())))</f>
        <v/>
      </c>
      <c r="GD41" s="30">
        <f>IF(74&gt;$B$3,99,INDEX(Symboles!$H$6:$H$101,MOD(73+$C41+(-4),$B$3)+1)*E41+INDEX(Symboles!$H$6:$H$101,MOD(73+$C41+(-3),$B$3)+1)*F41+INDEX(Symboles!$H$6:$H$101,MOD(73+$C41+(-2),$B$3)+1)*G41+INDEX(Symboles!$H$6:$H$101,MOD(73+$C41+(-1),$B$3)+1)*H41+INDEX(Symboles!$H$6:$H$101,MOD(73+$C41+(0),$B$3)+1)*I41+INDEX(Symboles!$H$6:$H$101,MOD(73+$C41+(1),$B$3)+1)*J41+INDEX(Symboles!$H$6:$H$101,MOD(73+$C41+(2),$B$3)+1)*K41+INDEX(Symboles!$H$6:$H$101,MOD(73+$C41+(3),$B$3)+1)*L41+INDEX(Symboles!$H$6:$H$101,MOD(73+$C41+(4),$B$3)+1)*M41+IF($B$6=0,0,$B$6*NORMSINV(0.000001+0.999998*RAND())))</f>
        <v/>
      </c>
      <c r="GE41" s="30">
        <f>IF(75&gt;$B$3,99,INDEX(Symboles!$H$6:$H$101,MOD(74+$C41+(-4),$B$3)+1)*E41+INDEX(Symboles!$H$6:$H$101,MOD(74+$C41+(-3),$B$3)+1)*F41+INDEX(Symboles!$H$6:$H$101,MOD(74+$C41+(-2),$B$3)+1)*G41+INDEX(Symboles!$H$6:$H$101,MOD(74+$C41+(-1),$B$3)+1)*H41+INDEX(Symboles!$H$6:$H$101,MOD(74+$C41+(0),$B$3)+1)*I41+INDEX(Symboles!$H$6:$H$101,MOD(74+$C41+(1),$B$3)+1)*J41+INDEX(Symboles!$H$6:$H$101,MOD(74+$C41+(2),$B$3)+1)*K41+INDEX(Symboles!$H$6:$H$101,MOD(74+$C41+(3),$B$3)+1)*L41+INDEX(Symboles!$H$6:$H$101,MOD(74+$C41+(4),$B$3)+1)*M41+IF($B$6=0,0,$B$6*NORMSINV(0.000001+0.999998*RAND())))</f>
        <v/>
      </c>
      <c r="GF41" s="30">
        <f>IF(76&gt;$B$3,99,INDEX(Symboles!$H$6:$H$101,MOD(75+$C41+(-4),$B$3)+1)*E41+INDEX(Symboles!$H$6:$H$101,MOD(75+$C41+(-3),$B$3)+1)*F41+INDEX(Symboles!$H$6:$H$101,MOD(75+$C41+(-2),$B$3)+1)*G41+INDEX(Symboles!$H$6:$H$101,MOD(75+$C41+(-1),$B$3)+1)*H41+INDEX(Symboles!$H$6:$H$101,MOD(75+$C41+(0),$B$3)+1)*I41+INDEX(Symboles!$H$6:$H$101,MOD(75+$C41+(1),$B$3)+1)*J41+INDEX(Symboles!$H$6:$H$101,MOD(75+$C41+(2),$B$3)+1)*K41+INDEX(Symboles!$H$6:$H$101,MOD(75+$C41+(3),$B$3)+1)*L41+INDEX(Symboles!$H$6:$H$101,MOD(75+$C41+(4),$B$3)+1)*M41+IF($B$6=0,0,$B$6*NORMSINV(0.000001+0.999998*RAND())))</f>
        <v/>
      </c>
      <c r="GG41" s="30">
        <f>IF(77&gt;$B$3,99,INDEX(Symboles!$H$6:$H$101,MOD(76+$C41+(-4),$B$3)+1)*E41+INDEX(Symboles!$H$6:$H$101,MOD(76+$C41+(-3),$B$3)+1)*F41+INDEX(Symboles!$H$6:$H$101,MOD(76+$C41+(-2),$B$3)+1)*G41+INDEX(Symboles!$H$6:$H$101,MOD(76+$C41+(-1),$B$3)+1)*H41+INDEX(Symboles!$H$6:$H$101,MOD(76+$C41+(0),$B$3)+1)*I41+INDEX(Symboles!$H$6:$H$101,MOD(76+$C41+(1),$B$3)+1)*J41+INDEX(Symboles!$H$6:$H$101,MOD(76+$C41+(2),$B$3)+1)*K41+INDEX(Symboles!$H$6:$H$101,MOD(76+$C41+(3),$B$3)+1)*L41+INDEX(Symboles!$H$6:$H$101,MOD(76+$C41+(4),$B$3)+1)*M41+IF($B$6=0,0,$B$6*NORMSINV(0.000001+0.999998*RAND())))</f>
        <v/>
      </c>
      <c r="GH41" s="30">
        <f>IF(78&gt;$B$3,99,INDEX(Symboles!$H$6:$H$101,MOD(77+$C41+(-4),$B$3)+1)*E41+INDEX(Symboles!$H$6:$H$101,MOD(77+$C41+(-3),$B$3)+1)*F41+INDEX(Symboles!$H$6:$H$101,MOD(77+$C41+(-2),$B$3)+1)*G41+INDEX(Symboles!$H$6:$H$101,MOD(77+$C41+(-1),$B$3)+1)*H41+INDEX(Symboles!$H$6:$H$101,MOD(77+$C41+(0),$B$3)+1)*I41+INDEX(Symboles!$H$6:$H$101,MOD(77+$C41+(1),$B$3)+1)*J41+INDEX(Symboles!$H$6:$H$101,MOD(77+$C41+(2),$B$3)+1)*K41+INDEX(Symboles!$H$6:$H$101,MOD(77+$C41+(3),$B$3)+1)*L41+INDEX(Symboles!$H$6:$H$101,MOD(77+$C41+(4),$B$3)+1)*M41+IF($B$6=0,0,$B$6*NORMSINV(0.000001+0.999998*RAND())))</f>
        <v/>
      </c>
      <c r="GI41" s="30">
        <f>IF(79&gt;$B$3,99,INDEX(Symboles!$H$6:$H$101,MOD(78+$C41+(-4),$B$3)+1)*E41+INDEX(Symboles!$H$6:$H$101,MOD(78+$C41+(-3),$B$3)+1)*F41+INDEX(Symboles!$H$6:$H$101,MOD(78+$C41+(-2),$B$3)+1)*G41+INDEX(Symboles!$H$6:$H$101,MOD(78+$C41+(-1),$B$3)+1)*H41+INDEX(Symboles!$H$6:$H$101,MOD(78+$C41+(0),$B$3)+1)*I41+INDEX(Symboles!$H$6:$H$101,MOD(78+$C41+(1),$B$3)+1)*J41+INDEX(Symboles!$H$6:$H$101,MOD(78+$C41+(2),$B$3)+1)*K41+INDEX(Symboles!$H$6:$H$101,MOD(78+$C41+(3),$B$3)+1)*L41+INDEX(Symboles!$H$6:$H$101,MOD(78+$C41+(4),$B$3)+1)*M41+IF($B$6=0,0,$B$6*NORMSINV(0.000001+0.999998*RAND())))</f>
        <v/>
      </c>
      <c r="GJ41" s="30">
        <f>IF(80&gt;$B$3,99,INDEX(Symboles!$H$6:$H$101,MOD(79+$C41+(-4),$B$3)+1)*E41+INDEX(Symboles!$H$6:$H$101,MOD(79+$C41+(-3),$B$3)+1)*F41+INDEX(Symboles!$H$6:$H$101,MOD(79+$C41+(-2),$B$3)+1)*G41+INDEX(Symboles!$H$6:$H$101,MOD(79+$C41+(-1),$B$3)+1)*H41+INDEX(Symboles!$H$6:$H$101,MOD(79+$C41+(0),$B$3)+1)*I41+INDEX(Symboles!$H$6:$H$101,MOD(79+$C41+(1),$B$3)+1)*J41+INDEX(Symboles!$H$6:$H$101,MOD(79+$C41+(2),$B$3)+1)*K41+INDEX(Symboles!$H$6:$H$101,MOD(79+$C41+(3),$B$3)+1)*L41+INDEX(Symboles!$H$6:$H$101,MOD(79+$C41+(4),$B$3)+1)*M41+IF($B$6=0,0,$B$6*NORMSINV(0.000001+0.999998*RAND())))</f>
        <v/>
      </c>
      <c r="GK41" s="30">
        <f>IF(81&gt;$B$3,99,INDEX(Symboles!$H$6:$H$101,MOD(80+$C41+(-4),$B$3)+1)*E41+INDEX(Symboles!$H$6:$H$101,MOD(80+$C41+(-3),$B$3)+1)*F41+INDEX(Symboles!$H$6:$H$101,MOD(80+$C41+(-2),$B$3)+1)*G41+INDEX(Symboles!$H$6:$H$101,MOD(80+$C41+(-1),$B$3)+1)*H41+INDEX(Symboles!$H$6:$H$101,MOD(80+$C41+(0),$B$3)+1)*I41+INDEX(Symboles!$H$6:$H$101,MOD(80+$C41+(1),$B$3)+1)*J41+INDEX(Symboles!$H$6:$H$101,MOD(80+$C41+(2),$B$3)+1)*K41+INDEX(Symboles!$H$6:$H$101,MOD(80+$C41+(3),$B$3)+1)*L41+INDEX(Symboles!$H$6:$H$101,MOD(80+$C41+(4),$B$3)+1)*M41+IF($B$6=0,0,$B$6*NORMSINV(0.000001+0.999998*RAND())))</f>
        <v/>
      </c>
      <c r="GL41" s="30">
        <f>IF(82&gt;$B$3,99,INDEX(Symboles!$H$6:$H$101,MOD(81+$C41+(-4),$B$3)+1)*E41+INDEX(Symboles!$H$6:$H$101,MOD(81+$C41+(-3),$B$3)+1)*F41+INDEX(Symboles!$H$6:$H$101,MOD(81+$C41+(-2),$B$3)+1)*G41+INDEX(Symboles!$H$6:$H$101,MOD(81+$C41+(-1),$B$3)+1)*H41+INDEX(Symboles!$H$6:$H$101,MOD(81+$C41+(0),$B$3)+1)*I41+INDEX(Symboles!$H$6:$H$101,MOD(81+$C41+(1),$B$3)+1)*J41+INDEX(Symboles!$H$6:$H$101,MOD(81+$C41+(2),$B$3)+1)*K41+INDEX(Symboles!$H$6:$H$101,MOD(81+$C41+(3),$B$3)+1)*L41+INDEX(Symboles!$H$6:$H$101,MOD(81+$C41+(4),$B$3)+1)*M41+IF($B$6=0,0,$B$6*NORMSINV(0.000001+0.999998*RAND())))</f>
        <v/>
      </c>
      <c r="GM41" s="30">
        <f>IF(83&gt;$B$3,99,INDEX(Symboles!$H$6:$H$101,MOD(82+$C41+(-4),$B$3)+1)*E41+INDEX(Symboles!$H$6:$H$101,MOD(82+$C41+(-3),$B$3)+1)*F41+INDEX(Symboles!$H$6:$H$101,MOD(82+$C41+(-2),$B$3)+1)*G41+INDEX(Symboles!$H$6:$H$101,MOD(82+$C41+(-1),$B$3)+1)*H41+INDEX(Symboles!$H$6:$H$101,MOD(82+$C41+(0),$B$3)+1)*I41+INDEX(Symboles!$H$6:$H$101,MOD(82+$C41+(1),$B$3)+1)*J41+INDEX(Symboles!$H$6:$H$101,MOD(82+$C41+(2),$B$3)+1)*K41+INDEX(Symboles!$H$6:$H$101,MOD(82+$C41+(3),$B$3)+1)*L41+INDEX(Symboles!$H$6:$H$101,MOD(82+$C41+(4),$B$3)+1)*M41+IF($B$6=0,0,$B$6*NORMSINV(0.000001+0.999998*RAND())))</f>
        <v/>
      </c>
      <c r="GN41" s="30">
        <f>IF(84&gt;$B$3,99,INDEX(Symboles!$H$6:$H$101,MOD(83+$C41+(-4),$B$3)+1)*E41+INDEX(Symboles!$H$6:$H$101,MOD(83+$C41+(-3),$B$3)+1)*F41+INDEX(Symboles!$H$6:$H$101,MOD(83+$C41+(-2),$B$3)+1)*G41+INDEX(Symboles!$H$6:$H$101,MOD(83+$C41+(-1),$B$3)+1)*H41+INDEX(Symboles!$H$6:$H$101,MOD(83+$C41+(0),$B$3)+1)*I41+INDEX(Symboles!$H$6:$H$101,MOD(83+$C41+(1),$B$3)+1)*J41+INDEX(Symboles!$H$6:$H$101,MOD(83+$C41+(2),$B$3)+1)*K41+INDEX(Symboles!$H$6:$H$101,MOD(83+$C41+(3),$B$3)+1)*L41+INDEX(Symboles!$H$6:$H$101,MOD(83+$C41+(4),$B$3)+1)*M41+IF($B$6=0,0,$B$6*NORMSINV(0.000001+0.999998*RAND())))</f>
        <v/>
      </c>
      <c r="GO41" s="30">
        <f>IF(85&gt;$B$3,99,INDEX(Symboles!$H$6:$H$101,MOD(84+$C41+(-4),$B$3)+1)*E41+INDEX(Symboles!$H$6:$H$101,MOD(84+$C41+(-3),$B$3)+1)*F41+INDEX(Symboles!$H$6:$H$101,MOD(84+$C41+(-2),$B$3)+1)*G41+INDEX(Symboles!$H$6:$H$101,MOD(84+$C41+(-1),$B$3)+1)*H41+INDEX(Symboles!$H$6:$H$101,MOD(84+$C41+(0),$B$3)+1)*I41+INDEX(Symboles!$H$6:$H$101,MOD(84+$C41+(1),$B$3)+1)*J41+INDEX(Symboles!$H$6:$H$101,MOD(84+$C41+(2),$B$3)+1)*K41+INDEX(Symboles!$H$6:$H$101,MOD(84+$C41+(3),$B$3)+1)*L41+INDEX(Symboles!$H$6:$H$101,MOD(84+$C41+(4),$B$3)+1)*M41+IF($B$6=0,0,$B$6*NORMSINV(0.000001+0.999998*RAND())))</f>
        <v/>
      </c>
      <c r="GP41" s="30">
        <f>IF(86&gt;$B$3,99,INDEX(Symboles!$H$6:$H$101,MOD(85+$C41+(-4),$B$3)+1)*E41+INDEX(Symboles!$H$6:$H$101,MOD(85+$C41+(-3),$B$3)+1)*F41+INDEX(Symboles!$H$6:$H$101,MOD(85+$C41+(-2),$B$3)+1)*G41+INDEX(Symboles!$H$6:$H$101,MOD(85+$C41+(-1),$B$3)+1)*H41+INDEX(Symboles!$H$6:$H$101,MOD(85+$C41+(0),$B$3)+1)*I41+INDEX(Symboles!$H$6:$H$101,MOD(85+$C41+(1),$B$3)+1)*J41+INDEX(Symboles!$H$6:$H$101,MOD(85+$C41+(2),$B$3)+1)*K41+INDEX(Symboles!$H$6:$H$101,MOD(85+$C41+(3),$B$3)+1)*L41+INDEX(Symboles!$H$6:$H$101,MOD(85+$C41+(4),$B$3)+1)*M41+IF($B$6=0,0,$B$6*NORMSINV(0.000001+0.999998*RAND())))</f>
        <v/>
      </c>
      <c r="GQ41" s="30">
        <f>IF(87&gt;$B$3,99,INDEX(Symboles!$H$6:$H$101,MOD(86+$C41+(-4),$B$3)+1)*E41+INDEX(Symboles!$H$6:$H$101,MOD(86+$C41+(-3),$B$3)+1)*F41+INDEX(Symboles!$H$6:$H$101,MOD(86+$C41+(-2),$B$3)+1)*G41+INDEX(Symboles!$H$6:$H$101,MOD(86+$C41+(-1),$B$3)+1)*H41+INDEX(Symboles!$H$6:$H$101,MOD(86+$C41+(0),$B$3)+1)*I41+INDEX(Symboles!$H$6:$H$101,MOD(86+$C41+(1),$B$3)+1)*J41+INDEX(Symboles!$H$6:$H$101,MOD(86+$C41+(2),$B$3)+1)*K41+INDEX(Symboles!$H$6:$H$101,MOD(86+$C41+(3),$B$3)+1)*L41+INDEX(Symboles!$H$6:$H$101,MOD(86+$C41+(4),$B$3)+1)*M41+IF($B$6=0,0,$B$6*NORMSINV(0.000001+0.999998*RAND())))</f>
        <v/>
      </c>
      <c r="GR41" s="30">
        <f>IF(88&gt;$B$3,99,INDEX(Symboles!$H$6:$H$101,MOD(87+$C41+(-4),$B$3)+1)*E41+INDEX(Symboles!$H$6:$H$101,MOD(87+$C41+(-3),$B$3)+1)*F41+INDEX(Symboles!$H$6:$H$101,MOD(87+$C41+(-2),$B$3)+1)*G41+INDEX(Symboles!$H$6:$H$101,MOD(87+$C41+(-1),$B$3)+1)*H41+INDEX(Symboles!$H$6:$H$101,MOD(87+$C41+(0),$B$3)+1)*I41+INDEX(Symboles!$H$6:$H$101,MOD(87+$C41+(1),$B$3)+1)*J41+INDEX(Symboles!$H$6:$H$101,MOD(87+$C41+(2),$B$3)+1)*K41+INDEX(Symboles!$H$6:$H$101,MOD(87+$C41+(3),$B$3)+1)*L41+INDEX(Symboles!$H$6:$H$101,MOD(87+$C41+(4),$B$3)+1)*M41+IF($B$6=0,0,$B$6*NORMSINV(0.000001+0.999998*RAND())))</f>
        <v/>
      </c>
      <c r="GS41" s="30">
        <f>IF(89&gt;$B$3,99,INDEX(Symboles!$H$6:$H$101,MOD(88+$C41+(-4),$B$3)+1)*E41+INDEX(Symboles!$H$6:$H$101,MOD(88+$C41+(-3),$B$3)+1)*F41+INDEX(Symboles!$H$6:$H$101,MOD(88+$C41+(-2),$B$3)+1)*G41+INDEX(Symboles!$H$6:$H$101,MOD(88+$C41+(-1),$B$3)+1)*H41+INDEX(Symboles!$H$6:$H$101,MOD(88+$C41+(0),$B$3)+1)*I41+INDEX(Symboles!$H$6:$H$101,MOD(88+$C41+(1),$B$3)+1)*J41+INDEX(Symboles!$H$6:$H$101,MOD(88+$C41+(2),$B$3)+1)*K41+INDEX(Symboles!$H$6:$H$101,MOD(88+$C41+(3),$B$3)+1)*L41+INDEX(Symboles!$H$6:$H$101,MOD(88+$C41+(4),$B$3)+1)*M41+IF($B$6=0,0,$B$6*NORMSINV(0.000001+0.999998*RAND())))</f>
        <v/>
      </c>
      <c r="GT41" s="30">
        <f>IF(90&gt;$B$3,99,INDEX(Symboles!$H$6:$H$101,MOD(89+$C41+(-4),$B$3)+1)*E41+INDEX(Symboles!$H$6:$H$101,MOD(89+$C41+(-3),$B$3)+1)*F41+INDEX(Symboles!$H$6:$H$101,MOD(89+$C41+(-2),$B$3)+1)*G41+INDEX(Symboles!$H$6:$H$101,MOD(89+$C41+(-1),$B$3)+1)*H41+INDEX(Symboles!$H$6:$H$101,MOD(89+$C41+(0),$B$3)+1)*I41+INDEX(Symboles!$H$6:$H$101,MOD(89+$C41+(1),$B$3)+1)*J41+INDEX(Symboles!$H$6:$H$101,MOD(89+$C41+(2),$B$3)+1)*K41+INDEX(Symboles!$H$6:$H$101,MOD(89+$C41+(3),$B$3)+1)*L41+INDEX(Symboles!$H$6:$H$101,MOD(89+$C41+(4),$B$3)+1)*M41+IF($B$6=0,0,$B$6*NORMSINV(0.000001+0.999998*RAND())))</f>
        <v/>
      </c>
      <c r="GU41" s="30">
        <f>IF(91&gt;$B$3,99,INDEX(Symboles!$H$6:$H$101,MOD(90+$C41+(-4),$B$3)+1)*E41+INDEX(Symboles!$H$6:$H$101,MOD(90+$C41+(-3),$B$3)+1)*F41+INDEX(Symboles!$H$6:$H$101,MOD(90+$C41+(-2),$B$3)+1)*G41+INDEX(Symboles!$H$6:$H$101,MOD(90+$C41+(-1),$B$3)+1)*H41+INDEX(Symboles!$H$6:$H$101,MOD(90+$C41+(0),$B$3)+1)*I41+INDEX(Symboles!$H$6:$H$101,MOD(90+$C41+(1),$B$3)+1)*J41+INDEX(Symboles!$H$6:$H$101,MOD(90+$C41+(2),$B$3)+1)*K41+INDEX(Symboles!$H$6:$H$101,MOD(90+$C41+(3),$B$3)+1)*L41+INDEX(Symboles!$H$6:$H$101,MOD(90+$C41+(4),$B$3)+1)*M41+IF($B$6=0,0,$B$6*NORMSINV(0.000001+0.999998*RAND())))</f>
        <v/>
      </c>
      <c r="GV41" s="30">
        <f>IF(92&gt;$B$3,99,INDEX(Symboles!$H$6:$H$101,MOD(91+$C41+(-4),$B$3)+1)*E41+INDEX(Symboles!$H$6:$H$101,MOD(91+$C41+(-3),$B$3)+1)*F41+INDEX(Symboles!$H$6:$H$101,MOD(91+$C41+(-2),$B$3)+1)*G41+INDEX(Symboles!$H$6:$H$101,MOD(91+$C41+(-1),$B$3)+1)*H41+INDEX(Symboles!$H$6:$H$101,MOD(91+$C41+(0),$B$3)+1)*I41+INDEX(Symboles!$H$6:$H$101,MOD(91+$C41+(1),$B$3)+1)*J41+INDEX(Symboles!$H$6:$H$101,MOD(91+$C41+(2),$B$3)+1)*K41+INDEX(Symboles!$H$6:$H$101,MOD(91+$C41+(3),$B$3)+1)*L41+INDEX(Symboles!$H$6:$H$101,MOD(91+$C41+(4),$B$3)+1)*M41+IF($B$6=0,0,$B$6*NORMSINV(0.000001+0.999998*RAND())))</f>
        <v/>
      </c>
      <c r="GW41" s="30">
        <f>IF(93&gt;$B$3,99,INDEX(Symboles!$H$6:$H$101,MOD(92+$C41+(-4),$B$3)+1)*E41+INDEX(Symboles!$H$6:$H$101,MOD(92+$C41+(-3),$B$3)+1)*F41+INDEX(Symboles!$H$6:$H$101,MOD(92+$C41+(-2),$B$3)+1)*G41+INDEX(Symboles!$H$6:$H$101,MOD(92+$C41+(-1),$B$3)+1)*H41+INDEX(Symboles!$H$6:$H$101,MOD(92+$C41+(0),$B$3)+1)*I41+INDEX(Symboles!$H$6:$H$101,MOD(92+$C41+(1),$B$3)+1)*J41+INDEX(Symboles!$H$6:$H$101,MOD(92+$C41+(2),$B$3)+1)*K41+INDEX(Symboles!$H$6:$H$101,MOD(92+$C41+(3),$B$3)+1)*L41+INDEX(Symboles!$H$6:$H$101,MOD(92+$C41+(4),$B$3)+1)*M41+IF($B$6=0,0,$B$6*NORMSINV(0.000001+0.999998*RAND())))</f>
        <v/>
      </c>
      <c r="GX41" s="30">
        <f>IF(94&gt;$B$3,99,INDEX(Symboles!$H$6:$H$101,MOD(93+$C41+(-4),$B$3)+1)*E41+INDEX(Symboles!$H$6:$H$101,MOD(93+$C41+(-3),$B$3)+1)*F41+INDEX(Symboles!$H$6:$H$101,MOD(93+$C41+(-2),$B$3)+1)*G41+INDEX(Symboles!$H$6:$H$101,MOD(93+$C41+(-1),$B$3)+1)*H41+INDEX(Symboles!$H$6:$H$101,MOD(93+$C41+(0),$B$3)+1)*I41+INDEX(Symboles!$H$6:$H$101,MOD(93+$C41+(1),$B$3)+1)*J41+INDEX(Symboles!$H$6:$H$101,MOD(93+$C41+(2),$B$3)+1)*K41+INDEX(Symboles!$H$6:$H$101,MOD(93+$C41+(3),$B$3)+1)*L41+INDEX(Symboles!$H$6:$H$101,MOD(93+$C41+(4),$B$3)+1)*M41+IF($B$6=0,0,$B$6*NORMSINV(0.000001+0.999998*RAND())))</f>
        <v/>
      </c>
      <c r="GY41" s="30">
        <f>IF(95&gt;$B$3,99,INDEX(Symboles!$H$6:$H$101,MOD(94+$C41+(-4),$B$3)+1)*E41+INDEX(Symboles!$H$6:$H$101,MOD(94+$C41+(-3),$B$3)+1)*F41+INDEX(Symboles!$H$6:$H$101,MOD(94+$C41+(-2),$B$3)+1)*G41+INDEX(Symboles!$H$6:$H$101,MOD(94+$C41+(-1),$B$3)+1)*H41+INDEX(Symboles!$H$6:$H$101,MOD(94+$C41+(0),$B$3)+1)*I41+INDEX(Symboles!$H$6:$H$101,MOD(94+$C41+(1),$B$3)+1)*J41+INDEX(Symboles!$H$6:$H$101,MOD(94+$C41+(2),$B$3)+1)*K41+INDEX(Symboles!$H$6:$H$101,MOD(94+$C41+(3),$B$3)+1)*L41+INDEX(Symboles!$H$6:$H$101,MOD(94+$C41+(4),$B$3)+1)*M41+IF($B$6=0,0,$B$6*NORMSINV(0.000001+0.999998*RAND())))</f>
        <v/>
      </c>
      <c r="GZ41" s="30">
        <f>IF(96&gt;$B$3,99,INDEX(Symboles!$H$6:$H$101,MOD(95+$C41+(-4),$B$3)+1)*E41+INDEX(Symboles!$H$6:$H$101,MOD(95+$C41+(-3),$B$3)+1)*F41+INDEX(Symboles!$H$6:$H$101,MOD(95+$C41+(-2),$B$3)+1)*G41+INDEX(Symboles!$H$6:$H$101,MOD(95+$C41+(-1),$B$3)+1)*H41+INDEX(Symboles!$H$6:$H$101,MOD(95+$C41+(0),$B$3)+1)*I41+INDEX(Symboles!$H$6:$H$101,MOD(95+$C41+(1),$B$3)+1)*J41+INDEX(Symboles!$H$6:$H$101,MOD(95+$C41+(2),$B$3)+1)*K41+INDEX(Symboles!$H$6:$H$101,MOD(95+$C41+(3),$B$3)+1)*L41+INDEX(Symboles!$H$6:$H$101,MOD(95+$C41+(4),$B$3)+1)*M41+IF($B$6=0,0,$B$6*NORMSINV(0.000001+0.999998*RAND())))</f>
        <v/>
      </c>
    </row>
    <row r="42">
      <c r="A42" s="28" t="n">
        <v>32</v>
      </c>
      <c r="B42" s="28" t="n">
        <v>1</v>
      </c>
      <c r="C42" s="28" t="n">
        <v>1</v>
      </c>
      <c r="D42" s="28" t="n">
        <v>8</v>
      </c>
      <c r="E42" s="29">
        <f>IF($B$4=1,0,IF(ABS(1-(2*$B$5*4.0)^2)&lt;0.000001,PI()/4*SIN(PI()/(2*$B$5))/(PI()/(2*$B$5)),SIN(PI()*4.0)/(PI()*4.0)*COS(PI()*$B$5*4.0)/(1-(2*$B$5*4.0)^2)))</f>
        <v/>
      </c>
      <c r="F42" s="29">
        <f>IF($B$4=1,0,IF(ABS(1-(2*$B$5*3.0)^2)&lt;0.000001,PI()/4*SIN(PI()/(2*$B$5))/(PI()/(2*$B$5)),SIN(PI()*3.0)/(PI()*3.0)*COS(PI()*$B$5*3.0)/(1-(2*$B$5*3.0)^2)))</f>
        <v/>
      </c>
      <c r="G42" s="29">
        <f>IF($B$4=1,0,IF(ABS(1-(2*$B$5*2.0)^2)&lt;0.000001,PI()/4*SIN(PI()/(2*$B$5))/(PI()/(2*$B$5)),SIN(PI()*2.0)/(PI()*2.0)*COS(PI()*$B$5*2.0)/(1-(2*$B$5*2.0)^2)))</f>
        <v/>
      </c>
      <c r="H42" s="29">
        <f>IF($B$4=1,0,IF(ABS(1-(2*$B$5*1.0)^2)&lt;0.000001,PI()/4*SIN(PI()/(2*$B$5))/(PI()/(2*$B$5)),SIN(PI()*1.0)/(PI()*1.0)*COS(PI()*$B$5*1.0)/(1-(2*$B$5*1.0)^2)))</f>
        <v/>
      </c>
      <c r="I42" s="29">
        <f>IF($B$4=1,1,1)</f>
        <v/>
      </c>
      <c r="J42" s="29">
        <f>IF($B$4=1,0,IF(ABS(1-(2*$B$5*-1.0)^2)&lt;0.000001,PI()/4*SIN(PI()/(2*$B$5))/(PI()/(2*$B$5)),SIN(PI()*-1.0)/(PI()*-1.0)*COS(PI()*$B$5*-1.0)/(1-(2*$B$5*-1.0)^2)))</f>
        <v/>
      </c>
      <c r="K42" s="29">
        <f>IF($B$4=1,0,IF(ABS(1-(2*$B$5*-2.0)^2)&lt;0.000001,PI()/4*SIN(PI()/(2*$B$5))/(PI()/(2*$B$5)),SIN(PI()*-2.0)/(PI()*-2.0)*COS(PI()*$B$5*-2.0)/(1-(2*$B$5*-2.0)^2)))</f>
        <v/>
      </c>
      <c r="L42" s="29">
        <f>IF($B$4=1,0,IF(ABS(1-(2*$B$5*-3.0)^2)&lt;0.000001,PI()/4*SIN(PI()/(2*$B$5))/(PI()/(2*$B$5)),SIN(PI()*-3.0)/(PI()*-3.0)*COS(PI()*$B$5*-3.0)/(1-(2*$B$5*-3.0)^2)))</f>
        <v/>
      </c>
      <c r="M42" s="29">
        <f>IF($B$4=1,0,IF(ABS(1-(2*$B$5*-4.0)^2)&lt;0.000001,PI()/4*SIN(PI()/(2*$B$5))/(PI()/(2*$B$5)),SIN(PI()*-4.0)/(PI()*-4.0)*COS(PI()*$B$5*-4.0)/(1-(2*$B$5*-4.0)^2)))</f>
        <v/>
      </c>
      <c r="P42" s="30">
        <f>IF(1&gt;$B$3,99,INDEX(Symboles!$G$6:$G$101,MOD(0+$C42+(-4),$B$3)+1)*E42+INDEX(Symboles!$G$6:$G$101,MOD(0+$C42+(-3),$B$3)+1)*F42+INDEX(Symboles!$G$6:$G$101,MOD(0+$C42+(-2),$B$3)+1)*G42+INDEX(Symboles!$G$6:$G$101,MOD(0+$C42+(-1),$B$3)+1)*H42+INDEX(Symboles!$G$6:$G$101,MOD(0+$C42+(0),$B$3)+1)*I42+INDEX(Symboles!$G$6:$G$101,MOD(0+$C42+(1),$B$3)+1)*J42+INDEX(Symboles!$G$6:$G$101,MOD(0+$C42+(2),$B$3)+1)*K42+INDEX(Symboles!$G$6:$G$101,MOD(0+$C42+(3),$B$3)+1)*L42+INDEX(Symboles!$G$6:$G$101,MOD(0+$C42+(4),$B$3)+1)*M42+IF($B$6=0,0,$B$6*NORMSINV(0.000001+0.999998*RAND())))</f>
        <v/>
      </c>
      <c r="Q42" s="30">
        <f>IF(2&gt;$B$3,99,INDEX(Symboles!$G$6:$G$101,MOD(1+$C42+(-4),$B$3)+1)*E42+INDEX(Symboles!$G$6:$G$101,MOD(1+$C42+(-3),$B$3)+1)*F42+INDEX(Symboles!$G$6:$G$101,MOD(1+$C42+(-2),$B$3)+1)*G42+INDEX(Symboles!$G$6:$G$101,MOD(1+$C42+(-1),$B$3)+1)*H42+INDEX(Symboles!$G$6:$G$101,MOD(1+$C42+(0),$B$3)+1)*I42+INDEX(Symboles!$G$6:$G$101,MOD(1+$C42+(1),$B$3)+1)*J42+INDEX(Symboles!$G$6:$G$101,MOD(1+$C42+(2),$B$3)+1)*K42+INDEX(Symboles!$G$6:$G$101,MOD(1+$C42+(3),$B$3)+1)*L42+INDEX(Symboles!$G$6:$G$101,MOD(1+$C42+(4),$B$3)+1)*M42+IF($B$6=0,0,$B$6*NORMSINV(0.000001+0.999998*RAND())))</f>
        <v/>
      </c>
      <c r="R42" s="30">
        <f>IF(3&gt;$B$3,99,INDEX(Symboles!$G$6:$G$101,MOD(2+$C42+(-4),$B$3)+1)*E42+INDEX(Symboles!$G$6:$G$101,MOD(2+$C42+(-3),$B$3)+1)*F42+INDEX(Symboles!$G$6:$G$101,MOD(2+$C42+(-2),$B$3)+1)*G42+INDEX(Symboles!$G$6:$G$101,MOD(2+$C42+(-1),$B$3)+1)*H42+INDEX(Symboles!$G$6:$G$101,MOD(2+$C42+(0),$B$3)+1)*I42+INDEX(Symboles!$G$6:$G$101,MOD(2+$C42+(1),$B$3)+1)*J42+INDEX(Symboles!$G$6:$G$101,MOD(2+$C42+(2),$B$3)+1)*K42+INDEX(Symboles!$G$6:$G$101,MOD(2+$C42+(3),$B$3)+1)*L42+INDEX(Symboles!$G$6:$G$101,MOD(2+$C42+(4),$B$3)+1)*M42+IF($B$6=0,0,$B$6*NORMSINV(0.000001+0.999998*RAND())))</f>
        <v/>
      </c>
      <c r="S42" s="30">
        <f>IF(4&gt;$B$3,99,INDEX(Symboles!$G$6:$G$101,MOD(3+$C42+(-4),$B$3)+1)*E42+INDEX(Symboles!$G$6:$G$101,MOD(3+$C42+(-3),$B$3)+1)*F42+INDEX(Symboles!$G$6:$G$101,MOD(3+$C42+(-2),$B$3)+1)*G42+INDEX(Symboles!$G$6:$G$101,MOD(3+$C42+(-1),$B$3)+1)*H42+INDEX(Symboles!$G$6:$G$101,MOD(3+$C42+(0),$B$3)+1)*I42+INDEX(Symboles!$G$6:$G$101,MOD(3+$C42+(1),$B$3)+1)*J42+INDEX(Symboles!$G$6:$G$101,MOD(3+$C42+(2),$B$3)+1)*K42+INDEX(Symboles!$G$6:$G$101,MOD(3+$C42+(3),$B$3)+1)*L42+INDEX(Symboles!$G$6:$G$101,MOD(3+$C42+(4),$B$3)+1)*M42+IF($B$6=0,0,$B$6*NORMSINV(0.000001+0.999998*RAND())))</f>
        <v/>
      </c>
      <c r="T42" s="30">
        <f>IF(5&gt;$B$3,99,INDEX(Symboles!$G$6:$G$101,MOD(4+$C42+(-4),$B$3)+1)*E42+INDEX(Symboles!$G$6:$G$101,MOD(4+$C42+(-3),$B$3)+1)*F42+INDEX(Symboles!$G$6:$G$101,MOD(4+$C42+(-2),$B$3)+1)*G42+INDEX(Symboles!$G$6:$G$101,MOD(4+$C42+(-1),$B$3)+1)*H42+INDEX(Symboles!$G$6:$G$101,MOD(4+$C42+(0),$B$3)+1)*I42+INDEX(Symboles!$G$6:$G$101,MOD(4+$C42+(1),$B$3)+1)*J42+INDEX(Symboles!$G$6:$G$101,MOD(4+$C42+(2),$B$3)+1)*K42+INDEX(Symboles!$G$6:$G$101,MOD(4+$C42+(3),$B$3)+1)*L42+INDEX(Symboles!$G$6:$G$101,MOD(4+$C42+(4),$B$3)+1)*M42+IF($B$6=0,0,$B$6*NORMSINV(0.000001+0.999998*RAND())))</f>
        <v/>
      </c>
      <c r="U42" s="30">
        <f>IF(6&gt;$B$3,99,INDEX(Symboles!$G$6:$G$101,MOD(5+$C42+(-4),$B$3)+1)*E42+INDEX(Symboles!$G$6:$G$101,MOD(5+$C42+(-3),$B$3)+1)*F42+INDEX(Symboles!$G$6:$G$101,MOD(5+$C42+(-2),$B$3)+1)*G42+INDEX(Symboles!$G$6:$G$101,MOD(5+$C42+(-1),$B$3)+1)*H42+INDEX(Symboles!$G$6:$G$101,MOD(5+$C42+(0),$B$3)+1)*I42+INDEX(Symboles!$G$6:$G$101,MOD(5+$C42+(1),$B$3)+1)*J42+INDEX(Symboles!$G$6:$G$101,MOD(5+$C42+(2),$B$3)+1)*K42+INDEX(Symboles!$G$6:$G$101,MOD(5+$C42+(3),$B$3)+1)*L42+INDEX(Symboles!$G$6:$G$101,MOD(5+$C42+(4),$B$3)+1)*M42+IF($B$6=0,0,$B$6*NORMSINV(0.000001+0.999998*RAND())))</f>
        <v/>
      </c>
      <c r="V42" s="30">
        <f>IF(7&gt;$B$3,99,INDEX(Symboles!$G$6:$G$101,MOD(6+$C42+(-4),$B$3)+1)*E42+INDEX(Symboles!$G$6:$G$101,MOD(6+$C42+(-3),$B$3)+1)*F42+INDEX(Symboles!$G$6:$G$101,MOD(6+$C42+(-2),$B$3)+1)*G42+INDEX(Symboles!$G$6:$G$101,MOD(6+$C42+(-1),$B$3)+1)*H42+INDEX(Symboles!$G$6:$G$101,MOD(6+$C42+(0),$B$3)+1)*I42+INDEX(Symboles!$G$6:$G$101,MOD(6+$C42+(1),$B$3)+1)*J42+INDEX(Symboles!$G$6:$G$101,MOD(6+$C42+(2),$B$3)+1)*K42+INDEX(Symboles!$G$6:$G$101,MOD(6+$C42+(3),$B$3)+1)*L42+INDEX(Symboles!$G$6:$G$101,MOD(6+$C42+(4),$B$3)+1)*M42+IF($B$6=0,0,$B$6*NORMSINV(0.000001+0.999998*RAND())))</f>
        <v/>
      </c>
      <c r="W42" s="30">
        <f>IF(8&gt;$B$3,99,INDEX(Symboles!$G$6:$G$101,MOD(7+$C42+(-4),$B$3)+1)*E42+INDEX(Symboles!$G$6:$G$101,MOD(7+$C42+(-3),$B$3)+1)*F42+INDEX(Symboles!$G$6:$G$101,MOD(7+$C42+(-2),$B$3)+1)*G42+INDEX(Symboles!$G$6:$G$101,MOD(7+$C42+(-1),$B$3)+1)*H42+INDEX(Symboles!$G$6:$G$101,MOD(7+$C42+(0),$B$3)+1)*I42+INDEX(Symboles!$G$6:$G$101,MOD(7+$C42+(1),$B$3)+1)*J42+INDEX(Symboles!$G$6:$G$101,MOD(7+$C42+(2),$B$3)+1)*K42+INDEX(Symboles!$G$6:$G$101,MOD(7+$C42+(3),$B$3)+1)*L42+INDEX(Symboles!$G$6:$G$101,MOD(7+$C42+(4),$B$3)+1)*M42+IF($B$6=0,0,$B$6*NORMSINV(0.000001+0.999998*RAND())))</f>
        <v/>
      </c>
      <c r="X42" s="30">
        <f>IF(9&gt;$B$3,99,INDEX(Symboles!$G$6:$G$101,MOD(8+$C42+(-4),$B$3)+1)*E42+INDEX(Symboles!$G$6:$G$101,MOD(8+$C42+(-3),$B$3)+1)*F42+INDEX(Symboles!$G$6:$G$101,MOD(8+$C42+(-2),$B$3)+1)*G42+INDEX(Symboles!$G$6:$G$101,MOD(8+$C42+(-1),$B$3)+1)*H42+INDEX(Symboles!$G$6:$G$101,MOD(8+$C42+(0),$B$3)+1)*I42+INDEX(Symboles!$G$6:$G$101,MOD(8+$C42+(1),$B$3)+1)*J42+INDEX(Symboles!$G$6:$G$101,MOD(8+$C42+(2),$B$3)+1)*K42+INDEX(Symboles!$G$6:$G$101,MOD(8+$C42+(3),$B$3)+1)*L42+INDEX(Symboles!$G$6:$G$101,MOD(8+$C42+(4),$B$3)+1)*M42+IF($B$6=0,0,$B$6*NORMSINV(0.000001+0.999998*RAND())))</f>
        <v/>
      </c>
      <c r="Y42" s="30">
        <f>IF(10&gt;$B$3,99,INDEX(Symboles!$G$6:$G$101,MOD(9+$C42+(-4),$B$3)+1)*E42+INDEX(Symboles!$G$6:$G$101,MOD(9+$C42+(-3),$B$3)+1)*F42+INDEX(Symboles!$G$6:$G$101,MOD(9+$C42+(-2),$B$3)+1)*G42+INDEX(Symboles!$G$6:$G$101,MOD(9+$C42+(-1),$B$3)+1)*H42+INDEX(Symboles!$G$6:$G$101,MOD(9+$C42+(0),$B$3)+1)*I42+INDEX(Symboles!$G$6:$G$101,MOD(9+$C42+(1),$B$3)+1)*J42+INDEX(Symboles!$G$6:$G$101,MOD(9+$C42+(2),$B$3)+1)*K42+INDEX(Symboles!$G$6:$G$101,MOD(9+$C42+(3),$B$3)+1)*L42+INDEX(Symboles!$G$6:$G$101,MOD(9+$C42+(4),$B$3)+1)*M42+IF($B$6=0,0,$B$6*NORMSINV(0.000001+0.999998*RAND())))</f>
        <v/>
      </c>
      <c r="Z42" s="30">
        <f>IF(11&gt;$B$3,99,INDEX(Symboles!$G$6:$G$101,MOD(10+$C42+(-4),$B$3)+1)*E42+INDEX(Symboles!$G$6:$G$101,MOD(10+$C42+(-3),$B$3)+1)*F42+INDEX(Symboles!$G$6:$G$101,MOD(10+$C42+(-2),$B$3)+1)*G42+INDEX(Symboles!$G$6:$G$101,MOD(10+$C42+(-1),$B$3)+1)*H42+INDEX(Symboles!$G$6:$G$101,MOD(10+$C42+(0),$B$3)+1)*I42+INDEX(Symboles!$G$6:$G$101,MOD(10+$C42+(1),$B$3)+1)*J42+INDEX(Symboles!$G$6:$G$101,MOD(10+$C42+(2),$B$3)+1)*K42+INDEX(Symboles!$G$6:$G$101,MOD(10+$C42+(3),$B$3)+1)*L42+INDEX(Symboles!$G$6:$G$101,MOD(10+$C42+(4),$B$3)+1)*M42+IF($B$6=0,0,$B$6*NORMSINV(0.000001+0.999998*RAND())))</f>
        <v/>
      </c>
      <c r="AA42" s="30">
        <f>IF(12&gt;$B$3,99,INDEX(Symboles!$G$6:$G$101,MOD(11+$C42+(-4),$B$3)+1)*E42+INDEX(Symboles!$G$6:$G$101,MOD(11+$C42+(-3),$B$3)+1)*F42+INDEX(Symboles!$G$6:$G$101,MOD(11+$C42+(-2),$B$3)+1)*G42+INDEX(Symboles!$G$6:$G$101,MOD(11+$C42+(-1),$B$3)+1)*H42+INDEX(Symboles!$G$6:$G$101,MOD(11+$C42+(0),$B$3)+1)*I42+INDEX(Symboles!$G$6:$G$101,MOD(11+$C42+(1),$B$3)+1)*J42+INDEX(Symboles!$G$6:$G$101,MOD(11+$C42+(2),$B$3)+1)*K42+INDEX(Symboles!$G$6:$G$101,MOD(11+$C42+(3),$B$3)+1)*L42+INDEX(Symboles!$G$6:$G$101,MOD(11+$C42+(4),$B$3)+1)*M42+IF($B$6=0,0,$B$6*NORMSINV(0.000001+0.999998*RAND())))</f>
        <v/>
      </c>
      <c r="AB42" s="30">
        <f>IF(13&gt;$B$3,99,INDEX(Symboles!$G$6:$G$101,MOD(12+$C42+(-4),$B$3)+1)*E42+INDEX(Symboles!$G$6:$G$101,MOD(12+$C42+(-3),$B$3)+1)*F42+INDEX(Symboles!$G$6:$G$101,MOD(12+$C42+(-2),$B$3)+1)*G42+INDEX(Symboles!$G$6:$G$101,MOD(12+$C42+(-1),$B$3)+1)*H42+INDEX(Symboles!$G$6:$G$101,MOD(12+$C42+(0),$B$3)+1)*I42+INDEX(Symboles!$G$6:$G$101,MOD(12+$C42+(1),$B$3)+1)*J42+INDEX(Symboles!$G$6:$G$101,MOD(12+$C42+(2),$B$3)+1)*K42+INDEX(Symboles!$G$6:$G$101,MOD(12+$C42+(3),$B$3)+1)*L42+INDEX(Symboles!$G$6:$G$101,MOD(12+$C42+(4),$B$3)+1)*M42+IF($B$6=0,0,$B$6*NORMSINV(0.000001+0.999998*RAND())))</f>
        <v/>
      </c>
      <c r="AC42" s="30">
        <f>IF(14&gt;$B$3,99,INDEX(Symboles!$G$6:$G$101,MOD(13+$C42+(-4),$B$3)+1)*E42+INDEX(Symboles!$G$6:$G$101,MOD(13+$C42+(-3),$B$3)+1)*F42+INDEX(Symboles!$G$6:$G$101,MOD(13+$C42+(-2),$B$3)+1)*G42+INDEX(Symboles!$G$6:$G$101,MOD(13+$C42+(-1),$B$3)+1)*H42+INDEX(Symboles!$G$6:$G$101,MOD(13+$C42+(0),$B$3)+1)*I42+INDEX(Symboles!$G$6:$G$101,MOD(13+$C42+(1),$B$3)+1)*J42+INDEX(Symboles!$G$6:$G$101,MOD(13+$C42+(2),$B$3)+1)*K42+INDEX(Symboles!$G$6:$G$101,MOD(13+$C42+(3),$B$3)+1)*L42+INDEX(Symboles!$G$6:$G$101,MOD(13+$C42+(4),$B$3)+1)*M42+IF($B$6=0,0,$B$6*NORMSINV(0.000001+0.999998*RAND())))</f>
        <v/>
      </c>
      <c r="AD42" s="30">
        <f>IF(15&gt;$B$3,99,INDEX(Symboles!$G$6:$G$101,MOD(14+$C42+(-4),$B$3)+1)*E42+INDEX(Symboles!$G$6:$G$101,MOD(14+$C42+(-3),$B$3)+1)*F42+INDEX(Symboles!$G$6:$G$101,MOD(14+$C42+(-2),$B$3)+1)*G42+INDEX(Symboles!$G$6:$G$101,MOD(14+$C42+(-1),$B$3)+1)*H42+INDEX(Symboles!$G$6:$G$101,MOD(14+$C42+(0),$B$3)+1)*I42+INDEX(Symboles!$G$6:$G$101,MOD(14+$C42+(1),$B$3)+1)*J42+INDEX(Symboles!$G$6:$G$101,MOD(14+$C42+(2),$B$3)+1)*K42+INDEX(Symboles!$G$6:$G$101,MOD(14+$C42+(3),$B$3)+1)*L42+INDEX(Symboles!$G$6:$G$101,MOD(14+$C42+(4),$B$3)+1)*M42+IF($B$6=0,0,$B$6*NORMSINV(0.000001+0.999998*RAND())))</f>
        <v/>
      </c>
      <c r="AE42" s="30">
        <f>IF(16&gt;$B$3,99,INDEX(Symboles!$G$6:$G$101,MOD(15+$C42+(-4),$B$3)+1)*E42+INDEX(Symboles!$G$6:$G$101,MOD(15+$C42+(-3),$B$3)+1)*F42+INDEX(Symboles!$G$6:$G$101,MOD(15+$C42+(-2),$B$3)+1)*G42+INDEX(Symboles!$G$6:$G$101,MOD(15+$C42+(-1),$B$3)+1)*H42+INDEX(Symboles!$G$6:$G$101,MOD(15+$C42+(0),$B$3)+1)*I42+INDEX(Symboles!$G$6:$G$101,MOD(15+$C42+(1),$B$3)+1)*J42+INDEX(Symboles!$G$6:$G$101,MOD(15+$C42+(2),$B$3)+1)*K42+INDEX(Symboles!$G$6:$G$101,MOD(15+$C42+(3),$B$3)+1)*L42+INDEX(Symboles!$G$6:$G$101,MOD(15+$C42+(4),$B$3)+1)*M42+IF($B$6=0,0,$B$6*NORMSINV(0.000001+0.999998*RAND())))</f>
        <v/>
      </c>
      <c r="AF42" s="30">
        <f>IF(17&gt;$B$3,99,INDEX(Symboles!$G$6:$G$101,MOD(16+$C42+(-4),$B$3)+1)*E42+INDEX(Symboles!$G$6:$G$101,MOD(16+$C42+(-3),$B$3)+1)*F42+INDEX(Symboles!$G$6:$G$101,MOD(16+$C42+(-2),$B$3)+1)*G42+INDEX(Symboles!$G$6:$G$101,MOD(16+$C42+(-1),$B$3)+1)*H42+INDEX(Symboles!$G$6:$G$101,MOD(16+$C42+(0),$B$3)+1)*I42+INDEX(Symboles!$G$6:$G$101,MOD(16+$C42+(1),$B$3)+1)*J42+INDEX(Symboles!$G$6:$G$101,MOD(16+$C42+(2),$B$3)+1)*K42+INDEX(Symboles!$G$6:$G$101,MOD(16+$C42+(3),$B$3)+1)*L42+INDEX(Symboles!$G$6:$G$101,MOD(16+$C42+(4),$B$3)+1)*M42+IF($B$6=0,0,$B$6*NORMSINV(0.000001+0.999998*RAND())))</f>
        <v/>
      </c>
      <c r="AG42" s="30">
        <f>IF(18&gt;$B$3,99,INDEX(Symboles!$G$6:$G$101,MOD(17+$C42+(-4),$B$3)+1)*E42+INDEX(Symboles!$G$6:$G$101,MOD(17+$C42+(-3),$B$3)+1)*F42+INDEX(Symboles!$G$6:$G$101,MOD(17+$C42+(-2),$B$3)+1)*G42+INDEX(Symboles!$G$6:$G$101,MOD(17+$C42+(-1),$B$3)+1)*H42+INDEX(Symboles!$G$6:$G$101,MOD(17+$C42+(0),$B$3)+1)*I42+INDEX(Symboles!$G$6:$G$101,MOD(17+$C42+(1),$B$3)+1)*J42+INDEX(Symboles!$G$6:$G$101,MOD(17+$C42+(2),$B$3)+1)*K42+INDEX(Symboles!$G$6:$G$101,MOD(17+$C42+(3),$B$3)+1)*L42+INDEX(Symboles!$G$6:$G$101,MOD(17+$C42+(4),$B$3)+1)*M42+IF($B$6=0,0,$B$6*NORMSINV(0.000001+0.999998*RAND())))</f>
        <v/>
      </c>
      <c r="AH42" s="30">
        <f>IF(19&gt;$B$3,99,INDEX(Symboles!$G$6:$G$101,MOD(18+$C42+(-4),$B$3)+1)*E42+INDEX(Symboles!$G$6:$G$101,MOD(18+$C42+(-3),$B$3)+1)*F42+INDEX(Symboles!$G$6:$G$101,MOD(18+$C42+(-2),$B$3)+1)*G42+INDEX(Symboles!$G$6:$G$101,MOD(18+$C42+(-1),$B$3)+1)*H42+INDEX(Symboles!$G$6:$G$101,MOD(18+$C42+(0),$B$3)+1)*I42+INDEX(Symboles!$G$6:$G$101,MOD(18+$C42+(1),$B$3)+1)*J42+INDEX(Symboles!$G$6:$G$101,MOD(18+$C42+(2),$B$3)+1)*K42+INDEX(Symboles!$G$6:$G$101,MOD(18+$C42+(3),$B$3)+1)*L42+INDEX(Symboles!$G$6:$G$101,MOD(18+$C42+(4),$B$3)+1)*M42+IF($B$6=0,0,$B$6*NORMSINV(0.000001+0.999998*RAND())))</f>
        <v/>
      </c>
      <c r="AI42" s="30">
        <f>IF(20&gt;$B$3,99,INDEX(Symboles!$G$6:$G$101,MOD(19+$C42+(-4),$B$3)+1)*E42+INDEX(Symboles!$G$6:$G$101,MOD(19+$C42+(-3),$B$3)+1)*F42+INDEX(Symboles!$G$6:$G$101,MOD(19+$C42+(-2),$B$3)+1)*G42+INDEX(Symboles!$G$6:$G$101,MOD(19+$C42+(-1),$B$3)+1)*H42+INDEX(Symboles!$G$6:$G$101,MOD(19+$C42+(0),$B$3)+1)*I42+INDEX(Symboles!$G$6:$G$101,MOD(19+$C42+(1),$B$3)+1)*J42+INDEX(Symboles!$G$6:$G$101,MOD(19+$C42+(2),$B$3)+1)*K42+INDEX(Symboles!$G$6:$G$101,MOD(19+$C42+(3),$B$3)+1)*L42+INDEX(Symboles!$G$6:$G$101,MOD(19+$C42+(4),$B$3)+1)*M42+IF($B$6=0,0,$B$6*NORMSINV(0.000001+0.999998*RAND())))</f>
        <v/>
      </c>
      <c r="AJ42" s="30">
        <f>IF(21&gt;$B$3,99,INDEX(Symboles!$G$6:$G$101,MOD(20+$C42+(-4),$B$3)+1)*E42+INDEX(Symboles!$G$6:$G$101,MOD(20+$C42+(-3),$B$3)+1)*F42+INDEX(Symboles!$G$6:$G$101,MOD(20+$C42+(-2),$B$3)+1)*G42+INDEX(Symboles!$G$6:$G$101,MOD(20+$C42+(-1),$B$3)+1)*H42+INDEX(Symboles!$G$6:$G$101,MOD(20+$C42+(0),$B$3)+1)*I42+INDEX(Symboles!$G$6:$G$101,MOD(20+$C42+(1),$B$3)+1)*J42+INDEX(Symboles!$G$6:$G$101,MOD(20+$C42+(2),$B$3)+1)*K42+INDEX(Symboles!$G$6:$G$101,MOD(20+$C42+(3),$B$3)+1)*L42+INDEX(Symboles!$G$6:$G$101,MOD(20+$C42+(4),$B$3)+1)*M42+IF($B$6=0,0,$B$6*NORMSINV(0.000001+0.999998*RAND())))</f>
        <v/>
      </c>
      <c r="AK42" s="30">
        <f>IF(22&gt;$B$3,99,INDEX(Symboles!$G$6:$G$101,MOD(21+$C42+(-4),$B$3)+1)*E42+INDEX(Symboles!$G$6:$G$101,MOD(21+$C42+(-3),$B$3)+1)*F42+INDEX(Symboles!$G$6:$G$101,MOD(21+$C42+(-2),$B$3)+1)*G42+INDEX(Symboles!$G$6:$G$101,MOD(21+$C42+(-1),$B$3)+1)*H42+INDEX(Symboles!$G$6:$G$101,MOD(21+$C42+(0),$B$3)+1)*I42+INDEX(Symboles!$G$6:$G$101,MOD(21+$C42+(1),$B$3)+1)*J42+INDEX(Symboles!$G$6:$G$101,MOD(21+$C42+(2),$B$3)+1)*K42+INDEX(Symboles!$G$6:$G$101,MOD(21+$C42+(3),$B$3)+1)*L42+INDEX(Symboles!$G$6:$G$101,MOD(21+$C42+(4),$B$3)+1)*M42+IF($B$6=0,0,$B$6*NORMSINV(0.000001+0.999998*RAND())))</f>
        <v/>
      </c>
      <c r="AL42" s="30">
        <f>IF(23&gt;$B$3,99,INDEX(Symboles!$G$6:$G$101,MOD(22+$C42+(-4),$B$3)+1)*E42+INDEX(Symboles!$G$6:$G$101,MOD(22+$C42+(-3),$B$3)+1)*F42+INDEX(Symboles!$G$6:$G$101,MOD(22+$C42+(-2),$B$3)+1)*G42+INDEX(Symboles!$G$6:$G$101,MOD(22+$C42+(-1),$B$3)+1)*H42+INDEX(Symboles!$G$6:$G$101,MOD(22+$C42+(0),$B$3)+1)*I42+INDEX(Symboles!$G$6:$G$101,MOD(22+$C42+(1),$B$3)+1)*J42+INDEX(Symboles!$G$6:$G$101,MOD(22+$C42+(2),$B$3)+1)*K42+INDEX(Symboles!$G$6:$G$101,MOD(22+$C42+(3),$B$3)+1)*L42+INDEX(Symboles!$G$6:$G$101,MOD(22+$C42+(4),$B$3)+1)*M42+IF($B$6=0,0,$B$6*NORMSINV(0.000001+0.999998*RAND())))</f>
        <v/>
      </c>
      <c r="AM42" s="30">
        <f>IF(24&gt;$B$3,99,INDEX(Symboles!$G$6:$G$101,MOD(23+$C42+(-4),$B$3)+1)*E42+INDEX(Symboles!$G$6:$G$101,MOD(23+$C42+(-3),$B$3)+1)*F42+INDEX(Symboles!$G$6:$G$101,MOD(23+$C42+(-2),$B$3)+1)*G42+INDEX(Symboles!$G$6:$G$101,MOD(23+$C42+(-1),$B$3)+1)*H42+INDEX(Symboles!$G$6:$G$101,MOD(23+$C42+(0),$B$3)+1)*I42+INDEX(Symboles!$G$6:$G$101,MOD(23+$C42+(1),$B$3)+1)*J42+INDEX(Symboles!$G$6:$G$101,MOD(23+$C42+(2),$B$3)+1)*K42+INDEX(Symboles!$G$6:$G$101,MOD(23+$C42+(3),$B$3)+1)*L42+INDEX(Symboles!$G$6:$G$101,MOD(23+$C42+(4),$B$3)+1)*M42+IF($B$6=0,0,$B$6*NORMSINV(0.000001+0.999998*RAND())))</f>
        <v/>
      </c>
      <c r="AN42" s="30">
        <f>IF(25&gt;$B$3,99,INDEX(Symboles!$G$6:$G$101,MOD(24+$C42+(-4),$B$3)+1)*E42+INDEX(Symboles!$G$6:$G$101,MOD(24+$C42+(-3),$B$3)+1)*F42+INDEX(Symboles!$G$6:$G$101,MOD(24+$C42+(-2),$B$3)+1)*G42+INDEX(Symboles!$G$6:$G$101,MOD(24+$C42+(-1),$B$3)+1)*H42+INDEX(Symboles!$G$6:$G$101,MOD(24+$C42+(0),$B$3)+1)*I42+INDEX(Symboles!$G$6:$G$101,MOD(24+$C42+(1),$B$3)+1)*J42+INDEX(Symboles!$G$6:$G$101,MOD(24+$C42+(2),$B$3)+1)*K42+INDEX(Symboles!$G$6:$G$101,MOD(24+$C42+(3),$B$3)+1)*L42+INDEX(Symboles!$G$6:$G$101,MOD(24+$C42+(4),$B$3)+1)*M42+IF($B$6=0,0,$B$6*NORMSINV(0.000001+0.999998*RAND())))</f>
        <v/>
      </c>
      <c r="AO42" s="30">
        <f>IF(26&gt;$B$3,99,INDEX(Symboles!$G$6:$G$101,MOD(25+$C42+(-4),$B$3)+1)*E42+INDEX(Symboles!$G$6:$G$101,MOD(25+$C42+(-3),$B$3)+1)*F42+INDEX(Symboles!$G$6:$G$101,MOD(25+$C42+(-2),$B$3)+1)*G42+INDEX(Symboles!$G$6:$G$101,MOD(25+$C42+(-1),$B$3)+1)*H42+INDEX(Symboles!$G$6:$G$101,MOD(25+$C42+(0),$B$3)+1)*I42+INDEX(Symboles!$G$6:$G$101,MOD(25+$C42+(1),$B$3)+1)*J42+INDEX(Symboles!$G$6:$G$101,MOD(25+$C42+(2),$B$3)+1)*K42+INDEX(Symboles!$G$6:$G$101,MOD(25+$C42+(3),$B$3)+1)*L42+INDEX(Symboles!$G$6:$G$101,MOD(25+$C42+(4),$B$3)+1)*M42+IF($B$6=0,0,$B$6*NORMSINV(0.000001+0.999998*RAND())))</f>
        <v/>
      </c>
      <c r="AP42" s="30">
        <f>IF(27&gt;$B$3,99,INDEX(Symboles!$G$6:$G$101,MOD(26+$C42+(-4),$B$3)+1)*E42+INDEX(Symboles!$G$6:$G$101,MOD(26+$C42+(-3),$B$3)+1)*F42+INDEX(Symboles!$G$6:$G$101,MOD(26+$C42+(-2),$B$3)+1)*G42+INDEX(Symboles!$G$6:$G$101,MOD(26+$C42+(-1),$B$3)+1)*H42+INDEX(Symboles!$G$6:$G$101,MOD(26+$C42+(0),$B$3)+1)*I42+INDEX(Symboles!$G$6:$G$101,MOD(26+$C42+(1),$B$3)+1)*J42+INDEX(Symboles!$G$6:$G$101,MOD(26+$C42+(2),$B$3)+1)*K42+INDEX(Symboles!$G$6:$G$101,MOD(26+$C42+(3),$B$3)+1)*L42+INDEX(Symboles!$G$6:$G$101,MOD(26+$C42+(4),$B$3)+1)*M42+IF($B$6=0,0,$B$6*NORMSINV(0.000001+0.999998*RAND())))</f>
        <v/>
      </c>
      <c r="AQ42" s="30">
        <f>IF(28&gt;$B$3,99,INDEX(Symboles!$G$6:$G$101,MOD(27+$C42+(-4),$B$3)+1)*E42+INDEX(Symboles!$G$6:$G$101,MOD(27+$C42+(-3),$B$3)+1)*F42+INDEX(Symboles!$G$6:$G$101,MOD(27+$C42+(-2),$B$3)+1)*G42+INDEX(Symboles!$G$6:$G$101,MOD(27+$C42+(-1),$B$3)+1)*H42+INDEX(Symboles!$G$6:$G$101,MOD(27+$C42+(0),$B$3)+1)*I42+INDEX(Symboles!$G$6:$G$101,MOD(27+$C42+(1),$B$3)+1)*J42+INDEX(Symboles!$G$6:$G$101,MOD(27+$C42+(2),$B$3)+1)*K42+INDEX(Symboles!$G$6:$G$101,MOD(27+$C42+(3),$B$3)+1)*L42+INDEX(Symboles!$G$6:$G$101,MOD(27+$C42+(4),$B$3)+1)*M42+IF($B$6=0,0,$B$6*NORMSINV(0.000001+0.999998*RAND())))</f>
        <v/>
      </c>
      <c r="AR42" s="30">
        <f>IF(29&gt;$B$3,99,INDEX(Symboles!$G$6:$G$101,MOD(28+$C42+(-4),$B$3)+1)*E42+INDEX(Symboles!$G$6:$G$101,MOD(28+$C42+(-3),$B$3)+1)*F42+INDEX(Symboles!$G$6:$G$101,MOD(28+$C42+(-2),$B$3)+1)*G42+INDEX(Symboles!$G$6:$G$101,MOD(28+$C42+(-1),$B$3)+1)*H42+INDEX(Symboles!$G$6:$G$101,MOD(28+$C42+(0),$B$3)+1)*I42+INDEX(Symboles!$G$6:$G$101,MOD(28+$C42+(1),$B$3)+1)*J42+INDEX(Symboles!$G$6:$G$101,MOD(28+$C42+(2),$B$3)+1)*K42+INDEX(Symboles!$G$6:$G$101,MOD(28+$C42+(3),$B$3)+1)*L42+INDEX(Symboles!$G$6:$G$101,MOD(28+$C42+(4),$B$3)+1)*M42+IF($B$6=0,0,$B$6*NORMSINV(0.000001+0.999998*RAND())))</f>
        <v/>
      </c>
      <c r="AS42" s="30">
        <f>IF(30&gt;$B$3,99,INDEX(Symboles!$G$6:$G$101,MOD(29+$C42+(-4),$B$3)+1)*E42+INDEX(Symboles!$G$6:$G$101,MOD(29+$C42+(-3),$B$3)+1)*F42+INDEX(Symboles!$G$6:$G$101,MOD(29+$C42+(-2),$B$3)+1)*G42+INDEX(Symboles!$G$6:$G$101,MOD(29+$C42+(-1),$B$3)+1)*H42+INDEX(Symboles!$G$6:$G$101,MOD(29+$C42+(0),$B$3)+1)*I42+INDEX(Symboles!$G$6:$G$101,MOD(29+$C42+(1),$B$3)+1)*J42+INDEX(Symboles!$G$6:$G$101,MOD(29+$C42+(2),$B$3)+1)*K42+INDEX(Symboles!$G$6:$G$101,MOD(29+$C42+(3),$B$3)+1)*L42+INDEX(Symboles!$G$6:$G$101,MOD(29+$C42+(4),$B$3)+1)*M42+IF($B$6=0,0,$B$6*NORMSINV(0.000001+0.999998*RAND())))</f>
        <v/>
      </c>
      <c r="AT42" s="30">
        <f>IF(31&gt;$B$3,99,INDEX(Symboles!$G$6:$G$101,MOD(30+$C42+(-4),$B$3)+1)*E42+INDEX(Symboles!$G$6:$G$101,MOD(30+$C42+(-3),$B$3)+1)*F42+INDEX(Symboles!$G$6:$G$101,MOD(30+$C42+(-2),$B$3)+1)*G42+INDEX(Symboles!$G$6:$G$101,MOD(30+$C42+(-1),$B$3)+1)*H42+INDEX(Symboles!$G$6:$G$101,MOD(30+$C42+(0),$B$3)+1)*I42+INDEX(Symboles!$G$6:$G$101,MOD(30+$C42+(1),$B$3)+1)*J42+INDEX(Symboles!$G$6:$G$101,MOD(30+$C42+(2),$B$3)+1)*K42+INDEX(Symboles!$G$6:$G$101,MOD(30+$C42+(3),$B$3)+1)*L42+INDEX(Symboles!$G$6:$G$101,MOD(30+$C42+(4),$B$3)+1)*M42+IF($B$6=0,0,$B$6*NORMSINV(0.000001+0.999998*RAND())))</f>
        <v/>
      </c>
      <c r="AU42" s="30">
        <f>IF(32&gt;$B$3,99,INDEX(Symboles!$G$6:$G$101,MOD(31+$C42+(-4),$B$3)+1)*E42+INDEX(Symboles!$G$6:$G$101,MOD(31+$C42+(-3),$B$3)+1)*F42+INDEX(Symboles!$G$6:$G$101,MOD(31+$C42+(-2),$B$3)+1)*G42+INDEX(Symboles!$G$6:$G$101,MOD(31+$C42+(-1),$B$3)+1)*H42+INDEX(Symboles!$G$6:$G$101,MOD(31+$C42+(0),$B$3)+1)*I42+INDEX(Symboles!$G$6:$G$101,MOD(31+$C42+(1),$B$3)+1)*J42+INDEX(Symboles!$G$6:$G$101,MOD(31+$C42+(2),$B$3)+1)*K42+INDEX(Symboles!$G$6:$G$101,MOD(31+$C42+(3),$B$3)+1)*L42+INDEX(Symboles!$G$6:$G$101,MOD(31+$C42+(4),$B$3)+1)*M42+IF($B$6=0,0,$B$6*NORMSINV(0.000001+0.999998*RAND())))</f>
        <v/>
      </c>
      <c r="AV42" s="30">
        <f>IF(33&gt;$B$3,99,INDEX(Symboles!$G$6:$G$101,MOD(32+$C42+(-4),$B$3)+1)*E42+INDEX(Symboles!$G$6:$G$101,MOD(32+$C42+(-3),$B$3)+1)*F42+INDEX(Symboles!$G$6:$G$101,MOD(32+$C42+(-2),$B$3)+1)*G42+INDEX(Symboles!$G$6:$G$101,MOD(32+$C42+(-1),$B$3)+1)*H42+INDEX(Symboles!$G$6:$G$101,MOD(32+$C42+(0),$B$3)+1)*I42+INDEX(Symboles!$G$6:$G$101,MOD(32+$C42+(1),$B$3)+1)*J42+INDEX(Symboles!$G$6:$G$101,MOD(32+$C42+(2),$B$3)+1)*K42+INDEX(Symboles!$G$6:$G$101,MOD(32+$C42+(3),$B$3)+1)*L42+INDEX(Symboles!$G$6:$G$101,MOD(32+$C42+(4),$B$3)+1)*M42+IF($B$6=0,0,$B$6*NORMSINV(0.000001+0.999998*RAND())))</f>
        <v/>
      </c>
      <c r="AW42" s="30">
        <f>IF(34&gt;$B$3,99,INDEX(Symboles!$G$6:$G$101,MOD(33+$C42+(-4),$B$3)+1)*E42+INDEX(Symboles!$G$6:$G$101,MOD(33+$C42+(-3),$B$3)+1)*F42+INDEX(Symboles!$G$6:$G$101,MOD(33+$C42+(-2),$B$3)+1)*G42+INDEX(Symboles!$G$6:$G$101,MOD(33+$C42+(-1),$B$3)+1)*H42+INDEX(Symboles!$G$6:$G$101,MOD(33+$C42+(0),$B$3)+1)*I42+INDEX(Symboles!$G$6:$G$101,MOD(33+$C42+(1),$B$3)+1)*J42+INDEX(Symboles!$G$6:$G$101,MOD(33+$C42+(2),$B$3)+1)*K42+INDEX(Symboles!$G$6:$G$101,MOD(33+$C42+(3),$B$3)+1)*L42+INDEX(Symboles!$G$6:$G$101,MOD(33+$C42+(4),$B$3)+1)*M42+IF($B$6=0,0,$B$6*NORMSINV(0.000001+0.999998*RAND())))</f>
        <v/>
      </c>
      <c r="AX42" s="30">
        <f>IF(35&gt;$B$3,99,INDEX(Symboles!$G$6:$G$101,MOD(34+$C42+(-4),$B$3)+1)*E42+INDEX(Symboles!$G$6:$G$101,MOD(34+$C42+(-3),$B$3)+1)*F42+INDEX(Symboles!$G$6:$G$101,MOD(34+$C42+(-2),$B$3)+1)*G42+INDEX(Symboles!$G$6:$G$101,MOD(34+$C42+(-1),$B$3)+1)*H42+INDEX(Symboles!$G$6:$G$101,MOD(34+$C42+(0),$B$3)+1)*I42+INDEX(Symboles!$G$6:$G$101,MOD(34+$C42+(1),$B$3)+1)*J42+INDEX(Symboles!$G$6:$G$101,MOD(34+$C42+(2),$B$3)+1)*K42+INDEX(Symboles!$G$6:$G$101,MOD(34+$C42+(3),$B$3)+1)*L42+INDEX(Symboles!$G$6:$G$101,MOD(34+$C42+(4),$B$3)+1)*M42+IF($B$6=0,0,$B$6*NORMSINV(0.000001+0.999998*RAND())))</f>
        <v/>
      </c>
      <c r="AY42" s="30">
        <f>IF(36&gt;$B$3,99,INDEX(Symboles!$G$6:$G$101,MOD(35+$C42+(-4),$B$3)+1)*E42+INDEX(Symboles!$G$6:$G$101,MOD(35+$C42+(-3),$B$3)+1)*F42+INDEX(Symboles!$G$6:$G$101,MOD(35+$C42+(-2),$B$3)+1)*G42+INDEX(Symboles!$G$6:$G$101,MOD(35+$C42+(-1),$B$3)+1)*H42+INDEX(Symboles!$G$6:$G$101,MOD(35+$C42+(0),$B$3)+1)*I42+INDEX(Symboles!$G$6:$G$101,MOD(35+$C42+(1),$B$3)+1)*J42+INDEX(Symboles!$G$6:$G$101,MOD(35+$C42+(2),$B$3)+1)*K42+INDEX(Symboles!$G$6:$G$101,MOD(35+$C42+(3),$B$3)+1)*L42+INDEX(Symboles!$G$6:$G$101,MOD(35+$C42+(4),$B$3)+1)*M42+IF($B$6=0,0,$B$6*NORMSINV(0.000001+0.999998*RAND())))</f>
        <v/>
      </c>
      <c r="AZ42" s="30">
        <f>IF(37&gt;$B$3,99,INDEX(Symboles!$G$6:$G$101,MOD(36+$C42+(-4),$B$3)+1)*E42+INDEX(Symboles!$G$6:$G$101,MOD(36+$C42+(-3),$B$3)+1)*F42+INDEX(Symboles!$G$6:$G$101,MOD(36+$C42+(-2),$B$3)+1)*G42+INDEX(Symboles!$G$6:$G$101,MOD(36+$C42+(-1),$B$3)+1)*H42+INDEX(Symboles!$G$6:$G$101,MOD(36+$C42+(0),$B$3)+1)*I42+INDEX(Symboles!$G$6:$G$101,MOD(36+$C42+(1),$B$3)+1)*J42+INDEX(Symboles!$G$6:$G$101,MOD(36+$C42+(2),$B$3)+1)*K42+INDEX(Symboles!$G$6:$G$101,MOD(36+$C42+(3),$B$3)+1)*L42+INDEX(Symboles!$G$6:$G$101,MOD(36+$C42+(4),$B$3)+1)*M42+IF($B$6=0,0,$B$6*NORMSINV(0.000001+0.999998*RAND())))</f>
        <v/>
      </c>
      <c r="BA42" s="30">
        <f>IF(38&gt;$B$3,99,INDEX(Symboles!$G$6:$G$101,MOD(37+$C42+(-4),$B$3)+1)*E42+INDEX(Symboles!$G$6:$G$101,MOD(37+$C42+(-3),$B$3)+1)*F42+INDEX(Symboles!$G$6:$G$101,MOD(37+$C42+(-2),$B$3)+1)*G42+INDEX(Symboles!$G$6:$G$101,MOD(37+$C42+(-1),$B$3)+1)*H42+INDEX(Symboles!$G$6:$G$101,MOD(37+$C42+(0),$B$3)+1)*I42+INDEX(Symboles!$G$6:$G$101,MOD(37+$C42+(1),$B$3)+1)*J42+INDEX(Symboles!$G$6:$G$101,MOD(37+$C42+(2),$B$3)+1)*K42+INDEX(Symboles!$G$6:$G$101,MOD(37+$C42+(3),$B$3)+1)*L42+INDEX(Symboles!$G$6:$G$101,MOD(37+$C42+(4),$B$3)+1)*M42+IF($B$6=0,0,$B$6*NORMSINV(0.000001+0.999998*RAND())))</f>
        <v/>
      </c>
      <c r="BB42" s="30">
        <f>IF(39&gt;$B$3,99,INDEX(Symboles!$G$6:$G$101,MOD(38+$C42+(-4),$B$3)+1)*E42+INDEX(Symboles!$G$6:$G$101,MOD(38+$C42+(-3),$B$3)+1)*F42+INDEX(Symboles!$G$6:$G$101,MOD(38+$C42+(-2),$B$3)+1)*G42+INDEX(Symboles!$G$6:$G$101,MOD(38+$C42+(-1),$B$3)+1)*H42+INDEX(Symboles!$G$6:$G$101,MOD(38+$C42+(0),$B$3)+1)*I42+INDEX(Symboles!$G$6:$G$101,MOD(38+$C42+(1),$B$3)+1)*J42+INDEX(Symboles!$G$6:$G$101,MOD(38+$C42+(2),$B$3)+1)*K42+INDEX(Symboles!$G$6:$G$101,MOD(38+$C42+(3),$B$3)+1)*L42+INDEX(Symboles!$G$6:$G$101,MOD(38+$C42+(4),$B$3)+1)*M42+IF($B$6=0,0,$B$6*NORMSINV(0.000001+0.999998*RAND())))</f>
        <v/>
      </c>
      <c r="BC42" s="30">
        <f>IF(40&gt;$B$3,99,INDEX(Symboles!$G$6:$G$101,MOD(39+$C42+(-4),$B$3)+1)*E42+INDEX(Symboles!$G$6:$G$101,MOD(39+$C42+(-3),$B$3)+1)*F42+INDEX(Symboles!$G$6:$G$101,MOD(39+$C42+(-2),$B$3)+1)*G42+INDEX(Symboles!$G$6:$G$101,MOD(39+$C42+(-1),$B$3)+1)*H42+INDEX(Symboles!$G$6:$G$101,MOD(39+$C42+(0),$B$3)+1)*I42+INDEX(Symboles!$G$6:$G$101,MOD(39+$C42+(1),$B$3)+1)*J42+INDEX(Symboles!$G$6:$G$101,MOD(39+$C42+(2),$B$3)+1)*K42+INDEX(Symboles!$G$6:$G$101,MOD(39+$C42+(3),$B$3)+1)*L42+INDEX(Symboles!$G$6:$G$101,MOD(39+$C42+(4),$B$3)+1)*M42+IF($B$6=0,0,$B$6*NORMSINV(0.000001+0.999998*RAND())))</f>
        <v/>
      </c>
      <c r="BD42" s="30">
        <f>IF(41&gt;$B$3,99,INDEX(Symboles!$G$6:$G$101,MOD(40+$C42+(-4),$B$3)+1)*E42+INDEX(Symboles!$G$6:$G$101,MOD(40+$C42+(-3),$B$3)+1)*F42+INDEX(Symboles!$G$6:$G$101,MOD(40+$C42+(-2),$B$3)+1)*G42+INDEX(Symboles!$G$6:$G$101,MOD(40+$C42+(-1),$B$3)+1)*H42+INDEX(Symboles!$G$6:$G$101,MOD(40+$C42+(0),$B$3)+1)*I42+INDEX(Symboles!$G$6:$G$101,MOD(40+$C42+(1),$B$3)+1)*J42+INDEX(Symboles!$G$6:$G$101,MOD(40+$C42+(2),$B$3)+1)*K42+INDEX(Symboles!$G$6:$G$101,MOD(40+$C42+(3),$B$3)+1)*L42+INDEX(Symboles!$G$6:$G$101,MOD(40+$C42+(4),$B$3)+1)*M42+IF($B$6=0,0,$B$6*NORMSINV(0.000001+0.999998*RAND())))</f>
        <v/>
      </c>
      <c r="BE42" s="30">
        <f>IF(42&gt;$B$3,99,INDEX(Symboles!$G$6:$G$101,MOD(41+$C42+(-4),$B$3)+1)*E42+INDEX(Symboles!$G$6:$G$101,MOD(41+$C42+(-3),$B$3)+1)*F42+INDEX(Symboles!$G$6:$G$101,MOD(41+$C42+(-2),$B$3)+1)*G42+INDEX(Symboles!$G$6:$G$101,MOD(41+$C42+(-1),$B$3)+1)*H42+INDEX(Symboles!$G$6:$G$101,MOD(41+$C42+(0),$B$3)+1)*I42+INDEX(Symboles!$G$6:$G$101,MOD(41+$C42+(1),$B$3)+1)*J42+INDEX(Symboles!$G$6:$G$101,MOD(41+$C42+(2),$B$3)+1)*K42+INDEX(Symboles!$G$6:$G$101,MOD(41+$C42+(3),$B$3)+1)*L42+INDEX(Symboles!$G$6:$G$101,MOD(41+$C42+(4),$B$3)+1)*M42+IF($B$6=0,0,$B$6*NORMSINV(0.000001+0.999998*RAND())))</f>
        <v/>
      </c>
      <c r="BF42" s="30">
        <f>IF(43&gt;$B$3,99,INDEX(Symboles!$G$6:$G$101,MOD(42+$C42+(-4),$B$3)+1)*E42+INDEX(Symboles!$G$6:$G$101,MOD(42+$C42+(-3),$B$3)+1)*F42+INDEX(Symboles!$G$6:$G$101,MOD(42+$C42+(-2),$B$3)+1)*G42+INDEX(Symboles!$G$6:$G$101,MOD(42+$C42+(-1),$B$3)+1)*H42+INDEX(Symboles!$G$6:$G$101,MOD(42+$C42+(0),$B$3)+1)*I42+INDEX(Symboles!$G$6:$G$101,MOD(42+$C42+(1),$B$3)+1)*J42+INDEX(Symboles!$G$6:$G$101,MOD(42+$C42+(2),$B$3)+1)*K42+INDEX(Symboles!$G$6:$G$101,MOD(42+$C42+(3),$B$3)+1)*L42+INDEX(Symboles!$G$6:$G$101,MOD(42+$C42+(4),$B$3)+1)*M42+IF($B$6=0,0,$B$6*NORMSINV(0.000001+0.999998*RAND())))</f>
        <v/>
      </c>
      <c r="BG42" s="30">
        <f>IF(44&gt;$B$3,99,INDEX(Symboles!$G$6:$G$101,MOD(43+$C42+(-4),$B$3)+1)*E42+INDEX(Symboles!$G$6:$G$101,MOD(43+$C42+(-3),$B$3)+1)*F42+INDEX(Symboles!$G$6:$G$101,MOD(43+$C42+(-2),$B$3)+1)*G42+INDEX(Symboles!$G$6:$G$101,MOD(43+$C42+(-1),$B$3)+1)*H42+INDEX(Symboles!$G$6:$G$101,MOD(43+$C42+(0),$B$3)+1)*I42+INDEX(Symboles!$G$6:$G$101,MOD(43+$C42+(1),$B$3)+1)*J42+INDEX(Symboles!$G$6:$G$101,MOD(43+$C42+(2),$B$3)+1)*K42+INDEX(Symboles!$G$6:$G$101,MOD(43+$C42+(3),$B$3)+1)*L42+INDEX(Symboles!$G$6:$G$101,MOD(43+$C42+(4),$B$3)+1)*M42+IF($B$6=0,0,$B$6*NORMSINV(0.000001+0.999998*RAND())))</f>
        <v/>
      </c>
      <c r="BH42" s="30">
        <f>IF(45&gt;$B$3,99,INDEX(Symboles!$G$6:$G$101,MOD(44+$C42+(-4),$B$3)+1)*E42+INDEX(Symboles!$G$6:$G$101,MOD(44+$C42+(-3),$B$3)+1)*F42+INDEX(Symboles!$G$6:$G$101,MOD(44+$C42+(-2),$B$3)+1)*G42+INDEX(Symboles!$G$6:$G$101,MOD(44+$C42+(-1),$B$3)+1)*H42+INDEX(Symboles!$G$6:$G$101,MOD(44+$C42+(0),$B$3)+1)*I42+INDEX(Symboles!$G$6:$G$101,MOD(44+$C42+(1),$B$3)+1)*J42+INDEX(Symboles!$G$6:$G$101,MOD(44+$C42+(2),$B$3)+1)*K42+INDEX(Symboles!$G$6:$G$101,MOD(44+$C42+(3),$B$3)+1)*L42+INDEX(Symboles!$G$6:$G$101,MOD(44+$C42+(4),$B$3)+1)*M42+IF($B$6=0,0,$B$6*NORMSINV(0.000001+0.999998*RAND())))</f>
        <v/>
      </c>
      <c r="BI42" s="30">
        <f>IF(46&gt;$B$3,99,INDEX(Symboles!$G$6:$G$101,MOD(45+$C42+(-4),$B$3)+1)*E42+INDEX(Symboles!$G$6:$G$101,MOD(45+$C42+(-3),$B$3)+1)*F42+INDEX(Symboles!$G$6:$G$101,MOD(45+$C42+(-2),$B$3)+1)*G42+INDEX(Symboles!$G$6:$G$101,MOD(45+$C42+(-1),$B$3)+1)*H42+INDEX(Symboles!$G$6:$G$101,MOD(45+$C42+(0),$B$3)+1)*I42+INDEX(Symboles!$G$6:$G$101,MOD(45+$C42+(1),$B$3)+1)*J42+INDEX(Symboles!$G$6:$G$101,MOD(45+$C42+(2),$B$3)+1)*K42+INDEX(Symboles!$G$6:$G$101,MOD(45+$C42+(3),$B$3)+1)*L42+INDEX(Symboles!$G$6:$G$101,MOD(45+$C42+(4),$B$3)+1)*M42+IF($B$6=0,0,$B$6*NORMSINV(0.000001+0.999998*RAND())))</f>
        <v/>
      </c>
      <c r="BJ42" s="30">
        <f>IF(47&gt;$B$3,99,INDEX(Symboles!$G$6:$G$101,MOD(46+$C42+(-4),$B$3)+1)*E42+INDEX(Symboles!$G$6:$G$101,MOD(46+$C42+(-3),$B$3)+1)*F42+INDEX(Symboles!$G$6:$G$101,MOD(46+$C42+(-2),$B$3)+1)*G42+INDEX(Symboles!$G$6:$G$101,MOD(46+$C42+(-1),$B$3)+1)*H42+INDEX(Symboles!$G$6:$G$101,MOD(46+$C42+(0),$B$3)+1)*I42+INDEX(Symboles!$G$6:$G$101,MOD(46+$C42+(1),$B$3)+1)*J42+INDEX(Symboles!$G$6:$G$101,MOD(46+$C42+(2),$B$3)+1)*K42+INDEX(Symboles!$G$6:$G$101,MOD(46+$C42+(3),$B$3)+1)*L42+INDEX(Symboles!$G$6:$G$101,MOD(46+$C42+(4),$B$3)+1)*M42+IF($B$6=0,0,$B$6*NORMSINV(0.000001+0.999998*RAND())))</f>
        <v/>
      </c>
      <c r="BK42" s="30">
        <f>IF(48&gt;$B$3,99,INDEX(Symboles!$G$6:$G$101,MOD(47+$C42+(-4),$B$3)+1)*E42+INDEX(Symboles!$G$6:$G$101,MOD(47+$C42+(-3),$B$3)+1)*F42+INDEX(Symboles!$G$6:$G$101,MOD(47+$C42+(-2),$B$3)+1)*G42+INDEX(Symboles!$G$6:$G$101,MOD(47+$C42+(-1),$B$3)+1)*H42+INDEX(Symboles!$G$6:$G$101,MOD(47+$C42+(0),$B$3)+1)*I42+INDEX(Symboles!$G$6:$G$101,MOD(47+$C42+(1),$B$3)+1)*J42+INDEX(Symboles!$G$6:$G$101,MOD(47+$C42+(2),$B$3)+1)*K42+INDEX(Symboles!$G$6:$G$101,MOD(47+$C42+(3),$B$3)+1)*L42+INDEX(Symboles!$G$6:$G$101,MOD(47+$C42+(4),$B$3)+1)*M42+IF($B$6=0,0,$B$6*NORMSINV(0.000001+0.999998*RAND())))</f>
        <v/>
      </c>
      <c r="BL42" s="30">
        <f>IF(49&gt;$B$3,99,INDEX(Symboles!$G$6:$G$101,MOD(48+$C42+(-4),$B$3)+1)*E42+INDEX(Symboles!$G$6:$G$101,MOD(48+$C42+(-3),$B$3)+1)*F42+INDEX(Symboles!$G$6:$G$101,MOD(48+$C42+(-2),$B$3)+1)*G42+INDEX(Symboles!$G$6:$G$101,MOD(48+$C42+(-1),$B$3)+1)*H42+INDEX(Symboles!$G$6:$G$101,MOD(48+$C42+(0),$B$3)+1)*I42+INDEX(Symboles!$G$6:$G$101,MOD(48+$C42+(1),$B$3)+1)*J42+INDEX(Symboles!$G$6:$G$101,MOD(48+$C42+(2),$B$3)+1)*K42+INDEX(Symboles!$G$6:$G$101,MOD(48+$C42+(3),$B$3)+1)*L42+INDEX(Symboles!$G$6:$G$101,MOD(48+$C42+(4),$B$3)+1)*M42+IF($B$6=0,0,$B$6*NORMSINV(0.000001+0.999998*RAND())))</f>
        <v/>
      </c>
      <c r="BM42" s="30">
        <f>IF(50&gt;$B$3,99,INDEX(Symboles!$G$6:$G$101,MOD(49+$C42+(-4),$B$3)+1)*E42+INDEX(Symboles!$G$6:$G$101,MOD(49+$C42+(-3),$B$3)+1)*F42+INDEX(Symboles!$G$6:$G$101,MOD(49+$C42+(-2),$B$3)+1)*G42+INDEX(Symboles!$G$6:$G$101,MOD(49+$C42+(-1),$B$3)+1)*H42+INDEX(Symboles!$G$6:$G$101,MOD(49+$C42+(0),$B$3)+1)*I42+INDEX(Symboles!$G$6:$G$101,MOD(49+$C42+(1),$B$3)+1)*J42+INDEX(Symboles!$G$6:$G$101,MOD(49+$C42+(2),$B$3)+1)*K42+INDEX(Symboles!$G$6:$G$101,MOD(49+$C42+(3),$B$3)+1)*L42+INDEX(Symboles!$G$6:$G$101,MOD(49+$C42+(4),$B$3)+1)*M42+IF($B$6=0,0,$B$6*NORMSINV(0.000001+0.999998*RAND())))</f>
        <v/>
      </c>
      <c r="BN42" s="30">
        <f>IF(51&gt;$B$3,99,INDEX(Symboles!$G$6:$G$101,MOD(50+$C42+(-4),$B$3)+1)*E42+INDEX(Symboles!$G$6:$G$101,MOD(50+$C42+(-3),$B$3)+1)*F42+INDEX(Symboles!$G$6:$G$101,MOD(50+$C42+(-2),$B$3)+1)*G42+INDEX(Symboles!$G$6:$G$101,MOD(50+$C42+(-1),$B$3)+1)*H42+INDEX(Symboles!$G$6:$G$101,MOD(50+$C42+(0),$B$3)+1)*I42+INDEX(Symboles!$G$6:$G$101,MOD(50+$C42+(1),$B$3)+1)*J42+INDEX(Symboles!$G$6:$G$101,MOD(50+$C42+(2),$B$3)+1)*K42+INDEX(Symboles!$G$6:$G$101,MOD(50+$C42+(3),$B$3)+1)*L42+INDEX(Symboles!$G$6:$G$101,MOD(50+$C42+(4),$B$3)+1)*M42+IF($B$6=0,0,$B$6*NORMSINV(0.000001+0.999998*RAND())))</f>
        <v/>
      </c>
      <c r="BO42" s="30">
        <f>IF(52&gt;$B$3,99,INDEX(Symboles!$G$6:$G$101,MOD(51+$C42+(-4),$B$3)+1)*E42+INDEX(Symboles!$G$6:$G$101,MOD(51+$C42+(-3),$B$3)+1)*F42+INDEX(Symboles!$G$6:$G$101,MOD(51+$C42+(-2),$B$3)+1)*G42+INDEX(Symboles!$G$6:$G$101,MOD(51+$C42+(-1),$B$3)+1)*H42+INDEX(Symboles!$G$6:$G$101,MOD(51+$C42+(0),$B$3)+1)*I42+INDEX(Symboles!$G$6:$G$101,MOD(51+$C42+(1),$B$3)+1)*J42+INDEX(Symboles!$G$6:$G$101,MOD(51+$C42+(2),$B$3)+1)*K42+INDEX(Symboles!$G$6:$G$101,MOD(51+$C42+(3),$B$3)+1)*L42+INDEX(Symboles!$G$6:$G$101,MOD(51+$C42+(4),$B$3)+1)*M42+IF($B$6=0,0,$B$6*NORMSINV(0.000001+0.999998*RAND())))</f>
        <v/>
      </c>
      <c r="BP42" s="30">
        <f>IF(53&gt;$B$3,99,INDEX(Symboles!$G$6:$G$101,MOD(52+$C42+(-4),$B$3)+1)*E42+INDEX(Symboles!$G$6:$G$101,MOD(52+$C42+(-3),$B$3)+1)*F42+INDEX(Symboles!$G$6:$G$101,MOD(52+$C42+(-2),$B$3)+1)*G42+INDEX(Symboles!$G$6:$G$101,MOD(52+$C42+(-1),$B$3)+1)*H42+INDEX(Symboles!$G$6:$G$101,MOD(52+$C42+(0),$B$3)+1)*I42+INDEX(Symboles!$G$6:$G$101,MOD(52+$C42+(1),$B$3)+1)*J42+INDEX(Symboles!$G$6:$G$101,MOD(52+$C42+(2),$B$3)+1)*K42+INDEX(Symboles!$G$6:$G$101,MOD(52+$C42+(3),$B$3)+1)*L42+INDEX(Symboles!$G$6:$G$101,MOD(52+$C42+(4),$B$3)+1)*M42+IF($B$6=0,0,$B$6*NORMSINV(0.000001+0.999998*RAND())))</f>
        <v/>
      </c>
      <c r="BQ42" s="30">
        <f>IF(54&gt;$B$3,99,INDEX(Symboles!$G$6:$G$101,MOD(53+$C42+(-4),$B$3)+1)*E42+INDEX(Symboles!$G$6:$G$101,MOD(53+$C42+(-3),$B$3)+1)*F42+INDEX(Symboles!$G$6:$G$101,MOD(53+$C42+(-2),$B$3)+1)*G42+INDEX(Symboles!$G$6:$G$101,MOD(53+$C42+(-1),$B$3)+1)*H42+INDEX(Symboles!$G$6:$G$101,MOD(53+$C42+(0),$B$3)+1)*I42+INDEX(Symboles!$G$6:$G$101,MOD(53+$C42+(1),$B$3)+1)*J42+INDEX(Symboles!$G$6:$G$101,MOD(53+$C42+(2),$B$3)+1)*K42+INDEX(Symboles!$G$6:$G$101,MOD(53+$C42+(3),$B$3)+1)*L42+INDEX(Symboles!$G$6:$G$101,MOD(53+$C42+(4),$B$3)+1)*M42+IF($B$6=0,0,$B$6*NORMSINV(0.000001+0.999998*RAND())))</f>
        <v/>
      </c>
      <c r="BR42" s="30">
        <f>IF(55&gt;$B$3,99,INDEX(Symboles!$G$6:$G$101,MOD(54+$C42+(-4),$B$3)+1)*E42+INDEX(Symboles!$G$6:$G$101,MOD(54+$C42+(-3),$B$3)+1)*F42+INDEX(Symboles!$G$6:$G$101,MOD(54+$C42+(-2),$B$3)+1)*G42+INDEX(Symboles!$G$6:$G$101,MOD(54+$C42+(-1),$B$3)+1)*H42+INDEX(Symboles!$G$6:$G$101,MOD(54+$C42+(0),$B$3)+1)*I42+INDEX(Symboles!$G$6:$G$101,MOD(54+$C42+(1),$B$3)+1)*J42+INDEX(Symboles!$G$6:$G$101,MOD(54+$C42+(2),$B$3)+1)*K42+INDEX(Symboles!$G$6:$G$101,MOD(54+$C42+(3),$B$3)+1)*L42+INDEX(Symboles!$G$6:$G$101,MOD(54+$C42+(4),$B$3)+1)*M42+IF($B$6=0,0,$B$6*NORMSINV(0.000001+0.999998*RAND())))</f>
        <v/>
      </c>
      <c r="BS42" s="30">
        <f>IF(56&gt;$B$3,99,INDEX(Symboles!$G$6:$G$101,MOD(55+$C42+(-4),$B$3)+1)*E42+INDEX(Symboles!$G$6:$G$101,MOD(55+$C42+(-3),$B$3)+1)*F42+INDEX(Symboles!$G$6:$G$101,MOD(55+$C42+(-2),$B$3)+1)*G42+INDEX(Symboles!$G$6:$G$101,MOD(55+$C42+(-1),$B$3)+1)*H42+INDEX(Symboles!$G$6:$G$101,MOD(55+$C42+(0),$B$3)+1)*I42+INDEX(Symboles!$G$6:$G$101,MOD(55+$C42+(1),$B$3)+1)*J42+INDEX(Symboles!$G$6:$G$101,MOD(55+$C42+(2),$B$3)+1)*K42+INDEX(Symboles!$G$6:$G$101,MOD(55+$C42+(3),$B$3)+1)*L42+INDEX(Symboles!$G$6:$G$101,MOD(55+$C42+(4),$B$3)+1)*M42+IF($B$6=0,0,$B$6*NORMSINV(0.000001+0.999998*RAND())))</f>
        <v/>
      </c>
      <c r="BT42" s="30">
        <f>IF(57&gt;$B$3,99,INDEX(Symboles!$G$6:$G$101,MOD(56+$C42+(-4),$B$3)+1)*E42+INDEX(Symboles!$G$6:$G$101,MOD(56+$C42+(-3),$B$3)+1)*F42+INDEX(Symboles!$G$6:$G$101,MOD(56+$C42+(-2),$B$3)+1)*G42+INDEX(Symboles!$G$6:$G$101,MOD(56+$C42+(-1),$B$3)+1)*H42+INDEX(Symboles!$G$6:$G$101,MOD(56+$C42+(0),$B$3)+1)*I42+INDEX(Symboles!$G$6:$G$101,MOD(56+$C42+(1),$B$3)+1)*J42+INDEX(Symboles!$G$6:$G$101,MOD(56+$C42+(2),$B$3)+1)*K42+INDEX(Symboles!$G$6:$G$101,MOD(56+$C42+(3),$B$3)+1)*L42+INDEX(Symboles!$G$6:$G$101,MOD(56+$C42+(4),$B$3)+1)*M42+IF($B$6=0,0,$B$6*NORMSINV(0.000001+0.999998*RAND())))</f>
        <v/>
      </c>
      <c r="BU42" s="30">
        <f>IF(58&gt;$B$3,99,INDEX(Symboles!$G$6:$G$101,MOD(57+$C42+(-4),$B$3)+1)*E42+INDEX(Symboles!$G$6:$G$101,MOD(57+$C42+(-3),$B$3)+1)*F42+INDEX(Symboles!$G$6:$G$101,MOD(57+$C42+(-2),$B$3)+1)*G42+INDEX(Symboles!$G$6:$G$101,MOD(57+$C42+(-1),$B$3)+1)*H42+INDEX(Symboles!$G$6:$G$101,MOD(57+$C42+(0),$B$3)+1)*I42+INDEX(Symboles!$G$6:$G$101,MOD(57+$C42+(1),$B$3)+1)*J42+INDEX(Symboles!$G$6:$G$101,MOD(57+$C42+(2),$B$3)+1)*K42+INDEX(Symboles!$G$6:$G$101,MOD(57+$C42+(3),$B$3)+1)*L42+INDEX(Symboles!$G$6:$G$101,MOD(57+$C42+(4),$B$3)+1)*M42+IF($B$6=0,0,$B$6*NORMSINV(0.000001+0.999998*RAND())))</f>
        <v/>
      </c>
      <c r="BV42" s="30">
        <f>IF(59&gt;$B$3,99,INDEX(Symboles!$G$6:$G$101,MOD(58+$C42+(-4),$B$3)+1)*E42+INDEX(Symboles!$G$6:$G$101,MOD(58+$C42+(-3),$B$3)+1)*F42+INDEX(Symboles!$G$6:$G$101,MOD(58+$C42+(-2),$B$3)+1)*G42+INDEX(Symboles!$G$6:$G$101,MOD(58+$C42+(-1),$B$3)+1)*H42+INDEX(Symboles!$G$6:$G$101,MOD(58+$C42+(0),$B$3)+1)*I42+INDEX(Symboles!$G$6:$G$101,MOD(58+$C42+(1),$B$3)+1)*J42+INDEX(Symboles!$G$6:$G$101,MOD(58+$C42+(2),$B$3)+1)*K42+INDEX(Symboles!$G$6:$G$101,MOD(58+$C42+(3),$B$3)+1)*L42+INDEX(Symboles!$G$6:$G$101,MOD(58+$C42+(4),$B$3)+1)*M42+IF($B$6=0,0,$B$6*NORMSINV(0.000001+0.999998*RAND())))</f>
        <v/>
      </c>
      <c r="BW42" s="30">
        <f>IF(60&gt;$B$3,99,INDEX(Symboles!$G$6:$G$101,MOD(59+$C42+(-4),$B$3)+1)*E42+INDEX(Symboles!$G$6:$G$101,MOD(59+$C42+(-3),$B$3)+1)*F42+INDEX(Symboles!$G$6:$G$101,MOD(59+$C42+(-2),$B$3)+1)*G42+INDEX(Symboles!$G$6:$G$101,MOD(59+$C42+(-1),$B$3)+1)*H42+INDEX(Symboles!$G$6:$G$101,MOD(59+$C42+(0),$B$3)+1)*I42+INDEX(Symboles!$G$6:$G$101,MOD(59+$C42+(1),$B$3)+1)*J42+INDEX(Symboles!$G$6:$G$101,MOD(59+$C42+(2),$B$3)+1)*K42+INDEX(Symboles!$G$6:$G$101,MOD(59+$C42+(3),$B$3)+1)*L42+INDEX(Symboles!$G$6:$G$101,MOD(59+$C42+(4),$B$3)+1)*M42+IF($B$6=0,0,$B$6*NORMSINV(0.000001+0.999998*RAND())))</f>
        <v/>
      </c>
      <c r="BX42" s="30">
        <f>IF(61&gt;$B$3,99,INDEX(Symboles!$G$6:$G$101,MOD(60+$C42+(-4),$B$3)+1)*E42+INDEX(Symboles!$G$6:$G$101,MOD(60+$C42+(-3),$B$3)+1)*F42+INDEX(Symboles!$G$6:$G$101,MOD(60+$C42+(-2),$B$3)+1)*G42+INDEX(Symboles!$G$6:$G$101,MOD(60+$C42+(-1),$B$3)+1)*H42+INDEX(Symboles!$G$6:$G$101,MOD(60+$C42+(0),$B$3)+1)*I42+INDEX(Symboles!$G$6:$G$101,MOD(60+$C42+(1),$B$3)+1)*J42+INDEX(Symboles!$G$6:$G$101,MOD(60+$C42+(2),$B$3)+1)*K42+INDEX(Symboles!$G$6:$G$101,MOD(60+$C42+(3),$B$3)+1)*L42+INDEX(Symboles!$G$6:$G$101,MOD(60+$C42+(4),$B$3)+1)*M42+IF($B$6=0,0,$B$6*NORMSINV(0.000001+0.999998*RAND())))</f>
        <v/>
      </c>
      <c r="BY42" s="30">
        <f>IF(62&gt;$B$3,99,INDEX(Symboles!$G$6:$G$101,MOD(61+$C42+(-4),$B$3)+1)*E42+INDEX(Symboles!$G$6:$G$101,MOD(61+$C42+(-3),$B$3)+1)*F42+INDEX(Symboles!$G$6:$G$101,MOD(61+$C42+(-2),$B$3)+1)*G42+INDEX(Symboles!$G$6:$G$101,MOD(61+$C42+(-1),$B$3)+1)*H42+INDEX(Symboles!$G$6:$G$101,MOD(61+$C42+(0),$B$3)+1)*I42+INDEX(Symboles!$G$6:$G$101,MOD(61+$C42+(1),$B$3)+1)*J42+INDEX(Symboles!$G$6:$G$101,MOD(61+$C42+(2),$B$3)+1)*K42+INDEX(Symboles!$G$6:$G$101,MOD(61+$C42+(3),$B$3)+1)*L42+INDEX(Symboles!$G$6:$G$101,MOD(61+$C42+(4),$B$3)+1)*M42+IF($B$6=0,0,$B$6*NORMSINV(0.000001+0.999998*RAND())))</f>
        <v/>
      </c>
      <c r="BZ42" s="30">
        <f>IF(63&gt;$B$3,99,INDEX(Symboles!$G$6:$G$101,MOD(62+$C42+(-4),$B$3)+1)*E42+INDEX(Symboles!$G$6:$G$101,MOD(62+$C42+(-3),$B$3)+1)*F42+INDEX(Symboles!$G$6:$G$101,MOD(62+$C42+(-2),$B$3)+1)*G42+INDEX(Symboles!$G$6:$G$101,MOD(62+$C42+(-1),$B$3)+1)*H42+INDEX(Symboles!$G$6:$G$101,MOD(62+$C42+(0),$B$3)+1)*I42+INDEX(Symboles!$G$6:$G$101,MOD(62+$C42+(1),$B$3)+1)*J42+INDEX(Symboles!$G$6:$G$101,MOD(62+$C42+(2),$B$3)+1)*K42+INDEX(Symboles!$G$6:$G$101,MOD(62+$C42+(3),$B$3)+1)*L42+INDEX(Symboles!$G$6:$G$101,MOD(62+$C42+(4),$B$3)+1)*M42+IF($B$6=0,0,$B$6*NORMSINV(0.000001+0.999998*RAND())))</f>
        <v/>
      </c>
      <c r="CA42" s="30">
        <f>IF(64&gt;$B$3,99,INDEX(Symboles!$G$6:$G$101,MOD(63+$C42+(-4),$B$3)+1)*E42+INDEX(Symboles!$G$6:$G$101,MOD(63+$C42+(-3),$B$3)+1)*F42+INDEX(Symboles!$G$6:$G$101,MOD(63+$C42+(-2),$B$3)+1)*G42+INDEX(Symboles!$G$6:$G$101,MOD(63+$C42+(-1),$B$3)+1)*H42+INDEX(Symboles!$G$6:$G$101,MOD(63+$C42+(0),$B$3)+1)*I42+INDEX(Symboles!$G$6:$G$101,MOD(63+$C42+(1),$B$3)+1)*J42+INDEX(Symboles!$G$6:$G$101,MOD(63+$C42+(2),$B$3)+1)*K42+INDEX(Symboles!$G$6:$G$101,MOD(63+$C42+(3),$B$3)+1)*L42+INDEX(Symboles!$G$6:$G$101,MOD(63+$C42+(4),$B$3)+1)*M42+IF($B$6=0,0,$B$6*NORMSINV(0.000001+0.999998*RAND())))</f>
        <v/>
      </c>
      <c r="CB42" s="30">
        <f>IF(65&gt;$B$3,99,INDEX(Symboles!$G$6:$G$101,MOD(64+$C42+(-4),$B$3)+1)*E42+INDEX(Symboles!$G$6:$G$101,MOD(64+$C42+(-3),$B$3)+1)*F42+INDEX(Symboles!$G$6:$G$101,MOD(64+$C42+(-2),$B$3)+1)*G42+INDEX(Symboles!$G$6:$G$101,MOD(64+$C42+(-1),$B$3)+1)*H42+INDEX(Symboles!$G$6:$G$101,MOD(64+$C42+(0),$B$3)+1)*I42+INDEX(Symboles!$G$6:$G$101,MOD(64+$C42+(1),$B$3)+1)*J42+INDEX(Symboles!$G$6:$G$101,MOD(64+$C42+(2),$B$3)+1)*K42+INDEX(Symboles!$G$6:$G$101,MOD(64+$C42+(3),$B$3)+1)*L42+INDEX(Symboles!$G$6:$G$101,MOD(64+$C42+(4),$B$3)+1)*M42+IF($B$6=0,0,$B$6*NORMSINV(0.000001+0.999998*RAND())))</f>
        <v/>
      </c>
      <c r="CC42" s="30">
        <f>IF(66&gt;$B$3,99,INDEX(Symboles!$G$6:$G$101,MOD(65+$C42+(-4),$B$3)+1)*E42+INDEX(Symboles!$G$6:$G$101,MOD(65+$C42+(-3),$B$3)+1)*F42+INDEX(Symboles!$G$6:$G$101,MOD(65+$C42+(-2),$B$3)+1)*G42+INDEX(Symboles!$G$6:$G$101,MOD(65+$C42+(-1),$B$3)+1)*H42+INDEX(Symboles!$G$6:$G$101,MOD(65+$C42+(0),$B$3)+1)*I42+INDEX(Symboles!$G$6:$G$101,MOD(65+$C42+(1),$B$3)+1)*J42+INDEX(Symboles!$G$6:$G$101,MOD(65+$C42+(2),$B$3)+1)*K42+INDEX(Symboles!$G$6:$G$101,MOD(65+$C42+(3),$B$3)+1)*L42+INDEX(Symboles!$G$6:$G$101,MOD(65+$C42+(4),$B$3)+1)*M42+IF($B$6=0,0,$B$6*NORMSINV(0.000001+0.999998*RAND())))</f>
        <v/>
      </c>
      <c r="CD42" s="30">
        <f>IF(67&gt;$B$3,99,INDEX(Symboles!$G$6:$G$101,MOD(66+$C42+(-4),$B$3)+1)*E42+INDEX(Symboles!$G$6:$G$101,MOD(66+$C42+(-3),$B$3)+1)*F42+INDEX(Symboles!$G$6:$G$101,MOD(66+$C42+(-2),$B$3)+1)*G42+INDEX(Symboles!$G$6:$G$101,MOD(66+$C42+(-1),$B$3)+1)*H42+INDEX(Symboles!$G$6:$G$101,MOD(66+$C42+(0),$B$3)+1)*I42+INDEX(Symboles!$G$6:$G$101,MOD(66+$C42+(1),$B$3)+1)*J42+INDEX(Symboles!$G$6:$G$101,MOD(66+$C42+(2),$B$3)+1)*K42+INDEX(Symboles!$G$6:$G$101,MOD(66+$C42+(3),$B$3)+1)*L42+INDEX(Symboles!$G$6:$G$101,MOD(66+$C42+(4),$B$3)+1)*M42+IF($B$6=0,0,$B$6*NORMSINV(0.000001+0.999998*RAND())))</f>
        <v/>
      </c>
      <c r="CE42" s="30">
        <f>IF(68&gt;$B$3,99,INDEX(Symboles!$G$6:$G$101,MOD(67+$C42+(-4),$B$3)+1)*E42+INDEX(Symboles!$G$6:$G$101,MOD(67+$C42+(-3),$B$3)+1)*F42+INDEX(Symboles!$G$6:$G$101,MOD(67+$C42+(-2),$B$3)+1)*G42+INDEX(Symboles!$G$6:$G$101,MOD(67+$C42+(-1),$B$3)+1)*H42+INDEX(Symboles!$G$6:$G$101,MOD(67+$C42+(0),$B$3)+1)*I42+INDEX(Symboles!$G$6:$G$101,MOD(67+$C42+(1),$B$3)+1)*J42+INDEX(Symboles!$G$6:$G$101,MOD(67+$C42+(2),$B$3)+1)*K42+INDEX(Symboles!$G$6:$G$101,MOD(67+$C42+(3),$B$3)+1)*L42+INDEX(Symboles!$G$6:$G$101,MOD(67+$C42+(4),$B$3)+1)*M42+IF($B$6=0,0,$B$6*NORMSINV(0.000001+0.999998*RAND())))</f>
        <v/>
      </c>
      <c r="CF42" s="30">
        <f>IF(69&gt;$B$3,99,INDEX(Symboles!$G$6:$G$101,MOD(68+$C42+(-4),$B$3)+1)*E42+INDEX(Symboles!$G$6:$G$101,MOD(68+$C42+(-3),$B$3)+1)*F42+INDEX(Symboles!$G$6:$G$101,MOD(68+$C42+(-2),$B$3)+1)*G42+INDEX(Symboles!$G$6:$G$101,MOD(68+$C42+(-1),$B$3)+1)*H42+INDEX(Symboles!$G$6:$G$101,MOD(68+$C42+(0),$B$3)+1)*I42+INDEX(Symboles!$G$6:$G$101,MOD(68+$C42+(1),$B$3)+1)*J42+INDEX(Symboles!$G$6:$G$101,MOD(68+$C42+(2),$B$3)+1)*K42+INDEX(Symboles!$G$6:$G$101,MOD(68+$C42+(3),$B$3)+1)*L42+INDEX(Symboles!$G$6:$G$101,MOD(68+$C42+(4),$B$3)+1)*M42+IF($B$6=0,0,$B$6*NORMSINV(0.000001+0.999998*RAND())))</f>
        <v/>
      </c>
      <c r="CG42" s="30">
        <f>IF(70&gt;$B$3,99,INDEX(Symboles!$G$6:$G$101,MOD(69+$C42+(-4),$B$3)+1)*E42+INDEX(Symboles!$G$6:$G$101,MOD(69+$C42+(-3),$B$3)+1)*F42+INDEX(Symboles!$G$6:$G$101,MOD(69+$C42+(-2),$B$3)+1)*G42+INDEX(Symboles!$G$6:$G$101,MOD(69+$C42+(-1),$B$3)+1)*H42+INDEX(Symboles!$G$6:$G$101,MOD(69+$C42+(0),$B$3)+1)*I42+INDEX(Symboles!$G$6:$G$101,MOD(69+$C42+(1),$B$3)+1)*J42+INDEX(Symboles!$G$6:$G$101,MOD(69+$C42+(2),$B$3)+1)*K42+INDEX(Symboles!$G$6:$G$101,MOD(69+$C42+(3),$B$3)+1)*L42+INDEX(Symboles!$G$6:$G$101,MOD(69+$C42+(4),$B$3)+1)*M42+IF($B$6=0,0,$B$6*NORMSINV(0.000001+0.999998*RAND())))</f>
        <v/>
      </c>
      <c r="CH42" s="30">
        <f>IF(71&gt;$B$3,99,INDEX(Symboles!$G$6:$G$101,MOD(70+$C42+(-4),$B$3)+1)*E42+INDEX(Symboles!$G$6:$G$101,MOD(70+$C42+(-3),$B$3)+1)*F42+INDEX(Symboles!$G$6:$G$101,MOD(70+$C42+(-2),$B$3)+1)*G42+INDEX(Symboles!$G$6:$G$101,MOD(70+$C42+(-1),$B$3)+1)*H42+INDEX(Symboles!$G$6:$G$101,MOD(70+$C42+(0),$B$3)+1)*I42+INDEX(Symboles!$G$6:$G$101,MOD(70+$C42+(1),$B$3)+1)*J42+INDEX(Symboles!$G$6:$G$101,MOD(70+$C42+(2),$B$3)+1)*K42+INDEX(Symboles!$G$6:$G$101,MOD(70+$C42+(3),$B$3)+1)*L42+INDEX(Symboles!$G$6:$G$101,MOD(70+$C42+(4),$B$3)+1)*M42+IF($B$6=0,0,$B$6*NORMSINV(0.000001+0.999998*RAND())))</f>
        <v/>
      </c>
      <c r="CI42" s="30">
        <f>IF(72&gt;$B$3,99,INDEX(Symboles!$G$6:$G$101,MOD(71+$C42+(-4),$B$3)+1)*E42+INDEX(Symboles!$G$6:$G$101,MOD(71+$C42+(-3),$B$3)+1)*F42+INDEX(Symboles!$G$6:$G$101,MOD(71+$C42+(-2),$B$3)+1)*G42+INDEX(Symboles!$G$6:$G$101,MOD(71+$C42+(-1),$B$3)+1)*H42+INDEX(Symboles!$G$6:$G$101,MOD(71+$C42+(0),$B$3)+1)*I42+INDEX(Symboles!$G$6:$G$101,MOD(71+$C42+(1),$B$3)+1)*J42+INDEX(Symboles!$G$6:$G$101,MOD(71+$C42+(2),$B$3)+1)*K42+INDEX(Symboles!$G$6:$G$101,MOD(71+$C42+(3),$B$3)+1)*L42+INDEX(Symboles!$G$6:$G$101,MOD(71+$C42+(4),$B$3)+1)*M42+IF($B$6=0,0,$B$6*NORMSINV(0.000001+0.999998*RAND())))</f>
        <v/>
      </c>
      <c r="CJ42" s="30">
        <f>IF(73&gt;$B$3,99,INDEX(Symboles!$G$6:$G$101,MOD(72+$C42+(-4),$B$3)+1)*E42+INDEX(Symboles!$G$6:$G$101,MOD(72+$C42+(-3),$B$3)+1)*F42+INDEX(Symboles!$G$6:$G$101,MOD(72+$C42+(-2),$B$3)+1)*G42+INDEX(Symboles!$G$6:$G$101,MOD(72+$C42+(-1),$B$3)+1)*H42+INDEX(Symboles!$G$6:$G$101,MOD(72+$C42+(0),$B$3)+1)*I42+INDEX(Symboles!$G$6:$G$101,MOD(72+$C42+(1),$B$3)+1)*J42+INDEX(Symboles!$G$6:$G$101,MOD(72+$C42+(2),$B$3)+1)*K42+INDEX(Symboles!$G$6:$G$101,MOD(72+$C42+(3),$B$3)+1)*L42+INDEX(Symboles!$G$6:$G$101,MOD(72+$C42+(4),$B$3)+1)*M42+IF($B$6=0,0,$B$6*NORMSINV(0.000001+0.999998*RAND())))</f>
        <v/>
      </c>
      <c r="CK42" s="30">
        <f>IF(74&gt;$B$3,99,INDEX(Symboles!$G$6:$G$101,MOD(73+$C42+(-4),$B$3)+1)*E42+INDEX(Symboles!$G$6:$G$101,MOD(73+$C42+(-3),$B$3)+1)*F42+INDEX(Symboles!$G$6:$G$101,MOD(73+$C42+(-2),$B$3)+1)*G42+INDEX(Symboles!$G$6:$G$101,MOD(73+$C42+(-1),$B$3)+1)*H42+INDEX(Symboles!$G$6:$G$101,MOD(73+$C42+(0),$B$3)+1)*I42+INDEX(Symboles!$G$6:$G$101,MOD(73+$C42+(1),$B$3)+1)*J42+INDEX(Symboles!$G$6:$G$101,MOD(73+$C42+(2),$B$3)+1)*K42+INDEX(Symboles!$G$6:$G$101,MOD(73+$C42+(3),$B$3)+1)*L42+INDEX(Symboles!$G$6:$G$101,MOD(73+$C42+(4),$B$3)+1)*M42+IF($B$6=0,0,$B$6*NORMSINV(0.000001+0.999998*RAND())))</f>
        <v/>
      </c>
      <c r="CL42" s="30">
        <f>IF(75&gt;$B$3,99,INDEX(Symboles!$G$6:$G$101,MOD(74+$C42+(-4),$B$3)+1)*E42+INDEX(Symboles!$G$6:$G$101,MOD(74+$C42+(-3),$B$3)+1)*F42+INDEX(Symboles!$G$6:$G$101,MOD(74+$C42+(-2),$B$3)+1)*G42+INDEX(Symboles!$G$6:$G$101,MOD(74+$C42+(-1),$B$3)+1)*H42+INDEX(Symboles!$G$6:$G$101,MOD(74+$C42+(0),$B$3)+1)*I42+INDEX(Symboles!$G$6:$G$101,MOD(74+$C42+(1),$B$3)+1)*J42+INDEX(Symboles!$G$6:$G$101,MOD(74+$C42+(2),$B$3)+1)*K42+INDEX(Symboles!$G$6:$G$101,MOD(74+$C42+(3),$B$3)+1)*L42+INDEX(Symboles!$G$6:$G$101,MOD(74+$C42+(4),$B$3)+1)*M42+IF($B$6=0,0,$B$6*NORMSINV(0.000001+0.999998*RAND())))</f>
        <v/>
      </c>
      <c r="CM42" s="30">
        <f>IF(76&gt;$B$3,99,INDEX(Symboles!$G$6:$G$101,MOD(75+$C42+(-4),$B$3)+1)*E42+INDEX(Symboles!$G$6:$G$101,MOD(75+$C42+(-3),$B$3)+1)*F42+INDEX(Symboles!$G$6:$G$101,MOD(75+$C42+(-2),$B$3)+1)*G42+INDEX(Symboles!$G$6:$G$101,MOD(75+$C42+(-1),$B$3)+1)*H42+INDEX(Symboles!$G$6:$G$101,MOD(75+$C42+(0),$B$3)+1)*I42+INDEX(Symboles!$G$6:$G$101,MOD(75+$C42+(1),$B$3)+1)*J42+INDEX(Symboles!$G$6:$G$101,MOD(75+$C42+(2),$B$3)+1)*K42+INDEX(Symboles!$G$6:$G$101,MOD(75+$C42+(3),$B$3)+1)*L42+INDEX(Symboles!$G$6:$G$101,MOD(75+$C42+(4),$B$3)+1)*M42+IF($B$6=0,0,$B$6*NORMSINV(0.000001+0.999998*RAND())))</f>
        <v/>
      </c>
      <c r="CN42" s="30">
        <f>IF(77&gt;$B$3,99,INDEX(Symboles!$G$6:$G$101,MOD(76+$C42+(-4),$B$3)+1)*E42+INDEX(Symboles!$G$6:$G$101,MOD(76+$C42+(-3),$B$3)+1)*F42+INDEX(Symboles!$G$6:$G$101,MOD(76+$C42+(-2),$B$3)+1)*G42+INDEX(Symboles!$G$6:$G$101,MOD(76+$C42+(-1),$B$3)+1)*H42+INDEX(Symboles!$G$6:$G$101,MOD(76+$C42+(0),$B$3)+1)*I42+INDEX(Symboles!$G$6:$G$101,MOD(76+$C42+(1),$B$3)+1)*J42+INDEX(Symboles!$G$6:$G$101,MOD(76+$C42+(2),$B$3)+1)*K42+INDEX(Symboles!$G$6:$G$101,MOD(76+$C42+(3),$B$3)+1)*L42+INDEX(Symboles!$G$6:$G$101,MOD(76+$C42+(4),$B$3)+1)*M42+IF($B$6=0,0,$B$6*NORMSINV(0.000001+0.999998*RAND())))</f>
        <v/>
      </c>
      <c r="CO42" s="30">
        <f>IF(78&gt;$B$3,99,INDEX(Symboles!$G$6:$G$101,MOD(77+$C42+(-4),$B$3)+1)*E42+INDEX(Symboles!$G$6:$G$101,MOD(77+$C42+(-3),$B$3)+1)*F42+INDEX(Symboles!$G$6:$G$101,MOD(77+$C42+(-2),$B$3)+1)*G42+INDEX(Symboles!$G$6:$G$101,MOD(77+$C42+(-1),$B$3)+1)*H42+INDEX(Symboles!$G$6:$G$101,MOD(77+$C42+(0),$B$3)+1)*I42+INDEX(Symboles!$G$6:$G$101,MOD(77+$C42+(1),$B$3)+1)*J42+INDEX(Symboles!$G$6:$G$101,MOD(77+$C42+(2),$B$3)+1)*K42+INDEX(Symboles!$G$6:$G$101,MOD(77+$C42+(3),$B$3)+1)*L42+INDEX(Symboles!$G$6:$G$101,MOD(77+$C42+(4),$B$3)+1)*M42+IF($B$6=0,0,$B$6*NORMSINV(0.000001+0.999998*RAND())))</f>
        <v/>
      </c>
      <c r="CP42" s="30">
        <f>IF(79&gt;$B$3,99,INDEX(Symboles!$G$6:$G$101,MOD(78+$C42+(-4),$B$3)+1)*E42+INDEX(Symboles!$G$6:$G$101,MOD(78+$C42+(-3),$B$3)+1)*F42+INDEX(Symboles!$G$6:$G$101,MOD(78+$C42+(-2),$B$3)+1)*G42+INDEX(Symboles!$G$6:$G$101,MOD(78+$C42+(-1),$B$3)+1)*H42+INDEX(Symboles!$G$6:$G$101,MOD(78+$C42+(0),$B$3)+1)*I42+INDEX(Symboles!$G$6:$G$101,MOD(78+$C42+(1),$B$3)+1)*J42+INDEX(Symboles!$G$6:$G$101,MOD(78+$C42+(2),$B$3)+1)*K42+INDEX(Symboles!$G$6:$G$101,MOD(78+$C42+(3),$B$3)+1)*L42+INDEX(Symboles!$G$6:$G$101,MOD(78+$C42+(4),$B$3)+1)*M42+IF($B$6=0,0,$B$6*NORMSINV(0.000001+0.999998*RAND())))</f>
        <v/>
      </c>
      <c r="CQ42" s="30">
        <f>IF(80&gt;$B$3,99,INDEX(Symboles!$G$6:$G$101,MOD(79+$C42+(-4),$B$3)+1)*E42+INDEX(Symboles!$G$6:$G$101,MOD(79+$C42+(-3),$B$3)+1)*F42+INDEX(Symboles!$G$6:$G$101,MOD(79+$C42+(-2),$B$3)+1)*G42+INDEX(Symboles!$G$6:$G$101,MOD(79+$C42+(-1),$B$3)+1)*H42+INDEX(Symboles!$G$6:$G$101,MOD(79+$C42+(0),$B$3)+1)*I42+INDEX(Symboles!$G$6:$G$101,MOD(79+$C42+(1),$B$3)+1)*J42+INDEX(Symboles!$G$6:$G$101,MOD(79+$C42+(2),$B$3)+1)*K42+INDEX(Symboles!$G$6:$G$101,MOD(79+$C42+(3),$B$3)+1)*L42+INDEX(Symboles!$G$6:$G$101,MOD(79+$C42+(4),$B$3)+1)*M42+IF($B$6=0,0,$B$6*NORMSINV(0.000001+0.999998*RAND())))</f>
        <v/>
      </c>
      <c r="CR42" s="30">
        <f>IF(81&gt;$B$3,99,INDEX(Symboles!$G$6:$G$101,MOD(80+$C42+(-4),$B$3)+1)*E42+INDEX(Symboles!$G$6:$G$101,MOD(80+$C42+(-3),$B$3)+1)*F42+INDEX(Symboles!$G$6:$G$101,MOD(80+$C42+(-2),$B$3)+1)*G42+INDEX(Symboles!$G$6:$G$101,MOD(80+$C42+(-1),$B$3)+1)*H42+INDEX(Symboles!$G$6:$G$101,MOD(80+$C42+(0),$B$3)+1)*I42+INDEX(Symboles!$G$6:$G$101,MOD(80+$C42+(1),$B$3)+1)*J42+INDEX(Symboles!$G$6:$G$101,MOD(80+$C42+(2),$B$3)+1)*K42+INDEX(Symboles!$G$6:$G$101,MOD(80+$C42+(3),$B$3)+1)*L42+INDEX(Symboles!$G$6:$G$101,MOD(80+$C42+(4),$B$3)+1)*M42+IF($B$6=0,0,$B$6*NORMSINV(0.000001+0.999998*RAND())))</f>
        <v/>
      </c>
      <c r="CS42" s="30">
        <f>IF(82&gt;$B$3,99,INDEX(Symboles!$G$6:$G$101,MOD(81+$C42+(-4),$B$3)+1)*E42+INDEX(Symboles!$G$6:$G$101,MOD(81+$C42+(-3),$B$3)+1)*F42+INDEX(Symboles!$G$6:$G$101,MOD(81+$C42+(-2),$B$3)+1)*G42+INDEX(Symboles!$G$6:$G$101,MOD(81+$C42+(-1),$B$3)+1)*H42+INDEX(Symboles!$G$6:$G$101,MOD(81+$C42+(0),$B$3)+1)*I42+INDEX(Symboles!$G$6:$G$101,MOD(81+$C42+(1),$B$3)+1)*J42+INDEX(Symboles!$G$6:$G$101,MOD(81+$C42+(2),$B$3)+1)*K42+INDEX(Symboles!$G$6:$G$101,MOD(81+$C42+(3),$B$3)+1)*L42+INDEX(Symboles!$G$6:$G$101,MOD(81+$C42+(4),$B$3)+1)*M42+IF($B$6=0,0,$B$6*NORMSINV(0.000001+0.999998*RAND())))</f>
        <v/>
      </c>
      <c r="CT42" s="30">
        <f>IF(83&gt;$B$3,99,INDEX(Symboles!$G$6:$G$101,MOD(82+$C42+(-4),$B$3)+1)*E42+INDEX(Symboles!$G$6:$G$101,MOD(82+$C42+(-3),$B$3)+1)*F42+INDEX(Symboles!$G$6:$G$101,MOD(82+$C42+(-2),$B$3)+1)*G42+INDEX(Symboles!$G$6:$G$101,MOD(82+$C42+(-1),$B$3)+1)*H42+INDEX(Symboles!$G$6:$G$101,MOD(82+$C42+(0),$B$3)+1)*I42+INDEX(Symboles!$G$6:$G$101,MOD(82+$C42+(1),$B$3)+1)*J42+INDEX(Symboles!$G$6:$G$101,MOD(82+$C42+(2),$B$3)+1)*K42+INDEX(Symboles!$G$6:$G$101,MOD(82+$C42+(3),$B$3)+1)*L42+INDEX(Symboles!$G$6:$G$101,MOD(82+$C42+(4),$B$3)+1)*M42+IF($B$6=0,0,$B$6*NORMSINV(0.000001+0.999998*RAND())))</f>
        <v/>
      </c>
      <c r="CU42" s="30">
        <f>IF(84&gt;$B$3,99,INDEX(Symboles!$G$6:$G$101,MOD(83+$C42+(-4),$B$3)+1)*E42+INDEX(Symboles!$G$6:$G$101,MOD(83+$C42+(-3),$B$3)+1)*F42+INDEX(Symboles!$G$6:$G$101,MOD(83+$C42+(-2),$B$3)+1)*G42+INDEX(Symboles!$G$6:$G$101,MOD(83+$C42+(-1),$B$3)+1)*H42+INDEX(Symboles!$G$6:$G$101,MOD(83+$C42+(0),$B$3)+1)*I42+INDEX(Symboles!$G$6:$G$101,MOD(83+$C42+(1),$B$3)+1)*J42+INDEX(Symboles!$G$6:$G$101,MOD(83+$C42+(2),$B$3)+1)*K42+INDEX(Symboles!$G$6:$G$101,MOD(83+$C42+(3),$B$3)+1)*L42+INDEX(Symboles!$G$6:$G$101,MOD(83+$C42+(4),$B$3)+1)*M42+IF($B$6=0,0,$B$6*NORMSINV(0.000001+0.999998*RAND())))</f>
        <v/>
      </c>
      <c r="CV42" s="30">
        <f>IF(85&gt;$B$3,99,INDEX(Symboles!$G$6:$G$101,MOD(84+$C42+(-4),$B$3)+1)*E42+INDEX(Symboles!$G$6:$G$101,MOD(84+$C42+(-3),$B$3)+1)*F42+INDEX(Symboles!$G$6:$G$101,MOD(84+$C42+(-2),$B$3)+1)*G42+INDEX(Symboles!$G$6:$G$101,MOD(84+$C42+(-1),$B$3)+1)*H42+INDEX(Symboles!$G$6:$G$101,MOD(84+$C42+(0),$B$3)+1)*I42+INDEX(Symboles!$G$6:$G$101,MOD(84+$C42+(1),$B$3)+1)*J42+INDEX(Symboles!$G$6:$G$101,MOD(84+$C42+(2),$B$3)+1)*K42+INDEX(Symboles!$G$6:$G$101,MOD(84+$C42+(3),$B$3)+1)*L42+INDEX(Symboles!$G$6:$G$101,MOD(84+$C42+(4),$B$3)+1)*M42+IF($B$6=0,0,$B$6*NORMSINV(0.000001+0.999998*RAND())))</f>
        <v/>
      </c>
      <c r="CW42" s="30">
        <f>IF(86&gt;$B$3,99,INDEX(Symboles!$G$6:$G$101,MOD(85+$C42+(-4),$B$3)+1)*E42+INDEX(Symboles!$G$6:$G$101,MOD(85+$C42+(-3),$B$3)+1)*F42+INDEX(Symboles!$G$6:$G$101,MOD(85+$C42+(-2),$B$3)+1)*G42+INDEX(Symboles!$G$6:$G$101,MOD(85+$C42+(-1),$B$3)+1)*H42+INDEX(Symboles!$G$6:$G$101,MOD(85+$C42+(0),$B$3)+1)*I42+INDEX(Symboles!$G$6:$G$101,MOD(85+$C42+(1),$B$3)+1)*J42+INDEX(Symboles!$G$6:$G$101,MOD(85+$C42+(2),$B$3)+1)*K42+INDEX(Symboles!$G$6:$G$101,MOD(85+$C42+(3),$B$3)+1)*L42+INDEX(Symboles!$G$6:$G$101,MOD(85+$C42+(4),$B$3)+1)*M42+IF($B$6=0,0,$B$6*NORMSINV(0.000001+0.999998*RAND())))</f>
        <v/>
      </c>
      <c r="CX42" s="30">
        <f>IF(87&gt;$B$3,99,INDEX(Symboles!$G$6:$G$101,MOD(86+$C42+(-4),$B$3)+1)*E42+INDEX(Symboles!$G$6:$G$101,MOD(86+$C42+(-3),$B$3)+1)*F42+INDEX(Symboles!$G$6:$G$101,MOD(86+$C42+(-2),$B$3)+1)*G42+INDEX(Symboles!$G$6:$G$101,MOD(86+$C42+(-1),$B$3)+1)*H42+INDEX(Symboles!$G$6:$G$101,MOD(86+$C42+(0),$B$3)+1)*I42+INDEX(Symboles!$G$6:$G$101,MOD(86+$C42+(1),$B$3)+1)*J42+INDEX(Symboles!$G$6:$G$101,MOD(86+$C42+(2),$B$3)+1)*K42+INDEX(Symboles!$G$6:$G$101,MOD(86+$C42+(3),$B$3)+1)*L42+INDEX(Symboles!$G$6:$G$101,MOD(86+$C42+(4),$B$3)+1)*M42+IF($B$6=0,0,$B$6*NORMSINV(0.000001+0.999998*RAND())))</f>
        <v/>
      </c>
      <c r="CY42" s="30">
        <f>IF(88&gt;$B$3,99,INDEX(Symboles!$G$6:$G$101,MOD(87+$C42+(-4),$B$3)+1)*E42+INDEX(Symboles!$G$6:$G$101,MOD(87+$C42+(-3),$B$3)+1)*F42+INDEX(Symboles!$G$6:$G$101,MOD(87+$C42+(-2),$B$3)+1)*G42+INDEX(Symboles!$G$6:$G$101,MOD(87+$C42+(-1),$B$3)+1)*H42+INDEX(Symboles!$G$6:$G$101,MOD(87+$C42+(0),$B$3)+1)*I42+INDEX(Symboles!$G$6:$G$101,MOD(87+$C42+(1),$B$3)+1)*J42+INDEX(Symboles!$G$6:$G$101,MOD(87+$C42+(2),$B$3)+1)*K42+INDEX(Symboles!$G$6:$G$101,MOD(87+$C42+(3),$B$3)+1)*L42+INDEX(Symboles!$G$6:$G$101,MOD(87+$C42+(4),$B$3)+1)*M42+IF($B$6=0,0,$B$6*NORMSINV(0.000001+0.999998*RAND())))</f>
        <v/>
      </c>
      <c r="CZ42" s="30">
        <f>IF(89&gt;$B$3,99,INDEX(Symboles!$G$6:$G$101,MOD(88+$C42+(-4),$B$3)+1)*E42+INDEX(Symboles!$G$6:$G$101,MOD(88+$C42+(-3),$B$3)+1)*F42+INDEX(Symboles!$G$6:$G$101,MOD(88+$C42+(-2),$B$3)+1)*G42+INDEX(Symboles!$G$6:$G$101,MOD(88+$C42+(-1),$B$3)+1)*H42+INDEX(Symboles!$G$6:$G$101,MOD(88+$C42+(0),$B$3)+1)*I42+INDEX(Symboles!$G$6:$G$101,MOD(88+$C42+(1),$B$3)+1)*J42+INDEX(Symboles!$G$6:$G$101,MOD(88+$C42+(2),$B$3)+1)*K42+INDEX(Symboles!$G$6:$G$101,MOD(88+$C42+(3),$B$3)+1)*L42+INDEX(Symboles!$G$6:$G$101,MOD(88+$C42+(4),$B$3)+1)*M42+IF($B$6=0,0,$B$6*NORMSINV(0.000001+0.999998*RAND())))</f>
        <v/>
      </c>
      <c r="DA42" s="30">
        <f>IF(90&gt;$B$3,99,INDEX(Symboles!$G$6:$G$101,MOD(89+$C42+(-4),$B$3)+1)*E42+INDEX(Symboles!$G$6:$G$101,MOD(89+$C42+(-3),$B$3)+1)*F42+INDEX(Symboles!$G$6:$G$101,MOD(89+$C42+(-2),$B$3)+1)*G42+INDEX(Symboles!$G$6:$G$101,MOD(89+$C42+(-1),$B$3)+1)*H42+INDEX(Symboles!$G$6:$G$101,MOD(89+$C42+(0),$B$3)+1)*I42+INDEX(Symboles!$G$6:$G$101,MOD(89+$C42+(1),$B$3)+1)*J42+INDEX(Symboles!$G$6:$G$101,MOD(89+$C42+(2),$B$3)+1)*K42+INDEX(Symboles!$G$6:$G$101,MOD(89+$C42+(3),$B$3)+1)*L42+INDEX(Symboles!$G$6:$G$101,MOD(89+$C42+(4),$B$3)+1)*M42+IF($B$6=0,0,$B$6*NORMSINV(0.000001+0.999998*RAND())))</f>
        <v/>
      </c>
      <c r="DB42" s="30">
        <f>IF(91&gt;$B$3,99,INDEX(Symboles!$G$6:$G$101,MOD(90+$C42+(-4),$B$3)+1)*E42+INDEX(Symboles!$G$6:$G$101,MOD(90+$C42+(-3),$B$3)+1)*F42+INDEX(Symboles!$G$6:$G$101,MOD(90+$C42+(-2),$B$3)+1)*G42+INDEX(Symboles!$G$6:$G$101,MOD(90+$C42+(-1),$B$3)+1)*H42+INDEX(Symboles!$G$6:$G$101,MOD(90+$C42+(0),$B$3)+1)*I42+INDEX(Symboles!$G$6:$G$101,MOD(90+$C42+(1),$B$3)+1)*J42+INDEX(Symboles!$G$6:$G$101,MOD(90+$C42+(2),$B$3)+1)*K42+INDEX(Symboles!$G$6:$G$101,MOD(90+$C42+(3),$B$3)+1)*L42+INDEX(Symboles!$G$6:$G$101,MOD(90+$C42+(4),$B$3)+1)*M42+IF($B$6=0,0,$B$6*NORMSINV(0.000001+0.999998*RAND())))</f>
        <v/>
      </c>
      <c r="DC42" s="30">
        <f>IF(92&gt;$B$3,99,INDEX(Symboles!$G$6:$G$101,MOD(91+$C42+(-4),$B$3)+1)*E42+INDEX(Symboles!$G$6:$G$101,MOD(91+$C42+(-3),$B$3)+1)*F42+INDEX(Symboles!$G$6:$G$101,MOD(91+$C42+(-2),$B$3)+1)*G42+INDEX(Symboles!$G$6:$G$101,MOD(91+$C42+(-1),$B$3)+1)*H42+INDEX(Symboles!$G$6:$G$101,MOD(91+$C42+(0),$B$3)+1)*I42+INDEX(Symboles!$G$6:$G$101,MOD(91+$C42+(1),$B$3)+1)*J42+INDEX(Symboles!$G$6:$G$101,MOD(91+$C42+(2),$B$3)+1)*K42+INDEX(Symboles!$G$6:$G$101,MOD(91+$C42+(3),$B$3)+1)*L42+INDEX(Symboles!$G$6:$G$101,MOD(91+$C42+(4),$B$3)+1)*M42+IF($B$6=0,0,$B$6*NORMSINV(0.000001+0.999998*RAND())))</f>
        <v/>
      </c>
      <c r="DD42" s="30">
        <f>IF(93&gt;$B$3,99,INDEX(Symboles!$G$6:$G$101,MOD(92+$C42+(-4),$B$3)+1)*E42+INDEX(Symboles!$G$6:$G$101,MOD(92+$C42+(-3),$B$3)+1)*F42+INDEX(Symboles!$G$6:$G$101,MOD(92+$C42+(-2),$B$3)+1)*G42+INDEX(Symboles!$G$6:$G$101,MOD(92+$C42+(-1),$B$3)+1)*H42+INDEX(Symboles!$G$6:$G$101,MOD(92+$C42+(0),$B$3)+1)*I42+INDEX(Symboles!$G$6:$G$101,MOD(92+$C42+(1),$B$3)+1)*J42+INDEX(Symboles!$G$6:$G$101,MOD(92+$C42+(2),$B$3)+1)*K42+INDEX(Symboles!$G$6:$G$101,MOD(92+$C42+(3),$B$3)+1)*L42+INDEX(Symboles!$G$6:$G$101,MOD(92+$C42+(4),$B$3)+1)*M42+IF($B$6=0,0,$B$6*NORMSINV(0.000001+0.999998*RAND())))</f>
        <v/>
      </c>
      <c r="DE42" s="30">
        <f>IF(94&gt;$B$3,99,INDEX(Symboles!$G$6:$G$101,MOD(93+$C42+(-4),$B$3)+1)*E42+INDEX(Symboles!$G$6:$G$101,MOD(93+$C42+(-3),$B$3)+1)*F42+INDEX(Symboles!$G$6:$G$101,MOD(93+$C42+(-2),$B$3)+1)*G42+INDEX(Symboles!$G$6:$G$101,MOD(93+$C42+(-1),$B$3)+1)*H42+INDEX(Symboles!$G$6:$G$101,MOD(93+$C42+(0),$B$3)+1)*I42+INDEX(Symboles!$G$6:$G$101,MOD(93+$C42+(1),$B$3)+1)*J42+INDEX(Symboles!$G$6:$G$101,MOD(93+$C42+(2),$B$3)+1)*K42+INDEX(Symboles!$G$6:$G$101,MOD(93+$C42+(3),$B$3)+1)*L42+INDEX(Symboles!$G$6:$G$101,MOD(93+$C42+(4),$B$3)+1)*M42+IF($B$6=0,0,$B$6*NORMSINV(0.000001+0.999998*RAND())))</f>
        <v/>
      </c>
      <c r="DF42" s="30">
        <f>IF(95&gt;$B$3,99,INDEX(Symboles!$G$6:$G$101,MOD(94+$C42+(-4),$B$3)+1)*E42+INDEX(Symboles!$G$6:$G$101,MOD(94+$C42+(-3),$B$3)+1)*F42+INDEX(Symboles!$G$6:$G$101,MOD(94+$C42+(-2),$B$3)+1)*G42+INDEX(Symboles!$G$6:$G$101,MOD(94+$C42+(-1),$B$3)+1)*H42+INDEX(Symboles!$G$6:$G$101,MOD(94+$C42+(0),$B$3)+1)*I42+INDEX(Symboles!$G$6:$G$101,MOD(94+$C42+(1),$B$3)+1)*J42+INDEX(Symboles!$G$6:$G$101,MOD(94+$C42+(2),$B$3)+1)*K42+INDEX(Symboles!$G$6:$G$101,MOD(94+$C42+(3),$B$3)+1)*L42+INDEX(Symboles!$G$6:$G$101,MOD(94+$C42+(4),$B$3)+1)*M42+IF($B$6=0,0,$B$6*NORMSINV(0.000001+0.999998*RAND())))</f>
        <v/>
      </c>
      <c r="DG42" s="30">
        <f>IF(96&gt;$B$3,99,INDEX(Symboles!$G$6:$G$101,MOD(95+$C42+(-4),$B$3)+1)*E42+INDEX(Symboles!$G$6:$G$101,MOD(95+$C42+(-3),$B$3)+1)*F42+INDEX(Symboles!$G$6:$G$101,MOD(95+$C42+(-2),$B$3)+1)*G42+INDEX(Symboles!$G$6:$G$101,MOD(95+$C42+(-1),$B$3)+1)*H42+INDEX(Symboles!$G$6:$G$101,MOD(95+$C42+(0),$B$3)+1)*I42+INDEX(Symboles!$G$6:$G$101,MOD(95+$C42+(1),$B$3)+1)*J42+INDEX(Symboles!$G$6:$G$101,MOD(95+$C42+(2),$B$3)+1)*K42+INDEX(Symboles!$G$6:$G$101,MOD(95+$C42+(3),$B$3)+1)*L42+INDEX(Symboles!$G$6:$G$101,MOD(95+$C42+(4),$B$3)+1)*M42+IF($B$6=0,0,$B$6*NORMSINV(0.000001+0.999998*RAND())))</f>
        <v/>
      </c>
      <c r="DI42" s="30">
        <f>IF(1&gt;$B$3,99,INDEX(Symboles!$H$6:$H$101,MOD(0+$C42+(-4),$B$3)+1)*E42+INDEX(Symboles!$H$6:$H$101,MOD(0+$C42+(-3),$B$3)+1)*F42+INDEX(Symboles!$H$6:$H$101,MOD(0+$C42+(-2),$B$3)+1)*G42+INDEX(Symboles!$H$6:$H$101,MOD(0+$C42+(-1),$B$3)+1)*H42+INDEX(Symboles!$H$6:$H$101,MOD(0+$C42+(0),$B$3)+1)*I42+INDEX(Symboles!$H$6:$H$101,MOD(0+$C42+(1),$B$3)+1)*J42+INDEX(Symboles!$H$6:$H$101,MOD(0+$C42+(2),$B$3)+1)*K42+INDEX(Symboles!$H$6:$H$101,MOD(0+$C42+(3),$B$3)+1)*L42+INDEX(Symboles!$H$6:$H$101,MOD(0+$C42+(4),$B$3)+1)*M42+IF($B$6=0,0,$B$6*NORMSINV(0.000001+0.999998*RAND())))</f>
        <v/>
      </c>
      <c r="DJ42" s="30">
        <f>IF(2&gt;$B$3,99,INDEX(Symboles!$H$6:$H$101,MOD(1+$C42+(-4),$B$3)+1)*E42+INDEX(Symboles!$H$6:$H$101,MOD(1+$C42+(-3),$B$3)+1)*F42+INDEX(Symboles!$H$6:$H$101,MOD(1+$C42+(-2),$B$3)+1)*G42+INDEX(Symboles!$H$6:$H$101,MOD(1+$C42+(-1),$B$3)+1)*H42+INDEX(Symboles!$H$6:$H$101,MOD(1+$C42+(0),$B$3)+1)*I42+INDEX(Symboles!$H$6:$H$101,MOD(1+$C42+(1),$B$3)+1)*J42+INDEX(Symboles!$H$6:$H$101,MOD(1+$C42+(2),$B$3)+1)*K42+INDEX(Symboles!$H$6:$H$101,MOD(1+$C42+(3),$B$3)+1)*L42+INDEX(Symboles!$H$6:$H$101,MOD(1+$C42+(4),$B$3)+1)*M42+IF($B$6=0,0,$B$6*NORMSINV(0.000001+0.999998*RAND())))</f>
        <v/>
      </c>
      <c r="DK42" s="30">
        <f>IF(3&gt;$B$3,99,INDEX(Symboles!$H$6:$H$101,MOD(2+$C42+(-4),$B$3)+1)*E42+INDEX(Symboles!$H$6:$H$101,MOD(2+$C42+(-3),$B$3)+1)*F42+INDEX(Symboles!$H$6:$H$101,MOD(2+$C42+(-2),$B$3)+1)*G42+INDEX(Symboles!$H$6:$H$101,MOD(2+$C42+(-1),$B$3)+1)*H42+INDEX(Symboles!$H$6:$H$101,MOD(2+$C42+(0),$B$3)+1)*I42+INDEX(Symboles!$H$6:$H$101,MOD(2+$C42+(1),$B$3)+1)*J42+INDEX(Symboles!$H$6:$H$101,MOD(2+$C42+(2),$B$3)+1)*K42+INDEX(Symboles!$H$6:$H$101,MOD(2+$C42+(3),$B$3)+1)*L42+INDEX(Symboles!$H$6:$H$101,MOD(2+$C42+(4),$B$3)+1)*M42+IF($B$6=0,0,$B$6*NORMSINV(0.000001+0.999998*RAND())))</f>
        <v/>
      </c>
      <c r="DL42" s="30">
        <f>IF(4&gt;$B$3,99,INDEX(Symboles!$H$6:$H$101,MOD(3+$C42+(-4),$B$3)+1)*E42+INDEX(Symboles!$H$6:$H$101,MOD(3+$C42+(-3),$B$3)+1)*F42+INDEX(Symboles!$H$6:$H$101,MOD(3+$C42+(-2),$B$3)+1)*G42+INDEX(Symboles!$H$6:$H$101,MOD(3+$C42+(-1),$B$3)+1)*H42+INDEX(Symboles!$H$6:$H$101,MOD(3+$C42+(0),$B$3)+1)*I42+INDEX(Symboles!$H$6:$H$101,MOD(3+$C42+(1),$B$3)+1)*J42+INDEX(Symboles!$H$6:$H$101,MOD(3+$C42+(2),$B$3)+1)*K42+INDEX(Symboles!$H$6:$H$101,MOD(3+$C42+(3),$B$3)+1)*L42+INDEX(Symboles!$H$6:$H$101,MOD(3+$C42+(4),$B$3)+1)*M42+IF($B$6=0,0,$B$6*NORMSINV(0.000001+0.999998*RAND())))</f>
        <v/>
      </c>
      <c r="DM42" s="30">
        <f>IF(5&gt;$B$3,99,INDEX(Symboles!$H$6:$H$101,MOD(4+$C42+(-4),$B$3)+1)*E42+INDEX(Symboles!$H$6:$H$101,MOD(4+$C42+(-3),$B$3)+1)*F42+INDEX(Symboles!$H$6:$H$101,MOD(4+$C42+(-2),$B$3)+1)*G42+INDEX(Symboles!$H$6:$H$101,MOD(4+$C42+(-1),$B$3)+1)*H42+INDEX(Symboles!$H$6:$H$101,MOD(4+$C42+(0),$B$3)+1)*I42+INDEX(Symboles!$H$6:$H$101,MOD(4+$C42+(1),$B$3)+1)*J42+INDEX(Symboles!$H$6:$H$101,MOD(4+$C42+(2),$B$3)+1)*K42+INDEX(Symboles!$H$6:$H$101,MOD(4+$C42+(3),$B$3)+1)*L42+INDEX(Symboles!$H$6:$H$101,MOD(4+$C42+(4),$B$3)+1)*M42+IF($B$6=0,0,$B$6*NORMSINV(0.000001+0.999998*RAND())))</f>
        <v/>
      </c>
      <c r="DN42" s="30">
        <f>IF(6&gt;$B$3,99,INDEX(Symboles!$H$6:$H$101,MOD(5+$C42+(-4),$B$3)+1)*E42+INDEX(Symboles!$H$6:$H$101,MOD(5+$C42+(-3),$B$3)+1)*F42+INDEX(Symboles!$H$6:$H$101,MOD(5+$C42+(-2),$B$3)+1)*G42+INDEX(Symboles!$H$6:$H$101,MOD(5+$C42+(-1),$B$3)+1)*H42+INDEX(Symboles!$H$6:$H$101,MOD(5+$C42+(0),$B$3)+1)*I42+INDEX(Symboles!$H$6:$H$101,MOD(5+$C42+(1),$B$3)+1)*J42+INDEX(Symboles!$H$6:$H$101,MOD(5+$C42+(2),$B$3)+1)*K42+INDEX(Symboles!$H$6:$H$101,MOD(5+$C42+(3),$B$3)+1)*L42+INDEX(Symboles!$H$6:$H$101,MOD(5+$C42+(4),$B$3)+1)*M42+IF($B$6=0,0,$B$6*NORMSINV(0.000001+0.999998*RAND())))</f>
        <v/>
      </c>
      <c r="DO42" s="30">
        <f>IF(7&gt;$B$3,99,INDEX(Symboles!$H$6:$H$101,MOD(6+$C42+(-4),$B$3)+1)*E42+INDEX(Symboles!$H$6:$H$101,MOD(6+$C42+(-3),$B$3)+1)*F42+INDEX(Symboles!$H$6:$H$101,MOD(6+$C42+(-2),$B$3)+1)*G42+INDEX(Symboles!$H$6:$H$101,MOD(6+$C42+(-1),$B$3)+1)*H42+INDEX(Symboles!$H$6:$H$101,MOD(6+$C42+(0),$B$3)+1)*I42+INDEX(Symboles!$H$6:$H$101,MOD(6+$C42+(1),$B$3)+1)*J42+INDEX(Symboles!$H$6:$H$101,MOD(6+$C42+(2),$B$3)+1)*K42+INDEX(Symboles!$H$6:$H$101,MOD(6+$C42+(3),$B$3)+1)*L42+INDEX(Symboles!$H$6:$H$101,MOD(6+$C42+(4),$B$3)+1)*M42+IF($B$6=0,0,$B$6*NORMSINV(0.000001+0.999998*RAND())))</f>
        <v/>
      </c>
      <c r="DP42" s="30">
        <f>IF(8&gt;$B$3,99,INDEX(Symboles!$H$6:$H$101,MOD(7+$C42+(-4),$B$3)+1)*E42+INDEX(Symboles!$H$6:$H$101,MOD(7+$C42+(-3),$B$3)+1)*F42+INDEX(Symboles!$H$6:$H$101,MOD(7+$C42+(-2),$B$3)+1)*G42+INDEX(Symboles!$H$6:$H$101,MOD(7+$C42+(-1),$B$3)+1)*H42+INDEX(Symboles!$H$6:$H$101,MOD(7+$C42+(0),$B$3)+1)*I42+INDEX(Symboles!$H$6:$H$101,MOD(7+$C42+(1),$B$3)+1)*J42+INDEX(Symboles!$H$6:$H$101,MOD(7+$C42+(2),$B$3)+1)*K42+INDEX(Symboles!$H$6:$H$101,MOD(7+$C42+(3),$B$3)+1)*L42+INDEX(Symboles!$H$6:$H$101,MOD(7+$C42+(4),$B$3)+1)*M42+IF($B$6=0,0,$B$6*NORMSINV(0.000001+0.999998*RAND())))</f>
        <v/>
      </c>
      <c r="DQ42" s="30">
        <f>IF(9&gt;$B$3,99,INDEX(Symboles!$H$6:$H$101,MOD(8+$C42+(-4),$B$3)+1)*E42+INDEX(Symboles!$H$6:$H$101,MOD(8+$C42+(-3),$B$3)+1)*F42+INDEX(Symboles!$H$6:$H$101,MOD(8+$C42+(-2),$B$3)+1)*G42+INDEX(Symboles!$H$6:$H$101,MOD(8+$C42+(-1),$B$3)+1)*H42+INDEX(Symboles!$H$6:$H$101,MOD(8+$C42+(0),$B$3)+1)*I42+INDEX(Symboles!$H$6:$H$101,MOD(8+$C42+(1),$B$3)+1)*J42+INDEX(Symboles!$H$6:$H$101,MOD(8+$C42+(2),$B$3)+1)*K42+INDEX(Symboles!$H$6:$H$101,MOD(8+$C42+(3),$B$3)+1)*L42+INDEX(Symboles!$H$6:$H$101,MOD(8+$C42+(4),$B$3)+1)*M42+IF($B$6=0,0,$B$6*NORMSINV(0.000001+0.999998*RAND())))</f>
        <v/>
      </c>
      <c r="DR42" s="30">
        <f>IF(10&gt;$B$3,99,INDEX(Symboles!$H$6:$H$101,MOD(9+$C42+(-4),$B$3)+1)*E42+INDEX(Symboles!$H$6:$H$101,MOD(9+$C42+(-3),$B$3)+1)*F42+INDEX(Symboles!$H$6:$H$101,MOD(9+$C42+(-2),$B$3)+1)*G42+INDEX(Symboles!$H$6:$H$101,MOD(9+$C42+(-1),$B$3)+1)*H42+INDEX(Symboles!$H$6:$H$101,MOD(9+$C42+(0),$B$3)+1)*I42+INDEX(Symboles!$H$6:$H$101,MOD(9+$C42+(1),$B$3)+1)*J42+INDEX(Symboles!$H$6:$H$101,MOD(9+$C42+(2),$B$3)+1)*K42+INDEX(Symboles!$H$6:$H$101,MOD(9+$C42+(3),$B$3)+1)*L42+INDEX(Symboles!$H$6:$H$101,MOD(9+$C42+(4),$B$3)+1)*M42+IF($B$6=0,0,$B$6*NORMSINV(0.000001+0.999998*RAND())))</f>
        <v/>
      </c>
      <c r="DS42" s="30">
        <f>IF(11&gt;$B$3,99,INDEX(Symboles!$H$6:$H$101,MOD(10+$C42+(-4),$B$3)+1)*E42+INDEX(Symboles!$H$6:$H$101,MOD(10+$C42+(-3),$B$3)+1)*F42+INDEX(Symboles!$H$6:$H$101,MOD(10+$C42+(-2),$B$3)+1)*G42+INDEX(Symboles!$H$6:$H$101,MOD(10+$C42+(-1),$B$3)+1)*H42+INDEX(Symboles!$H$6:$H$101,MOD(10+$C42+(0),$B$3)+1)*I42+INDEX(Symboles!$H$6:$H$101,MOD(10+$C42+(1),$B$3)+1)*J42+INDEX(Symboles!$H$6:$H$101,MOD(10+$C42+(2),$B$3)+1)*K42+INDEX(Symboles!$H$6:$H$101,MOD(10+$C42+(3),$B$3)+1)*L42+INDEX(Symboles!$H$6:$H$101,MOD(10+$C42+(4),$B$3)+1)*M42+IF($B$6=0,0,$B$6*NORMSINV(0.000001+0.999998*RAND())))</f>
        <v/>
      </c>
      <c r="DT42" s="30">
        <f>IF(12&gt;$B$3,99,INDEX(Symboles!$H$6:$H$101,MOD(11+$C42+(-4),$B$3)+1)*E42+INDEX(Symboles!$H$6:$H$101,MOD(11+$C42+(-3),$B$3)+1)*F42+INDEX(Symboles!$H$6:$H$101,MOD(11+$C42+(-2),$B$3)+1)*G42+INDEX(Symboles!$H$6:$H$101,MOD(11+$C42+(-1),$B$3)+1)*H42+INDEX(Symboles!$H$6:$H$101,MOD(11+$C42+(0),$B$3)+1)*I42+INDEX(Symboles!$H$6:$H$101,MOD(11+$C42+(1),$B$3)+1)*J42+INDEX(Symboles!$H$6:$H$101,MOD(11+$C42+(2),$B$3)+1)*K42+INDEX(Symboles!$H$6:$H$101,MOD(11+$C42+(3),$B$3)+1)*L42+INDEX(Symboles!$H$6:$H$101,MOD(11+$C42+(4),$B$3)+1)*M42+IF($B$6=0,0,$B$6*NORMSINV(0.000001+0.999998*RAND())))</f>
        <v/>
      </c>
      <c r="DU42" s="30">
        <f>IF(13&gt;$B$3,99,INDEX(Symboles!$H$6:$H$101,MOD(12+$C42+(-4),$B$3)+1)*E42+INDEX(Symboles!$H$6:$H$101,MOD(12+$C42+(-3),$B$3)+1)*F42+INDEX(Symboles!$H$6:$H$101,MOD(12+$C42+(-2),$B$3)+1)*G42+INDEX(Symboles!$H$6:$H$101,MOD(12+$C42+(-1),$B$3)+1)*H42+INDEX(Symboles!$H$6:$H$101,MOD(12+$C42+(0),$B$3)+1)*I42+INDEX(Symboles!$H$6:$H$101,MOD(12+$C42+(1),$B$3)+1)*J42+INDEX(Symboles!$H$6:$H$101,MOD(12+$C42+(2),$B$3)+1)*K42+INDEX(Symboles!$H$6:$H$101,MOD(12+$C42+(3),$B$3)+1)*L42+INDEX(Symboles!$H$6:$H$101,MOD(12+$C42+(4),$B$3)+1)*M42+IF($B$6=0,0,$B$6*NORMSINV(0.000001+0.999998*RAND())))</f>
        <v/>
      </c>
      <c r="DV42" s="30">
        <f>IF(14&gt;$B$3,99,INDEX(Symboles!$H$6:$H$101,MOD(13+$C42+(-4),$B$3)+1)*E42+INDEX(Symboles!$H$6:$H$101,MOD(13+$C42+(-3),$B$3)+1)*F42+INDEX(Symboles!$H$6:$H$101,MOD(13+$C42+(-2),$B$3)+1)*G42+INDEX(Symboles!$H$6:$H$101,MOD(13+$C42+(-1),$B$3)+1)*H42+INDEX(Symboles!$H$6:$H$101,MOD(13+$C42+(0),$B$3)+1)*I42+INDEX(Symboles!$H$6:$H$101,MOD(13+$C42+(1),$B$3)+1)*J42+INDEX(Symboles!$H$6:$H$101,MOD(13+$C42+(2),$B$3)+1)*K42+INDEX(Symboles!$H$6:$H$101,MOD(13+$C42+(3),$B$3)+1)*L42+INDEX(Symboles!$H$6:$H$101,MOD(13+$C42+(4),$B$3)+1)*M42+IF($B$6=0,0,$B$6*NORMSINV(0.000001+0.999998*RAND())))</f>
        <v/>
      </c>
      <c r="DW42" s="30">
        <f>IF(15&gt;$B$3,99,INDEX(Symboles!$H$6:$H$101,MOD(14+$C42+(-4),$B$3)+1)*E42+INDEX(Symboles!$H$6:$H$101,MOD(14+$C42+(-3),$B$3)+1)*F42+INDEX(Symboles!$H$6:$H$101,MOD(14+$C42+(-2),$B$3)+1)*G42+INDEX(Symboles!$H$6:$H$101,MOD(14+$C42+(-1),$B$3)+1)*H42+INDEX(Symboles!$H$6:$H$101,MOD(14+$C42+(0),$B$3)+1)*I42+INDEX(Symboles!$H$6:$H$101,MOD(14+$C42+(1),$B$3)+1)*J42+INDEX(Symboles!$H$6:$H$101,MOD(14+$C42+(2),$B$3)+1)*K42+INDEX(Symboles!$H$6:$H$101,MOD(14+$C42+(3),$B$3)+1)*L42+INDEX(Symboles!$H$6:$H$101,MOD(14+$C42+(4),$B$3)+1)*M42+IF($B$6=0,0,$B$6*NORMSINV(0.000001+0.999998*RAND())))</f>
        <v/>
      </c>
      <c r="DX42" s="30">
        <f>IF(16&gt;$B$3,99,INDEX(Symboles!$H$6:$H$101,MOD(15+$C42+(-4),$B$3)+1)*E42+INDEX(Symboles!$H$6:$H$101,MOD(15+$C42+(-3),$B$3)+1)*F42+INDEX(Symboles!$H$6:$H$101,MOD(15+$C42+(-2),$B$3)+1)*G42+INDEX(Symboles!$H$6:$H$101,MOD(15+$C42+(-1),$B$3)+1)*H42+INDEX(Symboles!$H$6:$H$101,MOD(15+$C42+(0),$B$3)+1)*I42+INDEX(Symboles!$H$6:$H$101,MOD(15+$C42+(1),$B$3)+1)*J42+INDEX(Symboles!$H$6:$H$101,MOD(15+$C42+(2),$B$3)+1)*K42+INDEX(Symboles!$H$6:$H$101,MOD(15+$C42+(3),$B$3)+1)*L42+INDEX(Symboles!$H$6:$H$101,MOD(15+$C42+(4),$B$3)+1)*M42+IF($B$6=0,0,$B$6*NORMSINV(0.000001+0.999998*RAND())))</f>
        <v/>
      </c>
      <c r="DY42" s="30">
        <f>IF(17&gt;$B$3,99,INDEX(Symboles!$H$6:$H$101,MOD(16+$C42+(-4),$B$3)+1)*E42+INDEX(Symboles!$H$6:$H$101,MOD(16+$C42+(-3),$B$3)+1)*F42+INDEX(Symboles!$H$6:$H$101,MOD(16+$C42+(-2),$B$3)+1)*G42+INDEX(Symboles!$H$6:$H$101,MOD(16+$C42+(-1),$B$3)+1)*H42+INDEX(Symboles!$H$6:$H$101,MOD(16+$C42+(0),$B$3)+1)*I42+INDEX(Symboles!$H$6:$H$101,MOD(16+$C42+(1),$B$3)+1)*J42+INDEX(Symboles!$H$6:$H$101,MOD(16+$C42+(2),$B$3)+1)*K42+INDEX(Symboles!$H$6:$H$101,MOD(16+$C42+(3),$B$3)+1)*L42+INDEX(Symboles!$H$6:$H$101,MOD(16+$C42+(4),$B$3)+1)*M42+IF($B$6=0,0,$B$6*NORMSINV(0.000001+0.999998*RAND())))</f>
        <v/>
      </c>
      <c r="DZ42" s="30">
        <f>IF(18&gt;$B$3,99,INDEX(Symboles!$H$6:$H$101,MOD(17+$C42+(-4),$B$3)+1)*E42+INDEX(Symboles!$H$6:$H$101,MOD(17+$C42+(-3),$B$3)+1)*F42+INDEX(Symboles!$H$6:$H$101,MOD(17+$C42+(-2),$B$3)+1)*G42+INDEX(Symboles!$H$6:$H$101,MOD(17+$C42+(-1),$B$3)+1)*H42+INDEX(Symboles!$H$6:$H$101,MOD(17+$C42+(0),$B$3)+1)*I42+INDEX(Symboles!$H$6:$H$101,MOD(17+$C42+(1),$B$3)+1)*J42+INDEX(Symboles!$H$6:$H$101,MOD(17+$C42+(2),$B$3)+1)*K42+INDEX(Symboles!$H$6:$H$101,MOD(17+$C42+(3),$B$3)+1)*L42+INDEX(Symboles!$H$6:$H$101,MOD(17+$C42+(4),$B$3)+1)*M42+IF($B$6=0,0,$B$6*NORMSINV(0.000001+0.999998*RAND())))</f>
        <v/>
      </c>
      <c r="EA42" s="30">
        <f>IF(19&gt;$B$3,99,INDEX(Symboles!$H$6:$H$101,MOD(18+$C42+(-4),$B$3)+1)*E42+INDEX(Symboles!$H$6:$H$101,MOD(18+$C42+(-3),$B$3)+1)*F42+INDEX(Symboles!$H$6:$H$101,MOD(18+$C42+(-2),$B$3)+1)*G42+INDEX(Symboles!$H$6:$H$101,MOD(18+$C42+(-1),$B$3)+1)*H42+INDEX(Symboles!$H$6:$H$101,MOD(18+$C42+(0),$B$3)+1)*I42+INDEX(Symboles!$H$6:$H$101,MOD(18+$C42+(1),$B$3)+1)*J42+INDEX(Symboles!$H$6:$H$101,MOD(18+$C42+(2),$B$3)+1)*K42+INDEX(Symboles!$H$6:$H$101,MOD(18+$C42+(3),$B$3)+1)*L42+INDEX(Symboles!$H$6:$H$101,MOD(18+$C42+(4),$B$3)+1)*M42+IF($B$6=0,0,$B$6*NORMSINV(0.000001+0.999998*RAND())))</f>
        <v/>
      </c>
      <c r="EB42" s="30">
        <f>IF(20&gt;$B$3,99,INDEX(Symboles!$H$6:$H$101,MOD(19+$C42+(-4),$B$3)+1)*E42+INDEX(Symboles!$H$6:$H$101,MOD(19+$C42+(-3),$B$3)+1)*F42+INDEX(Symboles!$H$6:$H$101,MOD(19+$C42+(-2),$B$3)+1)*G42+INDEX(Symboles!$H$6:$H$101,MOD(19+$C42+(-1),$B$3)+1)*H42+INDEX(Symboles!$H$6:$H$101,MOD(19+$C42+(0),$B$3)+1)*I42+INDEX(Symboles!$H$6:$H$101,MOD(19+$C42+(1),$B$3)+1)*J42+INDEX(Symboles!$H$6:$H$101,MOD(19+$C42+(2),$B$3)+1)*K42+INDEX(Symboles!$H$6:$H$101,MOD(19+$C42+(3),$B$3)+1)*L42+INDEX(Symboles!$H$6:$H$101,MOD(19+$C42+(4),$B$3)+1)*M42+IF($B$6=0,0,$B$6*NORMSINV(0.000001+0.999998*RAND())))</f>
        <v/>
      </c>
      <c r="EC42" s="30">
        <f>IF(21&gt;$B$3,99,INDEX(Symboles!$H$6:$H$101,MOD(20+$C42+(-4),$B$3)+1)*E42+INDEX(Symboles!$H$6:$H$101,MOD(20+$C42+(-3),$B$3)+1)*F42+INDEX(Symboles!$H$6:$H$101,MOD(20+$C42+(-2),$B$3)+1)*G42+INDEX(Symboles!$H$6:$H$101,MOD(20+$C42+(-1),$B$3)+1)*H42+INDEX(Symboles!$H$6:$H$101,MOD(20+$C42+(0),$B$3)+1)*I42+INDEX(Symboles!$H$6:$H$101,MOD(20+$C42+(1),$B$3)+1)*J42+INDEX(Symboles!$H$6:$H$101,MOD(20+$C42+(2),$B$3)+1)*K42+INDEX(Symboles!$H$6:$H$101,MOD(20+$C42+(3),$B$3)+1)*L42+INDEX(Symboles!$H$6:$H$101,MOD(20+$C42+(4),$B$3)+1)*M42+IF($B$6=0,0,$B$6*NORMSINV(0.000001+0.999998*RAND())))</f>
        <v/>
      </c>
      <c r="ED42" s="30">
        <f>IF(22&gt;$B$3,99,INDEX(Symboles!$H$6:$H$101,MOD(21+$C42+(-4),$B$3)+1)*E42+INDEX(Symboles!$H$6:$H$101,MOD(21+$C42+(-3),$B$3)+1)*F42+INDEX(Symboles!$H$6:$H$101,MOD(21+$C42+(-2),$B$3)+1)*G42+INDEX(Symboles!$H$6:$H$101,MOD(21+$C42+(-1),$B$3)+1)*H42+INDEX(Symboles!$H$6:$H$101,MOD(21+$C42+(0),$B$3)+1)*I42+INDEX(Symboles!$H$6:$H$101,MOD(21+$C42+(1),$B$3)+1)*J42+INDEX(Symboles!$H$6:$H$101,MOD(21+$C42+(2),$B$3)+1)*K42+INDEX(Symboles!$H$6:$H$101,MOD(21+$C42+(3),$B$3)+1)*L42+INDEX(Symboles!$H$6:$H$101,MOD(21+$C42+(4),$B$3)+1)*M42+IF($B$6=0,0,$B$6*NORMSINV(0.000001+0.999998*RAND())))</f>
        <v/>
      </c>
      <c r="EE42" s="30">
        <f>IF(23&gt;$B$3,99,INDEX(Symboles!$H$6:$H$101,MOD(22+$C42+(-4),$B$3)+1)*E42+INDEX(Symboles!$H$6:$H$101,MOD(22+$C42+(-3),$B$3)+1)*F42+INDEX(Symboles!$H$6:$H$101,MOD(22+$C42+(-2),$B$3)+1)*G42+INDEX(Symboles!$H$6:$H$101,MOD(22+$C42+(-1),$B$3)+1)*H42+INDEX(Symboles!$H$6:$H$101,MOD(22+$C42+(0),$B$3)+1)*I42+INDEX(Symboles!$H$6:$H$101,MOD(22+$C42+(1),$B$3)+1)*J42+INDEX(Symboles!$H$6:$H$101,MOD(22+$C42+(2),$B$3)+1)*K42+INDEX(Symboles!$H$6:$H$101,MOD(22+$C42+(3),$B$3)+1)*L42+INDEX(Symboles!$H$6:$H$101,MOD(22+$C42+(4),$B$3)+1)*M42+IF($B$6=0,0,$B$6*NORMSINV(0.000001+0.999998*RAND())))</f>
        <v/>
      </c>
      <c r="EF42" s="30">
        <f>IF(24&gt;$B$3,99,INDEX(Symboles!$H$6:$H$101,MOD(23+$C42+(-4),$B$3)+1)*E42+INDEX(Symboles!$H$6:$H$101,MOD(23+$C42+(-3),$B$3)+1)*F42+INDEX(Symboles!$H$6:$H$101,MOD(23+$C42+(-2),$B$3)+1)*G42+INDEX(Symboles!$H$6:$H$101,MOD(23+$C42+(-1),$B$3)+1)*H42+INDEX(Symboles!$H$6:$H$101,MOD(23+$C42+(0),$B$3)+1)*I42+INDEX(Symboles!$H$6:$H$101,MOD(23+$C42+(1),$B$3)+1)*J42+INDEX(Symboles!$H$6:$H$101,MOD(23+$C42+(2),$B$3)+1)*K42+INDEX(Symboles!$H$6:$H$101,MOD(23+$C42+(3),$B$3)+1)*L42+INDEX(Symboles!$H$6:$H$101,MOD(23+$C42+(4),$B$3)+1)*M42+IF($B$6=0,0,$B$6*NORMSINV(0.000001+0.999998*RAND())))</f>
        <v/>
      </c>
      <c r="EG42" s="30">
        <f>IF(25&gt;$B$3,99,INDEX(Symboles!$H$6:$H$101,MOD(24+$C42+(-4),$B$3)+1)*E42+INDEX(Symboles!$H$6:$H$101,MOD(24+$C42+(-3),$B$3)+1)*F42+INDEX(Symboles!$H$6:$H$101,MOD(24+$C42+(-2),$B$3)+1)*G42+INDEX(Symboles!$H$6:$H$101,MOD(24+$C42+(-1),$B$3)+1)*H42+INDEX(Symboles!$H$6:$H$101,MOD(24+$C42+(0),$B$3)+1)*I42+INDEX(Symboles!$H$6:$H$101,MOD(24+$C42+(1),$B$3)+1)*J42+INDEX(Symboles!$H$6:$H$101,MOD(24+$C42+(2),$B$3)+1)*K42+INDEX(Symboles!$H$6:$H$101,MOD(24+$C42+(3),$B$3)+1)*L42+INDEX(Symboles!$H$6:$H$101,MOD(24+$C42+(4),$B$3)+1)*M42+IF($B$6=0,0,$B$6*NORMSINV(0.000001+0.999998*RAND())))</f>
        <v/>
      </c>
      <c r="EH42" s="30">
        <f>IF(26&gt;$B$3,99,INDEX(Symboles!$H$6:$H$101,MOD(25+$C42+(-4),$B$3)+1)*E42+INDEX(Symboles!$H$6:$H$101,MOD(25+$C42+(-3),$B$3)+1)*F42+INDEX(Symboles!$H$6:$H$101,MOD(25+$C42+(-2),$B$3)+1)*G42+INDEX(Symboles!$H$6:$H$101,MOD(25+$C42+(-1),$B$3)+1)*H42+INDEX(Symboles!$H$6:$H$101,MOD(25+$C42+(0),$B$3)+1)*I42+INDEX(Symboles!$H$6:$H$101,MOD(25+$C42+(1),$B$3)+1)*J42+INDEX(Symboles!$H$6:$H$101,MOD(25+$C42+(2),$B$3)+1)*K42+INDEX(Symboles!$H$6:$H$101,MOD(25+$C42+(3),$B$3)+1)*L42+INDEX(Symboles!$H$6:$H$101,MOD(25+$C42+(4),$B$3)+1)*M42+IF($B$6=0,0,$B$6*NORMSINV(0.000001+0.999998*RAND())))</f>
        <v/>
      </c>
      <c r="EI42" s="30">
        <f>IF(27&gt;$B$3,99,INDEX(Symboles!$H$6:$H$101,MOD(26+$C42+(-4),$B$3)+1)*E42+INDEX(Symboles!$H$6:$H$101,MOD(26+$C42+(-3),$B$3)+1)*F42+INDEX(Symboles!$H$6:$H$101,MOD(26+$C42+(-2),$B$3)+1)*G42+INDEX(Symboles!$H$6:$H$101,MOD(26+$C42+(-1),$B$3)+1)*H42+INDEX(Symboles!$H$6:$H$101,MOD(26+$C42+(0),$B$3)+1)*I42+INDEX(Symboles!$H$6:$H$101,MOD(26+$C42+(1),$B$3)+1)*J42+INDEX(Symboles!$H$6:$H$101,MOD(26+$C42+(2),$B$3)+1)*K42+INDEX(Symboles!$H$6:$H$101,MOD(26+$C42+(3),$B$3)+1)*L42+INDEX(Symboles!$H$6:$H$101,MOD(26+$C42+(4),$B$3)+1)*M42+IF($B$6=0,0,$B$6*NORMSINV(0.000001+0.999998*RAND())))</f>
        <v/>
      </c>
      <c r="EJ42" s="30">
        <f>IF(28&gt;$B$3,99,INDEX(Symboles!$H$6:$H$101,MOD(27+$C42+(-4),$B$3)+1)*E42+INDEX(Symboles!$H$6:$H$101,MOD(27+$C42+(-3),$B$3)+1)*F42+INDEX(Symboles!$H$6:$H$101,MOD(27+$C42+(-2),$B$3)+1)*G42+INDEX(Symboles!$H$6:$H$101,MOD(27+$C42+(-1),$B$3)+1)*H42+INDEX(Symboles!$H$6:$H$101,MOD(27+$C42+(0),$B$3)+1)*I42+INDEX(Symboles!$H$6:$H$101,MOD(27+$C42+(1),$B$3)+1)*J42+INDEX(Symboles!$H$6:$H$101,MOD(27+$C42+(2),$B$3)+1)*K42+INDEX(Symboles!$H$6:$H$101,MOD(27+$C42+(3),$B$3)+1)*L42+INDEX(Symboles!$H$6:$H$101,MOD(27+$C42+(4),$B$3)+1)*M42+IF($B$6=0,0,$B$6*NORMSINV(0.000001+0.999998*RAND())))</f>
        <v/>
      </c>
      <c r="EK42" s="30">
        <f>IF(29&gt;$B$3,99,INDEX(Symboles!$H$6:$H$101,MOD(28+$C42+(-4),$B$3)+1)*E42+INDEX(Symboles!$H$6:$H$101,MOD(28+$C42+(-3),$B$3)+1)*F42+INDEX(Symboles!$H$6:$H$101,MOD(28+$C42+(-2),$B$3)+1)*G42+INDEX(Symboles!$H$6:$H$101,MOD(28+$C42+(-1),$B$3)+1)*H42+INDEX(Symboles!$H$6:$H$101,MOD(28+$C42+(0),$B$3)+1)*I42+INDEX(Symboles!$H$6:$H$101,MOD(28+$C42+(1),$B$3)+1)*J42+INDEX(Symboles!$H$6:$H$101,MOD(28+$C42+(2),$B$3)+1)*K42+INDEX(Symboles!$H$6:$H$101,MOD(28+$C42+(3),$B$3)+1)*L42+INDEX(Symboles!$H$6:$H$101,MOD(28+$C42+(4),$B$3)+1)*M42+IF($B$6=0,0,$B$6*NORMSINV(0.000001+0.999998*RAND())))</f>
        <v/>
      </c>
      <c r="EL42" s="30">
        <f>IF(30&gt;$B$3,99,INDEX(Symboles!$H$6:$H$101,MOD(29+$C42+(-4),$B$3)+1)*E42+INDEX(Symboles!$H$6:$H$101,MOD(29+$C42+(-3),$B$3)+1)*F42+INDEX(Symboles!$H$6:$H$101,MOD(29+$C42+(-2),$B$3)+1)*G42+INDEX(Symboles!$H$6:$H$101,MOD(29+$C42+(-1),$B$3)+1)*H42+INDEX(Symboles!$H$6:$H$101,MOD(29+$C42+(0),$B$3)+1)*I42+INDEX(Symboles!$H$6:$H$101,MOD(29+$C42+(1),$B$3)+1)*J42+INDEX(Symboles!$H$6:$H$101,MOD(29+$C42+(2),$B$3)+1)*K42+INDEX(Symboles!$H$6:$H$101,MOD(29+$C42+(3),$B$3)+1)*L42+INDEX(Symboles!$H$6:$H$101,MOD(29+$C42+(4),$B$3)+1)*M42+IF($B$6=0,0,$B$6*NORMSINV(0.000001+0.999998*RAND())))</f>
        <v/>
      </c>
      <c r="EM42" s="30">
        <f>IF(31&gt;$B$3,99,INDEX(Symboles!$H$6:$H$101,MOD(30+$C42+(-4),$B$3)+1)*E42+INDEX(Symboles!$H$6:$H$101,MOD(30+$C42+(-3),$B$3)+1)*F42+INDEX(Symboles!$H$6:$H$101,MOD(30+$C42+(-2),$B$3)+1)*G42+INDEX(Symboles!$H$6:$H$101,MOD(30+$C42+(-1),$B$3)+1)*H42+INDEX(Symboles!$H$6:$H$101,MOD(30+$C42+(0),$B$3)+1)*I42+INDEX(Symboles!$H$6:$H$101,MOD(30+$C42+(1),$B$3)+1)*J42+INDEX(Symboles!$H$6:$H$101,MOD(30+$C42+(2),$B$3)+1)*K42+INDEX(Symboles!$H$6:$H$101,MOD(30+$C42+(3),$B$3)+1)*L42+INDEX(Symboles!$H$6:$H$101,MOD(30+$C42+(4),$B$3)+1)*M42+IF($B$6=0,0,$B$6*NORMSINV(0.000001+0.999998*RAND())))</f>
        <v/>
      </c>
      <c r="EN42" s="30">
        <f>IF(32&gt;$B$3,99,INDEX(Symboles!$H$6:$H$101,MOD(31+$C42+(-4),$B$3)+1)*E42+INDEX(Symboles!$H$6:$H$101,MOD(31+$C42+(-3),$B$3)+1)*F42+INDEX(Symboles!$H$6:$H$101,MOD(31+$C42+(-2),$B$3)+1)*G42+INDEX(Symboles!$H$6:$H$101,MOD(31+$C42+(-1),$B$3)+1)*H42+INDEX(Symboles!$H$6:$H$101,MOD(31+$C42+(0),$B$3)+1)*I42+INDEX(Symboles!$H$6:$H$101,MOD(31+$C42+(1),$B$3)+1)*J42+INDEX(Symboles!$H$6:$H$101,MOD(31+$C42+(2),$B$3)+1)*K42+INDEX(Symboles!$H$6:$H$101,MOD(31+$C42+(3),$B$3)+1)*L42+INDEX(Symboles!$H$6:$H$101,MOD(31+$C42+(4),$B$3)+1)*M42+IF($B$6=0,0,$B$6*NORMSINV(0.000001+0.999998*RAND())))</f>
        <v/>
      </c>
      <c r="EO42" s="30">
        <f>IF(33&gt;$B$3,99,INDEX(Symboles!$H$6:$H$101,MOD(32+$C42+(-4),$B$3)+1)*E42+INDEX(Symboles!$H$6:$H$101,MOD(32+$C42+(-3),$B$3)+1)*F42+INDEX(Symboles!$H$6:$H$101,MOD(32+$C42+(-2),$B$3)+1)*G42+INDEX(Symboles!$H$6:$H$101,MOD(32+$C42+(-1),$B$3)+1)*H42+INDEX(Symboles!$H$6:$H$101,MOD(32+$C42+(0),$B$3)+1)*I42+INDEX(Symboles!$H$6:$H$101,MOD(32+$C42+(1),$B$3)+1)*J42+INDEX(Symboles!$H$6:$H$101,MOD(32+$C42+(2),$B$3)+1)*K42+INDEX(Symboles!$H$6:$H$101,MOD(32+$C42+(3),$B$3)+1)*L42+INDEX(Symboles!$H$6:$H$101,MOD(32+$C42+(4),$B$3)+1)*M42+IF($B$6=0,0,$B$6*NORMSINV(0.000001+0.999998*RAND())))</f>
        <v/>
      </c>
      <c r="EP42" s="30">
        <f>IF(34&gt;$B$3,99,INDEX(Symboles!$H$6:$H$101,MOD(33+$C42+(-4),$B$3)+1)*E42+INDEX(Symboles!$H$6:$H$101,MOD(33+$C42+(-3),$B$3)+1)*F42+INDEX(Symboles!$H$6:$H$101,MOD(33+$C42+(-2),$B$3)+1)*G42+INDEX(Symboles!$H$6:$H$101,MOD(33+$C42+(-1),$B$3)+1)*H42+INDEX(Symboles!$H$6:$H$101,MOD(33+$C42+(0),$B$3)+1)*I42+INDEX(Symboles!$H$6:$H$101,MOD(33+$C42+(1),$B$3)+1)*J42+INDEX(Symboles!$H$6:$H$101,MOD(33+$C42+(2),$B$3)+1)*K42+INDEX(Symboles!$H$6:$H$101,MOD(33+$C42+(3),$B$3)+1)*L42+INDEX(Symboles!$H$6:$H$101,MOD(33+$C42+(4),$B$3)+1)*M42+IF($B$6=0,0,$B$6*NORMSINV(0.000001+0.999998*RAND())))</f>
        <v/>
      </c>
      <c r="EQ42" s="30">
        <f>IF(35&gt;$B$3,99,INDEX(Symboles!$H$6:$H$101,MOD(34+$C42+(-4),$B$3)+1)*E42+INDEX(Symboles!$H$6:$H$101,MOD(34+$C42+(-3),$B$3)+1)*F42+INDEX(Symboles!$H$6:$H$101,MOD(34+$C42+(-2),$B$3)+1)*G42+INDEX(Symboles!$H$6:$H$101,MOD(34+$C42+(-1),$B$3)+1)*H42+INDEX(Symboles!$H$6:$H$101,MOD(34+$C42+(0),$B$3)+1)*I42+INDEX(Symboles!$H$6:$H$101,MOD(34+$C42+(1),$B$3)+1)*J42+INDEX(Symboles!$H$6:$H$101,MOD(34+$C42+(2),$B$3)+1)*K42+INDEX(Symboles!$H$6:$H$101,MOD(34+$C42+(3),$B$3)+1)*L42+INDEX(Symboles!$H$6:$H$101,MOD(34+$C42+(4),$B$3)+1)*M42+IF($B$6=0,0,$B$6*NORMSINV(0.000001+0.999998*RAND())))</f>
        <v/>
      </c>
      <c r="ER42" s="30">
        <f>IF(36&gt;$B$3,99,INDEX(Symboles!$H$6:$H$101,MOD(35+$C42+(-4),$B$3)+1)*E42+INDEX(Symboles!$H$6:$H$101,MOD(35+$C42+(-3),$B$3)+1)*F42+INDEX(Symboles!$H$6:$H$101,MOD(35+$C42+(-2),$B$3)+1)*G42+INDEX(Symboles!$H$6:$H$101,MOD(35+$C42+(-1),$B$3)+1)*H42+INDEX(Symboles!$H$6:$H$101,MOD(35+$C42+(0),$B$3)+1)*I42+INDEX(Symboles!$H$6:$H$101,MOD(35+$C42+(1),$B$3)+1)*J42+INDEX(Symboles!$H$6:$H$101,MOD(35+$C42+(2),$B$3)+1)*K42+INDEX(Symboles!$H$6:$H$101,MOD(35+$C42+(3),$B$3)+1)*L42+INDEX(Symboles!$H$6:$H$101,MOD(35+$C42+(4),$B$3)+1)*M42+IF($B$6=0,0,$B$6*NORMSINV(0.000001+0.999998*RAND())))</f>
        <v/>
      </c>
      <c r="ES42" s="30">
        <f>IF(37&gt;$B$3,99,INDEX(Symboles!$H$6:$H$101,MOD(36+$C42+(-4),$B$3)+1)*E42+INDEX(Symboles!$H$6:$H$101,MOD(36+$C42+(-3),$B$3)+1)*F42+INDEX(Symboles!$H$6:$H$101,MOD(36+$C42+(-2),$B$3)+1)*G42+INDEX(Symboles!$H$6:$H$101,MOD(36+$C42+(-1),$B$3)+1)*H42+INDEX(Symboles!$H$6:$H$101,MOD(36+$C42+(0),$B$3)+1)*I42+INDEX(Symboles!$H$6:$H$101,MOD(36+$C42+(1),$B$3)+1)*J42+INDEX(Symboles!$H$6:$H$101,MOD(36+$C42+(2),$B$3)+1)*K42+INDEX(Symboles!$H$6:$H$101,MOD(36+$C42+(3),$B$3)+1)*L42+INDEX(Symboles!$H$6:$H$101,MOD(36+$C42+(4),$B$3)+1)*M42+IF($B$6=0,0,$B$6*NORMSINV(0.000001+0.999998*RAND())))</f>
        <v/>
      </c>
      <c r="ET42" s="30">
        <f>IF(38&gt;$B$3,99,INDEX(Symboles!$H$6:$H$101,MOD(37+$C42+(-4),$B$3)+1)*E42+INDEX(Symboles!$H$6:$H$101,MOD(37+$C42+(-3),$B$3)+1)*F42+INDEX(Symboles!$H$6:$H$101,MOD(37+$C42+(-2),$B$3)+1)*G42+INDEX(Symboles!$H$6:$H$101,MOD(37+$C42+(-1),$B$3)+1)*H42+INDEX(Symboles!$H$6:$H$101,MOD(37+$C42+(0),$B$3)+1)*I42+INDEX(Symboles!$H$6:$H$101,MOD(37+$C42+(1),$B$3)+1)*J42+INDEX(Symboles!$H$6:$H$101,MOD(37+$C42+(2),$B$3)+1)*K42+INDEX(Symboles!$H$6:$H$101,MOD(37+$C42+(3),$B$3)+1)*L42+INDEX(Symboles!$H$6:$H$101,MOD(37+$C42+(4),$B$3)+1)*M42+IF($B$6=0,0,$B$6*NORMSINV(0.000001+0.999998*RAND())))</f>
        <v/>
      </c>
      <c r="EU42" s="30">
        <f>IF(39&gt;$B$3,99,INDEX(Symboles!$H$6:$H$101,MOD(38+$C42+(-4),$B$3)+1)*E42+INDEX(Symboles!$H$6:$H$101,MOD(38+$C42+(-3),$B$3)+1)*F42+INDEX(Symboles!$H$6:$H$101,MOD(38+$C42+(-2),$B$3)+1)*G42+INDEX(Symboles!$H$6:$H$101,MOD(38+$C42+(-1),$B$3)+1)*H42+INDEX(Symboles!$H$6:$H$101,MOD(38+$C42+(0),$B$3)+1)*I42+INDEX(Symboles!$H$6:$H$101,MOD(38+$C42+(1),$B$3)+1)*J42+INDEX(Symboles!$H$6:$H$101,MOD(38+$C42+(2),$B$3)+1)*K42+INDEX(Symboles!$H$6:$H$101,MOD(38+$C42+(3),$B$3)+1)*L42+INDEX(Symboles!$H$6:$H$101,MOD(38+$C42+(4),$B$3)+1)*M42+IF($B$6=0,0,$B$6*NORMSINV(0.000001+0.999998*RAND())))</f>
        <v/>
      </c>
      <c r="EV42" s="30">
        <f>IF(40&gt;$B$3,99,INDEX(Symboles!$H$6:$H$101,MOD(39+$C42+(-4),$B$3)+1)*E42+INDEX(Symboles!$H$6:$H$101,MOD(39+$C42+(-3),$B$3)+1)*F42+INDEX(Symboles!$H$6:$H$101,MOD(39+$C42+(-2),$B$3)+1)*G42+INDEX(Symboles!$H$6:$H$101,MOD(39+$C42+(-1),$B$3)+1)*H42+INDEX(Symboles!$H$6:$H$101,MOD(39+$C42+(0),$B$3)+1)*I42+INDEX(Symboles!$H$6:$H$101,MOD(39+$C42+(1),$B$3)+1)*J42+INDEX(Symboles!$H$6:$H$101,MOD(39+$C42+(2),$B$3)+1)*K42+INDEX(Symboles!$H$6:$H$101,MOD(39+$C42+(3),$B$3)+1)*L42+INDEX(Symboles!$H$6:$H$101,MOD(39+$C42+(4),$B$3)+1)*M42+IF($B$6=0,0,$B$6*NORMSINV(0.000001+0.999998*RAND())))</f>
        <v/>
      </c>
      <c r="EW42" s="30">
        <f>IF(41&gt;$B$3,99,INDEX(Symboles!$H$6:$H$101,MOD(40+$C42+(-4),$B$3)+1)*E42+INDEX(Symboles!$H$6:$H$101,MOD(40+$C42+(-3),$B$3)+1)*F42+INDEX(Symboles!$H$6:$H$101,MOD(40+$C42+(-2),$B$3)+1)*G42+INDEX(Symboles!$H$6:$H$101,MOD(40+$C42+(-1),$B$3)+1)*H42+INDEX(Symboles!$H$6:$H$101,MOD(40+$C42+(0),$B$3)+1)*I42+INDEX(Symboles!$H$6:$H$101,MOD(40+$C42+(1),$B$3)+1)*J42+INDEX(Symboles!$H$6:$H$101,MOD(40+$C42+(2),$B$3)+1)*K42+INDEX(Symboles!$H$6:$H$101,MOD(40+$C42+(3),$B$3)+1)*L42+INDEX(Symboles!$H$6:$H$101,MOD(40+$C42+(4),$B$3)+1)*M42+IF($B$6=0,0,$B$6*NORMSINV(0.000001+0.999998*RAND())))</f>
        <v/>
      </c>
      <c r="EX42" s="30">
        <f>IF(42&gt;$B$3,99,INDEX(Symboles!$H$6:$H$101,MOD(41+$C42+(-4),$B$3)+1)*E42+INDEX(Symboles!$H$6:$H$101,MOD(41+$C42+(-3),$B$3)+1)*F42+INDEX(Symboles!$H$6:$H$101,MOD(41+$C42+(-2),$B$3)+1)*G42+INDEX(Symboles!$H$6:$H$101,MOD(41+$C42+(-1),$B$3)+1)*H42+INDEX(Symboles!$H$6:$H$101,MOD(41+$C42+(0),$B$3)+1)*I42+INDEX(Symboles!$H$6:$H$101,MOD(41+$C42+(1),$B$3)+1)*J42+INDEX(Symboles!$H$6:$H$101,MOD(41+$C42+(2),$B$3)+1)*K42+INDEX(Symboles!$H$6:$H$101,MOD(41+$C42+(3),$B$3)+1)*L42+INDEX(Symboles!$H$6:$H$101,MOD(41+$C42+(4),$B$3)+1)*M42+IF($B$6=0,0,$B$6*NORMSINV(0.000001+0.999998*RAND())))</f>
        <v/>
      </c>
      <c r="EY42" s="30">
        <f>IF(43&gt;$B$3,99,INDEX(Symboles!$H$6:$H$101,MOD(42+$C42+(-4),$B$3)+1)*E42+INDEX(Symboles!$H$6:$H$101,MOD(42+$C42+(-3),$B$3)+1)*F42+INDEX(Symboles!$H$6:$H$101,MOD(42+$C42+(-2),$B$3)+1)*G42+INDEX(Symboles!$H$6:$H$101,MOD(42+$C42+(-1),$B$3)+1)*H42+INDEX(Symboles!$H$6:$H$101,MOD(42+$C42+(0),$B$3)+1)*I42+INDEX(Symboles!$H$6:$H$101,MOD(42+$C42+(1),$B$3)+1)*J42+INDEX(Symboles!$H$6:$H$101,MOD(42+$C42+(2),$B$3)+1)*K42+INDEX(Symboles!$H$6:$H$101,MOD(42+$C42+(3),$B$3)+1)*L42+INDEX(Symboles!$H$6:$H$101,MOD(42+$C42+(4),$B$3)+1)*M42+IF($B$6=0,0,$B$6*NORMSINV(0.000001+0.999998*RAND())))</f>
        <v/>
      </c>
      <c r="EZ42" s="30">
        <f>IF(44&gt;$B$3,99,INDEX(Symboles!$H$6:$H$101,MOD(43+$C42+(-4),$B$3)+1)*E42+INDEX(Symboles!$H$6:$H$101,MOD(43+$C42+(-3),$B$3)+1)*F42+INDEX(Symboles!$H$6:$H$101,MOD(43+$C42+(-2),$B$3)+1)*G42+INDEX(Symboles!$H$6:$H$101,MOD(43+$C42+(-1),$B$3)+1)*H42+INDEX(Symboles!$H$6:$H$101,MOD(43+$C42+(0),$B$3)+1)*I42+INDEX(Symboles!$H$6:$H$101,MOD(43+$C42+(1),$B$3)+1)*J42+INDEX(Symboles!$H$6:$H$101,MOD(43+$C42+(2),$B$3)+1)*K42+INDEX(Symboles!$H$6:$H$101,MOD(43+$C42+(3),$B$3)+1)*L42+INDEX(Symboles!$H$6:$H$101,MOD(43+$C42+(4),$B$3)+1)*M42+IF($B$6=0,0,$B$6*NORMSINV(0.000001+0.999998*RAND())))</f>
        <v/>
      </c>
      <c r="FA42" s="30">
        <f>IF(45&gt;$B$3,99,INDEX(Symboles!$H$6:$H$101,MOD(44+$C42+(-4),$B$3)+1)*E42+INDEX(Symboles!$H$6:$H$101,MOD(44+$C42+(-3),$B$3)+1)*F42+INDEX(Symboles!$H$6:$H$101,MOD(44+$C42+(-2),$B$3)+1)*G42+INDEX(Symboles!$H$6:$H$101,MOD(44+$C42+(-1),$B$3)+1)*H42+INDEX(Symboles!$H$6:$H$101,MOD(44+$C42+(0),$B$3)+1)*I42+INDEX(Symboles!$H$6:$H$101,MOD(44+$C42+(1),$B$3)+1)*J42+INDEX(Symboles!$H$6:$H$101,MOD(44+$C42+(2),$B$3)+1)*K42+INDEX(Symboles!$H$6:$H$101,MOD(44+$C42+(3),$B$3)+1)*L42+INDEX(Symboles!$H$6:$H$101,MOD(44+$C42+(4),$B$3)+1)*M42+IF($B$6=0,0,$B$6*NORMSINV(0.000001+0.999998*RAND())))</f>
        <v/>
      </c>
      <c r="FB42" s="30">
        <f>IF(46&gt;$B$3,99,INDEX(Symboles!$H$6:$H$101,MOD(45+$C42+(-4),$B$3)+1)*E42+INDEX(Symboles!$H$6:$H$101,MOD(45+$C42+(-3),$B$3)+1)*F42+INDEX(Symboles!$H$6:$H$101,MOD(45+$C42+(-2),$B$3)+1)*G42+INDEX(Symboles!$H$6:$H$101,MOD(45+$C42+(-1),$B$3)+1)*H42+INDEX(Symboles!$H$6:$H$101,MOD(45+$C42+(0),$B$3)+1)*I42+INDEX(Symboles!$H$6:$H$101,MOD(45+$C42+(1),$B$3)+1)*J42+INDEX(Symboles!$H$6:$H$101,MOD(45+$C42+(2),$B$3)+1)*K42+INDEX(Symboles!$H$6:$H$101,MOD(45+$C42+(3),$B$3)+1)*L42+INDEX(Symboles!$H$6:$H$101,MOD(45+$C42+(4),$B$3)+1)*M42+IF($B$6=0,0,$B$6*NORMSINV(0.000001+0.999998*RAND())))</f>
        <v/>
      </c>
      <c r="FC42" s="30">
        <f>IF(47&gt;$B$3,99,INDEX(Symboles!$H$6:$H$101,MOD(46+$C42+(-4),$B$3)+1)*E42+INDEX(Symboles!$H$6:$H$101,MOD(46+$C42+(-3),$B$3)+1)*F42+INDEX(Symboles!$H$6:$H$101,MOD(46+$C42+(-2),$B$3)+1)*G42+INDEX(Symboles!$H$6:$H$101,MOD(46+$C42+(-1),$B$3)+1)*H42+INDEX(Symboles!$H$6:$H$101,MOD(46+$C42+(0),$B$3)+1)*I42+INDEX(Symboles!$H$6:$H$101,MOD(46+$C42+(1),$B$3)+1)*J42+INDEX(Symboles!$H$6:$H$101,MOD(46+$C42+(2),$B$3)+1)*K42+INDEX(Symboles!$H$6:$H$101,MOD(46+$C42+(3),$B$3)+1)*L42+INDEX(Symboles!$H$6:$H$101,MOD(46+$C42+(4),$B$3)+1)*M42+IF($B$6=0,0,$B$6*NORMSINV(0.000001+0.999998*RAND())))</f>
        <v/>
      </c>
      <c r="FD42" s="30">
        <f>IF(48&gt;$B$3,99,INDEX(Symboles!$H$6:$H$101,MOD(47+$C42+(-4),$B$3)+1)*E42+INDEX(Symboles!$H$6:$H$101,MOD(47+$C42+(-3),$B$3)+1)*F42+INDEX(Symboles!$H$6:$H$101,MOD(47+$C42+(-2),$B$3)+1)*G42+INDEX(Symboles!$H$6:$H$101,MOD(47+$C42+(-1),$B$3)+1)*H42+INDEX(Symboles!$H$6:$H$101,MOD(47+$C42+(0),$B$3)+1)*I42+INDEX(Symboles!$H$6:$H$101,MOD(47+$C42+(1),$B$3)+1)*J42+INDEX(Symboles!$H$6:$H$101,MOD(47+$C42+(2),$B$3)+1)*K42+INDEX(Symboles!$H$6:$H$101,MOD(47+$C42+(3),$B$3)+1)*L42+INDEX(Symboles!$H$6:$H$101,MOD(47+$C42+(4),$B$3)+1)*M42+IF($B$6=0,0,$B$6*NORMSINV(0.000001+0.999998*RAND())))</f>
        <v/>
      </c>
      <c r="FE42" s="30">
        <f>IF(49&gt;$B$3,99,INDEX(Symboles!$H$6:$H$101,MOD(48+$C42+(-4),$B$3)+1)*E42+INDEX(Symboles!$H$6:$H$101,MOD(48+$C42+(-3),$B$3)+1)*F42+INDEX(Symboles!$H$6:$H$101,MOD(48+$C42+(-2),$B$3)+1)*G42+INDEX(Symboles!$H$6:$H$101,MOD(48+$C42+(-1),$B$3)+1)*H42+INDEX(Symboles!$H$6:$H$101,MOD(48+$C42+(0),$B$3)+1)*I42+INDEX(Symboles!$H$6:$H$101,MOD(48+$C42+(1),$B$3)+1)*J42+INDEX(Symboles!$H$6:$H$101,MOD(48+$C42+(2),$B$3)+1)*K42+INDEX(Symboles!$H$6:$H$101,MOD(48+$C42+(3),$B$3)+1)*L42+INDEX(Symboles!$H$6:$H$101,MOD(48+$C42+(4),$B$3)+1)*M42+IF($B$6=0,0,$B$6*NORMSINV(0.000001+0.999998*RAND())))</f>
        <v/>
      </c>
      <c r="FF42" s="30">
        <f>IF(50&gt;$B$3,99,INDEX(Symboles!$H$6:$H$101,MOD(49+$C42+(-4),$B$3)+1)*E42+INDEX(Symboles!$H$6:$H$101,MOD(49+$C42+(-3),$B$3)+1)*F42+INDEX(Symboles!$H$6:$H$101,MOD(49+$C42+(-2),$B$3)+1)*G42+INDEX(Symboles!$H$6:$H$101,MOD(49+$C42+(-1),$B$3)+1)*H42+INDEX(Symboles!$H$6:$H$101,MOD(49+$C42+(0),$B$3)+1)*I42+INDEX(Symboles!$H$6:$H$101,MOD(49+$C42+(1),$B$3)+1)*J42+INDEX(Symboles!$H$6:$H$101,MOD(49+$C42+(2),$B$3)+1)*K42+INDEX(Symboles!$H$6:$H$101,MOD(49+$C42+(3),$B$3)+1)*L42+INDEX(Symboles!$H$6:$H$101,MOD(49+$C42+(4),$B$3)+1)*M42+IF($B$6=0,0,$B$6*NORMSINV(0.000001+0.999998*RAND())))</f>
        <v/>
      </c>
      <c r="FG42" s="30">
        <f>IF(51&gt;$B$3,99,INDEX(Symboles!$H$6:$H$101,MOD(50+$C42+(-4),$B$3)+1)*E42+INDEX(Symboles!$H$6:$H$101,MOD(50+$C42+(-3),$B$3)+1)*F42+INDEX(Symboles!$H$6:$H$101,MOD(50+$C42+(-2),$B$3)+1)*G42+INDEX(Symboles!$H$6:$H$101,MOD(50+$C42+(-1),$B$3)+1)*H42+INDEX(Symboles!$H$6:$H$101,MOD(50+$C42+(0),$B$3)+1)*I42+INDEX(Symboles!$H$6:$H$101,MOD(50+$C42+(1),$B$3)+1)*J42+INDEX(Symboles!$H$6:$H$101,MOD(50+$C42+(2),$B$3)+1)*K42+INDEX(Symboles!$H$6:$H$101,MOD(50+$C42+(3),$B$3)+1)*L42+INDEX(Symboles!$H$6:$H$101,MOD(50+$C42+(4),$B$3)+1)*M42+IF($B$6=0,0,$B$6*NORMSINV(0.000001+0.999998*RAND())))</f>
        <v/>
      </c>
      <c r="FH42" s="30">
        <f>IF(52&gt;$B$3,99,INDEX(Symboles!$H$6:$H$101,MOD(51+$C42+(-4),$B$3)+1)*E42+INDEX(Symboles!$H$6:$H$101,MOD(51+$C42+(-3),$B$3)+1)*F42+INDEX(Symboles!$H$6:$H$101,MOD(51+$C42+(-2),$B$3)+1)*G42+INDEX(Symboles!$H$6:$H$101,MOD(51+$C42+(-1),$B$3)+1)*H42+INDEX(Symboles!$H$6:$H$101,MOD(51+$C42+(0),$B$3)+1)*I42+INDEX(Symboles!$H$6:$H$101,MOD(51+$C42+(1),$B$3)+1)*J42+INDEX(Symboles!$H$6:$H$101,MOD(51+$C42+(2),$B$3)+1)*K42+INDEX(Symboles!$H$6:$H$101,MOD(51+$C42+(3),$B$3)+1)*L42+INDEX(Symboles!$H$6:$H$101,MOD(51+$C42+(4),$B$3)+1)*M42+IF($B$6=0,0,$B$6*NORMSINV(0.000001+0.999998*RAND())))</f>
        <v/>
      </c>
      <c r="FI42" s="30">
        <f>IF(53&gt;$B$3,99,INDEX(Symboles!$H$6:$H$101,MOD(52+$C42+(-4),$B$3)+1)*E42+INDEX(Symboles!$H$6:$H$101,MOD(52+$C42+(-3),$B$3)+1)*F42+INDEX(Symboles!$H$6:$H$101,MOD(52+$C42+(-2),$B$3)+1)*G42+INDEX(Symboles!$H$6:$H$101,MOD(52+$C42+(-1),$B$3)+1)*H42+INDEX(Symboles!$H$6:$H$101,MOD(52+$C42+(0),$B$3)+1)*I42+INDEX(Symboles!$H$6:$H$101,MOD(52+$C42+(1),$B$3)+1)*J42+INDEX(Symboles!$H$6:$H$101,MOD(52+$C42+(2),$B$3)+1)*K42+INDEX(Symboles!$H$6:$H$101,MOD(52+$C42+(3),$B$3)+1)*L42+INDEX(Symboles!$H$6:$H$101,MOD(52+$C42+(4),$B$3)+1)*M42+IF($B$6=0,0,$B$6*NORMSINV(0.000001+0.999998*RAND())))</f>
        <v/>
      </c>
      <c r="FJ42" s="30">
        <f>IF(54&gt;$B$3,99,INDEX(Symboles!$H$6:$H$101,MOD(53+$C42+(-4),$B$3)+1)*E42+INDEX(Symboles!$H$6:$H$101,MOD(53+$C42+(-3),$B$3)+1)*F42+INDEX(Symboles!$H$6:$H$101,MOD(53+$C42+(-2),$B$3)+1)*G42+INDEX(Symboles!$H$6:$H$101,MOD(53+$C42+(-1),$B$3)+1)*H42+INDEX(Symboles!$H$6:$H$101,MOD(53+$C42+(0),$B$3)+1)*I42+INDEX(Symboles!$H$6:$H$101,MOD(53+$C42+(1),$B$3)+1)*J42+INDEX(Symboles!$H$6:$H$101,MOD(53+$C42+(2),$B$3)+1)*K42+INDEX(Symboles!$H$6:$H$101,MOD(53+$C42+(3),$B$3)+1)*L42+INDEX(Symboles!$H$6:$H$101,MOD(53+$C42+(4),$B$3)+1)*M42+IF($B$6=0,0,$B$6*NORMSINV(0.000001+0.999998*RAND())))</f>
        <v/>
      </c>
      <c r="FK42" s="30">
        <f>IF(55&gt;$B$3,99,INDEX(Symboles!$H$6:$H$101,MOD(54+$C42+(-4),$B$3)+1)*E42+INDEX(Symboles!$H$6:$H$101,MOD(54+$C42+(-3),$B$3)+1)*F42+INDEX(Symboles!$H$6:$H$101,MOD(54+$C42+(-2),$B$3)+1)*G42+INDEX(Symboles!$H$6:$H$101,MOD(54+$C42+(-1),$B$3)+1)*H42+INDEX(Symboles!$H$6:$H$101,MOD(54+$C42+(0),$B$3)+1)*I42+INDEX(Symboles!$H$6:$H$101,MOD(54+$C42+(1),$B$3)+1)*J42+INDEX(Symboles!$H$6:$H$101,MOD(54+$C42+(2),$B$3)+1)*K42+INDEX(Symboles!$H$6:$H$101,MOD(54+$C42+(3),$B$3)+1)*L42+INDEX(Symboles!$H$6:$H$101,MOD(54+$C42+(4),$B$3)+1)*M42+IF($B$6=0,0,$B$6*NORMSINV(0.000001+0.999998*RAND())))</f>
        <v/>
      </c>
      <c r="FL42" s="30">
        <f>IF(56&gt;$B$3,99,INDEX(Symboles!$H$6:$H$101,MOD(55+$C42+(-4),$B$3)+1)*E42+INDEX(Symboles!$H$6:$H$101,MOD(55+$C42+(-3),$B$3)+1)*F42+INDEX(Symboles!$H$6:$H$101,MOD(55+$C42+(-2),$B$3)+1)*G42+INDEX(Symboles!$H$6:$H$101,MOD(55+$C42+(-1),$B$3)+1)*H42+INDEX(Symboles!$H$6:$H$101,MOD(55+$C42+(0),$B$3)+1)*I42+INDEX(Symboles!$H$6:$H$101,MOD(55+$C42+(1),$B$3)+1)*J42+INDEX(Symboles!$H$6:$H$101,MOD(55+$C42+(2),$B$3)+1)*K42+INDEX(Symboles!$H$6:$H$101,MOD(55+$C42+(3),$B$3)+1)*L42+INDEX(Symboles!$H$6:$H$101,MOD(55+$C42+(4),$B$3)+1)*M42+IF($B$6=0,0,$B$6*NORMSINV(0.000001+0.999998*RAND())))</f>
        <v/>
      </c>
      <c r="FM42" s="30">
        <f>IF(57&gt;$B$3,99,INDEX(Symboles!$H$6:$H$101,MOD(56+$C42+(-4),$B$3)+1)*E42+INDEX(Symboles!$H$6:$H$101,MOD(56+$C42+(-3),$B$3)+1)*F42+INDEX(Symboles!$H$6:$H$101,MOD(56+$C42+(-2),$B$3)+1)*G42+INDEX(Symboles!$H$6:$H$101,MOD(56+$C42+(-1),$B$3)+1)*H42+INDEX(Symboles!$H$6:$H$101,MOD(56+$C42+(0),$B$3)+1)*I42+INDEX(Symboles!$H$6:$H$101,MOD(56+$C42+(1),$B$3)+1)*J42+INDEX(Symboles!$H$6:$H$101,MOD(56+$C42+(2),$B$3)+1)*K42+INDEX(Symboles!$H$6:$H$101,MOD(56+$C42+(3),$B$3)+1)*L42+INDEX(Symboles!$H$6:$H$101,MOD(56+$C42+(4),$B$3)+1)*M42+IF($B$6=0,0,$B$6*NORMSINV(0.000001+0.999998*RAND())))</f>
        <v/>
      </c>
      <c r="FN42" s="30">
        <f>IF(58&gt;$B$3,99,INDEX(Symboles!$H$6:$H$101,MOD(57+$C42+(-4),$B$3)+1)*E42+INDEX(Symboles!$H$6:$H$101,MOD(57+$C42+(-3),$B$3)+1)*F42+INDEX(Symboles!$H$6:$H$101,MOD(57+$C42+(-2),$B$3)+1)*G42+INDEX(Symboles!$H$6:$H$101,MOD(57+$C42+(-1),$B$3)+1)*H42+INDEX(Symboles!$H$6:$H$101,MOD(57+$C42+(0),$B$3)+1)*I42+INDEX(Symboles!$H$6:$H$101,MOD(57+$C42+(1),$B$3)+1)*J42+INDEX(Symboles!$H$6:$H$101,MOD(57+$C42+(2),$B$3)+1)*K42+INDEX(Symboles!$H$6:$H$101,MOD(57+$C42+(3),$B$3)+1)*L42+INDEX(Symboles!$H$6:$H$101,MOD(57+$C42+(4),$B$3)+1)*M42+IF($B$6=0,0,$B$6*NORMSINV(0.000001+0.999998*RAND())))</f>
        <v/>
      </c>
      <c r="FO42" s="30">
        <f>IF(59&gt;$B$3,99,INDEX(Symboles!$H$6:$H$101,MOD(58+$C42+(-4),$B$3)+1)*E42+INDEX(Symboles!$H$6:$H$101,MOD(58+$C42+(-3),$B$3)+1)*F42+INDEX(Symboles!$H$6:$H$101,MOD(58+$C42+(-2),$B$3)+1)*G42+INDEX(Symboles!$H$6:$H$101,MOD(58+$C42+(-1),$B$3)+1)*H42+INDEX(Symboles!$H$6:$H$101,MOD(58+$C42+(0),$B$3)+1)*I42+INDEX(Symboles!$H$6:$H$101,MOD(58+$C42+(1),$B$3)+1)*J42+INDEX(Symboles!$H$6:$H$101,MOD(58+$C42+(2),$B$3)+1)*K42+INDEX(Symboles!$H$6:$H$101,MOD(58+$C42+(3),$B$3)+1)*L42+INDEX(Symboles!$H$6:$H$101,MOD(58+$C42+(4),$B$3)+1)*M42+IF($B$6=0,0,$B$6*NORMSINV(0.000001+0.999998*RAND())))</f>
        <v/>
      </c>
      <c r="FP42" s="30">
        <f>IF(60&gt;$B$3,99,INDEX(Symboles!$H$6:$H$101,MOD(59+$C42+(-4),$B$3)+1)*E42+INDEX(Symboles!$H$6:$H$101,MOD(59+$C42+(-3),$B$3)+1)*F42+INDEX(Symboles!$H$6:$H$101,MOD(59+$C42+(-2),$B$3)+1)*G42+INDEX(Symboles!$H$6:$H$101,MOD(59+$C42+(-1),$B$3)+1)*H42+INDEX(Symboles!$H$6:$H$101,MOD(59+$C42+(0),$B$3)+1)*I42+INDEX(Symboles!$H$6:$H$101,MOD(59+$C42+(1),$B$3)+1)*J42+INDEX(Symboles!$H$6:$H$101,MOD(59+$C42+(2),$B$3)+1)*K42+INDEX(Symboles!$H$6:$H$101,MOD(59+$C42+(3),$B$3)+1)*L42+INDEX(Symboles!$H$6:$H$101,MOD(59+$C42+(4),$B$3)+1)*M42+IF($B$6=0,0,$B$6*NORMSINV(0.000001+0.999998*RAND())))</f>
        <v/>
      </c>
      <c r="FQ42" s="30">
        <f>IF(61&gt;$B$3,99,INDEX(Symboles!$H$6:$H$101,MOD(60+$C42+(-4),$B$3)+1)*E42+INDEX(Symboles!$H$6:$H$101,MOD(60+$C42+(-3),$B$3)+1)*F42+INDEX(Symboles!$H$6:$H$101,MOD(60+$C42+(-2),$B$3)+1)*G42+INDEX(Symboles!$H$6:$H$101,MOD(60+$C42+(-1),$B$3)+1)*H42+INDEX(Symboles!$H$6:$H$101,MOD(60+$C42+(0),$B$3)+1)*I42+INDEX(Symboles!$H$6:$H$101,MOD(60+$C42+(1),$B$3)+1)*J42+INDEX(Symboles!$H$6:$H$101,MOD(60+$C42+(2),$B$3)+1)*K42+INDEX(Symboles!$H$6:$H$101,MOD(60+$C42+(3),$B$3)+1)*L42+INDEX(Symboles!$H$6:$H$101,MOD(60+$C42+(4),$B$3)+1)*M42+IF($B$6=0,0,$B$6*NORMSINV(0.000001+0.999998*RAND())))</f>
        <v/>
      </c>
      <c r="FR42" s="30">
        <f>IF(62&gt;$B$3,99,INDEX(Symboles!$H$6:$H$101,MOD(61+$C42+(-4),$B$3)+1)*E42+INDEX(Symboles!$H$6:$H$101,MOD(61+$C42+(-3),$B$3)+1)*F42+INDEX(Symboles!$H$6:$H$101,MOD(61+$C42+(-2),$B$3)+1)*G42+INDEX(Symboles!$H$6:$H$101,MOD(61+$C42+(-1),$B$3)+1)*H42+INDEX(Symboles!$H$6:$H$101,MOD(61+$C42+(0),$B$3)+1)*I42+INDEX(Symboles!$H$6:$H$101,MOD(61+$C42+(1),$B$3)+1)*J42+INDEX(Symboles!$H$6:$H$101,MOD(61+$C42+(2),$B$3)+1)*K42+INDEX(Symboles!$H$6:$H$101,MOD(61+$C42+(3),$B$3)+1)*L42+INDEX(Symboles!$H$6:$H$101,MOD(61+$C42+(4),$B$3)+1)*M42+IF($B$6=0,0,$B$6*NORMSINV(0.000001+0.999998*RAND())))</f>
        <v/>
      </c>
      <c r="FS42" s="30">
        <f>IF(63&gt;$B$3,99,INDEX(Symboles!$H$6:$H$101,MOD(62+$C42+(-4),$B$3)+1)*E42+INDEX(Symboles!$H$6:$H$101,MOD(62+$C42+(-3),$B$3)+1)*F42+INDEX(Symboles!$H$6:$H$101,MOD(62+$C42+(-2),$B$3)+1)*G42+INDEX(Symboles!$H$6:$H$101,MOD(62+$C42+(-1),$B$3)+1)*H42+INDEX(Symboles!$H$6:$H$101,MOD(62+$C42+(0),$B$3)+1)*I42+INDEX(Symboles!$H$6:$H$101,MOD(62+$C42+(1),$B$3)+1)*J42+INDEX(Symboles!$H$6:$H$101,MOD(62+$C42+(2),$B$3)+1)*K42+INDEX(Symboles!$H$6:$H$101,MOD(62+$C42+(3),$B$3)+1)*L42+INDEX(Symboles!$H$6:$H$101,MOD(62+$C42+(4),$B$3)+1)*M42+IF($B$6=0,0,$B$6*NORMSINV(0.000001+0.999998*RAND())))</f>
        <v/>
      </c>
      <c r="FT42" s="30">
        <f>IF(64&gt;$B$3,99,INDEX(Symboles!$H$6:$H$101,MOD(63+$C42+(-4),$B$3)+1)*E42+INDEX(Symboles!$H$6:$H$101,MOD(63+$C42+(-3),$B$3)+1)*F42+INDEX(Symboles!$H$6:$H$101,MOD(63+$C42+(-2),$B$3)+1)*G42+INDEX(Symboles!$H$6:$H$101,MOD(63+$C42+(-1),$B$3)+1)*H42+INDEX(Symboles!$H$6:$H$101,MOD(63+$C42+(0),$B$3)+1)*I42+INDEX(Symboles!$H$6:$H$101,MOD(63+$C42+(1),$B$3)+1)*J42+INDEX(Symboles!$H$6:$H$101,MOD(63+$C42+(2),$B$3)+1)*K42+INDEX(Symboles!$H$6:$H$101,MOD(63+$C42+(3),$B$3)+1)*L42+INDEX(Symboles!$H$6:$H$101,MOD(63+$C42+(4),$B$3)+1)*M42+IF($B$6=0,0,$B$6*NORMSINV(0.000001+0.999998*RAND())))</f>
        <v/>
      </c>
      <c r="FU42" s="30">
        <f>IF(65&gt;$B$3,99,INDEX(Symboles!$H$6:$H$101,MOD(64+$C42+(-4),$B$3)+1)*E42+INDEX(Symboles!$H$6:$H$101,MOD(64+$C42+(-3),$B$3)+1)*F42+INDEX(Symboles!$H$6:$H$101,MOD(64+$C42+(-2),$B$3)+1)*G42+INDEX(Symboles!$H$6:$H$101,MOD(64+$C42+(-1),$B$3)+1)*H42+INDEX(Symboles!$H$6:$H$101,MOD(64+$C42+(0),$B$3)+1)*I42+INDEX(Symboles!$H$6:$H$101,MOD(64+$C42+(1),$B$3)+1)*J42+INDEX(Symboles!$H$6:$H$101,MOD(64+$C42+(2),$B$3)+1)*K42+INDEX(Symboles!$H$6:$H$101,MOD(64+$C42+(3),$B$3)+1)*L42+INDEX(Symboles!$H$6:$H$101,MOD(64+$C42+(4),$B$3)+1)*M42+IF($B$6=0,0,$B$6*NORMSINV(0.000001+0.999998*RAND())))</f>
        <v/>
      </c>
      <c r="FV42" s="30">
        <f>IF(66&gt;$B$3,99,INDEX(Symboles!$H$6:$H$101,MOD(65+$C42+(-4),$B$3)+1)*E42+INDEX(Symboles!$H$6:$H$101,MOD(65+$C42+(-3),$B$3)+1)*F42+INDEX(Symboles!$H$6:$H$101,MOD(65+$C42+(-2),$B$3)+1)*G42+INDEX(Symboles!$H$6:$H$101,MOD(65+$C42+(-1),$B$3)+1)*H42+INDEX(Symboles!$H$6:$H$101,MOD(65+$C42+(0),$B$3)+1)*I42+INDEX(Symboles!$H$6:$H$101,MOD(65+$C42+(1),$B$3)+1)*J42+INDEX(Symboles!$H$6:$H$101,MOD(65+$C42+(2),$B$3)+1)*K42+INDEX(Symboles!$H$6:$H$101,MOD(65+$C42+(3),$B$3)+1)*L42+INDEX(Symboles!$H$6:$H$101,MOD(65+$C42+(4),$B$3)+1)*M42+IF($B$6=0,0,$B$6*NORMSINV(0.000001+0.999998*RAND())))</f>
        <v/>
      </c>
      <c r="FW42" s="30">
        <f>IF(67&gt;$B$3,99,INDEX(Symboles!$H$6:$H$101,MOD(66+$C42+(-4),$B$3)+1)*E42+INDEX(Symboles!$H$6:$H$101,MOD(66+$C42+(-3),$B$3)+1)*F42+INDEX(Symboles!$H$6:$H$101,MOD(66+$C42+(-2),$B$3)+1)*G42+INDEX(Symboles!$H$6:$H$101,MOD(66+$C42+(-1),$B$3)+1)*H42+INDEX(Symboles!$H$6:$H$101,MOD(66+$C42+(0),$B$3)+1)*I42+INDEX(Symboles!$H$6:$H$101,MOD(66+$C42+(1),$B$3)+1)*J42+INDEX(Symboles!$H$6:$H$101,MOD(66+$C42+(2),$B$3)+1)*K42+INDEX(Symboles!$H$6:$H$101,MOD(66+$C42+(3),$B$3)+1)*L42+INDEX(Symboles!$H$6:$H$101,MOD(66+$C42+(4),$B$3)+1)*M42+IF($B$6=0,0,$B$6*NORMSINV(0.000001+0.999998*RAND())))</f>
        <v/>
      </c>
      <c r="FX42" s="30">
        <f>IF(68&gt;$B$3,99,INDEX(Symboles!$H$6:$H$101,MOD(67+$C42+(-4),$B$3)+1)*E42+INDEX(Symboles!$H$6:$H$101,MOD(67+$C42+(-3),$B$3)+1)*F42+INDEX(Symboles!$H$6:$H$101,MOD(67+$C42+(-2),$B$3)+1)*G42+INDEX(Symboles!$H$6:$H$101,MOD(67+$C42+(-1),$B$3)+1)*H42+INDEX(Symboles!$H$6:$H$101,MOD(67+$C42+(0),$B$3)+1)*I42+INDEX(Symboles!$H$6:$H$101,MOD(67+$C42+(1),$B$3)+1)*J42+INDEX(Symboles!$H$6:$H$101,MOD(67+$C42+(2),$B$3)+1)*K42+INDEX(Symboles!$H$6:$H$101,MOD(67+$C42+(3),$B$3)+1)*L42+INDEX(Symboles!$H$6:$H$101,MOD(67+$C42+(4),$B$3)+1)*M42+IF($B$6=0,0,$B$6*NORMSINV(0.000001+0.999998*RAND())))</f>
        <v/>
      </c>
      <c r="FY42" s="30">
        <f>IF(69&gt;$B$3,99,INDEX(Symboles!$H$6:$H$101,MOD(68+$C42+(-4),$B$3)+1)*E42+INDEX(Symboles!$H$6:$H$101,MOD(68+$C42+(-3),$B$3)+1)*F42+INDEX(Symboles!$H$6:$H$101,MOD(68+$C42+(-2),$B$3)+1)*G42+INDEX(Symboles!$H$6:$H$101,MOD(68+$C42+(-1),$B$3)+1)*H42+INDEX(Symboles!$H$6:$H$101,MOD(68+$C42+(0),$B$3)+1)*I42+INDEX(Symboles!$H$6:$H$101,MOD(68+$C42+(1),$B$3)+1)*J42+INDEX(Symboles!$H$6:$H$101,MOD(68+$C42+(2),$B$3)+1)*K42+INDEX(Symboles!$H$6:$H$101,MOD(68+$C42+(3),$B$3)+1)*L42+INDEX(Symboles!$H$6:$H$101,MOD(68+$C42+(4),$B$3)+1)*M42+IF($B$6=0,0,$B$6*NORMSINV(0.000001+0.999998*RAND())))</f>
        <v/>
      </c>
      <c r="FZ42" s="30">
        <f>IF(70&gt;$B$3,99,INDEX(Symboles!$H$6:$H$101,MOD(69+$C42+(-4),$B$3)+1)*E42+INDEX(Symboles!$H$6:$H$101,MOD(69+$C42+(-3),$B$3)+1)*F42+INDEX(Symboles!$H$6:$H$101,MOD(69+$C42+(-2),$B$3)+1)*G42+INDEX(Symboles!$H$6:$H$101,MOD(69+$C42+(-1),$B$3)+1)*H42+INDEX(Symboles!$H$6:$H$101,MOD(69+$C42+(0),$B$3)+1)*I42+INDEX(Symboles!$H$6:$H$101,MOD(69+$C42+(1),$B$3)+1)*J42+INDEX(Symboles!$H$6:$H$101,MOD(69+$C42+(2),$B$3)+1)*K42+INDEX(Symboles!$H$6:$H$101,MOD(69+$C42+(3),$B$3)+1)*L42+INDEX(Symboles!$H$6:$H$101,MOD(69+$C42+(4),$B$3)+1)*M42+IF($B$6=0,0,$B$6*NORMSINV(0.000001+0.999998*RAND())))</f>
        <v/>
      </c>
      <c r="GA42" s="30">
        <f>IF(71&gt;$B$3,99,INDEX(Symboles!$H$6:$H$101,MOD(70+$C42+(-4),$B$3)+1)*E42+INDEX(Symboles!$H$6:$H$101,MOD(70+$C42+(-3),$B$3)+1)*F42+INDEX(Symboles!$H$6:$H$101,MOD(70+$C42+(-2),$B$3)+1)*G42+INDEX(Symboles!$H$6:$H$101,MOD(70+$C42+(-1),$B$3)+1)*H42+INDEX(Symboles!$H$6:$H$101,MOD(70+$C42+(0),$B$3)+1)*I42+INDEX(Symboles!$H$6:$H$101,MOD(70+$C42+(1),$B$3)+1)*J42+INDEX(Symboles!$H$6:$H$101,MOD(70+$C42+(2),$B$3)+1)*K42+INDEX(Symboles!$H$6:$H$101,MOD(70+$C42+(3),$B$3)+1)*L42+INDEX(Symboles!$H$6:$H$101,MOD(70+$C42+(4),$B$3)+1)*M42+IF($B$6=0,0,$B$6*NORMSINV(0.000001+0.999998*RAND())))</f>
        <v/>
      </c>
      <c r="GB42" s="30">
        <f>IF(72&gt;$B$3,99,INDEX(Symboles!$H$6:$H$101,MOD(71+$C42+(-4),$B$3)+1)*E42+INDEX(Symboles!$H$6:$H$101,MOD(71+$C42+(-3),$B$3)+1)*F42+INDEX(Symboles!$H$6:$H$101,MOD(71+$C42+(-2),$B$3)+1)*G42+INDEX(Symboles!$H$6:$H$101,MOD(71+$C42+(-1),$B$3)+1)*H42+INDEX(Symboles!$H$6:$H$101,MOD(71+$C42+(0),$B$3)+1)*I42+INDEX(Symboles!$H$6:$H$101,MOD(71+$C42+(1),$B$3)+1)*J42+INDEX(Symboles!$H$6:$H$101,MOD(71+$C42+(2),$B$3)+1)*K42+INDEX(Symboles!$H$6:$H$101,MOD(71+$C42+(3),$B$3)+1)*L42+INDEX(Symboles!$H$6:$H$101,MOD(71+$C42+(4),$B$3)+1)*M42+IF($B$6=0,0,$B$6*NORMSINV(0.000001+0.999998*RAND())))</f>
        <v/>
      </c>
      <c r="GC42" s="30">
        <f>IF(73&gt;$B$3,99,INDEX(Symboles!$H$6:$H$101,MOD(72+$C42+(-4),$B$3)+1)*E42+INDEX(Symboles!$H$6:$H$101,MOD(72+$C42+(-3),$B$3)+1)*F42+INDEX(Symboles!$H$6:$H$101,MOD(72+$C42+(-2),$B$3)+1)*G42+INDEX(Symboles!$H$6:$H$101,MOD(72+$C42+(-1),$B$3)+1)*H42+INDEX(Symboles!$H$6:$H$101,MOD(72+$C42+(0),$B$3)+1)*I42+INDEX(Symboles!$H$6:$H$101,MOD(72+$C42+(1),$B$3)+1)*J42+INDEX(Symboles!$H$6:$H$101,MOD(72+$C42+(2),$B$3)+1)*K42+INDEX(Symboles!$H$6:$H$101,MOD(72+$C42+(3),$B$3)+1)*L42+INDEX(Symboles!$H$6:$H$101,MOD(72+$C42+(4),$B$3)+1)*M42+IF($B$6=0,0,$B$6*NORMSINV(0.000001+0.999998*RAND())))</f>
        <v/>
      </c>
      <c r="GD42" s="30">
        <f>IF(74&gt;$B$3,99,INDEX(Symboles!$H$6:$H$101,MOD(73+$C42+(-4),$B$3)+1)*E42+INDEX(Symboles!$H$6:$H$101,MOD(73+$C42+(-3),$B$3)+1)*F42+INDEX(Symboles!$H$6:$H$101,MOD(73+$C42+(-2),$B$3)+1)*G42+INDEX(Symboles!$H$6:$H$101,MOD(73+$C42+(-1),$B$3)+1)*H42+INDEX(Symboles!$H$6:$H$101,MOD(73+$C42+(0),$B$3)+1)*I42+INDEX(Symboles!$H$6:$H$101,MOD(73+$C42+(1),$B$3)+1)*J42+INDEX(Symboles!$H$6:$H$101,MOD(73+$C42+(2),$B$3)+1)*K42+INDEX(Symboles!$H$6:$H$101,MOD(73+$C42+(3),$B$3)+1)*L42+INDEX(Symboles!$H$6:$H$101,MOD(73+$C42+(4),$B$3)+1)*M42+IF($B$6=0,0,$B$6*NORMSINV(0.000001+0.999998*RAND())))</f>
        <v/>
      </c>
      <c r="GE42" s="30">
        <f>IF(75&gt;$B$3,99,INDEX(Symboles!$H$6:$H$101,MOD(74+$C42+(-4),$B$3)+1)*E42+INDEX(Symboles!$H$6:$H$101,MOD(74+$C42+(-3),$B$3)+1)*F42+INDEX(Symboles!$H$6:$H$101,MOD(74+$C42+(-2),$B$3)+1)*G42+INDEX(Symboles!$H$6:$H$101,MOD(74+$C42+(-1),$B$3)+1)*H42+INDEX(Symboles!$H$6:$H$101,MOD(74+$C42+(0),$B$3)+1)*I42+INDEX(Symboles!$H$6:$H$101,MOD(74+$C42+(1),$B$3)+1)*J42+INDEX(Symboles!$H$6:$H$101,MOD(74+$C42+(2),$B$3)+1)*K42+INDEX(Symboles!$H$6:$H$101,MOD(74+$C42+(3),$B$3)+1)*L42+INDEX(Symboles!$H$6:$H$101,MOD(74+$C42+(4),$B$3)+1)*M42+IF($B$6=0,0,$B$6*NORMSINV(0.000001+0.999998*RAND())))</f>
        <v/>
      </c>
      <c r="GF42" s="30">
        <f>IF(76&gt;$B$3,99,INDEX(Symboles!$H$6:$H$101,MOD(75+$C42+(-4),$B$3)+1)*E42+INDEX(Symboles!$H$6:$H$101,MOD(75+$C42+(-3),$B$3)+1)*F42+INDEX(Symboles!$H$6:$H$101,MOD(75+$C42+(-2),$B$3)+1)*G42+INDEX(Symboles!$H$6:$H$101,MOD(75+$C42+(-1),$B$3)+1)*H42+INDEX(Symboles!$H$6:$H$101,MOD(75+$C42+(0),$B$3)+1)*I42+INDEX(Symboles!$H$6:$H$101,MOD(75+$C42+(1),$B$3)+1)*J42+INDEX(Symboles!$H$6:$H$101,MOD(75+$C42+(2),$B$3)+1)*K42+INDEX(Symboles!$H$6:$H$101,MOD(75+$C42+(3),$B$3)+1)*L42+INDEX(Symboles!$H$6:$H$101,MOD(75+$C42+(4),$B$3)+1)*M42+IF($B$6=0,0,$B$6*NORMSINV(0.000001+0.999998*RAND())))</f>
        <v/>
      </c>
      <c r="GG42" s="30">
        <f>IF(77&gt;$B$3,99,INDEX(Symboles!$H$6:$H$101,MOD(76+$C42+(-4),$B$3)+1)*E42+INDEX(Symboles!$H$6:$H$101,MOD(76+$C42+(-3),$B$3)+1)*F42+INDEX(Symboles!$H$6:$H$101,MOD(76+$C42+(-2),$B$3)+1)*G42+INDEX(Symboles!$H$6:$H$101,MOD(76+$C42+(-1),$B$3)+1)*H42+INDEX(Symboles!$H$6:$H$101,MOD(76+$C42+(0),$B$3)+1)*I42+INDEX(Symboles!$H$6:$H$101,MOD(76+$C42+(1),$B$3)+1)*J42+INDEX(Symboles!$H$6:$H$101,MOD(76+$C42+(2),$B$3)+1)*K42+INDEX(Symboles!$H$6:$H$101,MOD(76+$C42+(3),$B$3)+1)*L42+INDEX(Symboles!$H$6:$H$101,MOD(76+$C42+(4),$B$3)+1)*M42+IF($B$6=0,0,$B$6*NORMSINV(0.000001+0.999998*RAND())))</f>
        <v/>
      </c>
      <c r="GH42" s="30">
        <f>IF(78&gt;$B$3,99,INDEX(Symboles!$H$6:$H$101,MOD(77+$C42+(-4),$B$3)+1)*E42+INDEX(Symboles!$H$6:$H$101,MOD(77+$C42+(-3),$B$3)+1)*F42+INDEX(Symboles!$H$6:$H$101,MOD(77+$C42+(-2),$B$3)+1)*G42+INDEX(Symboles!$H$6:$H$101,MOD(77+$C42+(-1),$B$3)+1)*H42+INDEX(Symboles!$H$6:$H$101,MOD(77+$C42+(0),$B$3)+1)*I42+INDEX(Symboles!$H$6:$H$101,MOD(77+$C42+(1),$B$3)+1)*J42+INDEX(Symboles!$H$6:$H$101,MOD(77+$C42+(2),$B$3)+1)*K42+INDEX(Symboles!$H$6:$H$101,MOD(77+$C42+(3),$B$3)+1)*L42+INDEX(Symboles!$H$6:$H$101,MOD(77+$C42+(4),$B$3)+1)*M42+IF($B$6=0,0,$B$6*NORMSINV(0.000001+0.999998*RAND())))</f>
        <v/>
      </c>
      <c r="GI42" s="30">
        <f>IF(79&gt;$B$3,99,INDEX(Symboles!$H$6:$H$101,MOD(78+$C42+(-4),$B$3)+1)*E42+INDEX(Symboles!$H$6:$H$101,MOD(78+$C42+(-3),$B$3)+1)*F42+INDEX(Symboles!$H$6:$H$101,MOD(78+$C42+(-2),$B$3)+1)*G42+INDEX(Symboles!$H$6:$H$101,MOD(78+$C42+(-1),$B$3)+1)*H42+INDEX(Symboles!$H$6:$H$101,MOD(78+$C42+(0),$B$3)+1)*I42+INDEX(Symboles!$H$6:$H$101,MOD(78+$C42+(1),$B$3)+1)*J42+INDEX(Symboles!$H$6:$H$101,MOD(78+$C42+(2),$B$3)+1)*K42+INDEX(Symboles!$H$6:$H$101,MOD(78+$C42+(3),$B$3)+1)*L42+INDEX(Symboles!$H$6:$H$101,MOD(78+$C42+(4),$B$3)+1)*M42+IF($B$6=0,0,$B$6*NORMSINV(0.000001+0.999998*RAND())))</f>
        <v/>
      </c>
      <c r="GJ42" s="30">
        <f>IF(80&gt;$B$3,99,INDEX(Symboles!$H$6:$H$101,MOD(79+$C42+(-4),$B$3)+1)*E42+INDEX(Symboles!$H$6:$H$101,MOD(79+$C42+(-3),$B$3)+1)*F42+INDEX(Symboles!$H$6:$H$101,MOD(79+$C42+(-2),$B$3)+1)*G42+INDEX(Symboles!$H$6:$H$101,MOD(79+$C42+(-1),$B$3)+1)*H42+INDEX(Symboles!$H$6:$H$101,MOD(79+$C42+(0),$B$3)+1)*I42+INDEX(Symboles!$H$6:$H$101,MOD(79+$C42+(1),$B$3)+1)*J42+INDEX(Symboles!$H$6:$H$101,MOD(79+$C42+(2),$B$3)+1)*K42+INDEX(Symboles!$H$6:$H$101,MOD(79+$C42+(3),$B$3)+1)*L42+INDEX(Symboles!$H$6:$H$101,MOD(79+$C42+(4),$B$3)+1)*M42+IF($B$6=0,0,$B$6*NORMSINV(0.000001+0.999998*RAND())))</f>
        <v/>
      </c>
      <c r="GK42" s="30">
        <f>IF(81&gt;$B$3,99,INDEX(Symboles!$H$6:$H$101,MOD(80+$C42+(-4),$B$3)+1)*E42+INDEX(Symboles!$H$6:$H$101,MOD(80+$C42+(-3),$B$3)+1)*F42+INDEX(Symboles!$H$6:$H$101,MOD(80+$C42+(-2),$B$3)+1)*G42+INDEX(Symboles!$H$6:$H$101,MOD(80+$C42+(-1),$B$3)+1)*H42+INDEX(Symboles!$H$6:$H$101,MOD(80+$C42+(0),$B$3)+1)*I42+INDEX(Symboles!$H$6:$H$101,MOD(80+$C42+(1),$B$3)+1)*J42+INDEX(Symboles!$H$6:$H$101,MOD(80+$C42+(2),$B$3)+1)*K42+INDEX(Symboles!$H$6:$H$101,MOD(80+$C42+(3),$B$3)+1)*L42+INDEX(Symboles!$H$6:$H$101,MOD(80+$C42+(4),$B$3)+1)*M42+IF($B$6=0,0,$B$6*NORMSINV(0.000001+0.999998*RAND())))</f>
        <v/>
      </c>
      <c r="GL42" s="30">
        <f>IF(82&gt;$B$3,99,INDEX(Symboles!$H$6:$H$101,MOD(81+$C42+(-4),$B$3)+1)*E42+INDEX(Symboles!$H$6:$H$101,MOD(81+$C42+(-3),$B$3)+1)*F42+INDEX(Symboles!$H$6:$H$101,MOD(81+$C42+(-2),$B$3)+1)*G42+INDEX(Symboles!$H$6:$H$101,MOD(81+$C42+(-1),$B$3)+1)*H42+INDEX(Symboles!$H$6:$H$101,MOD(81+$C42+(0),$B$3)+1)*I42+INDEX(Symboles!$H$6:$H$101,MOD(81+$C42+(1),$B$3)+1)*J42+INDEX(Symboles!$H$6:$H$101,MOD(81+$C42+(2),$B$3)+1)*K42+INDEX(Symboles!$H$6:$H$101,MOD(81+$C42+(3),$B$3)+1)*L42+INDEX(Symboles!$H$6:$H$101,MOD(81+$C42+(4),$B$3)+1)*M42+IF($B$6=0,0,$B$6*NORMSINV(0.000001+0.999998*RAND())))</f>
        <v/>
      </c>
      <c r="GM42" s="30">
        <f>IF(83&gt;$B$3,99,INDEX(Symboles!$H$6:$H$101,MOD(82+$C42+(-4),$B$3)+1)*E42+INDEX(Symboles!$H$6:$H$101,MOD(82+$C42+(-3),$B$3)+1)*F42+INDEX(Symboles!$H$6:$H$101,MOD(82+$C42+(-2),$B$3)+1)*G42+INDEX(Symboles!$H$6:$H$101,MOD(82+$C42+(-1),$B$3)+1)*H42+INDEX(Symboles!$H$6:$H$101,MOD(82+$C42+(0),$B$3)+1)*I42+INDEX(Symboles!$H$6:$H$101,MOD(82+$C42+(1),$B$3)+1)*J42+INDEX(Symboles!$H$6:$H$101,MOD(82+$C42+(2),$B$3)+1)*K42+INDEX(Symboles!$H$6:$H$101,MOD(82+$C42+(3),$B$3)+1)*L42+INDEX(Symboles!$H$6:$H$101,MOD(82+$C42+(4),$B$3)+1)*M42+IF($B$6=0,0,$B$6*NORMSINV(0.000001+0.999998*RAND())))</f>
        <v/>
      </c>
      <c r="GN42" s="30">
        <f>IF(84&gt;$B$3,99,INDEX(Symboles!$H$6:$H$101,MOD(83+$C42+(-4),$B$3)+1)*E42+INDEX(Symboles!$H$6:$H$101,MOD(83+$C42+(-3),$B$3)+1)*F42+INDEX(Symboles!$H$6:$H$101,MOD(83+$C42+(-2),$B$3)+1)*G42+INDEX(Symboles!$H$6:$H$101,MOD(83+$C42+(-1),$B$3)+1)*H42+INDEX(Symboles!$H$6:$H$101,MOD(83+$C42+(0),$B$3)+1)*I42+INDEX(Symboles!$H$6:$H$101,MOD(83+$C42+(1),$B$3)+1)*J42+INDEX(Symboles!$H$6:$H$101,MOD(83+$C42+(2),$B$3)+1)*K42+INDEX(Symboles!$H$6:$H$101,MOD(83+$C42+(3),$B$3)+1)*L42+INDEX(Symboles!$H$6:$H$101,MOD(83+$C42+(4),$B$3)+1)*M42+IF($B$6=0,0,$B$6*NORMSINV(0.000001+0.999998*RAND())))</f>
        <v/>
      </c>
      <c r="GO42" s="30">
        <f>IF(85&gt;$B$3,99,INDEX(Symboles!$H$6:$H$101,MOD(84+$C42+(-4),$B$3)+1)*E42+INDEX(Symboles!$H$6:$H$101,MOD(84+$C42+(-3),$B$3)+1)*F42+INDEX(Symboles!$H$6:$H$101,MOD(84+$C42+(-2),$B$3)+1)*G42+INDEX(Symboles!$H$6:$H$101,MOD(84+$C42+(-1),$B$3)+1)*H42+INDEX(Symboles!$H$6:$H$101,MOD(84+$C42+(0),$B$3)+1)*I42+INDEX(Symboles!$H$6:$H$101,MOD(84+$C42+(1),$B$3)+1)*J42+INDEX(Symboles!$H$6:$H$101,MOD(84+$C42+(2),$B$3)+1)*K42+INDEX(Symboles!$H$6:$H$101,MOD(84+$C42+(3),$B$3)+1)*L42+INDEX(Symboles!$H$6:$H$101,MOD(84+$C42+(4),$B$3)+1)*M42+IF($B$6=0,0,$B$6*NORMSINV(0.000001+0.999998*RAND())))</f>
        <v/>
      </c>
      <c r="GP42" s="30">
        <f>IF(86&gt;$B$3,99,INDEX(Symboles!$H$6:$H$101,MOD(85+$C42+(-4),$B$3)+1)*E42+INDEX(Symboles!$H$6:$H$101,MOD(85+$C42+(-3),$B$3)+1)*F42+INDEX(Symboles!$H$6:$H$101,MOD(85+$C42+(-2),$B$3)+1)*G42+INDEX(Symboles!$H$6:$H$101,MOD(85+$C42+(-1),$B$3)+1)*H42+INDEX(Symboles!$H$6:$H$101,MOD(85+$C42+(0),$B$3)+1)*I42+INDEX(Symboles!$H$6:$H$101,MOD(85+$C42+(1),$B$3)+1)*J42+INDEX(Symboles!$H$6:$H$101,MOD(85+$C42+(2),$B$3)+1)*K42+INDEX(Symboles!$H$6:$H$101,MOD(85+$C42+(3),$B$3)+1)*L42+INDEX(Symboles!$H$6:$H$101,MOD(85+$C42+(4),$B$3)+1)*M42+IF($B$6=0,0,$B$6*NORMSINV(0.000001+0.999998*RAND())))</f>
        <v/>
      </c>
      <c r="GQ42" s="30">
        <f>IF(87&gt;$B$3,99,INDEX(Symboles!$H$6:$H$101,MOD(86+$C42+(-4),$B$3)+1)*E42+INDEX(Symboles!$H$6:$H$101,MOD(86+$C42+(-3),$B$3)+1)*F42+INDEX(Symboles!$H$6:$H$101,MOD(86+$C42+(-2),$B$3)+1)*G42+INDEX(Symboles!$H$6:$H$101,MOD(86+$C42+(-1),$B$3)+1)*H42+INDEX(Symboles!$H$6:$H$101,MOD(86+$C42+(0),$B$3)+1)*I42+INDEX(Symboles!$H$6:$H$101,MOD(86+$C42+(1),$B$3)+1)*J42+INDEX(Symboles!$H$6:$H$101,MOD(86+$C42+(2),$B$3)+1)*K42+INDEX(Symboles!$H$6:$H$101,MOD(86+$C42+(3),$B$3)+1)*L42+INDEX(Symboles!$H$6:$H$101,MOD(86+$C42+(4),$B$3)+1)*M42+IF($B$6=0,0,$B$6*NORMSINV(0.000001+0.999998*RAND())))</f>
        <v/>
      </c>
      <c r="GR42" s="30">
        <f>IF(88&gt;$B$3,99,INDEX(Symboles!$H$6:$H$101,MOD(87+$C42+(-4),$B$3)+1)*E42+INDEX(Symboles!$H$6:$H$101,MOD(87+$C42+(-3),$B$3)+1)*F42+INDEX(Symboles!$H$6:$H$101,MOD(87+$C42+(-2),$B$3)+1)*G42+INDEX(Symboles!$H$6:$H$101,MOD(87+$C42+(-1),$B$3)+1)*H42+INDEX(Symboles!$H$6:$H$101,MOD(87+$C42+(0),$B$3)+1)*I42+INDEX(Symboles!$H$6:$H$101,MOD(87+$C42+(1),$B$3)+1)*J42+INDEX(Symboles!$H$6:$H$101,MOD(87+$C42+(2),$B$3)+1)*K42+INDEX(Symboles!$H$6:$H$101,MOD(87+$C42+(3),$B$3)+1)*L42+INDEX(Symboles!$H$6:$H$101,MOD(87+$C42+(4),$B$3)+1)*M42+IF($B$6=0,0,$B$6*NORMSINV(0.000001+0.999998*RAND())))</f>
        <v/>
      </c>
      <c r="GS42" s="30">
        <f>IF(89&gt;$B$3,99,INDEX(Symboles!$H$6:$H$101,MOD(88+$C42+(-4),$B$3)+1)*E42+INDEX(Symboles!$H$6:$H$101,MOD(88+$C42+(-3),$B$3)+1)*F42+INDEX(Symboles!$H$6:$H$101,MOD(88+$C42+(-2),$B$3)+1)*G42+INDEX(Symboles!$H$6:$H$101,MOD(88+$C42+(-1),$B$3)+1)*H42+INDEX(Symboles!$H$6:$H$101,MOD(88+$C42+(0),$B$3)+1)*I42+INDEX(Symboles!$H$6:$H$101,MOD(88+$C42+(1),$B$3)+1)*J42+INDEX(Symboles!$H$6:$H$101,MOD(88+$C42+(2),$B$3)+1)*K42+INDEX(Symboles!$H$6:$H$101,MOD(88+$C42+(3),$B$3)+1)*L42+INDEX(Symboles!$H$6:$H$101,MOD(88+$C42+(4),$B$3)+1)*M42+IF($B$6=0,0,$B$6*NORMSINV(0.000001+0.999998*RAND())))</f>
        <v/>
      </c>
      <c r="GT42" s="30">
        <f>IF(90&gt;$B$3,99,INDEX(Symboles!$H$6:$H$101,MOD(89+$C42+(-4),$B$3)+1)*E42+INDEX(Symboles!$H$6:$H$101,MOD(89+$C42+(-3),$B$3)+1)*F42+INDEX(Symboles!$H$6:$H$101,MOD(89+$C42+(-2),$B$3)+1)*G42+INDEX(Symboles!$H$6:$H$101,MOD(89+$C42+(-1),$B$3)+1)*H42+INDEX(Symboles!$H$6:$H$101,MOD(89+$C42+(0),$B$3)+1)*I42+INDEX(Symboles!$H$6:$H$101,MOD(89+$C42+(1),$B$3)+1)*J42+INDEX(Symboles!$H$6:$H$101,MOD(89+$C42+(2),$B$3)+1)*K42+INDEX(Symboles!$H$6:$H$101,MOD(89+$C42+(3),$B$3)+1)*L42+INDEX(Symboles!$H$6:$H$101,MOD(89+$C42+(4),$B$3)+1)*M42+IF($B$6=0,0,$B$6*NORMSINV(0.000001+0.999998*RAND())))</f>
        <v/>
      </c>
      <c r="GU42" s="30">
        <f>IF(91&gt;$B$3,99,INDEX(Symboles!$H$6:$H$101,MOD(90+$C42+(-4),$B$3)+1)*E42+INDEX(Symboles!$H$6:$H$101,MOD(90+$C42+(-3),$B$3)+1)*F42+INDEX(Symboles!$H$6:$H$101,MOD(90+$C42+(-2),$B$3)+1)*G42+INDEX(Symboles!$H$6:$H$101,MOD(90+$C42+(-1),$B$3)+1)*H42+INDEX(Symboles!$H$6:$H$101,MOD(90+$C42+(0),$B$3)+1)*I42+INDEX(Symboles!$H$6:$H$101,MOD(90+$C42+(1),$B$3)+1)*J42+INDEX(Symboles!$H$6:$H$101,MOD(90+$C42+(2),$B$3)+1)*K42+INDEX(Symboles!$H$6:$H$101,MOD(90+$C42+(3),$B$3)+1)*L42+INDEX(Symboles!$H$6:$H$101,MOD(90+$C42+(4),$B$3)+1)*M42+IF($B$6=0,0,$B$6*NORMSINV(0.000001+0.999998*RAND())))</f>
        <v/>
      </c>
      <c r="GV42" s="30">
        <f>IF(92&gt;$B$3,99,INDEX(Symboles!$H$6:$H$101,MOD(91+$C42+(-4),$B$3)+1)*E42+INDEX(Symboles!$H$6:$H$101,MOD(91+$C42+(-3),$B$3)+1)*F42+INDEX(Symboles!$H$6:$H$101,MOD(91+$C42+(-2),$B$3)+1)*G42+INDEX(Symboles!$H$6:$H$101,MOD(91+$C42+(-1),$B$3)+1)*H42+INDEX(Symboles!$H$6:$H$101,MOD(91+$C42+(0),$B$3)+1)*I42+INDEX(Symboles!$H$6:$H$101,MOD(91+$C42+(1),$B$3)+1)*J42+INDEX(Symboles!$H$6:$H$101,MOD(91+$C42+(2),$B$3)+1)*K42+INDEX(Symboles!$H$6:$H$101,MOD(91+$C42+(3),$B$3)+1)*L42+INDEX(Symboles!$H$6:$H$101,MOD(91+$C42+(4),$B$3)+1)*M42+IF($B$6=0,0,$B$6*NORMSINV(0.000001+0.999998*RAND())))</f>
        <v/>
      </c>
      <c r="GW42" s="30">
        <f>IF(93&gt;$B$3,99,INDEX(Symboles!$H$6:$H$101,MOD(92+$C42+(-4),$B$3)+1)*E42+INDEX(Symboles!$H$6:$H$101,MOD(92+$C42+(-3),$B$3)+1)*F42+INDEX(Symboles!$H$6:$H$101,MOD(92+$C42+(-2),$B$3)+1)*G42+INDEX(Symboles!$H$6:$H$101,MOD(92+$C42+(-1),$B$3)+1)*H42+INDEX(Symboles!$H$6:$H$101,MOD(92+$C42+(0),$B$3)+1)*I42+INDEX(Symboles!$H$6:$H$101,MOD(92+$C42+(1),$B$3)+1)*J42+INDEX(Symboles!$H$6:$H$101,MOD(92+$C42+(2),$B$3)+1)*K42+INDEX(Symboles!$H$6:$H$101,MOD(92+$C42+(3),$B$3)+1)*L42+INDEX(Symboles!$H$6:$H$101,MOD(92+$C42+(4),$B$3)+1)*M42+IF($B$6=0,0,$B$6*NORMSINV(0.000001+0.999998*RAND())))</f>
        <v/>
      </c>
      <c r="GX42" s="30">
        <f>IF(94&gt;$B$3,99,INDEX(Symboles!$H$6:$H$101,MOD(93+$C42+(-4),$B$3)+1)*E42+INDEX(Symboles!$H$6:$H$101,MOD(93+$C42+(-3),$B$3)+1)*F42+INDEX(Symboles!$H$6:$H$101,MOD(93+$C42+(-2),$B$3)+1)*G42+INDEX(Symboles!$H$6:$H$101,MOD(93+$C42+(-1),$B$3)+1)*H42+INDEX(Symboles!$H$6:$H$101,MOD(93+$C42+(0),$B$3)+1)*I42+INDEX(Symboles!$H$6:$H$101,MOD(93+$C42+(1),$B$3)+1)*J42+INDEX(Symboles!$H$6:$H$101,MOD(93+$C42+(2),$B$3)+1)*K42+INDEX(Symboles!$H$6:$H$101,MOD(93+$C42+(3),$B$3)+1)*L42+INDEX(Symboles!$H$6:$H$101,MOD(93+$C42+(4),$B$3)+1)*M42+IF($B$6=0,0,$B$6*NORMSINV(0.000001+0.999998*RAND())))</f>
        <v/>
      </c>
      <c r="GY42" s="30">
        <f>IF(95&gt;$B$3,99,INDEX(Symboles!$H$6:$H$101,MOD(94+$C42+(-4),$B$3)+1)*E42+INDEX(Symboles!$H$6:$H$101,MOD(94+$C42+(-3),$B$3)+1)*F42+INDEX(Symboles!$H$6:$H$101,MOD(94+$C42+(-2),$B$3)+1)*G42+INDEX(Symboles!$H$6:$H$101,MOD(94+$C42+(-1),$B$3)+1)*H42+INDEX(Symboles!$H$6:$H$101,MOD(94+$C42+(0),$B$3)+1)*I42+INDEX(Symboles!$H$6:$H$101,MOD(94+$C42+(1),$B$3)+1)*J42+INDEX(Symboles!$H$6:$H$101,MOD(94+$C42+(2),$B$3)+1)*K42+INDEX(Symboles!$H$6:$H$101,MOD(94+$C42+(3),$B$3)+1)*L42+INDEX(Symboles!$H$6:$H$101,MOD(94+$C42+(4),$B$3)+1)*M42+IF($B$6=0,0,$B$6*NORMSINV(0.000001+0.999998*RAND())))</f>
        <v/>
      </c>
      <c r="GZ42" s="30">
        <f>IF(96&gt;$B$3,99,INDEX(Symboles!$H$6:$H$101,MOD(95+$C42+(-4),$B$3)+1)*E42+INDEX(Symboles!$H$6:$H$101,MOD(95+$C42+(-3),$B$3)+1)*F42+INDEX(Symboles!$H$6:$H$101,MOD(95+$C42+(-2),$B$3)+1)*G42+INDEX(Symboles!$H$6:$H$101,MOD(95+$C42+(-1),$B$3)+1)*H42+INDEX(Symboles!$H$6:$H$101,MOD(95+$C42+(0),$B$3)+1)*I42+INDEX(Symboles!$H$6:$H$101,MOD(95+$C42+(1),$B$3)+1)*J42+INDEX(Symboles!$H$6:$H$101,MOD(95+$C42+(2),$B$3)+1)*K42+INDEX(Symboles!$H$6:$H$101,MOD(95+$C42+(3),$B$3)+1)*L42+INDEX(Symboles!$H$6:$H$101,MOD(95+$C42+(4),$B$3)+1)*M42+IF($B$6=0,0,$B$6*NORMSINV(0.000001+0.999998*RAND())))</f>
        <v/>
      </c>
    </row>
  </sheetData>
  <mergeCells count="2">
    <mergeCell ref="P8:DG8"/>
    <mergeCell ref="DI8:GZ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5" max="5"/>
    <col width="10" customWidth="1" min="6" max="6"/>
    <col width="26" customWidth="1" min="24" max="24"/>
    <col width="60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7" t="inlineStr">
        <is>
          <t>Tables de constellation (mapping Gray) — modifiables</t>
        </is>
      </c>
    </row>
    <row r="2">
      <c r="A2" s="16" t="inlineStr">
        <is>
          <t>Valeurs en amplitude brute. Les cellules en bleu peuvent être modifiées par les étudiants pour créer leur propre mapping. Le signal utilise les valeurs normalisées (énergie moyenne par symbole Es = 1).</t>
        </is>
      </c>
    </row>
    <row r="3">
      <c r="X3" s="31" t="inlineStr">
        <is>
          <t>Protocoles 16-QAM (le 16-QAM de la table principale suit le protocole choisi)</t>
        </is>
      </c>
    </row>
    <row r="4">
      <c r="A4" s="20" t="inlineStr">
        <is>
          <t>Modulation</t>
        </is>
      </c>
      <c r="B4" s="20" t="inlineStr">
        <is>
          <t>k (bits/symb.)</t>
        </is>
      </c>
      <c r="C4" s="20" t="inlineStr">
        <is>
          <t>M</t>
        </is>
      </c>
      <c r="E4" s="4" t="inlineStr">
        <is>
          <t>Paramètres actifs</t>
        </is>
      </c>
      <c r="X4" s="20" t="inlineStr">
        <is>
          <t>Protocole</t>
        </is>
      </c>
      <c r="Y4" s="20" t="inlineStr">
        <is>
          <t>Source / règle de mapping</t>
        </is>
      </c>
    </row>
    <row r="5">
      <c r="A5" s="32" t="inlineStr">
        <is>
          <t>BPSK</t>
        </is>
      </c>
      <c r="B5" s="33" t="n">
        <v>1</v>
      </c>
      <c r="C5" s="32">
        <f>2^B5</f>
        <v/>
      </c>
      <c r="E5" s="7" t="inlineStr">
        <is>
          <t>Modulation</t>
        </is>
      </c>
      <c r="F5" s="4">
        <f>'Tableau_de_bord'!C4</f>
        <v/>
      </c>
      <c r="X5" s="4" t="inlineStr">
        <is>
          <t>IEEE 802.11 (Wi-Fi)</t>
        </is>
      </c>
      <c r="Y5" s="34" t="inlineStr">
        <is>
          <t>IEEE 802.11a/g/n/ac/ax OFDM : b0b1 → I, b2b3 → Q, Gray par axe (00→−3, 01→−1, 11→+1, 10→+3)</t>
        </is>
      </c>
    </row>
    <row r="6">
      <c r="A6" s="32" t="inlineStr">
        <is>
          <t>QPSK</t>
        </is>
      </c>
      <c r="B6" s="33" t="n">
        <v>2</v>
      </c>
      <c r="C6" s="32">
        <f>2^B6</f>
        <v/>
      </c>
      <c r="E6" s="7" t="inlineStr">
        <is>
          <t>k</t>
        </is>
      </c>
      <c r="F6" s="4">
        <f>INDEX($B$5:$B$9,MATCH(F5,$A$5:$A$9,0))</f>
        <v/>
      </c>
      <c r="X6" s="4" t="inlineStr">
        <is>
          <t>3GPP LTE / 5G NR / HSPA</t>
        </is>
      </c>
      <c r="Y6" s="34" t="inlineStr">
        <is>
          <t>3GPP TS 36.211 §7.1.3 / TS 38.211 §5.1.3 : I=(1−2b0)(1+2b2), Q=(1−2b1)(1+2b3) ; même structure que UMTS-HSDPA (TS 25.213, i1 q1 i2 q2)</t>
        </is>
      </c>
    </row>
    <row r="7">
      <c r="A7" s="32" t="inlineStr">
        <is>
          <t>8-PSK</t>
        </is>
      </c>
      <c r="B7" s="33" t="n">
        <v>3</v>
      </c>
      <c r="C7" s="32">
        <f>2^B7</f>
        <v/>
      </c>
      <c r="E7" s="7" t="inlineStr">
        <is>
          <t>M</t>
        </is>
      </c>
      <c r="F7" s="4">
        <f>2^F6</f>
        <v/>
      </c>
      <c r="X7" s="4" t="inlineStr">
        <is>
          <t>DVB-T (ETSI EN 300 744)</t>
        </is>
      </c>
      <c r="Y7" s="34" t="inlineStr">
        <is>
          <t>ETSI EN 300 744 fig. 9 : y0 = signe de I (1 → gauche), y1 = signe de Q (1 → bas), y2 et y3 = amplitude (0 → ±3, 1 → ±1). Point en haut à gauche = 1000</t>
        </is>
      </c>
    </row>
    <row r="8">
      <c r="A8" s="32" t="inlineStr">
        <is>
          <t>16-QAM</t>
        </is>
      </c>
      <c r="B8" s="33" t="n">
        <v>4</v>
      </c>
      <c r="C8" s="32">
        <f>2^B8</f>
        <v/>
      </c>
      <c r="E8" s="7" t="inlineStr">
        <is>
          <t>Colonne I dans la table</t>
        </is>
      </c>
      <c r="F8" s="4">
        <f>2*MATCH(F5,$A$5:$A$9,0)-1</f>
        <v/>
      </c>
      <c r="X8" s="4" t="inlineStr">
        <is>
          <t>Binaire naturel (non Gray)</t>
        </is>
      </c>
      <c r="Y8" s="34" t="inlineStr">
        <is>
          <t>Référence pédagogique : b0b1 en binaire naturel → I (00→−3, 01→−1, 10→+1, 11→+3), idem b2b3 → Q. Deux voisins peuvent différer de 2 bits</t>
        </is>
      </c>
    </row>
    <row r="9">
      <c r="A9" s="32" t="inlineStr">
        <is>
          <t>32-QAM</t>
        </is>
      </c>
      <c r="B9" s="33" t="n">
        <v>5</v>
      </c>
      <c r="C9" s="32">
        <f>2^B9</f>
        <v/>
      </c>
      <c r="E9" s="7" t="inlineStr">
        <is>
          <t>Facteur de normalisation</t>
        </is>
      </c>
      <c r="F9" s="35">
        <f>1/SQRT(SUMPRODUCT(($N$14:$N$45&lt;$F$7)*($P$14:$P$45^2+$Q$14:$Q$45^2))/$F$7)</f>
        <v/>
      </c>
      <c r="G9" s="16" t="inlineStr">
        <is>
          <t>Es=1 : 1/√(moyenne(I²+Q²))</t>
        </is>
      </c>
      <c r="X9" s="4" t="inlineStr">
        <is>
          <t>Personnalisé (table éditable)</t>
        </is>
      </c>
      <c r="Y9" s="34" t="inlineStr">
        <is>
          <t>Colonnes bleues à remplir par les étudiants (par ex. à partir d'une norme : CDMA2000, ITU-T J.83…). Initialisé comme le Wi-Fi</t>
        </is>
      </c>
    </row>
    <row r="10">
      <c r="E10" s="7" t="inlineStr">
        <is>
          <t>N° protocole 16-QAM</t>
        </is>
      </c>
      <c r="F10" s="4">
        <f>MATCH('Tableau_de_bord'!C8,$X$5:$X$9,0)</f>
        <v/>
      </c>
    </row>
    <row r="11">
      <c r="N11" s="36" t="inlineStr">
        <is>
          <t>Constellation active (calculée)</t>
        </is>
      </c>
    </row>
    <row r="12" ht="30" customHeight="1">
      <c r="A12" s="20" t="inlineStr">
        <is>
          <t>Valeur</t>
        </is>
      </c>
      <c r="B12" s="20" t="inlineStr">
        <is>
          <t>Binaire (5 b)</t>
        </is>
      </c>
      <c r="C12" s="36" t="inlineStr">
        <is>
          <t>BPSK</t>
        </is>
      </c>
      <c r="E12" s="36" t="inlineStr">
        <is>
          <t>QPSK</t>
        </is>
      </c>
      <c r="G12" s="36" t="inlineStr">
        <is>
          <t>8-PSK</t>
        </is>
      </c>
      <c r="I12" s="36" t="inlineStr">
        <is>
          <t>16-QAM</t>
        </is>
      </c>
      <c r="K12" s="36" t="inlineStr">
        <is>
          <t>32-QAM</t>
        </is>
      </c>
      <c r="X12" s="36" t="inlineStr">
        <is>
          <t>Tables 16-QAM</t>
        </is>
      </c>
      <c r="Z12" s="37" t="inlineStr">
        <is>
          <t>IEEE 802.11 (Wi-Fi)</t>
        </is>
      </c>
      <c r="AB12" s="37" t="inlineStr">
        <is>
          <t>3GPP LTE / 5G NR / HSPA</t>
        </is>
      </c>
      <c r="AD12" s="37" t="inlineStr">
        <is>
          <t>DVB-T (ETSI EN 300 744)</t>
        </is>
      </c>
      <c r="AF12" s="37" t="inlineStr">
        <is>
          <t>Binaire naturel (non Gray)</t>
        </is>
      </c>
      <c r="AH12" s="37" t="inlineStr">
        <is>
          <t>Personnalisé (table éditable)</t>
        </is>
      </c>
    </row>
    <row r="13">
      <c r="A13" s="13" t="inlineStr"/>
      <c r="B13" s="13" t="inlineStr"/>
      <c r="C13" s="13" t="inlineStr">
        <is>
          <t>I</t>
        </is>
      </c>
      <c r="D13" s="13" t="inlineStr">
        <is>
          <t>Q</t>
        </is>
      </c>
      <c r="E13" s="13" t="inlineStr">
        <is>
          <t>I</t>
        </is>
      </c>
      <c r="F13" s="13" t="inlineStr">
        <is>
          <t>Q</t>
        </is>
      </c>
      <c r="G13" s="13" t="inlineStr">
        <is>
          <t>I</t>
        </is>
      </c>
      <c r="H13" s="13" t="inlineStr">
        <is>
          <t>Q</t>
        </is>
      </c>
      <c r="I13" s="13" t="inlineStr">
        <is>
          <t>I</t>
        </is>
      </c>
      <c r="J13" s="13" t="inlineStr">
        <is>
          <t>Q</t>
        </is>
      </c>
      <c r="K13" s="13" t="inlineStr">
        <is>
          <t>I</t>
        </is>
      </c>
      <c r="L13" s="13" t="inlineStr">
        <is>
          <t>Q</t>
        </is>
      </c>
      <c r="N13" s="13" t="inlineStr">
        <is>
          <t>Valeur</t>
        </is>
      </c>
      <c r="O13" s="13" t="inlineStr">
        <is>
          <t>Bits</t>
        </is>
      </c>
      <c r="P13" s="13" t="inlineStr">
        <is>
          <t>I brut</t>
        </is>
      </c>
      <c r="Q13" s="13" t="inlineStr">
        <is>
          <t>Q brut</t>
        </is>
      </c>
      <c r="R13" s="13" t="inlineStr">
        <is>
          <t>Émis ?</t>
        </is>
      </c>
      <c r="S13" s="13" t="inlineStr">
        <is>
          <t>I norm.</t>
        </is>
      </c>
      <c r="T13" s="13" t="inlineStr">
        <is>
          <t>Q norm.</t>
        </is>
      </c>
      <c r="U13" s="13" t="inlineStr">
        <is>
          <t>I émis</t>
        </is>
      </c>
      <c r="V13" s="13" t="inlineStr">
        <is>
          <t>Q émis</t>
        </is>
      </c>
      <c r="X13" s="13" t="inlineStr">
        <is>
          <t>Valeur</t>
        </is>
      </c>
      <c r="Y13" s="13" t="inlineStr">
        <is>
          <t>b0b1b2b3</t>
        </is>
      </c>
      <c r="Z13" s="13" t="inlineStr">
        <is>
          <t>I</t>
        </is>
      </c>
      <c r="AA13" s="13" t="inlineStr">
        <is>
          <t>Q</t>
        </is>
      </c>
      <c r="AB13" s="13" t="inlineStr">
        <is>
          <t>I</t>
        </is>
      </c>
      <c r="AC13" s="13" t="inlineStr">
        <is>
          <t>Q</t>
        </is>
      </c>
      <c r="AD13" s="13" t="inlineStr">
        <is>
          <t>I</t>
        </is>
      </c>
      <c r="AE13" s="13" t="inlineStr">
        <is>
          <t>Q</t>
        </is>
      </c>
      <c r="AF13" s="13" t="inlineStr">
        <is>
          <t>I</t>
        </is>
      </c>
      <c r="AG13" s="13" t="inlineStr">
        <is>
          <t>Q</t>
        </is>
      </c>
      <c r="AH13" s="13" t="inlineStr">
        <is>
          <t>I</t>
        </is>
      </c>
      <c r="AI13" s="13" t="inlineStr">
        <is>
          <t>Q</t>
        </is>
      </c>
    </row>
    <row r="14">
      <c r="A14" s="14" t="n">
        <v>0</v>
      </c>
      <c r="B14" s="14">
        <f>DEC2BIN(A14,5)</f>
        <v/>
      </c>
      <c r="C14" s="38" t="n">
        <v>-1</v>
      </c>
      <c r="D14" s="38" t="n">
        <v>0</v>
      </c>
      <c r="E14" s="38" t="n">
        <v>-1</v>
      </c>
      <c r="F14" s="38" t="n">
        <v>-1</v>
      </c>
      <c r="G14" s="39">
        <f>COS(RADIANS(45*0))</f>
        <v/>
      </c>
      <c r="H14" s="39">
        <f>SIN(RADIANS(45*0))</f>
        <v/>
      </c>
      <c r="I14" s="40">
        <f>INDEX($Z14:$AI14,1,2*$F$10-1)</f>
        <v/>
      </c>
      <c r="J14" s="40">
        <f>INDEX($Z14:$AI14,1,2*$F$10)</f>
        <v/>
      </c>
      <c r="K14" s="38" t="n">
        <v>-1</v>
      </c>
      <c r="L14" s="38" t="n">
        <v>-1</v>
      </c>
      <c r="N14" s="14" t="n">
        <v>0</v>
      </c>
      <c r="O14" s="14">
        <f>IF(N14&lt;$F$7,DEC2BIN(N14,$F$6),"")</f>
        <v/>
      </c>
      <c r="P14" s="14">
        <f>IF(N14&lt;$F$7,INDEX($C14:$L14,1,$F$8),0)</f>
        <v/>
      </c>
      <c r="Q14" s="14">
        <f>IF(N14&lt;$F$7,INDEX($C14:$L14,1,$F$8+1),0)</f>
        <v/>
      </c>
      <c r="R14" s="14">
        <f>IF(N14&lt;$F$7,IF(COUNTIF(Symboles!$D$6:$D$101,N14)&gt;0,1,0),0)</f>
        <v/>
      </c>
      <c r="S14" s="23">
        <f>IF(N14&lt;$F$7,P14*$F$9,99)</f>
        <v/>
      </c>
      <c r="T14" s="23">
        <f>IF(N14&lt;$F$7,Q14*$F$9,99)</f>
        <v/>
      </c>
      <c r="U14" s="23">
        <f>IF(R14=1,S14,99)</f>
        <v/>
      </c>
      <c r="V14" s="23">
        <f>IF(R14=1,T14,99)</f>
        <v/>
      </c>
      <c r="X14" s="14" t="n">
        <v>0</v>
      </c>
      <c r="Y14" s="14">
        <f>DEC2BIN(X14,4)</f>
        <v/>
      </c>
      <c r="Z14" s="41" t="n">
        <v>-3</v>
      </c>
      <c r="AA14" s="41" t="n">
        <v>-3</v>
      </c>
      <c r="AB14" s="41" t="n">
        <v>1</v>
      </c>
      <c r="AC14" s="41" t="n">
        <v>1</v>
      </c>
      <c r="AD14" s="41" t="n">
        <v>3</v>
      </c>
      <c r="AE14" s="41" t="n">
        <v>3</v>
      </c>
      <c r="AF14" s="41" t="n">
        <v>-3</v>
      </c>
      <c r="AG14" s="41" t="n">
        <v>-3</v>
      </c>
      <c r="AH14" s="42" t="n">
        <v>-3</v>
      </c>
      <c r="AI14" s="42" t="n">
        <v>-3</v>
      </c>
    </row>
    <row r="15">
      <c r="A15" s="14" t="n">
        <v>1</v>
      </c>
      <c r="B15" s="14">
        <f>DEC2BIN(A15,5)</f>
        <v/>
      </c>
      <c r="C15" s="38" t="n">
        <v>1</v>
      </c>
      <c r="D15" s="38" t="n">
        <v>0</v>
      </c>
      <c r="E15" s="38" t="n">
        <v>-1</v>
      </c>
      <c r="F15" s="38" t="n">
        <v>1</v>
      </c>
      <c r="G15" s="39">
        <f>COS(RADIANS(45*1))</f>
        <v/>
      </c>
      <c r="H15" s="39">
        <f>SIN(RADIANS(45*1))</f>
        <v/>
      </c>
      <c r="I15" s="40">
        <f>INDEX($Z15:$AI15,1,2*$F$10-1)</f>
        <v/>
      </c>
      <c r="J15" s="40">
        <f>INDEX($Z15:$AI15,1,2*$F$10)</f>
        <v/>
      </c>
      <c r="K15" s="38" t="n">
        <v>-1</v>
      </c>
      <c r="L15" s="38" t="n">
        <v>5</v>
      </c>
      <c r="N15" s="14" t="n">
        <v>1</v>
      </c>
      <c r="O15" s="14">
        <f>IF(N15&lt;$F$7,DEC2BIN(N15,$F$6),"")</f>
        <v/>
      </c>
      <c r="P15" s="14">
        <f>IF(N15&lt;$F$7,INDEX($C15:$L15,1,$F$8),0)</f>
        <v/>
      </c>
      <c r="Q15" s="14">
        <f>IF(N15&lt;$F$7,INDEX($C15:$L15,1,$F$8+1),0)</f>
        <v/>
      </c>
      <c r="R15" s="14">
        <f>IF(N15&lt;$F$7,IF(COUNTIF(Symboles!$D$6:$D$101,N15)&gt;0,1,0),0)</f>
        <v/>
      </c>
      <c r="S15" s="23">
        <f>IF(N15&lt;$F$7,P15*$F$9,99)</f>
        <v/>
      </c>
      <c r="T15" s="23">
        <f>IF(N15&lt;$F$7,Q15*$F$9,99)</f>
        <v/>
      </c>
      <c r="U15" s="23">
        <f>IF(R15=1,S15,99)</f>
        <v/>
      </c>
      <c r="V15" s="23">
        <f>IF(R15=1,T15,99)</f>
        <v/>
      </c>
      <c r="X15" s="14" t="n">
        <v>1</v>
      </c>
      <c r="Y15" s="14">
        <f>DEC2BIN(X15,4)</f>
        <v/>
      </c>
      <c r="Z15" s="41" t="n">
        <v>-3</v>
      </c>
      <c r="AA15" s="41" t="n">
        <v>-1</v>
      </c>
      <c r="AB15" s="41" t="n">
        <v>1</v>
      </c>
      <c r="AC15" s="41" t="n">
        <v>3</v>
      </c>
      <c r="AD15" s="41" t="n">
        <v>3</v>
      </c>
      <c r="AE15" s="41" t="n">
        <v>1</v>
      </c>
      <c r="AF15" s="41" t="n">
        <v>-3</v>
      </c>
      <c r="AG15" s="41" t="n">
        <v>-1</v>
      </c>
      <c r="AH15" s="42" t="n">
        <v>-3</v>
      </c>
      <c r="AI15" s="42" t="n">
        <v>-1</v>
      </c>
    </row>
    <row r="16">
      <c r="A16" s="14" t="n">
        <v>2</v>
      </c>
      <c r="B16" s="14">
        <f>DEC2BIN(A16,5)</f>
        <v/>
      </c>
      <c r="C16" s="43" t="n"/>
      <c r="D16" s="43" t="n"/>
      <c r="E16" s="38" t="n">
        <v>1</v>
      </c>
      <c r="F16" s="38" t="n">
        <v>-1</v>
      </c>
      <c r="G16" s="39">
        <f>COS(RADIANS(45*3))</f>
        <v/>
      </c>
      <c r="H16" s="39">
        <f>SIN(RADIANS(45*3))</f>
        <v/>
      </c>
      <c r="I16" s="40">
        <f>INDEX($Z16:$AI16,1,2*$F$10-1)</f>
        <v/>
      </c>
      <c r="J16" s="40">
        <f>INDEX($Z16:$AI16,1,2*$F$10)</f>
        <v/>
      </c>
      <c r="K16" s="38" t="n">
        <v>-3</v>
      </c>
      <c r="L16" s="38" t="n">
        <v>-1</v>
      </c>
      <c r="N16" s="14" t="n">
        <v>2</v>
      </c>
      <c r="O16" s="14">
        <f>IF(N16&lt;$F$7,DEC2BIN(N16,$F$6),"")</f>
        <v/>
      </c>
      <c r="P16" s="14">
        <f>IF(N16&lt;$F$7,INDEX($C16:$L16,1,$F$8),0)</f>
        <v/>
      </c>
      <c r="Q16" s="14">
        <f>IF(N16&lt;$F$7,INDEX($C16:$L16,1,$F$8+1),0)</f>
        <v/>
      </c>
      <c r="R16" s="14">
        <f>IF(N16&lt;$F$7,IF(COUNTIF(Symboles!$D$6:$D$101,N16)&gt;0,1,0),0)</f>
        <v/>
      </c>
      <c r="S16" s="23">
        <f>IF(N16&lt;$F$7,P16*$F$9,99)</f>
        <v/>
      </c>
      <c r="T16" s="23">
        <f>IF(N16&lt;$F$7,Q16*$F$9,99)</f>
        <v/>
      </c>
      <c r="U16" s="23">
        <f>IF(R16=1,S16,99)</f>
        <v/>
      </c>
      <c r="V16" s="23">
        <f>IF(R16=1,T16,99)</f>
        <v/>
      </c>
      <c r="X16" s="14" t="n">
        <v>2</v>
      </c>
      <c r="Y16" s="14">
        <f>DEC2BIN(X16,4)</f>
        <v/>
      </c>
      <c r="Z16" s="41" t="n">
        <v>-3</v>
      </c>
      <c r="AA16" s="41" t="n">
        <v>3</v>
      </c>
      <c r="AB16" s="41" t="n">
        <v>3</v>
      </c>
      <c r="AC16" s="41" t="n">
        <v>1</v>
      </c>
      <c r="AD16" s="41" t="n">
        <v>1</v>
      </c>
      <c r="AE16" s="41" t="n">
        <v>3</v>
      </c>
      <c r="AF16" s="41" t="n">
        <v>-3</v>
      </c>
      <c r="AG16" s="41" t="n">
        <v>1</v>
      </c>
      <c r="AH16" s="42" t="n">
        <v>-3</v>
      </c>
      <c r="AI16" s="42" t="n">
        <v>3</v>
      </c>
    </row>
    <row r="17">
      <c r="A17" s="14" t="n">
        <v>3</v>
      </c>
      <c r="B17" s="14">
        <f>DEC2BIN(A17,5)</f>
        <v/>
      </c>
      <c r="C17" s="43" t="n"/>
      <c r="D17" s="43" t="n"/>
      <c r="E17" s="38" t="n">
        <v>1</v>
      </c>
      <c r="F17" s="38" t="n">
        <v>1</v>
      </c>
      <c r="G17" s="39">
        <f>COS(RADIANS(45*2))</f>
        <v/>
      </c>
      <c r="H17" s="39">
        <f>SIN(RADIANS(45*2))</f>
        <v/>
      </c>
      <c r="I17" s="40">
        <f>INDEX($Z17:$AI17,1,2*$F$10-1)</f>
        <v/>
      </c>
      <c r="J17" s="40">
        <f>INDEX($Z17:$AI17,1,2*$F$10)</f>
        <v/>
      </c>
      <c r="K17" s="38" t="n">
        <v>-5</v>
      </c>
      <c r="L17" s="38" t="n">
        <v>-1</v>
      </c>
      <c r="N17" s="14" t="n">
        <v>3</v>
      </c>
      <c r="O17" s="14">
        <f>IF(N17&lt;$F$7,DEC2BIN(N17,$F$6),"")</f>
        <v/>
      </c>
      <c r="P17" s="14">
        <f>IF(N17&lt;$F$7,INDEX($C17:$L17,1,$F$8),0)</f>
        <v/>
      </c>
      <c r="Q17" s="14">
        <f>IF(N17&lt;$F$7,INDEX($C17:$L17,1,$F$8+1),0)</f>
        <v/>
      </c>
      <c r="R17" s="14">
        <f>IF(N17&lt;$F$7,IF(COUNTIF(Symboles!$D$6:$D$101,N17)&gt;0,1,0),0)</f>
        <v/>
      </c>
      <c r="S17" s="23">
        <f>IF(N17&lt;$F$7,P17*$F$9,99)</f>
        <v/>
      </c>
      <c r="T17" s="23">
        <f>IF(N17&lt;$F$7,Q17*$F$9,99)</f>
        <v/>
      </c>
      <c r="U17" s="23">
        <f>IF(R17=1,S17,99)</f>
        <v/>
      </c>
      <c r="V17" s="23">
        <f>IF(R17=1,T17,99)</f>
        <v/>
      </c>
      <c r="X17" s="14" t="n">
        <v>3</v>
      </c>
      <c r="Y17" s="14">
        <f>DEC2BIN(X17,4)</f>
        <v/>
      </c>
      <c r="Z17" s="41" t="n">
        <v>-3</v>
      </c>
      <c r="AA17" s="41" t="n">
        <v>1</v>
      </c>
      <c r="AB17" s="41" t="n">
        <v>3</v>
      </c>
      <c r="AC17" s="41" t="n">
        <v>3</v>
      </c>
      <c r="AD17" s="41" t="n">
        <v>1</v>
      </c>
      <c r="AE17" s="41" t="n">
        <v>1</v>
      </c>
      <c r="AF17" s="41" t="n">
        <v>-3</v>
      </c>
      <c r="AG17" s="41" t="n">
        <v>3</v>
      </c>
      <c r="AH17" s="42" t="n">
        <v>-3</v>
      </c>
      <c r="AI17" s="42" t="n">
        <v>1</v>
      </c>
    </row>
    <row r="18">
      <c r="A18" s="14" t="n">
        <v>4</v>
      </c>
      <c r="B18" s="14">
        <f>DEC2BIN(A18,5)</f>
        <v/>
      </c>
      <c r="C18" s="43" t="n"/>
      <c r="D18" s="43" t="n"/>
      <c r="E18" s="43" t="n"/>
      <c r="F18" s="43" t="n"/>
      <c r="G18" s="39">
        <f>COS(RADIANS(45*7))</f>
        <v/>
      </c>
      <c r="H18" s="39">
        <f>SIN(RADIANS(45*7))</f>
        <v/>
      </c>
      <c r="I18" s="40">
        <f>INDEX($Z18:$AI18,1,2*$F$10-1)</f>
        <v/>
      </c>
      <c r="J18" s="40">
        <f>INDEX($Z18:$AI18,1,2*$F$10)</f>
        <v/>
      </c>
      <c r="K18" s="38" t="n">
        <v>1</v>
      </c>
      <c r="L18" s="38" t="n">
        <v>-1</v>
      </c>
      <c r="N18" s="14" t="n">
        <v>4</v>
      </c>
      <c r="O18" s="14">
        <f>IF(N18&lt;$F$7,DEC2BIN(N18,$F$6),"")</f>
        <v/>
      </c>
      <c r="P18" s="14">
        <f>IF(N18&lt;$F$7,INDEX($C18:$L18,1,$F$8),0)</f>
        <v/>
      </c>
      <c r="Q18" s="14">
        <f>IF(N18&lt;$F$7,INDEX($C18:$L18,1,$F$8+1),0)</f>
        <v/>
      </c>
      <c r="R18" s="14">
        <f>IF(N18&lt;$F$7,IF(COUNTIF(Symboles!$D$6:$D$101,N18)&gt;0,1,0),0)</f>
        <v/>
      </c>
      <c r="S18" s="23">
        <f>IF(N18&lt;$F$7,P18*$F$9,99)</f>
        <v/>
      </c>
      <c r="T18" s="23">
        <f>IF(N18&lt;$F$7,Q18*$F$9,99)</f>
        <v/>
      </c>
      <c r="U18" s="23">
        <f>IF(R18=1,S18,99)</f>
        <v/>
      </c>
      <c r="V18" s="23">
        <f>IF(R18=1,T18,99)</f>
        <v/>
      </c>
      <c r="X18" s="14" t="n">
        <v>4</v>
      </c>
      <c r="Y18" s="14">
        <f>DEC2BIN(X18,4)</f>
        <v/>
      </c>
      <c r="Z18" s="41" t="n">
        <v>-1</v>
      </c>
      <c r="AA18" s="41" t="n">
        <v>-3</v>
      </c>
      <c r="AB18" s="41" t="n">
        <v>1</v>
      </c>
      <c r="AC18" s="41" t="n">
        <v>-1</v>
      </c>
      <c r="AD18" s="41" t="n">
        <v>3</v>
      </c>
      <c r="AE18" s="41" t="n">
        <v>-3</v>
      </c>
      <c r="AF18" s="41" t="n">
        <v>-1</v>
      </c>
      <c r="AG18" s="41" t="n">
        <v>-3</v>
      </c>
      <c r="AH18" s="42" t="n">
        <v>-1</v>
      </c>
      <c r="AI18" s="42" t="n">
        <v>-3</v>
      </c>
    </row>
    <row r="19">
      <c r="A19" s="14" t="n">
        <v>5</v>
      </c>
      <c r="B19" s="14">
        <f>DEC2BIN(A19,5)</f>
        <v/>
      </c>
      <c r="C19" s="43" t="n"/>
      <c r="D19" s="43" t="n"/>
      <c r="E19" s="43" t="n"/>
      <c r="F19" s="43" t="n"/>
      <c r="G19" s="39">
        <f>COS(RADIANS(45*6))</f>
        <v/>
      </c>
      <c r="H19" s="39">
        <f>SIN(RADIANS(45*6))</f>
        <v/>
      </c>
      <c r="I19" s="40">
        <f>INDEX($Z19:$AI19,1,2*$F$10-1)</f>
        <v/>
      </c>
      <c r="J19" s="40">
        <f>INDEX($Z19:$AI19,1,2*$F$10)</f>
        <v/>
      </c>
      <c r="K19" s="38" t="n">
        <v>1</v>
      </c>
      <c r="L19" s="38" t="n">
        <v>5</v>
      </c>
      <c r="N19" s="14" t="n">
        <v>5</v>
      </c>
      <c r="O19" s="14">
        <f>IF(N19&lt;$F$7,DEC2BIN(N19,$F$6),"")</f>
        <v/>
      </c>
      <c r="P19" s="14">
        <f>IF(N19&lt;$F$7,INDEX($C19:$L19,1,$F$8),0)</f>
        <v/>
      </c>
      <c r="Q19" s="14">
        <f>IF(N19&lt;$F$7,INDEX($C19:$L19,1,$F$8+1),0)</f>
        <v/>
      </c>
      <c r="R19" s="14">
        <f>IF(N19&lt;$F$7,IF(COUNTIF(Symboles!$D$6:$D$101,N19)&gt;0,1,0),0)</f>
        <v/>
      </c>
      <c r="S19" s="23">
        <f>IF(N19&lt;$F$7,P19*$F$9,99)</f>
        <v/>
      </c>
      <c r="T19" s="23">
        <f>IF(N19&lt;$F$7,Q19*$F$9,99)</f>
        <v/>
      </c>
      <c r="U19" s="23">
        <f>IF(R19=1,S19,99)</f>
        <v/>
      </c>
      <c r="V19" s="23">
        <f>IF(R19=1,T19,99)</f>
        <v/>
      </c>
      <c r="X19" s="14" t="n">
        <v>5</v>
      </c>
      <c r="Y19" s="14">
        <f>DEC2BIN(X19,4)</f>
        <v/>
      </c>
      <c r="Z19" s="41" t="n">
        <v>-1</v>
      </c>
      <c r="AA19" s="41" t="n">
        <v>-1</v>
      </c>
      <c r="AB19" s="41" t="n">
        <v>1</v>
      </c>
      <c r="AC19" s="41" t="n">
        <v>-3</v>
      </c>
      <c r="AD19" s="41" t="n">
        <v>3</v>
      </c>
      <c r="AE19" s="41" t="n">
        <v>-1</v>
      </c>
      <c r="AF19" s="41" t="n">
        <v>-1</v>
      </c>
      <c r="AG19" s="41" t="n">
        <v>-1</v>
      </c>
      <c r="AH19" s="42" t="n">
        <v>-1</v>
      </c>
      <c r="AI19" s="42" t="n">
        <v>-1</v>
      </c>
    </row>
    <row r="20">
      <c r="A20" s="14" t="n">
        <v>6</v>
      </c>
      <c r="B20" s="14">
        <f>DEC2BIN(A20,5)</f>
        <v/>
      </c>
      <c r="C20" s="43" t="n"/>
      <c r="D20" s="43" t="n"/>
      <c r="E20" s="43" t="n"/>
      <c r="F20" s="43" t="n"/>
      <c r="G20" s="39">
        <f>COS(RADIANS(45*4))</f>
        <v/>
      </c>
      <c r="H20" s="39">
        <f>SIN(RADIANS(45*4))</f>
        <v/>
      </c>
      <c r="I20" s="40">
        <f>INDEX($Z20:$AI20,1,2*$F$10-1)</f>
        <v/>
      </c>
      <c r="J20" s="40">
        <f>INDEX($Z20:$AI20,1,2*$F$10)</f>
        <v/>
      </c>
      <c r="K20" s="38" t="n">
        <v>3</v>
      </c>
      <c r="L20" s="38" t="n">
        <v>-1</v>
      </c>
      <c r="N20" s="14" t="n">
        <v>6</v>
      </c>
      <c r="O20" s="14">
        <f>IF(N20&lt;$F$7,DEC2BIN(N20,$F$6),"")</f>
        <v/>
      </c>
      <c r="P20" s="14">
        <f>IF(N20&lt;$F$7,INDEX($C20:$L20,1,$F$8),0)</f>
        <v/>
      </c>
      <c r="Q20" s="14">
        <f>IF(N20&lt;$F$7,INDEX($C20:$L20,1,$F$8+1),0)</f>
        <v/>
      </c>
      <c r="R20" s="14">
        <f>IF(N20&lt;$F$7,IF(COUNTIF(Symboles!$D$6:$D$101,N20)&gt;0,1,0),0)</f>
        <v/>
      </c>
      <c r="S20" s="23">
        <f>IF(N20&lt;$F$7,P20*$F$9,99)</f>
        <v/>
      </c>
      <c r="T20" s="23">
        <f>IF(N20&lt;$F$7,Q20*$F$9,99)</f>
        <v/>
      </c>
      <c r="U20" s="23">
        <f>IF(R20=1,S20,99)</f>
        <v/>
      </c>
      <c r="V20" s="23">
        <f>IF(R20=1,T20,99)</f>
        <v/>
      </c>
      <c r="X20" s="14" t="n">
        <v>6</v>
      </c>
      <c r="Y20" s="14">
        <f>DEC2BIN(X20,4)</f>
        <v/>
      </c>
      <c r="Z20" s="41" t="n">
        <v>-1</v>
      </c>
      <c r="AA20" s="41" t="n">
        <v>3</v>
      </c>
      <c r="AB20" s="41" t="n">
        <v>3</v>
      </c>
      <c r="AC20" s="41" t="n">
        <v>-1</v>
      </c>
      <c r="AD20" s="41" t="n">
        <v>1</v>
      </c>
      <c r="AE20" s="41" t="n">
        <v>-3</v>
      </c>
      <c r="AF20" s="41" t="n">
        <v>-1</v>
      </c>
      <c r="AG20" s="41" t="n">
        <v>1</v>
      </c>
      <c r="AH20" s="42" t="n">
        <v>-1</v>
      </c>
      <c r="AI20" s="42" t="n">
        <v>3</v>
      </c>
    </row>
    <row r="21">
      <c r="A21" s="14" t="n">
        <v>7</v>
      </c>
      <c r="B21" s="14">
        <f>DEC2BIN(A21,5)</f>
        <v/>
      </c>
      <c r="C21" s="43" t="n"/>
      <c r="D21" s="43" t="n"/>
      <c r="E21" s="43" t="n"/>
      <c r="F21" s="43" t="n"/>
      <c r="G21" s="39">
        <f>COS(RADIANS(45*5))</f>
        <v/>
      </c>
      <c r="H21" s="39">
        <f>SIN(RADIANS(45*5))</f>
        <v/>
      </c>
      <c r="I21" s="40">
        <f>INDEX($Z21:$AI21,1,2*$F$10-1)</f>
        <v/>
      </c>
      <c r="J21" s="40">
        <f>INDEX($Z21:$AI21,1,2*$F$10)</f>
        <v/>
      </c>
      <c r="K21" s="38" t="n">
        <v>3</v>
      </c>
      <c r="L21" s="38" t="n">
        <v>5</v>
      </c>
      <c r="N21" s="14" t="n">
        <v>7</v>
      </c>
      <c r="O21" s="14">
        <f>IF(N21&lt;$F$7,DEC2BIN(N21,$F$6),"")</f>
        <v/>
      </c>
      <c r="P21" s="14">
        <f>IF(N21&lt;$F$7,INDEX($C21:$L21,1,$F$8),0)</f>
        <v/>
      </c>
      <c r="Q21" s="14">
        <f>IF(N21&lt;$F$7,INDEX($C21:$L21,1,$F$8+1),0)</f>
        <v/>
      </c>
      <c r="R21" s="14">
        <f>IF(N21&lt;$F$7,IF(COUNTIF(Symboles!$D$6:$D$101,N21)&gt;0,1,0),0)</f>
        <v/>
      </c>
      <c r="S21" s="23">
        <f>IF(N21&lt;$F$7,P21*$F$9,99)</f>
        <v/>
      </c>
      <c r="T21" s="23">
        <f>IF(N21&lt;$F$7,Q21*$F$9,99)</f>
        <v/>
      </c>
      <c r="U21" s="23">
        <f>IF(R21=1,S21,99)</f>
        <v/>
      </c>
      <c r="V21" s="23">
        <f>IF(R21=1,T21,99)</f>
        <v/>
      </c>
      <c r="X21" s="14" t="n">
        <v>7</v>
      </c>
      <c r="Y21" s="14">
        <f>DEC2BIN(X21,4)</f>
        <v/>
      </c>
      <c r="Z21" s="41" t="n">
        <v>-1</v>
      </c>
      <c r="AA21" s="41" t="n">
        <v>1</v>
      </c>
      <c r="AB21" s="41" t="n">
        <v>3</v>
      </c>
      <c r="AC21" s="41" t="n">
        <v>-3</v>
      </c>
      <c r="AD21" s="41" t="n">
        <v>1</v>
      </c>
      <c r="AE21" s="41" t="n">
        <v>-1</v>
      </c>
      <c r="AF21" s="41" t="n">
        <v>-1</v>
      </c>
      <c r="AG21" s="41" t="n">
        <v>3</v>
      </c>
      <c r="AH21" s="42" t="n">
        <v>-1</v>
      </c>
      <c r="AI21" s="42" t="n">
        <v>1</v>
      </c>
    </row>
    <row r="22">
      <c r="A22" s="14" t="n">
        <v>8</v>
      </c>
      <c r="B22" s="14">
        <f>DEC2BIN(A22,5)</f>
        <v/>
      </c>
      <c r="C22" s="43" t="n"/>
      <c r="D22" s="43" t="n"/>
      <c r="E22" s="43" t="n"/>
      <c r="F22" s="43" t="n"/>
      <c r="G22" s="43" t="n"/>
      <c r="H22" s="43" t="n"/>
      <c r="I22" s="40">
        <f>INDEX($Z22:$AI22,1,2*$F$10-1)</f>
        <v/>
      </c>
      <c r="J22" s="40">
        <f>INDEX($Z22:$AI22,1,2*$F$10)</f>
        <v/>
      </c>
      <c r="K22" s="38" t="n">
        <v>-1</v>
      </c>
      <c r="L22" s="38" t="n">
        <v>-3</v>
      </c>
      <c r="N22" s="14" t="n">
        <v>8</v>
      </c>
      <c r="O22" s="14">
        <f>IF(N22&lt;$F$7,DEC2BIN(N22,$F$6),"")</f>
        <v/>
      </c>
      <c r="P22" s="14">
        <f>IF(N22&lt;$F$7,INDEX($C22:$L22,1,$F$8),0)</f>
        <v/>
      </c>
      <c r="Q22" s="14">
        <f>IF(N22&lt;$F$7,INDEX($C22:$L22,1,$F$8+1),0)</f>
        <v/>
      </c>
      <c r="R22" s="14">
        <f>IF(N22&lt;$F$7,IF(COUNTIF(Symboles!$D$6:$D$101,N22)&gt;0,1,0),0)</f>
        <v/>
      </c>
      <c r="S22" s="23">
        <f>IF(N22&lt;$F$7,P22*$F$9,99)</f>
        <v/>
      </c>
      <c r="T22" s="23">
        <f>IF(N22&lt;$F$7,Q22*$F$9,99)</f>
        <v/>
      </c>
      <c r="U22" s="23">
        <f>IF(R22=1,S22,99)</f>
        <v/>
      </c>
      <c r="V22" s="23">
        <f>IF(R22=1,T22,99)</f>
        <v/>
      </c>
      <c r="X22" s="14" t="n">
        <v>8</v>
      </c>
      <c r="Y22" s="14">
        <f>DEC2BIN(X22,4)</f>
        <v/>
      </c>
      <c r="Z22" s="41" t="n">
        <v>3</v>
      </c>
      <c r="AA22" s="41" t="n">
        <v>-3</v>
      </c>
      <c r="AB22" s="41" t="n">
        <v>-1</v>
      </c>
      <c r="AC22" s="41" t="n">
        <v>1</v>
      </c>
      <c r="AD22" s="41" t="n">
        <v>-3</v>
      </c>
      <c r="AE22" s="41" t="n">
        <v>3</v>
      </c>
      <c r="AF22" s="41" t="n">
        <v>1</v>
      </c>
      <c r="AG22" s="41" t="n">
        <v>-3</v>
      </c>
      <c r="AH22" s="42" t="n">
        <v>3</v>
      </c>
      <c r="AI22" s="42" t="n">
        <v>-3</v>
      </c>
    </row>
    <row r="23">
      <c r="A23" s="14" t="n">
        <v>9</v>
      </c>
      <c r="B23" s="14">
        <f>DEC2BIN(A23,5)</f>
        <v/>
      </c>
      <c r="C23" s="43" t="n"/>
      <c r="D23" s="43" t="n"/>
      <c r="E23" s="43" t="n"/>
      <c r="F23" s="43" t="n"/>
      <c r="G23" s="43" t="n"/>
      <c r="H23" s="43" t="n"/>
      <c r="I23" s="40">
        <f>INDEX($Z23:$AI23,1,2*$F$10-1)</f>
        <v/>
      </c>
      <c r="J23" s="40">
        <f>INDEX($Z23:$AI23,1,2*$F$10)</f>
        <v/>
      </c>
      <c r="K23" s="38" t="n">
        <v>-3</v>
      </c>
      <c r="L23" s="38" t="n">
        <v>5</v>
      </c>
      <c r="N23" s="14" t="n">
        <v>9</v>
      </c>
      <c r="O23" s="14">
        <f>IF(N23&lt;$F$7,DEC2BIN(N23,$F$6),"")</f>
        <v/>
      </c>
      <c r="P23" s="14">
        <f>IF(N23&lt;$F$7,INDEX($C23:$L23,1,$F$8),0)</f>
        <v/>
      </c>
      <c r="Q23" s="14">
        <f>IF(N23&lt;$F$7,INDEX($C23:$L23,1,$F$8+1),0)</f>
        <v/>
      </c>
      <c r="R23" s="14">
        <f>IF(N23&lt;$F$7,IF(COUNTIF(Symboles!$D$6:$D$101,N23)&gt;0,1,0),0)</f>
        <v/>
      </c>
      <c r="S23" s="23">
        <f>IF(N23&lt;$F$7,P23*$F$9,99)</f>
        <v/>
      </c>
      <c r="T23" s="23">
        <f>IF(N23&lt;$F$7,Q23*$F$9,99)</f>
        <v/>
      </c>
      <c r="U23" s="23">
        <f>IF(R23=1,S23,99)</f>
        <v/>
      </c>
      <c r="V23" s="23">
        <f>IF(R23=1,T23,99)</f>
        <v/>
      </c>
      <c r="X23" s="14" t="n">
        <v>9</v>
      </c>
      <c r="Y23" s="14">
        <f>DEC2BIN(X23,4)</f>
        <v/>
      </c>
      <c r="Z23" s="41" t="n">
        <v>3</v>
      </c>
      <c r="AA23" s="41" t="n">
        <v>-1</v>
      </c>
      <c r="AB23" s="41" t="n">
        <v>-1</v>
      </c>
      <c r="AC23" s="41" t="n">
        <v>3</v>
      </c>
      <c r="AD23" s="41" t="n">
        <v>-3</v>
      </c>
      <c r="AE23" s="41" t="n">
        <v>1</v>
      </c>
      <c r="AF23" s="41" t="n">
        <v>1</v>
      </c>
      <c r="AG23" s="41" t="n">
        <v>-1</v>
      </c>
      <c r="AH23" s="42" t="n">
        <v>3</v>
      </c>
      <c r="AI23" s="42" t="n">
        <v>-1</v>
      </c>
    </row>
    <row r="24">
      <c r="A24" s="14" t="n">
        <v>10</v>
      </c>
      <c r="B24" s="14">
        <f>DEC2BIN(A24,5)</f>
        <v/>
      </c>
      <c r="C24" s="43" t="n"/>
      <c r="D24" s="43" t="n"/>
      <c r="E24" s="43" t="n"/>
      <c r="F24" s="43" t="n"/>
      <c r="G24" s="43" t="n"/>
      <c r="H24" s="43" t="n"/>
      <c r="I24" s="40">
        <f>INDEX($Z24:$AI24,1,2*$F$10-1)</f>
        <v/>
      </c>
      <c r="J24" s="40">
        <f>INDEX($Z24:$AI24,1,2*$F$10)</f>
        <v/>
      </c>
      <c r="K24" s="38" t="n">
        <v>-3</v>
      </c>
      <c r="L24" s="38" t="n">
        <v>-3</v>
      </c>
      <c r="N24" s="14" t="n">
        <v>10</v>
      </c>
      <c r="O24" s="14">
        <f>IF(N24&lt;$F$7,DEC2BIN(N24,$F$6),"")</f>
        <v/>
      </c>
      <c r="P24" s="14">
        <f>IF(N24&lt;$F$7,INDEX($C24:$L24,1,$F$8),0)</f>
        <v/>
      </c>
      <c r="Q24" s="14">
        <f>IF(N24&lt;$F$7,INDEX($C24:$L24,1,$F$8+1),0)</f>
        <v/>
      </c>
      <c r="R24" s="14">
        <f>IF(N24&lt;$F$7,IF(COUNTIF(Symboles!$D$6:$D$101,N24)&gt;0,1,0),0)</f>
        <v/>
      </c>
      <c r="S24" s="23">
        <f>IF(N24&lt;$F$7,P24*$F$9,99)</f>
        <v/>
      </c>
      <c r="T24" s="23">
        <f>IF(N24&lt;$F$7,Q24*$F$9,99)</f>
        <v/>
      </c>
      <c r="U24" s="23">
        <f>IF(R24=1,S24,99)</f>
        <v/>
      </c>
      <c r="V24" s="23">
        <f>IF(R24=1,T24,99)</f>
        <v/>
      </c>
      <c r="X24" s="14" t="n">
        <v>10</v>
      </c>
      <c r="Y24" s="14">
        <f>DEC2BIN(X24,4)</f>
        <v/>
      </c>
      <c r="Z24" s="41" t="n">
        <v>3</v>
      </c>
      <c r="AA24" s="41" t="n">
        <v>3</v>
      </c>
      <c r="AB24" s="41" t="n">
        <v>-3</v>
      </c>
      <c r="AC24" s="41" t="n">
        <v>1</v>
      </c>
      <c r="AD24" s="41" t="n">
        <v>-1</v>
      </c>
      <c r="AE24" s="41" t="n">
        <v>3</v>
      </c>
      <c r="AF24" s="41" t="n">
        <v>1</v>
      </c>
      <c r="AG24" s="41" t="n">
        <v>1</v>
      </c>
      <c r="AH24" s="42" t="n">
        <v>3</v>
      </c>
      <c r="AI24" s="42" t="n">
        <v>3</v>
      </c>
    </row>
    <row r="25">
      <c r="A25" s="14" t="n">
        <v>11</v>
      </c>
      <c r="B25" s="14">
        <f>DEC2BIN(A25,5)</f>
        <v/>
      </c>
      <c r="C25" s="43" t="n"/>
      <c r="D25" s="43" t="n"/>
      <c r="E25" s="43" t="n"/>
      <c r="F25" s="43" t="n"/>
      <c r="G25" s="43" t="n"/>
      <c r="H25" s="43" t="n"/>
      <c r="I25" s="40">
        <f>INDEX($Z25:$AI25,1,2*$F$10-1)</f>
        <v/>
      </c>
      <c r="J25" s="40">
        <f>INDEX($Z25:$AI25,1,2*$F$10)</f>
        <v/>
      </c>
      <c r="K25" s="38" t="n">
        <v>-5</v>
      </c>
      <c r="L25" s="38" t="n">
        <v>-3</v>
      </c>
      <c r="N25" s="14" t="n">
        <v>11</v>
      </c>
      <c r="O25" s="14">
        <f>IF(N25&lt;$F$7,DEC2BIN(N25,$F$6),"")</f>
        <v/>
      </c>
      <c r="P25" s="14">
        <f>IF(N25&lt;$F$7,INDEX($C25:$L25,1,$F$8),0)</f>
        <v/>
      </c>
      <c r="Q25" s="14">
        <f>IF(N25&lt;$F$7,INDEX($C25:$L25,1,$F$8+1),0)</f>
        <v/>
      </c>
      <c r="R25" s="14">
        <f>IF(N25&lt;$F$7,IF(COUNTIF(Symboles!$D$6:$D$101,N25)&gt;0,1,0),0)</f>
        <v/>
      </c>
      <c r="S25" s="23">
        <f>IF(N25&lt;$F$7,P25*$F$9,99)</f>
        <v/>
      </c>
      <c r="T25" s="23">
        <f>IF(N25&lt;$F$7,Q25*$F$9,99)</f>
        <v/>
      </c>
      <c r="U25" s="23">
        <f>IF(R25=1,S25,99)</f>
        <v/>
      </c>
      <c r="V25" s="23">
        <f>IF(R25=1,T25,99)</f>
        <v/>
      </c>
      <c r="X25" s="14" t="n">
        <v>11</v>
      </c>
      <c r="Y25" s="14">
        <f>DEC2BIN(X25,4)</f>
        <v/>
      </c>
      <c r="Z25" s="41" t="n">
        <v>3</v>
      </c>
      <c r="AA25" s="41" t="n">
        <v>1</v>
      </c>
      <c r="AB25" s="41" t="n">
        <v>-3</v>
      </c>
      <c r="AC25" s="41" t="n">
        <v>3</v>
      </c>
      <c r="AD25" s="41" t="n">
        <v>-1</v>
      </c>
      <c r="AE25" s="41" t="n">
        <v>1</v>
      </c>
      <c r="AF25" s="41" t="n">
        <v>1</v>
      </c>
      <c r="AG25" s="41" t="n">
        <v>3</v>
      </c>
      <c r="AH25" s="42" t="n">
        <v>3</v>
      </c>
      <c r="AI25" s="42" t="n">
        <v>1</v>
      </c>
    </row>
    <row r="26">
      <c r="A26" s="14" t="n">
        <v>12</v>
      </c>
      <c r="B26" s="14">
        <f>DEC2BIN(A26,5)</f>
        <v/>
      </c>
      <c r="C26" s="43" t="n"/>
      <c r="D26" s="43" t="n"/>
      <c r="E26" s="43" t="n"/>
      <c r="F26" s="43" t="n"/>
      <c r="G26" s="43" t="n"/>
      <c r="H26" s="43" t="n"/>
      <c r="I26" s="40">
        <f>INDEX($Z26:$AI26,1,2*$F$10-1)</f>
        <v/>
      </c>
      <c r="J26" s="40">
        <f>INDEX($Z26:$AI26,1,2*$F$10)</f>
        <v/>
      </c>
      <c r="K26" s="38" t="n">
        <v>1</v>
      </c>
      <c r="L26" s="38" t="n">
        <v>-3</v>
      </c>
      <c r="N26" s="14" t="n">
        <v>12</v>
      </c>
      <c r="O26" s="14">
        <f>IF(N26&lt;$F$7,DEC2BIN(N26,$F$6),"")</f>
        <v/>
      </c>
      <c r="P26" s="14">
        <f>IF(N26&lt;$F$7,INDEX($C26:$L26,1,$F$8),0)</f>
        <v/>
      </c>
      <c r="Q26" s="14">
        <f>IF(N26&lt;$F$7,INDEX($C26:$L26,1,$F$8+1),0)</f>
        <v/>
      </c>
      <c r="R26" s="14">
        <f>IF(N26&lt;$F$7,IF(COUNTIF(Symboles!$D$6:$D$101,N26)&gt;0,1,0),0)</f>
        <v/>
      </c>
      <c r="S26" s="23">
        <f>IF(N26&lt;$F$7,P26*$F$9,99)</f>
        <v/>
      </c>
      <c r="T26" s="23">
        <f>IF(N26&lt;$F$7,Q26*$F$9,99)</f>
        <v/>
      </c>
      <c r="U26" s="23">
        <f>IF(R26=1,S26,99)</f>
        <v/>
      </c>
      <c r="V26" s="23">
        <f>IF(R26=1,T26,99)</f>
        <v/>
      </c>
      <c r="X26" s="14" t="n">
        <v>12</v>
      </c>
      <c r="Y26" s="14">
        <f>DEC2BIN(X26,4)</f>
        <v/>
      </c>
      <c r="Z26" s="41" t="n">
        <v>1</v>
      </c>
      <c r="AA26" s="41" t="n">
        <v>-3</v>
      </c>
      <c r="AB26" s="41" t="n">
        <v>-1</v>
      </c>
      <c r="AC26" s="41" t="n">
        <v>-1</v>
      </c>
      <c r="AD26" s="41" t="n">
        <v>-3</v>
      </c>
      <c r="AE26" s="41" t="n">
        <v>-3</v>
      </c>
      <c r="AF26" s="41" t="n">
        <v>3</v>
      </c>
      <c r="AG26" s="41" t="n">
        <v>-3</v>
      </c>
      <c r="AH26" s="42" t="n">
        <v>1</v>
      </c>
      <c r="AI26" s="42" t="n">
        <v>-3</v>
      </c>
    </row>
    <row r="27">
      <c r="A27" s="14" t="n">
        <v>13</v>
      </c>
      <c r="B27" s="14">
        <f>DEC2BIN(A27,5)</f>
        <v/>
      </c>
      <c r="C27" s="43" t="n"/>
      <c r="D27" s="43" t="n"/>
      <c r="E27" s="43" t="n"/>
      <c r="F27" s="43" t="n"/>
      <c r="G27" s="43" t="n"/>
      <c r="H27" s="43" t="n"/>
      <c r="I27" s="40">
        <f>INDEX($Z27:$AI27,1,2*$F$10-1)</f>
        <v/>
      </c>
      <c r="J27" s="40">
        <f>INDEX($Z27:$AI27,1,2*$F$10)</f>
        <v/>
      </c>
      <c r="K27" s="38" t="n">
        <v>3</v>
      </c>
      <c r="L27" s="38" t="n">
        <v>-3</v>
      </c>
      <c r="N27" s="14" t="n">
        <v>13</v>
      </c>
      <c r="O27" s="14">
        <f>IF(N27&lt;$F$7,DEC2BIN(N27,$F$6),"")</f>
        <v/>
      </c>
      <c r="P27" s="14">
        <f>IF(N27&lt;$F$7,INDEX($C27:$L27,1,$F$8),0)</f>
        <v/>
      </c>
      <c r="Q27" s="14">
        <f>IF(N27&lt;$F$7,INDEX($C27:$L27,1,$F$8+1),0)</f>
        <v/>
      </c>
      <c r="R27" s="14">
        <f>IF(N27&lt;$F$7,IF(COUNTIF(Symboles!$D$6:$D$101,N27)&gt;0,1,0),0)</f>
        <v/>
      </c>
      <c r="S27" s="23">
        <f>IF(N27&lt;$F$7,P27*$F$9,99)</f>
        <v/>
      </c>
      <c r="T27" s="23">
        <f>IF(N27&lt;$F$7,Q27*$F$9,99)</f>
        <v/>
      </c>
      <c r="U27" s="23">
        <f>IF(R27=1,S27,99)</f>
        <v/>
      </c>
      <c r="V27" s="23">
        <f>IF(R27=1,T27,99)</f>
        <v/>
      </c>
      <c r="X27" s="14" t="n">
        <v>13</v>
      </c>
      <c r="Y27" s="14">
        <f>DEC2BIN(X27,4)</f>
        <v/>
      </c>
      <c r="Z27" s="41" t="n">
        <v>1</v>
      </c>
      <c r="AA27" s="41" t="n">
        <v>-1</v>
      </c>
      <c r="AB27" s="41" t="n">
        <v>-1</v>
      </c>
      <c r="AC27" s="41" t="n">
        <v>-3</v>
      </c>
      <c r="AD27" s="41" t="n">
        <v>-3</v>
      </c>
      <c r="AE27" s="41" t="n">
        <v>-1</v>
      </c>
      <c r="AF27" s="41" t="n">
        <v>3</v>
      </c>
      <c r="AG27" s="41" t="n">
        <v>-1</v>
      </c>
      <c r="AH27" s="42" t="n">
        <v>1</v>
      </c>
      <c r="AI27" s="42" t="n">
        <v>-1</v>
      </c>
    </row>
    <row r="28">
      <c r="A28" s="14" t="n">
        <v>14</v>
      </c>
      <c r="B28" s="14">
        <f>DEC2BIN(A28,5)</f>
        <v/>
      </c>
      <c r="C28" s="43" t="n"/>
      <c r="D28" s="43" t="n"/>
      <c r="E28" s="43" t="n"/>
      <c r="F28" s="43" t="n"/>
      <c r="G28" s="43" t="n"/>
      <c r="H28" s="43" t="n"/>
      <c r="I28" s="40">
        <f>INDEX($Z28:$AI28,1,2*$F$10-1)</f>
        <v/>
      </c>
      <c r="J28" s="40">
        <f>INDEX($Z28:$AI28,1,2*$F$10)</f>
        <v/>
      </c>
      <c r="K28" s="38" t="n">
        <v>5</v>
      </c>
      <c r="L28" s="38" t="n">
        <v>-1</v>
      </c>
      <c r="N28" s="14" t="n">
        <v>14</v>
      </c>
      <c r="O28" s="14">
        <f>IF(N28&lt;$F$7,DEC2BIN(N28,$F$6),"")</f>
        <v/>
      </c>
      <c r="P28" s="14">
        <f>IF(N28&lt;$F$7,INDEX($C28:$L28,1,$F$8),0)</f>
        <v/>
      </c>
      <c r="Q28" s="14">
        <f>IF(N28&lt;$F$7,INDEX($C28:$L28,1,$F$8+1),0)</f>
        <v/>
      </c>
      <c r="R28" s="14">
        <f>IF(N28&lt;$F$7,IF(COUNTIF(Symboles!$D$6:$D$101,N28)&gt;0,1,0),0)</f>
        <v/>
      </c>
      <c r="S28" s="23">
        <f>IF(N28&lt;$F$7,P28*$F$9,99)</f>
        <v/>
      </c>
      <c r="T28" s="23">
        <f>IF(N28&lt;$F$7,Q28*$F$9,99)</f>
        <v/>
      </c>
      <c r="U28" s="23">
        <f>IF(R28=1,S28,99)</f>
        <v/>
      </c>
      <c r="V28" s="23">
        <f>IF(R28=1,T28,99)</f>
        <v/>
      </c>
      <c r="X28" s="14" t="n">
        <v>14</v>
      </c>
      <c r="Y28" s="14">
        <f>DEC2BIN(X28,4)</f>
        <v/>
      </c>
      <c r="Z28" s="41" t="n">
        <v>1</v>
      </c>
      <c r="AA28" s="41" t="n">
        <v>3</v>
      </c>
      <c r="AB28" s="41" t="n">
        <v>-3</v>
      </c>
      <c r="AC28" s="41" t="n">
        <v>-1</v>
      </c>
      <c r="AD28" s="41" t="n">
        <v>-1</v>
      </c>
      <c r="AE28" s="41" t="n">
        <v>-3</v>
      </c>
      <c r="AF28" s="41" t="n">
        <v>3</v>
      </c>
      <c r="AG28" s="41" t="n">
        <v>1</v>
      </c>
      <c r="AH28" s="42" t="n">
        <v>1</v>
      </c>
      <c r="AI28" s="42" t="n">
        <v>3</v>
      </c>
    </row>
    <row r="29">
      <c r="A29" s="14" t="n">
        <v>15</v>
      </c>
      <c r="B29" s="14">
        <f>DEC2BIN(A29,5)</f>
        <v/>
      </c>
      <c r="C29" s="43" t="n"/>
      <c r="D29" s="43" t="n"/>
      <c r="E29" s="43" t="n"/>
      <c r="F29" s="43" t="n"/>
      <c r="G29" s="43" t="n"/>
      <c r="H29" s="43" t="n"/>
      <c r="I29" s="40">
        <f>INDEX($Z29:$AI29,1,2*$F$10-1)</f>
        <v/>
      </c>
      <c r="J29" s="40">
        <f>INDEX($Z29:$AI29,1,2*$F$10)</f>
        <v/>
      </c>
      <c r="K29" s="38" t="n">
        <v>5</v>
      </c>
      <c r="L29" s="38" t="n">
        <v>-3</v>
      </c>
      <c r="N29" s="14" t="n">
        <v>15</v>
      </c>
      <c r="O29" s="14">
        <f>IF(N29&lt;$F$7,DEC2BIN(N29,$F$6),"")</f>
        <v/>
      </c>
      <c r="P29" s="14">
        <f>IF(N29&lt;$F$7,INDEX($C29:$L29,1,$F$8),0)</f>
        <v/>
      </c>
      <c r="Q29" s="14">
        <f>IF(N29&lt;$F$7,INDEX($C29:$L29,1,$F$8+1),0)</f>
        <v/>
      </c>
      <c r="R29" s="14">
        <f>IF(N29&lt;$F$7,IF(COUNTIF(Symboles!$D$6:$D$101,N29)&gt;0,1,0),0)</f>
        <v/>
      </c>
      <c r="S29" s="23">
        <f>IF(N29&lt;$F$7,P29*$F$9,99)</f>
        <v/>
      </c>
      <c r="T29" s="23">
        <f>IF(N29&lt;$F$7,Q29*$F$9,99)</f>
        <v/>
      </c>
      <c r="U29" s="23">
        <f>IF(R29=1,S29,99)</f>
        <v/>
      </c>
      <c r="V29" s="23">
        <f>IF(R29=1,T29,99)</f>
        <v/>
      </c>
      <c r="X29" s="14" t="n">
        <v>15</v>
      </c>
      <c r="Y29" s="14">
        <f>DEC2BIN(X29,4)</f>
        <v/>
      </c>
      <c r="Z29" s="41" t="n">
        <v>1</v>
      </c>
      <c r="AA29" s="41" t="n">
        <v>1</v>
      </c>
      <c r="AB29" s="41" t="n">
        <v>-3</v>
      </c>
      <c r="AC29" s="41" t="n">
        <v>-3</v>
      </c>
      <c r="AD29" s="41" t="n">
        <v>-1</v>
      </c>
      <c r="AE29" s="41" t="n">
        <v>-1</v>
      </c>
      <c r="AF29" s="41" t="n">
        <v>3</v>
      </c>
      <c r="AG29" s="41" t="n">
        <v>3</v>
      </c>
      <c r="AH29" s="42" t="n">
        <v>1</v>
      </c>
      <c r="AI29" s="42" t="n">
        <v>1</v>
      </c>
    </row>
    <row r="30">
      <c r="A30" s="14" t="n">
        <v>16</v>
      </c>
      <c r="B30" s="14">
        <f>DEC2BIN(A30,5)</f>
        <v/>
      </c>
      <c r="C30" s="43" t="n"/>
      <c r="D30" s="43" t="n"/>
      <c r="E30" s="43" t="n"/>
      <c r="F30" s="43" t="n"/>
      <c r="G30" s="43" t="n"/>
      <c r="H30" s="43" t="n"/>
      <c r="I30" s="43" t="n"/>
      <c r="J30" s="43" t="n"/>
      <c r="K30" s="38" t="n">
        <v>-1</v>
      </c>
      <c r="L30" s="38" t="n">
        <v>1</v>
      </c>
      <c r="N30" s="14" t="n">
        <v>16</v>
      </c>
      <c r="O30" s="14">
        <f>IF(N30&lt;$F$7,DEC2BIN(N30,$F$6),"")</f>
        <v/>
      </c>
      <c r="P30" s="14">
        <f>IF(N30&lt;$F$7,INDEX($C30:$L30,1,$F$8),0)</f>
        <v/>
      </c>
      <c r="Q30" s="14">
        <f>IF(N30&lt;$F$7,INDEX($C30:$L30,1,$F$8+1),0)</f>
        <v/>
      </c>
      <c r="R30" s="14">
        <f>IF(N30&lt;$F$7,IF(COUNTIF(Symboles!$D$6:$D$101,N30)&gt;0,1,0),0)</f>
        <v/>
      </c>
      <c r="S30" s="23">
        <f>IF(N30&lt;$F$7,P30*$F$9,99)</f>
        <v/>
      </c>
      <c r="T30" s="23">
        <f>IF(N30&lt;$F$7,Q30*$F$9,99)</f>
        <v/>
      </c>
      <c r="U30" s="23">
        <f>IF(R30=1,S30,99)</f>
        <v/>
      </c>
      <c r="V30" s="23">
        <f>IF(R30=1,T30,99)</f>
        <v/>
      </c>
    </row>
    <row r="31">
      <c r="A31" s="14" t="n">
        <v>17</v>
      </c>
      <c r="B31" s="14">
        <f>DEC2BIN(A31,5)</f>
        <v/>
      </c>
      <c r="C31" s="43" t="n"/>
      <c r="D31" s="43" t="n"/>
      <c r="E31" s="43" t="n"/>
      <c r="F31" s="43" t="n"/>
      <c r="G31" s="43" t="n"/>
      <c r="H31" s="43" t="n"/>
      <c r="I31" s="43" t="n"/>
      <c r="J31" s="43" t="n"/>
      <c r="K31" s="38" t="n">
        <v>-1</v>
      </c>
      <c r="L31" s="38" t="n">
        <v>3</v>
      </c>
      <c r="N31" s="14" t="n">
        <v>17</v>
      </c>
      <c r="O31" s="14">
        <f>IF(N31&lt;$F$7,DEC2BIN(N31,$F$6),"")</f>
        <v/>
      </c>
      <c r="P31" s="14">
        <f>IF(N31&lt;$F$7,INDEX($C31:$L31,1,$F$8),0)</f>
        <v/>
      </c>
      <c r="Q31" s="14">
        <f>IF(N31&lt;$F$7,INDEX($C31:$L31,1,$F$8+1),0)</f>
        <v/>
      </c>
      <c r="R31" s="14">
        <f>IF(N31&lt;$F$7,IF(COUNTIF(Symboles!$D$6:$D$101,N31)&gt;0,1,0),0)</f>
        <v/>
      </c>
      <c r="S31" s="23">
        <f>IF(N31&lt;$F$7,P31*$F$9,99)</f>
        <v/>
      </c>
      <c r="T31" s="23">
        <f>IF(N31&lt;$F$7,Q31*$F$9,99)</f>
        <v/>
      </c>
      <c r="U31" s="23">
        <f>IF(R31=1,S31,99)</f>
        <v/>
      </c>
      <c r="V31" s="23">
        <f>IF(R31=1,T31,99)</f>
        <v/>
      </c>
      <c r="X31" s="16" t="inlineStr">
        <is>
          <t>b0 = premier bit transmis (bit de poids fort de la valeur). Colonnes noires = normes (valeurs fixes), colonnes bleues = personnalisé.</t>
        </is>
      </c>
    </row>
    <row r="32">
      <c r="A32" s="14" t="n">
        <v>18</v>
      </c>
      <c r="B32" s="14">
        <f>DEC2BIN(A32,5)</f>
        <v/>
      </c>
      <c r="C32" s="43" t="n"/>
      <c r="D32" s="43" t="n"/>
      <c r="E32" s="43" t="n"/>
      <c r="F32" s="43" t="n"/>
      <c r="G32" s="43" t="n"/>
      <c r="H32" s="43" t="n"/>
      <c r="I32" s="43" t="n"/>
      <c r="J32" s="43" t="n"/>
      <c r="K32" s="38" t="n">
        <v>-3</v>
      </c>
      <c r="L32" s="38" t="n">
        <v>1</v>
      </c>
      <c r="N32" s="14" t="n">
        <v>18</v>
      </c>
      <c r="O32" s="14">
        <f>IF(N32&lt;$F$7,DEC2BIN(N32,$F$6),"")</f>
        <v/>
      </c>
      <c r="P32" s="14">
        <f>IF(N32&lt;$F$7,INDEX($C32:$L32,1,$F$8),0)</f>
        <v/>
      </c>
      <c r="Q32" s="14">
        <f>IF(N32&lt;$F$7,INDEX($C32:$L32,1,$F$8+1),0)</f>
        <v/>
      </c>
      <c r="R32" s="14">
        <f>IF(N32&lt;$F$7,IF(COUNTIF(Symboles!$D$6:$D$101,N32)&gt;0,1,0),0)</f>
        <v/>
      </c>
      <c r="S32" s="23">
        <f>IF(N32&lt;$F$7,P32*$F$9,99)</f>
        <v/>
      </c>
      <c r="T32" s="23">
        <f>IF(N32&lt;$F$7,Q32*$F$9,99)</f>
        <v/>
      </c>
      <c r="U32" s="23">
        <f>IF(R32=1,S32,99)</f>
        <v/>
      </c>
      <c r="V32" s="23">
        <f>IF(R32=1,T32,99)</f>
        <v/>
      </c>
    </row>
    <row r="33">
      <c r="A33" s="14" t="n">
        <v>19</v>
      </c>
      <c r="B33" s="14">
        <f>DEC2BIN(A33,5)</f>
        <v/>
      </c>
      <c r="C33" s="43" t="n"/>
      <c r="D33" s="43" t="n"/>
      <c r="E33" s="43" t="n"/>
      <c r="F33" s="43" t="n"/>
      <c r="G33" s="43" t="n"/>
      <c r="H33" s="43" t="n"/>
      <c r="I33" s="43" t="n"/>
      <c r="J33" s="43" t="n"/>
      <c r="K33" s="38" t="n">
        <v>-5</v>
      </c>
      <c r="L33" s="38" t="n">
        <v>1</v>
      </c>
      <c r="N33" s="14" t="n">
        <v>19</v>
      </c>
      <c r="O33" s="14">
        <f>IF(N33&lt;$F$7,DEC2BIN(N33,$F$6),"")</f>
        <v/>
      </c>
      <c r="P33" s="14">
        <f>IF(N33&lt;$F$7,INDEX($C33:$L33,1,$F$8),0)</f>
        <v/>
      </c>
      <c r="Q33" s="14">
        <f>IF(N33&lt;$F$7,INDEX($C33:$L33,1,$F$8+1),0)</f>
        <v/>
      </c>
      <c r="R33" s="14">
        <f>IF(N33&lt;$F$7,IF(COUNTIF(Symboles!$D$6:$D$101,N33)&gt;0,1,0),0)</f>
        <v/>
      </c>
      <c r="S33" s="23">
        <f>IF(N33&lt;$F$7,P33*$F$9,99)</f>
        <v/>
      </c>
      <c r="T33" s="23">
        <f>IF(N33&lt;$F$7,Q33*$F$9,99)</f>
        <v/>
      </c>
      <c r="U33" s="23">
        <f>IF(R33=1,S33,99)</f>
        <v/>
      </c>
      <c r="V33" s="23">
        <f>IF(R33=1,T33,99)</f>
        <v/>
      </c>
    </row>
    <row r="34">
      <c r="A34" s="14" t="n">
        <v>20</v>
      </c>
      <c r="B34" s="14">
        <f>DEC2BIN(A34,5)</f>
        <v/>
      </c>
      <c r="C34" s="43" t="n"/>
      <c r="D34" s="43" t="n"/>
      <c r="E34" s="43" t="n"/>
      <c r="F34" s="43" t="n"/>
      <c r="G34" s="43" t="n"/>
      <c r="H34" s="43" t="n"/>
      <c r="I34" s="43" t="n"/>
      <c r="J34" s="43" t="n"/>
      <c r="K34" s="38" t="n">
        <v>1</v>
      </c>
      <c r="L34" s="38" t="n">
        <v>1</v>
      </c>
      <c r="N34" s="14" t="n">
        <v>20</v>
      </c>
      <c r="O34" s="14">
        <f>IF(N34&lt;$F$7,DEC2BIN(N34,$F$6),"")</f>
        <v/>
      </c>
      <c r="P34" s="14">
        <f>IF(N34&lt;$F$7,INDEX($C34:$L34,1,$F$8),0)</f>
        <v/>
      </c>
      <c r="Q34" s="14">
        <f>IF(N34&lt;$F$7,INDEX($C34:$L34,1,$F$8+1),0)</f>
        <v/>
      </c>
      <c r="R34" s="14">
        <f>IF(N34&lt;$F$7,IF(COUNTIF(Symboles!$D$6:$D$101,N34)&gt;0,1,0),0)</f>
        <v/>
      </c>
      <c r="S34" s="23">
        <f>IF(N34&lt;$F$7,P34*$F$9,99)</f>
        <v/>
      </c>
      <c r="T34" s="23">
        <f>IF(N34&lt;$F$7,Q34*$F$9,99)</f>
        <v/>
      </c>
      <c r="U34" s="23">
        <f>IF(R34=1,S34,99)</f>
        <v/>
      </c>
      <c r="V34" s="23">
        <f>IF(R34=1,T34,99)</f>
        <v/>
      </c>
    </row>
    <row r="35">
      <c r="A35" s="14" t="n">
        <v>21</v>
      </c>
      <c r="B35" s="14">
        <f>DEC2BIN(A35,5)</f>
        <v/>
      </c>
      <c r="C35" s="43" t="n"/>
      <c r="D35" s="43" t="n"/>
      <c r="E35" s="43" t="n"/>
      <c r="F35" s="43" t="n"/>
      <c r="G35" s="43" t="n"/>
      <c r="H35" s="43" t="n"/>
      <c r="I35" s="43" t="n"/>
      <c r="J35" s="43" t="n"/>
      <c r="K35" s="38" t="n">
        <v>1</v>
      </c>
      <c r="L35" s="38" t="n">
        <v>3</v>
      </c>
      <c r="N35" s="14" t="n">
        <v>21</v>
      </c>
      <c r="O35" s="14">
        <f>IF(N35&lt;$F$7,DEC2BIN(N35,$F$6),"")</f>
        <v/>
      </c>
      <c r="P35" s="14">
        <f>IF(N35&lt;$F$7,INDEX($C35:$L35,1,$F$8),0)</f>
        <v/>
      </c>
      <c r="Q35" s="14">
        <f>IF(N35&lt;$F$7,INDEX($C35:$L35,1,$F$8+1),0)</f>
        <v/>
      </c>
      <c r="R35" s="14">
        <f>IF(N35&lt;$F$7,IF(COUNTIF(Symboles!$D$6:$D$101,N35)&gt;0,1,0),0)</f>
        <v/>
      </c>
      <c r="S35" s="23">
        <f>IF(N35&lt;$F$7,P35*$F$9,99)</f>
        <v/>
      </c>
      <c r="T35" s="23">
        <f>IF(N35&lt;$F$7,Q35*$F$9,99)</f>
        <v/>
      </c>
      <c r="U35" s="23">
        <f>IF(R35=1,S35,99)</f>
        <v/>
      </c>
      <c r="V35" s="23">
        <f>IF(R35=1,T35,99)</f>
        <v/>
      </c>
    </row>
    <row r="36">
      <c r="A36" s="14" t="n">
        <v>22</v>
      </c>
      <c r="B36" s="14">
        <f>DEC2BIN(A36,5)</f>
        <v/>
      </c>
      <c r="C36" s="43" t="n"/>
      <c r="D36" s="43" t="n"/>
      <c r="E36" s="43" t="n"/>
      <c r="F36" s="43" t="n"/>
      <c r="G36" s="43" t="n"/>
      <c r="H36" s="43" t="n"/>
      <c r="I36" s="43" t="n"/>
      <c r="J36" s="43" t="n"/>
      <c r="K36" s="38" t="n">
        <v>3</v>
      </c>
      <c r="L36" s="38" t="n">
        <v>1</v>
      </c>
      <c r="N36" s="14" t="n">
        <v>22</v>
      </c>
      <c r="O36" s="14">
        <f>IF(N36&lt;$F$7,DEC2BIN(N36,$F$6),"")</f>
        <v/>
      </c>
      <c r="P36" s="14">
        <f>IF(N36&lt;$F$7,INDEX($C36:$L36,1,$F$8),0)</f>
        <v/>
      </c>
      <c r="Q36" s="14">
        <f>IF(N36&lt;$F$7,INDEX($C36:$L36,1,$F$8+1),0)</f>
        <v/>
      </c>
      <c r="R36" s="14">
        <f>IF(N36&lt;$F$7,IF(COUNTIF(Symboles!$D$6:$D$101,N36)&gt;0,1,0),0)</f>
        <v/>
      </c>
      <c r="S36" s="23">
        <f>IF(N36&lt;$F$7,P36*$F$9,99)</f>
        <v/>
      </c>
      <c r="T36" s="23">
        <f>IF(N36&lt;$F$7,Q36*$F$9,99)</f>
        <v/>
      </c>
      <c r="U36" s="23">
        <f>IF(R36=1,S36,99)</f>
        <v/>
      </c>
      <c r="V36" s="23">
        <f>IF(R36=1,T36,99)</f>
        <v/>
      </c>
    </row>
    <row r="37">
      <c r="A37" s="14" t="n">
        <v>23</v>
      </c>
      <c r="B37" s="14">
        <f>DEC2BIN(A37,5)</f>
        <v/>
      </c>
      <c r="C37" s="43" t="n"/>
      <c r="D37" s="43" t="n"/>
      <c r="E37" s="43" t="n"/>
      <c r="F37" s="43" t="n"/>
      <c r="G37" s="43" t="n"/>
      <c r="H37" s="43" t="n"/>
      <c r="I37" s="43" t="n"/>
      <c r="J37" s="43" t="n"/>
      <c r="K37" s="38" t="n">
        <v>3</v>
      </c>
      <c r="L37" s="38" t="n">
        <v>3</v>
      </c>
      <c r="N37" s="14" t="n">
        <v>23</v>
      </c>
      <c r="O37" s="14">
        <f>IF(N37&lt;$F$7,DEC2BIN(N37,$F$6),"")</f>
        <v/>
      </c>
      <c r="P37" s="14">
        <f>IF(N37&lt;$F$7,INDEX($C37:$L37,1,$F$8),0)</f>
        <v/>
      </c>
      <c r="Q37" s="14">
        <f>IF(N37&lt;$F$7,INDEX($C37:$L37,1,$F$8+1),0)</f>
        <v/>
      </c>
      <c r="R37" s="14">
        <f>IF(N37&lt;$F$7,IF(COUNTIF(Symboles!$D$6:$D$101,N37)&gt;0,1,0),0)</f>
        <v/>
      </c>
      <c r="S37" s="23">
        <f>IF(N37&lt;$F$7,P37*$F$9,99)</f>
        <v/>
      </c>
      <c r="T37" s="23">
        <f>IF(N37&lt;$F$7,Q37*$F$9,99)</f>
        <v/>
      </c>
      <c r="U37" s="23">
        <f>IF(R37=1,S37,99)</f>
        <v/>
      </c>
      <c r="V37" s="23">
        <f>IF(R37=1,T37,99)</f>
        <v/>
      </c>
    </row>
    <row r="38">
      <c r="A38" s="14" t="n">
        <v>24</v>
      </c>
      <c r="B38" s="14">
        <f>DEC2BIN(A38,5)</f>
        <v/>
      </c>
      <c r="C38" s="43" t="n"/>
      <c r="D38" s="43" t="n"/>
      <c r="E38" s="43" t="n"/>
      <c r="F38" s="43" t="n"/>
      <c r="G38" s="43" t="n"/>
      <c r="H38" s="43" t="n"/>
      <c r="I38" s="43" t="n"/>
      <c r="J38" s="43" t="n"/>
      <c r="K38" s="38" t="n">
        <v>-1</v>
      </c>
      <c r="L38" s="38" t="n">
        <v>-5</v>
      </c>
      <c r="N38" s="14" t="n">
        <v>24</v>
      </c>
      <c r="O38" s="14">
        <f>IF(N38&lt;$F$7,DEC2BIN(N38,$F$6),"")</f>
        <v/>
      </c>
      <c r="P38" s="14">
        <f>IF(N38&lt;$F$7,INDEX($C38:$L38,1,$F$8),0)</f>
        <v/>
      </c>
      <c r="Q38" s="14">
        <f>IF(N38&lt;$F$7,INDEX($C38:$L38,1,$F$8+1),0)</f>
        <v/>
      </c>
      <c r="R38" s="14">
        <f>IF(N38&lt;$F$7,IF(COUNTIF(Symboles!$D$6:$D$101,N38)&gt;0,1,0),0)</f>
        <v/>
      </c>
      <c r="S38" s="23">
        <f>IF(N38&lt;$F$7,P38*$F$9,99)</f>
        <v/>
      </c>
      <c r="T38" s="23">
        <f>IF(N38&lt;$F$7,Q38*$F$9,99)</f>
        <v/>
      </c>
      <c r="U38" s="23">
        <f>IF(R38=1,S38,99)</f>
        <v/>
      </c>
      <c r="V38" s="23">
        <f>IF(R38=1,T38,99)</f>
        <v/>
      </c>
    </row>
    <row r="39">
      <c r="A39" s="14" t="n">
        <v>25</v>
      </c>
      <c r="B39" s="14">
        <f>DEC2BIN(A39,5)</f>
        <v/>
      </c>
      <c r="C39" s="43" t="n"/>
      <c r="D39" s="43" t="n"/>
      <c r="E39" s="43" t="n"/>
      <c r="F39" s="43" t="n"/>
      <c r="G39" s="43" t="n"/>
      <c r="H39" s="43" t="n"/>
      <c r="I39" s="43" t="n"/>
      <c r="J39" s="43" t="n"/>
      <c r="K39" s="38" t="n">
        <v>-3</v>
      </c>
      <c r="L39" s="38" t="n">
        <v>3</v>
      </c>
      <c r="N39" s="14" t="n">
        <v>25</v>
      </c>
      <c r="O39" s="14">
        <f>IF(N39&lt;$F$7,DEC2BIN(N39,$F$6),"")</f>
        <v/>
      </c>
      <c r="P39" s="14">
        <f>IF(N39&lt;$F$7,INDEX($C39:$L39,1,$F$8),0)</f>
        <v/>
      </c>
      <c r="Q39" s="14">
        <f>IF(N39&lt;$F$7,INDEX($C39:$L39,1,$F$8+1),0)</f>
        <v/>
      </c>
      <c r="R39" s="14">
        <f>IF(N39&lt;$F$7,IF(COUNTIF(Symboles!$D$6:$D$101,N39)&gt;0,1,0),0)</f>
        <v/>
      </c>
      <c r="S39" s="23">
        <f>IF(N39&lt;$F$7,P39*$F$9,99)</f>
        <v/>
      </c>
      <c r="T39" s="23">
        <f>IF(N39&lt;$F$7,Q39*$F$9,99)</f>
        <v/>
      </c>
      <c r="U39" s="23">
        <f>IF(R39=1,S39,99)</f>
        <v/>
      </c>
      <c r="V39" s="23">
        <f>IF(R39=1,T39,99)</f>
        <v/>
      </c>
    </row>
    <row r="40">
      <c r="A40" s="14" t="n">
        <v>26</v>
      </c>
      <c r="B40" s="14">
        <f>DEC2BIN(A40,5)</f>
        <v/>
      </c>
      <c r="C40" s="43" t="n"/>
      <c r="D40" s="43" t="n"/>
      <c r="E40" s="43" t="n"/>
      <c r="F40" s="43" t="n"/>
      <c r="G40" s="43" t="n"/>
      <c r="H40" s="43" t="n"/>
      <c r="I40" s="43" t="n"/>
      <c r="J40" s="43" t="n"/>
      <c r="K40" s="38" t="n">
        <v>-3</v>
      </c>
      <c r="L40" s="38" t="n">
        <v>-5</v>
      </c>
      <c r="N40" s="14" t="n">
        <v>26</v>
      </c>
      <c r="O40" s="14">
        <f>IF(N40&lt;$F$7,DEC2BIN(N40,$F$6),"")</f>
        <v/>
      </c>
      <c r="P40" s="14">
        <f>IF(N40&lt;$F$7,INDEX($C40:$L40,1,$F$8),0)</f>
        <v/>
      </c>
      <c r="Q40" s="14">
        <f>IF(N40&lt;$F$7,INDEX($C40:$L40,1,$F$8+1),0)</f>
        <v/>
      </c>
      <c r="R40" s="14">
        <f>IF(N40&lt;$F$7,IF(COUNTIF(Symboles!$D$6:$D$101,N40)&gt;0,1,0),0)</f>
        <v/>
      </c>
      <c r="S40" s="23">
        <f>IF(N40&lt;$F$7,P40*$F$9,99)</f>
        <v/>
      </c>
      <c r="T40" s="23">
        <f>IF(N40&lt;$F$7,Q40*$F$9,99)</f>
        <v/>
      </c>
      <c r="U40" s="23">
        <f>IF(R40=1,S40,99)</f>
        <v/>
      </c>
      <c r="V40" s="23">
        <f>IF(R40=1,T40,99)</f>
        <v/>
      </c>
    </row>
    <row r="41">
      <c r="A41" s="14" t="n">
        <v>27</v>
      </c>
      <c r="B41" s="14">
        <f>DEC2BIN(A41,5)</f>
        <v/>
      </c>
      <c r="C41" s="43" t="n"/>
      <c r="D41" s="43" t="n"/>
      <c r="E41" s="43" t="n"/>
      <c r="F41" s="43" t="n"/>
      <c r="G41" s="43" t="n"/>
      <c r="H41" s="43" t="n"/>
      <c r="I41" s="43" t="n"/>
      <c r="J41" s="43" t="n"/>
      <c r="K41" s="38" t="n">
        <v>-5</v>
      </c>
      <c r="L41" s="38" t="n">
        <v>3</v>
      </c>
      <c r="N41" s="14" t="n">
        <v>27</v>
      </c>
      <c r="O41" s="14">
        <f>IF(N41&lt;$F$7,DEC2BIN(N41,$F$6),"")</f>
        <v/>
      </c>
      <c r="P41" s="14">
        <f>IF(N41&lt;$F$7,INDEX($C41:$L41,1,$F$8),0)</f>
        <v/>
      </c>
      <c r="Q41" s="14">
        <f>IF(N41&lt;$F$7,INDEX($C41:$L41,1,$F$8+1),0)</f>
        <v/>
      </c>
      <c r="R41" s="14">
        <f>IF(N41&lt;$F$7,IF(COUNTIF(Symboles!$D$6:$D$101,N41)&gt;0,1,0),0)</f>
        <v/>
      </c>
      <c r="S41" s="23">
        <f>IF(N41&lt;$F$7,P41*$F$9,99)</f>
        <v/>
      </c>
      <c r="T41" s="23">
        <f>IF(N41&lt;$F$7,Q41*$F$9,99)</f>
        <v/>
      </c>
      <c r="U41" s="23">
        <f>IF(R41=1,S41,99)</f>
        <v/>
      </c>
      <c r="V41" s="23">
        <f>IF(R41=1,T41,99)</f>
        <v/>
      </c>
    </row>
    <row r="42">
      <c r="A42" s="14" t="n">
        <v>28</v>
      </c>
      <c r="B42" s="14">
        <f>DEC2BIN(A42,5)</f>
        <v/>
      </c>
      <c r="C42" s="43" t="n"/>
      <c r="D42" s="43" t="n"/>
      <c r="E42" s="43" t="n"/>
      <c r="F42" s="43" t="n"/>
      <c r="G42" s="43" t="n"/>
      <c r="H42" s="43" t="n"/>
      <c r="I42" s="43" t="n"/>
      <c r="J42" s="43" t="n"/>
      <c r="K42" s="38" t="n">
        <v>1</v>
      </c>
      <c r="L42" s="38" t="n">
        <v>-5</v>
      </c>
      <c r="N42" s="14" t="n">
        <v>28</v>
      </c>
      <c r="O42" s="14">
        <f>IF(N42&lt;$F$7,DEC2BIN(N42,$F$6),"")</f>
        <v/>
      </c>
      <c r="P42" s="14">
        <f>IF(N42&lt;$F$7,INDEX($C42:$L42,1,$F$8),0)</f>
        <v/>
      </c>
      <c r="Q42" s="14">
        <f>IF(N42&lt;$F$7,INDEX($C42:$L42,1,$F$8+1),0)</f>
        <v/>
      </c>
      <c r="R42" s="14">
        <f>IF(N42&lt;$F$7,IF(COUNTIF(Symboles!$D$6:$D$101,N42)&gt;0,1,0),0)</f>
        <v/>
      </c>
      <c r="S42" s="23">
        <f>IF(N42&lt;$F$7,P42*$F$9,99)</f>
        <v/>
      </c>
      <c r="T42" s="23">
        <f>IF(N42&lt;$F$7,Q42*$F$9,99)</f>
        <v/>
      </c>
      <c r="U42" s="23">
        <f>IF(R42=1,S42,99)</f>
        <v/>
      </c>
      <c r="V42" s="23">
        <f>IF(R42=1,T42,99)</f>
        <v/>
      </c>
    </row>
    <row r="43">
      <c r="A43" s="14" t="n">
        <v>29</v>
      </c>
      <c r="B43" s="14">
        <f>DEC2BIN(A43,5)</f>
        <v/>
      </c>
      <c r="C43" s="43" t="n"/>
      <c r="D43" s="43" t="n"/>
      <c r="E43" s="43" t="n"/>
      <c r="F43" s="43" t="n"/>
      <c r="G43" s="43" t="n"/>
      <c r="H43" s="43" t="n"/>
      <c r="I43" s="43" t="n"/>
      <c r="J43" s="43" t="n"/>
      <c r="K43" s="38" t="n">
        <v>3</v>
      </c>
      <c r="L43" s="38" t="n">
        <v>-5</v>
      </c>
      <c r="N43" s="14" t="n">
        <v>29</v>
      </c>
      <c r="O43" s="14">
        <f>IF(N43&lt;$F$7,DEC2BIN(N43,$F$6),"")</f>
        <v/>
      </c>
      <c r="P43" s="14">
        <f>IF(N43&lt;$F$7,INDEX($C43:$L43,1,$F$8),0)</f>
        <v/>
      </c>
      <c r="Q43" s="14">
        <f>IF(N43&lt;$F$7,INDEX($C43:$L43,1,$F$8+1),0)</f>
        <v/>
      </c>
      <c r="R43" s="14">
        <f>IF(N43&lt;$F$7,IF(COUNTIF(Symboles!$D$6:$D$101,N43)&gt;0,1,0),0)</f>
        <v/>
      </c>
      <c r="S43" s="23">
        <f>IF(N43&lt;$F$7,P43*$F$9,99)</f>
        <v/>
      </c>
      <c r="T43" s="23">
        <f>IF(N43&lt;$F$7,Q43*$F$9,99)</f>
        <v/>
      </c>
      <c r="U43" s="23">
        <f>IF(R43=1,S43,99)</f>
        <v/>
      </c>
      <c r="V43" s="23">
        <f>IF(R43=1,T43,99)</f>
        <v/>
      </c>
    </row>
    <row r="44">
      <c r="A44" s="14" t="n">
        <v>30</v>
      </c>
      <c r="B44" s="14">
        <f>DEC2BIN(A44,5)</f>
        <v/>
      </c>
      <c r="C44" s="43" t="n"/>
      <c r="D44" s="43" t="n"/>
      <c r="E44" s="43" t="n"/>
      <c r="F44" s="43" t="n"/>
      <c r="G44" s="43" t="n"/>
      <c r="H44" s="43" t="n"/>
      <c r="I44" s="43" t="n"/>
      <c r="J44" s="43" t="n"/>
      <c r="K44" s="38" t="n">
        <v>5</v>
      </c>
      <c r="L44" s="38" t="n">
        <v>1</v>
      </c>
      <c r="N44" s="14" t="n">
        <v>30</v>
      </c>
      <c r="O44" s="14">
        <f>IF(N44&lt;$F$7,DEC2BIN(N44,$F$6),"")</f>
        <v/>
      </c>
      <c r="P44" s="14">
        <f>IF(N44&lt;$F$7,INDEX($C44:$L44,1,$F$8),0)</f>
        <v/>
      </c>
      <c r="Q44" s="14">
        <f>IF(N44&lt;$F$7,INDEX($C44:$L44,1,$F$8+1),0)</f>
        <v/>
      </c>
      <c r="R44" s="14">
        <f>IF(N44&lt;$F$7,IF(COUNTIF(Symboles!$D$6:$D$101,N44)&gt;0,1,0),0)</f>
        <v/>
      </c>
      <c r="S44" s="23">
        <f>IF(N44&lt;$F$7,P44*$F$9,99)</f>
        <v/>
      </c>
      <c r="T44" s="23">
        <f>IF(N44&lt;$F$7,Q44*$F$9,99)</f>
        <v/>
      </c>
      <c r="U44" s="23">
        <f>IF(R44=1,S44,99)</f>
        <v/>
      </c>
      <c r="V44" s="23">
        <f>IF(R44=1,T44,99)</f>
        <v/>
      </c>
    </row>
    <row r="45">
      <c r="A45" s="14" t="n">
        <v>31</v>
      </c>
      <c r="B45" s="14">
        <f>DEC2BIN(A45,5)</f>
        <v/>
      </c>
      <c r="C45" s="43" t="n"/>
      <c r="D45" s="43" t="n"/>
      <c r="E45" s="43" t="n"/>
      <c r="F45" s="43" t="n"/>
      <c r="G45" s="43" t="n"/>
      <c r="H45" s="43" t="n"/>
      <c r="I45" s="43" t="n"/>
      <c r="J45" s="43" t="n"/>
      <c r="K45" s="38" t="n">
        <v>5</v>
      </c>
      <c r="L45" s="38" t="n">
        <v>3</v>
      </c>
      <c r="N45" s="14" t="n">
        <v>31</v>
      </c>
      <c r="O45" s="14">
        <f>IF(N45&lt;$F$7,DEC2BIN(N45,$F$6),"")</f>
        <v/>
      </c>
      <c r="P45" s="14">
        <f>IF(N45&lt;$F$7,INDEX($C45:$L45,1,$F$8),0)</f>
        <v/>
      </c>
      <c r="Q45" s="14">
        <f>IF(N45&lt;$F$7,INDEX($C45:$L45,1,$F$8+1),0)</f>
        <v/>
      </c>
      <c r="R45" s="14">
        <f>IF(N45&lt;$F$7,IF(COUNTIF(Symboles!$D$6:$D$101,N45)&gt;0,1,0),0)</f>
        <v/>
      </c>
      <c r="S45" s="23">
        <f>IF(N45&lt;$F$7,P45*$F$9,99)</f>
        <v/>
      </c>
      <c r="T45" s="23">
        <f>IF(N45&lt;$F$7,Q45*$F$9,99)</f>
        <v/>
      </c>
      <c r="U45" s="23">
        <f>IF(R45=1,S45,99)</f>
        <v/>
      </c>
      <c r="V45" s="23">
        <f>IF(R45=1,T45,99)</f>
        <v/>
      </c>
    </row>
    <row r="46"/>
    <row r="47">
      <c r="A47" s="16" t="inlineStr">
        <is>
          <t>Notes : BPSK bit 0→−1, 1→+1 ; QPSK bit1→I, bit0→Q ; 8-PSK phase = 45°×position Gray ; 16-QAM selon le protocole choisi (tables à droite, colonnes X à AI) ; 32-QAM en croix : mapping quasi-Gray (un Gray parfait est impossible sur la croix, 4 paires voisines diffèrent de 2 bits).</t>
        </is>
      </c>
      <c r="N47" s="16" t="inlineStr">
        <is>
          <t>99 = point hors graphique (non tracé)</t>
        </is>
      </c>
    </row>
  </sheetData>
  <mergeCells count="12">
    <mergeCell ref="E12:F12"/>
    <mergeCell ref="C12:D12"/>
    <mergeCell ref="I12:J12"/>
    <mergeCell ref="G12:H12"/>
    <mergeCell ref="X12:Y12"/>
    <mergeCell ref="K12:L12"/>
    <mergeCell ref="Z12:AA12"/>
    <mergeCell ref="AB12:AC12"/>
    <mergeCell ref="AH12:AI12"/>
    <mergeCell ref="N11:V11"/>
    <mergeCell ref="AF12:AG12"/>
    <mergeCell ref="AD12:A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TP — Modulations numériques : envoyer sa date d'anniversaire</t>
        </is>
      </c>
    </row>
    <row r="2"/>
    <row r="3">
      <c r="A3" s="44" t="inlineStr">
        <is>
          <t>Travail préparatoire (à la main, avant d'utiliser le tableau)</t>
        </is>
      </c>
    </row>
    <row r="4">
      <c r="A4" s="45" t="inlineStr">
        <is>
          <t>1. Écrivez votre date d'anniversaire au format JJ/MM. Donnez le code ASCII de chaque caractère, puis la suite de bits (8 bits par caractère).</t>
        </is>
      </c>
    </row>
    <row r="5">
      <c r="A5" s="45" t="inlineStr">
        <is>
          <t>2. Combien de bits obtenez-vous ? Combien de symboles faut-il en BPSK, QPSK, 16-QAM et 32-QAM ? Faut-il des bits de bourrage ?</t>
        </is>
      </c>
    </row>
    <row r="6">
      <c r="A6" s="45" t="inlineStr">
        <is>
          <t>3. En 16-QAM, découpez votre suite de bits par paquets de 4 et placez chaque symbole sur la constellation (onglet Constellations).</t>
        </is>
      </c>
    </row>
    <row r="7">
      <c r="A7" s="45" t="inlineStr"/>
    </row>
    <row r="8">
      <c r="A8" s="44" t="inlineStr">
        <is>
          <t>Vérification avec le tableau de bord</t>
        </is>
      </c>
    </row>
    <row r="9">
      <c r="A9" s="45" t="inlineStr">
        <is>
          <t>4. Saisissez votre date dans la cellule jaune « Message » et vérifiez vos réponses 1 à 3.</t>
        </is>
      </c>
    </row>
    <row r="10">
      <c r="A10" s="45" t="inlineStr">
        <is>
          <t>5. Pour chaque modulation, relevez : k, M, nombre de symboles, durée du message. À débit binaire constant, que gagne-t-on en montant en ordre ? Que perd-on ?</t>
        </is>
      </c>
    </row>
    <row r="11">
      <c r="A11" s="45" t="inlineStr">
        <is>
          <t>6. Sur le graphe s(t), identifiez les instants de changement de symbole. Qu'est-ce qui change : l'amplitude, la phase, les deux ? Justifiez pour BPSK, QPSK, 8-PSK et 16-QAM.</t>
        </is>
      </c>
    </row>
    <row r="12">
      <c r="A12" s="45" t="inlineStr">
        <is>
          <t>7. Passez en codage BCD. Combien de bits et de symboles maintenant ? Pourquoi le 16-QAM est-il particulièrement adapté ?</t>
        </is>
      </c>
    </row>
    <row r="13">
      <c r="A13" s="45" t="inlineStr">
        <is>
          <t>8. Comparez la distance minimale entre deux points de la constellation normalisée en QPSK, 16-QAM et 32-QAM. Conclure sur la sensibilité au bruit.</t>
        </is>
      </c>
    </row>
    <row r="14">
      <c r="A14" s="45" t="inlineStr"/>
    </row>
    <row r="15">
      <c r="A15" s="44" t="inlineStr">
        <is>
          <t>Pour aller plus loin</t>
        </is>
      </c>
    </row>
    <row r="16">
      <c r="A16" s="45" t="inlineStr">
        <is>
          <t>9. Codage Gray : vérifiez sur l'onglet Constellations que deux points voisins ne diffèrent que d'un bit en 16-QAM. Pourquoi est-ce utile ?</t>
        </is>
      </c>
    </row>
    <row r="17">
      <c r="A17" s="45" t="inlineStr">
        <is>
          <t>10. Choisissez le protocole « Personnalisé » et modifiez ses cellules bleues (onglet Constellations, colonnes AH-AI) pour inventer votre propre mapping 16-QAM. Comparez avec « Binaire naturel » : qu'est-ce qui change dans le signal ?</t>
        </is>
      </c>
    </row>
    <row r="18">
      <c r="A18" s="45" t="inlineStr">
        <is>
          <t>11. En codage « Binaire direct », construisez une suite de bits qui fait apparaître les 16 symboles du 16-QAM.</t>
        </is>
      </c>
    </row>
    <row r="19">
      <c r="A19" s="45" t="inlineStr">
        <is>
          <t>12. Protocoles 16-QAM : envoyez votre date avec le Wi-Fi, le LTE/5G puis le DVB-T. Relevez les points (I,Q) émis. Le signal est-il le même ? Un récepteur Wi-Fi peut-il décoder un signal DVB-T ?</t>
        </is>
      </c>
    </row>
    <row r="20">
      <c r="A20" s="45" t="inlineStr">
        <is>
          <t>13. Vérifiez que les mappings Wi-Fi, LTE et DVB-T sont tous des codes Gray, alors que le binaire naturel ne l'est pas. Quel est l'intérêt commun des trois normes ?</t>
        </is>
      </c>
    </row>
    <row r="21">
      <c r="A21" s="45" t="inlineStr">
        <is>
          <t>14. En DVB-T, les deux premiers bits donnent le quadrant. Pourquoi ce choix est-il utile pour la modulation hiérarchique (réception en QPSK simple) ?</t>
        </is>
      </c>
    </row>
    <row r="22">
      <c r="A22" s="45" t="inlineStr"/>
    </row>
    <row r="23">
      <c r="A23" s="44" t="inlineStr">
        <is>
          <t>Diagramme de l'œil</t>
        </is>
      </c>
    </row>
    <row r="24">
      <c r="A24" s="45" t="inlineStr">
        <is>
          <t>15. Avec le filtre rectangulaire puis le cosinus surélevé (α = 0,35), observez l'œil de la voie I en BPSK, QPSK et 16-QAM. Combien d'« yeux » superposés voit-on ? Relier au nombre de niveaux par voie.</t>
        </is>
      </c>
    </row>
    <row r="25">
      <c r="A25" s="45" t="inlineStr">
        <is>
          <t>16. Faites varier α de 1 à 0. Comment évoluent l'ouverture horizontale de l'œil et les dépassements ? Quel est le compromis avec la bande passante occupée (B = (1+α)·Rs/2 en bande de base) ?</t>
        </is>
      </c>
    </row>
    <row r="26">
      <c r="A26" s="45" t="inlineStr">
        <is>
          <t>17. Ajoutez du bruit (σ = 0,05 puis 0,15). À partir de quelle valeur l'œil se ferme-t-il en 16-QAM ? Et en QPSK ? Conclure sur le rapport signal/bruit nécessaire.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2026-09-16T11:39:05Z</dcterms:created>
  <dcterms:modified xmlns:dcterms="http://purl.org/dc/terms/" xmlns:xsi="http://www.w3.org/2001/XMLSchema-instance" xsi:type="dcterms:W3CDTF">2026-09-16T11:39:06Z</dcterms:modified>
</cp:coreProperties>
</file>